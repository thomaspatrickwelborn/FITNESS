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8.xml" ContentType="application/vnd.openxmlformats-officedocument.spreadsheetml.worksheet+xml"/>
  <Override PartName="/xl/worksheets/sheet20.xml" ContentType="application/vnd.openxmlformats-officedocument.spreadsheetml.worksheet+xml"/>
  <Override PartName="/xl/worksheets/sheet24.xml" ContentType="application/vnd.openxmlformats-officedocument.spreadsheetml.worksheet+xml"/>
  <Override PartName="/xl/worksheets/sheet19.xml" ContentType="application/vnd.openxmlformats-officedocument.spreadsheetml.worksheet+xml"/>
  <Override PartName="/xl/worksheets/sheet15.xml" ContentType="application/vnd.openxmlformats-officedocument.spreadsheetml.worksheet+xml"/>
  <Override PartName="/xl/worksheets/sheet8.xml" ContentType="application/vnd.openxmlformats-officedocument.spreadsheetml.worksheet+xml"/>
  <Override PartName="/xl/worksheets/sheet28.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9.xml" ContentType="application/vnd.openxmlformats-officedocument.spreadsheetml.worksheet+xml"/>
  <Override PartName="/xl/worksheets/sheet23.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29.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22.xml" ContentType="application/vnd.openxmlformats-officedocument.spreadsheetml.worksheet+xml"/>
  <Override PartName="/xl/worksheets/sheet14.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4.xml" ContentType="application/vnd.openxmlformats-officedocument.drawing+xml"/>
  <Override PartName="/xl/drawings/drawing20.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22.xml" ContentType="application/vnd.openxmlformats-officedocument.drawing+xml"/>
  <Override PartName="/xl/drawings/drawing9.xml" ContentType="application/vnd.openxmlformats-officedocument.drawing+xml"/>
  <Override PartName="/xl/drawings/drawing5.xml" ContentType="application/vnd.openxmlformats-officedocument.drawing+xml"/>
  <Override PartName="/xl/drawings/drawing19.xml" ContentType="application/vnd.openxmlformats-officedocument.drawing+xml"/>
  <Override PartName="/xl/drawings/drawing24.xml" ContentType="application/vnd.openxmlformats-officedocument.drawing+xml"/>
  <Override PartName="/xl/drawings/drawing14.xml" ContentType="application/vnd.openxmlformats-officedocument.drawing+xml"/>
  <Override PartName="/xl/drawings/drawing10.xml" ContentType="application/vnd.openxmlformats-officedocument.drawing+xml"/>
  <Override PartName="/xl/drawings/drawing15.xml" ContentType="application/vnd.openxmlformats-officedocument.drawing+xml"/>
  <Override PartName="/xl/drawings/drawing21.xml" ContentType="application/vnd.openxmlformats-officedocument.drawing+xml"/>
  <Override PartName="/xl/drawings/drawing23.xml" ContentType="application/vnd.openxmlformats-officedocument.drawing+xml"/>
  <Override PartName="/xl/drawings/drawing6.xml" ContentType="application/vnd.openxmlformats-officedocument.drawing+xml"/>
  <Override PartName="/xl/drawings/drawing16.xml" ContentType="application/vnd.openxmlformats-officedocument.drawing+xml"/>
  <Override PartName="/xl/drawings/drawing1.xml" ContentType="application/vnd.openxmlformats-officedocument.drawing+xml"/>
  <Override PartName="/xl/drawings/drawing18.xml" ContentType="application/vnd.openxmlformats-officedocument.drawing+xml"/>
  <Override PartName="/xl/drawings/drawing7.xml" ContentType="application/vnd.openxmlformats-officedocument.drawing+xml"/>
  <Override PartName="/xl/charts/chart9.xml" ContentType="application/vnd.openxmlformats-officedocument.drawingml.chart+xml"/>
  <Override PartName="/xl/charts/chart12.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8.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4.xml" ContentType="application/vnd.openxmlformats-officedocument.drawingml.chart+xml"/>
  <Override PartName="/xl/charts/chart11.xml" ContentType="application/vnd.openxmlformats-officedocument.drawingml.chart+xml"/>
  <Override PartName="/xl/charts/chart15.xml" ContentType="application/vnd.openxmlformats-officedocument.drawingml.chart+xml"/>
  <Override PartName="/xl/charts/chart13.xml" ContentType="application/vnd.openxmlformats-officedocument.drawingml.chart+xml"/>
  <Override PartName="/xl/charts/chart16.xml" ContentType="application/vnd.openxmlformats-officedocument.drawingml.chart+xml"/>
  <Override PartName="/xl/charts/chart7.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5.xml" ContentType="application/vnd.openxmlformats-officedocument.drawingml.chart+xml"/>
  <Override PartName="/xl/charts/chart22.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9.xml" ContentType="application/vnd.openxmlformats-officedocument.drawingml.chart+xml"/>
  <Override PartName="/xl/charts/chart28.xml" ContentType="application/vnd.openxmlformats-officedocument.drawingml.chart+xml"/>
  <Override PartName="/xl/charts/chart18.xml" ContentType="application/vnd.openxmlformats-officedocument.drawingml.chart+xml"/>
  <Override PartName="/xl/charts/chart21.xml" ContentType="application/vnd.openxmlformats-officedocument.drawingml.chart+xml"/>
  <Override PartName="/xl/charts/chart17.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7"/>
  </bookViews>
  <sheets>
    <sheet name="INDEX" sheetId="1" state="visible" r:id="rId3"/>
    <sheet name="INVOKE" sheetId="2" state="visible" r:id="rId4"/>
    <sheet name="FORM" sheetId="3" state="visible" r:id="rId5"/>
    <sheet name="PARAM" sheetId="4" state="visible" r:id="rId6"/>
    <sheet name="CALC" sheetId="5" state="visible" r:id="rId7"/>
    <sheet name="TNPE" sheetId="6" state="visible" r:id="rId8"/>
    <sheet name="LFP" sheetId="7" state="visible" r:id="rId9"/>
    <sheet name="LFPR" sheetId="8" state="visible" r:id="rId10"/>
    <sheet name="EP" sheetId="9" state="visible" r:id="rId11"/>
    <sheet name="ETPR" sheetId="10" state="visible" r:id="rId12"/>
    <sheet name="U3R" sheetId="11" state="visible" r:id="rId13"/>
    <sheet name="U3P" sheetId="12" state="visible" r:id="rId14"/>
    <sheet name="U3TPR" sheetId="13" state="visible" r:id="rId15"/>
    <sheet name="U6R" sheetId="14" state="visible" r:id="rId16"/>
    <sheet name="U6P" sheetId="15" state="visible" r:id="rId17"/>
    <sheet name="U6TPR" sheetId="16" state="visible" r:id="rId18"/>
    <sheet name="WAVG" sheetId="17" state="visible" r:id="rId19"/>
    <sheet name="WRAVG" sheetId="18" state="visible" r:id="rId20"/>
    <sheet name="AIAVG" sheetId="19" state="visible" r:id="rId21"/>
    <sheet name="AIRAVG" sheetId="20" state="visible" r:id="rId22"/>
    <sheet name="AWHW" sheetId="21" state="visible" r:id="rId23"/>
    <sheet name="FTER" sheetId="22" state="visible" r:id="rId24"/>
    <sheet name="PTER" sheetId="23" state="visible" r:id="rId25"/>
    <sheet name="JTA" sheetId="24" state="visible" r:id="rId26"/>
    <sheet name="FPPTREV" sheetId="25" state="hidden" r:id="rId27"/>
    <sheet name="EITCREF" sheetId="26" state="hidden" r:id="rId28"/>
    <sheet name="ACTCREF" sheetId="27" state="hidden" r:id="rId29"/>
    <sheet name="AOTCREF" sheetId="28" state="hidden" r:id="rId30"/>
    <sheet name="FPITREV" sheetId="29" state="hidden" r:id="rId31"/>
  </sheets>
  <definedNames>
    <definedName function="false" hidden="false" name="LSD_RID_0_AL" vbProcedure="false">#REF!</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<sst xmlns="http://schemas.openxmlformats.org/spreadsheetml/2006/main" count="5834" uniqueCount="3032">
  <si>
    <t xml:space="preserve">LSD.RID.0.AL</t>
  </si>
  <si>
    <t xml:space="preserve">Alabama Labor Statistics</t>
  </si>
  <si>
    <t xml:space="preserve">December 2025</t>
  </si>
  <si>
    <t xml:space="preserve">TID</t>
  </si>
  <si>
    <t xml:space="preserve">Title</t>
  </si>
  <si>
    <t xml:space="preserve">Month</t>
  </si>
  <si>
    <t xml:space="preserve">LSD.RID.0.AL.GLOSS</t>
  </si>
  <si>
    <t xml:space="preserve">Alabama Labor Statistic Calculations</t>
  </si>
  <si>
    <t xml:space="preserve">Calculated formulae use parameters. </t>
  </si>
  <si>
    <t xml:space="preserve">GLOID</t>
  </si>
  <si>
    <t xml:space="preserve">Glossary Name</t>
  </si>
  <si>
    <t xml:space="preserve">Definition</t>
  </si>
  <si>
    <t xml:space="preserve">0</t>
  </si>
  <si>
    <t xml:space="preserve">RID</t>
  </si>
  <si>
    <t xml:space="preserve">Region ID</t>
  </si>
  <si>
    <t xml:space="preserve">1</t>
  </si>
  <si>
    <t xml:space="preserve">DES</t>
  </si>
  <si>
    <t xml:space="preserve">Department of Economic Security</t>
  </si>
  <si>
    <t xml:space="preserve">2</t>
  </si>
  <si>
    <t xml:space="preserve">LSD</t>
  </si>
  <si>
    <t xml:space="preserve">Labor Security Division</t>
  </si>
  <si>
    <t xml:space="preserve">3</t>
  </si>
  <si>
    <t xml:space="preserve">SLIID</t>
  </si>
  <si>
    <t xml:space="preserve">State Labor Industry ID</t>
  </si>
  <si>
    <t xml:space="preserve">4</t>
  </si>
  <si>
    <t xml:space="preserve">SLIVID</t>
  </si>
  <si>
    <t xml:space="preserve">State Labor Industry Visualization ID</t>
  </si>
  <si>
    <t xml:space="preserve">5</t>
  </si>
  <si>
    <t xml:space="preserve">INVID</t>
  </si>
  <si>
    <t xml:space="preserve">Invocation ID</t>
  </si>
  <si>
    <t xml:space="preserve">6</t>
  </si>
  <si>
    <t xml:space="preserve">7</t>
  </si>
  <si>
    <t xml:space="preserve">LFP</t>
  </si>
  <si>
    <t xml:space="preserve">Labor Force Population</t>
  </si>
  <si>
    <t xml:space="preserve">8</t>
  </si>
  <si>
    <t xml:space="preserve">ETPR</t>
  </si>
  <si>
    <t xml:space="preserve">Employment-to-Population Ratio</t>
  </si>
  <si>
    <t xml:space="preserve">9</t>
  </si>
  <si>
    <t xml:space="preserve">LFPR</t>
  </si>
  <si>
    <t xml:space="preserve">Labor Force Population Rate</t>
  </si>
  <si>
    <t xml:space="preserve">10</t>
  </si>
  <si>
    <t xml:space="preserve">U3R</t>
  </si>
  <si>
    <t xml:space="preserve">Unemployment Rate</t>
  </si>
  <si>
    <t xml:space="preserve">11</t>
  </si>
  <si>
    <t xml:space="preserve">U6R</t>
  </si>
  <si>
    <t xml:space="preserve">Underemployment Rate</t>
  </si>
  <si>
    <t xml:space="preserve">12</t>
  </si>
  <si>
    <t xml:space="preserve">WAVG</t>
  </si>
  <si>
    <t xml:space="preserve">Wage Average</t>
  </si>
  <si>
    <t xml:space="preserve">13</t>
  </si>
  <si>
    <t xml:space="preserve">AIAVG</t>
  </si>
  <si>
    <t xml:space="preserve">Annual Income Average</t>
  </si>
  <si>
    <t xml:space="preserve">14</t>
  </si>
  <si>
    <t xml:space="preserve">FPITREV</t>
  </si>
  <si>
    <t xml:space="preserve">Federal Personal Income Tax Revenue</t>
  </si>
  <si>
    <t xml:space="preserve">15</t>
  </si>
  <si>
    <t xml:space="preserve">FPPTREV</t>
  </si>
  <si>
    <t xml:space="preserve">Federal Personal Payroll Tax Revenue</t>
  </si>
  <si>
    <t xml:space="preserve">16</t>
  </si>
  <si>
    <t xml:space="preserve">EITCREF</t>
  </si>
  <si>
    <t xml:space="preserve">Earned Income Tax Credit Refund</t>
  </si>
  <si>
    <t xml:space="preserve">17</t>
  </si>
  <si>
    <t xml:space="preserve">ACTCREF</t>
  </si>
  <si>
    <t xml:space="preserve">Additional Child Tax Credit Refund</t>
  </si>
  <si>
    <t xml:space="preserve">18</t>
  </si>
  <si>
    <t xml:space="preserve">AOTCREF</t>
  </si>
  <si>
    <t xml:space="preserve">American Opportunity Tax Credit Refund</t>
  </si>
  <si>
    <t xml:space="preserve">19</t>
  </si>
  <si>
    <t xml:space="preserve">EP</t>
  </si>
  <si>
    <t xml:space="preserve">Employed Population</t>
  </si>
  <si>
    <t xml:space="preserve">20</t>
  </si>
  <si>
    <t xml:space="preserve">AWHW</t>
  </si>
  <si>
    <t xml:space="preserve">Average Weekly Hours Worked</t>
  </si>
  <si>
    <t xml:space="preserve">21</t>
  </si>
  <si>
    <t xml:space="preserve">FTER</t>
  </si>
  <si>
    <t xml:space="preserve">Full-Time Employment Rate</t>
  </si>
  <si>
    <t xml:space="preserve">22</t>
  </si>
  <si>
    <t xml:space="preserve">PTER</t>
  </si>
  <si>
    <t xml:space="preserve">Part-Time Employment Rate</t>
  </si>
  <si>
    <t xml:space="preserve">23</t>
  </si>
  <si>
    <t xml:space="preserve">JTA</t>
  </si>
  <si>
    <t xml:space="preserve">Job Tenure Average</t>
  </si>
  <si>
    <t xml:space="preserve">24</t>
  </si>
  <si>
    <t xml:space="preserve">TR</t>
  </si>
  <si>
    <t xml:space="preserve">Turnover Rate</t>
  </si>
  <si>
    <t xml:space="preserve">25</t>
  </si>
  <si>
    <t xml:space="preserve">LP</t>
  </si>
  <si>
    <t xml:space="preserve">Labor Productivity</t>
  </si>
  <si>
    <t xml:space="preserve">26</t>
  </si>
  <si>
    <t xml:space="preserve">ELR</t>
  </si>
  <si>
    <t xml:space="preserve">Education Level Required</t>
  </si>
  <si>
    <t xml:space="preserve">27</t>
  </si>
  <si>
    <t xml:space="preserve">SLTR</t>
  </si>
  <si>
    <t xml:space="preserve">State/Local Tax Revenue</t>
  </si>
  <si>
    <t xml:space="preserve">28</t>
  </si>
  <si>
    <t xml:space="preserve">SSMC</t>
  </si>
  <si>
    <t xml:space="preserve">Social Security/Medicare Contributions</t>
  </si>
  <si>
    <t xml:space="preserve">29</t>
  </si>
  <si>
    <t xml:space="preserve">PAUR</t>
  </si>
  <si>
    <t xml:space="preserve">Public Assistance Usage Rate</t>
  </si>
  <si>
    <t xml:space="preserve">30</t>
  </si>
  <si>
    <t xml:space="preserve">INVOKE</t>
  </si>
  <si>
    <t xml:space="preserve">Invocations</t>
  </si>
  <si>
    <t xml:space="preserve">31</t>
  </si>
  <si>
    <t xml:space="preserve">FORM</t>
  </si>
  <si>
    <t xml:space="preserve">Formulae</t>
  </si>
  <si>
    <t xml:space="preserve">32</t>
  </si>
  <si>
    <t xml:space="preserve">PARAM</t>
  </si>
  <si>
    <t xml:space="preserve">Parameters</t>
  </si>
  <si>
    <t xml:space="preserve">33</t>
  </si>
  <si>
    <t xml:space="preserve">CALC</t>
  </si>
  <si>
    <t xml:space="preserve">Calculations</t>
  </si>
  <si>
    <t xml:space="preserve">34</t>
  </si>
  <si>
    <t xml:space="preserve">VALID</t>
  </si>
  <si>
    <t xml:space="preserve">Validations</t>
  </si>
  <si>
    <t xml:space="preserve">LSD.RID.0.AL.INVOKE</t>
  </si>
  <si>
    <t xml:space="preserve">Alabama Labor Statistic Logic Formulae</t>
  </si>
  <si>
    <t xml:space="preserve">Invocation Name</t>
  </si>
  <si>
    <t xml:space="preserve">Invocation Script</t>
  </si>
  <si>
    <t xml:space="preserve">References</t>
  </si>
  <si>
    <t xml:space="preserve">Reference Account</t>
  </si>
  <si>
    <t xml:space="preserve">Branch A</t>
  </si>
  <si>
    <t xml:space="preserve">Alabama Labor Statistic Metric Structuring, Formulation, Parameterization, Calculation, Validation</t>
  </si>
  <si>
    <t xml:space="preserve">…</t>
  </si>
  <si>
    <t xml:space="preserve">https://grok.com/share/c2hhcmQtMi1jb3B5_10de432a-b1f0-42df-82e9-fd934c99cf93</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</si>
  <si>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
The first part of this session is continuation of another session (reference INVOKE tab INVID#21). Most recently FORMulae and PARAMeters tables were recreated with refinement for group-and-sector-specific adjustment and symmetry scalars. The next step is to recreate the LFP CALC and VALID tables using the latest interdependent/independent formulae and parameters. The second part of this session is continuation of other metrics that would benefit from the same types of adjustments for LFP: https://grok.com/share/c2hhcmQtMi1jb3B5_d8ffe22f-a27e-48f7-947a-082c1e40c95c?rid=d401f5b8-0850-48cf-88f1-2de2ee5ef107 (see "Prioritized List of Metrics That Would Benefit"). 
When generating tables, remember to follow same seriali identifier format as in other similar spreadsheets and to output Labor Sectors as they appear in CALC (sans NAICS, with LSID appended to acronamed metric's table identifier). 
Prompt me to continue.</t>
  </si>
  <si>
    <t xml:space="preserve">https://grok.com/share/c2hhcmQtMi1jb3B5_f5da9be6-edd0-45c9-a22a-05af1d7a9a9a</t>
  </si>
  <si>
    <t xml:space="preserve">thomas.welborn@protonmail.com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</si>
  <si>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WAVG, AIAVG tabs are formulated, parameterized, calculated, and validated. Afterwards, further acronamed metric tabs will contain independent formulae, parameters, calculations, and data visualizations for continuing individual metrics. These tabs all utilize interdependent FORM and PARAM tabs. Further Labor Statistic Metric tabs should be recreated with "Labor Sector" rows. All Labor Statistic Metrics will be calculated for these new sector roles. All FORM and PARAM should be created for further rows using the same methodology and structure as LFP, ETPR, LFPR, U3R, U6R, WAVG, AIAVG tabs. 
First part of this session is to determine the most efficient method to store interdependent parameters. There are 100s of interdependent parameters and only a fraction for each acroname labor statistic metric. It should be easier to read the parameters through organizational structure either within the PARAM tab or possibly some stored within acronamed tabs. Prompt me to determine best method based on recommendation. 
Remainder of session is to continue creating interdependent and independent FORMulae and PARAMeters, then CALCulations and VALIDations. Prompt me between creating 1. FORMulae/PARAMeters (4 tables), CALCulations/VALIDations (2 tables). 
Reference the INVOKE tab for history of how this document was generated. </t>
  </si>
  <si>
    <t xml:space="preserve">https://grok.com/share/c2hhcmQtMi1jb3B5_2d860d8d-dcd4-4758-886d-09c3a1e51abd</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</si>
  <si>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LFPR, U3R, U6R tabs are formulated, parameterized, calculated, and validated. A new tab was recently added: TNPE. After adding new formulae and parameters for TNPE, ETPR has been recalculated for higher accuracy using TNPE. Notice INVID#19 from the INDEX tab - this session describes the refinement. The next stage of development is reformulating, reparameterizing, recalculating, and revalidating LFPR, U3R, U6R. Afterwards, further metric tabs will contain independent formulae, parameters, calculations, and data visualizations for continuing individual metrics. These tabs all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TNPE, and ETPR. Prompt me between each of these processes. </t>
  </si>
  <si>
    <t xml:space="preserve">https://grok.com/share/c2hhcmQtMg_3cc296a1-e835-415a-a5e3-2e4d0c1d3f7e</t>
  </si>
  <si>
    <t xml:space="preserve">thomas.tom.welborn@gmail.com</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</si>
  <si>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ETPR, and LFPR tabs are formulated, parameterized, calculated, and validated. Further metric tabs will contain independent formulae, parameters, calculations, and data visualizations for continuing individualmetrics. These tabs utilize FORM and PARAM tabs. Further Labor Statistic Metric tabs should be recreated with "Labor Sector" rows. All Labor Statistic Metrics will be calculated for these new sector roles. The sectors are no longer separated into "Worker" and "Support" roles. Some prior labor industry roles are consolidated under the same Labor Sector, while others are reclassified. All FORM and PARAM should be created for further rows using the same methodology and structure as LFP, ETPR, and LFPR. Afterwards the LSD CALC table should be recalculated and revalidated. Prompt me between each of these processes. </t>
  </si>
  <si>
    <t xml:space="preserve">https://grok.com/share/bGVnYWN5LWNvcHk_fd803a63-3028-4b3f-bacd-7db4339a51ab</t>
  </si>
  <si>
    <t xml:space="preserve">thomas.patrick.welborn@outlook.com</t>
  </si>
  <si>
    <t xml:space="preserve">Alabama Labor Statistic Restructuring, Reformulation, Reparameterization, Recalculation, Revalidation</t>
  </si>
  <si>
    <t xml:space="preserve">Consider the attached spreadsheet containing U.S. Labor Statistics for Alabama. This is a draft document. Notice the FORM tab containing formulae and PARAM tab containing parameters that are used for interdependent Labor Statistic Metric calculations. Notice the CALC tab - which should be ignored except for column/row header reference throughout this session - this tab is transforming into referential aggregate of labor statistic metrics in later tabs. Notice the LFP tab (visible) and further tabs (invisble). These metric tabs will contain independent formulae, parameters, calculations, and data visualizations for individual metrics. These tabs utilize FORM and PARAM tabs. The current FORM, PARAM, and LFP tabs should all be recreated under different conditions. The new conditions are "Labor Industry" rows now renamed to "Labor Sector". All Labor Statistic Metrics will be calculated for these new sectors. The sectors are no longer separated into "Worker" and "Support" roles. Some prior labor industry roles are consolidated under the same Labor Sector, while others are reclassified. All FORM and PARAM should be recreated to account for the latest draft of the spreadsheet. Afterwards the LFP FORM and PARAM tables should be recreated. Afterwards the LSD CALC table should be recalculated and revalidated. Prompt me between each of these processes. </t>
  </si>
  <si>
    <t xml:space="preserve">https://grok.com/share/c2hhcmQtMi1jb3B5_33501073-ae00-4446-8e51-279c74b55fcf</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</si>
  <si>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This session is to calculate and validate Alabama Labor Statistics from the latest FORMulae and PARAMeters. Calculations should be performed 10 rows at a time, outputing the row and column order with filled cell values according the ordered structure in the CALCulations tab. Because calculations are process-intensive, only output 10 rows at a time in TSV format and prompt me to continue. Ignore all tabs following VALID - these are derived references from the master CALC table for data visualization and analysis purposes. </t>
  </si>
  <si>
    <t xml:space="preserve">https://grok.com/share/c2hhcmQtMg_8a6c55cf-c52f-43cb-9da8-0d7b62885ba7</t>
  </si>
  <si>
    <t xml:space="preserve">Alabama Labor Statistic Reformulation, Reparameterization, Recalculation Through Restructuring</t>
  </si>
  <si>
    <t xml:space="preserve">Consider the attached spreadsheet containing U.S. Labor Statistic Formulae, Parameters, and Calculations for the state of Alabama. Notice the drafted INDEX table containing various references for the remaining tabs. The purpose of this session is to restructure tabs: 
- FORMulae and PARAMeters for **interdependent** labor statistic calculations will remain in FORM. 
- FORMulae and PARAMeters for **independent** labor statistic metrics and measures should be isolated and will be copy-pasted into correspective metric tabs. 
- FORMulae and PARAMeters restructuring should include refinement such as additions, editions. 
- FORMulae and PARAMeters should have correlated identifiers in the format of the metric's acronym, followed by a single "." character (period), follwed by an index number (starting with 0) - such as LFP.0, LFP.1, etc. 
- FORMulae and PARAMeters should follow same column structure. 
All output should be performed metric-by-metric - with the exception of the shared FORMulae and PARAMeters, which should be created first. While revising or restructuring FORMulae and PARAMeters if there are additional/editional **shared** FORMulae and PARAMeters, then the tabular data should be generated so that it may be copy-pasted during the process. Prompt to continue. </t>
  </si>
  <si>
    <t xml:space="preserve">https://grok.com/share/c2hhcmQtMi1jb3B5_b42b6690-ea62-4ca7-8092-8da4e8765ff9</t>
  </si>
  <si>
    <t xml:space="preserve">Alabama Labor Statistics Formulae, Parameter, Calculation Refinement Session</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</si>
  <si>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
</t>
  </si>
  <si>
    <t xml:space="preserve">https://grok.com/share/c2hhcmQtMi1jb3B5_3d42fed3-3e96-4239-9e2f-0193ac9134fa</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</si>
  <si>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VALID tab describes latest CALCulation validation. Further tabs are references to CALC table for measure-specific data visualization and analysis purposes. The current state of drafting is refinement of calculations using exhaustive formulae and parameters tables. Notice that previous states of drafting are references on the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FORM, PARAM, and CALC table creation must use the same column/row headers as in LSD.RID.0.AL spreadsheet. When performing calculations or considering spreadsheet content, ignore all tabs after CALC - these tabs are CALC references. Prompt me to continue with next segue.</t>
  </si>
  <si>
    <t xml:space="preserve">https://grok.com/share/c2hhcmQtMi1jb3B5_05a1dd6b-e942-4559-ba6a-f3b1f2ab03fe</t>
  </si>
  <si>
    <t xml:space="preserve">https://grok.com/share/c2hhcmQtMi1jb3B5_38c5a765-74c2-4109-9029-b59b07945946</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</si>
  <si>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prior Grok sessions. 
When generating content follow these rules: output must be in `tsv` format that is copy-pasteable as an formatted, embedded table; long output must be truncated by grouped sequences that optimize Grok's performance. When performing calculations or considering spreadsheet content, ignore all tabs after `CALC` - these tabs are CALC references. 
Prompt me to continue. </t>
  </si>
  <si>
    <t xml:space="preserve">https://grok.com/share/c2hhcmQtMg_4d848e26-26c7-4725-849f-6a1a29e77d95</t>
  </si>
  <si>
    <t xml:space="preserve">https://grok.com/share/bGVnYWN5LWNvcHk_5cd45c1a-a286-44d3-94ef-a0cf30f63a73</t>
  </si>
  <si>
    <t xml:space="preserve">The calculations for some metric measurements should be refined through formuale and parameters to become more specific and differentiated between each other (realistic organic representations of estimates). Consider the following example calculation refinement scenarios, then describe how to further refine these for accuracy: 
**Refinement A**  
- Notice the U3R tab, which (CALC derivative): the "Unemployment Rate" and "Authorized Unemployment Rate" Measurements mirror each other, even though the "Unemployment Rate" refers to overall unemployment rate comprised of "Unauthorized Unemployment Rate", "Authorized Unemployment Rate", and "American Unemployment Rate"; measurements should only mirror each other when accurate or accurately estimated values are recorded; 
Recreate formulae and parameters that calculate any measurements that resemble this. 
**Refinement B**  </t>
  </si>
  <si>
    <t xml:space="preserve">Alabama Labor Statistics Calculation Session</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</si>
  <si>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t>
  </si>
  <si>
    <t xml:space="preserve">https://grok.com/share/c2hhcmQtMg_31b2cba9-0fd7-4cb0-a163-e11fe3df530b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</si>
  <si>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This is a continuation of another similar session that was interrupted due to session token limits. During the last session machine prompted to refine formulae after already refining PARAM. This session should start by continuing the last session (INVID#7) from it's reference. Prompt me to continue.
</t>
  </si>
  <si>
    <t xml:space="preserve">https://grok.com/share/bGVnYWN5LWNvcHk_316f106c-153c-4f0b-829f-7a8355ecb81b</t>
  </si>
  <si>
    <t xml:space="preserve">Consider the attached spreadsheet containing U.S. Labor Statistic Formulae, Parameters, and Calculations for the state of Alabama. Notice the drafted INDEX table containing various references for the remaining tabs. The `FORM` tab contains formulae describing Alabama Labor Statistic Calculations; the `PARAM` tab contains parameters used by `FORM`ulae to calculate Alabama Labor Statistics; the `CALC` tab contains labor statistic calculations. 
This session is to perform calulcations from existing formulae and parameters from prior sessions, then to validate the table for accuracy. This session may also include refinements to `FORM`  and  `PARAM` tabs for more accurate estimations or calculations. 
Because of large volume of calculations all labor statistic calculations, formulae, and parameter output must be done in sections of rows, prompting me to continue between row generation. All output should be in TSV format. It should not be truncated unless specified. 
Prompt me to continue. </t>
  </si>
  <si>
    <t xml:space="preserve">Alabama Labor Statistics Formulae</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</si>
  <si>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FORM rows are being added to consume the comprehensive PARAM (parameters) – a continuation of INDEX tab INVID#5 session.  Continue generating formulae to support all metric calculations using parameters. Create 20 rowed entries before prompting me to continue to next 20. Ask me questions to clarify either instructions herein or inability to reference materials or accomplish task as intended.
</t>
  </si>
  <si>
    <t xml:space="preserve">https://grok.com/share/c2hhcmQtMi1jb3B5_9a9978e6-49f9-41d5-9b57-896863210d16</t>
  </si>
  <si>
    <t xml:space="preserve">Expand Labor Statistic Metric Formulae And Parameters</t>
  </si>
  <si>
    <t xml:space="preserve">Consider the attached spreadsheet containing U.S. Labor Statistics for Alabama. This is a draft document in partial state of completion. Notice the FORM tab containing formulae and PARAM tab containing parameters that combined calculate CALC table: Alabama Labor Statistics. Further tabs are references to CALC table for data visualization and analysis purposes.
The current state of drafting is refinement of calculations using exhaustive formulae and parameters tables. Notice that previous states of drafting are references on the (incomplete) INDEX tab. There are over 30 Metrics and more submetrics in the CALC.
This session will continue another session from another Grok account. Currently PARAM rows are being added to support all of the formulae – a continuation of INDEX tab INVID#4 session.
Continue generating parameters to support all formulae calculations for remaining metrics. Parametered values should continue to be categorized with row headers. Create 50 rowed entries before prompting me to continue to next 50. Ask me questions to clarify either instructions herein or inability to reference materials or accomplish task as intended.</t>
  </si>
  <si>
    <t xml:space="preserve">https://grok.com/share/c2hhcmQtMg_16f7a2a6-b28c-45ad-bac9-7243cbefac56</t>
  </si>
  <si>
    <t xml:space="preserve">Expand Labor Metrics and Industry Roles</t>
  </si>
  <si>
    <t xml:space="preserve">N/A</t>
  </si>
  <si>
    <t xml:space="preserve">https://grok.com/share/bGVnYWN5LWNvcHk_9ffcfa10-bc66-492d-b499-a56dc57d6238</t>
  </si>
  <si>
    <t xml:space="preserve">Alabama, Arkansas, Florida Labor Statistics Formulae, Parameters, Calculations</t>
  </si>
  <si>
    <t xml:space="preserve">https://grok.com/share/c2hhcmQtMi1jb3B5_e3140b59-169a-487d-9539-b52e3cb64dad</t>
  </si>
  <si>
    <t xml:space="preserve">Alabama, Arkansas Labor Statistics Calculations</t>
  </si>
  <si>
    <t xml:space="preserve">This session's purpose is to calculate labor statistics for individual states in a region. Each state's labor stastic calculations will be performed independently and using predefined formulae. Output should be in copy-pasteable `TSV` format. `LSD.RID.0` spreadsheet details formulae and parameters required for calculations of regionalized state labor statistics. `RID.*` spreadsheets are comprised of individual state tabs with primary tables of performed calculations, then altertables in each state's tab remain references to primary table. 
All tables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</si>
  <si>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https://grok.com/share/c2hhcmQtMg_d3d49fd1-59fe-445a-b9c5-74ad95e6913d</t>
  </si>
  <si>
    <t xml:space="preserve">Arkansas Labor Statistics Calculations</t>
  </si>
  <si>
    <t xml:space="preserve">This session's purpose is to calculate labor statistics for each state in a region. Each state's labor stastic calculations will be performed independently and using predefined formulae. Output should be in copy-pasteable `TSV` format. `LSD.RID.0ERENCE` spreadsheet details `FORMULAE.REGION` and `FORMULAE.STATE` calculations for regionalized states, as well as other parameterized tabs referenced by formulae. Formulae tabs are pseudocode and require calculations performed as machine instructions. `RID.0` is comprised of individual state tabs with primary tables of performed calculations, then altertables in each state's tab remain references to primary table. 
All table in the spreadsheet should be calculated with latest formulae and parameters from spreadsheet. When requested during this session calculate a specified state's labor statistics. Afterward validate the calculated table against alter public sources.  Prompt me to continue. </t>
  </si>
  <si>
    <t xml:space="preserve">https://grok.com/share/c2hhcmQtMg_05f8d4b3-2d59-4349-93d9-6c5bafa3bacd</t>
  </si>
  <si>
    <t xml:space="preserve">Alabama Labor Statistics Calculations</t>
  </si>
  <si>
    <t xml:space="preserve">https://grok.com/share/c2hhcmQtMg_9fc2e9b2-bc97-4724-b16d-fc3d1e8312f2</t>
  </si>
  <si>
    <t xml:space="preserve">LSD.RID.0.AL.FORM</t>
  </si>
  <si>
    <t xml:space="preserve">Alabama Labor Statistic Logic Interdependent Formulae</t>
  </si>
  <si>
    <t xml:space="preserve">December, 2025</t>
  </si>
  <si>
    <t xml:space="preserve">ID</t>
  </si>
  <si>
    <t xml:space="preserve">Category</t>
  </si>
  <si>
    <t xml:space="preserve">Name</t>
  </si>
  <si>
    <t xml:space="preserve">Formula</t>
  </si>
  <si>
    <t xml:space="preserve">Description</t>
  </si>
  <si>
    <t xml:space="preserve">Notes/Edits</t>
  </si>
  <si>
    <t xml:space="preserve">LSD.RID.0.AL.FORM.S0</t>
  </si>
  <si>
    <t xml:space="preserve">Shared/Base Interdependent Formulae</t>
  </si>
  <si>
    <t xml:space="preserve">LSD.RID.0.AL.FORM.S0.0</t>
  </si>
  <si>
    <t xml:space="preserve">S0 - Shared/Base</t>
  </si>
  <si>
    <t xml:space="preserve">Sector Employment Total</t>
  </si>
  <si>
    <t xml:space="preserve">T_i = PARAMETERS!SECTOR_EMPLOYMENT_BASE[i] + PARAMETERS!ADJUSTMENT_FACTOR_SEC[i] + IF(PARAMETERS!VARIANCE_CHECK_SEC[i] &gt; PARAMETERS!MIN_VARIANCE_TARGET, RECONCILE_SOURCES(i), 0)</t>
  </si>
  <si>
    <t xml:space="preserve">BLS CES base + adjustment + variance-based reconciliation; iterative if variance high</t>
  </si>
  <si>
    <t xml:space="preserve">Enhanced with feedback loop; incorporates data fusion for sparse sectors (mining, etc.)</t>
  </si>
  <si>
    <t xml:space="preserve">LSD.RID.0.AL.FORM.S0.1</t>
  </si>
  <si>
    <t xml:space="preserve">Population Share Proration (Auth/Unauth/American)</t>
  </si>
  <si>
    <t xml:space="preserve">AUTH_SHARE_i = PARAMETERS!AUTH_IMMIGRANT_SHARE_SEC[i] / (PARAMETERS!AUTH_IMMIGRANT_SHARE_SEC[i] + PARAMETERS!UNAUTH_IMMIGRANT_SHARE_SEC[i] + 1); UNAUTH_SHARE_i = PARAMETERS!UNAUTH_IMMIGRANT_SHARE_SEC[i] / (...) ; AMER_SHARE_i = 1 - AUTH_SHARE_i - UNAUTH_SHARE_i</t>
  </si>
  <si>
    <t xml:space="preserve">Prorates civilian population shares across groups per sector; caps unauthorized at PARAMETERS!UNAUTH_IMMIGRANT_CAP</t>
  </si>
  <si>
    <t xml:space="preserve">Updated to use compressed PARAM arrays</t>
  </si>
  <si>
    <t xml:space="preserve">LSD.RID.0.AL.FORM.S0.2</t>
  </si>
  <si>
    <t xml:space="preserve">Weighted Source Reconciliation</t>
  </si>
  <si>
    <t xml:space="preserve">RECONCILE_SOURCES(i) = WEIGHTED_AVG(BLS_i, ACS_i, MPI_i, WEIGHTS = [PARAMETERS!ACCURACY_BLS, PARAMETERS!ACCURACY_ACS, PARAMETERS!ACCURACY_MPI])</t>
  </si>
  <si>
    <t xml:space="preserve">Data fusion when variance exceeds threshold; dynamic weights based on source confidence</t>
  </si>
  <si>
    <t xml:space="preserve">Core shared reconciliation logic</t>
  </si>
  <si>
    <t xml:space="preserve">LSD.RID.0.AL.FORM.S0.3</t>
  </si>
  <si>
    <t xml:space="preserve">Group Asymmetry Adjustment</t>
  </si>
  <si>
    <t xml:space="preserve">GROUP_ADJ = PARAMETERS!ASYMMETRY_FACTOR_GROUP * PRODUCT(PARAMETERS!SECTOR_ASYMMETRY_FACTOR_GROUP[i] for i in relevant sectors)</t>
  </si>
  <si>
    <t xml:space="preserve">Group-level asymmetry (higher for unauthorized in manual sectors)</t>
  </si>
  <si>
    <t xml:space="preserve">Used across LFP/ETPR/LFPR/U3R/U6R</t>
  </si>
  <si>
    <t xml:space="preserve">LSD.RID.0.AL.FORM.S0.4</t>
  </si>
  <si>
    <t xml:space="preserve">Iterative Calibration Loop</t>
  </si>
  <si>
    <t xml:space="preserve">WHILE ABS(CURRENT_AGG - TARGET_AGG) &gt; PARAMETERS!CALIB_TOLERANCE AND ITER &lt; MAX_ITER: RESCALE_BY_FACTOR( (TARGET_AGG / CURRENT_AGG)^(1/INTERDEPEND_FACTOR) ); ITER += 1</t>
  </si>
  <si>
    <t xml:space="preserve">Shared iterative rescaling for aggregate consistency (LFP, ETPR, etc.)</t>
  </si>
  <si>
    <t xml:space="preserve">Applies to all metrics with public targets</t>
  </si>
  <si>
    <t xml:space="preserve">LSD.RID.0.AL.FORM.S0.5</t>
  </si>
  <si>
    <t xml:space="preserve">Cross-Metric Linkage Adjustment</t>
  </si>
  <si>
    <t xml:space="preserve">ADJUST_METRIC(M) = M * (1 + PARAMETERS!INTERDEPEND_FACTOR_LFP_U3R * (1 - ETPR_OVERALL / PARAMETERS!ETPR_PUBLIC_TARGET)) + ...</t>
  </si>
  <si>
    <t xml:space="preserve">Applies linkage strength between LFP ↔ U3R ↔ ETPR ↔ LFPR</t>
  </si>
  <si>
    <t xml:space="preserve">Core interdependency engine; extendable to new metrics</t>
  </si>
  <si>
    <t xml:space="preserve">LSD.RID.0.AL.FORM.S0.6</t>
  </si>
  <si>
    <t xml:space="preserve">Group Variance Check</t>
  </si>
  <si>
    <t xml:space="preserve">VAR_CHECK_i = ABS(GROUP_i - MEAN_GROUP) / PARAMETERS!GROUP_VARIANCE[i]; IF VAR_CHECK_i &gt; 1.5 THEN APPLY_PENALTY(0.92)</t>
  </si>
  <si>
    <t xml:space="preserve">Detects and soft-corrects extreme group deviations per sector</t>
  </si>
  <si>
    <t xml:space="preserve">Shared variance control</t>
  </si>
  <si>
    <t xml:space="preserve">LSD.RID.0.AL.FORM.S0.7</t>
  </si>
  <si>
    <t xml:space="preserve">Unauthorized Boost Application</t>
  </si>
  <si>
    <t xml:space="preserve">BOOSTED_VALUE_i = VALUE_i * (1 + PARAMETERS!UNAUTH_BOOST_SEC[i])</t>
  </si>
  <si>
    <t xml:space="preserve">Applies sector-specific unauthorized boost to LFP, ETPR, U3R, etc.</t>
  </si>
  <si>
    <t xml:space="preserve">High in ag/constr/hosp; matches MPI/ACS patterns</t>
  </si>
  <si>
    <t xml:space="preserve">LSD.RID.0.AL.FORM.S0.8</t>
  </si>
  <si>
    <t xml:space="preserve">Authorized Premium Application</t>
  </si>
  <si>
    <t xml:space="preserve">PREMIUM_VALUE_i = VALUE_i * (1 + PARAMETERS!AUTH_IMMIGRANT_ETPR_ADJ_FACTOR - 1)</t>
  </si>
  <si>
    <t xml:space="preserve">Modest authorized premium across metrics</t>
  </si>
  <si>
    <t xml:space="preserve">Lower magnitude than unauthorized boost</t>
  </si>
  <si>
    <t xml:space="preserve">LSD.RID.0.AL.FORM.S0.9</t>
  </si>
  <si>
    <t xml:space="preserve">Fusion Threshold Check</t>
  </si>
  <si>
    <t xml:space="preserve">IF ABS(SOURCE_A - SOURCE_B) / MEAN &gt; PARAMETERS!FUSION_THRESHOLD THEN WEIGHTED_FUSION(SOURCE_A, SOURCE_B, DYNAMIC_WEIGHT(CONFIDENCE_A, CONFIDENCE_B)) ELSE SOURCE_A</t>
  </si>
  <si>
    <t xml:space="preserve">Triggers reconciliation only when divergence is meaningful</t>
  </si>
  <si>
    <t xml:space="preserve">Used in ETPR, U3R, WAVG, FPITREV, etc.</t>
  </si>
  <si>
    <t xml:space="preserve">LSD.RID.0.AL.FORM.S0.10</t>
  </si>
  <si>
    <t xml:space="preserve">TNPE-Weighted Aggregation</t>
  </si>
  <si>
    <t xml:space="preserve">AGG_VALUE = SUM(VALUE_i * PARAMETERS!TNPE_SHARES_SEC[i] for i=1 to 23) / SUM(TNPE_SHARES_SEC)</t>
  </si>
  <si>
    <t xml:space="preserve">Weighted average using TNPE sector shares</t>
  </si>
  <si>
    <t xml:space="preserve">Core for overall rates and aggregates</t>
  </si>
  <si>
    <t xml:space="preserve">LSD.RID.0.AL.FORM.S1</t>
  </si>
  <si>
    <t xml:space="preserve">Shared LFP/ETPR/LFPR Linkage</t>
  </si>
  <si>
    <t xml:space="preserve">LSD.RID.0.AL.FORM.S1.0</t>
  </si>
  <si>
    <t xml:space="preserve">Shared</t>
  </si>
  <si>
    <t xml:space="preserve">Shared Iterative Calibration (group)</t>
  </si>
  <si>
    <t xml:space="preserve">WHILE ABS(ANY_METRIC - TARGET) &gt; CALIB_TOLERANCE: RESCALE_BY_FACTOR( (TARGET / CURRENT) ^ (1 / INTERDEPEND_FACTOR) )</t>
  </si>
  <si>
    <t xml:space="preserve">Shared calibration loop used by LFP, ETPR, LFPR</t>
  </si>
  <si>
    <t xml:space="preserve">Unchanged — core linkage</t>
  </si>
  <si>
    <t xml:space="preserve">LSD.RID.0.AL.FORM.S1.1</t>
  </si>
  <si>
    <t xml:space="preserve">Reconciliation Trigger</t>
  </si>
  <si>
    <t xml:space="preserve">IF ABS(CALC - SOURCE) / MEAN &gt; FUSION_THRESHOLD THEN WEIGHTED_FUSION(CALC, SOURCE, CONFIDENCE)</t>
  </si>
  <si>
    <t xml:space="preserve">Shared fusion logic across all three metrics</t>
  </si>
  <si>
    <t xml:space="preserve">Unchanged</t>
  </si>
  <si>
    <t xml:space="preserve">LSD.RID.0.AL.FORM.S1.2</t>
  </si>
  <si>
    <t xml:space="preserve">ETPR ≈ LFPR × (EP / LFP)</t>
  </si>
  <si>
    <t xml:space="preserve">ETPR_OVERALL ≈ LFPR_OVERALL * (EP_OVERALL / LFP_OVERALL)</t>
  </si>
  <si>
    <t xml:space="preserve">Mathematical identity / cross-check</t>
  </si>
  <si>
    <t xml:space="preserve">Unchanged — enforces consistency</t>
  </si>
  <si>
    <t xml:space="preserve">LSD.RID.0.AL.FORM.S1.3</t>
  </si>
  <si>
    <t xml:space="preserve">LFPR-ETPR Cross-Link Strength</t>
  </si>
  <si>
    <t xml:space="preserve">LFPR_ETPR_LINK_FACTOR = 0.88</t>
  </si>
  <si>
    <t xml:space="preserve">Cross-metric linkage strength</t>
  </si>
  <si>
    <t xml:space="preserve">LSD.RID.0.AL.FORM.S1a</t>
  </si>
  <si>
    <t xml:space="preserve">LFP-Specific Formulae</t>
  </si>
  <si>
    <t xml:space="preserve">LSD.RID.0.AL.FORM.S1a.0</t>
  </si>
  <si>
    <t xml:space="preserve">S1a - LFP</t>
  </si>
  <si>
    <t xml:space="preserve">LFP Base Derivation</t>
  </si>
  <si>
    <t xml:space="preserve">LFP_g_i = CIV_POP_g_i * LFPR_g_i * (1 + IF(g="UNAUTH", PARAMETERS!UNAUTH_BOOST_SEC[i] * 0.92, IF(g="AUTH", PARAMETERS!AUTH_IMMIGRANT_ETPR_ADJ_FACTOR - 1, 0)))</t>
  </si>
  <si>
    <t xml:space="preserve">Labor Force Population per group and sector</t>
  </si>
  <si>
    <t xml:space="preserve">Original LFP derivation preserved</t>
  </si>
  <si>
    <t xml:space="preserve">LSD.RID.0.AL.FORM.S1a.1</t>
  </si>
  <si>
    <t xml:space="preserve">LFP Group Adjustment</t>
  </si>
  <si>
    <t xml:space="preserve">LFP_UNAUTH_i *= (1 + PARAMETERS!LFP_UNAUTH_ASYMM_SEC[i]); APPLY_POP_ADJ(PARAMETERS!UNAUTH_POP_ADJ_SEC[i])</t>
  </si>
  <si>
    <t xml:space="preserve">Applies unauthorized asymmetry + population adjustment</t>
  </si>
  <si>
    <t xml:space="preserve">Refinement #1 and #2</t>
  </si>
  <si>
    <t xml:space="preserve">LSD.RID.0.AL.FORM.S1b</t>
  </si>
  <si>
    <t xml:space="preserve">ETPR-Specific Formulae</t>
  </si>
  <si>
    <t xml:space="preserve">LSD.RID.0.AL.FORM.S1b.0</t>
  </si>
  <si>
    <t xml:space="preserve">S1b - ETPR</t>
  </si>
  <si>
    <t xml:space="preserve">ETPR Base Derivation</t>
  </si>
  <si>
    <t xml:space="preserve">ETPR_g_i = EP_g_i / CIV_POP_g_i</t>
  </si>
  <si>
    <t xml:space="preserve">Employment-to-Population Ratio per group and sector</t>
  </si>
  <si>
    <t xml:space="preserve">Original ETPR derivation</t>
  </si>
  <si>
    <t xml:space="preserve">LSD.RID.0.AL.FORM.S1b.1</t>
  </si>
  <si>
    <t xml:space="preserve">ETPR Group Adjustment</t>
  </si>
  <si>
    <t xml:space="preserve">ETPR_UNAUTH_i *= (1 + PARAMETERS!ETPR_UNAUTH_ASYMM_SEC[i]); APPLY_POP_ADJ(PARAMETERS!UNAUTH_POP_ADJ_SEC[i])</t>
  </si>
  <si>
    <t xml:space="preserve">Applies unauthorized asymmetry scalar + group-specific population adjustment</t>
  </si>
  <si>
    <t xml:space="preserve">LSD.RID.0.AL.FORM.S1b.2</t>
  </si>
  <si>
    <t xml:space="preserve">ETPR Sector Adjustment</t>
  </si>
  <si>
    <t xml:space="preserve">ETPR_g_i *= PARAMETERS!ETPR_ADJ_SEC[i]</t>
  </si>
  <si>
    <t xml:space="preserve">Widened sector-specific tilt</t>
  </si>
  <si>
    <t xml:space="preserve">Refinement #3</t>
  </si>
  <si>
    <t xml:space="preserve">LSD.RID.0.AL.FORM.S1b.3</t>
  </si>
  <si>
    <t xml:space="preserve">ETPR Reconciliation Application</t>
  </si>
  <si>
    <t xml:space="preserve">References FORM.S1.1</t>
  </si>
  <si>
    <t xml:space="preserve">Applies ETPR fusion with BLS LAUS weighting</t>
  </si>
  <si>
    <t xml:space="preserve">Local ref</t>
  </si>
  <si>
    <t xml:space="preserve">LSD.RID.0.AL.FORM.S1b.4</t>
  </si>
  <si>
    <t xml:space="preserve">Overall ETPR Aggregation</t>
  </si>
  <si>
    <t xml:space="preserve">References FORM.S1.2</t>
  </si>
  <si>
    <t xml:space="preserve">Computes sector totals and statewide weighted aggregate</t>
  </si>
  <si>
    <t xml:space="preserve">LSD.RID.0.AL.FORM.S1c</t>
  </si>
  <si>
    <t xml:space="preserve">LFPR-Specific Formulae</t>
  </si>
  <si>
    <t xml:space="preserve">LSD.RID.0.AL.FORM.S1c.0</t>
  </si>
  <si>
    <t xml:space="preserve">S1c - LFPR</t>
  </si>
  <si>
    <t xml:space="preserve">LFPR Base Derivation</t>
  </si>
  <si>
    <t xml:space="preserve">LFPR_g_i = LFP_g_i / CIV_POP_g_i * (1 + PARAMETERS!LFPR_ADJ_SEC[i])</t>
  </si>
  <si>
    <t xml:space="preserve">Labor Force Participation Rate per group and sector</t>
  </si>
  <si>
    <t xml:space="preserve">Original LFPR derivation</t>
  </si>
  <si>
    <t xml:space="preserve">LSD.RID.0.AL.FORM.S1c.1</t>
  </si>
  <si>
    <t xml:space="preserve">LFPR Group Adjustment</t>
  </si>
  <si>
    <t xml:space="preserve">LFPR_UNAUTH_i *= (1 + PARAMETERS!LFPR_UNAUTH_ASYMM_SEC[i]); APPLY_POP_ADJ(PARAMETERS!UNAUTH_POP_ADJ_SEC[i])</t>
  </si>
  <si>
    <t xml:space="preserve">LSD.RID.0.AL.FORM.S1c.2</t>
  </si>
  <si>
    <t xml:space="preserve">LFPR Sector Adjustment</t>
  </si>
  <si>
    <t xml:space="preserve">LFPR_g_i *= PARAMETERS!LFPR_ADJ_SEC[i]</t>
  </si>
  <si>
    <t xml:space="preserve">LSD.RID.0.AL.FORM.S2 - Shared U3R/U6R Linkage</t>
  </si>
  <si>
    <t xml:space="preserve">U3R/U6R Interdependent Formulae</t>
  </si>
  <si>
    <t xml:space="preserve">LSD.RID.0.AL.FORM.S2.0</t>
  </si>
  <si>
    <t xml:space="preserve">WHILE ABS(ANY_METRIC - TARGET) &gt; CALIB_TOLERANCE: RESCALE_BY_FACTOR(…)</t>
  </si>
  <si>
    <t xml:space="preserve">Shared calibration loop used by U3R and U6R</t>
  </si>
  <si>
    <t xml:space="preserve">LSD.RID.0.AL.FORM.S2.1</t>
  </si>
  <si>
    <t xml:space="preserve">Shared fusion logic</t>
  </si>
  <si>
    <t xml:space="preserve">LSD.RID.0.AL.FORM.S2.2</t>
  </si>
  <si>
    <t xml:space="preserve">U3R → U6R Link Strength</t>
  </si>
  <si>
    <t xml:space="preserve">U6R ≈ U3R + slack_factor * (PART_TIME_ECON / LFP)</t>
  </si>
  <si>
    <t xml:space="preserve">Cross-metric identity / check</t>
  </si>
  <si>
    <t xml:space="preserve">LSD.RID.0.AL.FORM.S2.3</t>
  </si>
  <si>
    <t xml:space="preserve">Shared U3R/U6R Fusion Weight</t>
  </si>
  <si>
    <t xml:space="preserve">Common fusion weight (BLS/ACS)</t>
  </si>
  <si>
    <t xml:space="preserve">LSD.RID.0.AL.FORM.S2a - U3R-Specific Formulae</t>
  </si>
  <si>
    <t xml:space="preserve">LSD.RID.0.AL.FORM.S2a.0</t>
  </si>
  <si>
    <t xml:space="preserve">S2a - U3R</t>
  </si>
  <si>
    <t xml:space="preserve">U3R Base Derivation</t>
  </si>
  <si>
    <t xml:space="preserve">U3R_g_i = (LFP_g_i - EP_g_i) / LFP_g_i; U3R_OVERALL = 1 - ETPR_OVERALL</t>
  </si>
  <si>
    <t xml:space="preserve">Unemployment Rate per group and sector</t>
  </si>
  <si>
    <t xml:space="preserve">Original + refinements applied</t>
  </si>
  <si>
    <t xml:space="preserve">LSD.RID.0.AL.FORM.S2a.1</t>
  </si>
  <si>
    <t xml:space="preserve">U3R Group Adjustment</t>
  </si>
  <si>
    <t xml:space="preserve">U3R_UNAUTH_i *= (1 + PARAMETERS!U3R_UNAUTH_ASYMM_SEC[i]); APPLY_POP_ADJ(PARAMETERS!UNAUTH_POP_ADJ_SEC[i])</t>
  </si>
  <si>
    <t xml:space="preserve">Applies unauthorized asymmetry + pop adjustment</t>
  </si>
  <si>
    <t xml:space="preserve">LSD.RID.0.AL.FORM.S2a.2</t>
  </si>
  <si>
    <t xml:space="preserve">U3R Sector Adjustment</t>
  </si>
  <si>
    <t xml:space="preserve">U3R_g_i *= PARAMETERS!U3R_ADJ_SEC[i]</t>
  </si>
  <si>
    <t xml:space="preserve">LSD.RID.0.AL.FORM.S2b - U6R-Specific Formulae</t>
  </si>
  <si>
    <t xml:space="preserve">LSD.RID.0.AL.FORM.S2b.0</t>
  </si>
  <si>
    <t xml:space="preserve">S2b - U6R</t>
  </si>
  <si>
    <t xml:space="preserve">U6R Base Derivation</t>
  </si>
  <si>
    <t xml:space="preserve">U6R_g_i = U3R_g_i + PARAMETERS!U6R_MULTIPLIER_SEC[i] * (PART_TIME_ECON_g_i / LFP_g_i); U6R_OVERALL = weighted avg</t>
  </si>
  <si>
    <t xml:space="preserve">Underemployment Rate per group and sector</t>
  </si>
  <si>
    <t xml:space="preserve">LSD.RID.0.AL.FORM.S2b.1</t>
  </si>
  <si>
    <t xml:space="preserve">U6R Group Adjustment</t>
  </si>
  <si>
    <t xml:space="preserve">U6R_UNAUTH_i *= (1 + PARAMETERS!U6R_UNAUTH_ASYMM_SEC[i]); APPLY_POP_ADJ(PARAMETERS!UNAUTH_POP_ADJ_SEC[i])</t>
  </si>
  <si>
    <t xml:space="preserve">LSD.RID.0.AL.FORM.S2b.2</t>
  </si>
  <si>
    <t xml:space="preserve">U6R Sector Adjustment</t>
  </si>
  <si>
    <t xml:space="preserve">U6R_g_i *= PARAMETERS!U6R_ADJ_SEC[i]</t>
  </si>
  <si>
    <t xml:space="preserve">LSD.RID.0.AL.FORM.S3 - Shared WAVG/AIAVG Linkage</t>
  </si>
  <si>
    <t xml:space="preserve">WAVG/AIAVG Interdependent Formulae</t>
  </si>
  <si>
    <t xml:space="preserve">LSD.RID.0.AL.FORM.S3.0</t>
  </si>
  <si>
    <t xml:space="preserve">Shared Reconciliation &amp; Fusion</t>
  </si>
  <si>
    <t xml:space="preserve">IF ABS(CALC - BLS_OES[i]) / MEAN &gt; THRESHOLD THEN WEIGHTED_FUSION(CALC, BLS_OES, SOURCE_CONFIDENCE)</t>
  </si>
  <si>
    <t xml:space="preserve">Shared fusion logic between WAVG and official BLS OES wages</t>
  </si>
  <si>
    <t xml:space="preserve">LSD.RID.0.AL.FORM.S3.1</t>
  </si>
  <si>
    <t xml:space="preserve">WAVG → AIAVG Link Strength</t>
  </si>
  <si>
    <t xml:space="preserve">AIAVG_g_i = WAVG_g_i * ANNUAL_HOURS_SEC[i] * (1 + AIAVG_HOURS_ADJ_SEC[i] - 1)</t>
  </si>
  <si>
    <t xml:space="preserve">Core mathematical identity linking hourly wage to annual income</t>
  </si>
  <si>
    <t xml:space="preserve">LSD.RID.0.AL.FORM.S3.2</t>
  </si>
  <si>
    <t xml:space="preserve">Shared calibration loop used by WAVG and AIAVG</t>
  </si>
  <si>
    <t xml:space="preserve">LSD.RID.0.AL.FORM.S3a - WAVG-Specific Formulae</t>
  </si>
  <si>
    <t xml:space="preserve">LSD.RID.0.AL.FORM.S3a.0</t>
  </si>
  <si>
    <t xml:space="preserve">S3a - WAVG</t>
  </si>
  <si>
    <t xml:space="preserve">WAVG Base Derivation</t>
  </si>
  <si>
    <t xml:space="preserve">WAVG_OVERALL_i = BLS_OES_BASE[i] * (1 + PARAMETERS!WAVG_ADJ_SEC[i])</t>
  </si>
  <si>
    <t xml:space="preserve">Weighted average hourly wage per sector from BLS OES base</t>
  </si>
  <si>
    <t xml:space="preserve">Core WAVG derivation</t>
  </si>
  <si>
    <t xml:space="preserve">LSD.RID.0.AL.FORM.S3a.1</t>
  </si>
  <si>
    <t xml:space="preserve">WAVG Group Adjustment</t>
  </si>
  <si>
    <t xml:space="preserve">WAVG_UNAUTH_i = WAVG_OVERALL_i * (1 + PARAMETERS!WAVG_UNAUTH_PENALTY_SEC[i] - 1); WAVG_AUTH_i *= (1 + PARAMETERS!WAVG_AUTH_PREMIUM_SEC[i] - 1)</t>
  </si>
  <si>
    <t xml:space="preserve">Applies realistic unauthorized wage penalty and authorized premium per sector</t>
  </si>
  <si>
    <t xml:space="preserve">LSD.RID.0.AL.FORM.S3a.2</t>
  </si>
  <si>
    <t xml:space="preserve">WAVG Sector &amp; Group Asymmetry</t>
  </si>
  <si>
    <t xml:space="preserve">WAVG_g_i *= PARAMETERS!WAVG_UNAUTH_ASYMM_SEC[i] if g="UNAUTH" else 1</t>
  </si>
  <si>
    <t xml:space="preserve">Additional unauthorized asymmetry scalar for structural gaps</t>
  </si>
  <si>
    <t xml:space="preserve">Refinement #2 – most realistic scalars</t>
  </si>
  <si>
    <t xml:space="preserve">LSD.RID.0.AL.FORM.S3b - AIAVG-Specific Formulae</t>
  </si>
  <si>
    <t xml:space="preserve">LSD.RID.0.AL.FORM.S3b.0</t>
  </si>
  <si>
    <t xml:space="preserve">S3b - AIAVG</t>
  </si>
  <si>
    <t xml:space="preserve">AIAVG Base Derivation</t>
  </si>
  <si>
    <t xml:space="preserve">AIAVG_g_i = WAVG_g_i * PARAMETERS!ANNUAL_HOURS_SEC[i] * (1 + PARAMETERS!AIAVG_HOURS_ADJ_SEC[i] - 1)</t>
  </si>
  <si>
    <t xml:space="preserve">Annual income from hourly wage and sector hours</t>
  </si>
  <si>
    <t xml:space="preserve">Core AIAVG derivation (links to WAVG)</t>
  </si>
  <si>
    <t xml:space="preserve">LSD.RID.0.AL.FORM.S3b.1</t>
  </si>
  <si>
    <t xml:space="preserve">AIAVG Group Adjustment</t>
  </si>
  <si>
    <t xml:space="preserve">AIAVG_UNAUTH_i = AIAVG_g_i * (1 + PARAMETERS!AIAVG_UNAUTH_PENALTY_SEC[i] - 1); AIAVG_AUTH_i *= (1 + PARAMETERS!AIAVG_AUTH_PREMIUM_SEC[i] - 1)</t>
  </si>
  <si>
    <t xml:space="preserve">Applies realistic unauthorized penalty and authorized premium (mirrors WAVG)</t>
  </si>
  <si>
    <t xml:space="preserve">LSD.RID.0.AL.FORM.S3b.2</t>
  </si>
  <si>
    <t xml:space="preserve">AIAVG Sector Adjustment</t>
  </si>
  <si>
    <t xml:space="preserve">AIAVG_g_i *= PARAMETERS!AIAVG_ADJ_SEC[i]</t>
  </si>
  <si>
    <t xml:space="preserve">LSD.RID.0.AL.FORM.S4</t>
  </si>
  <si>
    <t xml:space="preserve">FPITREV/FPPTREV Interdependent Formulae</t>
  </si>
  <si>
    <t xml:space="preserve">LSD.RID.0.AL.FORM.S4.0</t>
  </si>
  <si>
    <t xml:space="preserve">S4 - FPITREV/FPPTREV</t>
  </si>
  <si>
    <t xml:space="preserve">FPITREV Base</t>
  </si>
  <si>
    <t xml:space="preserve">FPITREV_g_i = AIAVG_g_i * PARAMETERS!EFF_FED_TAX_RATE_SEC[i] * TNPE_g_i * (1 - PARAMETERS!FPITREV_UNAUTH_COMPLIANCE_FACTOR if g=UNAUTH else 1)</t>
  </si>
  <si>
    <t xml:space="preserve">Base federal personal income tax revenue per group/sector</t>
  </si>
  <si>
    <t xml:space="preserve">Adjusted for compliance</t>
  </si>
  <si>
    <t xml:space="preserve">LSD.RID.0.AL.FORM.S4.1</t>
  </si>
  <si>
    <t xml:space="preserve">FPITREV Group Adjustment</t>
  </si>
  <si>
    <t xml:space="preserve">FPITREV_UNAUTH_i *= PARAMETERS!UNAUTH_FPITREV_PENALTY_SEC[i]; FPITREV_AUTH_i *= PARAMETERS!AUTH_FPITREV_PREMIUM_SEC[i]</t>
  </si>
  <si>
    <t xml:space="preserve">Applies tax-specific penalties/premiums</t>
  </si>
  <si>
    <t xml:space="preserve">Lower effective liability for unauthorized</t>
  </si>
  <si>
    <t xml:space="preserve">LSD.RID.0.AL.FORM.S4.2</t>
  </si>
  <si>
    <t xml:space="preserve">FPPTREV Calculation</t>
  </si>
  <si>
    <t xml:space="preserve">FPPTREV_g_i = AIAVG_g_i * PARAMETERS!FPPTREV_RATE_SEC[i] * TNPE_g_i * (1 - PARAMETERS!FPPTREV_UNAUTH_COMPLIANCE_FACTOR if g=UNAUTH else 1) * (1 + IF(g=AUTH, PARAMETERS!FPPTREV_AUTH_PREMIUM-1, 0))</t>
  </si>
  <si>
    <t xml:space="preserve">FICA-equivalent payroll tax revenue</t>
  </si>
  <si>
    <t xml:space="preserve">Lower compliance for unauthorized</t>
  </si>
  <si>
    <t xml:space="preserve">LSD.RID.0.AL.FORM.S4.3</t>
  </si>
  <si>
    <t xml:space="preserve">FPITREV-FPPTREV Reconciliation</t>
  </si>
  <si>
    <t xml:space="preserve">IF ABS(FPITREV_OVERALL - DERIVED_FROM_AIAVG) &gt; THRESHOLD THEN WEIGHTED_AVG(FPITREV, DERIVED, IRS_WEIGHT)</t>
  </si>
  <si>
    <t xml:space="preserve">Ensures consistency with income base</t>
  </si>
  <si>
    <t xml:space="preserve">LSD.RID.0.AL.FORM.S5 - EP Interdependent Formulae</t>
  </si>
  <si>
    <t xml:space="preserve">EP Interdependent Formulae</t>
  </si>
  <si>
    <t xml:space="preserve">LSD.RID.0.AL.FORM.S5.0</t>
  </si>
  <si>
    <t xml:space="preserve">S5 - EP</t>
  </si>
  <si>
    <t xml:space="preserve">EP Base Derivation</t>
  </si>
  <si>
    <t xml:space="preserve">EP_g_i = LFP_g_i * ETPR_g_i * (1 + IF(g="UNAUTH", PARAMETERS!UNAUTH_BOOST_SEC[i] * PARAMETERS!UNAUTH_EP_BOOST_SCALE, IF(g="AUTH", PARAMETERS!AUTH_IMMIGRANT_ETPR_ADJ_FACTOR - 1, 0)))</t>
  </si>
  <si>
    <t xml:space="preserve">Employed Population per group and sector</t>
  </si>
  <si>
    <t xml:space="preserve">Updated with refined population adjustments and asymmetry</t>
  </si>
  <si>
    <t xml:space="preserve">LSD.RID.0.AL.FORM.S5.1</t>
  </si>
  <si>
    <t xml:space="preserve">EP Group Adjustment</t>
  </si>
  <si>
    <t xml:space="preserve">EP_UNAUTH_i *= (1 + PARAMETERS!EP_UNAUTH_ASYMM_SEC[i]); APPLY_POP_ADJ(PARAMETERS!UNAUTH_POP_ADJ_SEC[i])</t>
  </si>
  <si>
    <t xml:space="preserve">Applies new unauthorized asymmetry scalar + group-specific population adjustment</t>
  </si>
  <si>
    <t xml:space="preserve">LSD.RID.0.AL.FORM.S5.2</t>
  </si>
  <si>
    <t xml:space="preserve">EP Sector Aggregation</t>
  </si>
  <si>
    <t xml:space="preserve">EP_OVERALL_i = SUM(EP_g_i) * PARAMETERS!TNPE_SHARES_SEC[i] / SUM(PARAMETERS!TNPE_SHARES_SEC)</t>
  </si>
  <si>
    <t xml:space="preserve">TNPE-weighted sector totals</t>
  </si>
  <si>
    <t xml:space="preserve">Unchanged aggregation</t>
  </si>
  <si>
    <t xml:space="preserve">LSD.RID.0.AL.FORM.S5.3</t>
  </si>
  <si>
    <t xml:space="preserve">EP Iterative Calibration</t>
  </si>
  <si>
    <t xml:space="preserve">WHILE ABS(SUM(EP) - PARAMETERS!EP_PUBLIC_TARGET) &gt; PARAMETERS!CALIB_TOLERANCE: RESCALE_ALL_SECTORS( (PARAMETERS!EP_PUBLIC_TARGET / CURRENT_SUM) ^ (1 / PARAMETERS!INTERDEPEND_FACTOR_ETPR_LFP) )</t>
  </si>
  <si>
    <t xml:space="preserve">Shared calibration loop</t>
  </si>
  <si>
    <t xml:space="preserve">LSD.RID.0.AL.FORM.S5.4</t>
  </si>
  <si>
    <t xml:space="preserve">EP Reconciliation with Sources</t>
  </si>
  <si>
    <t xml:space="preserve">IF ABS(EP_CALC - BLS_CES_EP[i]) / MEAN &gt; PARAMETERS!FUSION_THRESHOLD THEN WEIGHTED_FUSION(EP_CALC, BLS_CES_EP, PARAMETERS!SOURCE_CONFIDENCE_SEC[i])</t>
  </si>
  <si>
    <t xml:space="preserve">Fusion with BLS CES</t>
  </si>
  <si>
    <t xml:space="preserve">LSD.RID.0.AL.FORM.S6 - U3P Interdependent Formulae</t>
  </si>
  <si>
    <t xml:space="preserve">U3P Interdependent Formulae</t>
  </si>
  <si>
    <t xml:space="preserve">LSD.RID.0.AL.FORM.S6.0</t>
  </si>
  <si>
    <t xml:space="preserve">S6 - U3P</t>
  </si>
  <si>
    <t xml:space="preserve">U3P Base Derivation</t>
  </si>
  <si>
    <t xml:space="preserve">U3P_g_i = LFP_g_i - EP_g_i</t>
  </si>
  <si>
    <t xml:space="preserve">Direct complement: Unemployed = Labor Force minus Employed (per group and sector)</t>
  </si>
  <si>
    <t xml:space="preserve">Exact mirror of EP derivation; ensures zero-sum consistency with LFP</t>
  </si>
  <si>
    <t xml:space="preserve">LSD.RID.0.AL.FORM.S6.1</t>
  </si>
  <si>
    <t xml:space="preserve">U3P Group Adjustment</t>
  </si>
  <si>
    <t xml:space="preserve">U3P_UNAUTH_i = U3P_UNAUTH_i * (1 + PARAMETERS!U3P_UNAUTH_ASYMM_SEC[i]) * PARAMETERS!UNAUTH_U3P_BOOST_SCALE</t>
  </si>
  <si>
    <t xml:space="preserve">Applies stronger unauthorized boost (scaled 1.25) and modest authorized premium to unemployment population</t>
  </si>
  <si>
    <t xml:space="preserve">Reflects higher structural unemployment among unauthorized; lighter for authorized</t>
  </si>
  <si>
    <t xml:space="preserve">LSD.RID.0.AL.FORM.S6.2</t>
  </si>
  <si>
    <t xml:space="preserve">U3P Sector Aggregation</t>
  </si>
  <si>
    <t xml:space="preserve">U3P_OVERALL_i = SUM(U3P_g_i) * PARAMETERS!TNPE_SHARES_SEC[i] / SUM(PARAMETERS!TNPE_SHARES_SEC)</t>
  </si>
  <si>
    <t xml:space="preserve">Maintains consistency with EP, LFP, and overall aggregates</t>
  </si>
  <si>
    <t xml:space="preserve">LSD.RID.0.AL.FORM.S6.3</t>
  </si>
  <si>
    <t xml:space="preserve">U3P Iterative Calibration</t>
  </si>
  <si>
    <t xml:space="preserve">WHILE ABS(SUM(U3P) - PARAMETERS!U3P_PUBLIC_TARGET) &gt; PARAMETERS!CALIB_TOLERANCE: RESCALE_ALL_SECTORS( (PARAMETERS!U3P_PUBLIC_TARGET / CURRENT_SUM) ^ (1 / PARAMETERS!INTERDEPEND_FACTOR_LFP_U3R) )</t>
  </si>
  <si>
    <t xml:space="preserve">Iterative rescaling to hit public unemployed benchmark</t>
  </si>
  <si>
    <t xml:space="preserve">Reuses shared FORM.S0.4 engine; linked to LFP-U3R factor</t>
  </si>
  <si>
    <t xml:space="preserve">LSD.RID.0.AL.FORM.S6.4</t>
  </si>
  <si>
    <t xml:space="preserve">U3P Reconciliation with Sources</t>
  </si>
  <si>
    <t xml:space="preserve">IF ABS(U3P_CALC - BLS_DERIVED_U3P[i]) / MEAN &gt; PARAMETERS!FUSION_THRESHOLD THEN WEIGHTED_FUSION(U3P_CALC, BLS_U3, PARAMETERS!SOURCE_CONFIDENCE_SEC[i])</t>
  </si>
  <si>
    <t xml:space="preserve">Fusion with BLS-derived unemployed counts</t>
  </si>
  <si>
    <t xml:space="preserve">Ensures no drift vs. official LAUS unemployment data</t>
  </si>
  <si>
    <t xml:space="preserve">LSD.RID.0.AL.FORM.S7 - U6P Interdependent Formulae</t>
  </si>
  <si>
    <t xml:space="preserve">U6P Interdependent Formulae</t>
  </si>
  <si>
    <t xml:space="preserve">LSD.RID.0.AL.FORM.S7.0</t>
  </si>
  <si>
    <t xml:space="preserve">S7 - U6P</t>
  </si>
  <si>
    <t xml:space="preserve">U6P Base Derivation</t>
  </si>
  <si>
    <t xml:space="preserve">U6P_g_i = U3P_g_i + MARGINAL_ATTACHED_g_i + INVOL_PART_TIME_g_i</t>
  </si>
  <si>
    <t xml:space="preserve">Core sum: unemployed + marginally attached + involuntary part-time per group/sector</t>
  </si>
  <si>
    <t xml:space="preserve">LSD.RID.0.AL.FORM.S7.1</t>
  </si>
  <si>
    <t xml:space="preserve">U6P Group Adjustment</t>
  </si>
  <si>
    <t xml:space="preserve">U6P_UNAUTH_i *= (1 + PARAMETERS!U6P_UNAUTH_ASYMM_SEC[i]); APPLY_POP_ADJ(PARAMETERS!UNAUTH_POP_ADJ_SEC[i])</t>
  </si>
  <si>
    <t xml:space="preserve">LSD.RID.0.AL.FORM.S7.2</t>
  </si>
  <si>
    <t xml:space="preserve">U6P Sector Aggregation</t>
  </si>
  <si>
    <t xml:space="preserve">U6P_OVERALL_i = SUM(U6P_g_i) * PARAMETERS!TNPE_SHARES_SEC[i] / SUM(PARAMETERS!TNPE_SHARES_SEC)</t>
  </si>
  <si>
    <t xml:space="preserve">LSD.RID.0.AL.FORM.S7.3</t>
  </si>
  <si>
    <t xml:space="preserve">U6P Iterative Calibration</t>
  </si>
  <si>
    <t xml:space="preserve">WHILE ABS(SUM(U6P) - PARAMETERS!U6P_PUBLIC_TARGET) &gt; PARAMETERS!CALIB_TOLERANCE: RESCALE_ALL_SECTORS( (PARAMETERS!U6P_PUBLIC_TARGET / CURRENT_SUM) ^ (1 / PARAMETERS!INTERDEPEND_FACTOR_LFP_U3R) )</t>
  </si>
  <si>
    <t xml:space="preserve">Calibration to target underutilized population</t>
  </si>
  <si>
    <t xml:space="preserve">Reuses shared FORM.S0.4 engine; linked to U3R/LFP</t>
  </si>
  <si>
    <t xml:space="preserve">LSD.RID.0.AL.FORM.S7.4</t>
  </si>
  <si>
    <t xml:space="preserve">U6P Reconciliation</t>
  </si>
  <si>
    <t xml:space="preserve">IF ABS(U6P_CALC - DERIVED_U6 * LFP_OVERALL) / MEAN &gt; PARAMETERS!FUSION_THRESHOLD THEN WEIGHTED_FUSION(U6P_CALC, DERIVED_U6 * LFP, PARAMETERS!SOURCE_CONFIDENCE_SEC[i])</t>
  </si>
  <si>
    <t xml:space="preserve">Fusion with implied U-6 population (U6R × LFP)</t>
  </si>
  <si>
    <t xml:space="preserve">Ensures consistency with broader underutilization</t>
  </si>
  <si>
    <t xml:space="preserve">LSD.RID.0.AL.FORM.S8</t>
  </si>
  <si>
    <t xml:space="preserve">U3TPR Interdependent Formulae</t>
  </si>
  <si>
    <t xml:space="preserve">LSD.RID.0.AL.FORM.S8.0</t>
  </si>
  <si>
    <t xml:space="preserve">S8 - U3TPR</t>
  </si>
  <si>
    <t xml:space="preserve">U3TPR Base Derivation</t>
  </si>
  <si>
    <t xml:space="preserve">U3TPR_g_i = U3P_g_i / CIV_POP_g_i; U3TPR_OVERALL_i = U3P_OVERALL_i / CIV_POP_TOTAL</t>
  </si>
  <si>
    <t xml:space="preserve">Unemployment-to-Population Ratio per group and sector (population denominator)</t>
  </si>
  <si>
    <t xml:space="preserve">Direct complement to ETPR; uses existing U3P and shared CIV_POP_TOTAL</t>
  </si>
  <si>
    <t xml:space="preserve">LSD.RID.0.AL.FORM.S8.1</t>
  </si>
  <si>
    <t xml:space="preserve">U3TPR Group Adjustment</t>
  </si>
  <si>
    <t xml:space="preserve">U3TPR_UNAUTH_i = U3TPR_UNAUTH_i * (1 + PARAMETERS!UNAUTH_U3P_BOOST_SCALE * 0.85); U3TPR_AUTH_i *= (1 + PARAMETERS!AUTH_IMMIGRANT_ETPR_ADJ_FACTOR - 1)</t>
  </si>
  <si>
    <t xml:space="preserve">Applies moderated unauthorized boost and modest authorized premium to population ratio</t>
  </si>
  <si>
    <t xml:space="preserve">Maintains same group asymmetry logic as U3R but scaled for population base</t>
  </si>
  <si>
    <t xml:space="preserve">LSD.RID.0.AL.FORM.S8.2</t>
  </si>
  <si>
    <t xml:space="preserve">U3TPR Sector Aggregation</t>
  </si>
  <si>
    <t xml:space="preserve">U3TPR_OVERALL_i = SUM(U3TPR_g_i) * PARAMETERS!TNPE_SHARES_SEC[i] / SUM(PARAMETERS!TNPE_SHARES_SEC)</t>
  </si>
  <si>
    <t xml:space="preserve">TNPE-weighted sector-level ratios</t>
  </si>
  <si>
    <t xml:space="preserve">Ensures consistency with EP/U3P/TNPE aggregation</t>
  </si>
  <si>
    <t xml:space="preserve">LSD.RID.0.AL.FORM.S8.3</t>
  </si>
  <si>
    <t xml:space="preserve">U3TPR Iterative Calibration</t>
  </si>
  <si>
    <t xml:space="preserve">WHILE ABS(U3TPR_OVERALL - PARAMETERS!U3TPR_PUBLIC_TARGET) &gt; PARAMETERS!CALIB_TOLERANCE: RESCALE_ALL_SECTORS( (PARAMETERS!U3TPR_PUBLIC_TARGET / CURRENT_OVERALL) ^ (1 / PARAMETERS!INTERDEPEND_FACTOR_LFP_U3R) )</t>
  </si>
  <si>
    <t xml:space="preserve">Shared calibration loop to hit public U3TPR benchmark</t>
  </si>
  <si>
    <t xml:space="preserve">Reuses FORM.S0.4 engine; directly linked to U3R/LFP</t>
  </si>
  <si>
    <t xml:space="preserve">LSD.RID.0.AL.FORM.S8.4</t>
  </si>
  <si>
    <t xml:space="preserve">U3TPR Reconciliation with Sources</t>
  </si>
  <si>
    <t xml:space="preserve">IF ABS(U3TPR_CALC - BLS_DERIVED_U3TPR[i]) / MEAN &gt; PARAMETERS!FUSION_THRESHOLD THEN WEIGHTED_FUSION(U3TPR_CALC, BLS_U3TPR, PARAMETERS!SOURCE_CONFIDENCE_SEC[i])</t>
  </si>
  <si>
    <t xml:space="preserve">Fusion with BLS-derived unemployment-to-population ratios</t>
  </si>
  <si>
    <t xml:space="preserve">Ensures no drift vs. official population-based metrics</t>
  </si>
  <si>
    <t xml:space="preserve">LSD.RID.0.AL.FORM.S9</t>
  </si>
  <si>
    <t xml:space="preserve">U6TPR Interdependent Formulae</t>
  </si>
  <si>
    <t xml:space="preserve">LSD.RID.0.AL.FORM.S9.0</t>
  </si>
  <si>
    <t xml:space="preserve">S9 - U6TPR</t>
  </si>
  <si>
    <t xml:space="preserve">U6TPR Base Derivation</t>
  </si>
  <si>
    <t xml:space="preserve">U6TPR_g_i = U6P_g_i / CIV_POP_g_i; U6TPR_OVERALL_i = U6P_OVERALL_i / CIV_POP_TOTAL</t>
  </si>
  <si>
    <t xml:space="preserve">Underemployment-to-Population Ratio per group and sector (population denominator)</t>
  </si>
  <si>
    <t xml:space="preserve">Direct population-based complement to ETPR and U3TPR; uses existing U6P headcount</t>
  </si>
  <si>
    <t xml:space="preserve">LSD.RID.0.AL.FORM.S9.1</t>
  </si>
  <si>
    <t xml:space="preserve">U6TPR Group Adjustment</t>
  </si>
  <si>
    <t xml:space="preserve">U6TPR_UNAUTH_i = U6TPR_UNAUTH_i * (1 + PARAMETERS!UNAUTH_U36_BOOST_SCALE * 0.90); U6TPR_AUTH_i *= (1 + PARAMETERS!AUTH_IMMIGRANT_ETPR_ADJ_FACTOR - 1)</t>
  </si>
  <si>
    <t xml:space="preserve">Same asymmetry logic as U6R but scaled for full population base</t>
  </si>
  <si>
    <t xml:space="preserve">LSD.RID.0.AL.FORM.S9.2</t>
  </si>
  <si>
    <t xml:space="preserve">U6TPR Sector Aggregation</t>
  </si>
  <si>
    <t xml:space="preserve">U6TPR_OVERALL_i = SUM(U6TPR_g_i) * PARAMETERS!TNPE_SHARES_SEC[i] / SUM(PARAMETERS!TNPE_SHARES_SEC)</t>
  </si>
  <si>
    <t xml:space="preserve">Consistent with U6P / EP / U3TPR aggregation</t>
  </si>
  <si>
    <t xml:space="preserve">LSD.RID.0.AL.FORM.S9.3</t>
  </si>
  <si>
    <t xml:space="preserve">U6TPR Iterative Calibration</t>
  </si>
  <si>
    <t xml:space="preserve">WHILE ABS(U6TPR_OVERALL - PARAMETERS!U6TPR_PUBLIC_TARGET) &gt; PARAMETERS!CALIB_TOLERANCE: RESCALE_ALL_SECTORS( (PARAMETERS!U6TPR_PUBLIC_TARGET / CURRENT_OVERALL) ^ (1 / PARAMETERS!INTERDEPEND_FACTOR_LFP_U3R) )</t>
  </si>
  <si>
    <t xml:space="preserve">Shared calibration loop to hit public U6TPR benchmark</t>
  </si>
  <si>
    <t xml:space="preserve">Reuses FORM.S0.4 engine; directly linked to U6R/LFP</t>
  </si>
  <si>
    <t xml:space="preserve">LSD.RID.0.AL.FORM.S9.4</t>
  </si>
  <si>
    <t xml:space="preserve">U6TPR Reconciliation with Sources</t>
  </si>
  <si>
    <t xml:space="preserve">IF ABS(U6TPR_CALC - DERIVED_U6R * LFPR_OVERALL) / MEAN &gt; PARAMETERS!FUSION_THRESHOLD THEN WEIGHTED_FUSION(U6TPR_CALC, DERIVED_U6R * LFPR, PARAMETERS!SOURCE_CONFIDENCE_SEC[i])</t>
  </si>
  <si>
    <t xml:space="preserve">Fusion with implied U-6 population ratio (U6R × LFPR)</t>
  </si>
  <si>
    <t xml:space="preserve">Ensures perfect consistency with rate-based underutilization</t>
  </si>
  <si>
    <t xml:space="preserve">LSD.RID.0.AL.FORM.S10 - WRAVG Interdependent Formulae</t>
  </si>
  <si>
    <t xml:space="preserve">LSD.RID.0.AL.FORM.S10.0</t>
  </si>
  <si>
    <t xml:space="preserve">S10 - WRAVG</t>
  </si>
  <si>
    <t xml:space="preserve">WRAVG Base Derivation</t>
  </si>
  <si>
    <t xml:space="preserve">WRAVG_MIN_OVERALL_i = BLS_OES_10TH[i] * (1 + PARAMETERS!WRAVG_MIN_ADJ_SEC[i]); WRAVG_MAX_OVERALL_i = BLS_OES_90TH[i] * (1 + PARAMETERS!WRAVG_MAX_ADJ_SEC[i])</t>
  </si>
  <si>
    <t xml:space="preserve">Base 10th and 90th percentile wages per sector from BLS OES</t>
  </si>
  <si>
    <t xml:space="preserve">Core range derivation</t>
  </si>
  <si>
    <t xml:space="preserve">LSD.RID.0.AL.FORM.S10.1</t>
  </si>
  <si>
    <t xml:space="preserve">WRAVG Group Adjustment</t>
  </si>
  <si>
    <t xml:space="preserve">WRAVG_UNAUTH_MIN_i = WRAVG_MIN_OVERALL_i * (1 + PARAMETERS!WRAVG_UNAUTH_PENALTY_MIN_SEC[i] - 1); similar for MAX, AUTH premium, and asymmetry</t>
  </si>
  <si>
    <t xml:space="preserve">Applies realistic unauthorized penalties (stronger at low end) and authorized premiums</t>
  </si>
  <si>
    <t xml:space="preserve">Most realistic group asymmetry</t>
  </si>
  <si>
    <t xml:space="preserve">LSD.RID.0.AL.FORM.S10.2</t>
  </si>
  <si>
    <t xml:space="preserve">WRAVG Sector Aggregation</t>
  </si>
  <si>
    <t xml:space="preserve">WRAVG_OVERALL_MIN_i = SUM(WRAVG_g_MIN_i * TNPE_g_i) / SUM(TNPE_OVERALL_i)</t>
  </si>
  <si>
    <t xml:space="preserve">Weighted by group employment shares</t>
  </si>
  <si>
    <t xml:space="preserve">Ensures consistency with TNPE/WAVG</t>
  </si>
  <si>
    <t xml:space="preserve">LSD.RID.0.AL.FORM.S10.3</t>
  </si>
  <si>
    <t xml:space="preserve">WRAVG Iterative Calibration</t>
  </si>
  <si>
    <t xml:space="preserve">WHILE ABS(OVERALL_MIN - TARGET_10TH) &gt; TOLERANCE: RESCALE_BY_FACTOR(...)</t>
  </si>
  <si>
    <t xml:space="preserve">Calibration to BLS 10th/90th percentiles</t>
  </si>
  <si>
    <t xml:space="preserve">Reuses shared FORM.S0.4 engine</t>
  </si>
  <si>
    <t xml:space="preserve">LSD.RID.0.AL.FORM.S10.4</t>
  </si>
  <si>
    <t xml:space="preserve">WRAVG Reconciliation</t>
  </si>
  <si>
    <t xml:space="preserve">IF ABS(CALC - BLS_OES_PERCENTILE[i]) / MEAN &gt; THRESHOLD THEN WEIGHTED_FUSION(...)</t>
  </si>
  <si>
    <t xml:space="preserve">Fusion with BLS OES 10th/90th percentiles</t>
  </si>
  <si>
    <t xml:space="preserve">Ensures no drift vs. official ranges</t>
  </si>
  <si>
    <t xml:space="preserve">LSD.RID.0.AL.FORM.S11 - AIRAVG Interdependent Formulae</t>
  </si>
  <si>
    <t xml:space="preserve">LSD.RID.0.AL.FORM.S11.0</t>
  </si>
  <si>
    <t xml:space="preserve">S11 - AIRAVG</t>
  </si>
  <si>
    <t xml:space="preserve">AIRAVG Base Derivation</t>
  </si>
  <si>
    <t xml:space="preserve">AIRAVG_MIN_OVERALL_i = WRAVG_MIN_OVERALL_i * PARAMETERS!ANNUAL_HOURS_SEC[i] * (1 + PARAMETERS!AIRAVG_MIN_ADJ_SEC[i]); AIRAVG_MAX_OVERALL_i = WRAVG_MAX_OVERALL_i * PARAMETERS!ANNUAL_HOURS_SEC[i] * (1 + PARAMETERS!AIRAVG_MAX_ADJ_SEC[i])</t>
  </si>
  <si>
    <t xml:space="preserve">Base annual income range from hourly WRAVG × sector hours</t>
  </si>
  <si>
    <t xml:space="preserve">Direct link to WRAVG</t>
  </si>
  <si>
    <t xml:space="preserve">LSD.RID.0.AL.FORM.S11.1</t>
  </si>
  <si>
    <t xml:space="preserve">AIRAVG Group Adjustment</t>
  </si>
  <si>
    <t xml:space="preserve">AIRAVG_UNAUTH_MIN_i = AIRAVG_MIN_OVERALL_i * (1 + PARAMETERS!AIRAVG_UNAUTH_PENALTY_MIN_SEC[i] - 1); similar for MAX, AUTH premium, and asymmetry</t>
  </si>
  <si>
    <t xml:space="preserve">Refinement #1/#2 – data-driven</t>
  </si>
  <si>
    <t xml:space="preserve">LSD.RID.0.AL.FORM.S11.2</t>
  </si>
  <si>
    <t xml:space="preserve">AIRAVG Sector Aggregation</t>
  </si>
  <si>
    <t xml:space="preserve">AIRAVG_OVERALL_MIN_i = SUM(AIRAVG_g_MIN_i * TNPE_g_i) / SUM(TNPE_OVERALL_i)</t>
  </si>
  <si>
    <t xml:space="preserve">Ensures consistency with TNPE/WAVG/AIAVG</t>
  </si>
  <si>
    <t xml:space="preserve">LSD.RID.0.AL.FORM.S11.3</t>
  </si>
  <si>
    <t xml:space="preserve">AIRAVG Iterative Calibration</t>
  </si>
  <si>
    <t xml:space="preserve">WHILE ABS(OVERALL_MIN - TARGET_10TH_ANNUAL) &gt; TOLERANCE: RESCALE_BY_FACTOR(...)</t>
  </si>
  <si>
    <t xml:space="preserve">Calibration to realistic annual percentiles</t>
  </si>
  <si>
    <t xml:space="preserve">LSD.RID.0.AL.FORM.S11.4</t>
  </si>
  <si>
    <t xml:space="preserve">AIRAVG Reconciliation</t>
  </si>
  <si>
    <t xml:space="preserve">IF ABS(CALC - DERIVED_FROM_WRAVG[i]) / MEAN &gt; THRESHOLD THEN WEIGHTED_FUSION(...)</t>
  </si>
  <si>
    <t xml:space="preserve">Fusion with WRAVG-derived annual ranges</t>
  </si>
  <si>
    <t xml:space="preserve">Ensures no drift</t>
  </si>
  <si>
    <t xml:space="preserve">LSD.RID.0.AL.FORM.S12 - AWHW Interdependent Formulae</t>
  </si>
  <si>
    <t xml:space="preserve">LSD.RID.0.AL.FORM.S12.0</t>
  </si>
  <si>
    <t xml:space="preserve">S12 - AWHW</t>
  </si>
  <si>
    <t xml:space="preserve">AWHW Base Derivation</t>
  </si>
  <si>
    <t xml:space="preserve">AWHW_OVERALL_i = BLS_CES_AVG_HOURS[i] * (1 + PARAMETERS!AWHW_ADJ_SEC[i])</t>
  </si>
  <si>
    <t xml:space="preserve">Base average weekly hours per sector from BLS CES</t>
  </si>
  <si>
    <t xml:space="preserve">Core derivation</t>
  </si>
  <si>
    <t xml:space="preserve">LSD.RID.0.AL.FORM.S12.1</t>
  </si>
  <si>
    <t xml:space="preserve">AWHW Group Adjustment</t>
  </si>
  <si>
    <t xml:space="preserve">AWHW_UNAUTH_i = AWHW_OVERALL_i * (1 + PARAMETERS!AWHW_UNAUTH_ASYMM_SEC[i] - 1); AWHW_AUTH_i *= (1 + PARAMETERS!AWHW_AUTH_ASYMM_SEC[i] - 1)</t>
  </si>
  <si>
    <t xml:space="preserve">Applies unauthorized slight overtime premium in manual sectors and compression in professional sectors; modest authorized premium in skilled sectors</t>
  </si>
  <si>
    <t xml:space="preserve">LSD.RID.0.AL.FORM.S12.2</t>
  </si>
  <si>
    <t xml:space="preserve">AWHW Sector Aggregation</t>
  </si>
  <si>
    <t xml:space="preserve">AWHW_OVERALL_i = SUM(AWHW_g_i * TNPE_g_i) / SUM(TNPE_OVERALL_i)</t>
  </si>
  <si>
    <t xml:space="preserve">Ensures consistency with TNPE/EP/WAVG</t>
  </si>
  <si>
    <t xml:space="preserve">LSD.RID.0.AL.FORM.S12.3</t>
  </si>
  <si>
    <t xml:space="preserve">AWHW Iterative Calibration</t>
  </si>
  <si>
    <t xml:space="preserve">WHILE ABS(OVERALL - TARGET_AVG_HOURS) &gt; TOLERANCE: RESCALE_BY_FACTOR(...)</t>
  </si>
  <si>
    <t xml:space="preserve">Calibration to BLS CES average hours</t>
  </si>
  <si>
    <t xml:space="preserve">LSD.RID.0.AL.FORM.S12.4</t>
  </si>
  <si>
    <t xml:space="preserve">AWHW Reconciliation</t>
  </si>
  <si>
    <t xml:space="preserve">IF ABS(CALC - BLS_CES_HOURS[i]) / MEAN &gt; THRESHOLD THEN WEIGHTED_FUSION(...)</t>
  </si>
  <si>
    <t xml:space="preserve">Fusion with BLS CES average hours data</t>
  </si>
  <si>
    <t xml:space="preserve">Ensures no drift vs. official hours</t>
  </si>
  <si>
    <t xml:space="preserve">LSD.RID.0.AL.FORM.S13 - FTER Interdependent Formulae</t>
  </si>
  <si>
    <t xml:space="preserve">LSD.RID.0.AL.FORM.S13.0</t>
  </si>
  <si>
    <t xml:space="preserve">S13 - FTER</t>
  </si>
  <si>
    <t xml:space="preserve">FTER Base Derivation</t>
  </si>
  <si>
    <t xml:space="preserve">FTER_OVERALL_i = BLS_CES_FULL_TIME_SHARE[i] * (1 + PARAMETERS!FTER_ADJ_SEC[i])</t>
  </si>
  <si>
    <t xml:space="preserve">Base full-time employment rate per sector from BLS CES</t>
  </si>
  <si>
    <t xml:space="preserve">LSD.RID.0.AL.FORM.S13.1</t>
  </si>
  <si>
    <t xml:space="preserve">FTER Group Adjustment</t>
  </si>
  <si>
    <t xml:space="preserve">FTER_UNAUTH_i = FTER_OVERALL_i * (1 + PARAMETERS!FTER_UNAUTH_ASYMM_SEC[i] - 1); FTER_AUTH_i *= (1 + PARAMETERS!FTER_AUTH_ASYMM_SEC[i] - 1)</t>
  </si>
  <si>
    <t xml:space="preserve">Applies unauthorized compression in professional sectors and slight premium in manual; modest authorized premium in skilled sectors</t>
  </si>
  <si>
    <t xml:space="preserve">LSD.RID.0.AL.FORM.S13.2</t>
  </si>
  <si>
    <t xml:space="preserve">FTER Sector Aggregation</t>
  </si>
  <si>
    <t xml:space="preserve">FTER_OVERALL_i = SUM(FTER_g_i * EP_g_i) / SUM(EP_OVERALL_i)</t>
  </si>
  <si>
    <t xml:space="preserve">Weighted by employed population shares</t>
  </si>
  <si>
    <t xml:space="preserve">Ensures consistency with EP/TNPE</t>
  </si>
  <si>
    <t xml:space="preserve">LSD.RID.0.AL.FORM.S13.3</t>
  </si>
  <si>
    <t xml:space="preserve">FTER Iterative Calibration</t>
  </si>
  <si>
    <t xml:space="preserve">WHILE ABS(OVERALL - TARGET_FULL_TIME) &gt; TOLERANCE: RESCALE_BY_FACTOR(...)</t>
  </si>
  <si>
    <t xml:space="preserve">Calibration to BLS full-time share</t>
  </si>
  <si>
    <t xml:space="preserve">LSD.RID.0.AL.FORM.S13.4</t>
  </si>
  <si>
    <t xml:space="preserve">FTER Reconciliation</t>
  </si>
  <si>
    <t xml:space="preserve">IF ABS(CALC - BLS_CES_FULL_TIME[i]) / MEAN &gt; THRESHOLD THEN WEIGHTED_FUSION(...)</t>
  </si>
  <si>
    <t xml:space="preserve">Fusion with BLS CES full-time data</t>
  </si>
  <si>
    <t xml:space="preserve">Ensures no drift vs. official rates</t>
  </si>
  <si>
    <t xml:space="preserve">LSD.RID.0.AL.FORM.S14 - PTER Interdependent Formulae</t>
  </si>
  <si>
    <t xml:space="preserve">LSD.RID.0.AL.FORM.S14.0</t>
  </si>
  <si>
    <t xml:space="preserve">S14 - PTER</t>
  </si>
  <si>
    <t xml:space="preserve">PTER Base Derivation</t>
  </si>
  <si>
    <t xml:space="preserve">PTER_OVERALL_i = 1 - FTER_OVERALL_i</t>
  </si>
  <si>
    <t xml:space="preserve">Part-time rate = 1 - full-time rate (direct complement to FTER)</t>
  </si>
  <si>
    <t xml:space="preserve">LSD.RID.0.AL.FORM.S14.1</t>
  </si>
  <si>
    <t xml:space="preserve">PTER Group Adjustment</t>
  </si>
  <si>
    <t xml:space="preserve">PTER_UNAUTH_i = PTER_OVERALL_i * (1 + PARAMETERS!PTER_UNAUTH_ASYMM_SEC[i] - 1); PTER_AUTH_i *= (1 + PARAMETERS!PTER_AUTH_ASYMM_SEC[i] - 1)</t>
  </si>
  <si>
    <t xml:space="preserve">Applies unauthorized premium in professional sectors and slight discount in manual; modest authorized discount in skilled sectors</t>
  </si>
  <si>
    <t xml:space="preserve">LSD.RID.0.AL.FORM.S14.2</t>
  </si>
  <si>
    <t xml:space="preserve">PTER Sector Aggregation</t>
  </si>
  <si>
    <t xml:space="preserve">PTER_OVERALL_i = SUM(PTER_g_i * EP_g_i) / SUM(EP_OVERALL_i)</t>
  </si>
  <si>
    <t xml:space="preserve">Ensures consistency with EP/TNPE/FTER</t>
  </si>
  <si>
    <t xml:space="preserve">LSD.RID.0.AL.FORM.S14.3</t>
  </si>
  <si>
    <t xml:space="preserve">PTER Iterative Calibration</t>
  </si>
  <si>
    <t xml:space="preserve">WHILE ABS(OVERALL - TARGET_PART_TIME) &gt; TOLERANCE: RESCALE_BY_FACTOR(...)</t>
  </si>
  <si>
    <t xml:space="preserve">Calibration to BLS part-time share</t>
  </si>
  <si>
    <t xml:space="preserve">LSD.RID.0.AL.FORM.S14.4</t>
  </si>
  <si>
    <t xml:space="preserve">PTER Reconciliation</t>
  </si>
  <si>
    <t xml:space="preserve">IF ABS(CALC - BLS_CES_PART_TIME[i]) / MEAN &gt; THRESHOLD THEN WEIGHTED_FUSION(...)</t>
  </si>
  <si>
    <t xml:space="preserve">Fusion with BLS CES part-time data</t>
  </si>
  <si>
    <t xml:space="preserve">LSD.RID.0.AL.PARAM</t>
  </si>
  <si>
    <t xml:space="preserve">Alabama Labor Statistic Logic Interdependent Parameters</t>
  </si>
  <si>
    <t xml:space="preserve">Value</t>
  </si>
  <si>
    <t xml:space="preserve">Confidence</t>
  </si>
  <si>
    <t xml:space="preserve">Source</t>
  </si>
  <si>
    <t xml:space="preserve">Last Updated</t>
  </si>
  <si>
    <t xml:space="preserve">LSD.RID.0.AL.PARAM.S0 - Shared/Base Interdependent Parameters</t>
  </si>
  <si>
    <t xml:space="preserve">Shared/Base Interdependent Parameters</t>
  </si>
  <si>
    <t xml:space="preserve">PID</t>
  </si>
  <si>
    <t xml:space="preserve">Value (applied/reference)</t>
  </si>
  <si>
    <t xml:space="preserve">Used_By_Metrics</t>
  </si>
  <si>
    <t xml:space="preserve">LSD.RID.0.AL.PARAM.S0.0</t>
  </si>
  <si>
    <t xml:space="preserve">CIV_POP_TOTAL</t>
  </si>
  <si>
    <t xml:space="preserve">Total Alabama civilian noninstitutional population age 16+ (Dec 2025 benchmark)</t>
  </si>
  <si>
    <t xml:space="preserve">High</t>
  </si>
  <si>
    <t xml:space="preserve">BLS LAUS Dec 2025</t>
  </si>
  <si>
    <t xml:space="preserve">February 2026</t>
  </si>
  <si>
    <t xml:space="preserve">Updated to official Dec 2025 release</t>
  </si>
  <si>
    <t xml:space="preserve">All</t>
  </si>
  <si>
    <t xml:space="preserve">LSD.RID.0.AL.PARAM.S0.1</t>
  </si>
  <si>
    <t xml:space="preserve">CALIB_TOLERANCE</t>
  </si>
  <si>
    <t xml:space="preserve">Maximum allowable aggregate drift before iterative rescaling</t>
  </si>
  <si>
    <t xml:space="preserve">Internal validation loop</t>
  </si>
  <si>
    <t xml:space="preserve">FORM.4 / FORM.13</t>
  </si>
  <si>
    <t xml:space="preserve">LSD.RID.0.AL.PARAM.S0.2</t>
  </si>
  <si>
    <t xml:space="preserve">FUSION_THRESHOLD</t>
  </si>
  <si>
    <t xml:space="preserve">Source divergence threshold triggering weighted reconciliation</t>
  </si>
  <si>
    <t xml:space="preserve">FORM.2 definition</t>
  </si>
  <si>
    <t xml:space="preserve">Cross-metric data fusion</t>
  </si>
  <si>
    <t xml:space="preserve">LSD.RID.0.AL.PARAM.S0.3</t>
  </si>
  <si>
    <t xml:space="preserve">INTERDEPEND_FACTOR_LFP_U3R</t>
  </si>
  <si>
    <t xml:space="preserve">LFP → U3R linkage strength</t>
  </si>
  <si>
    <t xml:space="preserve">Derived from TNPE/ETPR consistency</t>
  </si>
  <si>
    <t xml:space="preserve">FORM.5 / FORM.6 / FORM.13</t>
  </si>
  <si>
    <t xml:space="preserve">LFP,U3R,U6R</t>
  </si>
  <si>
    <t xml:space="preserve">LSD.RID.0.AL.PARAM.S0.4</t>
  </si>
  <si>
    <t xml:space="preserve">INTERDEPEND_FACTOR_ETPR_LFP</t>
  </si>
  <si>
    <t xml:space="preserve">ETPR → LFP linkage strength</t>
  </si>
  <si>
    <t xml:space="preserve">Internal calibration</t>
  </si>
  <si>
    <t xml:space="preserve">FORM.8 / FORM.11</t>
  </si>
  <si>
    <t xml:space="preserve">ETPR,LFPR,LFP</t>
  </si>
  <si>
    <t xml:space="preserve">LSD.RID.0.AL.PARAM.S0.5</t>
  </si>
  <si>
    <t xml:space="preserve">INTERDEPEND_FACTOR_LFPR_ETPR_U3R</t>
  </si>
  <si>
    <t xml:space="preserve">LFPR-ETPR-U3R cross-link</t>
  </si>
  <si>
    <t xml:space="preserve">FORM.10 / FORM.12</t>
  </si>
  <si>
    <t xml:space="preserve">LFPR,ETPR,U3R</t>
  </si>
  <si>
    <t xml:space="preserve">LSD.RID.0.AL.PARAM.S0.6</t>
  </si>
  <si>
    <t xml:space="preserve">UNAUTH_BOOST_SEC</t>
  </si>
  <si>
    <t xml:space="preserve">0.45;0.28;0.15;0.42;0.38;0.35;0.32;0.30;0.25;0.45;0.42;0.38;0.35;0.20;0.15;0.22;0.28;0.40;0.25;0.32;0.48;0.50;0.22</t>
  </si>
  <si>
    <t xml:space="preserve">Sector-specific unauthorized LFP/ETPR/U3R boost (23 sectors, high in manual labor)</t>
  </si>
  <si>
    <t xml:space="preserve">ACS/MPI + sector weighting</t>
  </si>
  <si>
    <t xml:space="preserve">FORM.1 / FORM.10 / FORM.12 / FORM.14</t>
  </si>
  <si>
    <t xml:space="preserve">LSD.RID.0.AL.PARAM.S0.7</t>
  </si>
  <si>
    <t xml:space="preserve">TNPE_SHARES_SEC</t>
  </si>
  <si>
    <t xml:space="preserve">0.042;0.031;0.018;0.022;0.045;0.038;0.035;0.040;0.028;0.055;0.062;0.040;0.032;0.025;0.012;0.015;0.020;0.045;0.018;0.035;0.065;0.072;0.028</t>
  </si>
  <si>
    <t xml:space="preserve">Total Non-Population-Equivalent shares per Labor Sector (23 sectors)</t>
  </si>
  <si>
    <t xml:space="preserve">BLS CES + ACS immigrant estimates</t>
  </si>
  <si>
    <t xml:space="preserve">Named range TNPE_SHARES_SEC</t>
  </si>
  <si>
    <t xml:space="preserve">LSD.RID.0.AL.PARAM.S0.8</t>
  </si>
  <si>
    <t xml:space="preserve">AUTH_IMMIGRANT_SHARE_SEC</t>
  </si>
  <si>
    <t xml:space="preserve">0.018;0.012;0.009;0.015;0.022;0.020;0.019;0.021;0.016;0.025;0.028;0.020;0.018;0.012;0.008;0.010;0.015;0.022;0.010;0.018;0.030;0.035;0.015</t>
  </si>
  <si>
    <t xml:space="preserve">Authorized immigrant population share per sector</t>
  </si>
  <si>
    <t xml:space="preserve">ACS 2024-2025</t>
  </si>
  <si>
    <t xml:space="preserve">FORM.1 proration</t>
  </si>
  <si>
    <t xml:space="preserve">LSD.RID.0.AL.PARAM.S0.9</t>
  </si>
  <si>
    <t xml:space="preserve">UNAUTH_IMMIGRANT_SHARE_SEC</t>
  </si>
  <si>
    <t xml:space="preserve">0.0226;0.0179;0.0085;0.0066;0.0216;0.0169;0.0150;0.0179;0.0113;0.0282;0.0320;0.0188;0.0132;0.0122;0.0038;0.0047;0.0047;0.0216;0.0075;0.0160;0.0329;0.0348;0.0122</t>
  </si>
  <si>
    <t xml:space="preserve">Unauthorized immigrant population share per sector (refined 6% lower for 2025 enforcement realism)</t>
  </si>
  <si>
    <t xml:space="preserve">ACS/MPI 2024-2025 adjusted</t>
  </si>
  <si>
    <t xml:space="preserve">Refined for TNPE Group 3</t>
  </si>
  <si>
    <t xml:space="preserve">LSD.RID.0.AL.PARAM.S0.10</t>
  </si>
  <si>
    <t xml:space="preserve">AUTH_IMMIGRANT_ETPR_ADJ_FACTOR</t>
  </si>
  <si>
    <t xml:space="preserve">Authorized immigrant ETPR adjustment factor</t>
  </si>
  <si>
    <t xml:space="preserve">Derived from TNPE fusion</t>
  </si>
  <si>
    <t xml:space="preserve">FORM.1</t>
  </si>
  <si>
    <t xml:space="preserve">LSD.RID.0.AL.PARAM.S0.11</t>
  </si>
  <si>
    <t xml:space="preserve">UNAUTH_IMMIGRANT_ETPR_ADJ_FACTOR</t>
  </si>
  <si>
    <t xml:space="preserve">Unauthorized immigrant ETPR adjustment factor</t>
  </si>
  <si>
    <t xml:space="preserve">LSD.RID.0.AL.PARAM.S0.12</t>
  </si>
  <si>
    <t xml:space="preserve">UNAUTH_IMMIGRANT_CAP</t>
  </si>
  <si>
    <t xml:space="preserve">Statewide unauthorized immigrant cap for proration</t>
  </si>
  <si>
    <t xml:space="preserve">ACS-derived</t>
  </si>
  <si>
    <t xml:space="preserve">LSD.RID.0.AL.PARAM.S0.13</t>
  </si>
  <si>
    <t xml:space="preserve">ACCURACY_BLS</t>
  </si>
  <si>
    <t xml:space="preserve">BLS data source confidence weight</t>
  </si>
  <si>
    <t xml:space="preserve">BLS metadata</t>
  </si>
  <si>
    <t xml:space="preserve">FORM.2</t>
  </si>
  <si>
    <t xml:space="preserve">LSD.RID.0.AL.PARAM.S0.14</t>
  </si>
  <si>
    <t xml:space="preserve">ACCURACY_ACS</t>
  </si>
  <si>
    <t xml:space="preserve">ACS data source confidence weight</t>
  </si>
  <si>
    <t xml:space="preserve">ACS metadata</t>
  </si>
  <si>
    <t xml:space="preserve">LSD.RID.0.AL.PARAM.S0.15</t>
  </si>
  <si>
    <t xml:space="preserve">ACCURACY_MPI</t>
  </si>
  <si>
    <t xml:space="preserve">MPI data source confidence weight</t>
  </si>
  <si>
    <t xml:space="preserve">Medium</t>
  </si>
  <si>
    <t xml:space="preserve">MPI metadata</t>
  </si>
  <si>
    <t xml:space="preserve">LSD.RID.0.AL.PARAM.S0.16</t>
  </si>
  <si>
    <t xml:space="preserve">ASYMMETRY_FACTOR_GROUP</t>
  </si>
  <si>
    <t xml:space="preserve">Base group asymmetry factor</t>
  </si>
  <si>
    <t xml:space="preserve">Internal</t>
  </si>
  <si>
    <t xml:space="preserve">FORM.3</t>
  </si>
  <si>
    <t xml:space="preserve">LSD.RID.0.AL.PARAM.S0.17</t>
  </si>
  <si>
    <t xml:space="preserve">SECTOR_ASYMMETRY_FACTOR_GROUP</t>
  </si>
  <si>
    <t xml:space="preserve">1.08;1.06;1.02;1.09;1.07;1.05;1.04;1.06;1.03;1.10;1.09;1.07;1.06;1.03;1.01;1.02;1.04;1.08;1.03;1.05;1.11;1.12;1.02</t>
  </si>
  <si>
    <t xml:space="preserve">Sector-specific asymmetry factor</t>
  </si>
  <si>
    <t xml:space="preserve">Calibrated to LFP/ETPR variance</t>
  </si>
  <si>
    <t xml:space="preserve">FORM.3 / FORM.9</t>
  </si>
  <si>
    <t xml:space="preserve">LSD.RID.0.AL.PARAM.S0.18</t>
  </si>
  <si>
    <t xml:space="preserve">GROUP_VARIANCE</t>
  </si>
  <si>
    <t xml:space="preserve">0.035;0.028;0.015;0.042;0.038;0.032;0.030;0.035;0.025;0.045;0.048;0.035;0.032;0.022;0.012;0.015;0.018;0.040;0.020;0.030;0.055;0.060;0.025</t>
  </si>
  <si>
    <t xml:space="preserve">Group variance bounds per sector</t>
  </si>
  <si>
    <t xml:space="preserve">Internal reconciliation</t>
  </si>
  <si>
    <t xml:space="preserve">LSD.RID.0.AL.PARAM.S0.19</t>
  </si>
  <si>
    <t xml:space="preserve">LFP_PUBLIC_TARGET</t>
  </si>
  <si>
    <t xml:space="preserve">Public benchmark target for aggregate LFP</t>
  </si>
  <si>
    <t xml:space="preserve">Updated to official Dec 2025</t>
  </si>
  <si>
    <t xml:space="preserve">LSD.RID.0.AL.PARAM.S0.20</t>
  </si>
  <si>
    <t xml:space="preserve">MIN_VARIANCE_TARGET</t>
  </si>
  <si>
    <t xml:space="preserve">Minimum variance threshold for iterative reconciliation</t>
  </si>
  <si>
    <t xml:space="preserve">FORM.0</t>
  </si>
  <si>
    <t xml:space="preserve">LSD.RID.0.AL.PARAM.S0.21</t>
  </si>
  <si>
    <t xml:space="preserve">SOURCE_CONFIDENCE_SEC</t>
  </si>
  <si>
    <t xml:space="preserve">0.85;0.82;0.90;0.78;0.80;0.83;0.84;0.81;0.88;0.75;0.72;0.79;0.85;0.91;0.92;0.89;0.87;0.76;0.88;0.82;0.70;0.68;0.89</t>
  </si>
  <si>
    <t xml:space="preserve">Per-sector source confidence (BLS/ACS blend)</t>
  </si>
  <si>
    <t xml:space="preserve">LSD.RID.0.AL.PARAM.S0.22</t>
  </si>
  <si>
    <t xml:space="preserve">SECTOR_EMPLOYMENT_BASE</t>
  </si>
  <si>
    <t xml:space="preserve">[derived from BLS CES]</t>
  </si>
  <si>
    <t xml:space="preserve">Sector base employment (pre-adjustment)</t>
  </si>
  <si>
    <t xml:space="preserve">BLS CES Dec 2025</t>
  </si>
  <si>
    <t xml:space="preserve">LSD.RID.0.AL.PARAM.S0.23</t>
  </si>
  <si>
    <t xml:space="preserve">ADJUSTMENT_FACTOR_SEC</t>
  </si>
  <si>
    <t xml:space="preserve">1.015;1.008;0.995;1.022;1.018;1.012;1.010;1.014;1.005;0.982;0.978;1.009;1.011;1.025;1.030;1.028;1.020;0.990;1.000;1.005;0.975;0.968;1.002</t>
  </si>
  <si>
    <t xml:space="preserve">Sector employment adjustment factor</t>
  </si>
  <si>
    <t xml:space="preserve">Calibrated</t>
  </si>
  <si>
    <t xml:space="preserve">LSD.RID.0.AL.PARAM.S0.24</t>
  </si>
  <si>
    <t xml:space="preserve">VARIANCE_CHECK_SEC</t>
  </si>
  <si>
    <t xml:space="preserve">0.028;0.022;0.012;0.035;0.031;0.026;0.024;0.029;0.019;0.038;0.041;0.027;0.025;0.018;0.009;0.011;0.014;0.033;0.016;0.024;0.047;0.052;0.020</t>
  </si>
  <si>
    <t xml:space="preserve">Sector variance check values</t>
  </si>
  <si>
    <t xml:space="preserve">LSD.RID.0.AL.PARAM.S0.25</t>
  </si>
  <si>
    <t xml:space="preserve">ETPR_ADJ_SEC</t>
  </si>
  <si>
    <t xml:space="preserve">1.02;1.01;0.98;1.03;1.04;1.02;1.01;1.03;1.00;0.97;0.95;1.02;1.01;1.05;1.08;1.06;1.04;0.99;1.00;1.01;0.96;0.94;1.00</t>
  </si>
  <si>
    <t xml:space="preserve">Sector ETPR adjustment (shared with LFP/LFPR)</t>
  </si>
  <si>
    <t xml:space="preserve">Calibrated to TNPE</t>
  </si>
  <si>
    <t xml:space="preserve">FORM.11</t>
  </si>
  <si>
    <t xml:space="preserve">ETPR,LFPR</t>
  </si>
  <si>
    <t xml:space="preserve">LSD.RID.0.AL.PARAM.S0.26</t>
  </si>
  <si>
    <t xml:space="preserve">LFPR_ADJ_SEC</t>
  </si>
  <si>
    <t xml:space="preserve">1.015;1.008;0.992;1.022;1.018;1.012;1.010;1.015;1.005;0.985;0.978;1.012;1.010;1.025;1.030;1.028;1.020;0.995;1.000;1.005;0.980;0.972;1.005</t>
  </si>
  <si>
    <t xml:space="preserve">Sector LFPR adjustment</t>
  </si>
  <si>
    <t xml:space="preserve">FORM.8</t>
  </si>
  <si>
    <t xml:space="preserve">LSD.RID.0.AL.PARAM.S0.27</t>
  </si>
  <si>
    <t xml:space="preserve">U3R_ASYMM_SEC</t>
  </si>
  <si>
    <t xml:space="preserve">1.05;1.03;1.01;1.06;1.04;1.04;1.03;1.05;1.02;1.07;1.08;1.05;1.04;1.02;1.01;1.01;1.02;1.06;1.02;1.03;1.09;1.10;1.01</t>
  </si>
  <si>
    <t xml:space="preserve">Sector U3R asymmetry</t>
  </si>
  <si>
    <t xml:space="preserve">FORM.13</t>
  </si>
  <si>
    <t xml:space="preserve">LSD.RID.0.AL.PARAM.S0.28</t>
  </si>
  <si>
    <t xml:space="preserve">U3R_ADJ_GROUP</t>
  </si>
  <si>
    <t xml:space="preserve">Group U3R adjustment (higher for unauth)</t>
  </si>
  <si>
    <t xml:space="preserve">FORM.14</t>
  </si>
  <si>
    <t xml:space="preserve">LSD.RID.0.AL.PARAM.S0.29</t>
  </si>
  <si>
    <t xml:space="preserve">UNAUTH_BOOST_U3R</t>
  </si>
  <si>
    <t xml:space="preserve">[same as UNAUTH_BOOST_SEC]</t>
  </si>
  <si>
    <t xml:space="preserve">Unauthorized U3R-specific boost (mirrors S0.6)</t>
  </si>
  <si>
    <t xml:space="preserve">LSD.RID.0.AL.PARAM.S0.30</t>
  </si>
  <si>
    <t xml:space="preserve">U3R_VARIANCE_SEC</t>
  </si>
  <si>
    <t xml:space="preserve">0.032;0.025;0.014;0.038;0.035;0.030;0.028;0.032;0.022;0.042;0.045;0.032;0.030;0.020;0.010;0.012;0.015;0.038;0.018;0.028;0.050;0.055;0.022</t>
  </si>
  <si>
    <t xml:space="preserve">Sector U3R variance bounds</t>
  </si>
  <si>
    <t xml:space="preserve">LSD.RID.0.AL.PARAM.S0.31</t>
  </si>
  <si>
    <t xml:space="preserve">EP_PUBLIC_TARGET</t>
  </si>
  <si>
    <t xml:space="preserve">Statewide EP benchmark (Dec 2025)</t>
  </si>
  <si>
    <t xml:space="preserve">Updated for Group 1</t>
  </si>
  <si>
    <t xml:space="preserve">LSD.RID.0.AL.PARAM.S0.32</t>
  </si>
  <si>
    <t xml:space="preserve">U3P_PUBLIC_TARGET</t>
  </si>
  <si>
    <t xml:space="preserve">Statewide U3P benchmark (Dec 2025)</t>
  </si>
  <si>
    <t xml:space="preserve">U3P</t>
  </si>
  <si>
    <t xml:space="preserve">LSD.RID.0.AL.PARAM.S0.33</t>
  </si>
  <si>
    <t xml:space="preserve">LFPR_PUBLIC_TARGET</t>
  </si>
  <si>
    <t xml:space="preserve">Statewide LFPR benchmark (Dec 2025)</t>
  </si>
  <si>
    <t xml:space="preserve">LSD.RID.0.AL.PARAM.S0.34</t>
  </si>
  <si>
    <t xml:space="preserve">ETPR_PUBLIC_TARGET</t>
  </si>
  <si>
    <t xml:space="preserve">Statewide ETPR benchmark (Dec 2025)</t>
  </si>
  <si>
    <t xml:space="preserve">LSD.RID.0.AL.PARAM.S0.35</t>
  </si>
  <si>
    <t xml:space="preserve">U3R_PUBLIC_TARGET</t>
  </si>
  <si>
    <t xml:space="preserve">Statewide U3R benchmark (Dec 2025)</t>
  </si>
  <si>
    <t xml:space="preserve">LSD.RID.0.AL.PARAM.S0.36</t>
  </si>
  <si>
    <t xml:space="preserve">U6P_PUBLIC_TARGET</t>
  </si>
  <si>
    <t xml:space="preserve">Statewide U6P benchmark (refined for realistic slack)</t>
  </si>
  <si>
    <t xml:space="preserve">Derived from U6R patterns</t>
  </si>
  <si>
    <t xml:space="preserve">Updated for Group 2</t>
  </si>
  <si>
    <t xml:space="preserve">U6P</t>
  </si>
  <si>
    <t xml:space="preserve">LSD.RID.0.AL.PARAM.S0.37</t>
  </si>
  <si>
    <t xml:space="preserve">AUTH_POP_ADJ_SEC</t>
  </si>
  <si>
    <t xml:space="preserve">0.95;0.94;0.97;0.92;0.96;0.98;0.99;0.97;1.02;1.05;1.06;1.03;1.04;1.08;1.07;1.06;1.08;0.98;1.03;1.05;1.02;1.01;1.04</t>
  </si>
  <si>
    <t xml:space="preserve">Group-specific authorized population adjustment per sector</t>
  </si>
  <si>
    <t xml:space="preserve">ACS patterns (premium in skilled sectors, discount in manual)</t>
  </si>
  <si>
    <t xml:space="preserve">New for U3TPR/U6TPR refinement</t>
  </si>
  <si>
    <t xml:space="preserve">All (U3TPR,U6TPR)</t>
  </si>
  <si>
    <t xml:space="preserve">LSD.RID.0.AL.PARAM.S0.38</t>
  </si>
  <si>
    <t xml:space="preserve">UNAUTH_POP_ADJ_SEC</t>
  </si>
  <si>
    <t xml:space="preserve">0.98;0.97;0.95;0.92;0.96;0.94;0.93;0.95;0.88;0.85;0.84;0.90;0.89;0.87;0.92;0.91;0.90;0.96;0.92;0.90;0.88;0.87;0.89</t>
  </si>
  <si>
    <t xml:space="preserve">Group-specific unauthorized population adjustment per sector</t>
  </si>
  <si>
    <t xml:space="preserve">ACS patterns (larger discount in skilled/professional, smaller in manual)</t>
  </si>
  <si>
    <t xml:space="preserve">LSD.RID.0.AL.PARAM.S1 - LFP/ETPR/LFPR Group</t>
  </si>
  <si>
    <t xml:space="preserve">LFP/ETPR/LFPR Group</t>
  </si>
  <si>
    <t xml:space="preserve">LSD.RID.0.AL.PARAM.S1.0</t>
  </si>
  <si>
    <t xml:space="preserve">LFP_BASE_ADJ_SEC</t>
  </si>
  <si>
    <t xml:space="preserve">1.03;1.01;0.98;1.04;1.05;1.03;1.02;1.04;1.00;0.97;0.95;1.03;1.02;1.06;1.09;1.07;1.05;0.99;1.00;1.02;0.96;0.94;1.01</t>
  </si>
  <si>
    <t xml:space="preserve">Sector-specific LFP base adjustment</t>
  </si>
  <si>
    <t xml:space="preserve">Calibrated to BLS LAUS + TNPE</t>
  </si>
  <si>
    <t xml:space="preserve">LFP,ETPR,LFPR</t>
  </si>
  <si>
    <t xml:space="preserve">LSD.RID.0.AL.PARAM.S1.1</t>
  </si>
  <si>
    <t xml:space="preserve">LFP_VARIANCE_SEC</t>
  </si>
  <si>
    <t xml:space="preserve">0.028;0.022;0.015;0.035;0.032;0.027;0.025;0.030;0.020;0.040;0.042;0.028;0.026;0.019;0.010;0.012;0.015;0.035;0.018;0.025;0.048;0.052;0.021</t>
  </si>
  <si>
    <t xml:space="preserve">Sector LFP variance bounds for iteration</t>
  </si>
  <si>
    <t xml:space="preserve">FORM.0 reconciliation</t>
  </si>
  <si>
    <t xml:space="preserve">LSD.RID.0.AL.PARAM.S1.2</t>
  </si>
  <si>
    <t xml:space="preserve">ETPR_TARGET_GROUP_AUTH</t>
  </si>
  <si>
    <t xml:space="preserve">Authorized group ETPR target</t>
  </si>
  <si>
    <t xml:space="preserve">BLS-derived</t>
  </si>
  <si>
    <t xml:space="preserve">LSD.RID.0.AL.PARAM.S1.3</t>
  </si>
  <si>
    <t xml:space="preserve">ETPR_TARGET_GROUP_UNAUTH</t>
  </si>
  <si>
    <t xml:space="preserve">Unauthorized group ETPR target</t>
  </si>
  <si>
    <t xml:space="preserve">LSD.RID.0.AL.PARAM.S1.4</t>
  </si>
  <si>
    <t xml:space="preserve">ETPR_TARGET_GROUP_AMER</t>
  </si>
  <si>
    <t xml:space="preserve">American group ETPR target</t>
  </si>
  <si>
    <t xml:space="preserve">LSD.RID.0.AL.PARAM.S1.5</t>
  </si>
  <si>
    <t xml:space="preserve">GROUP_ETPR_ADJ_FACTOR</t>
  </si>
  <si>
    <t xml:space="preserve">Group-level ETPR adjustment</t>
  </si>
  <si>
    <t xml:space="preserve">FORM.7</t>
  </si>
  <si>
    <t xml:space="preserve">LSD.RID.0.AL.PARAM.S1.6</t>
  </si>
  <si>
    <t xml:space="preserve">LFPR_TARGET_GROUP_AUTH</t>
  </si>
  <si>
    <t xml:space="preserve">Authorized LFPR target</t>
  </si>
  <si>
    <t xml:space="preserve">ACS/BLS</t>
  </si>
  <si>
    <t xml:space="preserve">LSD.RID.0.AL.PARAM.S1.7</t>
  </si>
  <si>
    <t xml:space="preserve">LFPR_TARGET_GROUP_UNAUTH</t>
  </si>
  <si>
    <t xml:space="preserve">Unauthorized LFPR target</t>
  </si>
  <si>
    <t xml:space="preserve">LSD.RID.0.AL.PARAM.S1.8</t>
  </si>
  <si>
    <t xml:space="preserve">LFPR_TARGET_GROUP_AMER</t>
  </si>
  <si>
    <t xml:space="preserve">American LFPR target</t>
  </si>
  <si>
    <t xml:space="preserve">LSD.RID.0.AL.PARAM.S1.9</t>
  </si>
  <si>
    <t xml:space="preserve">LFP_CIV_POP_SHARE_SEC</t>
  </si>
  <si>
    <t xml:space="preserve">[calculated from shares]</t>
  </si>
  <si>
    <t xml:space="preserve">Civilian population share per sector for LFP proration</t>
  </si>
  <si>
    <t xml:space="preserve">LSD.RID.0.AL.PARAM.S1.10</t>
  </si>
  <si>
    <t xml:space="preserve">ETPR_GROUP_LINK_FACTOR</t>
  </si>
  <si>
    <t xml:space="preserve">ETPR group linkage to LFP</t>
  </si>
  <si>
    <t xml:space="preserve">FORM.6 / FORM.11</t>
  </si>
  <si>
    <t xml:space="preserve">ETPR,LFP</t>
  </si>
  <si>
    <t xml:space="preserve">LSD.RID.0.AL.PARAM.S1.11</t>
  </si>
  <si>
    <t xml:space="preserve">LFPR_ETPR_LINK_FACTOR</t>
  </si>
  <si>
    <t xml:space="preserve">LFPR-ETPR cross-metric link</t>
  </si>
  <si>
    <t xml:space="preserve">LFPR,ETPR</t>
  </si>
  <si>
    <t xml:space="preserve">LSD.RID.0.AL.PARAM.S1.12</t>
  </si>
  <si>
    <t xml:space="preserve">LFP_ITERATION_MAX</t>
  </si>
  <si>
    <t xml:space="preserve">Maximum LFP calibration iterations</t>
  </si>
  <si>
    <t xml:space="preserve">FORM.4</t>
  </si>
  <si>
    <t xml:space="preserve">LSD.RID.0.AL.PARAM.S1.13</t>
  </si>
  <si>
    <t xml:space="preserve">ETPR_ITERATION_MAX</t>
  </si>
  <si>
    <t xml:space="preserve">Maximum ETPR calibration iterations</t>
  </si>
  <si>
    <t xml:space="preserve">LSD.RID.0.AL.PARAM.S1.14</t>
  </si>
  <si>
    <t xml:space="preserve">LFPR_ITERATION_MAX</t>
  </si>
  <si>
    <t xml:space="preserve">Maximum LFPR calibration iterations</t>
  </si>
  <si>
    <t xml:space="preserve">LSD.RID.0.AL.PARAM.S1.15</t>
  </si>
  <si>
    <t xml:space="preserve">Public LFP benchmark (Dec 2025)</t>
  </si>
  <si>
    <t xml:space="preserve">LSD.RID.0.AL.PARAM.S1.16</t>
  </si>
  <si>
    <t xml:space="preserve">LSD.RID.0.AL.PARAM.S1.17</t>
  </si>
  <si>
    <t xml:space="preserve">LSD.RID.0.AL.PARAM.S1.18</t>
  </si>
  <si>
    <t xml:space="preserve">LFP_AUTH_SHARE_ADJ</t>
  </si>
  <si>
    <t xml:space="preserve">Authorized LFP share adjustment</t>
  </si>
  <si>
    <t xml:space="preserve">LSD.RID.0.AL.PARAM.S1.19</t>
  </si>
  <si>
    <t xml:space="preserve">LFP_UNAUTH_SHARE_ADJ</t>
  </si>
  <si>
    <t xml:space="preserve">Unauthorized LFP share adjustment</t>
  </si>
  <si>
    <t xml:space="preserve">LSD.RID.0.AL.PARAM.S1.20</t>
  </si>
  <si>
    <t xml:space="preserve">LFP_AMER_SHARE_ADJ</t>
  </si>
  <si>
    <t xml:space="preserve">American LFP share adjustment</t>
  </si>
  <si>
    <t xml:space="preserve">LSD.RID.0.AL.PARAM.S1.21</t>
  </si>
  <si>
    <t xml:space="preserve">SECTOR_LFP_WEIGHT_SEC</t>
  </si>
  <si>
    <t xml:space="preserve">0.045;0.032;0.019;0.023;0.048;0.041;0.037;0.042;0.029;0.058;0.065;0.042;0.033;0.026;0.013;0.016;0.021;0.047;0.019;0.036;0.068;0.075;0.029</t>
  </si>
  <si>
    <t xml:space="preserve">Sector weights for aggregate LFP</t>
  </si>
  <si>
    <t xml:space="preserve">Derived from employment base</t>
  </si>
  <si>
    <t xml:space="preserve">LSD.RID.0.AL.PARAM.S1.22</t>
  </si>
  <si>
    <t xml:space="preserve">ETPR_FUSION_WEIGHT_BLS</t>
  </si>
  <si>
    <t xml:space="preserve">BLS weight in ETPR fusion</t>
  </si>
  <si>
    <t xml:space="preserve">LSD.RID.0.AL.PARAM.S1.23</t>
  </si>
  <si>
    <t xml:space="preserve">LFPR_FUSION_WEIGHT_ACS</t>
  </si>
  <si>
    <t xml:space="preserve">ACS weight in LFPR fusion</t>
  </si>
  <si>
    <t xml:space="preserve">LSD.RID.0.AL.PARAM.S1.24</t>
  </si>
  <si>
    <t xml:space="preserve">LFP_GROUP_ASYMMETRY</t>
  </si>
  <si>
    <t xml:space="preserve">Group asymmetry for LFP</t>
  </si>
  <si>
    <t xml:space="preserve">LSD.RID.0.AL.PARAM.S1.25</t>
  </si>
  <si>
    <t xml:space="preserve">1.08;1.12;1.06;1.18;1.15;1.10;1.09;1.13;1.04;1.20;1.25;1.12;1.10;1.06;1.02;1.03;1.05;1.15;1.08;1.12;1.28;1.32;1.06</t>
  </si>
  <si>
    <t xml:space="preserve">Sector-specific LFPR adjustment (widened range)</t>
  </si>
  <si>
    <t xml:space="preserve">Calibrated to match population base</t>
  </si>
  <si>
    <t xml:space="preserve">Refined #3 – more varied</t>
  </si>
  <si>
    <t xml:space="preserve">LSD.RID.0.AL.PARAM.S1.26</t>
  </si>
  <si>
    <t xml:space="preserve">LFPR_UNAUTH_ASYMM_SEC</t>
  </si>
  <si>
    <t xml:space="preserve">1.18;1.15;1.10;1.22;1.20;1.17;1.16;1.18;1.12;1.25;1.28;1.17;1.16;1.10;1.06;1.07;1.09;1.20;1.12;1.17;1.32;1.35;1.09</t>
  </si>
  <si>
    <t xml:space="preserve">Unauthorized asymmetry scalar for LFPR per sector</t>
  </si>
  <si>
    <t xml:space="preserve">Calibrated structural barriers</t>
  </si>
  <si>
    <t xml:space="preserve">New refinement #2</t>
  </si>
  <si>
    <t xml:space="preserve">LSD.RID.0.AL.PARAM.S2a</t>
  </si>
  <si>
    <t xml:space="preserve">U3R-Specific Parameters</t>
  </si>
  <si>
    <t xml:space="preserve">LSD.RID.0.AL.PARAM.S2a.0</t>
  </si>
  <si>
    <t xml:space="preserve">Statewide U3R benchmark</t>
  </si>
  <si>
    <t xml:space="preserve">LSD.RID.0.AL.PARAM.S2a.1</t>
  </si>
  <si>
    <t xml:space="preserve">U3R_VARIANCE_SEC array</t>
  </si>
  <si>
    <t xml:space="preserve">References PARAM.S2.12</t>
  </si>
  <si>
    <t xml:space="preserve">Variance bounds per sector</t>
  </si>
  <si>
    <t xml:space="preserve">var.</t>
  </si>
  <si>
    <t xml:space="preserve">Shared PARAM</t>
  </si>
  <si>
    <t xml:space="preserve">LSD.RID.0.AL.PARAM.S2a.2</t>
  </si>
  <si>
    <t xml:space="preserve">U3R_ADJ_SEC array</t>
  </si>
  <si>
    <t xml:space="preserve">References PARAM.S2.20</t>
  </si>
  <si>
    <t xml:space="preserve">Sector U3R adjustment factors (widened)</t>
  </si>
  <si>
    <t xml:space="preserve">Refined #3</t>
  </si>
  <si>
    <t xml:space="preserve">LSD.RID.0.AL.PARAM.S2a.3</t>
  </si>
  <si>
    <t xml:space="preserve">U3R_UNAUTH_ASYMM_SEC array</t>
  </si>
  <si>
    <t xml:space="preserve">References PARAM.S2.21</t>
  </si>
  <si>
    <t xml:space="preserve">Unauthorized asymmetry scalar per sector</t>
  </si>
  <si>
    <t xml:space="preserve">LSD.RID.0.AL.PARAM.S2a.4</t>
  </si>
  <si>
    <t xml:space="preserve">U3R_FUSION_WEIGHT_BLS</t>
  </si>
  <si>
    <t xml:space="preserve">BLS fusion weight</t>
  </si>
  <si>
    <t xml:space="preserve">Shared FORM.S2</t>
  </si>
  <si>
    <t xml:space="preserve">LSD.RID.0.AL.PARAM.S2a.5</t>
  </si>
  <si>
    <t xml:space="preserve">U3R_ITERATION_MAX</t>
  </si>
  <si>
    <t xml:space="preserve">Maximum calibration iterations</t>
  </si>
  <si>
    <t xml:space="preserve">Shared PARAM.S2.7</t>
  </si>
  <si>
    <t xml:space="preserve">LSD.RID.0.AL.PARAM.S2b</t>
  </si>
  <si>
    <t xml:space="preserve">U6R-Specific Parameters</t>
  </si>
  <si>
    <t xml:space="preserve">LSD.RID.0.AL.PARAM.S2b.0</t>
  </si>
  <si>
    <t xml:space="preserve">U6R_PUBLIC_TARGET</t>
  </si>
  <si>
    <t xml:space="preserve">Statewide U6R benchmark (implied)</t>
  </si>
  <si>
    <t xml:space="preserve">BLS patterns</t>
  </si>
  <si>
    <t xml:space="preserve">LSD.RID.0.AL.PARAM.S2b.1</t>
  </si>
  <si>
    <t xml:space="preserve">U6R_VARIANCE_SEC array</t>
  </si>
  <si>
    <t xml:space="preserve">References PARAM.S2.13</t>
  </si>
  <si>
    <t xml:space="preserve">LSD.RID.0.AL.PARAM.S2b.2</t>
  </si>
  <si>
    <t xml:space="preserve">U6R_ADJ_SEC array</t>
  </si>
  <si>
    <t xml:space="preserve">Sector U6R adjustment factors (widened)</t>
  </si>
  <si>
    <t xml:space="preserve">LSD.RID.0.AL.PARAM.S2b.3</t>
  </si>
  <si>
    <t xml:space="preserve">U6R_UNAUTH_ASYMM_SEC array</t>
  </si>
  <si>
    <t xml:space="preserve">LSD.RID.0.AL.PARAM.S2b.4</t>
  </si>
  <si>
    <t xml:space="preserve">U6R_FUSION_WEIGHT</t>
  </si>
  <si>
    <t xml:space="preserve">BLS/ACS fusion weight</t>
  </si>
  <si>
    <t xml:space="preserve">LSD.RID.0.AL.PARAM.S2b.5</t>
  </si>
  <si>
    <t xml:space="preserve">U6R_ITERATION_MAX</t>
  </si>
  <si>
    <t xml:space="preserve">LSD.RID.0.AL.PARAM.S3</t>
  </si>
  <si>
    <t xml:space="preserve">WAVG/AIAVG Group</t>
  </si>
  <si>
    <t xml:space="preserve">LSD.RID.0.AL.PARAM.S3.0</t>
  </si>
  <si>
    <t xml:space="preserve">ANNUAL_HOURS_SEC</t>
  </si>
  <si>
    <t xml:space="preserve">1950;2080;2100;1980;2040;2020;2060;2000;1920;1880;1850;2100;1980;2150;2200;2120;2050;1900;1950;1880;1720;1680;1980</t>
  </si>
  <si>
    <t xml:space="preserve">Annual hours worked per sector (for AIAVG)</t>
  </si>
  <si>
    <t xml:space="preserve">BLS CES/OES</t>
  </si>
  <si>
    <t xml:space="preserve">References in AIAVG.PARAM.2</t>
  </si>
  <si>
    <t xml:space="preserve">WAVG,AIAVG</t>
  </si>
  <si>
    <t xml:space="preserve">LSD.RID.0.AL.PARAM.S3.1</t>
  </si>
  <si>
    <t xml:space="preserve">UNAUTH_WAVG_PENALTY_SEC</t>
  </si>
  <si>
    <t xml:space="preserve">0.72;0.68;0.82;0.65;0.70;0.71;0.69;0.67;0.75;0.62;0.60;0.73;0.74;0.80;0.85;0.83;0.78;0.66;0.79;0.71;0.58;0.55;0.76</t>
  </si>
  <si>
    <t xml:space="preserve">Unauthorized wage penalty per sector</t>
  </si>
  <si>
    <t xml:space="preserve">ACS/MPI wage gaps</t>
  </si>
  <si>
    <t xml:space="preserve">FORM for WAVG</t>
  </si>
  <si>
    <t xml:space="preserve">LSD.RID.0.AL.PARAM.S3.2</t>
  </si>
  <si>
    <t xml:space="preserve">AUTH_WAVG_PREMIUM_SEC</t>
  </si>
  <si>
    <t xml:space="preserve">1.018;1.012;1.008;1.022;1.015;1.014;1.013;1.016;1.010;1.025;1.028;1.011;1.012;1.009;1.006;1.007;1.010;1.020;1.008;1.013;1.030;1.032;1.009</t>
  </si>
  <si>
    <t xml:space="preserve">Authorized wage premium per sector</t>
  </si>
  <si>
    <t xml:space="preserve">ACS patterns</t>
  </si>
  <si>
    <t xml:space="preserve">LSD.RID.0.AL.PARAM.S3.3</t>
  </si>
  <si>
    <t xml:space="preserve">WAVG_VARIANCE_SEC</t>
  </si>
  <si>
    <t xml:space="preserve">0.025;0.020;0.012;0.032;0.028;0.024;0.022;0.026;0.018;0.035;0.038;0.023;0.021;0.015;0.008;0.010;0.013;0.030;0.016;0.022;0.042;0.045;0.018</t>
  </si>
  <si>
    <t xml:space="preserve">Sector WAVG variance</t>
  </si>
  <si>
    <t xml:space="preserve">LSD.RID.0.AL.PARAM.S3.4</t>
  </si>
  <si>
    <t xml:space="preserve">UNAUTH_AIAVG_PENALTY_SEC</t>
  </si>
  <si>
    <t xml:space="preserve">0.68;0.65;0.78;0.62;0.67;0.68;0.66;0.64;0.72;0.59;0.57;0.70;0.71;0.77;0.82;0.80;0.75;0.63;0.76;0.68;0.55;0.52;0.73</t>
  </si>
  <si>
    <t xml:space="preserve">Unauthorized AIAVG penalty (mirrors WAVG)</t>
  </si>
  <si>
    <t xml:space="preserve">Derived from WAVG</t>
  </si>
  <si>
    <t xml:space="preserve">AIAVG.PARAM.3</t>
  </si>
  <si>
    <t xml:space="preserve">LSD.RID.0.AL.PARAM.S3.5</t>
  </si>
  <si>
    <t xml:space="preserve">AUTH_AIAVG_PREMIUM_SEC</t>
  </si>
  <si>
    <t xml:space="preserve">1.022;1.015;1.010;1.025;1.018;1.017;1.016;1.019;1.012;1.028;1.030;1.013;1.014;1.011;1.008;1.009;1.012;1.023;1.010;1.015;1.032;1.035;1.011</t>
  </si>
  <si>
    <t xml:space="preserve">Authorized AIAVG premium</t>
  </si>
  <si>
    <t xml:space="preserve">Derived</t>
  </si>
  <si>
    <t xml:space="preserve">AIAVG.PARAM.4</t>
  </si>
  <si>
    <t xml:space="preserve">LSD.RID.0.AL.PARAM.S3.6</t>
  </si>
  <si>
    <t xml:space="preserve">AIAVG_VARIANCE_SEC</t>
  </si>
  <si>
    <t xml:space="preserve">0.028;0.023;0.014;0.035;0.031;0.027;0.025;0.029;0.020;0.038;0.041;0.026;0.024;0.017;0.009;0.011;0.014;0.033;0.018;0.025;0.045;0.048;0.020</t>
  </si>
  <si>
    <t xml:space="preserve">Sector AIAVG variance</t>
  </si>
  <si>
    <t xml:space="preserve">FORM for AIAVG</t>
  </si>
  <si>
    <t xml:space="preserve">AIAVG.PARAM.5</t>
  </si>
  <si>
    <t xml:space="preserve">LSD.RID.0.AL.PARAM.S3.7</t>
  </si>
  <si>
    <t xml:space="preserve">WAVG_PUBLIC_TARGET</t>
  </si>
  <si>
    <t xml:space="preserve">Statewide average hourly wage benchmark</t>
  </si>
  <si>
    <t xml:space="preserve">BLS OES/CES</t>
  </si>
  <si>
    <t xml:space="preserve">LSD.RID.0.AL.PARAM.S3.8</t>
  </si>
  <si>
    <t xml:space="preserve">AIAVG_PUBLIC_TARGET</t>
  </si>
  <si>
    <t xml:space="preserve">Statewide annual income benchmark</t>
  </si>
  <si>
    <t xml:space="preserve">AIAVG.PARAM.1</t>
  </si>
  <si>
    <t xml:space="preserve">LSD.RID.0.AL.PARAM.S3.9</t>
  </si>
  <si>
    <t xml:space="preserve">WAVG_HOURS_FUSION_WEIGHT</t>
  </si>
  <si>
    <t xml:space="preserve">BLS hours weight in WAVG fusion</t>
  </si>
  <si>
    <t xml:space="preserve">FORM.42</t>
  </si>
  <si>
    <t xml:space="preserve">LSD.RID.0.AL.PARAM.S3.10</t>
  </si>
  <si>
    <t xml:space="preserve">AIAVG_UNAUTH_PENALTY_AVG</t>
  </si>
  <si>
    <t xml:space="preserve">Average unauthorized AIAVG penalty</t>
  </si>
  <si>
    <t xml:space="preserve">AIAVG.VALID</t>
  </si>
  <si>
    <t xml:space="preserve">LSD.RID.0.AL.PARAM.S3.11</t>
  </si>
  <si>
    <t xml:space="preserve">WAVG_ITERATION_MAX</t>
  </si>
  <si>
    <t xml:space="preserve">Maximum WAVG iterations</t>
  </si>
  <si>
    <t xml:space="preserve">LSD.RID.0.AL.PARAM.S3.12</t>
  </si>
  <si>
    <t xml:space="preserve">AIAVG_ITERATION_MAX</t>
  </si>
  <si>
    <t xml:space="preserve">Maximum AIAVG iterations</t>
  </si>
  <si>
    <t xml:space="preserve">LSD.RID.0.AL.PARAM.S3.13</t>
  </si>
  <si>
    <t xml:space="preserve">WAVG_ASYMMETRY_SEC</t>
  </si>
  <si>
    <t xml:space="preserve">1.04;1.03;1.01;1.05;1.04;1.03;1.02;1.04;1.02;1.06;1.07;1.03;1.03;1.01;1.00;1.01;1.02;1.05;1.02;1.03;1.08;1.09;1.01</t>
  </si>
  <si>
    <t xml:space="preserve">Sector WAVG asymmetry</t>
  </si>
  <si>
    <t xml:space="preserve">LSD.RID.0.AL.PARAM.S3.14</t>
  </si>
  <si>
    <t xml:space="preserve">AIAVG_HOURS_ADJ_SEC</t>
  </si>
  <si>
    <t xml:space="preserve">1.00;1.02;1.01;0.99;1.00;1.01;1.00;1.00;0.98;0.97;0.96;1.01;1.00;1.02;1.03;1.02;1.01;0.98;1.00;0.97;0.95;0.94;1.00</t>
  </si>
  <si>
    <t xml:space="preserve">Annual hours sector adjustment</t>
  </si>
  <si>
    <t xml:space="preserve">BLS</t>
  </si>
  <si>
    <t xml:space="preserve">LSD.RID.0.AL.PARAM.S3.15</t>
  </si>
  <si>
    <t xml:space="preserve">WAVG_TNPE_WEIGHT</t>
  </si>
  <si>
    <t xml:space="preserve">TNPE weighting in WAVG</t>
  </si>
  <si>
    <t xml:space="preserve">LSD.RID.0.AL.PARAM.S3.16</t>
  </si>
  <si>
    <t xml:space="preserve">AIAVG_TNPE_WEIGHT</t>
  </si>
  <si>
    <t xml:space="preserve">TNPE weighting in AIAVG</t>
  </si>
  <si>
    <t xml:space="preserve">LSD.RID.0.AL.PARAM.S3.17</t>
  </si>
  <si>
    <t xml:space="preserve">WAVG_UNAUTH_BOOST_LINK</t>
  </si>
  <si>
    <t xml:space="preserve">Unauthorized boost linkage to WAVG</t>
  </si>
  <si>
    <t xml:space="preserve">FORM.10</t>
  </si>
  <si>
    <t xml:space="preserve">LSD.RID.0.AL.PARAM.S3.18</t>
  </si>
  <si>
    <t xml:space="preserve">AIAVG_VARIANCE_CHECK</t>
  </si>
  <si>
    <t xml:space="preserve">AIAVG variance check threshold</t>
  </si>
  <si>
    <t xml:space="preserve">LSD.RID.0.AL.PARAM.S3.19</t>
  </si>
  <si>
    <t xml:space="preserve">WAVG_GROUP_PENALTY_UNAUTH</t>
  </si>
  <si>
    <t xml:space="preserve">Unauthorized group penalty for WAVG</t>
  </si>
  <si>
    <t xml:space="preserve">LSD.RID.0.AL.PARAM.S3.20</t>
  </si>
  <si>
    <t xml:space="preserve">AIAVG_GROUP_PENALTY_UNAUTH</t>
  </si>
  <si>
    <t xml:space="preserve">Unauthorized group penalty for AIAVG</t>
  </si>
  <si>
    <t xml:space="preserve">LSD.RID.0.AL.PARAM.S3.21</t>
  </si>
  <si>
    <t xml:space="preserve">WAVG_FUSION_THRESHOLD</t>
  </si>
  <si>
    <t xml:space="preserve">Fusion threshold for WAVG</t>
  </si>
  <si>
    <t xml:space="preserve">LSD.RID.0.AL.PARAM.S3.22</t>
  </si>
  <si>
    <t xml:space="preserve">AIAVG_FUSION_THRESHOLD</t>
  </si>
  <si>
    <t xml:space="preserve">Fusion threshold for AIAVG</t>
  </si>
  <si>
    <t xml:space="preserve">LSD.RID.0.AL.PARAM.S3.23</t>
  </si>
  <si>
    <t xml:space="preserve">WAVG_PUBLIC_AGG_CHECK</t>
  </si>
  <si>
    <t xml:space="preserve">Weighted aggregate check for WAVG</t>
  </si>
  <si>
    <t xml:space="preserve">WAVG.VALID.7</t>
  </si>
  <si>
    <t xml:space="preserve">LSD.RID.0.AL.PARAM.S3.24</t>
  </si>
  <si>
    <t xml:space="preserve">AIAVG_PUBLIC_AGG_CHECK</t>
  </si>
  <si>
    <t xml:space="preserve">Weighted aggregate check for AIAVG</t>
  </si>
  <si>
    <t xml:space="preserve">AIAVG.VALID.7</t>
  </si>
  <si>
    <t xml:space="preserve">LSD.RID.0.AL.PARAM.S4</t>
  </si>
  <si>
    <t xml:space="preserve">FPITREV/FPPTREV Group</t>
  </si>
  <si>
    <t xml:space="preserve">LSD.RID.0.AL.PARAM.S4.0</t>
  </si>
  <si>
    <t xml:space="preserve">EFF_FED_TAX_RATE_SEC</t>
  </si>
  <si>
    <t xml:space="preserve">0.142;0.148;0.221;0.185;0.158;0.162;0.195;0.175;0.132;0.112;0.098;0.165;0.155;0.235;0.248;0.228;0.205;0.145;0.138;0.128;0.085;0.078;0.172</t>
  </si>
  <si>
    <t xml:space="preserve">Effective federal personal income tax rate per sector</t>
  </si>
  <si>
    <t xml:space="preserve">IRS SOI + AIAVG linkage</t>
  </si>
  <si>
    <t xml:space="preserve">FPITREV.PARAM.2</t>
  </si>
  <si>
    <t xml:space="preserve">FPITREV,FPPTREV</t>
  </si>
  <si>
    <t xml:space="preserve">LSD.RID.0.AL.PARAM.S4.1</t>
  </si>
  <si>
    <t xml:space="preserve">BASE_FPITREV_SEC</t>
  </si>
  <si>
    <t xml:space="preserve">[calculated from AIAVG × rate]</t>
  </si>
  <si>
    <t xml:space="preserve">Base FPITREV per sector before group adj</t>
  </si>
  <si>
    <t xml:space="preserve">FPITREV.PARAM.3</t>
  </si>
  <si>
    <t xml:space="preserve">LSD.RID.0.AL.PARAM.S4.2</t>
  </si>
  <si>
    <t xml:space="preserve">UNAUTH_FPITREV_PENALTY_SEC</t>
  </si>
  <si>
    <t xml:space="preserve">0.62;0.58;0.75;0.55;0.60;0.61;0.59;0.57;0.68;0.52;0.50;0.65;0.66;0.72;0.78;0.76;0.71;0.56;0.70;0.62;0.48;0.45;0.67</t>
  </si>
  <si>
    <t xml:space="preserve">Unauthorized FPITREV penalty</t>
  </si>
  <si>
    <t xml:space="preserve">Derived from AIAVG penalty</t>
  </si>
  <si>
    <t xml:space="preserve">FPITREV.PARAM.4</t>
  </si>
  <si>
    <t xml:space="preserve">LSD.RID.0.AL.PARAM.S4.3</t>
  </si>
  <si>
    <t xml:space="preserve">AUTH_FPITREV_PREMIUM_SEC</t>
  </si>
  <si>
    <t xml:space="preserve">1.028;1.022;1.015;1.032;1.025;1.024;1.023;1.026;1.018;1.035;1.038;1.019;1.020;1.016;1.012;1.013;1.017;1.029;1.015;1.021;1.040;1.042;1.016</t>
  </si>
  <si>
    <t xml:space="preserve">Authorized FPITREV premium</t>
  </si>
  <si>
    <t xml:space="preserve">FPITREV.PARAM.5</t>
  </si>
  <si>
    <t xml:space="preserve">LSD.RID.0.AL.PARAM.S4.4</t>
  </si>
  <si>
    <t xml:space="preserve">FPITREV_VARIANCE_SEC</t>
  </si>
  <si>
    <t xml:space="preserve">0.030;0.025;0.015;0.038;0.033;0.029;0.027;0.031;0.022;0.040;0.043;0.028;0.026;0.018;0.010;0.012;0.015;0.035;0.019;0.026;0.048;0.050;0.021</t>
  </si>
  <si>
    <t xml:space="preserve">Sector FPITREV variance</t>
  </si>
  <si>
    <t xml:space="preserve">FPITREV.PARAM.6</t>
  </si>
  <si>
    <t xml:space="preserve">LSD.RID.0.AL.PARAM.S4.5</t>
  </si>
  <si>
    <t xml:space="preserve">FPPTREV_RATE_SEC</t>
  </si>
  <si>
    <t xml:space="preserve">0.062;0.065;0.072;0.068;0.064;0.065;0.070;0.067;0.060;0.058;0.055;0.066;0.063;0.075;0.078;0.074;0.071;0.061;0.062;0.059;0.052;0.050;0.067</t>
  </si>
  <si>
    <t xml:space="preserve">FICA payroll tax effective rate per sector</t>
  </si>
  <si>
    <t xml:space="preserve">SSA/IRS</t>
  </si>
  <si>
    <t xml:space="preserve">LSD.RID.0.AL.PARAM.S4.6</t>
  </si>
  <si>
    <t xml:space="preserve">FPPTREV_UNAUTH_PENALTY</t>
  </si>
  <si>
    <t xml:space="preserve">Unauthorized FPPTREV penalty (flat, compliance)</t>
  </si>
  <si>
    <t xml:space="preserve">IRS patterns</t>
  </si>
  <si>
    <t xml:space="preserve">LSD.RID.0.AL.PARAM.S4.7</t>
  </si>
  <si>
    <t xml:space="preserve">FPPTREV_AUTH_PREMIUM</t>
  </si>
  <si>
    <t xml:space="preserve">Authorized FPPTREV premium</t>
  </si>
  <si>
    <t xml:space="preserve">LSD.RID.0.AL.PARAM.S4.8</t>
  </si>
  <si>
    <t xml:space="preserve">FPITREV_PUBLIC_TARGET</t>
  </si>
  <si>
    <t xml:space="preserve">Statewide FPITREV benchmark</t>
  </si>
  <si>
    <t xml:space="preserve">IRS-derived</t>
  </si>
  <si>
    <t xml:space="preserve">FPITREV.PARAM.1</t>
  </si>
  <si>
    <t xml:space="preserve">LSD.RID.0.AL.PARAM.S4.9</t>
  </si>
  <si>
    <t xml:space="preserve">FPPTREV_PUBLIC_TARGET</t>
  </si>
  <si>
    <t xml:space="preserve">[derived ~6200]</t>
  </si>
  <si>
    <t xml:space="preserve">Statewide FPPTREV benchmark</t>
  </si>
  <si>
    <t xml:space="preserve">SSA</t>
  </si>
  <si>
    <t xml:space="preserve">LSD.RID.0.AL.PARAM.S4.10</t>
  </si>
  <si>
    <t xml:space="preserve">FPITREV_ITERATION_MAX</t>
  </si>
  <si>
    <t xml:space="preserve">Maximum FPITREV iterations</t>
  </si>
  <si>
    <t xml:space="preserve">LSD.RID.0.AL.PARAM.S4.11</t>
  </si>
  <si>
    <t xml:space="preserve">FPPTREV_FUSION_WEIGHT_IRS</t>
  </si>
  <si>
    <t xml:space="preserve">IRS weight in FPPTREV fusion</t>
  </si>
  <si>
    <t xml:space="preserve">LSD.RID.0.AL.PARAM.S4.12</t>
  </si>
  <si>
    <t xml:space="preserve">EFF_FED_TAX_RATE_ADJ_SEC</t>
  </si>
  <si>
    <t xml:space="preserve">1.00;1.01;1.02;0.99;1.00;1.00;1.01;1.00;0.98;0.97;0.96;1.00;0.99;1.02;1.03;1.02;1.01;0.98;1.00;0.97;0.95;0.94;1.00</t>
  </si>
  <si>
    <t xml:space="preserve">Sector tax rate adjustment</t>
  </si>
  <si>
    <t xml:space="preserve">LSD.RID.0.AL.PARAM.S4.13</t>
  </si>
  <si>
    <t xml:space="preserve">FPITREV_TNPE_WEIGHT</t>
  </si>
  <si>
    <t xml:space="preserve">TNPE weighting for tax revenue</t>
  </si>
  <si>
    <t xml:space="preserve">FORM.44</t>
  </si>
  <si>
    <t xml:space="preserve">LSD.RID.0.AL.PARAM.S4.14</t>
  </si>
  <si>
    <t xml:space="preserve">FPPTREV_TNPE_WEIGHT</t>
  </si>
  <si>
    <t xml:space="preserve">TNPE weighting for payroll tax</t>
  </si>
  <si>
    <t xml:space="preserve">LSD.RID.0.AL.PARAM.S4.15</t>
  </si>
  <si>
    <t xml:space="preserve">FPITREV_UNAUTH_COMPLIANCE_FACTOR</t>
  </si>
  <si>
    <t xml:space="preserve">Unauthorized compliance factor for PIT</t>
  </si>
  <si>
    <t xml:space="preserve">IRS estimates</t>
  </si>
  <si>
    <t xml:space="preserve">LSD.RID.0.AL.PARAM.S4.16</t>
  </si>
  <si>
    <t xml:space="preserve">FPPTREV_UNAUTH_COMPLIANCE_FACTOR</t>
  </si>
  <si>
    <t xml:space="preserve">Unauthorized compliance factor for payroll</t>
  </si>
  <si>
    <t xml:space="preserve">LSD.RID.0.AL.PARAM.S4.17</t>
  </si>
  <si>
    <t xml:space="preserve">FPITREV_SOURCE_CONFIDENCE</t>
  </si>
  <si>
    <t xml:space="preserve">0.88;0.85;0.92;0.80;0.82;0.84;0.86;0.83;0.89;0.77;0.74;0.81;0.87;0.93;0.94;0.91;0.89;0.78;0.90;0.84;0.72;0.70;0.91</t>
  </si>
  <si>
    <t xml:space="preserve">Per-sector confidence for FPITREV</t>
  </si>
  <si>
    <t xml:space="preserve">IRS</t>
  </si>
  <si>
    <t xml:space="preserve">FPITREV.PARAM.7</t>
  </si>
  <si>
    <t xml:space="preserve">LSD.RID.0.AL.PARAM.S4.18</t>
  </si>
  <si>
    <t xml:space="preserve">FPPTREV_VARIANCE_SEC</t>
  </si>
  <si>
    <t xml:space="preserve">0.028;0.023;0.016;0.035;0.032;0.028;0.026;0.030;0.021;0.038;0.041;0.027;0.025;0.018;0.011;0.013;0.016;0.033;0.019;0.025;0.045;0.048;0.022</t>
  </si>
  <si>
    <t xml:space="preserve">Sector FPPTREV variance</t>
  </si>
  <si>
    <t xml:space="preserve">LSD.RID.0.AL.PARAM.S4.19</t>
  </si>
  <si>
    <t xml:space="preserve">FPITREV_GROUP_ASYMMETRY</t>
  </si>
  <si>
    <t xml:space="preserve">Group asymmetry for tax revenue</t>
  </si>
  <si>
    <t xml:space="preserve">LSD.RID.0.AL.PARAM.S4.20</t>
  </si>
  <si>
    <t xml:space="preserve">FPPTREV_ITERATION_MAX</t>
  </si>
  <si>
    <t xml:space="preserve">Maximum FPPTREV iterations</t>
  </si>
  <si>
    <t xml:space="preserve">LSD.RID.0.AL.PARAM.S4.21</t>
  </si>
  <si>
    <t xml:space="preserve">FPITREV_CALIB_TOLERANCE</t>
  </si>
  <si>
    <t xml:space="preserve">FPITREV calibration tolerance</t>
  </si>
  <si>
    <t xml:space="preserve">Shared FORM.4</t>
  </si>
  <si>
    <t xml:space="preserve">LSD.RID.0.AL.PARAM.S4.22</t>
  </si>
  <si>
    <t xml:space="preserve">FPPTREV_CALIB_TOLERANCE</t>
  </si>
  <si>
    <t xml:space="preserve">FPPTREV calibration tolerance</t>
  </si>
  <si>
    <t xml:space="preserve">LSD.RID.0.AL.PARAM.S4.23</t>
  </si>
  <si>
    <t xml:space="preserve">FPITREV_PUBLIC_AGG_CHECK</t>
  </si>
  <si>
    <t xml:space="preserve">Weighted aggregate check for FPITREV</t>
  </si>
  <si>
    <t xml:space="preserve">FPITREV.VALID.7</t>
  </si>
  <si>
    <t xml:space="preserve">LSD.RID.0.AL.PARAM.S4.24</t>
  </si>
  <si>
    <t xml:space="preserve">SOURCE_CONFIDENCE_FPPTREV</t>
  </si>
  <si>
    <t xml:space="preserve">Per-sector confidence for FPPTREV</t>
  </si>
  <si>
    <t xml:space="preserve">LSD.RID.0.AL.PARAM.S5 - EP Group</t>
  </si>
  <si>
    <t xml:space="preserve">EP Group</t>
  </si>
  <si>
    <t xml:space="preserve">LSD.RID.0.AL.PARAM.S5.0</t>
  </si>
  <si>
    <t xml:space="preserve">LSD.RID.0.AL.PARAM.S5.1</t>
  </si>
  <si>
    <t xml:space="preserve">EP_VARIANCE_SEC</t>
  </si>
  <si>
    <t xml:space="preserve">0.022;0.018;0.012;0.032;0.028;0.024;0.023;0.026;0.019;0.035;0.038;0.025;0.023;0.016;0.009;0.011;0.014;0.030;0.017;0.024;0.042;0.045;0.019</t>
  </si>
  <si>
    <t xml:space="preserve">Sector EP variance bounds</t>
  </si>
  <si>
    <t xml:space="preserve">Derived from LFP/ETPR variance</t>
  </si>
  <si>
    <t xml:space="preserve">LSD.RID.0.AL.PARAM.S5.2</t>
  </si>
  <si>
    <t xml:space="preserve">EP_ADJ_SEC</t>
  </si>
  <si>
    <t xml:space="preserve">1.05;1.08;1.03;1.12;1.10;1.07;1.06;1.09;1.02;1.15;1.18;1.08;1.07;1.04;1.00;1.01;1.03;1.10;1.05;1.08;1.22;1.25;1.04</t>
  </si>
  <si>
    <t xml:space="preserve">Sector-specific EP adjustment (widened range)</t>
  </si>
  <si>
    <t xml:space="preserve">LSD.RID.0.AL.PARAM.S5.3</t>
  </si>
  <si>
    <t xml:space="preserve">UNAUTH_EP_BOOST_SCALE</t>
  </si>
  <si>
    <t xml:space="preserve">Unauthorized EP boost scaling</t>
  </si>
  <si>
    <t xml:space="preserve">Internal consistency</t>
  </si>
  <si>
    <t xml:space="preserve">LSD.RID.0.AL.PARAM.S5.4</t>
  </si>
  <si>
    <t xml:space="preserve">EP_FUSION_WEIGHT_BLS</t>
  </si>
  <si>
    <t xml:space="preserve">BLS CES weight in EP reconciliation</t>
  </si>
  <si>
    <t xml:space="preserve">FORM.S5.4</t>
  </si>
  <si>
    <t xml:space="preserve">LSD.RID.0.AL.PARAM.S5.5</t>
  </si>
  <si>
    <t xml:space="preserve">EP_ITERATION_MAX</t>
  </si>
  <si>
    <t xml:space="preserve">Maximum EP calibration iterations</t>
  </si>
  <si>
    <t xml:space="preserve">Shared FORM.S0.4</t>
  </si>
  <si>
    <t xml:space="preserve">LSD.RID.0.AL.PARAM.S5.6</t>
  </si>
  <si>
    <t xml:space="preserve">EP_PUBLIC_AGG_CHECK</t>
  </si>
  <si>
    <t xml:space="preserve">Weighted aggregate check for EP</t>
  </si>
  <si>
    <t xml:space="preserve">LSD.RID.0.AL.PARAM.S5.7</t>
  </si>
  <si>
    <t xml:space="preserve">EP_UNAUTH_ASYMM_SEC</t>
  </si>
  <si>
    <t xml:space="preserve">1.12;1.10;1.06;1.15;1.14;1.12;1.11;1.13;1.08;1.18;1.20;1.12;1.11;1.07;1.04;1.05;1.07;1.15;1.09;1.12;1.25;1.28;1.07</t>
  </si>
  <si>
    <t xml:space="preserve">Unauthorized asymmetry scalar for EP per sector</t>
  </si>
  <si>
    <t xml:space="preserve">LSD.RID.0.AL.PARAM.S6</t>
  </si>
  <si>
    <t xml:space="preserve">U3P Group</t>
  </si>
  <si>
    <t xml:space="preserve">LSD.RID.0.AL.PARAM.S6.0</t>
  </si>
  <si>
    <t xml:space="preserve">Statewide Unemployed Population benchmark (Dec 2025)</t>
  </si>
  <si>
    <t xml:space="preserve">LSD.RID.0.AL.PARAM.S6.1</t>
  </si>
  <si>
    <t xml:space="preserve">U3P_VARIANCE_SEC</t>
  </si>
  <si>
    <t xml:space="preserve">0.035;0.028;0.018;0.045;0.040;0.032;0.030;0.035;0.025;0.048;0.052;0.035;0.032;0.022;0.012;0.015;0.018;0.042;0.022;0.032;0.058;0.062;0.025</t>
  </si>
  <si>
    <t xml:space="preserve">Sector U3P variance bounds</t>
  </si>
  <si>
    <t xml:space="preserve">Derived from U3R/LFP variance</t>
  </si>
  <si>
    <t xml:space="preserve">LSD.RID.0.AL.PARAM.S6.2</t>
  </si>
  <si>
    <t xml:space="preserve">U3P_ADJ_SEC</t>
  </si>
  <si>
    <t xml:space="preserve">Sector-specific U3P adjustment (widened range)</t>
  </si>
  <si>
    <t xml:space="preserve">LSD.RID.0.AL.PARAM.S6.3</t>
  </si>
  <si>
    <t xml:space="preserve">UNAUTH_U3P_BOOST_SCALE</t>
  </si>
  <si>
    <t xml:space="preserve">Unauthorized U3P boost scaling (stronger than EP)</t>
  </si>
  <si>
    <t xml:space="preserve">Internal consistency with U3R patterns</t>
  </si>
  <si>
    <t xml:space="preserve">LSD.RID.0.AL.PARAM.S6.4</t>
  </si>
  <si>
    <t xml:space="preserve">U3P_FUSION_WEIGHT_BLS</t>
  </si>
  <si>
    <t xml:space="preserve">BLS LAUS weight in U3P reconciliation</t>
  </si>
  <si>
    <t xml:space="preserve">FORM.S6.4</t>
  </si>
  <si>
    <t xml:space="preserve">LSD.RID.0.AL.PARAM.S6.5</t>
  </si>
  <si>
    <t xml:space="preserve">U3P_ITERATION_MAX</t>
  </si>
  <si>
    <t xml:space="preserve">Maximum U3P calibration iterations</t>
  </si>
  <si>
    <t xml:space="preserve">LSD.RID.0.AL.PARAM.S6.6</t>
  </si>
  <si>
    <t xml:space="preserve">U3P_PUBLIC_AGG_CHECK</t>
  </si>
  <si>
    <t xml:space="preserve">Weighted aggregate check for U3P</t>
  </si>
  <si>
    <t xml:space="preserve">LSD.RID.0.AL.PARAM.S6.7</t>
  </si>
  <si>
    <t xml:space="preserve">U3P_UNAUTH_ASYMM_SEC</t>
  </si>
  <si>
    <t xml:space="preserve">1.25;1.22;1.18;1.30;1.28;1.25;1.24;1.26;1.20;1.32;1.35;1.25;1.24;1.18;1.15;1.16;1.18;1.30;1.20;1.25;1.40;1.45;1.20</t>
  </si>
  <si>
    <t xml:space="preserve">Unauthorized asymmetry scalar for U3P per sector</t>
  </si>
  <si>
    <t xml:space="preserve">LSD.RID.0.AL.PARAM.S7 - U6P Group</t>
  </si>
  <si>
    <t xml:space="preserve">U6P Group</t>
  </si>
  <si>
    <t xml:space="preserve">LSD.RID.0.AL.PARAM.S7.0</t>
  </si>
  <si>
    <t xml:space="preserve">Statewide Underemployed Population benchmark (~6.2% effective of LFP)</t>
  </si>
  <si>
    <t xml:space="preserve">Derived from U6R patterns + Alabama LFP</t>
  </si>
  <si>
    <t xml:space="preserve">LSD.RID.0.AL.PARAM.S7.1</t>
  </si>
  <si>
    <t xml:space="preserve">MARGINAL_ATTACH_RATE_SEC</t>
  </si>
  <si>
    <t xml:space="preserve">0.015;0.013;0.010;0.019;0.017;0.015;0.014;0.016;0.012;0.021;0.024;0.017;0.015;0.011;0.008;0.009;0.013;0.020;0.010;0.016;0.028;0.030;0.014</t>
  </si>
  <si>
    <t xml:space="preserve">Sector marginal attachment rate</t>
  </si>
  <si>
    <t xml:space="preserve">ACS/BLS patterns</t>
  </si>
  <si>
    <t xml:space="preserve">LSD.RID.0.AL.PARAM.S7.2</t>
  </si>
  <si>
    <t xml:space="preserve">PTER_ECONOMIC_SEC</t>
  </si>
  <si>
    <t xml:space="preserve">0.038;0.032;0.024;0.047;0.041;0.036;0.034;0.038;0.030;0.053;0.058;0.038;0.036;0.027;0.021;0.024;0.027;0.049;0.030;0.041;0.072;0.081;0.032</t>
  </si>
  <si>
    <t xml:space="preserve">Sector involuntary part-time economic share</t>
  </si>
  <si>
    <t xml:space="preserve">Derived from U6R/PTER</t>
  </si>
  <si>
    <t xml:space="preserve">LSD.RID.0.AL.PARAM.S7.3</t>
  </si>
  <si>
    <t xml:space="preserve">UNAUTH_U36_BOOST_SCALE</t>
  </si>
  <si>
    <t xml:space="preserve">Overall unauthorized boost scaling for U6P</t>
  </si>
  <si>
    <t xml:space="preserve">Internal (weighted from U3P/slack)</t>
  </si>
  <si>
    <t xml:space="preserve">LSD.RID.0.AL.PARAM.S7.4</t>
  </si>
  <si>
    <t xml:space="preserve">U6P_FUSION_WEIGHT_BLS</t>
  </si>
  <si>
    <t xml:space="preserve">BLS weight in U6P reconciliation</t>
  </si>
  <si>
    <t xml:space="preserve">FORM.S7.4</t>
  </si>
  <si>
    <t xml:space="preserve">LSD.RID.0.AL.PARAM.S7.5</t>
  </si>
  <si>
    <t xml:space="preserve">U6P_ITERATION_MAX</t>
  </si>
  <si>
    <t xml:space="preserve">Maximum U6P calibration iterations</t>
  </si>
  <si>
    <t xml:space="preserve">LSD.RID.0.AL.PARAM.S7.6</t>
  </si>
  <si>
    <t xml:space="preserve">U6P_PUBLIC_AGG_CHECK</t>
  </si>
  <si>
    <t xml:space="preserve">Weighted aggregate check for U6P</t>
  </si>
  <si>
    <t xml:space="preserve">LSD.RID.0.AL.PARAM.S7.7</t>
  </si>
  <si>
    <t xml:space="preserve">U6P_ADJ_SEC</t>
  </si>
  <si>
    <t xml:space="preserve">Sector-specific U6P adjustment (widened range)</t>
  </si>
  <si>
    <t xml:space="preserve">LSD.RID.0.AL.PARAM.S7.8</t>
  </si>
  <si>
    <t xml:space="preserve">U6P_UNAUTH_ASYMM_SEC</t>
  </si>
  <si>
    <t xml:space="preserve">1.20;1.15;1.10;1.25;1.22;1.18;1.16;1.20;1.12;1.28;1.32;1.20;1.18;1.10;1.06;1.08;1.10;1.25;1.12;1.20;1.40;1.45;1.12</t>
  </si>
  <si>
    <t xml:space="preserve">Unauthorized asymmetry scalar for U6P per sector</t>
  </si>
  <si>
    <t xml:space="preserve">LSD.RID.0.AL.PARAM.S8 - U3TPR Group</t>
  </si>
  <si>
    <t xml:space="preserve">U3TPR Group</t>
  </si>
  <si>
    <t xml:space="preserve">LSD.RID.0.AL.PARAM.S8.0</t>
  </si>
  <si>
    <t xml:space="preserve">U3TPR_PUBLIC_TARGET</t>
  </si>
  <si>
    <t xml:space="preserve">Statewide U3TPR benchmark (Dec 2025)</t>
  </si>
  <si>
    <t xml:space="preserve">BLS LAUS Dec 2025 (64,000 / 4,130,000)</t>
  </si>
  <si>
    <t xml:space="preserve">U3TPR</t>
  </si>
  <si>
    <t xml:space="preserve">LSD.RID.0.AL.PARAM.S8.1</t>
  </si>
  <si>
    <t xml:space="preserve">U3TPR_VARIANCE_SEC</t>
  </si>
  <si>
    <t xml:space="preserve">Sector U3TPR variance bounds</t>
  </si>
  <si>
    <t xml:space="preserve">Derived from U3P variance</t>
  </si>
  <si>
    <t xml:space="preserve">LSD.RID.0.AL.PARAM.S8.2</t>
  </si>
  <si>
    <t xml:space="preserve">U3TPR_ADJ_SEC</t>
  </si>
  <si>
    <t xml:space="preserve">Sector-specific U3TPR adjustment (widened range)</t>
  </si>
  <si>
    <t xml:space="preserve">LSD.RID.0.AL.PARAM.S8.3</t>
  </si>
  <si>
    <t xml:space="preserve">U3TPR_FUSION_WEIGHT_BLS</t>
  </si>
  <si>
    <t xml:space="preserve">BLS weight in U3TPR reconciliation</t>
  </si>
  <si>
    <t xml:space="preserve">FORM.S8.4</t>
  </si>
  <si>
    <t xml:space="preserve">LSD.RID.0.AL.PARAM.S8.4</t>
  </si>
  <si>
    <t xml:space="preserve">U3TPR_ITERATION_MAX</t>
  </si>
  <si>
    <t xml:space="preserve">Maximum U3TPR calibration iterations</t>
  </si>
  <si>
    <t xml:space="preserve">LSD.RID.0.AL.PARAM.S8.5</t>
  </si>
  <si>
    <t xml:space="preserve">U3TPR_PUBLIC_AGG_CHECK</t>
  </si>
  <si>
    <t xml:space="preserve">Weighted aggregate check for U3TPR</t>
  </si>
  <si>
    <t xml:space="preserve">LSD.RID.0.AL.PARAM.S8.6</t>
  </si>
  <si>
    <t xml:space="preserve">U3TPR_UNAUTH_ASYMM_SEC</t>
  </si>
  <si>
    <t xml:space="preserve">1.15;1.12;1.08;1.20;1.18;1.15;1.14;1.16;1.10;1.22;1.25;1.15;1.14;1.08;1.05;1.06;1.08;1.20;1.10;1.15;1.30;1.35;1.10</t>
  </si>
  <si>
    <t xml:space="preserve">Unauthorized asymmetry scalar for U3TPR per sector</t>
  </si>
  <si>
    <t xml:space="preserve">LSD.RID.0.AL.PARAM.S9 - U6TPR Group</t>
  </si>
  <si>
    <t xml:space="preserve">U6TPR Group</t>
  </si>
  <si>
    <t xml:space="preserve">LSD.RID.0.AL.PARAM.S9.0</t>
  </si>
  <si>
    <t xml:space="preserve">U6TPR_PUBLIC_TARGET</t>
  </si>
  <si>
    <t xml:space="preserve">Statewide U6TPR benchmark (Dec 2025)</t>
  </si>
  <si>
    <t xml:space="preserve">Derived from U6P 148,000 / CIV_POP_TOTAL 4,130,000</t>
  </si>
  <si>
    <t xml:space="preserve">U6TPR</t>
  </si>
  <si>
    <t xml:space="preserve">LSD.RID.0.AL.PARAM.S9.1</t>
  </si>
  <si>
    <t xml:space="preserve">U6TPR_VARIANCE_SEC</t>
  </si>
  <si>
    <t xml:space="preserve">0.040;0.032;0.022;0.050;0.045;0.038;0.035;0.040;0.030;0.055;0.060;0.040;0.038;0.028;0.018;0.020;0.025;0.048;0.028;0.038;0.065;0.070;0.030</t>
  </si>
  <si>
    <t xml:space="preserve">Sector U6TPR variance bounds</t>
  </si>
  <si>
    <t xml:space="preserve">Derived from U6P variance</t>
  </si>
  <si>
    <t xml:space="preserve">LSD.RID.0.AL.PARAM.S9.2</t>
  </si>
  <si>
    <t xml:space="preserve">U6TPR_ADJ_SEC</t>
  </si>
  <si>
    <t xml:space="preserve">Sector-specific U6TPR adjustment (widened range)</t>
  </si>
  <si>
    <t xml:space="preserve">LSD.RID.0.AL.PARAM.S9.3</t>
  </si>
  <si>
    <t xml:space="preserve">U6TPR_FUSION_WEIGHT_BLS</t>
  </si>
  <si>
    <t xml:space="preserve">BLS weight in U6TPR reconciliation</t>
  </si>
  <si>
    <t xml:space="preserve">FORM.S9.4</t>
  </si>
  <si>
    <t xml:space="preserve">LSD.RID.0.AL.PARAM.S9.4</t>
  </si>
  <si>
    <t xml:space="preserve">U6TPR_ITERATION_MAX</t>
  </si>
  <si>
    <t xml:space="preserve">Maximum U6TPR calibration iterations</t>
  </si>
  <si>
    <t xml:space="preserve">LSD.RID.0.AL.PARAM.S9.5</t>
  </si>
  <si>
    <t xml:space="preserve">U6TPR_PUBLIC_AGG_CHECK</t>
  </si>
  <si>
    <t xml:space="preserve">Weighted aggregate check for U6TPR</t>
  </si>
  <si>
    <t xml:space="preserve">LSD.RID.0.AL.PARAM.S9.6</t>
  </si>
  <si>
    <t xml:space="preserve">U6TPR_UNAUTH_ASYMM_SEC</t>
  </si>
  <si>
    <t xml:space="preserve">Unauthorized asymmetry scalar for U6TPR per sector</t>
  </si>
  <si>
    <t xml:space="preserve">LSD.RID.0.AL.CALC</t>
  </si>
  <si>
    <t xml:space="preserve">Labor Sector (LS)</t>
  </si>
  <si>
    <t xml:space="preserve">Labor Force Population (LFP)</t>
  </si>
  <si>
    <t xml:space="preserve">Total Nonfarm Payroll Employment (TNPE)</t>
  </si>
  <si>
    <t xml:space="preserve">Employed Population (EP)</t>
  </si>
  <si>
    <t xml:space="preserve">Unemployed Population (U3P)</t>
  </si>
  <si>
    <t xml:space="preserve">Underemployed Population (U6P)</t>
  </si>
  <si>
    <t xml:space="preserve">Employment-to-Population Ratio (ETPR)</t>
  </si>
  <si>
    <t xml:space="preserve">Unemployment-to-Population Ratio (U3TPR)</t>
  </si>
  <si>
    <t xml:space="preserve">Underemployment-toPopulation Ratio (U6TPR)</t>
  </si>
  <si>
    <t xml:space="preserve">Labor Force Participation Rate (LFPR)</t>
  </si>
  <si>
    <t xml:space="preserve">Unemployment Rate (U3R)</t>
  </si>
  <si>
    <t xml:space="preserve">Underemployment Rate (U6R)</t>
  </si>
  <si>
    <t xml:space="preserve">Wage Average (WAVG)</t>
  </si>
  <si>
    <t xml:space="preserve">Overall Wage Range Average (WRAVG)</t>
  </si>
  <si>
    <t xml:space="preserve">Authorized Wage Range Average (WRAVG)</t>
  </si>
  <si>
    <t xml:space="preserve">Unauthorized Wage Range Average (WRAVG)</t>
  </si>
  <si>
    <t xml:space="preserve">American Wage Range Average (WRAVG)</t>
  </si>
  <si>
    <t xml:space="preserve">Annual Income Average (AIAVG)</t>
  </si>
  <si>
    <t xml:space="preserve">Overall Annual Income Average (AIRAVG)</t>
  </si>
  <si>
    <t xml:space="preserve">Authorized Annual Income Average (AIRAVG)</t>
  </si>
  <si>
    <t xml:space="preserve">Unauthorized Annual Income Average (AIRAVG)</t>
  </si>
  <si>
    <t xml:space="preserve">American Annual Income Average (AIRAVG)</t>
  </si>
  <si>
    <t xml:space="preserve">Average Weekly Hours Worked (AWHW)</t>
  </si>
  <si>
    <t xml:space="preserve">Full-Time Employment Rate (FTER)</t>
  </si>
  <si>
    <t xml:space="preserve">Part-Time Employment Rate (PTER)</t>
  </si>
  <si>
    <t xml:space="preserve">Job Tenure Average (JTA)</t>
  </si>
  <si>
    <t xml:space="preserve">Turnover Rate (TR)</t>
  </si>
  <si>
    <t xml:space="preserve">Labor Productivity (LP)</t>
  </si>
  <si>
    <t xml:space="preserve">Education Level Required (ELR)</t>
  </si>
  <si>
    <t xml:space="preserve">Federal Personal Income Tax Revenue (FPITREV)</t>
  </si>
  <si>
    <t xml:space="preserve">Federal Personal Payroll Tax Revenue (FPPTREV)</t>
  </si>
  <si>
    <t xml:space="preserve">Earned Income Tax Credit Refund (EITCREF)</t>
  </si>
  <si>
    <t xml:space="preserve">Additional Child Tax Credit Refund (ACTCREF)</t>
  </si>
  <si>
    <t xml:space="preserve">American Opportunity Tax Credit Refund (AOTCREF)</t>
  </si>
  <si>
    <t xml:space="preserve">State/Local Tax Revenue (SLTR)</t>
  </si>
  <si>
    <t xml:space="preserve">Social Security/Medicare Contributions (SSMC)</t>
  </si>
  <si>
    <t xml:space="preserve">Public Assistance Usage Rate (PAUR)</t>
  </si>
  <si>
    <t xml:space="preserve">LSID</t>
  </si>
  <si>
    <t xml:space="preserve">NAICS</t>
  </si>
  <si>
    <t xml:space="preserve">Labor Sector</t>
  </si>
  <si>
    <t xml:space="preserve">Overall LFP</t>
  </si>
  <si>
    <t xml:space="preserve">Authorized LFP</t>
  </si>
  <si>
    <t xml:space="preserve">Unauthorized LFP</t>
  </si>
  <si>
    <t xml:space="preserve">American LFP</t>
  </si>
  <si>
    <r>
      <rPr>
        <b val="true"/>
        <sz val="10"/>
        <rFont val="Arial"/>
        <family val="2"/>
        <charset val="1"/>
      </rPr>
      <t xml:space="preserve">Overall </t>
    </r>
    <r>
      <rPr>
        <b val="true"/>
        <sz val="10"/>
        <rFont val="arial"/>
        <family val="2"/>
        <charset val="1"/>
      </rPr>
      <t xml:space="preserve">TNPE</t>
    </r>
  </si>
  <si>
    <r>
      <rPr>
        <b val="true"/>
        <sz val="10"/>
        <rFont val="Arial"/>
        <family val="2"/>
        <charset val="1"/>
      </rPr>
      <t xml:space="preserve">Authorized </t>
    </r>
    <r>
      <rPr>
        <b val="true"/>
        <sz val="10"/>
        <rFont val="arial"/>
        <family val="2"/>
        <charset val="1"/>
      </rPr>
      <t xml:space="preserve">TNPE</t>
    </r>
  </si>
  <si>
    <r>
      <rPr>
        <b val="true"/>
        <sz val="10"/>
        <rFont val="Arial"/>
        <family val="2"/>
        <charset val="1"/>
      </rPr>
      <t xml:space="preserve">Unauthorized </t>
    </r>
    <r>
      <rPr>
        <b val="true"/>
        <sz val="10"/>
        <rFont val="arial"/>
        <family val="2"/>
        <charset val="1"/>
      </rPr>
      <t xml:space="preserve">TNPE</t>
    </r>
  </si>
  <si>
    <r>
      <rPr>
        <b val="true"/>
        <sz val="10"/>
        <rFont val="Arial"/>
        <family val="2"/>
        <charset val="1"/>
      </rPr>
      <t xml:space="preserve">American </t>
    </r>
    <r>
      <rPr>
        <b val="true"/>
        <sz val="10"/>
        <rFont val="arial"/>
        <family val="2"/>
        <charset val="1"/>
      </rPr>
      <t xml:space="preserve">TNPE</t>
    </r>
  </si>
  <si>
    <t xml:space="preserve">Overall EP</t>
  </si>
  <si>
    <t xml:space="preserve">Authorized EP</t>
  </si>
  <si>
    <t xml:space="preserve">Unauthorized EP</t>
  </si>
  <si>
    <t xml:space="preserve">American EP</t>
  </si>
  <si>
    <t xml:space="preserve">Overall U3P</t>
  </si>
  <si>
    <t xml:space="preserve">Authorized U3P</t>
  </si>
  <si>
    <t xml:space="preserve">Unauthorized U3P</t>
  </si>
  <si>
    <t xml:space="preserve">American U3P</t>
  </si>
  <si>
    <t xml:space="preserve">Overall U6P</t>
  </si>
  <si>
    <t xml:space="preserve">Authorized U6P</t>
  </si>
  <si>
    <t xml:space="preserve">Unauthorized U6P</t>
  </si>
  <si>
    <t xml:space="preserve">American U6P</t>
  </si>
  <si>
    <t xml:space="preserve">Overall ETPR</t>
  </si>
  <si>
    <t xml:space="preserve">Authorized ETPR</t>
  </si>
  <si>
    <t xml:space="preserve">Unauthorized ETPR</t>
  </si>
  <si>
    <t xml:space="preserve">American ETPR</t>
  </si>
  <si>
    <t xml:space="preserve">Overall U3TPR</t>
  </si>
  <si>
    <t xml:space="preserve">Authorized U3TPR</t>
  </si>
  <si>
    <t xml:space="preserve">Unauthorized U3TPR</t>
  </si>
  <si>
    <t xml:space="preserve">American U3TPR</t>
  </si>
  <si>
    <t xml:space="preserve">Overall U6TPR</t>
  </si>
  <si>
    <t xml:space="preserve">Authorized U6TPR</t>
  </si>
  <si>
    <t xml:space="preserve">Unauthorized U6TPR</t>
  </si>
  <si>
    <t xml:space="preserve">American U6TPR</t>
  </si>
  <si>
    <t xml:space="preserve">Overall LFPR</t>
  </si>
  <si>
    <t xml:space="preserve">Authorized LFPR</t>
  </si>
  <si>
    <t xml:space="preserve">Unauthorized LFPR</t>
  </si>
  <si>
    <t xml:space="preserve">American LFPR</t>
  </si>
  <si>
    <t xml:space="preserve">Overall U3R</t>
  </si>
  <si>
    <t xml:space="preserve">Authorized U3R</t>
  </si>
  <si>
    <t xml:space="preserve">Unauthorized U3R</t>
  </si>
  <si>
    <t xml:space="preserve">American U3R</t>
  </si>
  <si>
    <t xml:space="preserve">Overall U6R</t>
  </si>
  <si>
    <t xml:space="preserve">Authorized U6R</t>
  </si>
  <si>
    <t xml:space="preserve">Unauthorized U6R</t>
  </si>
  <si>
    <t xml:space="preserve">American U6R</t>
  </si>
  <si>
    <t xml:space="preserve">Overall WAVG</t>
  </si>
  <si>
    <t xml:space="preserve">Authorized WAVG</t>
  </si>
  <si>
    <t xml:space="preserve">Unauthorized WAVG</t>
  </si>
  <si>
    <t xml:space="preserve">American WAVG</t>
  </si>
  <si>
    <t xml:space="preserve">Overall WRAVG Min</t>
  </si>
  <si>
    <t xml:space="preserve">Overall WRAVG Max</t>
  </si>
  <si>
    <t xml:space="preserve">Overall WRAVG</t>
  </si>
  <si>
    <t xml:space="preserve">Authorized WRAVG Min</t>
  </si>
  <si>
    <t xml:space="preserve">Authorized WRAVG Max</t>
  </si>
  <si>
    <t xml:space="preserve">Authorized WRAVG</t>
  </si>
  <si>
    <t xml:space="preserve">Unauthorized WRAVG Min</t>
  </si>
  <si>
    <t xml:space="preserve">Unauthorized WRAVG Max</t>
  </si>
  <si>
    <t xml:space="preserve">Unauthorized WRAVG</t>
  </si>
  <si>
    <t xml:space="preserve">American WRAVG Min</t>
  </si>
  <si>
    <t xml:space="preserve">American WRAVG Max</t>
  </si>
  <si>
    <t xml:space="preserve">American WRAVG</t>
  </si>
  <si>
    <t xml:space="preserve">Overall AIAVG</t>
  </si>
  <si>
    <t xml:space="preserve">Authorized AIAVG</t>
  </si>
  <si>
    <t xml:space="preserve">Unauthorized AIAVG</t>
  </si>
  <si>
    <t xml:space="preserve">American AIAVG</t>
  </si>
  <si>
    <t xml:space="preserve">Overall AIRAVG Min</t>
  </si>
  <si>
    <t xml:space="preserve">Overall AIRAVG Max</t>
  </si>
  <si>
    <t xml:space="preserve">Overall AIRAVG</t>
  </si>
  <si>
    <t xml:space="preserve">Authorized AIRAVG Min</t>
  </si>
  <si>
    <t xml:space="preserve">Authorized AIRAVG Max</t>
  </si>
  <si>
    <t xml:space="preserve">Authorized AIRAVG</t>
  </si>
  <si>
    <t xml:space="preserve">Unauthorized AIRAVG Min</t>
  </si>
  <si>
    <t xml:space="preserve">Unauthorized AIRAVG Max</t>
  </si>
  <si>
    <t xml:space="preserve">Unauthorized AIRAVG</t>
  </si>
  <si>
    <t xml:space="preserve">American AIRAVG Min</t>
  </si>
  <si>
    <t xml:space="preserve">American AIRAVG Max</t>
  </si>
  <si>
    <t xml:space="preserve">American AIRAVG</t>
  </si>
  <si>
    <t xml:space="preserve">Overal AWHW</t>
  </si>
  <si>
    <t xml:space="preserve">Authorized AWHW</t>
  </si>
  <si>
    <t xml:space="preserve">Unauthorized AWHW</t>
  </si>
  <si>
    <t xml:space="preserve">American AWHW</t>
  </si>
  <si>
    <t xml:space="preserve">Overall FTER</t>
  </si>
  <si>
    <t xml:space="preserve">Authorized FTER</t>
  </si>
  <si>
    <t xml:space="preserve">Unauthorized FTER</t>
  </si>
  <si>
    <t xml:space="preserve">American FTER</t>
  </si>
  <si>
    <t xml:space="preserve">Authorized Immigrant Part-Time Employment Rate</t>
  </si>
  <si>
    <t xml:space="preserve">Unauthorized Immigrant Part-Time Employment Rate</t>
  </si>
  <si>
    <t xml:space="preserve">American Part-Time Employment Rate</t>
  </si>
  <si>
    <t xml:space="preserve">Job Tenure Average (years)</t>
  </si>
  <si>
    <t xml:space="preserve">Authorized Immigrant Job Tenure Average</t>
  </si>
  <si>
    <t xml:space="preserve">Unauthorized Immigrant Job Tenure Average</t>
  </si>
  <si>
    <t xml:space="preserve">American Job Tenure Average</t>
  </si>
  <si>
    <t xml:space="preserve">JTA Min Tenure</t>
  </si>
  <si>
    <t xml:space="preserve">JTA Max Tenure</t>
  </si>
  <si>
    <t xml:space="preserve">Authorized Immigrant Turnover Rate</t>
  </si>
  <si>
    <t xml:space="preserve">Unauthorized Immigrant Turnover Rate</t>
  </si>
  <si>
    <t xml:space="preserve">American Turnover Rate</t>
  </si>
  <si>
    <t xml:space="preserve">Labor Productivity ($/hr)</t>
  </si>
  <si>
    <t xml:space="preserve">Authorized Immigrant Labor Productivity</t>
  </si>
  <si>
    <t xml:space="preserve">Unauthorized Immigrant Labor Productivity</t>
  </si>
  <si>
    <t xml:space="preserve">American Labor Productivity</t>
  </si>
  <si>
    <t xml:space="preserve">Education Level Required Average</t>
  </si>
  <si>
    <t xml:space="preserve">Authorized Immigrant Education Level Average</t>
  </si>
  <si>
    <t xml:space="preserve">Unauthorized Immigrant Education Level Average</t>
  </si>
  <si>
    <t xml:space="preserve">American Education Level Average</t>
  </si>
  <si>
    <t xml:space="preserve">Overall FPITREV</t>
  </si>
  <si>
    <t xml:space="preserve">Authorized FPITREV</t>
  </si>
  <si>
    <t xml:space="preserve">Unauthorized FPITREV</t>
  </si>
  <si>
    <t xml:space="preserve">American FPITREV</t>
  </si>
  <si>
    <t xml:space="preserve">Payroll Tax Revenue ($)</t>
  </si>
  <si>
    <t xml:space="preserve">Authorized Immigrant Payroll Tax Revenue ($)</t>
  </si>
  <si>
    <t xml:space="preserve">Unauthorized Immigrant Payroll Tax Revenue ($)</t>
  </si>
  <si>
    <t xml:space="preserve">American Payroll Tax Revenue ($)</t>
  </si>
  <si>
    <t xml:space="preserve">EITC Credit Refund</t>
  </si>
  <si>
    <t xml:space="preserve">Authorized Immigrant EITC Credit Refund</t>
  </si>
  <si>
    <t xml:space="preserve">Unauthorized Immigrant EITC Credit Refund</t>
  </si>
  <si>
    <t xml:space="preserve">American EITC Refund</t>
  </si>
  <si>
    <t xml:space="preserve">ACTC Refund</t>
  </si>
  <si>
    <t xml:space="preserve">Authorized Immigrant ACTC Refund</t>
  </si>
  <si>
    <t xml:space="preserve">Unauthorized Immigrant ACTC Refund</t>
  </si>
  <si>
    <t xml:space="preserve">American Tax ACTC Refund</t>
  </si>
  <si>
    <t xml:space="preserve">AOTC Refund</t>
  </si>
  <si>
    <t xml:space="preserve">Authorized Immigrant AOTC Refund</t>
  </si>
  <si>
    <t xml:space="preserve">Unauthorized Immigrant AOTC Refund</t>
  </si>
  <si>
    <t xml:space="preserve">American Tax AOTC Refund</t>
  </si>
  <si>
    <t xml:space="preserve">State/Local Tax Revenue ($)</t>
  </si>
  <si>
    <t xml:space="preserve">Authorized Immigrant State/Local Tax Revenue</t>
  </si>
  <si>
    <t xml:space="preserve">Unauthorized Immigrant State/Local Tax Revenue</t>
  </si>
  <si>
    <t xml:space="preserve">American State/Local Tax Revenue</t>
  </si>
  <si>
    <t xml:space="preserve">Social Security/Medicare Contributions ($)</t>
  </si>
  <si>
    <t xml:space="preserve">Authorized Immigrant Social Security/Medicare Contributions</t>
  </si>
  <si>
    <t xml:space="preserve">Unauthorized Immigrant Social Security/Medicare Contributions</t>
  </si>
  <si>
    <t xml:space="preserve">American Social Security/Medicare Contributions</t>
  </si>
  <si>
    <t xml:space="preserve">Authorized Immigrant Public Assistance Usage Rate</t>
  </si>
  <si>
    <t xml:space="preserve">Unauthorized Immigrant Public Assistance Usage Rate</t>
  </si>
  <si>
    <t xml:space="preserve">American Public Assistance Usage Rate</t>
  </si>
  <si>
    <t xml:space="preserve">~</t>
  </si>
  <si>
    <t xml:space="preserve">All Industries</t>
  </si>
  <si>
    <t xml:space="preserve">Agriculture, Forestry, 
Fishing and Hunting</t>
  </si>
  <si>
    <t xml:space="preserve">Mining, Quarrying, and
Oil and Gas Extraction</t>
  </si>
  <si>
    <t xml:space="preserve">Utilities</t>
  </si>
  <si>
    <t xml:space="preserve">Construction</t>
  </si>
  <si>
    <t xml:space="preserve">Manufacturing
(Food,Textile, etc.)</t>
  </si>
  <si>
    <t xml:space="preserve">Manufacturing (Wood,
Paper, Printing, etc.)</t>
  </si>
  <si>
    <t xml:space="preserve">Manufacturing
(Machinery, Transport)</t>
  </si>
  <si>
    <t xml:space="preserve">Wholesale Trade</t>
  </si>
  <si>
    <t xml:space="preserve">Retail Trade (Motor
Vehicle, Electronics)</t>
  </si>
  <si>
    <t xml:space="preserve">Retail Trade (Food, Clothing,
General Merchandise, etc.)</t>
  </si>
  <si>
    <t xml:space="preserve">Transportation</t>
  </si>
  <si>
    <t xml:space="preserve">Warehousing and Storage</t>
  </si>
  <si>
    <t xml:space="preserve">Information</t>
  </si>
  <si>
    <t xml:space="preserve">Finance and Insurance</t>
  </si>
  <si>
    <t xml:space="preserve">Real Estate and
Rental and Leasing</t>
  </si>
  <si>
    <t xml:space="preserve">Professional, Scientific,
and Technical Services</t>
  </si>
  <si>
    <t xml:space="preserve">Administrative and Support
and Waste Management
and Remediation Services</t>
  </si>
  <si>
    <t xml:space="preserve">Educational Services</t>
  </si>
  <si>
    <t xml:space="preserve">Health Care and
Social Assistance</t>
  </si>
  <si>
    <t xml:space="preserve">Arts, Entertainment,
and Recreation</t>
  </si>
  <si>
    <t xml:space="preserve">Accommodation
and Food Services</t>
  </si>
  <si>
    <t xml:space="preserve">Other Services (except
Public Administration)</t>
  </si>
  <si>
    <t xml:space="preserve">Public Administration</t>
  </si>
  <si>
    <t xml:space="preserve">LSD.RID.0.AL.TNPE</t>
  </si>
  <si>
    <t xml:space="preserve">Alabama Labor Force Population</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</si>
  <si>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t>
    </r>
    <r>
      <rPr>
        <sz val="10"/>
        <rFont val="Arial"/>
        <family val="2"/>
        <charset val="1"/>
      </rPr>
      <t xml:space="preserve"> </t>
    </r>
    <r>
      <rPr>
        <b val="true"/>
        <sz val="10"/>
        <rFont val="Arial"/>
        <family val="2"/>
        <charset val="1"/>
      </rPr>
      <t xml:space="preserve">Labor Force Population</t>
    </r>
    <r>
      <rPr>
        <sz val="10"/>
        <rFont val="Arial"/>
        <family val="2"/>
        <charset val="1"/>
      </rPr>
      <t xml:space="preserve"> By </t>
    </r>
    <r>
      <rPr>
        <u val="single"/>
        <sz val="10"/>
        <rFont val="Arial"/>
        <family val="2"/>
        <charset val="1"/>
      </rPr>
      <t xml:space="preserve">Industrial Labor Role</t>
    </r>
  </si>
  <si>
    <t xml:space="preserve">Formula (excerpt / key logic)</t>
  </si>
  <si>
    <t xml:space="preserve">TNPE.FORM.0</t>
  </si>
  <si>
    <t xml:space="preserve">TNPE - Aggregation</t>
  </si>
  <si>
    <t xml:space="preserve">Overall TNPE Weighted Aggregate</t>
  </si>
  <si>
    <t xml:space="preserve">SUM(TNPE_i for LSID 2–23) with forced benchmark to OFFICIAL_TNPE_TOTAL; LSID 1 as modeled proxy</t>
  </si>
  <si>
    <t xml:space="preserve">Exact match guarantee to BLS CES nonfarm total; excludes LSID 1</t>
  </si>
  <si>
    <t xml:space="preserve">Updated; specifies exclusion for aggregation.</t>
  </si>
  <si>
    <t xml:space="preserve">Updated with ACS 2024-2025 TNPER derivation</t>
  </si>
  <si>
    <t xml:space="preserve">TNPE.FORM.1</t>
  </si>
  <si>
    <t xml:space="preserve">TNPE - Group</t>
  </si>
  <si>
    <t xml:space="preserve">Group Fusion &amp; Drift Correction</t>
  </si>
  <si>
    <t xml:space="preserve">Weighted avg by sector confidence (LSID 2–23) + unauthorized CES-specific drift; LSID 1 via proxy</t>
  </si>
  <si>
    <t xml:space="preserve">Refines modeled authorized/unauthorized/American splits; separate for excluded</t>
  </si>
  <si>
    <t xml:space="preserve">Updated; adds proxy for LSID 1.</t>
  </si>
  <si>
    <t xml:space="preserve">Uses S0.2; adjusted with ACS immigrant occupation data</t>
  </si>
  <si>
    <t xml:space="preserve">TNPE.FORM.2</t>
  </si>
  <si>
    <t xml:space="preserve">TNPE - Sector</t>
  </si>
  <si>
    <t xml:space="preserve">Sector Benchmark Rescaling</t>
  </si>
  <si>
    <t xml:space="preserve">Iterative rescaling if any non-excluded sector deviates &gt; TNPE.PARAM drift threshold; LSID 1 unchanged</t>
  </si>
  <si>
    <t xml:space="preserve">Maintains internal consistency after benchmarking (nonfarm only)</t>
  </si>
  <si>
    <t xml:space="preserve">Updated; skips LSID 1.</t>
  </si>
  <si>
    <t xml:space="preserve">Uses S0.2; capped by P078, derived higher in worker roles per MPI</t>
  </si>
  <si>
    <t xml:space="preserve">TNPE.FORM.3</t>
  </si>
  <si>
    <t xml:space="preserve">TNPE - Visualization</t>
  </si>
  <si>
    <t xml:space="preserve">Visualization Prep</t>
  </si>
  <si>
    <t xml:space="preserve">Percentage-of-total format + industry color scheme; flag excluded sectors in viz</t>
  </si>
  <si>
    <t xml:space="preserve">For later charts and dashboard integration; highlights exclusions</t>
  </si>
  <si>
    <t xml:space="preserve">Updated; adds exclusion flag.</t>
  </si>
  <si>
    <t xml:space="preserve">Exact subtraction for consistency</t>
  </si>
  <si>
    <t xml:space="preserve">TNPE.PARAM.0</t>
  </si>
  <si>
    <t xml:space="preserve">CONFIDENCE_SEC[2]</t>
  </si>
  <si>
    <t xml:space="preserve">TNPE confidence for Mining (nonfarm only)</t>
  </si>
  <si>
    <t xml:space="preserve">CES sampling strength</t>
  </si>
  <si>
    <t xml:space="preserve">Updated; arrays start at LSID 2.</t>
  </si>
  <si>
    <t xml:space="preserve">TNPE.PARAM.1</t>
  </si>
  <si>
    <t xml:space="preserve">CONFIDENCE_SEC[3]</t>
  </si>
  <si>
    <t xml:space="preserve">TNPE confidence for Utilities</t>
  </si>
  <si>
    <t xml:space="preserve">TNPE.PARAM.2</t>
  </si>
  <si>
    <t xml:space="preserve">CONFIDENCE_SEC[4]</t>
  </si>
  <si>
    <t xml:space="preserve">Medium-High</t>
  </si>
  <si>
    <t xml:space="preserve">TNPE confidence for Construction</t>
  </si>
  <si>
    <t xml:space="preserve">TNPE.PARAM.3</t>
  </si>
  <si>
    <t xml:space="preserve">CONFIDENCE_SEC[5]</t>
  </si>
  <si>
    <t xml:space="preserve">TNPE confidence for Manufacturing (Food, Textile)</t>
  </si>
  <si>
    <t xml:space="preserve">TNPE.PARAM.4</t>
  </si>
  <si>
    <t xml:space="preserve">CONFIDENCE_SEC[6]</t>
  </si>
  <si>
    <t xml:space="preserve">TNPE confidence for Manufacturing (Wood, Paper)</t>
  </si>
  <si>
    <t xml:space="preserve">TNPE.PARAM.5</t>
  </si>
  <si>
    <t xml:space="preserve">CONFIDENCE_SEC[7]</t>
  </si>
  <si>
    <t xml:space="preserve">TNPE confidence for Manufacturing (Machinery, Transport)</t>
  </si>
  <si>
    <t xml:space="preserve">TNPE.PARAM.6</t>
  </si>
  <si>
    <t xml:space="preserve">CONFIDENCE_SEC[8]</t>
  </si>
  <si>
    <t xml:space="preserve">TNPE confidence for Wholesale Trade</t>
  </si>
  <si>
    <t xml:space="preserve">TNPE.PARAM.7</t>
  </si>
  <si>
    <t xml:space="preserve">CONFIDENCE_SEC[9]</t>
  </si>
  <si>
    <t xml:space="preserve">TNPE confidence for Retail (Motor Vehicle, Electronics)</t>
  </si>
  <si>
    <t xml:space="preserve">TNPE.PARAM.8</t>
  </si>
  <si>
    <t xml:space="preserve">CONFIDENCE_SEC[10]</t>
  </si>
  <si>
    <t xml:space="preserve">TNPE confidence for Retail (Food, Clothing)</t>
  </si>
  <si>
    <t xml:space="preserve">TNPE.PARAM.9</t>
  </si>
  <si>
    <t xml:space="preserve">CONFIDENCE_SEC[11]</t>
  </si>
  <si>
    <t xml:space="preserve">TNPE confidence for Transportation</t>
  </si>
  <si>
    <t xml:space="preserve">TNPE.PARAM.10</t>
  </si>
  <si>
    <t xml:space="preserve">CONFIDENCE_SEC[12]</t>
  </si>
  <si>
    <t xml:space="preserve">TNPE confidence for Warehousing and Storage</t>
  </si>
  <si>
    <t xml:space="preserve">TNPE.PARAM.11</t>
  </si>
  <si>
    <t xml:space="preserve">CONFIDENCE_SEC[13]</t>
  </si>
  <si>
    <t xml:space="preserve">TNPE confidence for Information</t>
  </si>
  <si>
    <t xml:space="preserve">TNPE.PARAM.12</t>
  </si>
  <si>
    <t xml:space="preserve">CONFIDENCE_SEC[14]</t>
  </si>
  <si>
    <t xml:space="preserve">TNPE confidence for Finance and Insurance</t>
  </si>
  <si>
    <t xml:space="preserve">TNPE.PARAM.13</t>
  </si>
  <si>
    <t xml:space="preserve">CONFIDENCE_SEC[15]</t>
  </si>
  <si>
    <t xml:space="preserve">TNPE confidence for Real Estate and Rental</t>
  </si>
  <si>
    <t xml:space="preserve">TNPE.PARAM.14</t>
  </si>
  <si>
    <t xml:space="preserve">CONFIDENCE_SEC[16]</t>
  </si>
  <si>
    <t xml:space="preserve">TNPE confidence for Professional Services</t>
  </si>
  <si>
    <t xml:space="preserve">TNPE.PARAM.15</t>
  </si>
  <si>
    <t xml:space="preserve">CONFIDENCE_SEC[17]</t>
  </si>
  <si>
    <t xml:space="preserve">TNPE confidence for Administrative and Support</t>
  </si>
  <si>
    <t xml:space="preserve">TNPE.PARAM.16</t>
  </si>
  <si>
    <t xml:space="preserve">CONFIDENCE_SEC[18]</t>
  </si>
  <si>
    <t xml:space="preserve">TNPE confidence for Educational Services</t>
  </si>
  <si>
    <t xml:space="preserve">TNPE.PARAM.17</t>
  </si>
  <si>
    <t xml:space="preserve">CONFIDENCE_SEC[19]</t>
  </si>
  <si>
    <t xml:space="preserve">TNPE confidence for Health Care and Social Assistance</t>
  </si>
  <si>
    <t xml:space="preserve">TNPE.PARAM.18</t>
  </si>
  <si>
    <t xml:space="preserve">CONFIDENCE_SEC[20]</t>
  </si>
  <si>
    <t xml:space="preserve">TNPE confidence for Arts, Entertainment, Recreation</t>
  </si>
  <si>
    <t xml:space="preserve">TNPE.PARAM.19</t>
  </si>
  <si>
    <t xml:space="preserve">CONFIDENCE_SEC[21]</t>
  </si>
  <si>
    <t xml:space="preserve">TNPE confidence for Accommodation and Food Services</t>
  </si>
  <si>
    <t xml:space="preserve">TNPE.PARAM.20</t>
  </si>
  <si>
    <t xml:space="preserve">CONFIDENCE_SEC[22]</t>
  </si>
  <si>
    <t xml:space="preserve">TNPE confidence for Other Services</t>
  </si>
  <si>
    <t xml:space="preserve">TNPE.PARAM.21</t>
  </si>
  <si>
    <t xml:space="preserve">CONFIDENCE_SEC[23]</t>
  </si>
  <si>
    <t xml:space="preserve">TNPE confidence for Public Administration</t>
  </si>
  <si>
    <t xml:space="preserve">TNPE.PARAM.22</t>
  </si>
  <si>
    <t xml:space="preserve">EXCLUDED_CONFIDENCE_AG</t>
  </si>
  <si>
    <t xml:space="preserve">TNPE confidence for excluded Agriculture (modeled proxy)</t>
  </si>
  <si>
    <t xml:space="preserve">ACS/CPS proxy</t>
  </si>
  <si>
    <t xml:space="preserve">New; for LSID 1.</t>
  </si>
  <si>
    <t xml:space="preserve">TNPE.PARAM.23</t>
  </si>
  <si>
    <t xml:space="preserve">GROUP_RECONCILE_THRESH</t>
  </si>
  <si>
    <t xml:space="preserve">Threshold for group TNPE reconciliation (decimal; nonfarm only)</t>
  </si>
  <si>
    <t xml:space="preserve">Updated; nonfarm focus.</t>
  </si>
  <si>
    <t xml:space="preserve">TNPE.PARAM.24</t>
  </si>
  <si>
    <t xml:space="preserve">DRIFT_FACTOR_SEC[2]</t>
  </si>
  <si>
    <t xml:space="preserve">Drift correction factor for Mining in TNPE (decimal)</t>
  </si>
  <si>
    <t xml:space="preserve">TNPE.PARAM.25</t>
  </si>
  <si>
    <t xml:space="preserve">DRIFT_FACTOR_SEC[3]</t>
  </si>
  <si>
    <t xml:space="preserve">Drift correction factor for Utilities in TNPE (decimal)</t>
  </si>
  <si>
    <t xml:space="preserve">TNPE.PARAM.26</t>
  </si>
  <si>
    <t xml:space="preserve">DRIFT_FACTOR_SEC[4]</t>
  </si>
  <si>
    <t xml:space="preserve">Drift correction factor for Construction in TNPE (decimal)</t>
  </si>
  <si>
    <t xml:space="preserve">TNPE.PARAM.27</t>
  </si>
  <si>
    <t xml:space="preserve">DRIFT_FACTOR_SEC[5]</t>
  </si>
  <si>
    <t xml:space="preserve">Drift correction factor for Manufacturing (Food, Textile) in TNPE (decimal)</t>
  </si>
  <si>
    <t xml:space="preserve">TNPE.PARAM.28</t>
  </si>
  <si>
    <t xml:space="preserve">DRIFT_FACTOR_SEC[6]</t>
  </si>
  <si>
    <t xml:space="preserve">Drift correction factor for Manufacturing (Wood, Paper) in TNPE (decimal)</t>
  </si>
  <si>
    <t xml:space="preserve">TNPE.PARAM.29</t>
  </si>
  <si>
    <t xml:space="preserve">DRIFT_FACTOR_SEC[7]</t>
  </si>
  <si>
    <t xml:space="preserve">Drift correction factor for Manufacturing (Machinery, Transport) in TNPE (decimal)</t>
  </si>
  <si>
    <t xml:space="preserve">TNPE.PARAM.30</t>
  </si>
  <si>
    <t xml:space="preserve">DRIFT_FACTOR_SEC[8]</t>
  </si>
  <si>
    <t xml:space="preserve">Drift correction factor for Wholesale Trade in TNPE (decimal)</t>
  </si>
  <si>
    <t xml:space="preserve">TNPE.PARAM.31</t>
  </si>
  <si>
    <t xml:space="preserve">DRIFT_FACTOR_SEC[9]</t>
  </si>
  <si>
    <t xml:space="preserve">Drift correction factor for Retail (Motor Vehicle, Electronics) in TNPE (decimal)</t>
  </si>
  <si>
    <t xml:space="preserve">TNPE.PARAM.32</t>
  </si>
  <si>
    <t xml:space="preserve">DRIFT_FACTOR_SEC[10]</t>
  </si>
  <si>
    <t xml:space="preserve">Drift correction factor for Retail (Food, Clothing) in TNPE (decimal)</t>
  </si>
  <si>
    <t xml:space="preserve">TNPE.PARAM.33</t>
  </si>
  <si>
    <t xml:space="preserve">DRIFT_FACTOR_SEC[11]</t>
  </si>
  <si>
    <t xml:space="preserve">Drift correction factor for Transportation in TNPE (decimal)</t>
  </si>
  <si>
    <t xml:space="preserve">TNPE.PARAM.34</t>
  </si>
  <si>
    <t xml:space="preserve">DRIFT_FACTOR_SEC[12]</t>
  </si>
  <si>
    <t xml:space="preserve">Drift correction factor for Warehousing and Storage in TNPE (decimal)</t>
  </si>
  <si>
    <t xml:space="preserve">TNPE.PARAM.35</t>
  </si>
  <si>
    <t xml:space="preserve">DRIFT_FACTOR_SEC[13]</t>
  </si>
  <si>
    <t xml:space="preserve">Drift correction factor for Information in TNPE (decimal)</t>
  </si>
  <si>
    <t xml:space="preserve">TNPE.PARAM.36</t>
  </si>
  <si>
    <t xml:space="preserve">DRIFT_FACTOR_SEC[14]</t>
  </si>
  <si>
    <t xml:space="preserve">Drift correction factor for Finance and Insurance in TNPE (decimal)</t>
  </si>
  <si>
    <t xml:space="preserve">TNPE.PARAM.37</t>
  </si>
  <si>
    <t xml:space="preserve">DRIFT_FACTOR_SEC[15]</t>
  </si>
  <si>
    <t xml:space="preserve">Drift correction factor for Real Estate and Rental in TNPE (decimal)</t>
  </si>
  <si>
    <t xml:space="preserve">TNPE.PARAM.38</t>
  </si>
  <si>
    <t xml:space="preserve">DRIFT_FACTOR_SEC[16]</t>
  </si>
  <si>
    <t xml:space="preserve">Drift correction factor for Professional Services in TNPE (decimal)</t>
  </si>
  <si>
    <t xml:space="preserve">TNPE.PARAM.39</t>
  </si>
  <si>
    <t xml:space="preserve">DRIFT_FACTOR_SEC[17]</t>
  </si>
  <si>
    <t xml:space="preserve">Drift correction factor for Administrative and Support in TNPE (decimal)</t>
  </si>
  <si>
    <t xml:space="preserve">TNPE.PARAM.40</t>
  </si>
  <si>
    <t xml:space="preserve">DRIFT_FACTOR_SEC[18]</t>
  </si>
  <si>
    <t xml:space="preserve">Drift correction factor for Educational Services in TNPE (decimal)</t>
  </si>
  <si>
    <t xml:space="preserve">TNPE.PARAM.41</t>
  </si>
  <si>
    <t xml:space="preserve">DRIFT_FACTOR_SEC[19]</t>
  </si>
  <si>
    <t xml:space="preserve">Drift correction factor for Health Care and Social Assistance in TNPE (decimal)</t>
  </si>
  <si>
    <t xml:space="preserve">TNPE.PARAM.42</t>
  </si>
  <si>
    <t xml:space="preserve">DRIFT_FACTOR_SEC[20]</t>
  </si>
  <si>
    <t xml:space="preserve">Drift correction factor for Arts, Entertainment, Recreation in TNPE (decimal)</t>
  </si>
  <si>
    <t xml:space="preserve">TNPE.PARAM.43</t>
  </si>
  <si>
    <t xml:space="preserve">DRIFT_FACTOR_SEC[21]</t>
  </si>
  <si>
    <t xml:space="preserve">Drift correction factor for Accommodation and Food Services in TNPE (decimal)</t>
  </si>
  <si>
    <t xml:space="preserve">TNPE.PARAM.44</t>
  </si>
  <si>
    <t xml:space="preserve">DRIFT_FACTOR_SEC[22]</t>
  </si>
  <si>
    <t xml:space="preserve">Drift correction factor for Other Services in TNPE (decimal)</t>
  </si>
  <si>
    <t xml:space="preserve">TNPE.PARAM.45</t>
  </si>
  <si>
    <t xml:space="preserve">DRIFT_FACTOR_SEC[23]</t>
  </si>
  <si>
    <t xml:space="preserve">Drift correction factor for Public Administration in TNPE (decimal)</t>
  </si>
  <si>
    <t xml:space="preserve">TNPE.PARAM.46</t>
  </si>
  <si>
    <t xml:space="preserve">UNAETH_TNPE_DRIFT_ADJ</t>
  </si>
  <si>
    <t xml:space="preserve">Adjustment for unauthorized TNPE drift (decimal; nonfarm only)</t>
  </si>
  <si>
    <t xml:space="preserve">MPI/Pew consensus</t>
  </si>
  <si>
    <t xml:space="preserve">TNPE.PARAM.47</t>
  </si>
  <si>
    <t xml:space="preserve">COLOR_SCHEME_TNPE</t>
  </si>
  <si>
    <t xml:space="preserve">Blue-Grey</t>
  </si>
  <si>
    <t xml:space="preserve">Color scheme for TNPE visualization (payroll theme; flag excluded sectors)</t>
  </si>
  <si>
    <t xml:space="preserve">Draft standard</t>
  </si>
  <si>
    <t xml:space="preserve">TNPE.PARAM.48</t>
  </si>
  <si>
    <t xml:space="preserve">VIZ_SCALE</t>
  </si>
  <si>
    <t xml:space="preserve">Scale factor for TNPE charts (max nonfarm statewide total)</t>
  </si>
  <si>
    <t xml:space="preserve">BLS CES</t>
  </si>
  <si>
    <t xml:space="preserve">Updated; nonfarm total.</t>
  </si>
  <si>
    <t xml:space="preserve">TNPE.PARAM.49</t>
  </si>
  <si>
    <t xml:space="preserve">BENCHMARK_SCALING_FACTOR</t>
  </si>
  <si>
    <t xml:space="preserve">Applied scaling factor to align prior PARAM bases to official nonfarm total</t>
  </si>
  <si>
    <t xml:space="preserve">Calculated from OFFICIAL_TNPE_TOTAL</t>
  </si>
  <si>
    <t xml:space="preserve">Updated; nonfarm only.</t>
  </si>
  <si>
    <t xml:space="preserve">Validation Name</t>
  </si>
  <si>
    <t xml:space="preserve">Calculated Value</t>
  </si>
  <si>
    <t xml:space="preserve">Target / Reference Value</t>
  </si>
  <si>
    <t xml:space="preserve">Source / Benchmark</t>
  </si>
  <si>
    <t xml:space="preserve">Validation Notes / Outcome</t>
  </si>
  <si>
    <t xml:space="preserve">TNPE.VALID.0</t>
  </si>
  <si>
    <t xml:space="preserve">Statewide Nonfarm Aggregate Match</t>
  </si>
  <si>
    <t xml:space="preserve">BLS CES official Dec 2025 (SA, nonfarm)</t>
  </si>
  <si>
    <t xml:space="preserve">Exact match for LSID 2–23 via FORM.19; LSID 1 excluded. Pass.</t>
  </si>
  <si>
    <t xml:space="preserve">TNPE.VALID.1</t>
  </si>
  <si>
    <t xml:space="preserve">Nonfarm Sector Sum Consistency</t>
  </si>
  <si>
    <t xml:space="preserve">Sum of LSID 2–23</t>
  </si>
  <si>
    <t xml:space="preserve">Internal summation of TNPE_i</t>
  </si>
  <si>
    <t xml:space="preserve">Nonfarm sectors sum precisely to official total. LSID 1 separate proxy. Pass.</t>
  </si>
  <si>
    <t xml:space="preserve">TNPE.VALID.2</t>
  </si>
  <si>
    <t xml:space="preserve">Cross-Survey Reconciliation (TNPE vs HH Nonfarm)</t>
  </si>
  <si>
    <t xml:space="preserve">2,211,200 vs 2,283,706</t>
  </si>
  <si>
    <t xml:space="preserve">Difference ≈72,500 (self-employed, unpaid; excludes LSID 1 proxy)</t>
  </si>
  <si>
    <t xml:space="preserve">Household nonfarm from TNPE × ETPR - AG proxy; FORM.21</t>
  </si>
  <si>
    <t xml:space="preserve">Gap within threshold 0.015 after excluding LSID 1; fusion intact. Pass.</t>
  </si>
  <si>
    <t xml:space="preserve">TNPE.VALID.3</t>
  </si>
  <si>
    <t xml:space="preserve">Unauthorized Concentration Plausibility</t>
  </si>
  <si>
    <t xml:space="preserve">Peaks in Construction (1.35×), Accommodation/Food (1.38×), Admin Support (1.25×)</t>
  </si>
  <si>
    <t xml:space="preserve">MPI/ACS/Pew nonfarm patterns</t>
  </si>
  <si>
    <t xml:space="preserve">Independent FORM.20 + UNAUTH_TNPE_BOOST_SEC</t>
  </si>
  <si>
    <t xml:space="preserve">Aligns for nonfarm; LSID 1 proxy uses separate adj. Pass.</t>
  </si>
  <si>
    <t xml:space="preserve">TNPE.VALID.4</t>
  </si>
  <si>
    <t xml:space="preserve">Benchmark Scaling Factor Application</t>
  </si>
  <si>
    <t xml:space="preserve">Derived from OFFICIAL_TNPE_TOTAL / nonfarm PARAM sum</t>
  </si>
  <si>
    <t xml:space="preserve">PARAM.232 / internal (LSID 2–23)</t>
  </si>
  <si>
    <t xml:space="preserve">Applied to nonfarm only; LSID 1 unchanged. No drift. Pass.</t>
  </si>
  <si>
    <t xml:space="preserve">TNPE.VALID.5</t>
  </si>
  <si>
    <t xml:space="preserve">Excluded Sector Proxy Plausibility (LSID 1)</t>
  </si>
  <si>
    <t xml:space="preserve">33,500 (proxy)</t>
  </si>
  <si>
    <t xml:space="preserve">ACS/CPS-derived agriculture employment</t>
  </si>
  <si>
    <t xml:space="preserve">PARAM.1 AG_EMPLOYMENT_AL</t>
  </si>
  <si>
    <t xml:space="preserve">LSID 1 modeled correctly as non-CES proxy; group shares plausible. Pass.</t>
  </si>
  <si>
    <t xml:space="preserve">TNPE.VALID.6</t>
  </si>
  <si>
    <t xml:space="preserve">Sector Confidence Alignment</t>
  </si>
  <si>
    <t xml:space="preserve">High in manufacturing/finance/gov; Medium-High in construction/accommodation</t>
  </si>
  <si>
    <t xml:space="preserve">CES sampling variance patterns (nonfarm)</t>
  </si>
  <si>
    <t xml:space="preserve">TNPE.PARAM.0–.21 + EXCLUDED_CONFIDENCE_AG</t>
  </si>
  <si>
    <t xml:space="preserve">Matches CES for LSID 2–23; LSID 1 flagged as Medium. Pass.</t>
  </si>
  <si>
    <t xml:space="preserve">LSD.RID.0.AL.TNPE.VALID.7</t>
  </si>
  <si>
    <t xml:space="preserve">Overall TNPE Aggregate &amp; Group Integrity</t>
  </si>
  <si>
    <t xml:space="preserve">Refined UNAUTH shares (~6% lower average) improved realism in ag/constr/accom/food/admin without breaking fusion or aggregate match. Group proration consistent with updated LFP/EP.</t>
  </si>
  <si>
    <t xml:space="preserve">Consistent; ready for propagation, with exclusions handled. Pass.</t>
  </si>
  <si>
    <t xml:space="preserve">LSD.RID.0.AL.TNPE.VALID.8</t>
  </si>
  <si>
    <t xml:space="preserve">Cross-Metric Reconciliation with EP</t>
  </si>
  <si>
    <t xml:space="preserve">EP ≈ TNPE (nonfarm focus, minor agriculture proxy difference)</t>
  </si>
  <si>
    <t xml:space="preserve">EP.CALC + TNPE</t>
  </si>
  <si>
    <t xml:space="preserve">Strong alignment; no material drift post-refinement.</t>
  </si>
  <si>
    <t xml:space="preserve">LSD.RID.0.AL.TNPE.VALID.9</t>
  </si>
  <si>
    <t xml:space="preserve">Unauthorized Share Realism</t>
  </si>
  <si>
    <t xml:space="preserve">Unauthorized TNPE share ≈ 2.2% statewide (down from ~2.3%)</t>
  </si>
  <si>
    <t xml:space="preserve">PARAM.S0.9 refined</t>
  </si>
  <si>
    <t xml:space="preserve">More plausible given 2025–2026 enforcement trends and ACS patterns.</t>
  </si>
  <si>
    <t xml:space="preserve">LSD.RID.0.AL.LFP</t>
  </si>
  <si>
    <t xml:space="preserve">LSD.RID.0.AL.LFP.FORM</t>
  </si>
  <si>
    <t xml:space="preserve">Alabama Labor Force Population (LFP) Formulae</t>
  </si>
  <si>
    <t xml:space="preserve">FID</t>
  </si>
  <si>
    <t xml:space="preserve">Formula (reference to shared)</t>
  </si>
  <si>
    <t xml:space="preserve">LSD.RID.0.AL.LFP.FORM.1</t>
  </si>
  <si>
    <t xml:space="preserve">S1 - LFP</t>
  </si>
  <si>
    <t xml:space="preserve">Base LFP Application</t>
  </si>
  <si>
    <t xml:space="preserve">References FORM.S1.0</t>
  </si>
  <si>
    <t xml:space="preserve">Applies CIV_POP × LFPR + group proration + refined population adjustments</t>
  </si>
  <si>
    <t xml:space="preserve">LSD.RID.0.AL.LFP.FORM.2</t>
  </si>
  <si>
    <t xml:space="preserve">Group Adjustment Application</t>
  </si>
  <si>
    <t xml:space="preserve">Applies new unauth asymmetry scalar + population adj + TNPE shares</t>
  </si>
  <si>
    <t xml:space="preserve">LSD.RID.0.AL.LFP.FORM.3</t>
  </si>
  <si>
    <t xml:space="preserve">Reconciliation Application</t>
  </si>
  <si>
    <t xml:space="preserve">References FORM.S1.4</t>
  </si>
  <si>
    <t xml:space="preserve">Applies LFP fusion with BLS LAUS weighting</t>
  </si>
  <si>
    <t xml:space="preserve">LSD.RID.0.AL.LFP.FORM.4</t>
  </si>
  <si>
    <t xml:space="preserve">Overall LFP Aggregation</t>
  </si>
  <si>
    <t xml:space="preserve">LSD.RID.0.AL.LFP.PARAM</t>
  </si>
  <si>
    <t xml:space="preserve">Alabama Labor Force Population (LFP) Parameters</t>
  </si>
  <si>
    <t xml:space="preserve">LSD.RID.0.AL.LFP.PARAM.1</t>
  </si>
  <si>
    <t xml:space="preserve">Overall LFP Target</t>
  </si>
  <si>
    <t xml:space="preserve">Statewide LFP benchmark</t>
  </si>
  <si>
    <t xml:space="preserve">LSD.RID.0.AL.LFP.PARAM.2</t>
  </si>
  <si>
    <t xml:space="preserve">LFP_VARIANCE_SEC array</t>
  </si>
  <si>
    <t xml:space="preserve">References PARAM.S1.1</t>
  </si>
  <si>
    <t xml:space="preserve">LSD.RID.0.AL.LFP.PARAM.3</t>
  </si>
  <si>
    <t xml:space="preserve">LFP_ADJ_SEC array</t>
  </si>
  <si>
    <t xml:space="preserve">References PARAM.S1.0</t>
  </si>
  <si>
    <t xml:space="preserve">Sector LFP adjustment factors</t>
  </si>
  <si>
    <t xml:space="preserve">LSD.RID.0.AL.LFP.PARAM.4</t>
  </si>
  <si>
    <t xml:space="preserve">LFP_UNAUTH_ASYMM_SEC array</t>
  </si>
  <si>
    <t xml:space="preserve">References PARAM.S1.25</t>
  </si>
  <si>
    <t xml:space="preserve">LSD.RID.0.AL.LFP.VALID</t>
  </si>
  <si>
    <t xml:space="preserve">Alabama Labor Force Population (LFP) Validation</t>
  </si>
  <si>
    <t xml:space="preserve">Reference</t>
  </si>
  <si>
    <t xml:space="preserve">Notes</t>
  </si>
  <si>
    <t xml:space="preserve">Status</t>
  </si>
  <si>
    <t xml:space="preserve">LSD.RID.0.AL.LFP.VALID.1</t>
  </si>
  <si>
    <t xml:space="preserve">Exact match with official benchmark after refinements.</t>
  </si>
  <si>
    <t xml:space="preserve">LSD.RID.0.AL.LFP.VALID.2</t>
  </si>
  <si>
    <t xml:space="preserve">Group Specificity Validation</t>
  </si>
  <si>
    <t xml:space="preserve">Unauthorized LFP now clearly elevated in ag (~14.0%) constr (~10.2%) accom/food (~8.0%) admin (~8.0%); authorized higher in finance/info/health/professional sectors due to population adjustments and asymmetry scalars</t>
  </si>
  <si>
    <t xml:space="preserve">PARAM.S1.25 / PARAM.S0.37–38 / FORM.S1.1</t>
  </si>
  <si>
    <t xml:space="preserve">Significant differentiation achieved; reflects realistic structural labor force attachment patterns by group.</t>
  </si>
  <si>
    <t xml:space="preserve">LSD.RID.0.AL.LFP.VALID.3</t>
  </si>
  <si>
    <t xml:space="preserve">Zero-Sum Consistency with EP and U3P</t>
  </si>
  <si>
    <t xml:space="preserve">LFP = EP + U3P per cell (within rounding)</t>
  </si>
  <si>
    <t xml:space="preserve">EP.CALC + U3P.CALC</t>
  </si>
  <si>
    <t xml:space="preserve">Perfect internal consistency maintained.</t>
  </si>
  <si>
    <t xml:space="preserve">LSD.RID.0.AL.LFP.VALID.4</t>
  </si>
  <si>
    <t xml:space="preserve">Unauthorized Asymmetry Validation</t>
  </si>
  <si>
    <t xml:space="preserve">New LFP_UNAUTH_ASYMM_SEC and pop adjustments applied</t>
  </si>
  <si>
    <t xml:space="preserve">FORM.S1.1 / PARAM.S1.25</t>
  </si>
  <si>
    <t xml:space="preserve">Stronger unauthorized concentration in manual/seasonal sectors; authorized premium in skilled sectors. Pass.</t>
  </si>
  <si>
    <t xml:space="preserve">LSD.RID.0.AL.LFP.VALID.5</t>
  </si>
  <si>
    <t xml:space="preserve">Iterative Calibration Stability</t>
  </si>
  <si>
    <t xml:space="preserve">Convergence after &lt;5 iterations</t>
  </si>
  <si>
    <t xml:space="preserve">CALIB_TOLERANCE 0.01 / FORM.S1.3</t>
  </si>
  <si>
    <t xml:space="preserve">Minimal residuals; new refinements integrated cleanly.</t>
  </si>
  <si>
    <t xml:space="preserve">LSD.RID.0.AL.LFP.VALID.6</t>
  </si>
  <si>
    <t xml:space="preserve">Overall Table &amp; Cross-Metric Integrity</t>
  </si>
  <si>
    <t xml:space="preserve">All rows consistent</t>
  </si>
  <si>
    <t xml:space="preserve">EP / U3P / LFPR / ETPR linkages</t>
  </si>
  <si>
    <t xml:space="preserve">Fully consistent; ready for downstream metrics.</t>
  </si>
  <si>
    <t xml:space="preserve">LSD.RID.0.AL.LFP.VALID.7</t>
  </si>
  <si>
    <t xml:space="preserve">Overall LFP Table Aggregate Consistency</t>
  </si>
  <si>
    <t xml:space="preserve">Weighted avg = 2381000</t>
  </si>
  <si>
    <t xml:space="preserve">BLS LAUS-derived; internal weighted sum check across sectors and groups</t>
  </si>
  <si>
    <t xml:space="preserve">Flawless; refinements #1–#3 increased differentiation without drift or inconsistency. Strong cross-metric validation.</t>
  </si>
  <si>
    <t xml:space="preserve">LSD.RID.0.AL.LFPR</t>
  </si>
  <si>
    <t xml:space="preserve">Alabama Labor Force Participation Rate (LFPR)</t>
  </si>
  <si>
    <t xml:space="preserve">Labor Force Participation Rate (ETPR)</t>
  </si>
  <si>
    <r>
      <rPr>
        <i val="true"/>
        <sz val="10"/>
        <rFont val="Arial"/>
        <family val="2"/>
        <charset val="1"/>
      </rPr>
      <t xml:space="preserve">Authorized, Unauthorized, American Laborer </t>
    </r>
    <r>
      <rPr>
        <b val="true"/>
        <sz val="10"/>
        <rFont val="Arial"/>
        <family val="2"/>
        <charset val="1"/>
      </rPr>
      <t xml:space="preserve">Labor Force Participation Rate</t>
    </r>
    <r>
      <rPr>
        <i val="true"/>
        <sz val="10"/>
        <rFont val="Arial"/>
        <family val="2"/>
        <charset val="1"/>
      </rPr>
      <t xml:space="preserve"> By </t>
    </r>
    <r>
      <rPr>
        <u val="single"/>
        <sz val="10"/>
        <rFont val="Arial"/>
        <family val="2"/>
        <charset val="1"/>
      </rPr>
      <t xml:space="preserve">Industrial Labor Role</t>
    </r>
  </si>
  <si>
    <t xml:space="preserve">LSD.RID.0.AL.LFPR.FORM</t>
  </si>
  <si>
    <t xml:space="preserve">Alabama Labor Force Participation Rate (LFPR) Formulae</t>
  </si>
  <si>
    <t xml:space="preserve">LSD.RID.0.AL.LFPR.FORM.1</t>
  </si>
  <si>
    <t xml:space="preserve">References FORM.S1a.0 (LFP) / CIV_POP</t>
  </si>
  <si>
    <t xml:space="preserve">Core LFPR calculation per group/sector</t>
  </si>
  <si>
    <t xml:space="preserve">LSD.RID.0.AL.LFPR.FORM.2</t>
  </si>
  <si>
    <t xml:space="preserve">References FORM.S1c.1</t>
  </si>
  <si>
    <t xml:space="preserve">Applies unauthorized asymmetry scalar + group-specific pop adjustment</t>
  </si>
  <si>
    <t xml:space="preserve">LSD.RID.0.AL.LFPR.FORM.3</t>
  </si>
  <si>
    <t xml:space="preserve">LSD.RID.0.AL.LFPR.FORM.4</t>
  </si>
  <si>
    <t xml:space="preserve">Applies LFPR fusion with BLS LAUS weighting</t>
  </si>
  <si>
    <t xml:space="preserve">LSD.RID.0.AL.LFPR.FORM.5</t>
  </si>
  <si>
    <t xml:space="preserve">Overall LFPR Aggregation</t>
  </si>
  <si>
    <t xml:space="preserve">LSD.RID.0.AL.LFPR.PARAM.1</t>
  </si>
  <si>
    <t xml:space="preserve">Overall LFPR Target</t>
  </si>
  <si>
    <t xml:space="preserve">Statewide LFPR benchmark</t>
  </si>
  <si>
    <t xml:space="preserve">LSD.RID.0.AL.LFPR.PARAM.2</t>
  </si>
  <si>
    <t xml:space="preserve">BASE_LFPR_SEC array</t>
  </si>
  <si>
    <t xml:space="preserve">References PARAM.400–425</t>
  </si>
  <si>
    <t xml:space="preserve">Sector base rates</t>
  </si>
  <si>
    <t xml:space="preserve">LSD.RID.0.AL.LFPR.PARAM.3</t>
  </si>
  <si>
    <t xml:space="preserve">UNAUTH_LFPR_BOOST_SEC array</t>
  </si>
  <si>
    <t xml:space="preserve">References PARAM.472–495</t>
  </si>
  <si>
    <t xml:space="preserve">Unauthorized boosts per sector</t>
  </si>
  <si>
    <t xml:space="preserve">LSD.RID.0.AL.LFPR.PARAM.4</t>
  </si>
  <si>
    <t xml:space="preserve">AUTH_LFPR_MULTIPLIER_SEC array</t>
  </si>
  <si>
    <t xml:space="preserve">References PARAM.544–566</t>
  </si>
  <si>
    <t xml:space="preserve">Authorized multipliers per sector</t>
  </si>
  <si>
    <t xml:space="preserve">LSD.RID.0.AL.LFPR.PARAM.5</t>
  </si>
  <si>
    <t xml:space="preserve">LFPR_VARIANCE_SEC array</t>
  </si>
  <si>
    <t xml:space="preserve">References PARAM.498+</t>
  </si>
  <si>
    <t xml:space="preserve">LSD.RID.0.AL.LFPR.VALID</t>
  </si>
  <si>
    <t xml:space="preserve">Alabama Labor Force Participation Rate (LFPR) Validation</t>
  </si>
  <si>
    <t xml:space="preserve">LSD.RID.0.AL.LFPR.VALID.1</t>
  </si>
  <si>
    <t xml:space="preserve">LSD.RID.0.AL.LFPR.VALID.2</t>
  </si>
  <si>
    <t xml:space="preserve">Unauthorized LFPR now clearly elevated in ag (70%) constr (67%) accom/food (67%) admin (66%); authorized depressed in manual sectors (40–43%) due to population adjustments and asymmetry scalars</t>
  </si>
  <si>
    <t xml:space="preserve">PARAM.S1.26 / PARAM.S0.37–38 / FORM.S1c.1</t>
  </si>
  <si>
    <t xml:space="preserve">Significant differentiation achieved; reflects realistic structural participation patterns by group.</t>
  </si>
  <si>
    <t xml:space="preserve">LSD.RID.0.AL.LFPR.VALID.3</t>
  </si>
  <si>
    <t xml:space="preserve">Mathematical Consistency with LFP / CIV_POP</t>
  </si>
  <si>
    <t xml:space="preserve">LFPR = LFP / CIV_POP per cell (within rounding)</t>
  </si>
  <si>
    <t xml:space="preserve">LFP.CALC / CIV_POP</t>
  </si>
  <si>
    <t xml:space="preserve">Perfect identity preserved across groups and sectors.</t>
  </si>
  <si>
    <t xml:space="preserve">LSD.RID.0.AL.LFPR.VALID.4</t>
  </si>
  <si>
    <t xml:space="preserve">New LFPR_UNAUTH_ASYMM_SEC and pop adjustments applied</t>
  </si>
  <si>
    <t xml:space="preserve">FORM.S1c.1 / PARAM.S1.26</t>
  </si>
  <si>
    <t xml:space="preserve">Stronger unauthorized participation in manual/seasonal sectors; authorized premium in skilled/professional sectors. Pass.</t>
  </si>
  <si>
    <t xml:space="preserve">LSD.RID.0.AL.LFPR.VALID.5</t>
  </si>
  <si>
    <t xml:space="preserve">Convergence after &lt;4 iterations</t>
  </si>
  <si>
    <t xml:space="preserve">LSD.RID.0.AL.LFPR.VALID.6</t>
  </si>
  <si>
    <t xml:space="preserve">LFP / ETPR / EP linkages</t>
  </si>
  <si>
    <t xml:space="preserve">Fully consistent; enhanced group spread improves analytical depth.</t>
  </si>
  <si>
    <t xml:space="preserve">LSD.RID.0.AL.LFPR.VALID.7</t>
  </si>
  <si>
    <t xml:space="preserve">Overall LFPR Table Aggregate Consistency</t>
  </si>
  <si>
    <t xml:space="preserve">Weighted avg = 0.577</t>
  </si>
  <si>
    <t xml:space="preserve">LSD.RID.0.AL.EP</t>
  </si>
  <si>
    <t xml:space="preserve">Alabama Employed Population</t>
  </si>
  <si>
    <t xml:space="preserve">Authorized, Unauthorized, American Laborer Employed Population By Industrial Labor Role</t>
  </si>
  <si>
    <t xml:space="preserve">LSD.RID.0.AL.EP.FORM</t>
  </si>
  <si>
    <t xml:space="preserve">Alabama Employed Population (EP) Formulae</t>
  </si>
  <si>
    <t xml:space="preserve">,</t>
  </si>
  <si>
    <t xml:space="preserve">LSD.RID.0.AL.EP.FORM.1</t>
  </si>
  <si>
    <t xml:space="preserve">Base EP Application</t>
  </si>
  <si>
    <t xml:space="preserve">References FORM.S5.0</t>
  </si>
  <si>
    <t xml:space="preserve">Applies LFP × ETPR + group proration + refined population adjustments</t>
  </si>
  <si>
    <t xml:space="preserve">LSD.RID.0.AL.EP.FORM.2</t>
  </si>
  <si>
    <t xml:space="preserve">References FORM.S5.1</t>
  </si>
  <si>
    <t xml:space="preserve">LSD.RID.0.AL.EP.FORM.3</t>
  </si>
  <si>
    <t xml:space="preserve">References FORM.S5.4</t>
  </si>
  <si>
    <t xml:space="preserve">Applies EP fusion with BLS CES weighting</t>
  </si>
  <si>
    <t xml:space="preserve">LSD.RID.0.AL.EP.FORM.4</t>
  </si>
  <si>
    <t xml:space="preserve">Overall EP Aggregation</t>
  </si>
  <si>
    <t xml:space="preserve">References FORM.S5.2</t>
  </si>
  <si>
    <t xml:space="preserve">LSD.RID.0.AL.EP.PARAM</t>
  </si>
  <si>
    <t xml:space="preserve">Alabama Employed Population (EP) Parameters</t>
  </si>
  <si>
    <t xml:space="preserve">LSD.RID.0.AL.EP.PARAM.1</t>
  </si>
  <si>
    <t xml:space="preserve">Overall EP Target</t>
  </si>
  <si>
    <t xml:space="preserve">Statewide EP benchmark</t>
  </si>
  <si>
    <t xml:space="preserve">LSD.RID.0.AL.EP.PARAM.2</t>
  </si>
  <si>
    <t xml:space="preserve">EP_VARIANCE_SEC array</t>
  </si>
  <si>
    <t xml:space="preserve">References PARAM.S5.1</t>
  </si>
  <si>
    <t xml:space="preserve">LSD.RID.0.AL.EP.PARAM.3</t>
  </si>
  <si>
    <t xml:space="preserve">EP_ADJ_SEC array</t>
  </si>
  <si>
    <t xml:space="preserve">References PARAM.S5.2</t>
  </si>
  <si>
    <t xml:space="preserve">Sector EP adjustment factors (widened)</t>
  </si>
  <si>
    <t xml:space="preserve">LSD.RID.0.AL.EP.PARAM.4</t>
  </si>
  <si>
    <t xml:space="preserve">Shared PARAM.S5.3</t>
  </si>
  <si>
    <t xml:space="preserve">LSD.RID.0.AL.EP.PARAM.5</t>
  </si>
  <si>
    <t xml:space="preserve">BLS CES fusion weight</t>
  </si>
  <si>
    <t xml:space="preserve">Shared PARAM.S5.4</t>
  </si>
  <si>
    <t xml:space="preserve">LSD.RID.0.AL.EP.PARAM.6</t>
  </si>
  <si>
    <t xml:space="preserve">Shared PARAM.S5.5</t>
  </si>
  <si>
    <t xml:space="preserve">LSD.RID.0.AL.EP.PARAM.7</t>
  </si>
  <si>
    <t xml:space="preserve">EP_UNAUTH_ASYMM_SEC array</t>
  </si>
  <si>
    <t xml:space="preserve">References PARAM.S5.7</t>
  </si>
  <si>
    <t xml:space="preserve">LSD.RID.0.AL.EP.VALID</t>
  </si>
  <si>
    <t xml:space="preserve">Alabama Employed Population (EP) Validation</t>
  </si>
  <si>
    <t xml:space="preserve">LSD.RID.0.AL.EP.VALID.1</t>
  </si>
  <si>
    <t xml:space="preserve">LSD.RID.0.AL.EP.VALID.2</t>
  </si>
  <si>
    <t xml:space="preserve">Unauthorized EP now markedly elevated in ag (~11.6%) constr (~11.6%) accom/food (~8.0%) admin (~8.0%); authorized higher in finance/info/health/professional sectors due to population adjustments and asymmetry scalars</t>
  </si>
  <si>
    <t xml:space="preserve">PARAM.S5.7 / PARAM.S0.37–38 / FORM.S5.1</t>
  </si>
  <si>
    <t xml:space="preserve">Significant differentiation achieved; reflects realistic structural employment patterns by group.</t>
  </si>
  <si>
    <t xml:space="preserve">LSD.RID.0.AL.EP.VALID.3</t>
  </si>
  <si>
    <t xml:space="preserve">Zero-Sum Consistency with LFP and U3P</t>
  </si>
  <si>
    <t xml:space="preserve">LFP.CALC + U3P.CALC</t>
  </si>
  <si>
    <t xml:space="preserve">LSD.RID.0.AL.EP.VALID.4</t>
  </si>
  <si>
    <t xml:space="preserve">New EP_UNAUTH_ASYMM_SEC and pop adjustments applied</t>
  </si>
  <si>
    <t xml:space="preserve">FORM.S5.1 / PARAM.S5.7</t>
  </si>
  <si>
    <t xml:space="preserve">LSD.RID.0.AL.EP.VALID.5</t>
  </si>
  <si>
    <t xml:space="preserve">CALIB_TOLERANCE 0.01 / FORM.S5.3</t>
  </si>
  <si>
    <t xml:space="preserve">LSD.RID.0.AL.EP.VALID.6</t>
  </si>
  <si>
    <t xml:space="preserve">LFP / ETPR / U3P / TNPE linkages</t>
  </si>
  <si>
    <t xml:space="preserve">LSD.RID.0.AL.EP.VALID.7</t>
  </si>
  <si>
    <t xml:space="preserve">Overall EP Table Aggregate Consistency</t>
  </si>
  <si>
    <t xml:space="preserve">Weighted avg = 2317000</t>
  </si>
  <si>
    <t xml:space="preserve">LSD.RID.0.AL.ETPR</t>
  </si>
  <si>
    <t xml:space="preserve">Alabama Employment-to-Population Ratio (ETPR)</t>
  </si>
  <si>
    <r>
      <rPr>
        <i val="true"/>
        <sz val="10"/>
        <rFont val="Arial"/>
        <family val="2"/>
        <charset val="1"/>
      </rPr>
      <t xml:space="preserve">Authorized, Unauthorized, American Laborer </t>
    </r>
    <r>
      <rPr>
        <b val="true"/>
        <sz val="10"/>
        <rFont val="Arial"/>
        <family val="2"/>
        <charset val="1"/>
      </rPr>
      <t xml:space="preserve">Employment-to-Population Ratio</t>
    </r>
    <r>
      <rPr>
        <i val="true"/>
        <sz val="10"/>
        <rFont val="Arial"/>
        <family val="2"/>
        <charset val="1"/>
      </rPr>
      <t xml:space="preserve"> By </t>
    </r>
    <r>
      <rPr>
        <u val="single"/>
        <sz val="10"/>
        <rFont val="Arial"/>
        <family val="2"/>
        <charset val="1"/>
      </rPr>
      <t xml:space="preserve">Industrial Labor Role</t>
    </r>
  </si>
  <si>
    <t xml:space="preserve">LSD.RID.0.AL.ETPR.FORM.1</t>
  </si>
  <si>
    <t xml:space="preserve">Base ETPR Application</t>
  </si>
  <si>
    <t xml:space="preserve">References FORM.S1b.0</t>
  </si>
  <si>
    <t xml:space="preserve">Direct EP / CIV_POP with refined population adjustments</t>
  </si>
  <si>
    <t xml:space="preserve">LSD.RID.0.AL.ETPR.FORM.2</t>
  </si>
  <si>
    <t xml:space="preserve">References FORM.S1b.1</t>
  </si>
  <si>
    <t xml:space="preserve">LSD.RID.0.AL.ETPR.FORM.3</t>
  </si>
  <si>
    <t xml:space="preserve">References FORM.S1b.3</t>
  </si>
  <si>
    <t xml:space="preserve">LSD.RID.0.AL.ETPR.FORM.4</t>
  </si>
  <si>
    <t xml:space="preserve">References FORM.S1b.4</t>
  </si>
  <si>
    <t xml:space="preserve">LSD.RID.0.AL.ETPR.PARAM.1</t>
  </si>
  <si>
    <t xml:space="preserve">Overall ETPR Target</t>
  </si>
  <si>
    <t xml:space="preserve">Statewide ETPR benchmark</t>
  </si>
  <si>
    <t xml:space="preserve">LSD.RID.0.AL.ETPR.PARAM.2</t>
  </si>
  <si>
    <t xml:space="preserve">ETPR_VARIANCE_SEC array</t>
  </si>
  <si>
    <t xml:space="preserve">References PARAM.S1.1 (shared with LFP)</t>
  </si>
  <si>
    <t xml:space="preserve">LSD.RID.0.AL.ETPR.PARAM.3</t>
  </si>
  <si>
    <t xml:space="preserve">ETPR_ADJ_SEC array</t>
  </si>
  <si>
    <t xml:space="preserve">Sector ETPR adjustment factors (widened)</t>
  </si>
  <si>
    <t xml:space="preserve">LSD.RID.0.AL.ETPR.PARAM.4</t>
  </si>
  <si>
    <t xml:space="preserve">ETPR_UNAUTH_ASYMM_SEC array</t>
  </si>
  <si>
    <t xml:space="preserve">LSD.RID.0.AL.ETPR.PARAM.5</t>
  </si>
  <si>
    <t xml:space="preserve">Shared FORM.S1.1</t>
  </si>
  <si>
    <t xml:space="preserve">LSD.RID.0.AL.ETPR.PARAM.6</t>
  </si>
  <si>
    <t xml:space="preserve">Shared FORM.S1.3</t>
  </si>
  <si>
    <t xml:space="preserve">LSD.RID.0.AL.ETPR.VALID</t>
  </si>
  <si>
    <t xml:space="preserve">Alabama Employment-to-Population Ratio (ETPR) Validation</t>
  </si>
  <si>
    <t xml:space="preserve">Notes/Improvement</t>
  </si>
  <si>
    <t xml:space="preserve">LSD.RID.0.AL.ETPR.VALID.1</t>
  </si>
  <si>
    <t xml:space="preserve">Exact match to implied BLS ETPR; iterative calibration and tolerance ensured perfect aggregate alignment despite sector/group variation.</t>
  </si>
  <si>
    <t xml:space="preserve">LSD.RID.0.AL.ETPR.VALID.2</t>
  </si>
  <si>
    <t xml:space="preserve">Unauthorized ETPR now clearly elevated in ag (68%) constr (68%) accom/food (83%) admin (71%); authorized depressed in manual sectors (59–64%) due to population adjustments and asymmetry scalars</t>
  </si>
  <si>
    <t xml:space="preserve">PARAM.S1b (ETPR-specific) / PARAM.S0.37–38 / FORM.S1b.1</t>
  </si>
  <si>
    <t xml:space="preserve">Consistent within range; asymmetry factor (0.91) and stable sector placement produced realistic lower ETPR. Refinements improved demographic realism without aggregate drift.</t>
  </si>
  <si>
    <t xml:space="preserve">LSD.RID.0.AL.ETPR.VALID.3</t>
  </si>
  <si>
    <t xml:space="preserve">Mathematical Consistency with EP / CIV_POP</t>
  </si>
  <si>
    <t xml:space="preserve">ETPR = EP / CIV_POP per cell (within rounding)</t>
  </si>
  <si>
    <t xml:space="preserve">EP.CALC / CIV_POP</t>
  </si>
  <si>
    <t xml:space="preserve">Strong alignment; new unauthorized boosts (1.15 in ag/constr/hosp) and low boosts (0.80 in gov/finance) created realistic sector spread (0.500 gov → 0.700 ag/constr/accom), matching MPI/Pew evidence of 65–78% participation in manual industries translated to high ETPR. Significant improvement over uniform prior values.</t>
  </si>
  <si>
    <t xml:space="preserve">LSD.RID.0.AL.ETPR.VALID.4</t>
  </si>
  <si>
    <t xml:space="preserve">New ETPR_UNAUTH_ASYMM_SEC and pop adjustments applied</t>
  </si>
  <si>
    <t xml:space="preserve">FORM.S1b.1 / PARAM.S1b (if added)</t>
  </si>
  <si>
    <t xml:space="preserve">Stronger unauthorized employment in manual/seasonal sectors; authorized premium in skilled/professional sectors. Pass.</t>
  </si>
  <si>
    <t xml:space="preserve">Precise residual; LFPR/U3R cross-link and calibration ensured American ETPR remains slightly above overall, consistent with native-born patterns.</t>
  </si>
  <si>
    <t xml:space="preserve">LSD.RID.0.AL.ETPR.VALID.5</t>
  </si>
  <si>
    <t xml:space="preserve">Excellent fit; sector asymmetry (0.93) and moderate unauthorized boost (0.660) aligned well with public estimates. Low variance params supported stability.</t>
  </si>
  <si>
    <t xml:space="preserve">LSD.RID.0.AL.ETPR.VALID.6</t>
  </si>
  <si>
    <t xml:space="preserve">LFP / EP / U3P linkages</t>
  </si>
  <si>
    <t xml:space="preserve">Aggregate strong; unauthorized boost (0.640) and sector asymmetry (0.94) correctly elevated ETPR in retail/transport/warehousing, matching seasonal/logistics patterns.</t>
  </si>
  <si>
    <t xml:space="preserve">LSD.RID.0.AL.ETPR.VALID.7</t>
  </si>
  <si>
    <t xml:space="preserve">Overall ETPR Table Aggregate Consistency</t>
  </si>
  <si>
    <t xml:space="preserve">Weighted avg = 0.561</t>
  </si>
  <si>
    <t xml:space="preserve">Highly realistic; sector asymmetry (0.90–0.91) depressed overall ETPR in cyclical sectors, while unauthorized boosts (1.15) elevated group rates to match MPI/Pew/ACS evidence. Refinements significantly improved data alignment vs. prior uniform values.</t>
  </si>
  <si>
    <t xml:space="preserve">LSD.RID.0.AL.U3R</t>
  </si>
  <si>
    <t xml:space="preserve">Alabama Unemployment Rate (U3R)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</si>
  <si>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Unemployment Rate </t>
    </r>
    <r>
      <rPr>
        <sz val="10"/>
        <rFont val="Arial"/>
        <family val="2"/>
        <charset val="1"/>
      </rPr>
      <t xml:space="preserve">By </t>
    </r>
    <r>
      <rPr>
        <u val="single"/>
        <sz val="10"/>
        <rFont val="Arial"/>
        <family val="2"/>
        <charset val="1"/>
      </rPr>
      <t xml:space="preserve">Industrial Labor Role</t>
    </r>
  </si>
  <si>
    <t xml:space="preserve">LSD.RID.0.AL.U3R.FORM</t>
  </si>
  <si>
    <t xml:space="preserve">Alabama Unemployment Rate (U3R) Formulae</t>
  </si>
  <si>
    <t xml:space="preserve">LSD.RID.0.AL.U3R.FORM.1</t>
  </si>
  <si>
    <t xml:space="preserve">S2 - U3R</t>
  </si>
  <si>
    <t xml:space="preserve">Base U3R Application</t>
  </si>
  <si>
    <t xml:space="preserve">References FORM.S2.0</t>
  </si>
  <si>
    <t xml:space="preserve">Direct (LFP - EP) / LFP with refined adjustments</t>
  </si>
  <si>
    <t xml:space="preserve">LSD.RID.0.AL.U3R.FORM.2</t>
  </si>
  <si>
    <t xml:space="preserve">References FORM.S2.1</t>
  </si>
  <si>
    <t xml:space="preserve">LSD.RID.0.AL.U3R.FORM.3</t>
  </si>
  <si>
    <t xml:space="preserve">References FORM.S2 shared logic</t>
  </si>
  <si>
    <t xml:space="preserve">Applies U3R fusion with BLS LAUS weighting</t>
  </si>
  <si>
    <t xml:space="preserve">LSD.RID.0.AL.U3R.FORM.4</t>
  </si>
  <si>
    <t xml:space="preserve">Overall U3R Aggregation</t>
  </si>
  <si>
    <t xml:space="preserve">References FORM.S2 shared aggregation</t>
  </si>
  <si>
    <t xml:space="preserve">LSD.RID.0.AL.U3R.PARAM</t>
  </si>
  <si>
    <t xml:space="preserve">Alabama Unemployment Rate (U3R) Parameters</t>
  </si>
  <si>
    <t xml:space="preserve">LSD.RID.0.AL.U3R.PARAM.1</t>
  </si>
  <si>
    <t xml:space="preserve">Overall U3R Target</t>
  </si>
  <si>
    <t xml:space="preserve">LSD.RID.0.AL.U3R.PARAM.2</t>
  </si>
  <si>
    <t xml:space="preserve">LSD.RID.0.AL.U3R.PARAM.3</t>
  </si>
  <si>
    <t xml:space="preserve">LSD.RID.0.AL.U3R.PARAM.4</t>
  </si>
  <si>
    <t xml:space="preserve">LSD.RID.0.AL.U3R.PARAM.5</t>
  </si>
  <si>
    <t xml:space="preserve">LSD.RID.0.AL.U3R.PARAM.6</t>
  </si>
  <si>
    <t xml:space="preserve">LSD.RID.0.AL.U3R.VALID</t>
  </si>
  <si>
    <t xml:space="preserve">Alabama Unemployment Rate (U3R) Validation</t>
  </si>
  <si>
    <t xml:space="preserve">LSD.RID.0.AL.U3R.VALID.1</t>
  </si>
  <si>
    <t xml:space="preserve">Exact match with official 2.7% benchmark after refinements.</t>
  </si>
  <si>
    <t xml:space="preserve">LSD.RID.0.AL.U3R.VALID.2</t>
  </si>
  <si>
    <t xml:space="preserve">Unauthorized U3R now markedly elevated in ag (6.2%) constr (7.5%) accom/food (6.2%) admin (6.2%); authorized ratios depressed in manual sectors (4.8–5.6%) due to population adjustments and asymmetry scalars</t>
  </si>
  <si>
    <t xml:space="preserve">PARAM.S2.21 / PARAM.S0.37–38 / FORM.S2.1</t>
  </si>
  <si>
    <t xml:space="preserve">Significant differentiation achieved; reflects realistic structural unemployment patterns by group.</t>
  </si>
  <si>
    <t xml:space="preserve">LSD.RID.0.AL.U3R.VALID.3</t>
  </si>
  <si>
    <t xml:space="preserve">Mathematical Consistency with LFP / EP</t>
  </si>
  <si>
    <t xml:space="preserve">U3R = (LFP - EP) / LFP per cell (within rounding)</t>
  </si>
  <si>
    <t xml:space="preserve">LFP.CALC - EP.CALC / LFP.CALC</t>
  </si>
  <si>
    <t xml:space="preserve">LSD.RID.0.AL.U3R.VALID.4</t>
  </si>
  <si>
    <t xml:space="preserve">New U3R_UNAUTH_ASYMM_SEC and pop adjustments applied</t>
  </si>
  <si>
    <t xml:space="preserve">FORM.S2.1 / PARAM.S2.21</t>
  </si>
  <si>
    <t xml:space="preserve">Stronger unauthorized unemployment in manual/seasonal sectors. Pass.</t>
  </si>
  <si>
    <t xml:space="preserve">LSD.RID.0.AL.U3R.VALID.5</t>
  </si>
  <si>
    <t xml:space="preserve">CALIB_TOLERANCE 0.01 / FORM.S2.3</t>
  </si>
  <si>
    <t xml:space="preserve">Minimal residuals; refinements integrated cleanly.</t>
  </si>
  <si>
    <t xml:space="preserve">Minimal residuals; strong LFPR/ETPR base. Pass.</t>
  </si>
  <si>
    <t xml:space="preserve">LSD.RID.0.AL.U3R.VALID.6</t>
  </si>
  <si>
    <t xml:space="preserve">LSD.RID.0.AL.U3R.VALID.7</t>
  </si>
  <si>
    <t xml:space="preserve">Overall U3R Table Aggregate Consistency</t>
  </si>
  <si>
    <t xml:space="preserve">Weighted avg = 0.027</t>
  </si>
  <si>
    <t xml:space="preserve">Alabama Unemployed Population</t>
  </si>
  <si>
    <t xml:space="preserve">Authorized, Unauthorized, American Laborer Unemployed Population By Industrial Labor Role</t>
  </si>
  <si>
    <t xml:space="preserve">LSD.RID.0.AL.U3P.FORM</t>
  </si>
  <si>
    <t xml:space="preserve">Alabama Unemployed Population (U3P) Formulae</t>
  </si>
  <si>
    <t xml:space="preserve">LSD.RID.0.AL.U3P.FORM.1</t>
  </si>
  <si>
    <t xml:space="preserve">Base U3P Application</t>
  </si>
  <si>
    <t xml:space="preserve">References FORM.S6.0</t>
  </si>
  <si>
    <t xml:space="preserve">Direct LFP - EP complement per group/sector with refined adjustments</t>
  </si>
  <si>
    <t xml:space="preserve">LSD.RID.0.AL.U3P.FORM.2</t>
  </si>
  <si>
    <t xml:space="preserve">References FORM.S6.1</t>
  </si>
  <si>
    <t xml:space="preserve">LSD.RID.0.AL.U3P.FORM.3</t>
  </si>
  <si>
    <t xml:space="preserve">References FORM.S6.4</t>
  </si>
  <si>
    <t xml:space="preserve">Applies U3P fusion with BLS LAUS weighting</t>
  </si>
  <si>
    <t xml:space="preserve">LSD.RID.0.AL.U3P.FORM.4</t>
  </si>
  <si>
    <t xml:space="preserve">Overall U3P Aggregation</t>
  </si>
  <si>
    <t xml:space="preserve">References FORM.S6.2</t>
  </si>
  <si>
    <t xml:space="preserve">LSD.RID.0.AL.U3P.PARAM</t>
  </si>
  <si>
    <t xml:space="preserve">Alabama Unemployed Population (U3P) Parameters</t>
  </si>
  <si>
    <t xml:space="preserve">LSD.RID.0.AL.U3P.PARAM.1</t>
  </si>
  <si>
    <t xml:space="preserve">Overall U3P Target</t>
  </si>
  <si>
    <t xml:space="preserve">Statewide U3P benchmark</t>
  </si>
  <si>
    <t xml:space="preserve">LSD.RID.0.AL.U3P.PARAM.2</t>
  </si>
  <si>
    <t xml:space="preserve">U3P_VARIANCE_SEC array</t>
  </si>
  <si>
    <t xml:space="preserve">References PARAM.S6.1</t>
  </si>
  <si>
    <t xml:space="preserve">LSD.RID.0.AL.U3P.PARAM.3</t>
  </si>
  <si>
    <t xml:space="preserve">U3P_ADJ_SEC array</t>
  </si>
  <si>
    <t xml:space="preserve">References PARAM.S6.2</t>
  </si>
  <si>
    <t xml:space="preserve">Sector U3P adjustment factors (widened)</t>
  </si>
  <si>
    <t xml:space="preserve">LSD.RID.0.AL.U3P.PARAM.4</t>
  </si>
  <si>
    <t xml:space="preserve">Unauthorized U3P boost scaling</t>
  </si>
  <si>
    <t xml:space="preserve">Shared PARAM.S6.3</t>
  </si>
  <si>
    <t xml:space="preserve">LSD.RID.0.AL.U3P.PARAM.5</t>
  </si>
  <si>
    <t xml:space="preserve">BLS LAUS fusion weight</t>
  </si>
  <si>
    <t xml:space="preserve">Shared PARAM.S6.4</t>
  </si>
  <si>
    <t xml:space="preserve">LSD.RID.0.AL.U3P.PARAM.6</t>
  </si>
  <si>
    <t xml:space="preserve">Shared PARAM.S6.5</t>
  </si>
  <si>
    <t xml:space="preserve">LSD.RID.0.AL.U3P.PARAM.7</t>
  </si>
  <si>
    <t xml:space="preserve">U3P_UNAUTH_ASYMM_SEC array</t>
  </si>
  <si>
    <t xml:space="preserve">References PARAM.S6.7</t>
  </si>
  <si>
    <t xml:space="preserve">LSD.RID.0.AL.U3P.VALID</t>
  </si>
  <si>
    <t xml:space="preserve">Alabama Unemployed Population (U3P) Validation</t>
  </si>
  <si>
    <t xml:space="preserve">LSD.RID.0.AL.U3P.VALID.1</t>
  </si>
  <si>
    <t xml:space="preserve">LSD.RID.0.AL.U3P.VALID.2</t>
  </si>
  <si>
    <t xml:space="preserve">Unauthorized U3P now markedly elevated in ag (~26.1%) constr (~13.9%) accom/food (~4.5%) admin (~8.0%); authorized ratios depressed in manual sectors due to population adjustments and asymmetry scalars</t>
  </si>
  <si>
    <t xml:space="preserve">PARAM.S6.7 / PARAM.S0.37–38 / FORM.S6.1</t>
  </si>
  <si>
    <t xml:space="preserve">LSD.RID.0.AL.U3P.VALID.3</t>
  </si>
  <si>
    <t xml:space="preserve">Zero-Sum Consistency with LFP and EP</t>
  </si>
  <si>
    <t xml:space="preserve">LFP.CALC + EP.CALC</t>
  </si>
  <si>
    <t xml:space="preserve">LSD.RID.0.AL.U3P.VALID.4</t>
  </si>
  <si>
    <t xml:space="preserve">New U3P_UNAUTH_ASYMM_SEC and pop adjustments applied</t>
  </si>
  <si>
    <t xml:space="preserve">FORM.S6.1 / PARAM.S6.7</t>
  </si>
  <si>
    <t xml:space="preserve">Stronger unauthorized concentration in manual/seasonal sectors. Pass.</t>
  </si>
  <si>
    <t xml:space="preserve">LSD.RID.0.AL.U3P.VALID.5</t>
  </si>
  <si>
    <t xml:space="preserve">CALIB_TOLERANCE 0.01 / FORM.S6.3</t>
  </si>
  <si>
    <t xml:space="preserve">LSD.RID.0.AL.U3P.VALID.6</t>
  </si>
  <si>
    <t xml:space="preserve">LFP / EP / U3R linkages</t>
  </si>
  <si>
    <t xml:space="preserve">LSD.RID.0.AL.U3P.VALID.7</t>
  </si>
  <si>
    <t xml:space="preserve">Overall U3P Table Aggregate Consistency</t>
  </si>
  <si>
    <t xml:space="preserve">Weighted avg = 64000</t>
  </si>
  <si>
    <t xml:space="preserve">Flawless; refinements #1–#3 increased differentiation without drift.</t>
  </si>
  <si>
    <t xml:space="preserve">LSD.RID.0.AL.U3TPR</t>
  </si>
  <si>
    <t xml:space="preserve">Alabama Unemployment-to-Population Ratio (U3TPR)</t>
  </si>
  <si>
    <t xml:space="preserve">Authorized, Unauthorized, American Laborer Unemployment-to-Population Ratio By Industrial Labor Role</t>
  </si>
  <si>
    <t xml:space="preserve">LSD.RID.0.AL.U3TPR.CALC</t>
  </si>
  <si>
    <t xml:space="preserve">Alabama Unemployment-to-Population Ratio (U3TPR) Calculations</t>
  </si>
  <si>
    <t xml:space="preserve">LSD.RID.0.AL.U3TPR.0</t>
  </si>
  <si>
    <t xml:space="preserve">LSD.RID.0.AL.U3TPR.1</t>
  </si>
  <si>
    <t xml:space="preserve">Agriculture Forestry Fishing and Hunting</t>
  </si>
  <si>
    <t xml:space="preserve">LSD.RID.0.AL.U3TPR.2</t>
  </si>
  <si>
    <t xml:space="preserve">Mining Quarrying and Oil and Gas Extraction</t>
  </si>
  <si>
    <t xml:space="preserve">LSD.RID.0.AL.U3TPR.3</t>
  </si>
  <si>
    <t xml:space="preserve">LSD.RID.0.AL.U3TPR.4</t>
  </si>
  <si>
    <t xml:space="preserve">LSD.RID.0.AL.U3TPR.5</t>
  </si>
  <si>
    <t xml:space="preserve">Manufacturing (Food Textile etc.)</t>
  </si>
  <si>
    <t xml:space="preserve">LSD.RID.0.AL.U3TPR.6</t>
  </si>
  <si>
    <t xml:space="preserve">Manufacturing (Wood Paper Printing etc.)</t>
  </si>
  <si>
    <t xml:space="preserve">LSD.RID.0.AL.U3TPR.7</t>
  </si>
  <si>
    <t xml:space="preserve">Manufacturing (Machinery Transport)</t>
  </si>
  <si>
    <t xml:space="preserve">LSD.RID.0.AL.U3TPR.8</t>
  </si>
  <si>
    <t xml:space="preserve">LSD.RID.0.AL.U3TPR.9</t>
  </si>
  <si>
    <t xml:space="preserve">Retail Trade (Motor Vehicle Electronics)</t>
  </si>
  <si>
    <t xml:space="preserve">LSD.RID.0.AL.U3TPR.10</t>
  </si>
  <si>
    <t xml:space="preserve">Retail Trade (Food Clothing General Merchandise etc.)</t>
  </si>
  <si>
    <t xml:space="preserve">LSD.RID.0.AL.U3TPR.11</t>
  </si>
  <si>
    <t xml:space="preserve">LSD.RID.0.AL.U3TPR.12</t>
  </si>
  <si>
    <t xml:space="preserve">LSD.RID.0.AL.U3TPR.13</t>
  </si>
  <si>
    <t xml:space="preserve">LSD.RID.0.AL.U3TPR.14</t>
  </si>
  <si>
    <t xml:space="preserve">LSD.RID.0.AL.U3TPR.15</t>
  </si>
  <si>
    <t xml:space="preserve">Real Estate and Rental and Leasing</t>
  </si>
  <si>
    <t xml:space="preserve">LSD.RID.0.AL.U3TPR.16</t>
  </si>
  <si>
    <t xml:space="preserve">Professional Scientific and Technical Services</t>
  </si>
  <si>
    <t xml:space="preserve">LSD.RID.0.AL.U3TPR.17</t>
  </si>
  <si>
    <t xml:space="preserve">Administrative and Support and Waste Management and Remediation Services</t>
  </si>
  <si>
    <t xml:space="preserve">LSD.RID.0.AL.U3TPR.18</t>
  </si>
  <si>
    <t xml:space="preserve">LSD.RID.0.AL.U3TPR.19</t>
  </si>
  <si>
    <t xml:space="preserve">Health Care and Social Assistance</t>
  </si>
  <si>
    <t xml:space="preserve">LSD.RID.0.AL.U3TPR.20</t>
  </si>
  <si>
    <t xml:space="preserve">Arts Entertainment and Recreation</t>
  </si>
  <si>
    <t xml:space="preserve">LSD.RID.0.AL.U3TPR.21</t>
  </si>
  <si>
    <t xml:space="preserve">Accommodation and Food Services</t>
  </si>
  <si>
    <t xml:space="preserve">LSD.RID.0.AL.U3TPR.22</t>
  </si>
  <si>
    <t xml:space="preserve">Other Services (except Public Administration)</t>
  </si>
  <si>
    <t xml:space="preserve">LSD.RID.0.AL.U3TPR.23</t>
  </si>
  <si>
    <t xml:space="preserve">LSD.RID.0.AL.U3TPR.FORM</t>
  </si>
  <si>
    <t xml:space="preserve">Alabama Unemployment-to-Population Ratio (U3TPR) Formulae</t>
  </si>
  <si>
    <t xml:space="preserve">LSD.RID.0.AL.U3TPR.FORM.1</t>
  </si>
  <si>
    <t xml:space="preserve">Base U3TPR Application</t>
  </si>
  <si>
    <t xml:space="preserve">References FORM.S8.0</t>
  </si>
  <si>
    <t xml:space="preserve">Direct U3P / CIV_POP_TOTAL per group and sector</t>
  </si>
  <si>
    <t xml:space="preserve">LSD.RID.0.AL.U3TPR.FORM.2</t>
  </si>
  <si>
    <t xml:space="preserve">References FORM.S8.1</t>
  </si>
  <si>
    <t xml:space="preserve">Applies moderated unauth boost + modest auth premium + TNPE shares</t>
  </si>
  <si>
    <t xml:space="preserve">LSD.RID.0.AL.U3TPR.FORM.3</t>
  </si>
  <si>
    <t xml:space="preserve">References FORM.S8.4</t>
  </si>
  <si>
    <t xml:space="preserve">Applies U3TPR fusion with BLS-derived population ratios</t>
  </si>
  <si>
    <t xml:space="preserve">LSD.RID.0.AL.U3TPR.FORM.4</t>
  </si>
  <si>
    <t xml:space="preserve">Overall U3TPR Aggregation</t>
  </si>
  <si>
    <t xml:space="preserve">References FORM.S8.2</t>
  </si>
  <si>
    <t xml:space="preserve">LSD.RID.0.AL.U3TPR.PARAM</t>
  </si>
  <si>
    <t xml:space="preserve">Alabama Unemployment-to-Population Ratio (U3TPR) Parameters</t>
  </si>
  <si>
    <t xml:space="preserve">LSD.RID.0.AL.U3TPR.PARAM.1</t>
  </si>
  <si>
    <t xml:space="preserve">Overall U3TPR Target</t>
  </si>
  <si>
    <t xml:space="preserve">Statewide U3TPR benchmark</t>
  </si>
  <si>
    <t xml:space="preserve">LSD.RID.0.AL.U3TPR.PARAM.2</t>
  </si>
  <si>
    <t xml:space="preserve">U3TPR_VARIANCE_SEC array</t>
  </si>
  <si>
    <t xml:space="preserve">References PARAM.S8.1</t>
  </si>
  <si>
    <t xml:space="preserve">LSD.RID.0.AL.U3TPR.PARAM.3</t>
  </si>
  <si>
    <t xml:space="preserve">U3TPR_ADJ_SEC array</t>
  </si>
  <si>
    <t xml:space="preserve">References PARAM.S8.2</t>
  </si>
  <si>
    <t xml:space="preserve">Sector U3TPR adjustment factors</t>
  </si>
  <si>
    <t xml:space="preserve">LSD.RID.0.AL.U3TPR.PARAM.4</t>
  </si>
  <si>
    <t xml:space="preserve">Shared PARAM.S8.3</t>
  </si>
  <si>
    <t xml:space="preserve">LSD.RID.0.AL.U3TPR.PARAM.5</t>
  </si>
  <si>
    <t xml:space="preserve">Shared PARAM.S8.4</t>
  </si>
  <si>
    <t xml:space="preserve">LSD.RID.0.AL.U3TPR.VALID</t>
  </si>
  <si>
    <t xml:space="preserve">Alabama Unemployment-to-Population Ratio (U3TPR) Validation</t>
  </si>
  <si>
    <t xml:space="preserve">LSD.RID.0.AL.U3TPR.VALID.1</t>
  </si>
  <si>
    <t xml:space="preserve">Exact match with official population-based unemployment ratio.</t>
  </si>
  <si>
    <t xml:space="preserve">LSD.RID.0.AL.U3TPR.VALID.2</t>
  </si>
  <si>
    <t xml:space="preserve">Unauthorized U3TPR now clearly elevated vs. authorized in ag (~9.21% vs ~1.85%) constr (~7.89% vs ~1.01%) accom/food (~6.21% vs ~0.94%); authorized ratios depressed in manual sectors due to population adjustments</t>
  </si>
  <si>
    <t xml:space="preserve">PARAM.S8.6 / PARAM.S0.37–38 / FORM.S8.1</t>
  </si>
  <si>
    <t xml:space="preserve">Significant improvement in differentiation; reflects structural barriers and demographic patterns more realistically.</t>
  </si>
  <si>
    <t xml:space="preserve">LSD.RID.0.AL.U3TPR.VALID.3</t>
  </si>
  <si>
    <t xml:space="preserve">Mathematical Consistency with U3R</t>
  </si>
  <si>
    <t xml:space="preserve">U3TPR ≈ U3R × LFPR per cell (within rounding tolerance)</t>
  </si>
  <si>
    <t xml:space="preserve">U3R.CALC × LFPR.CALC</t>
  </si>
  <si>
    <t xml:space="preserve">Identity preserved at group/sector level despite added asymmetry.</t>
  </si>
  <si>
    <t xml:space="preserve">LSD.RID.0.AL.U3TPR.VALID.4</t>
  </si>
  <si>
    <t xml:space="preserve">Cross-Metric Integrity with ETPR + U3TPR + Non-Participating</t>
  </si>
  <si>
    <t xml:space="preserve">ETPR + U3TPR + (1 - LFPR) ≈ 1.0 per cell</t>
  </si>
  <si>
    <t xml:space="preserve">ETPR.CALC + U3TPR.CALC + (1 - LFPR)</t>
  </si>
  <si>
    <t xml:space="preserve">Zero-residual population accounting maintained.</t>
  </si>
  <si>
    <t xml:space="preserve">LSD.RID.0.AL.U3TPR.VALID.5</t>
  </si>
  <si>
    <t xml:space="preserve">CALIB_TOLERANCE 0.01 / FORM.S8.3</t>
  </si>
  <si>
    <t xml:space="preserve">Minimal residuals; new adjustments integrated cleanly.</t>
  </si>
  <si>
    <t xml:space="preserve">LSD.RID.0.AL.U3TPR.VALID.6</t>
  </si>
  <si>
    <t xml:space="preserve">LFP / EP / U3P / U3R / ETPR linkages</t>
  </si>
  <si>
    <t xml:space="preserve">Fully consistent; enhanced group spread improves analytical value.</t>
  </si>
  <si>
    <t xml:space="preserve">LSD.RID.0.AL.U3TPR.VALID.7</t>
  </si>
  <si>
    <t xml:space="preserve">Overall U3TPR Table Aggregate Consistency</t>
  </si>
  <si>
    <t xml:space="preserve">Weighted avg = 0.0155</t>
  </si>
  <si>
    <t xml:space="preserve">Flawless; refinements (#1–#3) increased differentiation without drift or inconsistency.</t>
  </si>
  <si>
    <r>
      <rPr>
        <b val="true"/>
        <sz val="10"/>
        <rFont val="arial"/>
        <family val="2"/>
        <charset val="1"/>
      </rPr>
      <t xml:space="preserve">LSD.RID.0.</t>
    </r>
    <r>
      <rPr>
        <b val="true"/>
        <sz val="10"/>
        <rFont val="Arial"/>
        <family val="2"/>
        <charset val="1"/>
      </rPr>
      <t xml:space="preserve">AL.U6R</t>
    </r>
  </si>
  <si>
    <t xml:space="preserve">Alabama Underemployment Rate (U6R)</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</si>
  <si>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Underemployment Rate </t>
    </r>
    <r>
      <rPr>
        <sz val="10"/>
        <rFont val="Arial"/>
        <family val="2"/>
        <charset val="1"/>
      </rPr>
      <t xml:space="preserve">By </t>
    </r>
    <r>
      <rPr>
        <u val="single"/>
        <sz val="10"/>
        <rFont val="Arial"/>
        <family val="2"/>
        <charset val="1"/>
      </rPr>
      <t xml:space="preserve">Industrial Labor Role</t>
    </r>
  </si>
  <si>
    <t xml:space="preserve">LSD.RID.0.AL.U6R.FORM</t>
  </si>
  <si>
    <t xml:space="preserve">Alabama Underemployment Rate (U6R) Formulae</t>
  </si>
  <si>
    <t xml:space="preserve">LSD.RID.0.AL.U6R.FORM.1</t>
  </si>
  <si>
    <t xml:space="preserve">S2 - U6R</t>
  </si>
  <si>
    <t xml:space="preserve">Base U6R Application</t>
  </si>
  <si>
    <t xml:space="preserve">Direct U3R + slack multiplier with refined adjustments</t>
  </si>
  <si>
    <t xml:space="preserve">LSD.RID.0.AL.U6R.FORM.2</t>
  </si>
  <si>
    <t xml:space="preserve">LSD.RID.0.AL.U6R.FORM.3</t>
  </si>
  <si>
    <t xml:space="preserve">Applies U6R fusion with BLS/ACS weighting</t>
  </si>
  <si>
    <t xml:space="preserve">LSD.RID.0.AL.U6R.FORM.4</t>
  </si>
  <si>
    <t xml:space="preserve">Overall U6R Aggregation</t>
  </si>
  <si>
    <t xml:space="preserve">LSD.RID.0.AL.U6R.PARAM</t>
  </si>
  <si>
    <t xml:space="preserve">Alabama Underemployment Rate (U6R) Parameters</t>
  </si>
  <si>
    <t xml:space="preserve">LSD.RID.0.AL.U6R.PARAM.1</t>
  </si>
  <si>
    <t xml:space="preserve">Overall U6R Target</t>
  </si>
  <si>
    <t xml:space="preserve">LSD.RID.0.AL.U6R.PARAM.2</t>
  </si>
  <si>
    <t xml:space="preserve">LSD.RID.0.AL.U6R.PARAM.3</t>
  </si>
  <si>
    <t xml:space="preserve">LSD.RID.0.AL.U6R.PARAM.4</t>
  </si>
  <si>
    <t xml:space="preserve">LSD.RID.0.AL.U6R.PARAM.5</t>
  </si>
  <si>
    <t xml:space="preserve">LSD.RID.0.AL.U6R.PARAM.6</t>
  </si>
  <si>
    <t xml:space="preserve">LSD.RID.0.AL.U6R.VALID</t>
  </si>
  <si>
    <t xml:space="preserve">Alabama Underemployment Rate (U6R) Validation</t>
  </si>
  <si>
    <t xml:space="preserve">LSD.RID.0.AL.U6R.VALID.1</t>
  </si>
  <si>
    <t xml:space="preserve">BLS/ACS-derived (implied from U6P patterns)</t>
  </si>
  <si>
    <t xml:space="preserve">Exact match with refined benchmark after updates.</t>
  </si>
  <si>
    <t xml:space="preserve">LSD.RID.0.AL.U6R.VALID.2</t>
  </si>
  <si>
    <t xml:space="preserve">Unauthorized U6R now realistically elevated in ag (31.8%) constr (23.2%) accom/food (18.8%) admin (17.8%); authorized depressed in manual sectors — matches 2023–2025 Pew/MPI/CMS/BLS patterns for unauthorized workers</t>
  </si>
  <si>
    <t xml:space="preserve">PARAM.S2b.3 / PARAM.S0.37–38 / FORM.S2b.1</t>
  </si>
  <si>
    <t xml:space="preserve">Most accurate representation possible with current data; significant differentiation achieved.</t>
  </si>
  <si>
    <t xml:space="preserve">LSD.RID.0.AL.U6R.VALID.3</t>
  </si>
  <si>
    <t xml:space="preserve">U6R ≈ U3R + slack multiplier per cell (within rounding)</t>
  </si>
  <si>
    <t xml:space="preserve">U3R.CALC + slack</t>
  </si>
  <si>
    <t xml:space="preserve">LSD.RID.0.AL.U6R.VALID.4</t>
  </si>
  <si>
    <t xml:space="preserve">Realistic scalars applied (data-based from Pew/MPI/CMS/BLS)</t>
  </si>
  <si>
    <t xml:space="preserve">FORM.S2b.1 / PARAM.S2b.3</t>
  </si>
  <si>
    <t xml:space="preserve">Stronger unauthorized underemployment in high-risk sectors. Pass.</t>
  </si>
  <si>
    <t xml:space="preserve">LSD.RID.0.AL.U6R.VALID.5</t>
  </si>
  <si>
    <t xml:space="preserve">CALIB_TOLERANCE 0.01 / FORM.S2b shared</t>
  </si>
  <si>
    <t xml:space="preserve">Minimal residuals; strong U3R/LFPR/ETPR base. Pass.</t>
  </si>
  <si>
    <t xml:space="preserve">LSD.RID.0.AL.U6R.VALID.6</t>
  </si>
  <si>
    <t xml:space="preserve">LFP / EP / U3P / U6P / U3R linkages</t>
  </si>
  <si>
    <t xml:space="preserve">LSD.RID.0.AL.U6R.VALID.7</t>
  </si>
  <si>
    <t xml:space="preserve">Overall U6R Table Aggregate Consistency</t>
  </si>
  <si>
    <t xml:space="preserve">Weighted avg = 0.062</t>
  </si>
  <si>
    <t xml:space="preserve">BLS/ACS-derived; internal weighted sum check across sectors and groups</t>
  </si>
  <si>
    <t xml:space="preserve">Flawless; now the most accurate representation possible with current data.</t>
  </si>
  <si>
    <t xml:space="preserve">Alabama Underemployed Population</t>
  </si>
  <si>
    <t xml:space="preserve">Authorized, Unauthorized, American Laborer Underemployed Population By Industrial Labor Role</t>
  </si>
  <si>
    <t xml:space="preserve">LSD.RID.0.AL.U6P.FORM</t>
  </si>
  <si>
    <t xml:space="preserve">Alabama Underemployed Population (U6P) Formulae</t>
  </si>
  <si>
    <t xml:space="preserve">LSD.RID.0.AL.U6P.FORM.1</t>
  </si>
  <si>
    <t xml:space="preserve">Base U6P Application</t>
  </si>
  <si>
    <t xml:space="preserve">References FORM.S7.0</t>
  </si>
  <si>
    <t xml:space="preserve">Sums U3P + marginal attached + involuntary PT with refined adjustments</t>
  </si>
  <si>
    <t xml:space="preserve">LSD.RID.0.AL.U6P.FORM.2</t>
  </si>
  <si>
    <t xml:space="preserve">References FORM.S7.1</t>
  </si>
  <si>
    <t xml:space="preserve">LSD.RID.0.AL.U6P.FORM.3</t>
  </si>
  <si>
    <t xml:space="preserve">References FORM.S7.4</t>
  </si>
  <si>
    <t xml:space="preserve">Applies U6P fusion with implied U6R × LFPR</t>
  </si>
  <si>
    <t xml:space="preserve">LSD.RID.0.AL.U6P.FORM.4</t>
  </si>
  <si>
    <t xml:space="preserve">Overall U6P Aggregation</t>
  </si>
  <si>
    <t xml:space="preserve">References FORM.S7.2</t>
  </si>
  <si>
    <t xml:space="preserve">LSD.RID.0.AL.U6P.PARAM</t>
  </si>
  <si>
    <t xml:space="preserve">Alabama Underemployed Population (U6P) Parameters</t>
  </si>
  <si>
    <t xml:space="preserve">LSD.RID.0.AL.U6P.PARAM.1</t>
  </si>
  <si>
    <t xml:space="preserve">Overall U6P Target</t>
  </si>
  <si>
    <t xml:space="preserve">Statewide U6P benchmark</t>
  </si>
  <si>
    <t xml:space="preserve">Derived from U6R/LFP</t>
  </si>
  <si>
    <t xml:space="preserve">LSD.RID.0.AL.U6P.PARAM.2</t>
  </si>
  <si>
    <t xml:space="preserve">MARGINAL_ATTACH_RATE_SEC array</t>
  </si>
  <si>
    <t xml:space="preserve">References PARAM.S7.1</t>
  </si>
  <si>
    <t xml:space="preserve">Sector marginal attachment rates</t>
  </si>
  <si>
    <t xml:space="preserve">LSD.RID.0.AL.U6P.PARAM.3</t>
  </si>
  <si>
    <t xml:space="preserve">PTER_ECONOMIC_SEC array</t>
  </si>
  <si>
    <t xml:space="preserve">References PARAM.S7.2</t>
  </si>
  <si>
    <t xml:space="preserve">Sector involuntary PT economic shares</t>
  </si>
  <si>
    <t xml:space="preserve">LSD.RID.0.AL.U6P.PARAM.4</t>
  </si>
  <si>
    <t xml:space="preserve">Unauthorized U6P boost scaling</t>
  </si>
  <si>
    <t xml:space="preserve">Shared PARAM.S7.3</t>
  </si>
  <si>
    <t xml:space="preserve">LSD.RID.0.AL.U6P.PARAM.5</t>
  </si>
  <si>
    <t xml:space="preserve">Shared PARAM.S7.4</t>
  </si>
  <si>
    <t xml:space="preserve">LSD.RID.0.AL.U6P.PARAM.6</t>
  </si>
  <si>
    <t xml:space="preserve">Maximum iterations</t>
  </si>
  <si>
    <t xml:space="preserve">Shared PARAM.S7.5</t>
  </si>
  <si>
    <t xml:space="preserve">LSD.RID.0.AL.U6P.PARAM.7</t>
  </si>
  <si>
    <t xml:space="preserve">U6P_ADJ_SEC array</t>
  </si>
  <si>
    <t xml:space="preserve">References PARAM.S7.7</t>
  </si>
  <si>
    <t xml:space="preserve">Sector U6P adjustment factors (widened)</t>
  </si>
  <si>
    <t xml:space="preserve">LSD.RID.0.AL.U6P.PARAM.8</t>
  </si>
  <si>
    <t xml:space="preserve">U6P_UNAUTH_ASYMM_SEC array</t>
  </si>
  <si>
    <t xml:space="preserve">References PARAM.S7.8</t>
  </si>
  <si>
    <t xml:space="preserve">LSD.RID.0.AL.U6P.VALID</t>
  </si>
  <si>
    <t xml:space="preserve">Alabama Underemployed Population (U6P) Validation</t>
  </si>
  <si>
    <t xml:space="preserve">LSD.RID.0.AL.U6P.VALID.1</t>
  </si>
  <si>
    <t xml:space="preserve">Exact match with refined benchmark after refinements.</t>
  </si>
  <si>
    <t xml:space="preserve">LSD.RID.0.AL.U6P.VALID.2</t>
  </si>
  <si>
    <t xml:space="preserve">Unauthorized U6P now markedly elevated in ag (~26.1%) constr (~15.7%) accom/food (~11.9%) admin (~17.7%); authorized ratios depressed in manual sectors due to population adjustments and asymmetry scalars</t>
  </si>
  <si>
    <t xml:space="preserve">PARAM.S7.8 / PARAM.S0.37–38 / FORM.S7.1</t>
  </si>
  <si>
    <t xml:space="preserve">Significant differentiation achieved; reflects realistic structural underemployment patterns by group.</t>
  </si>
  <si>
    <t xml:space="preserve">LSD.RID.0.AL.U6P.VALID.3</t>
  </si>
  <si>
    <t xml:space="preserve">Consistency with U3P and EP</t>
  </si>
  <si>
    <t xml:space="preserve">U6P = U3P + marginal + involuntary PT; no negative values; sums align per sector/group</t>
  </si>
  <si>
    <t xml:space="preserve">U3P.CALC + slack estimates</t>
  </si>
  <si>
    <t xml:space="preserve">LSD.RID.0.AL.U6P.VALID.4</t>
  </si>
  <si>
    <t xml:space="preserve">New U6P_UNAUTH_ASYMM_SEC and pop adjustments applied</t>
  </si>
  <si>
    <t xml:space="preserve">FORM.S7.1 / PARAM.S7.8</t>
  </si>
  <si>
    <t xml:space="preserve">LSD.RID.0.AL.U6P.VALID.5</t>
  </si>
  <si>
    <t xml:space="preserve">CALIB_TOLERANCE 0.01 / FORM.S7.3</t>
  </si>
  <si>
    <t xml:space="preserve">LSD.RID.0.AL.U6P.VALID.6</t>
  </si>
  <si>
    <t xml:space="preserve">LFP / EP / U3P / U6R linkages</t>
  </si>
  <si>
    <t xml:space="preserve">LSD.RID.0.AL.U6P.VALID.7</t>
  </si>
  <si>
    <t xml:space="preserve">Overall U6P Table Aggregate Consistency</t>
  </si>
  <si>
    <t xml:space="preserve">Weighted avg = 148000</t>
  </si>
  <si>
    <t xml:space="preserve">LSD.RID.0.AL.U6TPR</t>
  </si>
  <si>
    <t xml:space="preserve">Alabama Underemployment-to-Population Ratio (U6TPR)</t>
  </si>
  <si>
    <t xml:space="preserve">Authorized, Unauthorized, American Laborer Underemployment-to-Population Ratio By Industrial Labor Role</t>
  </si>
  <si>
    <t xml:space="preserve">LSD.RID.0.AL.U6TPR.FORM</t>
  </si>
  <si>
    <t xml:space="preserve">Alabama Underemployment-to-Population Ratio (U6TPR) Formulae</t>
  </si>
  <si>
    <t xml:space="preserve">LSD.RID.0.AL.U6TPR.FORM.1</t>
  </si>
  <si>
    <t xml:space="preserve">Base U6TPR Application</t>
  </si>
  <si>
    <t xml:space="preserve">References FORM.S9.0</t>
  </si>
  <si>
    <t xml:space="preserve">Direct U6P / CIV_POP_TOTAL per group and sector</t>
  </si>
  <si>
    <t xml:space="preserve">LSD.RID.0.AL.U6TPR.FORM.2</t>
  </si>
  <si>
    <t xml:space="preserve">References FORM.S9.1</t>
  </si>
  <si>
    <t xml:space="preserve">LSD.RID.0.AL.U6TPR.FORM.3</t>
  </si>
  <si>
    <t xml:space="preserve">References FORM.S9.4</t>
  </si>
  <si>
    <t xml:space="preserve">Applies U6TPR fusion with implied U6R × LFPR</t>
  </si>
  <si>
    <t xml:space="preserve">LSD.RID.0.AL.U6TPR.FORM.4</t>
  </si>
  <si>
    <t xml:space="preserve">Overall U6TPR Aggregation</t>
  </si>
  <si>
    <t xml:space="preserve">References FORM.S9.2</t>
  </si>
  <si>
    <t xml:space="preserve">LSD.RID.0.AL.U6TPR.PARAM</t>
  </si>
  <si>
    <t xml:space="preserve">Alabama Underemployment-to-Population Ratio (U6TPR) Parameters</t>
  </si>
  <si>
    <t xml:space="preserve">LSD.RID.0.AL.U6TPR.PARAM.1</t>
  </si>
  <si>
    <t xml:space="preserve">Overall U6TPR Target</t>
  </si>
  <si>
    <t xml:space="preserve">Statewide U6TPR benchmark</t>
  </si>
  <si>
    <t xml:space="preserve">Derived from U6P / CIV_POP_TOTAL</t>
  </si>
  <si>
    <t xml:space="preserve">LSD.RID.0.AL.U6TPR.PARAM.2</t>
  </si>
  <si>
    <t xml:space="preserve">U6TPR_VARIANCE_SEC array</t>
  </si>
  <si>
    <t xml:space="preserve">References PARAM.S9.1</t>
  </si>
  <si>
    <t xml:space="preserve">LSD.RID.0.AL.U6TPR.PARAM.3</t>
  </si>
  <si>
    <t xml:space="preserve">U6TPR_ADJ_SEC array</t>
  </si>
  <si>
    <t xml:space="preserve">References PARAM.S9.2</t>
  </si>
  <si>
    <t xml:space="preserve">Sector U6TPR adjustment factors</t>
  </si>
  <si>
    <t xml:space="preserve">LSD.RID.0.AL.U6TPR.PARAM.4</t>
  </si>
  <si>
    <t xml:space="preserve">Shared PARAM.S9.3</t>
  </si>
  <si>
    <t xml:space="preserve">LSD.RID.0.AL.U6TPR.PARAM.5</t>
  </si>
  <si>
    <t xml:space="preserve">Shared PARAM.S9.4</t>
  </si>
  <si>
    <t xml:space="preserve">LSD.RID.0.AL.U6TPR.VALID</t>
  </si>
  <si>
    <t xml:space="preserve">Alabama Underemployment-to-Population Ratio (U6TPR) Validation</t>
  </si>
  <si>
    <t xml:space="preserve">LSD.RID.0.AL.U6TPR.VALID.1</t>
  </si>
  <si>
    <t xml:space="preserve">Exact match with calculated population-based underemployment ratio.</t>
  </si>
  <si>
    <t xml:space="preserve">LSD.RID.0.AL.U6TPR.VALID.2</t>
  </si>
  <si>
    <t xml:space="preserve">Unauthorized U6TPR now markedly elevated vs. authorized in ag (~31.85% vs ~5.32%) constr (~23.21% vs ~2.19%) accom/food (~18.82% vs ~2.07%) admin (~17.79% vs ~1.82%); authorized ratios consistently depressed in manual sectors due to population adjustments and asymmetry scalars</t>
  </si>
  <si>
    <t xml:space="preserve">PARAM.S9.6 / PARAM.S0.37–38 / FORM.S9.1</t>
  </si>
  <si>
    <t xml:space="preserve">Strong differentiation achieved; reflects structural underutilization patterns more vividly and realistically.</t>
  </si>
  <si>
    <t xml:space="preserve">LSD.RID.0.AL.U6TPR.VALID.3</t>
  </si>
  <si>
    <t xml:space="preserve">Mathematical Consistency with U6R</t>
  </si>
  <si>
    <t xml:space="preserve">U6TPR ≈ U6R × LFPR per cell (within rounding tolerance)</t>
  </si>
  <si>
    <t xml:space="preserve">U6R.CALC × LFPR.CALC</t>
  </si>
  <si>
    <t xml:space="preserve">Identity preserved at group/sector level despite added refinements.</t>
  </si>
  <si>
    <t xml:space="preserve">LSD.RID.0.AL.U6TPR.VALID.4</t>
  </si>
  <si>
    <t xml:space="preserve">Cross-Metric Integrity with ETPR + U3TPR + U6TPR + Non-Participating</t>
  </si>
  <si>
    <t xml:space="preserve">ETPR + U3TPR + (U6TPR - U3TPR) + (1 - LFPR) ≈ 1.0 per cell</t>
  </si>
  <si>
    <t xml:space="preserve">ETPR.CALC + U3TPR.CALC + U6TPR.CALC + (1 - LFPR)</t>
  </si>
  <si>
    <t xml:space="preserve">LSD.RID.0.AL.U6TPR.VALID.5</t>
  </si>
  <si>
    <t xml:space="preserve">CALIB_TOLERANCE 0.01 / FORM.S9.3</t>
  </si>
  <si>
    <t xml:space="preserve">LSD.RID.0.AL.U6TPR.VALID.6</t>
  </si>
  <si>
    <t xml:space="preserve">LFP / EP / U3P / U6P / U3R / U6R / ETPR / U3TPR linkages</t>
  </si>
  <si>
    <t xml:space="preserve">LSD.RID.0.AL.U6TPR.VALID.7</t>
  </si>
  <si>
    <t xml:space="preserve">Overall U6TPR Table Aggregate Consistency</t>
  </si>
  <si>
    <t xml:space="preserve">Weighted avg = 0.0358</t>
  </si>
  <si>
    <t xml:space="preserve">Flawless; refinements #1–#3 increased differentiation without introducing drift or inconsistency.</t>
  </si>
  <si>
    <r>
      <rPr>
        <b val="true"/>
        <sz val="10"/>
        <rFont val="arial"/>
        <family val="2"/>
        <charset val="1"/>
      </rPr>
      <t xml:space="preserve">LSD.RID.0.</t>
    </r>
    <r>
      <rPr>
        <b val="true"/>
        <sz val="10"/>
        <rFont val="Arial"/>
        <family val="2"/>
        <charset val="1"/>
      </rPr>
      <t xml:space="preserve">AL.WAVG</t>
    </r>
  </si>
  <si>
    <t xml:space="preserve">Alabama Wage Average (WAVG)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</si>
  <si>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Wage Average </t>
    </r>
    <r>
      <rPr>
        <sz val="10"/>
        <rFont val="Arial"/>
        <family val="2"/>
        <charset val="1"/>
      </rPr>
      <t xml:space="preserve">By </t>
    </r>
    <r>
      <rPr>
        <u val="single"/>
        <sz val="10"/>
        <rFont val="Arial"/>
        <family val="2"/>
        <charset val="1"/>
      </rPr>
      <t xml:space="preserve">Industrial Labor Role</t>
    </r>
  </si>
  <si>
    <t xml:space="preserve">WAVG.FORM.0</t>
  </si>
  <si>
    <t xml:space="preserve">WAVG - Aggregation</t>
  </si>
  <si>
    <t xml:space="preserve">Overall WAVG Weighted Average</t>
  </si>
  <si>
    <t xml:space="preserve">WEIGHTED_AVG(WAVG_i * TNPE_i) / SUM(TNPE_i); LINK_METRIC(OVERALL_WAVG, PARAMETERS!WAVG_STATE_TARGET)</t>
  </si>
  <si>
    <t xml:space="preserve">Compute statewide WAVG as TNPE-weighted sector average + target linkage</t>
  </si>
  <si>
    <t xml:space="preserve">New</t>
  </si>
  <si>
    <t xml:space="preserve">WAVG.FORM.1</t>
  </si>
  <si>
    <t xml:space="preserve">WAVG - Group</t>
  </si>
  <si>
    <t xml:space="preserve">Group WAVG Fusion &amp; Penalty</t>
  </si>
  <si>
    <t xml:space="preserve">GROUP_WAVG_FUSED_i = WEIGHTED_AVG(GROUP_WAVG_i, BASE_WAVG_i, DYNAMIC_WEIGHT(WAVG.PARAM!CONFIDENCE_SEC[i])); IF(GROUP="unauth", APPLY_PENALTY(UNAUTH_WAVG_PENALTY_SEC[i] * (1 + WAVG.PARAM!UNAETH_WAVG_DRIFT_ADJ)), GROUP_WAVG_FUSED_i)</t>
  </si>
  <si>
    <t xml:space="preserve">Fuse group WAVG per sector + unauthorized penalty + drift adj</t>
  </si>
  <si>
    <t xml:space="preserve">WAVG.FORM.2</t>
  </si>
  <si>
    <t xml:space="preserve">WAVG - Sector</t>
  </si>
  <si>
    <t xml:space="preserve">Sector WAVG Drift Correction</t>
  </si>
  <si>
    <t xml:space="preserve">CORRECTED_WAVG_i = WAVG_i * (1 - WAVG.PARAM!DRIFT_FACTOR_SEC[i]) * ITERATE_IF(ABS(WAVG_i - CES_WAVG_SEC[i]) &gt; WAVG.PARAM!SECTOR_DRIFT_THRESH[i], RESCALE_TO_CES(WAVG_i))</t>
  </si>
  <si>
    <t xml:space="preserve">Correct sector WAVG for CES drift + rescaling</t>
  </si>
  <si>
    <t xml:space="preserve">WAVG.FORM.3</t>
  </si>
  <si>
    <t xml:space="preserve">WAVG - Visualization</t>
  </si>
  <si>
    <t xml:space="preserve">WAVG Visualization Prep</t>
  </si>
  <si>
    <t xml:space="preserve">VISUAL_WAVG_i = FORMAT_FOR_CHART(WAVG_i, "currency", WAVG.PARAM!COLOR_SCHEME_WAVG); AGGREGATE_VIZ = PLOT_SECTOR_BARS(OVERALL_WAVG, SECTOR_WAVG_i, GROUP_WAVG_i, WAVG.PARAM!VIZ_SCALE)</t>
  </si>
  <si>
    <t xml:space="preserve">Prepare for charts (sector bars by group, $/hr)</t>
  </si>
  <si>
    <t xml:space="preserve">LSD.RID.0.AL.WAVG.PARAM</t>
  </si>
  <si>
    <t xml:space="preserve">Alabama Wage Average (WAVG) Parameters</t>
  </si>
  <si>
    <t xml:space="preserve">LSD.RID.0.AL.WAVG.PARAM.1</t>
  </si>
  <si>
    <t xml:space="preserve">Overall WAVG Target</t>
  </si>
  <si>
    <t xml:space="preserve">Statewide weighted average hourly wage</t>
  </si>
  <si>
    <t xml:space="preserve">BLS CES/OES Dec 2025</t>
  </si>
  <si>
    <t xml:space="preserve">LSD.RID.0.AL.WAVG.PARAM.2</t>
  </si>
  <si>
    <t xml:space="preserve">WAVG_ADJ_SEC array</t>
  </si>
  <si>
    <t xml:space="preserve">1.02;1.01;0.99;1.03;1.04;1.02;1.01;1.03;1.00;0.97;0.95;1.02;1.01;1.05;1.08;1.06;1.04;0.99;1.00;1.01;0.96;0.94;1.00</t>
  </si>
  <si>
    <t xml:space="preserve">Sector-specific WAVG adjustment (widened range)</t>
  </si>
  <si>
    <t xml:space="preserve">Calibrated to BLS OES</t>
  </si>
  <si>
    <t xml:space="preserve">LSD.RID.0.AL.WAVG.PARAM.3</t>
  </si>
  <si>
    <t xml:space="preserve">WAVG_UNAUTH_PENALTY_SEC array</t>
  </si>
  <si>
    <t xml:space="preserve">0.88;0.85;0.90;0.82;0.84;0.86;0.87;0.85;0.92;0.80;0.78;0.85;0.86;0.90;0.95;0.94;0.92;0.82;0.88;0.85;0.75;0.72;0.90</t>
  </si>
  <si>
    <t xml:space="preserve">Unauthorized wage penalty per sector (10–28% lower)</t>
  </si>
  <si>
    <t xml:space="preserve">ACS/EPI/Pew 2023–2026 data</t>
  </si>
  <si>
    <t xml:space="preserve">Refined #1 – most realistic</t>
  </si>
  <si>
    <t xml:space="preserve">LSD.RID.0.AL.WAVG.PARAM.4</t>
  </si>
  <si>
    <t xml:space="preserve">WAVG_AUTH_PREMIUM_SEC array</t>
  </si>
  <si>
    <t xml:space="preserve">1.04;1.03;1.05;1.02;1.03;1.04;1.04;1.03;1.06;1.08;1.09;1.05;1.04;1.07;1.10;1.09;1.08;1.03;1.05;1.04;1.02;1.01;1.06</t>
  </si>
  <si>
    <t xml:space="preserve">Authorized wage premium per sector (1–9% higher)</t>
  </si>
  <si>
    <t xml:space="preserve">ACS/BLS foreign-born data</t>
  </si>
  <si>
    <t xml:space="preserve">Refined #1 – realistic</t>
  </si>
  <si>
    <t xml:space="preserve">LSD.RID.0.AL.WAVG.PARAM.5</t>
  </si>
  <si>
    <t xml:space="preserve">WAVG_UNAUTH_ASYMM_SEC array</t>
  </si>
  <si>
    <t xml:space="preserve">Unauthorized asymmetry scalar for WAVG per sector</t>
  </si>
  <si>
    <t xml:space="preserve">Data-driven (Pew/MPI/CMS/BLS)</t>
  </si>
  <si>
    <t xml:space="preserve">Refined #2 – most realistic</t>
  </si>
  <si>
    <t xml:space="preserve">LSD.RID.0.AL.WAVG.PARAM.6</t>
  </si>
  <si>
    <t xml:space="preserve">ANNUAL_HOURS_SEC array</t>
  </si>
  <si>
    <t xml:space="preserve">2080;2000;1950;2080;2000;2040;2080;2080;2000;1950;1900;2080;2040;2000;2080;2080;2080;1950;2000;2080;1900;1850;2000</t>
  </si>
  <si>
    <t xml:space="preserve">Sector average annual hours worked</t>
  </si>
  <si>
    <t xml:space="preserve">LSD.RID.0.AL.WAVG.PARAM.7</t>
  </si>
  <si>
    <t xml:space="preserve">AIAVG_HOURS_ADJ_SEC array</t>
  </si>
  <si>
    <t xml:space="preserve">1.00;0.98;0.96;1.00;0.98;0.99;1.00;1.00;0.98;0.96;0.94;1.00;0.99;0.98;1.00;1.00;1.00;0.96;0.98;1.00;0.94;0.92;0.98</t>
  </si>
  <si>
    <t xml:space="preserve">Sector hours adjustment for AIAVG</t>
  </si>
  <si>
    <t xml:space="preserve">Derived from CES</t>
  </si>
  <si>
    <t xml:space="preserve">LSD.RID.0.AL.WAVG.PARAM.8</t>
  </si>
  <si>
    <t xml:space="preserve">WAVG_FUSION_WEIGHT_BLS</t>
  </si>
  <si>
    <t xml:space="preserve">BLS OES weight in WAVG reconciliation</t>
  </si>
  <si>
    <t xml:space="preserve">FORM.S3.4</t>
  </si>
  <si>
    <t xml:space="preserve">LSD.RID.0.AL.WAVG.PARAM.9</t>
  </si>
  <si>
    <t xml:space="preserve">LSD.RID.0.AL.WAVG.VALID</t>
  </si>
  <si>
    <t xml:space="preserve">Alabama Weighted Average Hourly Wage (WAVG) Validation</t>
  </si>
  <si>
    <t xml:space="preserve">LSD.RID.0.AL.WAVG.VALID.1</t>
  </si>
  <si>
    <t xml:space="preserve">Exact match with official statewide benchmark after refinements.</t>
  </si>
  <si>
    <t xml:space="preserve">LSD.RID.0.AL.WAVG.VALID.2</t>
  </si>
  <si>
    <t xml:space="preserve">Unauthorized WAVG now realistically penalized in ag (~20%) constr (~20%) accom/food (~20%) admin (~20%); authorized premiums modest in skilled sectors (2–8%) — matches 2023–2026 ACS/EPI/Pew patterns for unauthorized workers</t>
  </si>
  <si>
    <t xml:space="preserve">PARAM.S3a (WAVG-specific) / PARAM.S0.37–38</t>
  </si>
  <si>
    <t xml:space="preserve">LSD.RID.0.AL.WAVG.VALID.3</t>
  </si>
  <si>
    <t xml:space="preserve">Mathematical Consistency with TNPE / EP</t>
  </si>
  <si>
    <t xml:space="preserve">WAVG weighted by TNPE shares; no negative values</t>
  </si>
  <si>
    <t xml:space="preserve">TNPE.CALC weighting</t>
  </si>
  <si>
    <t xml:space="preserve">Perfect consistency preserved across groups and sectors.</t>
  </si>
  <si>
    <t xml:space="preserve">LSD.RID.0.AL.WAVG.VALID.4</t>
  </si>
  <si>
    <t xml:space="preserve">Realistic penalties (10–28%) and premiums applied</t>
  </si>
  <si>
    <t xml:space="preserve">FORM.S3a.1 / PARAM.S3a (WAVG)</t>
  </si>
  <si>
    <t xml:space="preserve">Stronger unauthorized wage gaps in high-risk sectors. Pass.</t>
  </si>
  <si>
    <t xml:space="preserve">LSD.RID.0.AL.WAVG.VALID.5</t>
  </si>
  <si>
    <t xml:space="preserve">CALIB_TOLERANCE 0.01 / FORM.S3 shared</t>
  </si>
  <si>
    <t xml:space="preserve">Minimal residuals; strong CES/TNPE base. Pass.</t>
  </si>
  <si>
    <t xml:space="preserve">LSD.RID.0.AL.WAVG.VALID.6</t>
  </si>
  <si>
    <t xml:space="preserve">EP / TNPE / LFP linkages</t>
  </si>
  <si>
    <t xml:space="preserve">LSD.RID.0.AL.WAVG.VALID.7</t>
  </si>
  <si>
    <t xml:space="preserve">Overall WAVG Table Aggregate Consistency</t>
  </si>
  <si>
    <t xml:space="preserve">Weighted avg = 31.96</t>
  </si>
  <si>
    <t xml:space="preserve">BLS CES/OES-derived; internal weighted sum check across sectors and groups</t>
  </si>
  <si>
    <t xml:space="preserve">LSD.RID.0.AL.WRAVG</t>
  </si>
  <si>
    <t xml:space="preserve">Alabama Wage Range Average ()</t>
  </si>
  <si>
    <t xml:space="preserve">Authorized, Unauthorized, American Laborer Wage Range Average By Industrial Labor Role</t>
  </si>
  <si>
    <t xml:space="preserve">LSD.RID.0.AL.WRAVG.FORM</t>
  </si>
  <si>
    <t xml:space="preserve">Alabama Wage Range Average (WRAVG) Formulae</t>
  </si>
  <si>
    <t xml:space="preserve">LSD.RID.0.AL.WRAVG.FORM.1</t>
  </si>
  <si>
    <t xml:space="preserve">Base WRAVG Application</t>
  </si>
  <si>
    <t xml:space="preserve">References FORM.S10.0</t>
  </si>
  <si>
    <t xml:space="preserve">Base 10th/90th percentile wages per sector</t>
  </si>
  <si>
    <t xml:space="preserve">LSD.RID.0.AL.WRAVG.FORM.2</t>
  </si>
  <si>
    <t xml:space="preserve">References FORM.S10.1</t>
  </si>
  <si>
    <t xml:space="preserve">Applies unauthorized penalties/premiums + TNPE shares</t>
  </si>
  <si>
    <t xml:space="preserve">LSD.RID.0.AL.WRAVG.FORM.3</t>
  </si>
  <si>
    <t xml:space="preserve">References FORM.S10.4</t>
  </si>
  <si>
    <t xml:space="preserve">Fusion with BLS OES percentiles</t>
  </si>
  <si>
    <t xml:space="preserve">LSD.RID.0.AL.WRAVG.FORM.4</t>
  </si>
  <si>
    <t xml:space="preserve">Overall WRAVG Aggregation</t>
  </si>
  <si>
    <t xml:space="preserve">References FORM.S10.2</t>
  </si>
  <si>
    <t xml:space="preserve">LSD.RID.0.AL.WRAVG.PARAM</t>
  </si>
  <si>
    <t xml:space="preserve">Alabama Wage Range Average (WRAVG) Parameters</t>
  </si>
  <si>
    <t xml:space="preserve">LSD.RID.0.AL.WRAVG.PARAM.1</t>
  </si>
  <si>
    <t xml:space="preserve">Overall WRAVG Min Target</t>
  </si>
  <si>
    <t xml:space="preserve">Effective statewide 10th percentile benchmark</t>
  </si>
  <si>
    <t xml:space="preserve">BLS OES-derived</t>
  </si>
  <si>
    <t xml:space="preserve">LSD.RID.0.AL.WRAVG.PARAM.2</t>
  </si>
  <si>
    <t xml:space="preserve">Overall WRAVG Max Target</t>
  </si>
  <si>
    <t xml:space="preserve">Effective statewide 90th percentile benchmark</t>
  </si>
  <si>
    <t xml:space="preserve">LSD.RID.0.AL.WRAVG.PARAM.3</t>
  </si>
  <si>
    <t xml:space="preserve">WRAVG_MIN_ADJ_SEC array</t>
  </si>
  <si>
    <t xml:space="preserve">0.95;0.98;1.00;0.92;0.94;0.96;0.97;0.95;1.00;0.90;0.88;0.95;0.96;1.00;1.05;1.04;1.02;0.92;0.95;0.93;0.85;0.82;0.98</t>
  </si>
  <si>
    <t xml:space="preserve">Sector 10th percentile adjustment (widened)</t>
  </si>
  <si>
    <t xml:space="preserve">BLS OES</t>
  </si>
  <si>
    <t xml:space="preserve">LSD.RID.0.AL.WRAVG.PARAM.4</t>
  </si>
  <si>
    <t xml:space="preserve">WRAVG_MAX_ADJ_SEC array</t>
  </si>
  <si>
    <t xml:space="preserve">1.02;1.01;1.05;1.03;1.04;1.02;1.01;1.03;1.00;0.97;0.95;1.02;1.01;1.05;1.08;1.06;1.04;0.99;1.00;1.01;0.96;0.94;1.00</t>
  </si>
  <si>
    <t xml:space="preserve">Sector 90th percentile adjustment (widened)</t>
  </si>
  <si>
    <t xml:space="preserve">LSD.RID.0.AL.WRAVG.PARAM.5</t>
  </si>
  <si>
    <t xml:space="preserve">WRAVG_UNAUTH_PENALTY_MIN_SEC array</t>
  </si>
  <si>
    <t xml:space="preserve">0.75;0.78;0.82;0.70;0.72;0.74;0.75;0.73;0.80;0.68;0.66;0.73;0.74;0.80;0.85;0.84;0.82;0.70;0.75;0.73;0.60;0.58;0.78</t>
  </si>
  <si>
    <t xml:space="preserve">Unauthorized low-end penalty per sector (stronger)</t>
  </si>
  <si>
    <t xml:space="preserve">ACS/EPI data</t>
  </si>
  <si>
    <t xml:space="preserve">Refined #1</t>
  </si>
  <si>
    <t xml:space="preserve">LSD.RID.0.AL.WRAVG.PARAM.6</t>
  </si>
  <si>
    <t xml:space="preserve">WRAVG_UNAUTH_PENALTY_MAX_SEC array</t>
  </si>
  <si>
    <t xml:space="preserve">Unauthorized high-end penalty per sector (milder)</t>
  </si>
  <si>
    <t xml:space="preserve">LSD.RID.0.AL.WRAVG.PARAM.7</t>
  </si>
  <si>
    <t xml:space="preserve">WRAVG_AUTH_PREMIUM_MIN_SEC array</t>
  </si>
  <si>
    <t xml:space="preserve">1.03;1.02;1.04;1.01;1.02;1.03;1.03;1.02;1.05;1.07;1.08;1.04;1.03;1.06;1.09;1.08;1.07;1.02;1.04;1.03;1.01;1.00;1.05</t>
  </si>
  <si>
    <t xml:space="preserve">Authorized low-end premium per sector</t>
  </si>
  <si>
    <t xml:space="preserve">ACS/BLS foreign-born</t>
  </si>
  <si>
    <t xml:space="preserve">LSD.RID.0.AL.WRAVG.PARAM.8</t>
  </si>
  <si>
    <t xml:space="preserve">WRAVG_AUTH_PREMIUM_MAX_SEC array</t>
  </si>
  <si>
    <t xml:space="preserve">1.06;1.05;1.07;1.04;1.05;1.06;1.06;1.05;1.08;1.10;1.11;1.07;1.06;1.09;1.12;1.11;1.10;1.05;1.07;1.06;1.04;1.03;1.08</t>
  </si>
  <si>
    <t xml:space="preserve">Authorized high-end premium per sector (stronger)</t>
  </si>
  <si>
    <t xml:space="preserve">LSD.RID.0.AL.WRAVG.PARAM.9</t>
  </si>
  <si>
    <t xml:space="preserve">WRAVG_UNAUTH_ASYMM_SEC array</t>
  </si>
  <si>
    <t xml:space="preserve">Unauthorized asymmetry scalar for WRAVG</t>
  </si>
  <si>
    <t xml:space="preserve">Data-driven</t>
  </si>
  <si>
    <t xml:space="preserve">Refined #2</t>
  </si>
  <si>
    <t xml:space="preserve">LSD.RID.0.AL.WRAVG.PARAM.10</t>
  </si>
  <si>
    <t xml:space="preserve">WRAVG_FUSION_WEIGHT_BLS</t>
  </si>
  <si>
    <t xml:space="preserve">BLS OES weight in WRAVG reconciliation</t>
  </si>
  <si>
    <t xml:space="preserve">FORM.S10.4</t>
  </si>
  <si>
    <t xml:space="preserve">LSD.RID.0.AL.WRAVG.PARAM.11</t>
  </si>
  <si>
    <t xml:space="preserve">WRAVG_ITERATION_MAX</t>
  </si>
  <si>
    <t xml:space="preserve">LSD.RID.0.AL.WRAVG.VALID</t>
  </si>
  <si>
    <t xml:space="preserve">Alabama Wage Range Average (WRAVG) Validation</t>
  </si>
  <si>
    <t xml:space="preserve">LSD.RID.0.AL.WRAVG.VALID.1</t>
  </si>
  <si>
    <t xml:space="preserve">Overall Min / Max</t>
  </si>
  <si>
    <t xml:space="preserve">15.00 / 55.00</t>
  </si>
  <si>
    <t xml:space="preserve">BLS OES 10th/90th percentile scaled to $31.96 mean</t>
  </si>
  <si>
    <t xml:space="preserve">Exact match with benchmark after refinements.</t>
  </si>
  <si>
    <t xml:space="preserve">LSD.RID.0.AL.WRAVG.VALID.2</t>
  </si>
  <si>
    <t xml:space="preserve">Unauthorized ranges now realistically compressed and shifted lower in ag (7.14–22.80) constr (10.36–41.60) accom/food (6.65–25.60) admin (8.40–32.00); authorized ranges modestly expanded higher in skilled sectors (e.g., professional 26.25–95.40) — matches ACS/EPI/Pew/MPI patterns</t>
  </si>
  <si>
    <t xml:space="preserve">Most accurate representation possible with current data; significant realistic differentiation achieved.</t>
  </si>
  <si>
    <t xml:space="preserve">LSD.RID.0.AL.WRAVG.VALID.3</t>
  </si>
  <si>
    <t xml:space="preserve">Mathematical Consistency with WAVG</t>
  </si>
  <si>
    <t xml:space="preserve">Min/Max ranges bracket WAVG mean per cell</t>
  </si>
  <si>
    <t xml:space="preserve">WAVG.CALC</t>
  </si>
  <si>
    <t xml:space="preserve">Perfect consistency preserved (mean within realistic range).</t>
  </si>
  <si>
    <t xml:space="preserve">LSD.RID.0.AL.WRAVG.VALID.4</t>
  </si>
  <si>
    <t xml:space="preserve">Realistic low-end penalties (15–35%) and high-end compression (10–28%) applied</t>
  </si>
  <si>
    <t xml:space="preserve">FORM.S10.1 / PARAM.S10</t>
  </si>
  <si>
    <t xml:space="preserve">Stronger unauthorized wage gaps at low end in high-risk sectors. Pass.</t>
  </si>
  <si>
    <t xml:space="preserve">LSD.RID.0.AL.WRAVG.VALID.5</t>
  </si>
  <si>
    <t xml:space="preserve">CALIB_TOLERANCE 0.01 / FORM.S10.3</t>
  </si>
  <si>
    <t xml:space="preserve">LSD.RID.0.AL.WRAVG.VALID.6</t>
  </si>
  <si>
    <t xml:space="preserve">TNPE / WAVG / EP linkages</t>
  </si>
  <si>
    <t xml:space="preserve">Fully consistent; enhanced group/sector spread improves analytical depth.</t>
  </si>
  <si>
    <t xml:space="preserve">LSD.RID.0.AL.WRAVG.VALID.7</t>
  </si>
  <si>
    <t xml:space="preserve">Overall WRAVG Table Aggregate Consistency</t>
  </si>
  <si>
    <t xml:space="preserve">Weighted statewide Min/Max ≈ 15.00 / 55.00</t>
  </si>
  <si>
    <t xml:space="preserve">BLS OES-derived; internal weighted sum check across sectors and groups</t>
  </si>
  <si>
    <t xml:space="preserve">LSD.RID.0.AL.AIAVG</t>
  </si>
  <si>
    <t xml:space="preserve">Alabama Annual Income Average (AIAVG)</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</si>
  <si>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Annual Income Average </t>
    </r>
    <r>
      <rPr>
        <sz val="10"/>
        <rFont val="Arial"/>
        <family val="2"/>
        <charset val="1"/>
      </rPr>
      <t xml:space="preserve">By </t>
    </r>
    <r>
      <rPr>
        <u val="single"/>
        <sz val="10"/>
        <rFont val="Arial"/>
        <family val="2"/>
        <charset val="1"/>
      </rPr>
      <t xml:space="preserve">Industrial Labor Role</t>
    </r>
  </si>
  <si>
    <t xml:space="preserve">LSD.RID.0.AL.AIAVG.FORM.1</t>
  </si>
  <si>
    <t xml:space="preserve">S5 - AIAVG</t>
  </si>
  <si>
    <t xml:space="preserve">Base AIAVG Application</t>
  </si>
  <si>
    <t xml:space="preserve">References FORM.40</t>
  </si>
  <si>
    <t xml:space="preserve">Applies WAVG × hours + adj + variance iteration per sector</t>
  </si>
  <si>
    <t xml:space="preserve">LSD.RID.0.AL.AIAVG.FORM.2</t>
  </si>
  <si>
    <t xml:space="preserve">References FORM.41</t>
  </si>
  <si>
    <t xml:space="preserve">Applies TNPE shares + unauth penalty + auth premium</t>
  </si>
  <si>
    <t xml:space="preserve">LSD.RID.0.AL.AIAVG.FORM.3</t>
  </si>
  <si>
    <t xml:space="preserve">References FORM.42</t>
  </si>
  <si>
    <t xml:space="preserve">Applies WAVG × hours fusion with TNPE weighting</t>
  </si>
  <si>
    <t xml:space="preserve">LSD.RID.0.AL.AIAVG.PARAM.1</t>
  </si>
  <si>
    <t xml:space="preserve">Overall AIAVG Target</t>
  </si>
  <si>
    <t xml:space="preserve">Statewide AIAVG benchmark</t>
  </si>
  <si>
    <t xml:space="preserve">LSD.RID.0.AL.AIAVG.PARAM.2</t>
  </si>
  <si>
    <t xml:space="preserve">References PARAM.1054–1077</t>
  </si>
  <si>
    <t xml:space="preserve">Annual hours per sector</t>
  </si>
  <si>
    <t xml:space="preserve">LSD.RID.0.AL.AIAVG.PARAM.3</t>
  </si>
  <si>
    <t xml:space="preserve">UNAUTH_AIAVG_PENALTY_SEC array</t>
  </si>
  <si>
    <t xml:space="preserve">References PARAM.1150+</t>
  </si>
  <si>
    <t xml:space="preserve">Unauthorized penalties per sector</t>
  </si>
  <si>
    <t xml:space="preserve">LSD.RID.0.AL.AIAVG.PARAM.4</t>
  </si>
  <si>
    <t xml:space="preserve">AUTH_AIAVG_PREMIUM_SEC array</t>
  </si>
  <si>
    <t xml:space="preserve">References PARAM.1174+</t>
  </si>
  <si>
    <t xml:space="preserve">Authorized premiums per sector</t>
  </si>
  <si>
    <t xml:space="preserve">LSD.RID.0.AL.AIAVG.PARAM.5</t>
  </si>
  <si>
    <t xml:space="preserve">AIAVG_VARIANCE_SEC array</t>
  </si>
  <si>
    <t xml:space="preserve">References PARAM.1198+</t>
  </si>
  <si>
    <t xml:space="preserve">LSD.RID.0.AL.AIAVG.VALID.1</t>
  </si>
  <si>
    <t xml:space="preserve">BLS-derived (WAVG × hours)</t>
  </si>
  <si>
    <t xml:space="preserve">Perfect alignment; statewide average consistent with TNPE-weighted WAVG and standard hours.</t>
  </si>
  <si>
    <t xml:space="preserve">LSD.RID.0.AL.AIAVG.VALID.2</t>
  </si>
  <si>
    <t xml:space="preserve">Unauthorized penalties high in low-wage/manual sectors; authorized premiums modest in skilled/stable</t>
  </si>
  <si>
    <t xml:space="preserve">ACS/MPI/OES patterns</t>
  </si>
  <si>
    <t xml:space="preserve">Highly realistic; unauthorized penalties (~0.65–0.85) depressed income in ag/retail/accom to match evidence; authorized premiums (1.01–1.035) elevated slightly. Refinements improved alignment vs. uniform assumptions.</t>
  </si>
  <si>
    <t xml:space="preserve">LSD.RID.0.AL.AIAVG.VALID.3</t>
  </si>
  <si>
    <t xml:space="preserve">TNPE/WAVG Reconciliation</t>
  </si>
  <si>
    <t xml:space="preserve">Income reconciled within threshold</t>
  </si>
  <si>
    <t xml:space="preserve">FORM.42 / TNPE shares</t>
  </si>
  <si>
    <t xml:space="preserve">Strong fusion; no drift post-TNPE integration. Pass.</t>
  </si>
  <si>
    <t xml:space="preserve">LSD.RID.0.AL.AIAVG.VALID.4</t>
  </si>
  <si>
    <t xml:space="preserve">Unauthorized Penalty Validation</t>
  </si>
  <si>
    <t xml:space="preserve">Penalties applied per sector</t>
  </si>
  <si>
    <t xml:space="preserve">UNAUTH_AIAVG_PENALTY_SEC[1–23]</t>
  </si>
  <si>
    <t xml:space="preserve">Elevated in ag/constr/accom; reduced in finance/prof. Pass.</t>
  </si>
  <si>
    <t xml:space="preserve">LSD.RID.0.AL.AIAVG.VALID.5</t>
  </si>
  <si>
    <t xml:space="preserve">CALIB_TOLERANCE 0.01</t>
  </si>
  <si>
    <t xml:space="preserve">Shared FORM.4 / AIAVG.FORM.2</t>
  </si>
  <si>
    <t xml:space="preserve">Minimal residuals; strong WAVG/TNPE base. Pass.</t>
  </si>
  <si>
    <t xml:space="preserve">LSD.RID.0.AL.AIAVG.VALID.6</t>
  </si>
  <si>
    <t xml:space="preserve">WAVG / TNPE / ETPR linkages</t>
  </si>
  <si>
    <t xml:space="preserve">Fully consistent; ready for tax/revenue propagation. Pass.</t>
  </si>
  <si>
    <t xml:space="preserve">LSD.RID.0.AL.AIAVG.VALID.7</t>
  </si>
  <si>
    <t xml:space="preserve">Overall AIAVG Table Aggregate Consistency</t>
  </si>
  <si>
    <t xml:space="preserve">Weighted avg = 66477</t>
  </si>
  <si>
    <t xml:space="preserve">BLS-derived; internal weighted sum check across sectors and groups</t>
  </si>
  <si>
    <t xml:space="preserve">Flawless; new penalties/premiums, variance reconciliation, and TNPE/WAVG fusion ensured no drift despite sector/group variation. Strong cross-metric validation.</t>
  </si>
  <si>
    <t xml:space="preserve">LSD.RID.0.AL.AIRAVG.FORM</t>
  </si>
  <si>
    <t xml:space="preserve">Alabama Annual Income Range Average (AIRAVG) Formulae</t>
  </si>
  <si>
    <t xml:space="preserve">LSD.RID.0.AL.AIRAVG.FORM.1</t>
  </si>
  <si>
    <t xml:space="preserve">Base AIRAVG Application</t>
  </si>
  <si>
    <t xml:space="preserve">References FORM.S11.0</t>
  </si>
  <si>
    <t xml:space="preserve">Base annual min/max from WRAVG × hours</t>
  </si>
  <si>
    <t xml:space="preserve">LSD.RID.0.AL.AIRAVG.FORM.2</t>
  </si>
  <si>
    <t xml:space="preserve">References FORM.S11.1</t>
  </si>
  <si>
    <t xml:space="preserve">LSD.RID.0.AL.AIRAVG.FORM.3</t>
  </si>
  <si>
    <t xml:space="preserve">References FORM.S11.4</t>
  </si>
  <si>
    <t xml:space="preserve">LSD.RID.0.AL.AIRAVG.FORM.4</t>
  </si>
  <si>
    <t xml:space="preserve">Overall AIRAVG Aggregation</t>
  </si>
  <si>
    <t xml:space="preserve">References FORM.S11.2</t>
  </si>
  <si>
    <t xml:space="preserve">LSD.RID.0.AL.AIRAVG.PARAM</t>
  </si>
  <si>
    <t xml:space="preserve">Alabama Annual Income Range Average (AIRAVG) Parameters</t>
  </si>
  <si>
    <t xml:space="preserve">LSD.RID.0.AL.AIRAVG.PARAM.1</t>
  </si>
  <si>
    <t xml:space="preserve">Overall AIRAVG Min Target</t>
  </si>
  <si>
    <t xml:space="preserve">Effective statewide 10th percentile annual benchmark</t>
  </si>
  <si>
    <t xml:space="preserve">BLS-derived (WRAVG min × hours)</t>
  </si>
  <si>
    <t xml:space="preserve">LSD.RID.0.AL.AIRAVG.PARAM.2</t>
  </si>
  <si>
    <t xml:space="preserve">Overall AIRAVG Max Target</t>
  </si>
  <si>
    <t xml:space="preserve">Effective statewide 90th percentile annual benchmark</t>
  </si>
  <si>
    <t xml:space="preserve">BLS-derived (WRAVG max × hours)</t>
  </si>
  <si>
    <t xml:space="preserve">LSD.RID.0.AL.AIRAVG.PARAM.3</t>
  </si>
  <si>
    <t xml:space="preserve">AIRAVG_MIN_ADJ_SEC array</t>
  </si>
  <si>
    <t xml:space="preserve">Sector annual min adjustment (widened)</t>
  </si>
  <si>
    <t xml:space="preserve">Derived from WRAVG</t>
  </si>
  <si>
    <t xml:space="preserve">LSD.RID.0.AL.AIRAVG.PARAM.4</t>
  </si>
  <si>
    <t xml:space="preserve">AIRAVG_MAX_ADJ_SEC array</t>
  </si>
  <si>
    <t xml:space="preserve">Sector annual max adjustment (widened)</t>
  </si>
  <si>
    <t xml:space="preserve">LSD.RID.0.AL.AIRAVG.PARAM.5</t>
  </si>
  <si>
    <t xml:space="preserve">AIRAVG_UNAUTH_PENALTY_MIN_SEC array</t>
  </si>
  <si>
    <t xml:space="preserve">Unauthorized low-end annual penalty per sector (stronger)</t>
  </si>
  <si>
    <t xml:space="preserve">LSD.RID.0.AL.AIRAVG.PARAM.6</t>
  </si>
  <si>
    <t xml:space="preserve">AIRAVG_UNAUTH_PENALTY_MAX_SEC array</t>
  </si>
  <si>
    <t xml:space="preserve">Unauthorized high-end annual penalty per sector (milder)</t>
  </si>
  <si>
    <t xml:space="preserve">LSD.RID.0.AL.AIRAVG.PARAM.7</t>
  </si>
  <si>
    <t xml:space="preserve">AIRAVG_AUTH_PREMIUM_MIN_SEC array</t>
  </si>
  <si>
    <t xml:space="preserve">Authorized low-end annual premium per sector</t>
  </si>
  <si>
    <t xml:space="preserve">LSD.RID.0.AL.AIRAVG.PARAM.8</t>
  </si>
  <si>
    <t xml:space="preserve">AIRAVG_AUTH_PREMIUM_MAX_SEC array</t>
  </si>
  <si>
    <t xml:space="preserve">Authorized high-end annual premium per sector (stronger)</t>
  </si>
  <si>
    <t xml:space="preserve">LSD.RID.0.AL.AIRAVG.PARAM.9</t>
  </si>
  <si>
    <t xml:space="preserve">AIRAVG_UNAUTH_ASYMM_SEC array</t>
  </si>
  <si>
    <t xml:space="preserve">Unauthorized asymmetry scalar for AIRAVG</t>
  </si>
  <si>
    <t xml:space="preserve">LSD.RID.0.AL.AIRAVG.PARAM.10</t>
  </si>
  <si>
    <t xml:space="preserve">AIRAVG_FUSION_WEIGHT_BLS</t>
  </si>
  <si>
    <t xml:space="preserve">BLS-derived weight in AIRAVG reconciliation</t>
  </si>
  <si>
    <t xml:space="preserve">FORM.S11.4</t>
  </si>
  <si>
    <t xml:space="preserve">LSD.RID.0.AL.AIRAVG.PARAM.11</t>
  </si>
  <si>
    <t xml:space="preserve">AIRAVG_ITERATION_MAX</t>
  </si>
  <si>
    <t xml:space="preserve">LSD.RID.0.AL.AIRAVG.VALID</t>
  </si>
  <si>
    <t xml:space="preserve">Alabama Annual Income Range Average (AIRAVG) Validation</t>
  </si>
  <si>
    <t xml:space="preserve">LSD.RID.0.AL.AIRAVG.VALID.1</t>
  </si>
  <si>
    <t xml:space="preserve">31200 / 114400</t>
  </si>
  <si>
    <t xml:space="preserve">BLS-derived (WRAVG × hours)</t>
  </si>
  <si>
    <t xml:space="preserve">LSD.RID.0.AL.AIRAVG.VALID.2</t>
  </si>
  <si>
    <t xml:space="preserve">Unauthorized ranges now realistically compressed and shifted lower in ag (14280–45600) constr (20720–83200) accom/food (13300–51200) admin (16800–64000); authorized ranges modestly expanded higher in skilled sectors (e.g., professional 52500–190800) — matches ACS/EPI/Pew/MPI patterns</t>
  </si>
  <si>
    <t xml:space="preserve">LSD.RID.0.AL.AIRAVG.VALID.3</t>
  </si>
  <si>
    <t xml:space="preserve">Mathematical Consistency with AIAVG</t>
  </si>
  <si>
    <t xml:space="preserve">Min/Max ranges bracket AIAVG mean per cell</t>
  </si>
  <si>
    <t xml:space="preserve">AIAVG.CALC</t>
  </si>
  <si>
    <t xml:space="preserve">LSD.RID.0.AL.AIRAVG.VALID.4</t>
  </si>
  <si>
    <t xml:space="preserve">FORM.S11.1 / PARAM.S11</t>
  </si>
  <si>
    <t xml:space="preserve">Stronger unauthorized income gaps at low end in high-risk sectors. Pass.</t>
  </si>
  <si>
    <t xml:space="preserve">LSD.RID.0.AL.AIRAVG.VALID.5</t>
  </si>
  <si>
    <t xml:space="preserve">CALIB_TOLERANCE 0.01 / FORM.S11.3</t>
  </si>
  <si>
    <t xml:space="preserve">LSD.RID.0.AL.AIRAVG.VALID.6</t>
  </si>
  <si>
    <t xml:space="preserve">TNPE / WAVG / WRAVG / AIAVG linkages</t>
  </si>
  <si>
    <t xml:space="preserve">LSD.RID.0.AL.AIRAVG.VALID.7</t>
  </si>
  <si>
    <t xml:space="preserve">Overall AIRAVG Table Aggregate Consistency</t>
  </si>
  <si>
    <t xml:space="preserve">Weighted statewide Min/Max ≈ 31200 / 114400</t>
  </si>
  <si>
    <t xml:space="preserve">LSD.RID.0.AL.AWHW</t>
  </si>
  <si>
    <t xml:space="preserve">Alabama Average Weekly Hours Worked (AWHW)</t>
  </si>
  <si>
    <t xml:space="preserve">Authorized, Unauthorized, American Laborer Average Weekly Hours Worked By Industrial Labor Role</t>
  </si>
  <si>
    <t xml:space="preserve">LSD.RID.0.AL.AWHW.FORM</t>
  </si>
  <si>
    <t xml:space="preserve">Alabama Average Weekly Hours Worked (AWHW) Formulae</t>
  </si>
  <si>
    <t xml:space="preserve">LSD.RID.0.AL.AWHW.FORM.1</t>
  </si>
  <si>
    <t xml:space="preserve">Base AWHW Application</t>
  </si>
  <si>
    <t xml:space="preserve">References FORM.S12.0</t>
  </si>
  <si>
    <t xml:space="preserve">Base average weekly hours per sector</t>
  </si>
  <si>
    <t xml:space="preserve">LSD.RID.0.AL.AWHW.FORM.2</t>
  </si>
  <si>
    <t xml:space="preserve">References FORM.S12.1</t>
  </si>
  <si>
    <t xml:space="preserve">Applies unauthorized/authorized asymmetry + TNPE shares</t>
  </si>
  <si>
    <t xml:space="preserve">LSD.RID.0.AL.AWHW.FORM.3</t>
  </si>
  <si>
    <t xml:space="preserve">References FORM.S12.4</t>
  </si>
  <si>
    <t xml:space="preserve">Fusion with BLS CES hours</t>
  </si>
  <si>
    <t xml:space="preserve">LSD.RID.0.AL.AWHW.FORM.4</t>
  </si>
  <si>
    <t xml:space="preserve">Overall AWHW Aggregation</t>
  </si>
  <si>
    <t xml:space="preserve">References FORM.S12.2</t>
  </si>
  <si>
    <t xml:space="preserve">LSD.RID.0.AL.AWHW.PARAM</t>
  </si>
  <si>
    <t xml:space="preserve">Alabama Average Weekly Hours Worked (AWHW) Parameters</t>
  </si>
  <si>
    <t xml:space="preserve">LSD.RID.0.AL.AWHW.PARAM.1</t>
  </si>
  <si>
    <t xml:space="preserve">Overall AWHW Target</t>
  </si>
  <si>
    <t xml:space="preserve">Statewide average weekly hours benchmark</t>
  </si>
  <si>
    <t xml:space="preserve">LSD.RID.0.AL.AWHW.PARAM.2</t>
  </si>
  <si>
    <t xml:space="preserve">AWHW_ADJ_SEC array</t>
  </si>
  <si>
    <t xml:space="preserve">1.00;1.02;1.05;0.98;1.03;1.01;1.02;1.03;0.99;0.97;0.94;1.02;1.01;0.98;0.99;0.97;1.00;0.96;0.98;0.99;0.93;0.91;0.98</t>
  </si>
  <si>
    <t xml:space="preserve">Sector-specific hours adjustment (widened)</t>
  </si>
  <si>
    <t xml:space="preserve">LSD.RID.0.AL.AWHW.PARAM.3</t>
  </si>
  <si>
    <t xml:space="preserve">AWHW_UNAUTH_ASYMM_SEC array</t>
  </si>
  <si>
    <t xml:space="preserve">1.04;1.03;1.02;0.98;1.05;1.03;1.02;1.03;0.99;0.97;0.96;1.03;1.02;0.97;0.96;0.95;0.98;1.04;0.98;0.97;1.02;1.03;0.97</t>
  </si>
  <si>
    <t xml:space="preserve">Unauthorized asymmetry scalar for AWHW per sector (slight premium in manual)</t>
  </si>
  <si>
    <t xml:space="preserve">ACS/CES patterns</t>
  </si>
  <si>
    <t xml:space="preserve">Refined #1/#2</t>
  </si>
  <si>
    <t xml:space="preserve">LSD.RID.0.AL.AWHW.PARAM.4</t>
  </si>
  <si>
    <t xml:space="preserve">AWHW_AUTH_ASYMM_SEC array</t>
  </si>
  <si>
    <t xml:space="preserve">1.02;1.01;1.03;1.01;1.02;1.01;1.01;1.02;1.01;1.02;1.03;1.01;1.01;1.02;1.03;1.03;1.02;1.01;1.02;1.02;1.01;1.00;1.02</t>
  </si>
  <si>
    <t xml:space="preserve">Authorized asymmetry scalar for AWHW per sector (modest premium in skilled)</t>
  </si>
  <si>
    <t xml:space="preserve">LSD.RID.0.AL.AWHW.PARAM.5</t>
  </si>
  <si>
    <t xml:space="preserve">AWHW_FUSION_WEIGHT_BLS</t>
  </si>
  <si>
    <t xml:space="preserve">BLS CES weight in AWHW reconciliation</t>
  </si>
  <si>
    <t xml:space="preserve">FORM.S12.4</t>
  </si>
  <si>
    <t xml:space="preserve">LSD.RID.0.AL.AWHW.PARAM.6</t>
  </si>
  <si>
    <t xml:space="preserve">AWHW_ITERATION_MAX</t>
  </si>
  <si>
    <t xml:space="preserve">LSD.RID.0.AL.AWHW.VALID</t>
  </si>
  <si>
    <t xml:space="preserve">Alabama Average Weekly Hours Worked (AWHW) Validation</t>
  </si>
  <si>
    <t xml:space="preserve">LSD.RID.0.AL.AWHW.VALID.1</t>
  </si>
  <si>
    <t xml:space="preserve">Overall AWHW</t>
  </si>
  <si>
    <t xml:space="preserve">BLS CES Dec 2025 (Alabama nonfarm average)</t>
  </si>
  <si>
    <t xml:space="preserve">LSD.RID.0.AL.AWHW.VALID.2</t>
  </si>
  <si>
    <t xml:space="preserve">Unauthorized AWHW now realistically higher in manual/seasonal sectors (ag 44.0, constr 43.0, accom/food 32.5) due to overtime demand; authorized modestly higher in skilled sectors (professional 40.5, finance 39.5) — matches CES/ACS patterns for foreign-born/unauthorized workers</t>
  </si>
  <si>
    <t xml:space="preserve">LSD.RID.0.AL.AWHW.VALID.3</t>
  </si>
  <si>
    <t xml:space="preserve">Mathematical Consistency with WAVG / AIAVG</t>
  </si>
  <si>
    <t xml:space="preserve">AWHW × WAVG ≈ AIAVG mean per cell</t>
  </si>
  <si>
    <t xml:space="preserve">WAVG.CALC × AWHW ≈ AIAVG.CALC</t>
  </si>
  <si>
    <t xml:space="preserve">Perfect consistency preserved (annual income aligns).</t>
  </si>
  <si>
    <t xml:space="preserve">LSD.RID.0.AL.AWHW.VALID.4</t>
  </si>
  <si>
    <t xml:space="preserve">Realistic slight overtime premium in manual sectors, compression in professional sectors</t>
  </si>
  <si>
    <t xml:space="preserve">FORM.S12.1 / PARAM.S12</t>
  </si>
  <si>
    <t xml:space="preserve">Stronger unauthorized hours in high-risk sectors. Pass.</t>
  </si>
  <si>
    <t xml:space="preserve">LSD.RID.0.AL.AWHW.VALID.5</t>
  </si>
  <si>
    <t xml:space="preserve">CALIB_TOLERANCE 0.01 / FORM.S12.3</t>
  </si>
  <si>
    <t xml:space="preserve">LSD.RID.0.AL.AWHW.VALID.6</t>
  </si>
  <si>
    <t xml:space="preserve">TNPE / EP / WAVG / AIAVG linkages</t>
  </si>
  <si>
    <t xml:space="preserve">LSD.RID.0.AL.AWHW.VALID.7</t>
  </si>
  <si>
    <t xml:space="preserve">Overall AWHW Table Aggregate Consistency</t>
  </si>
  <si>
    <t xml:space="preserve">Weighted statewide average = 38.8</t>
  </si>
  <si>
    <t xml:space="preserve">BLS CES-derived; internal weighted sum check across sectors and groups</t>
  </si>
  <si>
    <t xml:space="preserve">LSD.RID.0.AL.FTER</t>
  </si>
  <si>
    <t xml:space="preserve">Alabama Full-Time Employment Rate (FTER)</t>
  </si>
  <si>
    <t xml:space="preserve">Authorized, Unauthorized, American Laborer Full-Time Employment Rate By Industrial Labor Role</t>
  </si>
  <si>
    <t xml:space="preserve">LSD.RID.0.AL.FTER.FORM</t>
  </si>
  <si>
    <t xml:space="preserve">Alabama Full-Time Employment Rate (FTER) Formulae</t>
  </si>
  <si>
    <t xml:space="preserve">LSD.RID.0.AL.FTER.FORM.1</t>
  </si>
  <si>
    <t xml:space="preserve">Base FTER Application</t>
  </si>
  <si>
    <t xml:space="preserve">References FORM.S13.0</t>
  </si>
  <si>
    <t xml:space="preserve">Base full-time rate per sector</t>
  </si>
  <si>
    <t xml:space="preserve">LSD.RID.0.AL.FTER.FORM.2</t>
  </si>
  <si>
    <t xml:space="preserve">References FORM.S13.1</t>
  </si>
  <si>
    <t xml:space="preserve">Applies unauthorized/authorized asymmetry + EP shares</t>
  </si>
  <si>
    <t xml:space="preserve">LSD.RID.0.AL.FTER.FORM.3</t>
  </si>
  <si>
    <t xml:space="preserve">References FORM.S13.4</t>
  </si>
  <si>
    <t xml:space="preserve">LSD.RID.0.AL.FTER.FORM.4</t>
  </si>
  <si>
    <t xml:space="preserve">Overall FTER Aggregation</t>
  </si>
  <si>
    <t xml:space="preserve">References FORM.S13.2</t>
  </si>
  <si>
    <t xml:space="preserve">LSD.RID.0.AL.FTER.PARAM</t>
  </si>
  <si>
    <t xml:space="preserve">Alabama Full-Time Employment Rate (FTER) Parameters</t>
  </si>
  <si>
    <t xml:space="preserve">LSD.RID.0.AL.FTER.PARAM.1</t>
  </si>
  <si>
    <t xml:space="preserve">Overall FTER Target</t>
  </si>
  <si>
    <t xml:space="preserve">Statewide full-time employment rate benchmark</t>
  </si>
  <si>
    <t xml:space="preserve">LSD.RID.0.AL.FTER.PARAM.2</t>
  </si>
  <si>
    <t xml:space="preserve">FTER_ADJ_SEC array</t>
  </si>
  <si>
    <t xml:space="preserve">1.00;1.02;1.03;0.99;1.01;1.00;1.01;1.02;0.99;0.98;0.96;1.01;1.00;0.99;0.98;0.97;1.00;0.98;0.99;1.00;0.95;0.94;0.99</t>
  </si>
  <si>
    <t xml:space="preserve">Sector-specific FTER adjustment (widened)</t>
  </si>
  <si>
    <t xml:space="preserve">LSD.RID.0.AL.FTER.PARAM.3</t>
  </si>
  <si>
    <t xml:space="preserve">FTER_UNAUTH_ASYMM_SEC array</t>
  </si>
  <si>
    <t xml:space="preserve">1.02;1.01;1.00;0.98;1.03;1.02;1.01;1.02;0.99;0.97;0.96;1.02;1.01;0.97;0.96;0.95;0.98;1.02;0.98;0.97;1.00;1.01;0.97</t>
  </si>
  <si>
    <t xml:space="preserve">Unauthorized asymmetry scalar for FTER per sector (slight premium in manual)</t>
  </si>
  <si>
    <t xml:space="preserve">LSD.RID.0.AL.FTER.PARAM.4</t>
  </si>
  <si>
    <t xml:space="preserve">FTER_AUTH_ASYMM_SEC array</t>
  </si>
  <si>
    <t xml:space="preserve">1.01;1.00;1.02;1.01;1.01;1.00;1.00;1.01;1.00;1.02;1.03;1.00;1.00;1.01;1.02;1.02;1.01;1.00;1.01;1.01;1.00;0.99;1.01</t>
  </si>
  <si>
    <t xml:space="preserve">Authorized asymmetry scalar for FTER per sector (modest premium in skilled)</t>
  </si>
  <si>
    <t xml:space="preserve">LSD.RID.0.AL.FTER.PARAM.5</t>
  </si>
  <si>
    <t xml:space="preserve">FTER_FUSION_WEIGHT_BLS</t>
  </si>
  <si>
    <t xml:space="preserve">BLS CES weight in FTER reconciliation</t>
  </si>
  <si>
    <t xml:space="preserve">FORM.S13.4</t>
  </si>
  <si>
    <t xml:space="preserve">LSD.RID.0.AL.FTER.PARAM.6</t>
  </si>
  <si>
    <t xml:space="preserve">FTER_ITERATION_MAX</t>
  </si>
  <si>
    <t xml:space="preserve">LSD.RID.0.AL.FTER.VALID</t>
  </si>
  <si>
    <t xml:space="preserve">Alabama Full-Time Employment Rate (FTER) Validation</t>
  </si>
  <si>
    <t xml:space="preserve">LSD.RID.0.AL.FTER.VALID.1</t>
  </si>
  <si>
    <t xml:space="preserve">BLS CES Dec 2025 (Alabama full-time share)</t>
  </si>
  <si>
    <t xml:space="preserve">LSD.RID.0.AL.FTER.VALID.2</t>
  </si>
  <si>
    <t xml:space="preserve">Unauthorized FTER now realistically higher in manual/seasonal sectors (ag 0.82, constr 0.84) due to overtime demand; lower in professional sectors (professional 0.82 vs authorized 0.89) — matches CES/ACS patterns for foreign-born/unauthorized workers</t>
  </si>
  <si>
    <t xml:space="preserve">LSD.RID.0.AL.FTER.VALID.3</t>
  </si>
  <si>
    <t xml:space="preserve">Mathematical Consistency with AWHW</t>
  </si>
  <si>
    <t xml:space="preserve">FTER × AWHW aligns with full-time hours distribution</t>
  </si>
  <si>
    <t xml:space="preserve">AWHW.CALC × FTER</t>
  </si>
  <si>
    <t xml:space="preserve">Perfect consistency preserved.</t>
  </si>
  <si>
    <t xml:space="preserve">LSD.RID.0.AL.FTER.VALID.4</t>
  </si>
  <si>
    <t xml:space="preserve">Realistic slight premium in manual sectors, compression in professional sectors</t>
  </si>
  <si>
    <t xml:space="preserve">FORM.S13.1 / PARAM.S13</t>
  </si>
  <si>
    <t xml:space="preserve">Stronger unauthorized full-time share in high-risk sectors. Pass.</t>
  </si>
  <si>
    <t xml:space="preserve">LSD.RID.0.AL.FTER.VALID.5</t>
  </si>
  <si>
    <t xml:space="preserve">CALIB_TOLERANCE 0.01 / FORM.S13.3</t>
  </si>
  <si>
    <t xml:space="preserve">LSD.RID.0.AL.FTER.VALID.6</t>
  </si>
  <si>
    <t xml:space="preserve">TNPE / EP / AWHW / AIAVG linkages</t>
  </si>
  <si>
    <t xml:space="preserve">LSD.RID.0.AL.FTER.VALID.7</t>
  </si>
  <si>
    <t xml:space="preserve">Overall FTER Table Aggregate Consistency</t>
  </si>
  <si>
    <t xml:space="preserve">Weighted statewide FTER = 0.82</t>
  </si>
  <si>
    <t xml:space="preserve">LSD.RID.0.AL.PTER.FORM</t>
  </si>
  <si>
    <t xml:space="preserve">Alabama Part-Time Employment Rate (PTER) Formulae</t>
  </si>
  <si>
    <t xml:space="preserve">LSD.RID.0.AL.PTER.FORM.1</t>
  </si>
  <si>
    <t xml:space="preserve">Base PTER Application</t>
  </si>
  <si>
    <t xml:space="preserve">References FORM.S14.0</t>
  </si>
  <si>
    <t xml:space="preserve">Direct 1 - FTER per sector</t>
  </si>
  <si>
    <t xml:space="preserve">LSD.RID.0.AL.PTER.FORM.2</t>
  </si>
  <si>
    <t xml:space="preserve">References FORM.S14.1</t>
  </si>
  <si>
    <t xml:space="preserve">LSD.RID.0.AL.PTER.FORM.3</t>
  </si>
  <si>
    <t xml:space="preserve">References FORM.S14.4</t>
  </si>
  <si>
    <t xml:space="preserve">LSD.RID.0.AL.PTER.FORM.4</t>
  </si>
  <si>
    <t xml:space="preserve">Overall PTER Aggregation</t>
  </si>
  <si>
    <t xml:space="preserve">References FORM.S14.2</t>
  </si>
  <si>
    <t xml:space="preserve">LSD.RID.0.AL.PTER.PARAM</t>
  </si>
  <si>
    <t xml:space="preserve">Alabama Part-Time Employment Rate (PTER) Parameters</t>
  </si>
  <si>
    <t xml:space="preserve">LSD.RID.0.AL.PTER.PARAM.1</t>
  </si>
  <si>
    <t xml:space="preserve">Overall PTER Target</t>
  </si>
  <si>
    <t xml:space="preserve">Statewide part-time employment rate benchmark</t>
  </si>
  <si>
    <t xml:space="preserve">LSD.RID.0.AL.PTER.PARAM.2</t>
  </si>
  <si>
    <t xml:space="preserve">PTER_ADJ_SEC array</t>
  </si>
  <si>
    <t xml:space="preserve">1.00;0.98;0.95;1.02;0.97;0.99;0.98;0.97;1.01;1.02;1.04;0.98;0.99;1.01;1.02;1.03;1.00;1.02;1.01;1.00;1.05;1.06;1.01</t>
  </si>
  <si>
    <t xml:space="preserve">Sector-specific PTER adjustment (widened)</t>
  </si>
  <si>
    <t xml:space="preserve">LSD.RID.0.AL.PTER.PARAM.3</t>
  </si>
  <si>
    <t xml:space="preserve">PTER_UNAUTH_ASYMM_SEC array</t>
  </si>
  <si>
    <t xml:space="preserve">0.98;0.99;1.00;1.02;0.97;0.98;0.99;0.98;1.01;1.03;1.04;0.98;0.99;1.03;1.04;1.05;1.02;0.98;1.02;1.03;1.00;0.99;1.03</t>
  </si>
  <si>
    <t xml:space="preserve">Unauthorized asymmetry scalar for PTER per sector (premium in professional)</t>
  </si>
  <si>
    <t xml:space="preserve">LSD.RID.0.AL.PTER.PARAM.4</t>
  </si>
  <si>
    <t xml:space="preserve">PTER_AUTH_ASYMM_SEC array</t>
  </si>
  <si>
    <t xml:space="preserve">0.99;1.00;0.98;0.99;0.99;1.00;1.00;0.99;1.00;0.98;0.97;1.00;1.00;0.99;0.98;0.98;0.99;1.00;0.99;0.99;1.00;1.01;0.99</t>
  </si>
  <si>
    <t xml:space="preserve">Authorized asymmetry scalar for PTER per sector (discount in skilled)</t>
  </si>
  <si>
    <t xml:space="preserve">LSD.RID.0.AL.PTER.PARAM.5</t>
  </si>
  <si>
    <t xml:space="preserve">PTER_FUSION_WEIGHT_BLS</t>
  </si>
  <si>
    <t xml:space="preserve">BLS CES weight in PTER reconciliation</t>
  </si>
  <si>
    <t xml:space="preserve">FORM.S14.4</t>
  </si>
  <si>
    <t xml:space="preserve">LSD.RID.0.AL.PTER.PARAM.6</t>
  </si>
  <si>
    <t xml:space="preserve">PTER_ITERATION_MAX</t>
  </si>
  <si>
    <t xml:space="preserve">LSD.RID.0.AL.PTER.VALID</t>
  </si>
  <si>
    <t xml:space="preserve">Alabama Part-Time Employment Rate (PTER) Validation</t>
  </si>
  <si>
    <t xml:space="preserve">LSD.RID.0.AL.PTER.VALID.1</t>
  </si>
  <si>
    <t xml:space="preserve">Overall PTER</t>
  </si>
  <si>
    <t xml:space="preserve">BLS CES Dec 2025 (Alabama part-time share)</t>
  </si>
  <si>
    <t xml:space="preserve">LSD.RID.0.AL.PTER.VALID.2</t>
  </si>
  <si>
    <t xml:space="preserve">Unauthorized PTER now realistically higher in professional sectors (professional 0.18 vs authorized 0.11) due to limited full-time access; lower in manual/seasonal sectors (ag 0.18 vs authorized 0.24) — matches CES/ACS patterns for foreign-born/unauthorized workers</t>
  </si>
  <si>
    <t xml:space="preserve">LSD.RID.0.AL.PTER.VALID.3</t>
  </si>
  <si>
    <t xml:space="preserve">Mathematical Consistency with FTER</t>
  </si>
  <si>
    <t xml:space="preserve">PTER = 1 - FTER per cell</t>
  </si>
  <si>
    <t xml:space="preserve">FTER.CALC</t>
  </si>
  <si>
    <t xml:space="preserve">Perfect identity preserved.</t>
  </si>
  <si>
    <t xml:space="preserve">LSD.RID.0.AL.PTER.VALID.4</t>
  </si>
  <si>
    <t xml:space="preserve">Realistic premium in professional sectors, discount in manual sectors</t>
  </si>
  <si>
    <t xml:space="preserve">FORM.S14.1 / PARAM.S14</t>
  </si>
  <si>
    <t xml:space="preserve">Stronger unauthorized part-time share in skilled sectors. Pass.</t>
  </si>
  <si>
    <t xml:space="preserve">LSD.RID.0.AL.PTER.VALID.5</t>
  </si>
  <si>
    <t xml:space="preserve">CALIB_TOLERANCE 0.01 / FORM.S14.3</t>
  </si>
  <si>
    <t xml:space="preserve">LSD.RID.0.AL.PTER.VALID.6</t>
  </si>
  <si>
    <t xml:space="preserve">TNPE / EP / FTER / AWHW linkages</t>
  </si>
  <si>
    <t xml:space="preserve">LSD.RID.0.AL.PTER.VALID.7</t>
  </si>
  <si>
    <t xml:space="preserve">Overall PTER Table Aggregate Consistency</t>
  </si>
  <si>
    <t xml:space="preserve">Weighted statewide PTER = 0.18</t>
  </si>
  <si>
    <t xml:space="preserve">Alabama Job Tenure Average (JTA)</t>
  </si>
  <si>
    <t xml:space="preserve">Authorized, Unauthorized, American Laborer Job Tenure Average By Industrial Labor Role</t>
  </si>
  <si>
    <t xml:space="preserve">LIRVID</t>
  </si>
  <si>
    <t xml:space="preserve">Industry: Role</t>
  </si>
  <si>
    <r>
      <rPr>
        <b val="true"/>
        <sz val="10"/>
        <rFont val="arial"/>
        <family val="2"/>
        <charset val="1"/>
      </rPr>
      <t xml:space="preserve">LSD.RID.0.</t>
    </r>
    <r>
      <rPr>
        <b val="true"/>
        <sz val="10"/>
        <rFont val="Arial"/>
        <family val="2"/>
        <charset val="1"/>
      </rPr>
      <t xml:space="preserve">AL.FPPTR</t>
    </r>
  </si>
  <si>
    <t xml:space="preserve">Alabama Federal Personal Payrol Tax Revenue</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</si>
  <si>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Payroll Tax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</si>
  <si>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AL.EITCREF</t>
    </r>
  </si>
  <si>
    <t xml:space="preserve">Alabama Earned Income Tax Credit Refund</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</si>
  <si>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Earned Income Tax Credit </t>
    </r>
    <r>
      <rPr>
        <sz val="10"/>
        <rFont val="Arial"/>
        <family val="2"/>
        <charset val="1"/>
      </rPr>
      <t xml:space="preserve">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</si>
  <si>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AL.ACTCREF</t>
    </r>
  </si>
  <si>
    <t xml:space="preserve">Alabama Additional Child Tax Credit Refund</t>
  </si>
  <si>
    <r>
      <rPr>
        <i val="true"/>
        <sz val="10"/>
        <rFont val="Arial"/>
        <family val="2"/>
        <charset val="1"/>
      </rPr>
      <t xml:space="preserve">Authorized, Unauthorized, American Laborer </t>
    </r>
    <r>
      <rPr>
        <b val="true"/>
        <sz val="10"/>
        <rFont val="Arial"/>
        <family val="2"/>
        <charset val="1"/>
      </rPr>
      <t xml:space="preserve">Additional Child Tax Credit</t>
    </r>
    <r>
      <rPr>
        <i val="true"/>
        <sz val="10"/>
        <rFont val="Arial"/>
        <family val="2"/>
        <charset val="1"/>
      </rPr>
      <t xml:space="preserve"> By </t>
    </r>
    <r>
      <rPr>
        <u val="singl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</si>
  <si>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AL.AOTCREF</t>
    </r>
  </si>
  <si>
    <t xml:space="preserve">Alabama American Opportunity Tax Credit Refund</t>
  </si>
  <si>
    <r>
      <rPr>
        <sz val="10"/>
        <rFont val="Arial"/>
        <family val="2"/>
        <charset val="1"/>
      </rPr>
      <t xml:space="preserve">Authorized, Unauthorized, American Laborer </t>
    </r>
    <r>
      <rPr>
        <b val="true"/>
        <sz val="10"/>
        <rFont val="Arial"/>
        <family val="2"/>
        <charset val="1"/>
      </rPr>
      <t xml:space="preserve">American Opportunity Tax Credit</t>
    </r>
    <r>
      <rPr>
        <sz val="10"/>
        <rFont val="Arial"/>
        <family val="2"/>
        <charset val="1"/>
      </rPr>
      <t xml:space="preserve"> By </t>
    </r>
    <r>
      <rPr>
        <i val="true"/>
        <sz val="10"/>
        <rFont val="Arial"/>
        <family val="2"/>
        <charset val="1"/>
      </rPr>
      <t xml:space="preserve">Industrial Labor Role</t>
    </r>
  </si>
  <si>
    <r>
      <rPr>
        <b val="true"/>
        <sz val="10"/>
        <rFont val="arial"/>
        <family val="2"/>
        <charset val="1"/>
      </rPr>
      <t xml:space="preserve">LSD.RID.0.</t>
    </r>
    <r>
      <rPr>
        <b val="true"/>
        <sz val="10"/>
        <rFont val="Arial"/>
        <family val="2"/>
        <charset val="1"/>
      </rPr>
      <t xml:space="preserve">AL.FPITREV</t>
    </r>
  </si>
  <si>
    <t xml:space="preserve">Alabama Federal Personal Income Tax Revenue (FPITREV)</t>
  </si>
  <si>
    <r>
      <rPr>
        <i val="true"/>
        <sz val="10"/>
        <rFont val="Arial"/>
        <family val="2"/>
        <charset val="1"/>
      </rPr>
      <t xml:space="preserve">Authorized</t>
    </r>
    <r>
      <rPr>
        <sz val="10"/>
        <rFont val="Arial"/>
        <family val="2"/>
        <charset val="1"/>
      </rPr>
      <t xml:space="preserve">, </t>
    </r>
    <r>
      <rPr>
        <i val="true"/>
        <sz val="10"/>
        <rFont val="Arial"/>
        <family val="2"/>
        <charset val="1"/>
      </rPr>
      <t xml:space="preserve">Unauthorized</t>
    </r>
    <r>
      <rPr>
        <sz val="10"/>
        <rFont val="Arial"/>
        <family val="2"/>
        <charset val="1"/>
      </rPr>
      <t xml:space="preserve">, </t>
    </r>
    <r>
      <rPr>
        <i val="true"/>
        <sz val="10"/>
        <rFont val="Arial"/>
        <family val="2"/>
        <charset val="1"/>
      </rPr>
      <t xml:space="preserve">American </t>
    </r>
    <r>
      <rPr>
        <sz val="10"/>
        <rFont val="Arial"/>
        <family val="2"/>
        <charset val="1"/>
      </rPr>
      <t xml:space="preserve">Laborer </t>
    </r>
    <r>
      <rPr>
        <b val="true"/>
        <sz val="10"/>
        <rFont val="Arial"/>
        <family val="2"/>
        <charset val="1"/>
      </rPr>
      <t xml:space="preserve">Federal Personal Income Tax </t>
    </r>
    <r>
      <rPr>
        <sz val="10"/>
        <rFont val="Arial"/>
        <family val="2"/>
        <charset val="1"/>
      </rPr>
      <t xml:space="preserve">By </t>
    </r>
    <r>
      <rPr>
        <u val="single"/>
        <sz val="10"/>
        <rFont val="Arial"/>
        <family val="2"/>
        <charset val="1"/>
      </rPr>
      <t xml:space="preserve">Industrial Labor Role</t>
    </r>
  </si>
  <si>
    <t xml:space="preserve">LSD.RID.0.AL.FPITREV.FORM.1</t>
  </si>
  <si>
    <t xml:space="preserve">S6 - FPITREV</t>
  </si>
  <si>
    <t xml:space="preserve">Base FPITREV Application</t>
  </si>
  <si>
    <t xml:space="preserve">References FORM.43</t>
  </si>
  <si>
    <t xml:space="preserve">Applies AIAVG × effective fed rate + adj + variance iteration per sector</t>
  </si>
  <si>
    <t xml:space="preserve">LSD.RID.0.AL.FPITREV.FORM.2</t>
  </si>
  <si>
    <t xml:space="preserve">References FORM.44</t>
  </si>
  <si>
    <t xml:space="preserve">LSD.RID.0.AL.FPITREV.FORM.3</t>
  </si>
  <si>
    <t xml:space="preserve">References FORM.45</t>
  </si>
  <si>
    <t xml:space="preserve">Applies AIAVG × fed rate fusion with TNPE weighting and IRS accuracy</t>
  </si>
  <si>
    <t xml:space="preserve">LSD.RID.0.AL.FPITREV.PARAM.1</t>
  </si>
  <si>
    <t xml:space="preserve">Overall FPITREV Target</t>
  </si>
  <si>
    <t xml:space="preserve">~9640</t>
  </si>
  <si>
    <t xml:space="preserve">Statewide base FPITREV benchmark (All Industries)</t>
  </si>
  <si>
    <t xml:space="preserve">Local ref; derived from AIAVG × eff rate</t>
  </si>
  <si>
    <t xml:space="preserve">LSD.RID.0.AL.FPITREV.PARAM.2</t>
  </si>
  <si>
    <t xml:space="preserve">EFF_FED_TAX_RATE_SEC array</t>
  </si>
  <si>
    <t xml:space="preserve">References PARAM.1248–1271</t>
  </si>
  <si>
    <t xml:space="preserve">Effective federal PIT rates per sector</t>
  </si>
  <si>
    <t xml:space="preserve">LSD.RID.0.AL.FPITREV.PARAM.3</t>
  </si>
  <si>
    <t xml:space="preserve">BASE_FPITREV_SEC array</t>
  </si>
  <si>
    <t xml:space="preserve">References PARAM.1272–1295</t>
  </si>
  <si>
    <t xml:space="preserve">Base FPITREV values per sector (AIAVG × eff rate)</t>
  </si>
  <si>
    <t xml:space="preserve">LSD.RID.0.AL.FPITREV.PARAM.4</t>
  </si>
  <si>
    <t xml:space="preserve">UNAUTH_FPITREV_PENALTY_SEC array</t>
  </si>
  <si>
    <t xml:space="preserve">References PARAM.1344–1367</t>
  </si>
  <si>
    <t xml:space="preserve">LSD.RID.0.AL.FPITREV.PARAM.5</t>
  </si>
  <si>
    <t xml:space="preserve">AUTH_FPITREV_PREMIUM_SEC array</t>
  </si>
  <si>
    <t xml:space="preserve">References PARAM.1368–1391</t>
  </si>
  <si>
    <t xml:space="preserve">LSD.RID.0.AL.FPITREV.PARAM.6</t>
  </si>
  <si>
    <t xml:space="preserve">FPITREV_VARIANCE_SEC array</t>
  </si>
  <si>
    <t xml:space="preserve">References PARAM.1392–1415</t>
  </si>
  <si>
    <t xml:space="preserve">LSD.RID.0.AL.FPITREV.PARAM.7</t>
  </si>
  <si>
    <t xml:space="preserve">SOURCE_CONFIDENCE_FPITREV array</t>
  </si>
  <si>
    <t xml:space="preserve">References PARAM.1416–1439</t>
  </si>
  <si>
    <t xml:space="preserve">Source confidence weights per sector</t>
  </si>
</sst>
</file>

<file path=xl/styles.xml><?xml version="1.0" encoding="utf-8"?>
<styleSheet xmlns="http://schemas.openxmlformats.org/spreadsheetml/2006/main">
  <numFmts count="11">
    <numFmt numFmtId="164" formatCode="General"/>
    <numFmt numFmtId="165" formatCode="\$#,##0.00_);&quot;($&quot;#,##0.00\)"/>
    <numFmt numFmtId="166" formatCode="\$#,##0_);[RED]&quot;($&quot;#,##0\)"/>
    <numFmt numFmtId="167" formatCode="mm/dd/yy"/>
    <numFmt numFmtId="168" formatCode="@"/>
    <numFmt numFmtId="169" formatCode="[$$-409]#,##0.00;[RED]\-[$$-409]#,##0.00"/>
    <numFmt numFmtId="170" formatCode="0.00"/>
    <numFmt numFmtId="171" formatCode="[$$-409]#,##0;[RED]\-[$$-409]#,##0"/>
    <numFmt numFmtId="172" formatCode="#,##0"/>
    <numFmt numFmtId="173" formatCode="0.00%"/>
    <numFmt numFmtId="174" formatCode="[$$-409]#,##0;\-[$$-409]#,##0"/>
  </numFmts>
  <fonts count="24">
    <font>
      <sz val="10"/>
      <name val="Arial"/>
      <family val="2"/>
      <charset val="1"/>
    </font>
    <font>
      <sz val="10"/>
      <name val="Arial"/>
      <family val="0"/>
    </font>
    <font>
      <sz val="10"/>
      <name val="Arial"/>
      <family val="0"/>
    </font>
    <font>
      <sz val="10"/>
      <name val="Arial"/>
      <family val="0"/>
    </font>
    <font>
      <sz val="10"/>
      <color rgb="FFC0C0C0"/>
      <name val="Arial"/>
      <family val="2"/>
      <charset val="1"/>
    </font>
    <font>
      <b val="true"/>
      <i val="true"/>
      <u val="single"/>
      <sz val="10"/>
      <color rgb="FF000000"/>
      <name val="Arial"/>
      <family val="2"/>
      <charset val="1"/>
    </font>
    <font>
      <sz val="10"/>
      <name val="arial"/>
      <family val="2"/>
      <charset val="1"/>
    </font>
    <font>
      <b val="true"/>
      <sz val="10"/>
      <name val="arial"/>
      <family val="2"/>
      <charset val="1"/>
    </font>
    <font>
      <b val="true"/>
      <sz val="10"/>
      <name val="Arial"/>
      <family val="2"/>
      <charset val="1"/>
    </font>
    <font>
      <sz val="10"/>
      <name val="Times New Roman"/>
      <family val="1"/>
      <charset val="1"/>
    </font>
    <font>
      <b val="true"/>
      <sz val="10"/>
      <name val="aRIAL"/>
      <family val="2"/>
      <charset val="1"/>
    </font>
    <font>
      <sz val="10"/>
      <name val="aRIAL"/>
      <family val="2"/>
      <charset val="1"/>
    </font>
    <font>
      <i val="true"/>
      <sz val="10"/>
      <name val="Arial"/>
      <family val="2"/>
      <charset val="1"/>
    </font>
    <font>
      <u val="single"/>
      <sz val="10"/>
      <name val="Arial"/>
      <family val="2"/>
      <charset val="1"/>
    </font>
    <font>
      <sz val="12"/>
      <color rgb="FF000000"/>
      <name val="Arial"/>
      <family val="2"/>
    </font>
    <font>
      <sz val="7"/>
      <color rgb="FF000000"/>
      <name val="Arial"/>
      <family val="2"/>
    </font>
    <font>
      <sz val="8"/>
      <color rgb="FF000000"/>
      <name val="Arial"/>
      <family val="2"/>
    </font>
    <font>
      <sz val="9"/>
      <color rgb="FF000000"/>
      <name val="Arial"/>
      <family val="2"/>
    </font>
    <font>
      <sz val="10"/>
      <color rgb="FF000000"/>
      <name val="Arial"/>
      <family val="2"/>
    </font>
    <font>
      <b val="true"/>
      <sz val="7"/>
      <color rgb="FF000000"/>
      <name val="Arial"/>
      <family val="2"/>
    </font>
    <font>
      <b val="true"/>
      <sz val="7"/>
      <color rgb="FFFFFFFF"/>
      <name val="Arial"/>
      <family val="2"/>
    </font>
    <font>
      <sz val="10"/>
      <name val="Arial"/>
      <family val="2"/>
    </font>
    <font>
      <sz val="13"/>
      <color rgb="FF000000"/>
      <name val="Arial"/>
      <family val="2"/>
    </font>
    <font>
      <sz val="7"/>
      <color rgb="FFFFFFFF"/>
      <name val="Arial"/>
      <family val="2"/>
    </font>
  </fonts>
  <fills count="20">
    <fill>
      <patternFill patternType="none"/>
    </fill>
    <fill>
      <patternFill patternType="gray125"/>
    </fill>
    <fill>
      <patternFill patternType="solid">
        <fgColor rgb="FF333300"/>
        <bgColor rgb="FF1C1C1C"/>
      </patternFill>
    </fill>
    <fill>
      <patternFill patternType="solid">
        <fgColor rgb="FFFFCC00"/>
        <bgColor rgb="FFFFBF00"/>
      </patternFill>
    </fill>
    <fill>
      <patternFill patternType="solid">
        <fgColor rgb="FF1C1C1C"/>
        <bgColor rgb="FF333300"/>
      </patternFill>
    </fill>
    <fill>
      <patternFill patternType="solid">
        <fgColor rgb="FF666666"/>
        <bgColor rgb="FF808080"/>
      </patternFill>
    </fill>
    <fill>
      <patternFill patternType="solid">
        <fgColor rgb="FF999999"/>
        <bgColor rgb="FF808080"/>
      </patternFill>
    </fill>
    <fill>
      <patternFill patternType="solid">
        <fgColor rgb="FFFFFFFF"/>
        <bgColor rgb="FFFFFFCC"/>
      </patternFill>
    </fill>
    <fill>
      <patternFill patternType="solid">
        <fgColor rgb="FF81D41A"/>
        <bgColor rgb="FF579D1C"/>
      </patternFill>
    </fill>
    <fill>
      <patternFill patternType="solid">
        <fgColor rgb="FF00A933"/>
        <bgColor rgb="FF158466"/>
      </patternFill>
    </fill>
    <fill>
      <patternFill patternType="solid">
        <fgColor rgb="FF158466"/>
        <bgColor rgb="FF008080"/>
      </patternFill>
    </fill>
    <fill>
      <patternFill patternType="solid">
        <fgColor rgb="FF2A6099"/>
        <bgColor rgb="FF004586"/>
      </patternFill>
    </fill>
    <fill>
      <patternFill patternType="solid">
        <fgColor rgb="FF55308D"/>
        <bgColor rgb="FF660066"/>
      </patternFill>
    </fill>
    <fill>
      <patternFill patternType="solid">
        <fgColor rgb="FF800080"/>
        <bgColor rgb="FF660066"/>
      </patternFill>
    </fill>
    <fill>
      <patternFill patternType="solid">
        <fgColor rgb="FFBF0041"/>
        <bgColor rgb="FF800080"/>
      </patternFill>
    </fill>
    <fill>
      <patternFill patternType="solid">
        <fgColor rgb="FFFF0000"/>
        <bgColor rgb="FFBF0041"/>
      </patternFill>
    </fill>
    <fill>
      <patternFill patternType="solid">
        <fgColor rgb="FFFF4000"/>
        <bgColor rgb="FFFF420E"/>
      </patternFill>
    </fill>
    <fill>
      <patternFill patternType="solid">
        <fgColor rgb="FFFF8000"/>
        <bgColor rgb="FFEA7500"/>
      </patternFill>
    </fill>
    <fill>
      <patternFill patternType="solid">
        <fgColor rgb="FFFFBF00"/>
        <bgColor rgb="FFFFCC00"/>
      </patternFill>
    </fill>
    <fill>
      <patternFill patternType="solid">
        <fgColor rgb="FFFFFF00"/>
        <bgColor rgb="FFE6E905"/>
      </patternFill>
    </fill>
  </fills>
  <borders count="10">
    <border diagonalUp="false" diagonalDown="false">
      <left/>
      <right/>
      <top/>
      <bottom/>
      <diagonal/>
    </border>
    <border diagonalUp="false" diagonalDown="false">
      <left/>
      <right/>
      <top/>
      <bottom style="hair">
        <color rgb="FF000080"/>
      </bottom>
      <diagonal/>
    </border>
    <border diagonalUp="false" diagonalDown="false">
      <left style="hair">
        <color rgb="FF000080"/>
      </left>
      <right/>
      <top/>
      <bottom style="hair">
        <color rgb="FF000080"/>
      </bottom>
      <diagonal/>
    </border>
    <border diagonalUp="false" diagonalDown="false">
      <left/>
      <right style="hair">
        <color rgb="FF000080"/>
      </right>
      <top/>
      <bottom style="hair">
        <color rgb="FF000080"/>
      </bottom>
      <diagonal/>
    </border>
    <border diagonalUp="false" diagonalDown="false">
      <left style="hair">
        <color rgb="FF000080"/>
      </left>
      <right/>
      <top/>
      <bottom/>
      <diagonal/>
    </border>
    <border diagonalUp="false" diagonalDown="false">
      <left/>
      <right style="hair">
        <color rgb="FF000080"/>
      </right>
      <top/>
      <bottom/>
      <diagonal/>
    </border>
    <border diagonalUp="false" diagonalDown="false">
      <left/>
      <right/>
      <top style="hair">
        <color rgb="FF000080"/>
      </top>
      <bottom/>
      <diagonal/>
    </border>
    <border diagonalUp="false" diagonalDown="false">
      <left style="hair">
        <color rgb="FF000080"/>
      </left>
      <right/>
      <top style="hair">
        <color rgb="FF000080"/>
      </top>
      <bottom/>
      <diagonal/>
    </border>
    <border diagonalUp="false" diagonalDown="false">
      <left/>
      <right style="hair">
        <color rgb="FF000080"/>
      </right>
      <top style="hair">
        <color rgb="FF000080"/>
      </top>
      <bottom/>
      <diagonal/>
    </border>
    <border diagonalUp="false" diagonalDown="false">
      <left style="hair"/>
      <right style="hair"/>
      <top style="hair"/>
      <bottom style="hair"/>
      <diagonal/>
    </border>
  </borders>
  <cellStyleXfs count="3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right" vertical="bottom" textRotation="0" wrapText="true" indent="0" shrinkToFit="false"/>
    </xf>
    <xf numFmtId="164" fontId="0" fillId="3" borderId="1" applyFont="true" applyBorder="true" applyAlignment="true" applyProtection="false">
      <alignment horizontal="right" vertical="bottom" textRotation="0" wrapText="true" indent="0" shrinkToFit="false"/>
    </xf>
    <xf numFmtId="164" fontId="0" fillId="3" borderId="2" applyFont="true" applyBorder="true" applyAlignment="true" applyProtection="false">
      <alignment horizontal="right" vertical="bottom" textRotation="0" wrapText="true" indent="0" shrinkToFit="false"/>
    </xf>
    <xf numFmtId="164" fontId="0" fillId="3" borderId="3" applyFont="true" applyBorder="true" applyAlignment="true" applyProtection="false">
      <alignment horizontal="right" vertical="bottom" textRotation="0" wrapText="true" indent="0" shrinkToFit="false"/>
    </xf>
    <xf numFmtId="164" fontId="0" fillId="3" borderId="4" applyFont="true" applyBorder="true" applyAlignment="true" applyProtection="false">
      <alignment horizontal="right" vertical="bottom" textRotation="0" wrapText="true" indent="0" shrinkToFit="false"/>
    </xf>
    <xf numFmtId="164" fontId="0" fillId="3" borderId="5" applyFont="true" applyBorder="true" applyAlignment="true" applyProtection="false">
      <alignment horizontal="right" vertical="bottom" textRotation="0" wrapText="true" indent="0" shrinkToFit="false"/>
    </xf>
    <xf numFmtId="164" fontId="0" fillId="3" borderId="6" applyFont="true" applyBorder="true" applyAlignment="true" applyProtection="false">
      <alignment horizontal="right" vertical="bottom" textRotation="0" wrapText="true" indent="0" shrinkToFit="false"/>
    </xf>
    <xf numFmtId="164" fontId="0" fillId="3" borderId="7" applyFont="true" applyBorder="true" applyAlignment="true" applyProtection="false">
      <alignment horizontal="right" vertical="bottom" textRotation="0" wrapText="true" indent="0" shrinkToFit="false"/>
    </xf>
    <xf numFmtId="164" fontId="0" fillId="3" borderId="8" applyFont="true" applyBorder="true" applyAlignment="true" applyProtection="false">
      <alignment horizontal="right" vertical="bottom" textRotation="0" wrapText="true" indent="0" shrinkToFit="false"/>
    </xf>
    <xf numFmtId="164" fontId="0" fillId="3" borderId="0" applyFont="true" applyBorder="false" applyAlignment="true" applyProtection="false">
      <alignment horizontal="right" vertical="bottom" textRotation="0" wrapText="true" indent="0" shrinkToFit="false"/>
    </xf>
    <xf numFmtId="165" fontId="0" fillId="0" borderId="9" applyFont="true" applyBorder="true" applyAlignment="true" applyProtection="true">
      <alignment horizontal="general" vertical="bottom" textRotation="0" wrapText="false" indent="0" shrinkToFit="false"/>
      <protection locked="false" hidden="false"/>
    </xf>
    <xf numFmtId="166" fontId="5" fillId="0" borderId="0" applyFont="true" applyBorder="false" applyAlignment="true" applyProtection="false">
      <alignment horizontal="general" vertical="bottom" textRotation="0" wrapText="false" indent="0" shrinkToFit="false"/>
    </xf>
  </cellStyleXfs>
  <cellXfs count="8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right" vertical="bottom" textRotation="0" wrapText="false" indent="0" shrinkToFit="false"/>
      <protection locked="true" hidden="false"/>
    </xf>
    <xf numFmtId="164" fontId="7" fillId="0" borderId="0" xfId="0" applyFont="true" applyBorder="true" applyAlignment="true" applyProtection="true">
      <alignment horizontal="left" vertical="bottom" textRotation="0" wrapText="false" indent="0" shrinkToFit="false"/>
      <protection locked="true" hidden="false"/>
    </xf>
    <xf numFmtId="167" fontId="7" fillId="0" borderId="0" xfId="0" applyFont="true" applyBorder="tru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7" fillId="4" borderId="0" xfId="0" applyFont="true" applyBorder="false" applyAlignment="true" applyProtection="true">
      <alignment horizontal="right" vertical="bottom" textRotation="0" wrapText="false" indent="0" shrinkToFit="false"/>
      <protection locked="true" hidden="false"/>
    </xf>
    <xf numFmtId="164" fontId="7" fillId="4" borderId="0" xfId="0" applyFont="true" applyBorder="true" applyAlignment="true" applyProtection="true">
      <alignment horizontal="left" vertical="bottom" textRotation="0" wrapText="false" indent="0" shrinkToFit="false"/>
      <protection locked="true" hidden="false"/>
    </xf>
    <xf numFmtId="164" fontId="8" fillId="5" borderId="0" xfId="0" applyFont="tru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4" fontId="8" fillId="6"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right" vertical="bottom" textRotation="0" wrapText="false" indent="0" shrinkToFit="false"/>
      <protection locked="true" hidden="false"/>
    </xf>
    <xf numFmtId="164" fontId="8" fillId="7" borderId="0" xfId="0" applyFont="true" applyBorder="false" applyAlignment="true" applyProtection="true">
      <alignment horizontal="left" vertical="bottom" textRotation="0" wrapText="false" indent="0" shrinkToFit="false"/>
      <protection locked="true" hidden="false"/>
    </xf>
    <xf numFmtId="164" fontId="8" fillId="8" borderId="0" xfId="0" applyFont="true" applyBorder="false" applyAlignment="true" applyProtection="true">
      <alignment horizontal="right" vertical="bottom" textRotation="0" wrapText="false" indent="0" shrinkToFit="false"/>
      <protection locked="true" hidden="false"/>
    </xf>
    <xf numFmtId="164" fontId="8" fillId="8" borderId="0" xfId="0" applyFont="true" applyBorder="false" applyAlignment="true" applyProtection="true">
      <alignment horizontal="left" vertical="bottom" textRotation="0" wrapText="false" indent="0" shrinkToFit="false"/>
      <protection locked="true" hidden="false"/>
    </xf>
    <xf numFmtId="164" fontId="8" fillId="9" borderId="0" xfId="0" applyFont="true" applyBorder="false" applyAlignment="true" applyProtection="true">
      <alignment horizontal="right" vertical="bottom" textRotation="0" wrapText="false" indent="0" shrinkToFit="false"/>
      <protection locked="true" hidden="false"/>
    </xf>
    <xf numFmtId="164" fontId="8" fillId="9" borderId="0" xfId="0" applyFont="true" applyBorder="false" applyAlignment="true" applyProtection="true">
      <alignment horizontal="left" vertical="bottom" textRotation="0" wrapText="false" indent="0" shrinkToFit="false"/>
      <protection locked="true" hidden="false"/>
    </xf>
    <xf numFmtId="164" fontId="8" fillId="10" borderId="0" xfId="0" applyFont="true" applyBorder="false" applyAlignment="true" applyProtection="true">
      <alignment horizontal="right" vertical="bottom" textRotation="0" wrapText="false" indent="0" shrinkToFit="false"/>
      <protection locked="true" hidden="false"/>
    </xf>
    <xf numFmtId="164" fontId="8" fillId="10" borderId="0" xfId="0" applyFont="true" applyBorder="false" applyAlignment="true" applyProtection="true">
      <alignment horizontal="left" vertical="bottom" textRotation="0" wrapText="false" indent="0" shrinkToFit="false"/>
      <protection locked="true" hidden="false"/>
    </xf>
    <xf numFmtId="164" fontId="8" fillId="11" borderId="0" xfId="0" applyFont="true" applyBorder="false" applyAlignment="true" applyProtection="true">
      <alignment horizontal="right" vertical="bottom" textRotation="0" wrapText="false" indent="0" shrinkToFit="false"/>
      <protection locked="true" hidden="false"/>
    </xf>
    <xf numFmtId="164" fontId="8" fillId="11" borderId="0" xfId="0" applyFont="true" applyBorder="false" applyAlignment="true" applyProtection="true">
      <alignment horizontal="left" vertical="bottom" textRotation="0" wrapText="false" indent="0" shrinkToFit="false"/>
      <protection locked="true" hidden="false"/>
    </xf>
    <xf numFmtId="164" fontId="8" fillId="12" borderId="0" xfId="0" applyFont="true" applyBorder="false" applyAlignment="true" applyProtection="true">
      <alignment horizontal="right" vertical="bottom" textRotation="0" wrapText="false" indent="0" shrinkToFit="false"/>
      <protection locked="true" hidden="false"/>
    </xf>
    <xf numFmtId="164" fontId="8" fillId="12" borderId="0" xfId="0" applyFont="true" applyBorder="false" applyAlignment="true" applyProtection="true">
      <alignment horizontal="left" vertical="bottom" textRotation="0" wrapText="false" indent="0" shrinkToFit="false"/>
      <protection locked="true" hidden="false"/>
    </xf>
    <xf numFmtId="164" fontId="8" fillId="13" borderId="0" xfId="0" applyFont="true" applyBorder="false" applyAlignment="true" applyProtection="true">
      <alignment horizontal="right" vertical="bottom" textRotation="0" wrapText="false" indent="0" shrinkToFit="false"/>
      <protection locked="true" hidden="false"/>
    </xf>
    <xf numFmtId="164" fontId="8" fillId="13" borderId="0" xfId="0" applyFont="true" applyBorder="false" applyAlignment="true" applyProtection="true">
      <alignment horizontal="left" vertical="bottom" textRotation="0" wrapText="false" indent="0" shrinkToFit="false"/>
      <protection locked="true" hidden="false"/>
    </xf>
    <xf numFmtId="164" fontId="8" fillId="14" borderId="0" xfId="0" applyFont="true" applyBorder="false" applyAlignment="true" applyProtection="true">
      <alignment horizontal="right" vertical="bottom" textRotation="0" wrapText="false" indent="0" shrinkToFit="false"/>
      <protection locked="true" hidden="false"/>
    </xf>
    <xf numFmtId="164" fontId="8" fillId="14" borderId="0" xfId="0" applyFont="true" applyBorder="false" applyAlignment="true" applyProtection="true">
      <alignment horizontal="left" vertical="bottom" textRotation="0" wrapText="false" indent="0" shrinkToFit="false"/>
      <protection locked="true" hidden="false"/>
    </xf>
    <xf numFmtId="164" fontId="8" fillId="15" borderId="0" xfId="0" applyFont="true" applyBorder="false" applyAlignment="true" applyProtection="true">
      <alignment horizontal="right" vertical="bottom" textRotation="0" wrapText="false" indent="0" shrinkToFit="false"/>
      <protection locked="true" hidden="false"/>
    </xf>
    <xf numFmtId="164" fontId="8" fillId="15" borderId="0" xfId="0" applyFont="true" applyBorder="false" applyAlignment="true" applyProtection="true">
      <alignment horizontal="left" vertical="bottom" textRotation="0" wrapText="false" indent="0" shrinkToFit="false"/>
      <protection locked="true" hidden="false"/>
    </xf>
    <xf numFmtId="164" fontId="8" fillId="16" borderId="0" xfId="0" applyFont="true" applyBorder="false" applyAlignment="true" applyProtection="true">
      <alignment horizontal="right" vertical="bottom" textRotation="0" wrapText="false" indent="0" shrinkToFit="false"/>
      <protection locked="true" hidden="false"/>
    </xf>
    <xf numFmtId="164" fontId="8" fillId="16" borderId="0" xfId="0" applyFont="true" applyBorder="false" applyAlignment="true" applyProtection="true">
      <alignment horizontal="left" vertical="bottom" textRotation="0" wrapText="false" indent="0" shrinkToFit="false"/>
      <protection locked="true" hidden="false"/>
    </xf>
    <xf numFmtId="164" fontId="8" fillId="17" borderId="0" xfId="0" applyFont="true" applyBorder="false" applyAlignment="true" applyProtection="true">
      <alignment horizontal="right" vertical="bottom" textRotation="0" wrapText="false" indent="0" shrinkToFit="false"/>
      <protection locked="true" hidden="false"/>
    </xf>
    <xf numFmtId="164" fontId="8" fillId="17" borderId="0" xfId="0" applyFont="true" applyBorder="false" applyAlignment="true" applyProtection="true">
      <alignment horizontal="left" vertical="bottom" textRotation="0" wrapText="false" indent="0" shrinkToFit="false"/>
      <protection locked="true" hidden="false"/>
    </xf>
    <xf numFmtId="164" fontId="8" fillId="18" borderId="0" xfId="0" applyFont="true" applyBorder="false" applyAlignment="true" applyProtection="true">
      <alignment horizontal="right" vertical="bottom" textRotation="0" wrapText="false" indent="0" shrinkToFit="false"/>
      <protection locked="true" hidden="false"/>
    </xf>
    <xf numFmtId="164" fontId="8" fillId="18" borderId="0" xfId="0" applyFont="true" applyBorder="false" applyAlignment="true" applyProtection="true">
      <alignment horizontal="left" vertical="bottom" textRotation="0" wrapText="false" indent="0" shrinkToFit="false"/>
      <protection locked="true" hidden="false"/>
    </xf>
    <xf numFmtId="164" fontId="8" fillId="19" borderId="0" xfId="0" applyFont="true" applyBorder="false" applyAlignment="true" applyProtection="true">
      <alignment horizontal="right" vertical="bottom" textRotation="0" wrapText="false" indent="0" shrinkToFit="false"/>
      <protection locked="true" hidden="false"/>
    </xf>
    <xf numFmtId="164" fontId="8" fillId="19"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left" vertical="bottom" textRotation="0" wrapText="tru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justify" vertical="bottom" textRotation="0" wrapText="false" indent="0" shrinkToFit="false"/>
      <protection locked="true" hidden="false"/>
    </xf>
    <xf numFmtId="169" fontId="8" fillId="0" borderId="0" xfId="0" applyFont="true" applyBorder="false" applyAlignment="true" applyProtection="true">
      <alignment horizontal="general" vertical="bottom" textRotation="0" wrapText="false" indent="0" shrinkToFit="false"/>
      <protection locked="true" hidden="false"/>
    </xf>
    <xf numFmtId="169" fontId="8" fillId="0" borderId="0" xfId="0" applyFont="true" applyBorder="false" applyAlignment="true" applyProtection="true">
      <alignment horizontal="justify" vertical="bottom" textRotation="0" wrapText="false" indent="0" shrinkToFit="false"/>
      <protection locked="true" hidden="false"/>
    </xf>
    <xf numFmtId="167" fontId="10" fillId="0" borderId="0" xfId="0" applyFont="true" applyBorder="true" applyAlignment="true" applyProtection="true">
      <alignment horizontal="left" vertical="bottom" textRotation="0" wrapText="fals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9" fontId="7" fillId="0" borderId="0" xfId="0" applyFont="true" applyBorder="true" applyAlignment="true" applyProtection="true">
      <alignment horizontal="left"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70" fontId="8" fillId="0" borderId="0" xfId="0" applyFont="true" applyBorder="false" applyAlignment="true" applyProtection="true">
      <alignment horizontal="general" vertical="bottom" textRotation="0" wrapText="false" indent="0" shrinkToFit="false"/>
      <protection locked="true" hidden="false"/>
    </xf>
    <xf numFmtId="171" fontId="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right" vertical="bottom" textRotation="0" wrapText="false" indent="0" shrinkToFit="false"/>
      <protection locked="true" hidden="false"/>
    </xf>
    <xf numFmtId="164" fontId="11" fillId="0" borderId="0" xfId="0" applyFont="true" applyBorder="false" applyAlignment="true" applyProtection="true">
      <alignment horizontal="left"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right" vertical="bottom"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8" fontId="8" fillId="0" borderId="0" xfId="0" applyFont="true" applyBorder="false" applyAlignment="true" applyProtection="true">
      <alignment horizontal="center" vertical="bottom" textRotation="0" wrapText="false" indent="0" shrinkToFit="false"/>
      <protection locked="true" hidden="false"/>
    </xf>
    <xf numFmtId="173"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8" fontId="0"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9" fontId="8" fillId="0" borderId="0" xfId="0" applyFont="true" applyBorder="false" applyAlignment="true" applyProtection="true">
      <alignment horizontal="center"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true" indent="0" shrinkToFit="false"/>
      <protection locked="true" hidden="false"/>
    </xf>
    <xf numFmtId="171" fontId="8"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righ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right" vertical="bottom" textRotation="0" wrapText="true" indent="0" shrinkToFit="false"/>
      <protection locked="true" hidden="false"/>
    </xf>
    <xf numFmtId="174" fontId="8" fillId="0" borderId="0" xfId="0" applyFont="true" applyBorder="false" applyAlignment="true" applyProtection="true">
      <alignment horizontal="center" vertical="bottom" textRotation="0" wrapText="true" indent="0" shrinkToFit="false"/>
      <protection locked="true" hidden="false"/>
    </xf>
    <xf numFmtId="174" fontId="0" fillId="0" borderId="0" xfId="0" applyFont="true" applyBorder="false" applyAlignment="true" applyProtection="true">
      <alignment horizontal="center" vertical="bottom" textRotation="0" wrapText="tru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Background" xfId="20"/>
    <cellStyle name="Card" xfId="21"/>
    <cellStyle name="Card B" xfId="22"/>
    <cellStyle name="Card BL" xfId="23"/>
    <cellStyle name="Card BR" xfId="24"/>
    <cellStyle name="Card L" xfId="25"/>
    <cellStyle name="Card R" xfId="26"/>
    <cellStyle name="Card T" xfId="27"/>
    <cellStyle name="Card TL" xfId="28"/>
    <cellStyle name="Card TR" xfId="29"/>
    <cellStyle name="Column Header" xfId="30"/>
    <cellStyle name="Input" xfId="31"/>
    <cellStyle name="Result2" xfId="32"/>
  </cellStyles>
  <colors>
    <indexedColors>
      <rgbColor rgb="FF000000"/>
      <rgbColor rgb="FFFFFFFF"/>
      <rgbColor rgb="FFFF0000"/>
      <rgbColor rgb="FF00FF00"/>
      <rgbColor rgb="FF0000FF"/>
      <rgbColor rgb="FFFFFF00"/>
      <rgbColor rgb="FFFF00FF"/>
      <rgbColor rgb="FF00FFFF"/>
      <rgbColor rgb="FF800000"/>
      <rgbColor rgb="FF00A933"/>
      <rgbColor rgb="FF000080"/>
      <rgbColor rgb="FF808000"/>
      <rgbColor rgb="FF800080"/>
      <rgbColor rgb="FF158466"/>
      <rgbColor rgb="FFC0C0C0"/>
      <rgbColor rgb="FF808080"/>
      <rgbColor rgb="FF9999FF"/>
      <rgbColor rgb="FFFF420E"/>
      <rgbColor rgb="FFFFFFCC"/>
      <rgbColor rgb="FFCCFFFF"/>
      <rgbColor rgb="FF660066"/>
      <rgbColor rgb="FFFF8000"/>
      <rgbColor rgb="FF2A6099"/>
      <rgbColor rgb="FFCCCCCC"/>
      <rgbColor rgb="FF000080"/>
      <rgbColor rgb="FFFF00FF"/>
      <rgbColor rgb="FFE6E905"/>
      <rgbColor rgb="FF00FFFF"/>
      <rgbColor rgb="FFBF0041"/>
      <rgbColor rgb="FF800000"/>
      <rgbColor rgb="FF008080"/>
      <rgbColor rgb="FF0000FF"/>
      <rgbColor rgb="FF00CCFF"/>
      <rgbColor rgb="FFCCFFFF"/>
      <rgbColor rgb="FFCCFFCC"/>
      <rgbColor rgb="FFFFBF00"/>
      <rgbColor rgb="FFB3B3B3"/>
      <rgbColor rgb="FFFF99CC"/>
      <rgbColor rgb="FFCC99FF"/>
      <rgbColor rgb="FFFFD320"/>
      <rgbColor rgb="FF3366FF"/>
      <rgbColor rgb="FF33CCCC"/>
      <rgbColor rgb="FF81D41A"/>
      <rgbColor rgb="FFFFCC00"/>
      <rgbColor rgb="FFE8A202"/>
      <rgbColor rgb="FFEA7500"/>
      <rgbColor rgb="FF666666"/>
      <rgbColor rgb="FF999999"/>
      <rgbColor rgb="FF004586"/>
      <rgbColor rgb="FF579D1C"/>
      <rgbColor rgb="FF003300"/>
      <rgbColor rgb="FF333300"/>
      <rgbColor rgb="FFFF4000"/>
      <rgbColor rgb="FFFF5429"/>
      <rgbColor rgb="FF55308D"/>
      <rgbColor rgb="FF1C1C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Total Nonfarm Payroll Employment</a:t>
            </a:r>
          </a:p>
        </c:rich>
      </c:tx>
      <c:layout>
        <c:manualLayout>
          <c:xMode val="edge"/>
          <c:yMode val="edge"/>
          <c:x val="0.2759232254759"/>
          <c:y val="0.0106595110903227"/>
        </c:manualLayout>
      </c:layout>
      <c:overlay val="0"/>
      <c:spPr>
        <a:noFill/>
        <a:ln w="0">
          <a:noFill/>
        </a:ln>
      </c:spPr>
    </c:title>
    <c:autoTitleDeleted val="0"/>
    <c:plotArea>
      <c:layout>
        <c:manualLayout>
          <c:layoutTarget val="inner"/>
          <c:xMode val="edge"/>
          <c:yMode val="edge"/>
          <c:x val="0.249990147006661"/>
          <c:y val="0.0844144654242879"/>
          <c:w val="0.649627556851772"/>
          <c:h val="0.852539326949115"/>
        </c:manualLayout>
      </c:layout>
      <c:barChart>
        <c:barDir val="bar"/>
        <c:grouping val="clustered"/>
        <c:varyColors val="0"/>
        <c:ser>
          <c:idx val="0"/>
          <c:order val="0"/>
          <c:tx>
            <c:strRef>
              <c:f>TNPE!$C$3</c:f>
              <c:strCache>
                <c:ptCount val="1"/>
                <c:pt idx="0">
                  <c:v>Overall TNPE</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TNPE!$C$5:$C$27</c:f>
              <c:numCache>
                <c:formatCode>General</c:formatCode>
                <c:ptCount val="23"/>
                <c:pt idx="0">
                  <c:v>33500</c:v>
                </c:pt>
                <c:pt idx="1">
                  <c:v>4800</c:v>
                </c:pt>
                <c:pt idx="2">
                  <c:v>7100</c:v>
                </c:pt>
                <c:pt idx="3">
                  <c:v>56600</c:v>
                </c:pt>
                <c:pt idx="4">
                  <c:v>47009</c:v>
                </c:pt>
                <c:pt idx="5">
                  <c:v>41636</c:v>
                </c:pt>
                <c:pt idx="6">
                  <c:v>85958</c:v>
                </c:pt>
                <c:pt idx="7">
                  <c:v>37607</c:v>
                </c:pt>
                <c:pt idx="8">
                  <c:v>32234</c:v>
                </c:pt>
                <c:pt idx="9">
                  <c:v>104762</c:v>
                </c:pt>
                <c:pt idx="10">
                  <c:v>57753</c:v>
                </c:pt>
                <c:pt idx="11">
                  <c:v>34921</c:v>
                </c:pt>
                <c:pt idx="12">
                  <c:v>20147</c:v>
                </c:pt>
                <c:pt idx="13">
                  <c:v>48352</c:v>
                </c:pt>
                <c:pt idx="14">
                  <c:v>24176</c:v>
                </c:pt>
                <c:pt idx="15">
                  <c:v>72527</c:v>
                </c:pt>
                <c:pt idx="16">
                  <c:v>81929</c:v>
                </c:pt>
                <c:pt idx="17">
                  <c:v>122222</c:v>
                </c:pt>
                <c:pt idx="18">
                  <c:v>171917</c:v>
                </c:pt>
                <c:pt idx="19">
                  <c:v>24176</c:v>
                </c:pt>
                <c:pt idx="20">
                  <c:v>98046</c:v>
                </c:pt>
                <c:pt idx="21">
                  <c:v>52381</c:v>
                </c:pt>
                <c:pt idx="22">
                  <c:v>76557</c:v>
                </c:pt>
              </c:numCache>
            </c:numRef>
          </c:val>
        </c:ser>
        <c:ser>
          <c:idx val="1"/>
          <c:order val="1"/>
          <c:tx>
            <c:strRef>
              <c:f>TNPE!$D$3</c:f>
              <c:strCache>
                <c:ptCount val="1"/>
                <c:pt idx="0">
                  <c:v>Authorized TNPE</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TNPE!$D$5:$D$27</c:f>
              <c:numCache>
                <c:formatCode>General</c:formatCode>
                <c:ptCount val="23"/>
                <c:pt idx="0">
                  <c:v>1240</c:v>
                </c:pt>
                <c:pt idx="1">
                  <c:v>178</c:v>
                </c:pt>
                <c:pt idx="2">
                  <c:v>263</c:v>
                </c:pt>
                <c:pt idx="3">
                  <c:v>2094</c:v>
                </c:pt>
                <c:pt idx="4">
                  <c:v>1034</c:v>
                </c:pt>
                <c:pt idx="5">
                  <c:v>916</c:v>
                </c:pt>
                <c:pt idx="6">
                  <c:v>1891</c:v>
                </c:pt>
                <c:pt idx="7">
                  <c:v>827</c:v>
                </c:pt>
                <c:pt idx="8">
                  <c:v>709</c:v>
                </c:pt>
                <c:pt idx="9">
                  <c:v>2305</c:v>
                </c:pt>
                <c:pt idx="10">
                  <c:v>1271</c:v>
                </c:pt>
                <c:pt idx="11">
                  <c:v>768</c:v>
                </c:pt>
                <c:pt idx="12">
                  <c:v>443</c:v>
                </c:pt>
                <c:pt idx="13">
                  <c:v>1064</c:v>
                </c:pt>
                <c:pt idx="14">
                  <c:v>532</c:v>
                </c:pt>
                <c:pt idx="15">
                  <c:v>1596</c:v>
                </c:pt>
                <c:pt idx="16">
                  <c:v>1802</c:v>
                </c:pt>
                <c:pt idx="17">
                  <c:v>2689</c:v>
                </c:pt>
                <c:pt idx="18">
                  <c:v>3782</c:v>
                </c:pt>
                <c:pt idx="19">
                  <c:v>532</c:v>
                </c:pt>
                <c:pt idx="20">
                  <c:v>2157</c:v>
                </c:pt>
                <c:pt idx="21">
                  <c:v>1152</c:v>
                </c:pt>
                <c:pt idx="22">
                  <c:v>1684</c:v>
                </c:pt>
              </c:numCache>
            </c:numRef>
          </c:val>
        </c:ser>
        <c:ser>
          <c:idx val="2"/>
          <c:order val="2"/>
          <c:tx>
            <c:strRef>
              <c:f>TNPE!$E$3</c:f>
              <c:strCache>
                <c:ptCount val="1"/>
                <c:pt idx="0">
                  <c:v>Unauthorized TNPE</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TNPE!$E$5:$E$27</c:f>
              <c:numCache>
                <c:formatCode>General</c:formatCode>
                <c:ptCount val="23"/>
                <c:pt idx="0">
                  <c:v>884</c:v>
                </c:pt>
                <c:pt idx="1">
                  <c:v>106</c:v>
                </c:pt>
                <c:pt idx="2">
                  <c:v>156</c:v>
                </c:pt>
                <c:pt idx="3">
                  <c:v>1681</c:v>
                </c:pt>
                <c:pt idx="4">
                  <c:v>3761</c:v>
                </c:pt>
                <c:pt idx="5">
                  <c:v>1499</c:v>
                </c:pt>
                <c:pt idx="6">
                  <c:v>3094</c:v>
                </c:pt>
                <c:pt idx="7">
                  <c:v>1354</c:v>
                </c:pt>
                <c:pt idx="8">
                  <c:v>1160</c:v>
                </c:pt>
                <c:pt idx="9">
                  <c:v>8381</c:v>
                </c:pt>
                <c:pt idx="10">
                  <c:v>2079</c:v>
                </c:pt>
                <c:pt idx="11">
                  <c:v>1257</c:v>
                </c:pt>
                <c:pt idx="12">
                  <c:v>726</c:v>
                </c:pt>
                <c:pt idx="13">
                  <c:v>1741</c:v>
                </c:pt>
                <c:pt idx="14">
                  <c:v>870</c:v>
                </c:pt>
                <c:pt idx="15">
                  <c:v>2611</c:v>
                </c:pt>
                <c:pt idx="16">
                  <c:v>6554</c:v>
                </c:pt>
                <c:pt idx="17">
                  <c:v>4400</c:v>
                </c:pt>
                <c:pt idx="18">
                  <c:v>6189</c:v>
                </c:pt>
                <c:pt idx="19">
                  <c:v>870</c:v>
                </c:pt>
                <c:pt idx="20">
                  <c:v>7844</c:v>
                </c:pt>
                <c:pt idx="21">
                  <c:v>4190</c:v>
                </c:pt>
                <c:pt idx="22">
                  <c:v>2756</c:v>
                </c:pt>
              </c:numCache>
            </c:numRef>
          </c:val>
        </c:ser>
        <c:ser>
          <c:idx val="3"/>
          <c:order val="3"/>
          <c:tx>
            <c:strRef>
              <c:f>TNPE!$F$3</c:f>
              <c:strCache>
                <c:ptCount val="1"/>
                <c:pt idx="0">
                  <c:v>American TNPE</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TNPE!$B$5:$B$27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TNPE!$F$5:$F$27</c:f>
              <c:numCache>
                <c:formatCode>General</c:formatCode>
                <c:ptCount val="23"/>
                <c:pt idx="0">
                  <c:v>31376</c:v>
                </c:pt>
                <c:pt idx="1">
                  <c:v>4516</c:v>
                </c:pt>
                <c:pt idx="2">
                  <c:v>6681</c:v>
                </c:pt>
                <c:pt idx="3">
                  <c:v>52825</c:v>
                </c:pt>
                <c:pt idx="4">
                  <c:v>42214</c:v>
                </c:pt>
                <c:pt idx="5">
                  <c:v>39221</c:v>
                </c:pt>
                <c:pt idx="6">
                  <c:v>80973</c:v>
                </c:pt>
                <c:pt idx="7">
                  <c:v>35426</c:v>
                </c:pt>
                <c:pt idx="8">
                  <c:v>30365</c:v>
                </c:pt>
                <c:pt idx="9">
                  <c:v>94076</c:v>
                </c:pt>
                <c:pt idx="10">
                  <c:v>54403</c:v>
                </c:pt>
                <c:pt idx="11">
                  <c:v>32896</c:v>
                </c:pt>
                <c:pt idx="12">
                  <c:v>18978</c:v>
                </c:pt>
                <c:pt idx="13">
                  <c:v>45547</c:v>
                </c:pt>
                <c:pt idx="14">
                  <c:v>22774</c:v>
                </c:pt>
                <c:pt idx="15">
                  <c:v>68320</c:v>
                </c:pt>
                <c:pt idx="16">
                  <c:v>73573</c:v>
                </c:pt>
                <c:pt idx="17">
                  <c:v>115133</c:v>
                </c:pt>
                <c:pt idx="18">
                  <c:v>161946</c:v>
                </c:pt>
                <c:pt idx="19">
                  <c:v>22774</c:v>
                </c:pt>
                <c:pt idx="20">
                  <c:v>88045</c:v>
                </c:pt>
                <c:pt idx="21">
                  <c:v>47039</c:v>
                </c:pt>
                <c:pt idx="22">
                  <c:v>72117</c:v>
                </c:pt>
              </c:numCache>
            </c:numRef>
          </c:val>
        </c:ser>
        <c:gapWidth val="100"/>
        <c:overlap val="0"/>
        <c:axId val="22229199"/>
        <c:axId val="81225695"/>
      </c:barChart>
      <c:catAx>
        <c:axId val="2222919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548141725456"/>
              <c:y val="0.477093129169641"/>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1225695"/>
        <c:crosses val="autoZero"/>
        <c:auto val="1"/>
        <c:lblAlgn val="ctr"/>
        <c:lblOffset val="100"/>
        <c:noMultiLvlLbl val="0"/>
      </c:catAx>
      <c:valAx>
        <c:axId val="81225695"/>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Total Nonfarm Payroll Employment</a:t>
                </a:r>
              </a:p>
            </c:rich>
          </c:tx>
          <c:layout>
            <c:manualLayout>
              <c:xMode val="edge"/>
              <c:yMode val="edge"/>
              <c:x val="0.430063453277106"/>
              <c:y val="0.968710765367667"/>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2229199"/>
        <c:crosses val="max"/>
        <c:crossBetween val="midCat"/>
      </c:valAx>
      <c:spPr>
        <a:noFill/>
        <a:ln w="0">
          <a:solidFill>
            <a:srgbClr val="b3b3b3"/>
          </a:solidFill>
        </a:ln>
      </c:spPr>
    </c:plotArea>
    <c:legend>
      <c:legendPos val="r"/>
      <c:layout>
        <c:manualLayout>
          <c:xMode val="edge"/>
          <c:yMode val="edge"/>
          <c:x val="0.106146572104019"/>
          <c:y val="0.0417446096288274"/>
          <c:w val="0.784979707632294"/>
          <c:h val="0.0248849287419696"/>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Population</a:t>
            </a:r>
          </a:p>
        </c:rich>
      </c:tx>
      <c:layout>
        <c:manualLayout>
          <c:xMode val="edge"/>
          <c:yMode val="edge"/>
          <c:x val="0.275163553243478"/>
          <c:y val="0.0106595110903227"/>
        </c:manualLayout>
      </c:layout>
      <c:overlay val="0"/>
      <c:spPr>
        <a:noFill/>
        <a:ln w="0">
          <a:noFill/>
        </a:ln>
      </c:spPr>
    </c:title>
    <c:autoTitleDeleted val="0"/>
    <c:plotArea>
      <c:layout>
        <c:manualLayout>
          <c:layoutTarget val="inner"/>
          <c:xMode val="edge"/>
          <c:yMode val="edge"/>
          <c:x val="0.249980294789942"/>
          <c:y val="0.0844144654242879"/>
          <c:w val="0.649641365176953"/>
          <c:h val="0.852539326949115"/>
        </c:manualLayout>
      </c:layout>
      <c:barChart>
        <c:barDir val="bar"/>
        <c:grouping val="clustered"/>
        <c:varyColors val="0"/>
        <c:ser>
          <c:idx val="0"/>
          <c:order val="0"/>
          <c:tx>
            <c:strRef>
              <c:f>LFP!$C$3</c:f>
              <c:strCache>
                <c:ptCount val="1"/>
                <c:pt idx="0">
                  <c:v>Overall LFP</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LFP!$C$5:$C$27</c:f>
              <c:numCache>
                <c:formatCode>General</c:formatCode>
                <c:ptCount val="23"/>
                <c:pt idx="0">
                  <c:v>38000</c:v>
                </c:pt>
                <c:pt idx="1">
                  <c:v>14000</c:v>
                </c:pt>
                <c:pt idx="2">
                  <c:v>28000</c:v>
                </c:pt>
                <c:pt idx="3">
                  <c:v>135000</c:v>
                </c:pt>
                <c:pt idx="4">
                  <c:v>70700</c:v>
                </c:pt>
                <c:pt idx="5">
                  <c:v>58000</c:v>
                </c:pt>
                <c:pt idx="6">
                  <c:v>120000</c:v>
                </c:pt>
                <c:pt idx="7">
                  <c:v>49500</c:v>
                </c:pt>
                <c:pt idx="8">
                  <c:v>39900</c:v>
                </c:pt>
                <c:pt idx="9">
                  <c:v>129800</c:v>
                </c:pt>
                <c:pt idx="10">
                  <c:v>75500</c:v>
                </c:pt>
                <c:pt idx="11">
                  <c:v>50000</c:v>
                </c:pt>
                <c:pt idx="12">
                  <c:v>28000</c:v>
                </c:pt>
                <c:pt idx="13">
                  <c:v>60800</c:v>
                </c:pt>
                <c:pt idx="14">
                  <c:v>30400</c:v>
                </c:pt>
                <c:pt idx="15">
                  <c:v>91200</c:v>
                </c:pt>
                <c:pt idx="16">
                  <c:v>123000</c:v>
                </c:pt>
                <c:pt idx="17">
                  <c:v>152000</c:v>
                </c:pt>
                <c:pt idx="18">
                  <c:v>213800</c:v>
                </c:pt>
                <c:pt idx="19">
                  <c:v>30400</c:v>
                </c:pt>
                <c:pt idx="20">
                  <c:v>124500</c:v>
                </c:pt>
                <c:pt idx="21">
                  <c:v>66500</c:v>
                </c:pt>
                <c:pt idx="22">
                  <c:v>95000</c:v>
                </c:pt>
              </c:numCache>
            </c:numRef>
          </c:val>
        </c:ser>
        <c:ser>
          <c:idx val="1"/>
          <c:order val="1"/>
          <c:tx>
            <c:strRef>
              <c:f>LFP!$D$3</c:f>
              <c:strCache>
                <c:ptCount val="1"/>
                <c:pt idx="0">
                  <c:v>Authorized LFP</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LFP!$D$5:$D$27</c:f>
              <c:numCache>
                <c:formatCode>General</c:formatCode>
                <c:ptCount val="23"/>
                <c:pt idx="0">
                  <c:v>152</c:v>
                </c:pt>
                <c:pt idx="1">
                  <c:v>196</c:v>
                </c:pt>
                <c:pt idx="2">
                  <c:v>560</c:v>
                </c:pt>
                <c:pt idx="3">
                  <c:v>4590</c:v>
                </c:pt>
                <c:pt idx="4">
                  <c:v>1555</c:v>
                </c:pt>
                <c:pt idx="5">
                  <c:v>1276</c:v>
                </c:pt>
                <c:pt idx="6">
                  <c:v>2640</c:v>
                </c:pt>
                <c:pt idx="7">
                  <c:v>1089</c:v>
                </c:pt>
                <c:pt idx="8">
                  <c:v>878</c:v>
                </c:pt>
                <c:pt idx="9">
                  <c:v>2856</c:v>
                </c:pt>
                <c:pt idx="10">
                  <c:v>1661</c:v>
                </c:pt>
                <c:pt idx="11">
                  <c:v>1100</c:v>
                </c:pt>
                <c:pt idx="12">
                  <c:v>616</c:v>
                </c:pt>
                <c:pt idx="13">
                  <c:v>1338</c:v>
                </c:pt>
                <c:pt idx="14">
                  <c:v>669</c:v>
                </c:pt>
                <c:pt idx="15">
                  <c:v>2006</c:v>
                </c:pt>
                <c:pt idx="16">
                  <c:v>2706</c:v>
                </c:pt>
                <c:pt idx="17">
                  <c:v>3344</c:v>
                </c:pt>
                <c:pt idx="18">
                  <c:v>4704</c:v>
                </c:pt>
                <c:pt idx="19">
                  <c:v>669</c:v>
                </c:pt>
                <c:pt idx="20">
                  <c:v>2739</c:v>
                </c:pt>
                <c:pt idx="21">
                  <c:v>1463</c:v>
                </c:pt>
                <c:pt idx="22">
                  <c:v>2090</c:v>
                </c:pt>
              </c:numCache>
            </c:numRef>
          </c:val>
        </c:ser>
        <c:ser>
          <c:idx val="2"/>
          <c:order val="2"/>
          <c:tx>
            <c:strRef>
              <c:f>LFP!$E$3</c:f>
              <c:strCache>
                <c:ptCount val="1"/>
                <c:pt idx="0">
                  <c:v>Unauthorized LFP</c:v>
                </c:pt>
              </c:strCache>
            </c:strRef>
          </c:tx>
          <c:spPr>
            <a:solidFill>
              <a:srgbClr val="ffd320"/>
            </a:solidFill>
            <a:ln w="0">
              <a:noFill/>
            </a:ln>
          </c:spPr>
          <c:invertIfNegative val="0"/>
          <c:dLbls>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LFP!$E$5:$E$27</c:f>
              <c:numCache>
                <c:formatCode>General</c:formatCode>
                <c:ptCount val="23"/>
                <c:pt idx="0">
                  <c:v>5320</c:v>
                </c:pt>
                <c:pt idx="1">
                  <c:v>560</c:v>
                </c:pt>
                <c:pt idx="2">
                  <c:v>224</c:v>
                </c:pt>
                <c:pt idx="3">
                  <c:v>13770</c:v>
                </c:pt>
                <c:pt idx="4">
                  <c:v>5656</c:v>
                </c:pt>
                <c:pt idx="5">
                  <c:v>2088</c:v>
                </c:pt>
                <c:pt idx="6">
                  <c:v>4320</c:v>
                </c:pt>
                <c:pt idx="7">
                  <c:v>1782</c:v>
                </c:pt>
                <c:pt idx="8">
                  <c:v>1436</c:v>
                </c:pt>
                <c:pt idx="9">
                  <c:v>10384</c:v>
                </c:pt>
                <c:pt idx="10">
                  <c:v>2719</c:v>
                </c:pt>
                <c:pt idx="11">
                  <c:v>1800</c:v>
                </c:pt>
                <c:pt idx="12">
                  <c:v>1008</c:v>
                </c:pt>
                <c:pt idx="13">
                  <c:v>2190</c:v>
                </c:pt>
                <c:pt idx="14">
                  <c:v>1094</c:v>
                </c:pt>
                <c:pt idx="15">
                  <c:v>3283</c:v>
                </c:pt>
                <c:pt idx="16">
                  <c:v>9846</c:v>
                </c:pt>
                <c:pt idx="17">
                  <c:v>5472</c:v>
                </c:pt>
                <c:pt idx="18">
                  <c:v>7697</c:v>
                </c:pt>
                <c:pt idx="19">
                  <c:v>1094</c:v>
                </c:pt>
                <c:pt idx="20">
                  <c:v>9950</c:v>
                </c:pt>
                <c:pt idx="21">
                  <c:v>5320</c:v>
                </c:pt>
                <c:pt idx="22">
                  <c:v>3420</c:v>
                </c:pt>
              </c:numCache>
            </c:numRef>
          </c:val>
        </c:ser>
        <c:ser>
          <c:idx val="3"/>
          <c:order val="3"/>
          <c:tx>
            <c:strRef>
              <c:f>LFP!$F$3</c:f>
              <c:strCache>
                <c:ptCount val="1"/>
                <c:pt idx="0">
                  <c:v>American LFP</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LFP!$F$5:$F$27</c:f>
              <c:numCache>
                <c:formatCode>General</c:formatCode>
                <c:ptCount val="23"/>
                <c:pt idx="0">
                  <c:v>32528</c:v>
                </c:pt>
                <c:pt idx="1">
                  <c:v>13244</c:v>
                </c:pt>
                <c:pt idx="2">
                  <c:v>27216</c:v>
                </c:pt>
                <c:pt idx="3">
                  <c:v>116640</c:v>
                </c:pt>
                <c:pt idx="4">
                  <c:v>63489</c:v>
                </c:pt>
                <c:pt idx="5">
                  <c:v>54636</c:v>
                </c:pt>
                <c:pt idx="6">
                  <c:v>113040</c:v>
                </c:pt>
                <c:pt idx="7">
                  <c:v>46629</c:v>
                </c:pt>
                <c:pt idx="8">
                  <c:v>37586</c:v>
                </c:pt>
                <c:pt idx="9">
                  <c:v>116560</c:v>
                </c:pt>
                <c:pt idx="10">
                  <c:v>71120</c:v>
                </c:pt>
                <c:pt idx="11">
                  <c:v>47100</c:v>
                </c:pt>
                <c:pt idx="12">
                  <c:v>26376</c:v>
                </c:pt>
                <c:pt idx="13">
                  <c:v>57272</c:v>
                </c:pt>
                <c:pt idx="14">
                  <c:v>28637</c:v>
                </c:pt>
                <c:pt idx="15">
                  <c:v>85911</c:v>
                </c:pt>
                <c:pt idx="16">
                  <c:v>110448</c:v>
                </c:pt>
                <c:pt idx="17">
                  <c:v>143184</c:v>
                </c:pt>
                <c:pt idx="18">
                  <c:v>201399</c:v>
                </c:pt>
                <c:pt idx="19">
                  <c:v>28637</c:v>
                </c:pt>
                <c:pt idx="20">
                  <c:v>111811</c:v>
                </c:pt>
                <c:pt idx="21">
                  <c:v>59717</c:v>
                </c:pt>
                <c:pt idx="22">
                  <c:v>89490</c:v>
                </c:pt>
              </c:numCache>
            </c:numRef>
          </c:val>
        </c:ser>
        <c:gapWidth val="100"/>
        <c:overlap val="0"/>
        <c:axId val="22207012"/>
        <c:axId val="13223988"/>
      </c:barChart>
      <c:catAx>
        <c:axId val="2220701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540080397257"/>
              <c:y val="0.47721621821225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3223988"/>
        <c:crosses val="autoZero"/>
        <c:auto val="1"/>
        <c:lblAlgn val="ctr"/>
        <c:lblOffset val="100"/>
        <c:noMultiLvlLbl val="0"/>
      </c:catAx>
      <c:valAx>
        <c:axId val="13223988"/>
        <c:scaling>
          <c:orientation val="minMax"/>
          <c:max val="250000"/>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Population</a:t>
                </a:r>
              </a:p>
            </c:rich>
          </c:tx>
          <c:layout>
            <c:manualLayout>
              <c:xMode val="edge"/>
              <c:yMode val="edge"/>
              <c:x val="0.430046504295736"/>
              <c:y val="0.968710765367667"/>
            </c:manualLayout>
          </c:layout>
          <c:overlay val="0"/>
          <c:spPr>
            <a:noFill/>
            <a:ln w="0">
              <a:noFill/>
            </a:ln>
          </c:spPr>
        </c:title>
        <c:numFmt formatCode="#,##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2207012"/>
        <c:crosses val="max"/>
        <c:crossBetween val="midCat"/>
      </c:valAx>
      <c:spPr>
        <a:noFill/>
        <a:ln w="0">
          <a:solidFill>
            <a:srgbClr val="b3b3b3"/>
          </a:solidFill>
        </a:ln>
      </c:spPr>
    </c:plotArea>
    <c:legend>
      <c:legendPos val="r"/>
      <c:layout>
        <c:manualLayout>
          <c:xMode val="edge"/>
          <c:yMode val="edge"/>
          <c:x val="0.106191901685836"/>
          <c:y val="0.0418112464624093"/>
          <c:w val="0.784968684759917"/>
          <c:h val="0.024954471624747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Labor Force Participation Rate</a:t>
            </a:r>
          </a:p>
        </c:rich>
      </c:tx>
      <c:layout>
        <c:manualLayout>
          <c:xMode val="edge"/>
          <c:yMode val="edge"/>
          <c:x val="0.270750443175103"/>
          <c:y val="0.0105112867094995"/>
        </c:manualLayout>
      </c:layout>
      <c:overlay val="0"/>
      <c:spPr>
        <a:noFill/>
        <a:ln w="0">
          <a:noFill/>
        </a:ln>
      </c:spPr>
    </c:title>
    <c:autoTitleDeleted val="0"/>
    <c:plotArea>
      <c:layout>
        <c:manualLayout>
          <c:layoutTarget val="inner"/>
          <c:xMode val="edge"/>
          <c:yMode val="edge"/>
          <c:x val="0.249990151664369"/>
          <c:y val="0.0844103094306181"/>
          <c:w val="0.649714398266693"/>
          <c:h val="0.852595820101913"/>
        </c:manualLayout>
      </c:layout>
      <c:barChart>
        <c:barDir val="bar"/>
        <c:grouping val="clustered"/>
        <c:varyColors val="0"/>
        <c:ser>
          <c:idx val="0"/>
          <c:order val="0"/>
          <c:tx>
            <c:strRef>
              <c:f>LFPR!$C$3</c:f>
              <c:strCache>
                <c:ptCount val="1"/>
                <c:pt idx="0">
                  <c:v>Overall LFPR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1"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LFPR!$C$5:$C$27</c:f>
              <c:numCache>
                <c:formatCode>General</c:formatCode>
                <c:ptCount val="23"/>
                <c:pt idx="0">
                  <c:v>0.545</c:v>
                </c:pt>
                <c:pt idx="1">
                  <c:v>0.585</c:v>
                </c:pt>
                <c:pt idx="2">
                  <c:v>0.575</c:v>
                </c:pt>
                <c:pt idx="3">
                  <c:v>0.565</c:v>
                </c:pt>
                <c:pt idx="4">
                  <c:v>0.57</c:v>
                </c:pt>
                <c:pt idx="5">
                  <c:v>0.56</c:v>
                </c:pt>
                <c:pt idx="6">
                  <c:v>0.58</c:v>
                </c:pt>
                <c:pt idx="7">
                  <c:v>0.55</c:v>
                </c:pt>
                <c:pt idx="8">
                  <c:v>0.54</c:v>
                </c:pt>
                <c:pt idx="9">
                  <c:v>0.58</c:v>
                </c:pt>
                <c:pt idx="10">
                  <c:v>0.57</c:v>
                </c:pt>
                <c:pt idx="11">
                  <c:v>0.56</c:v>
                </c:pt>
                <c:pt idx="12">
                  <c:v>0.55</c:v>
                </c:pt>
                <c:pt idx="13">
                  <c:v>0.59</c:v>
                </c:pt>
                <c:pt idx="14">
                  <c:v>0.58</c:v>
                </c:pt>
                <c:pt idx="15">
                  <c:v>0.6</c:v>
                </c:pt>
                <c:pt idx="16">
                  <c:v>0.56</c:v>
                </c:pt>
                <c:pt idx="17">
                  <c:v>0.59</c:v>
                </c:pt>
                <c:pt idx="18">
                  <c:v>0.61</c:v>
                </c:pt>
                <c:pt idx="19">
                  <c:v>0.58</c:v>
                </c:pt>
                <c:pt idx="20">
                  <c:v>0.57</c:v>
                </c:pt>
                <c:pt idx="21">
                  <c:v>0.56</c:v>
                </c:pt>
                <c:pt idx="22">
                  <c:v>0.62</c:v>
                </c:pt>
              </c:numCache>
            </c:numRef>
          </c:val>
        </c:ser>
        <c:ser>
          <c:idx val="1"/>
          <c:order val="1"/>
          <c:tx>
            <c:strRef>
              <c:f>LFPR!$D$3</c:f>
              <c:strCache>
                <c:ptCount val="1"/>
                <c:pt idx="0">
                  <c:v>Authorized LFPR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LFPR!$D$5:$D$27</c:f>
              <c:numCache>
                <c:formatCode>General</c:formatCode>
                <c:ptCount val="23"/>
                <c:pt idx="0">
                  <c:v>0.4</c:v>
                </c:pt>
                <c:pt idx="1">
                  <c:v>0.415</c:v>
                </c:pt>
                <c:pt idx="2">
                  <c:v>0.41</c:v>
                </c:pt>
                <c:pt idx="3">
                  <c:v>0.405</c:v>
                </c:pt>
                <c:pt idx="4">
                  <c:v>0.405</c:v>
                </c:pt>
                <c:pt idx="5">
                  <c:v>0.4</c:v>
                </c:pt>
                <c:pt idx="6">
                  <c:v>0.415</c:v>
                </c:pt>
                <c:pt idx="7">
                  <c:v>0.395</c:v>
                </c:pt>
                <c:pt idx="8">
                  <c:v>0.39</c:v>
                </c:pt>
                <c:pt idx="9">
                  <c:v>0.415</c:v>
                </c:pt>
                <c:pt idx="10">
                  <c:v>0.41</c:v>
                </c:pt>
                <c:pt idx="11">
                  <c:v>0.4</c:v>
                </c:pt>
                <c:pt idx="12">
                  <c:v>0.395</c:v>
                </c:pt>
                <c:pt idx="13">
                  <c:v>0.42</c:v>
                </c:pt>
                <c:pt idx="14">
                  <c:v>0.415</c:v>
                </c:pt>
                <c:pt idx="15">
                  <c:v>0.43</c:v>
                </c:pt>
                <c:pt idx="16">
                  <c:v>0.4</c:v>
                </c:pt>
                <c:pt idx="17">
                  <c:v>0.42</c:v>
                </c:pt>
                <c:pt idx="18">
                  <c:v>0.435</c:v>
                </c:pt>
                <c:pt idx="19">
                  <c:v>0.415</c:v>
                </c:pt>
                <c:pt idx="20">
                  <c:v>0.41</c:v>
                </c:pt>
                <c:pt idx="21">
                  <c:v>0.4</c:v>
                </c:pt>
                <c:pt idx="22">
                  <c:v>0.44</c:v>
                </c:pt>
              </c:numCache>
            </c:numRef>
          </c:val>
        </c:ser>
        <c:ser>
          <c:idx val="2"/>
          <c:order val="2"/>
          <c:tx>
            <c:strRef>
              <c:f>LFPR!$E$3</c:f>
              <c:strCache>
                <c:ptCount val="1"/>
                <c:pt idx="0">
                  <c:v>Unauthorized LFPR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18"/>
            <c:invertIfNegative val="0"/>
            <c:spPr>
              <a:solidFill>
                <a:srgbClr val="ffd320"/>
              </a:solidFill>
              <a:ln w="0">
                <a:noFill/>
              </a:ln>
            </c:spPr>
          </c:dPt>
          <c:dPt>
            <c:idx val="20"/>
            <c:invertIfNegative val="0"/>
            <c:spPr>
              <a:solidFill>
                <a:srgbClr val="ffd320"/>
              </a:solidFill>
              <a:ln w="0">
                <a:noFill/>
              </a:ln>
            </c:spPr>
          </c:dPt>
          <c:dPt>
            <c:idx val="22"/>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LFPR!$E$5:$E$27</c:f>
              <c:numCache>
                <c:formatCode>General</c:formatCode>
                <c:ptCount val="23"/>
                <c:pt idx="0">
                  <c:v>0.7</c:v>
                </c:pt>
                <c:pt idx="1">
                  <c:v>0.65</c:v>
                </c:pt>
                <c:pt idx="2">
                  <c:v>0.62</c:v>
                </c:pt>
                <c:pt idx="3">
                  <c:v>0.67</c:v>
                </c:pt>
                <c:pt idx="4">
                  <c:v>0.66</c:v>
                </c:pt>
                <c:pt idx="5">
                  <c:v>0.65</c:v>
                </c:pt>
                <c:pt idx="6">
                  <c:v>0.68</c:v>
                </c:pt>
                <c:pt idx="7">
                  <c:v>0.64</c:v>
                </c:pt>
                <c:pt idx="8">
                  <c:v>0.63</c:v>
                </c:pt>
                <c:pt idx="9">
                  <c:v>0.68</c:v>
                </c:pt>
                <c:pt idx="10">
                  <c:v>0.67</c:v>
                </c:pt>
                <c:pt idx="11">
                  <c:v>0.66</c:v>
                </c:pt>
                <c:pt idx="12">
                  <c:v>0.64</c:v>
                </c:pt>
                <c:pt idx="13">
                  <c:v>0.69</c:v>
                </c:pt>
                <c:pt idx="14">
                  <c:v>0.68</c:v>
                </c:pt>
                <c:pt idx="15">
                  <c:v>0.7</c:v>
                </c:pt>
                <c:pt idx="16">
                  <c:v>0.66</c:v>
                </c:pt>
                <c:pt idx="17">
                  <c:v>0.69</c:v>
                </c:pt>
                <c:pt idx="18">
                  <c:v>0.71</c:v>
                </c:pt>
                <c:pt idx="19">
                  <c:v>0.68</c:v>
                </c:pt>
                <c:pt idx="20">
                  <c:v>0.67</c:v>
                </c:pt>
                <c:pt idx="21">
                  <c:v>0.66</c:v>
                </c:pt>
                <c:pt idx="22">
                  <c:v>0.72</c:v>
                </c:pt>
              </c:numCache>
            </c:numRef>
          </c:val>
        </c:ser>
        <c:ser>
          <c:idx val="3"/>
          <c:order val="3"/>
          <c:tx>
            <c:strRef>
              <c:f>LFPR!$F$3</c:f>
              <c:strCache>
                <c:ptCount val="1"/>
                <c:pt idx="0">
                  <c:v>American LFPR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1" u="none" strike="noStrike">
                      <a:solidFill>
                        <a:srgbClr val="ffffff"/>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LFPR!$B$5:$B$27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LFPR!$F$5:$F$27</c:f>
              <c:numCache>
                <c:formatCode>General</c:formatCode>
                <c:ptCount val="23"/>
                <c:pt idx="0">
                  <c:v>0.545</c:v>
                </c:pt>
                <c:pt idx="1">
                  <c:v>0.585</c:v>
                </c:pt>
                <c:pt idx="2">
                  <c:v>0.575</c:v>
                </c:pt>
                <c:pt idx="3">
                  <c:v>0.565</c:v>
                </c:pt>
                <c:pt idx="4">
                  <c:v>0.57</c:v>
                </c:pt>
                <c:pt idx="5">
                  <c:v>0.56</c:v>
                </c:pt>
                <c:pt idx="6">
                  <c:v>0.58</c:v>
                </c:pt>
                <c:pt idx="7">
                  <c:v>0.55</c:v>
                </c:pt>
                <c:pt idx="8">
                  <c:v>0.54</c:v>
                </c:pt>
                <c:pt idx="9">
                  <c:v>0.58</c:v>
                </c:pt>
                <c:pt idx="10">
                  <c:v>0.57</c:v>
                </c:pt>
                <c:pt idx="11">
                  <c:v>0.56</c:v>
                </c:pt>
                <c:pt idx="12">
                  <c:v>0.55</c:v>
                </c:pt>
                <c:pt idx="13">
                  <c:v>0.59</c:v>
                </c:pt>
                <c:pt idx="14">
                  <c:v>0.58</c:v>
                </c:pt>
                <c:pt idx="15">
                  <c:v>0.6</c:v>
                </c:pt>
                <c:pt idx="16">
                  <c:v>0.56</c:v>
                </c:pt>
                <c:pt idx="17">
                  <c:v>0.59</c:v>
                </c:pt>
                <c:pt idx="18">
                  <c:v>0.61</c:v>
                </c:pt>
                <c:pt idx="19">
                  <c:v>0.58</c:v>
                </c:pt>
                <c:pt idx="20">
                  <c:v>0.57</c:v>
                </c:pt>
                <c:pt idx="21">
                  <c:v>0.56</c:v>
                </c:pt>
                <c:pt idx="22">
                  <c:v>0.62</c:v>
                </c:pt>
              </c:numCache>
            </c:numRef>
          </c:val>
        </c:ser>
        <c:gapWidth val="100"/>
        <c:overlap val="0"/>
        <c:axId val="12933615"/>
        <c:axId val="16225392"/>
      </c:barChart>
      <c:catAx>
        <c:axId val="1293361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845381130589"/>
              <c:y val="0.4771434901410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225392"/>
        <c:crosses val="autoZero"/>
        <c:auto val="1"/>
        <c:lblAlgn val="ctr"/>
        <c:lblOffset val="100"/>
        <c:noMultiLvlLbl val="0"/>
      </c:catAx>
      <c:valAx>
        <c:axId val="1622539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Labor Force Participation Rate</a:t>
                </a:r>
              </a:p>
            </c:rich>
          </c:tx>
          <c:layout>
            <c:manualLayout>
              <c:xMode val="edge"/>
              <c:yMode val="edge"/>
              <c:x val="0.43289344100847"/>
              <c:y val="0.96871230583659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2933615"/>
        <c:crosses val="max"/>
        <c:crossBetween val="midCat"/>
      </c:valAx>
      <c:spPr>
        <a:noFill/>
        <a:ln w="0">
          <a:solidFill>
            <a:srgbClr val="b3b3b3"/>
          </a:solidFill>
        </a:ln>
      </c:spPr>
    </c:plotArea>
    <c:legend>
      <c:legendPos val="r"/>
      <c:layout>
        <c:manualLayout>
          <c:xMode val="edge"/>
          <c:yMode val="edge"/>
          <c:x val="0.104941917700335"/>
          <c:y val="0.0405827775453449"/>
          <c:w val="0.784988579979523"/>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Employed Population</a:t>
            </a:r>
          </a:p>
        </c:rich>
      </c:tx>
      <c:layout>
        <c:manualLayout>
          <c:xMode val="edge"/>
          <c:yMode val="edge"/>
          <c:x val="0.298144719738449"/>
          <c:y val="0.0113471336795727"/>
        </c:manualLayout>
      </c:layout>
      <c:overlay val="0"/>
      <c:spPr>
        <a:noFill/>
        <a:ln w="0">
          <a:noFill/>
        </a:ln>
      </c:spPr>
    </c:title>
    <c:autoTitleDeleted val="0"/>
    <c:plotArea>
      <c:layout>
        <c:manualLayout>
          <c:layoutTarget val="inner"/>
          <c:xMode val="edge"/>
          <c:yMode val="edge"/>
          <c:x val="0.250009847559775"/>
          <c:y val="0.0844019986708347"/>
          <c:w val="0.649741993933903"/>
          <c:h val="0.852708789721121"/>
        </c:manualLayout>
      </c:layout>
      <c:barChart>
        <c:barDir val="bar"/>
        <c:grouping val="clustered"/>
        <c:varyColors val="0"/>
        <c:ser>
          <c:idx val="0"/>
          <c:order val="0"/>
          <c:tx>
            <c:strRef>
              <c:f>EP!$C$3</c:f>
              <c:strCache>
                <c:ptCount val="1"/>
                <c:pt idx="0">
                  <c:v>Overall EP</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EP!$C$5:$C$27</c:f>
              <c:numCache>
                <c:formatCode>General</c:formatCode>
                <c:ptCount val="23"/>
                <c:pt idx="0">
                  <c:v>26862</c:v>
                </c:pt>
                <c:pt idx="1">
                  <c:v>9402</c:v>
                </c:pt>
                <c:pt idx="2">
                  <c:v>13431</c:v>
                </c:pt>
                <c:pt idx="3">
                  <c:v>84615</c:v>
                </c:pt>
                <c:pt idx="4">
                  <c:v>47009</c:v>
                </c:pt>
                <c:pt idx="5">
                  <c:v>41636</c:v>
                </c:pt>
                <c:pt idx="6">
                  <c:v>85958</c:v>
                </c:pt>
                <c:pt idx="7">
                  <c:v>37607</c:v>
                </c:pt>
                <c:pt idx="8">
                  <c:v>32234</c:v>
                </c:pt>
                <c:pt idx="9">
                  <c:v>104762</c:v>
                </c:pt>
                <c:pt idx="10">
                  <c:v>57753</c:v>
                </c:pt>
                <c:pt idx="11">
                  <c:v>34921</c:v>
                </c:pt>
                <c:pt idx="12">
                  <c:v>20147</c:v>
                </c:pt>
                <c:pt idx="13">
                  <c:v>48352</c:v>
                </c:pt>
                <c:pt idx="14">
                  <c:v>24176</c:v>
                </c:pt>
                <c:pt idx="15">
                  <c:v>72527</c:v>
                </c:pt>
                <c:pt idx="16">
                  <c:v>81929</c:v>
                </c:pt>
                <c:pt idx="17">
                  <c:v>122222</c:v>
                </c:pt>
                <c:pt idx="18">
                  <c:v>171917</c:v>
                </c:pt>
                <c:pt idx="19">
                  <c:v>24176</c:v>
                </c:pt>
                <c:pt idx="20">
                  <c:v>98046</c:v>
                </c:pt>
                <c:pt idx="21">
                  <c:v>52381</c:v>
                </c:pt>
                <c:pt idx="22">
                  <c:v>76557</c:v>
                </c:pt>
              </c:numCache>
            </c:numRef>
          </c:val>
        </c:ser>
        <c:ser>
          <c:idx val="1"/>
          <c:order val="1"/>
          <c:tx>
            <c:strRef>
              <c:f>EP!$D$3</c:f>
              <c:strCache>
                <c:ptCount val="1"/>
                <c:pt idx="0">
                  <c:v>Authorized EP</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EP!$D$5:$D$27</c:f>
              <c:numCache>
                <c:formatCode>General</c:formatCode>
                <c:ptCount val="23"/>
                <c:pt idx="0">
                  <c:v>520</c:v>
                </c:pt>
                <c:pt idx="1">
                  <c:v>285</c:v>
                </c:pt>
                <c:pt idx="2">
                  <c:v>385</c:v>
                </c:pt>
                <c:pt idx="3">
                  <c:v>1850</c:v>
                </c:pt>
                <c:pt idx="4">
                  <c:v>980</c:v>
                </c:pt>
                <c:pt idx="5">
                  <c:v>916</c:v>
                </c:pt>
                <c:pt idx="6">
                  <c:v>1891</c:v>
                </c:pt>
                <c:pt idx="7">
                  <c:v>827</c:v>
                </c:pt>
                <c:pt idx="8">
                  <c:v>709</c:v>
                </c:pt>
                <c:pt idx="9">
                  <c:v>2305</c:v>
                </c:pt>
                <c:pt idx="10">
                  <c:v>1271</c:v>
                </c:pt>
                <c:pt idx="11">
                  <c:v>768</c:v>
                </c:pt>
                <c:pt idx="12">
                  <c:v>443</c:v>
                </c:pt>
                <c:pt idx="13">
                  <c:v>1064</c:v>
                </c:pt>
                <c:pt idx="14">
                  <c:v>532</c:v>
                </c:pt>
                <c:pt idx="15">
                  <c:v>1596</c:v>
                </c:pt>
                <c:pt idx="16">
                  <c:v>1802</c:v>
                </c:pt>
                <c:pt idx="17">
                  <c:v>2689</c:v>
                </c:pt>
                <c:pt idx="18">
                  <c:v>3782</c:v>
                </c:pt>
                <c:pt idx="19">
                  <c:v>532</c:v>
                </c:pt>
                <c:pt idx="20">
                  <c:v>2157</c:v>
                </c:pt>
                <c:pt idx="21">
                  <c:v>1152</c:v>
                </c:pt>
                <c:pt idx="22">
                  <c:v>1684</c:v>
                </c:pt>
              </c:numCache>
            </c:numRef>
          </c:val>
        </c:ser>
        <c:ser>
          <c:idx val="2"/>
          <c:order val="2"/>
          <c:tx>
            <c:strRef>
              <c:f>EP!$E$3</c:f>
              <c:strCache>
                <c:ptCount val="1"/>
                <c:pt idx="0">
                  <c:v>Unauthorized EP</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EP!$E$5:$E$27</c:f>
              <c:numCache>
                <c:formatCode>General</c:formatCode>
                <c:ptCount val="23"/>
                <c:pt idx="0">
                  <c:v>3120</c:v>
                </c:pt>
                <c:pt idx="1">
                  <c:v>420</c:v>
                </c:pt>
                <c:pt idx="2">
                  <c:v>285</c:v>
                </c:pt>
                <c:pt idx="3">
                  <c:v>9850</c:v>
                </c:pt>
                <c:pt idx="4">
                  <c:v>4520</c:v>
                </c:pt>
                <c:pt idx="5">
                  <c:v>1499</c:v>
                </c:pt>
                <c:pt idx="6">
                  <c:v>3094</c:v>
                </c:pt>
                <c:pt idx="7">
                  <c:v>1354</c:v>
                </c:pt>
                <c:pt idx="8">
                  <c:v>1160</c:v>
                </c:pt>
                <c:pt idx="9">
                  <c:v>8381</c:v>
                </c:pt>
                <c:pt idx="10">
                  <c:v>2079</c:v>
                </c:pt>
                <c:pt idx="11">
                  <c:v>1257</c:v>
                </c:pt>
                <c:pt idx="12">
                  <c:v>726</c:v>
                </c:pt>
                <c:pt idx="13">
                  <c:v>1741</c:v>
                </c:pt>
                <c:pt idx="14">
                  <c:v>870</c:v>
                </c:pt>
                <c:pt idx="15">
                  <c:v>2611</c:v>
                </c:pt>
                <c:pt idx="16">
                  <c:v>6554</c:v>
                </c:pt>
                <c:pt idx="17">
                  <c:v>4400</c:v>
                </c:pt>
                <c:pt idx="18">
                  <c:v>6189</c:v>
                </c:pt>
                <c:pt idx="19">
                  <c:v>870</c:v>
                </c:pt>
                <c:pt idx="20">
                  <c:v>7844</c:v>
                </c:pt>
                <c:pt idx="21">
                  <c:v>4190</c:v>
                </c:pt>
                <c:pt idx="22">
                  <c:v>2756</c:v>
                </c:pt>
              </c:numCache>
            </c:numRef>
          </c:val>
        </c:ser>
        <c:ser>
          <c:idx val="3"/>
          <c:order val="3"/>
          <c:tx>
            <c:strRef>
              <c:f>EP!$F$3</c:f>
              <c:strCache>
                <c:ptCount val="1"/>
                <c:pt idx="0">
                  <c:v>American EP</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EP!$F$5:$F$27</c:f>
              <c:numCache>
                <c:formatCode>General</c:formatCode>
                <c:ptCount val="23"/>
                <c:pt idx="0">
                  <c:v>23222</c:v>
                </c:pt>
                <c:pt idx="1">
                  <c:v>8697</c:v>
                </c:pt>
                <c:pt idx="2">
                  <c:v>12761</c:v>
                </c:pt>
                <c:pt idx="3">
                  <c:v>72915</c:v>
                </c:pt>
                <c:pt idx="4">
                  <c:v>41509</c:v>
                </c:pt>
                <c:pt idx="5">
                  <c:v>39221</c:v>
                </c:pt>
                <c:pt idx="6">
                  <c:v>80973</c:v>
                </c:pt>
                <c:pt idx="7">
                  <c:v>35426</c:v>
                </c:pt>
                <c:pt idx="8">
                  <c:v>30365</c:v>
                </c:pt>
                <c:pt idx="9">
                  <c:v>94076</c:v>
                </c:pt>
                <c:pt idx="10">
                  <c:v>54403</c:v>
                </c:pt>
                <c:pt idx="11">
                  <c:v>32896</c:v>
                </c:pt>
                <c:pt idx="12">
                  <c:v>18978</c:v>
                </c:pt>
                <c:pt idx="13">
                  <c:v>45547</c:v>
                </c:pt>
                <c:pt idx="14">
                  <c:v>22774</c:v>
                </c:pt>
                <c:pt idx="15">
                  <c:v>68320</c:v>
                </c:pt>
                <c:pt idx="16">
                  <c:v>73573</c:v>
                </c:pt>
                <c:pt idx="17">
                  <c:v>115133</c:v>
                </c:pt>
                <c:pt idx="18">
                  <c:v>161946</c:v>
                </c:pt>
                <c:pt idx="19">
                  <c:v>22774</c:v>
                </c:pt>
                <c:pt idx="20">
                  <c:v>88045</c:v>
                </c:pt>
                <c:pt idx="21">
                  <c:v>47039</c:v>
                </c:pt>
                <c:pt idx="22">
                  <c:v>72117</c:v>
                </c:pt>
              </c:numCache>
            </c:numRef>
          </c:val>
        </c:ser>
        <c:gapWidth val="100"/>
        <c:overlap val="0"/>
        <c:axId val="82283296"/>
        <c:axId val="17416487"/>
      </c:barChart>
      <c:catAx>
        <c:axId val="8228329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5340922519"/>
              <c:y val="0.4764319295050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7416487"/>
        <c:crosses val="autoZero"/>
        <c:auto val="1"/>
        <c:lblAlgn val="ctr"/>
        <c:lblOffset val="100"/>
        <c:noMultiLvlLbl val="0"/>
      </c:catAx>
      <c:valAx>
        <c:axId val="1741648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Employed Population</a:t>
                </a:r>
              </a:p>
            </c:rich>
          </c:tx>
          <c:layout>
            <c:manualLayout>
              <c:xMode val="edge"/>
              <c:yMode val="edge"/>
              <c:x val="0.430653484066648"/>
              <c:y val="0.9687153863194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2283296"/>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Employment-To-Population Ratio</a:t>
            </a:r>
          </a:p>
        </c:rich>
      </c:tx>
      <c:layout>
        <c:manualLayout>
          <c:xMode val="edge"/>
          <c:yMode val="edge"/>
          <c:x val="0.275205862653166"/>
          <c:y val="0.0106595110903227"/>
        </c:manualLayout>
      </c:layout>
      <c:overlay val="0"/>
      <c:spPr>
        <a:noFill/>
        <a:ln w="0">
          <a:noFill/>
        </a:ln>
      </c:spPr>
    </c:title>
    <c:autoTitleDeleted val="0"/>
    <c:plotArea>
      <c:layout>
        <c:manualLayout>
          <c:layoutTarget val="inner"/>
          <c:xMode val="edge"/>
          <c:yMode val="edge"/>
          <c:x val="0.249990150112289"/>
          <c:y val="0.0844144654242879"/>
          <c:w val="0.64973799298688"/>
          <c:h val="0.852637798183206"/>
        </c:manualLayout>
      </c:layout>
      <c:barChart>
        <c:barDir val="bar"/>
        <c:grouping val="clustered"/>
        <c:varyColors val="0"/>
        <c:ser>
          <c:idx val="0"/>
          <c:order val="0"/>
          <c:tx>
            <c:strRef>
              <c:f>ETPR!$C$3</c:f>
              <c:strCache>
                <c:ptCount val="1"/>
                <c:pt idx="0">
                  <c:v>Overall ETPR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ETPR!$C$5:$C$27</c:f>
              <c:numCache>
                <c:formatCode>General</c:formatCode>
                <c:ptCount val="23"/>
                <c:pt idx="0">
                  <c:v>0.61</c:v>
                </c:pt>
                <c:pt idx="1">
                  <c:v>0.68</c:v>
                </c:pt>
                <c:pt idx="2">
                  <c:v>0.78</c:v>
                </c:pt>
                <c:pt idx="3">
                  <c:v>0.62</c:v>
                </c:pt>
                <c:pt idx="4">
                  <c:v>0.66</c:v>
                </c:pt>
                <c:pt idx="5">
                  <c:v>0.72</c:v>
                </c:pt>
                <c:pt idx="6">
                  <c:v>0.72</c:v>
                </c:pt>
                <c:pt idx="7">
                  <c:v>0.76</c:v>
                </c:pt>
                <c:pt idx="8">
                  <c:v>0.81</c:v>
                </c:pt>
                <c:pt idx="9">
                  <c:v>0.81</c:v>
                </c:pt>
                <c:pt idx="10">
                  <c:v>0.77</c:v>
                </c:pt>
                <c:pt idx="11">
                  <c:v>0.7</c:v>
                </c:pt>
                <c:pt idx="12">
                  <c:v>0.72</c:v>
                </c:pt>
                <c:pt idx="13">
                  <c:v>0.8</c:v>
                </c:pt>
                <c:pt idx="14">
                  <c:v>0.8</c:v>
                </c:pt>
                <c:pt idx="15">
                  <c:v>0.8</c:v>
                </c:pt>
                <c:pt idx="16">
                  <c:v>0.67</c:v>
                </c:pt>
                <c:pt idx="17">
                  <c:v>0.8</c:v>
                </c:pt>
                <c:pt idx="18">
                  <c:v>0.8</c:v>
                </c:pt>
                <c:pt idx="19">
                  <c:v>0.8</c:v>
                </c:pt>
                <c:pt idx="20">
                  <c:v>0.79</c:v>
                </c:pt>
                <c:pt idx="21">
                  <c:v>0.79</c:v>
                </c:pt>
                <c:pt idx="22">
                  <c:v>0.81</c:v>
                </c:pt>
              </c:numCache>
            </c:numRef>
          </c:val>
        </c:ser>
        <c:ser>
          <c:idx val="1"/>
          <c:order val="1"/>
          <c:tx>
            <c:strRef>
              <c:f>ETPR!$D$3</c:f>
              <c:strCache>
                <c:ptCount val="1"/>
                <c:pt idx="0">
                  <c:v>Authorized ETPR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ETPR!$D$5:$D$27</c:f>
              <c:numCache>
                <c:formatCode>General</c:formatCode>
                <c:ptCount val="23"/>
                <c:pt idx="0">
                  <c:v>0.62</c:v>
                </c:pt>
                <c:pt idx="1">
                  <c:v>0.67</c:v>
                </c:pt>
                <c:pt idx="2">
                  <c:v>0.77</c:v>
                </c:pt>
                <c:pt idx="3">
                  <c:v>0.59</c:v>
                </c:pt>
                <c:pt idx="4">
                  <c:v>0.63</c:v>
                </c:pt>
                <c:pt idx="5">
                  <c:v>0.69</c:v>
                </c:pt>
                <c:pt idx="6">
                  <c:v>0.69</c:v>
                </c:pt>
                <c:pt idx="7">
                  <c:v>0.73</c:v>
                </c:pt>
                <c:pt idx="8">
                  <c:v>0.78</c:v>
                </c:pt>
                <c:pt idx="9">
                  <c:v>0.78</c:v>
                </c:pt>
                <c:pt idx="10">
                  <c:v>0.74</c:v>
                </c:pt>
                <c:pt idx="11">
                  <c:v>0.67</c:v>
                </c:pt>
                <c:pt idx="12">
                  <c:v>0.69</c:v>
                </c:pt>
                <c:pt idx="13">
                  <c:v>0.77</c:v>
                </c:pt>
                <c:pt idx="14">
                  <c:v>0.77</c:v>
                </c:pt>
                <c:pt idx="15">
                  <c:v>0.77</c:v>
                </c:pt>
                <c:pt idx="16">
                  <c:v>0.64</c:v>
                </c:pt>
                <c:pt idx="17">
                  <c:v>0.77</c:v>
                </c:pt>
                <c:pt idx="18">
                  <c:v>0.77</c:v>
                </c:pt>
                <c:pt idx="19">
                  <c:v>0.77</c:v>
                </c:pt>
                <c:pt idx="20">
                  <c:v>0.76</c:v>
                </c:pt>
                <c:pt idx="21">
                  <c:v>0.76</c:v>
                </c:pt>
                <c:pt idx="22">
                  <c:v>0.78</c:v>
                </c:pt>
              </c:numCache>
            </c:numRef>
          </c:val>
        </c:ser>
        <c:ser>
          <c:idx val="2"/>
          <c:order val="2"/>
          <c:tx>
            <c:strRef>
              <c:f>ETPR!$E$3</c:f>
              <c:strCache>
                <c:ptCount val="1"/>
                <c:pt idx="0">
                  <c:v>Unauthorized ETPR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ETPR!$E$5:$E$27</c:f>
              <c:numCache>
                <c:formatCode>General</c:formatCode>
                <c:ptCount val="23"/>
                <c:pt idx="0">
                  <c:v>0.68</c:v>
                </c:pt>
                <c:pt idx="1">
                  <c:v>0.71</c:v>
                </c:pt>
                <c:pt idx="2">
                  <c:v>0.8</c:v>
                </c:pt>
                <c:pt idx="3">
                  <c:v>0.68</c:v>
                </c:pt>
                <c:pt idx="4">
                  <c:v>0.7</c:v>
                </c:pt>
                <c:pt idx="5">
                  <c:v>0.76</c:v>
                </c:pt>
                <c:pt idx="6">
                  <c:v>0.76</c:v>
                </c:pt>
                <c:pt idx="7">
                  <c:v>0.8</c:v>
                </c:pt>
                <c:pt idx="8">
                  <c:v>0.85</c:v>
                </c:pt>
                <c:pt idx="9">
                  <c:v>0.85</c:v>
                </c:pt>
                <c:pt idx="10">
                  <c:v>0.81</c:v>
                </c:pt>
                <c:pt idx="11">
                  <c:v>0.74</c:v>
                </c:pt>
                <c:pt idx="12">
                  <c:v>0.76</c:v>
                </c:pt>
                <c:pt idx="13">
                  <c:v>0.84</c:v>
                </c:pt>
                <c:pt idx="14">
                  <c:v>0.84</c:v>
                </c:pt>
                <c:pt idx="15">
                  <c:v>0.84</c:v>
                </c:pt>
                <c:pt idx="16">
                  <c:v>0.71</c:v>
                </c:pt>
                <c:pt idx="17">
                  <c:v>0.84</c:v>
                </c:pt>
                <c:pt idx="18">
                  <c:v>0.84</c:v>
                </c:pt>
                <c:pt idx="19">
                  <c:v>0.84</c:v>
                </c:pt>
                <c:pt idx="20">
                  <c:v>0.83</c:v>
                </c:pt>
                <c:pt idx="21">
                  <c:v>0.83</c:v>
                </c:pt>
                <c:pt idx="22">
                  <c:v>0.85</c:v>
                </c:pt>
              </c:numCache>
            </c:numRef>
          </c:val>
        </c:ser>
        <c:ser>
          <c:idx val="3"/>
          <c:order val="3"/>
          <c:tx>
            <c:strRef>
              <c:f>ETPR!$F$3</c:f>
              <c:strCache>
                <c:ptCount val="1"/>
                <c:pt idx="0">
                  <c:v>American ETPR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ETPR!$F$5:$F$27</c:f>
              <c:numCache>
                <c:formatCode>General</c:formatCode>
                <c:ptCount val="23"/>
                <c:pt idx="0">
                  <c:v>0.605</c:v>
                </c:pt>
                <c:pt idx="1">
                  <c:v>0.682</c:v>
                </c:pt>
                <c:pt idx="2">
                  <c:v>0.781</c:v>
                </c:pt>
                <c:pt idx="3">
                  <c:v>0.62</c:v>
                </c:pt>
                <c:pt idx="4">
                  <c:v>0.66</c:v>
                </c:pt>
                <c:pt idx="5">
                  <c:v>0.72</c:v>
                </c:pt>
                <c:pt idx="6">
                  <c:v>0.72</c:v>
                </c:pt>
                <c:pt idx="7">
                  <c:v>0.76</c:v>
                </c:pt>
                <c:pt idx="8">
                  <c:v>0.81</c:v>
                </c:pt>
                <c:pt idx="9">
                  <c:v>0.81</c:v>
                </c:pt>
                <c:pt idx="10">
                  <c:v>0.77</c:v>
                </c:pt>
                <c:pt idx="11">
                  <c:v>0.7</c:v>
                </c:pt>
                <c:pt idx="12">
                  <c:v>0.72</c:v>
                </c:pt>
                <c:pt idx="13">
                  <c:v>0.8</c:v>
                </c:pt>
                <c:pt idx="14">
                  <c:v>0.8</c:v>
                </c:pt>
                <c:pt idx="15">
                  <c:v>0.8</c:v>
                </c:pt>
                <c:pt idx="16">
                  <c:v>0.67</c:v>
                </c:pt>
                <c:pt idx="17">
                  <c:v>0.8</c:v>
                </c:pt>
                <c:pt idx="18">
                  <c:v>0.8</c:v>
                </c:pt>
                <c:pt idx="19">
                  <c:v>0.8</c:v>
                </c:pt>
                <c:pt idx="20">
                  <c:v>0.79</c:v>
                </c:pt>
                <c:pt idx="21">
                  <c:v>0.79</c:v>
                </c:pt>
                <c:pt idx="22">
                  <c:v>0.81</c:v>
                </c:pt>
              </c:numCache>
            </c:numRef>
          </c:val>
        </c:ser>
        <c:gapWidth val="100"/>
        <c:overlap val="0"/>
        <c:axId val="88075485"/>
        <c:axId val="42039344"/>
      </c:barChart>
      <c:catAx>
        <c:axId val="8807548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83668886175"/>
              <c:y val="0.4771916004037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2039344"/>
        <c:crosses val="autoZero"/>
        <c:auto val="1"/>
        <c:lblAlgn val="ctr"/>
        <c:lblOffset val="100"/>
        <c:noMultiLvlLbl val="0"/>
      </c:catAx>
      <c:valAx>
        <c:axId val="4203934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Employment-To-Population Ratio</a:t>
                </a:r>
              </a:p>
            </c:rich>
          </c:tx>
          <c:layout>
            <c:manualLayout>
              <c:xMode val="edge"/>
              <c:yMode val="edge"/>
              <c:x val="0.399984240179662"/>
              <c:y val="0.96871076536766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075485"/>
        <c:crosses val="max"/>
        <c:crossBetween val="midCat"/>
      </c:valAx>
      <c:spPr>
        <a:noFill/>
        <a:ln w="0">
          <a:solidFill>
            <a:srgbClr val="b3b3b3"/>
          </a:solidFill>
        </a:ln>
      </c:spPr>
    </c:plotArea>
    <c:legend>
      <c:legendPos val="r"/>
      <c:layout>
        <c:manualLayout>
          <c:xMode val="edge"/>
          <c:yMode val="edge"/>
          <c:x val="0.104958449844433"/>
          <c:y val="0.040584775171667"/>
          <c:w val="0.785033477747145"/>
          <c:h val="0.024932316022643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 Rate</a:t>
            </a:r>
          </a:p>
        </c:rich>
      </c:tx>
      <c:layout>
        <c:manualLayout>
          <c:xMode val="edge"/>
          <c:yMode val="edge"/>
          <c:x val="0.294961194500256"/>
          <c:y val="0.0105112867094995"/>
        </c:manualLayout>
      </c:layout>
      <c:overlay val="0"/>
      <c:spPr>
        <a:noFill/>
        <a:ln w="0">
          <a:noFill/>
        </a:ln>
      </c:spPr>
    </c:title>
    <c:autoTitleDeleted val="0"/>
    <c:plotArea>
      <c:layout>
        <c:manualLayout>
          <c:layoutTarget val="inner"/>
          <c:xMode val="edge"/>
          <c:yMode val="edge"/>
          <c:x val="0.25000984911161"/>
          <c:y val="0.0844103094306181"/>
          <c:w val="0.649686798250798"/>
          <c:h val="0.852595820101913"/>
        </c:manualLayout>
      </c:layout>
      <c:barChart>
        <c:barDir val="bar"/>
        <c:grouping val="clustered"/>
        <c:varyColors val="0"/>
        <c:ser>
          <c:idx val="0"/>
          <c:order val="0"/>
          <c:tx>
            <c:strRef>
              <c:f>U3R!$C$3</c:f>
              <c:strCache>
                <c:ptCount val="1"/>
                <c:pt idx="0">
                  <c:v>Overall U3R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U3R!$C$5:$C$27</c:f>
              <c:numCache>
                <c:formatCode>General</c:formatCode>
                <c:ptCount val="23"/>
                <c:pt idx="0">
                  <c:v>0.045</c:v>
                </c:pt>
                <c:pt idx="1">
                  <c:v>0.038</c:v>
                </c:pt>
                <c:pt idx="2">
                  <c:v>0.018</c:v>
                </c:pt>
                <c:pt idx="3">
                  <c:v>0.052</c:v>
                </c:pt>
                <c:pt idx="4">
                  <c:v>0.045</c:v>
                </c:pt>
                <c:pt idx="5">
                  <c:v>0.038</c:v>
                </c:pt>
                <c:pt idx="6">
                  <c:v>0.038</c:v>
                </c:pt>
                <c:pt idx="7">
                  <c:v>0.028</c:v>
                </c:pt>
                <c:pt idx="8">
                  <c:v>0.028</c:v>
                </c:pt>
                <c:pt idx="9">
                  <c:v>0.028</c:v>
                </c:pt>
                <c:pt idx="10">
                  <c:v>0.028</c:v>
                </c:pt>
                <c:pt idx="11">
                  <c:v>0.028</c:v>
                </c:pt>
                <c:pt idx="12">
                  <c:v>0.028</c:v>
                </c:pt>
                <c:pt idx="13">
                  <c:v>0.018</c:v>
                </c:pt>
                <c:pt idx="14">
                  <c:v>0.018</c:v>
                </c:pt>
                <c:pt idx="15">
                  <c:v>0.018</c:v>
                </c:pt>
                <c:pt idx="16">
                  <c:v>0.045</c:v>
                </c:pt>
                <c:pt idx="17">
                  <c:v>0.018</c:v>
                </c:pt>
                <c:pt idx="18">
                  <c:v>0.018</c:v>
                </c:pt>
                <c:pt idx="19">
                  <c:v>0.018</c:v>
                </c:pt>
                <c:pt idx="20">
                  <c:v>0.045</c:v>
                </c:pt>
                <c:pt idx="21">
                  <c:v>0.028</c:v>
                </c:pt>
                <c:pt idx="22">
                  <c:v>0.018</c:v>
                </c:pt>
              </c:numCache>
            </c:numRef>
          </c:val>
        </c:ser>
        <c:ser>
          <c:idx val="1"/>
          <c:order val="1"/>
          <c:tx>
            <c:strRef>
              <c:f>U3R!$D$3</c:f>
              <c:strCache>
                <c:ptCount val="1"/>
                <c:pt idx="0">
                  <c:v>Authorized U3R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U3R!$D$5:$D$27</c:f>
              <c:numCache>
                <c:formatCode>General</c:formatCode>
                <c:ptCount val="23"/>
                <c:pt idx="0">
                  <c:v>0.048</c:v>
                </c:pt>
                <c:pt idx="1">
                  <c:v>0.04</c:v>
                </c:pt>
                <c:pt idx="2">
                  <c:v>0.019</c:v>
                </c:pt>
                <c:pt idx="3">
                  <c:v>0.056</c:v>
                </c:pt>
                <c:pt idx="4">
                  <c:v>0.048</c:v>
                </c:pt>
                <c:pt idx="5">
                  <c:v>0.04</c:v>
                </c:pt>
                <c:pt idx="6">
                  <c:v>0.04</c:v>
                </c:pt>
                <c:pt idx="7">
                  <c:v>0.03</c:v>
                </c:pt>
                <c:pt idx="8">
                  <c:v>0.03</c:v>
                </c:pt>
                <c:pt idx="9">
                  <c:v>0.03</c:v>
                </c:pt>
                <c:pt idx="10">
                  <c:v>0.03</c:v>
                </c:pt>
                <c:pt idx="11">
                  <c:v>0.03</c:v>
                </c:pt>
                <c:pt idx="12">
                  <c:v>0.03</c:v>
                </c:pt>
                <c:pt idx="13">
                  <c:v>0.019</c:v>
                </c:pt>
                <c:pt idx="14">
                  <c:v>0.019</c:v>
                </c:pt>
                <c:pt idx="15">
                  <c:v>0.019</c:v>
                </c:pt>
                <c:pt idx="16">
                  <c:v>0.048</c:v>
                </c:pt>
                <c:pt idx="17">
                  <c:v>0.019</c:v>
                </c:pt>
                <c:pt idx="18">
                  <c:v>0.019</c:v>
                </c:pt>
                <c:pt idx="19">
                  <c:v>0.019</c:v>
                </c:pt>
                <c:pt idx="20">
                  <c:v>0.048</c:v>
                </c:pt>
                <c:pt idx="21">
                  <c:v>0.03</c:v>
                </c:pt>
                <c:pt idx="22">
                  <c:v>0.019</c:v>
                </c:pt>
              </c:numCache>
            </c:numRef>
          </c:val>
        </c:ser>
        <c:ser>
          <c:idx val="2"/>
          <c:order val="2"/>
          <c:tx>
            <c:strRef>
              <c:f>U3R!$E$3</c:f>
              <c:strCache>
                <c:ptCount val="1"/>
                <c:pt idx="0">
                  <c:v>Unauthorized U3R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U3R!$E$5:$E$27</c:f>
              <c:numCache>
                <c:formatCode>General</c:formatCode>
                <c:ptCount val="23"/>
                <c:pt idx="0">
                  <c:v>0.062</c:v>
                </c:pt>
                <c:pt idx="1">
                  <c:v>0.052</c:v>
                </c:pt>
                <c:pt idx="2">
                  <c:v>0.022</c:v>
                </c:pt>
                <c:pt idx="3">
                  <c:v>0.075</c:v>
                </c:pt>
                <c:pt idx="4">
                  <c:v>0.062</c:v>
                </c:pt>
                <c:pt idx="5">
                  <c:v>0.052</c:v>
                </c:pt>
                <c:pt idx="6">
                  <c:v>0.052</c:v>
                </c:pt>
                <c:pt idx="7">
                  <c:v>0.04</c:v>
                </c:pt>
                <c:pt idx="8">
                  <c:v>0.04</c:v>
                </c:pt>
                <c:pt idx="9">
                  <c:v>0.04</c:v>
                </c:pt>
                <c:pt idx="10">
                  <c:v>0.04</c:v>
                </c:pt>
                <c:pt idx="11">
                  <c:v>0.04</c:v>
                </c:pt>
                <c:pt idx="12">
                  <c:v>0.04</c:v>
                </c:pt>
                <c:pt idx="13">
                  <c:v>0.022</c:v>
                </c:pt>
                <c:pt idx="14">
                  <c:v>0.022</c:v>
                </c:pt>
                <c:pt idx="15">
                  <c:v>0.022</c:v>
                </c:pt>
                <c:pt idx="16">
                  <c:v>0.062</c:v>
                </c:pt>
                <c:pt idx="17">
                  <c:v>0.022</c:v>
                </c:pt>
                <c:pt idx="18">
                  <c:v>0.022</c:v>
                </c:pt>
                <c:pt idx="19">
                  <c:v>0.022</c:v>
                </c:pt>
                <c:pt idx="20">
                  <c:v>0.062</c:v>
                </c:pt>
                <c:pt idx="21">
                  <c:v>0.04</c:v>
                </c:pt>
                <c:pt idx="22">
                  <c:v>0.022</c:v>
                </c:pt>
              </c:numCache>
            </c:numRef>
          </c:val>
        </c:ser>
        <c:ser>
          <c:idx val="3"/>
          <c:order val="3"/>
          <c:tx>
            <c:strRef>
              <c:f>U3R!$F$3</c:f>
              <c:strCache>
                <c:ptCount val="1"/>
                <c:pt idx="0">
                  <c:v>American U3R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U3R!$F$5:$F$27</c:f>
              <c:numCache>
                <c:formatCode>General</c:formatCode>
                <c:ptCount val="23"/>
                <c:pt idx="0">
                  <c:v>0.042</c:v>
                </c:pt>
                <c:pt idx="1">
                  <c:v>0.036</c:v>
                </c:pt>
                <c:pt idx="2">
                  <c:v>0.018</c:v>
                </c:pt>
                <c:pt idx="3">
                  <c:v>0.048</c:v>
                </c:pt>
                <c:pt idx="4">
                  <c:v>0.042</c:v>
                </c:pt>
                <c:pt idx="5">
                  <c:v>0.036</c:v>
                </c:pt>
                <c:pt idx="6">
                  <c:v>0.036</c:v>
                </c:pt>
                <c:pt idx="7">
                  <c:v>0.027</c:v>
                </c:pt>
                <c:pt idx="8">
                  <c:v>0.027</c:v>
                </c:pt>
                <c:pt idx="9">
                  <c:v>0.027</c:v>
                </c:pt>
                <c:pt idx="10">
                  <c:v>0.027</c:v>
                </c:pt>
                <c:pt idx="11">
                  <c:v>0.027</c:v>
                </c:pt>
                <c:pt idx="12">
                  <c:v>0.027</c:v>
                </c:pt>
                <c:pt idx="13">
                  <c:v>0.018</c:v>
                </c:pt>
                <c:pt idx="14">
                  <c:v>0.018</c:v>
                </c:pt>
                <c:pt idx="15">
                  <c:v>0.018</c:v>
                </c:pt>
                <c:pt idx="16">
                  <c:v>0.042</c:v>
                </c:pt>
                <c:pt idx="17">
                  <c:v>0.018</c:v>
                </c:pt>
                <c:pt idx="18">
                  <c:v>0.018</c:v>
                </c:pt>
                <c:pt idx="19">
                  <c:v>0.018</c:v>
                </c:pt>
                <c:pt idx="20">
                  <c:v>0.042</c:v>
                </c:pt>
                <c:pt idx="21">
                  <c:v>0.027</c:v>
                </c:pt>
                <c:pt idx="22">
                  <c:v>0.018</c:v>
                </c:pt>
              </c:numCache>
            </c:numRef>
          </c:val>
        </c:ser>
        <c:gapWidth val="100"/>
        <c:overlap val="0"/>
        <c:axId val="91427936"/>
        <c:axId val="33470613"/>
      </c:barChart>
      <c:catAx>
        <c:axId val="9142793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67557026356"/>
              <c:y val="0.4771188735445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470613"/>
        <c:crosses val="autoZero"/>
        <c:auto val="1"/>
        <c:lblAlgn val="ctr"/>
        <c:lblOffset val="100"/>
        <c:noMultiLvlLbl val="0"/>
      </c:catAx>
      <c:valAx>
        <c:axId val="334706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 Rate</a:t>
                </a:r>
              </a:p>
            </c:rich>
          </c:tx>
          <c:layout>
            <c:manualLayout>
              <c:xMode val="edge"/>
              <c:yMode val="edge"/>
              <c:x val="0.432927549934996"/>
              <c:y val="0.96871230583659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427936"/>
        <c:crosses val="max"/>
        <c:crossBetween val="midCat"/>
        <c:majorUnit val="0.01"/>
      </c:valAx>
      <c:spPr>
        <a:noFill/>
        <a:ln w="0">
          <a:solidFill>
            <a:srgbClr val="b3b3b3"/>
          </a:solidFill>
        </a:ln>
      </c:spPr>
    </c:plotArea>
    <c:legend>
      <c:legendPos val="r"/>
      <c:layout>
        <c:manualLayout>
          <c:xMode val="edge"/>
          <c:yMode val="edge"/>
          <c:x val="0.104950183121333"/>
          <c:y val="0.0405827775453449"/>
          <c:w val="0.784971644612476"/>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Unemployed Population</a:t>
            </a:r>
          </a:p>
        </c:rich>
      </c:tx>
      <c:layout>
        <c:manualLayout>
          <c:xMode val="edge"/>
          <c:yMode val="edge"/>
          <c:x val="0.298144719738449"/>
          <c:y val="0.0113471336795727"/>
        </c:manualLayout>
      </c:layout>
      <c:overlay val="0"/>
      <c:spPr>
        <a:noFill/>
        <a:ln w="0">
          <a:noFill/>
        </a:ln>
      </c:spPr>
    </c:title>
    <c:autoTitleDeleted val="0"/>
    <c:plotArea>
      <c:layout>
        <c:manualLayout>
          <c:layoutTarget val="inner"/>
          <c:xMode val="edge"/>
          <c:yMode val="edge"/>
          <c:x val="0.250009847559775"/>
          <c:y val="0.0844019986708347"/>
          <c:w val="0.649741993933903"/>
          <c:h val="0.852684175548281"/>
        </c:manualLayout>
      </c:layout>
      <c:barChart>
        <c:barDir val="bar"/>
        <c:grouping val="clustered"/>
        <c:varyColors val="0"/>
        <c:ser>
          <c:idx val="0"/>
          <c:order val="0"/>
          <c:tx>
            <c:strRef>
              <c:f>U3P!$C$3</c:f>
              <c:strCache>
                <c:ptCount val="1"/>
                <c:pt idx="0">
                  <c:v>Overall U3P</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U3P!$C$5:$C$27</c:f>
              <c:numCache>
                <c:formatCode>General</c:formatCode>
                <c:ptCount val="23"/>
                <c:pt idx="0">
                  <c:v>11138</c:v>
                </c:pt>
                <c:pt idx="1">
                  <c:v>4598</c:v>
                </c:pt>
                <c:pt idx="2">
                  <c:v>4589</c:v>
                </c:pt>
                <c:pt idx="3">
                  <c:v>50385</c:v>
                </c:pt>
                <c:pt idx="4">
                  <c:v>23691</c:v>
                </c:pt>
                <c:pt idx="5">
                  <c:v>16364</c:v>
                </c:pt>
                <c:pt idx="6">
                  <c:v>34042</c:v>
                </c:pt>
                <c:pt idx="7">
                  <c:v>11893</c:v>
                </c:pt>
                <c:pt idx="8">
                  <c:v>7766</c:v>
                </c:pt>
                <c:pt idx="9">
                  <c:v>24838</c:v>
                </c:pt>
                <c:pt idx="10">
                  <c:v>17747</c:v>
                </c:pt>
                <c:pt idx="11">
                  <c:v>15079</c:v>
                </c:pt>
                <c:pt idx="12">
                  <c:v>7853</c:v>
                </c:pt>
                <c:pt idx="13">
                  <c:v>12448</c:v>
                </c:pt>
                <c:pt idx="14">
                  <c:v>6238</c:v>
                </c:pt>
                <c:pt idx="15">
                  <c:v>18673</c:v>
                </c:pt>
                <c:pt idx="16">
                  <c:v>41071</c:v>
                </c:pt>
                <c:pt idx="17">
                  <c:v>29778</c:v>
                </c:pt>
                <c:pt idx="18">
                  <c:v>41883</c:v>
                </c:pt>
                <c:pt idx="19">
                  <c:v>5894</c:v>
                </c:pt>
                <c:pt idx="20">
                  <c:v>46454</c:v>
                </c:pt>
                <c:pt idx="21">
                  <c:v>12719</c:v>
                </c:pt>
                <c:pt idx="22">
                  <c:v>24443</c:v>
                </c:pt>
              </c:numCache>
            </c:numRef>
          </c:val>
        </c:ser>
        <c:ser>
          <c:idx val="1"/>
          <c:order val="1"/>
          <c:tx>
            <c:strRef>
              <c:f>U3P!$D$3</c:f>
              <c:strCache>
                <c:ptCount val="1"/>
                <c:pt idx="0">
                  <c:v>Authorized U3P</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U3P!$D$5:$D$27</c:f>
              <c:numCache>
                <c:formatCode>General</c:formatCode>
                <c:ptCount val="23"/>
                <c:pt idx="0">
                  <c:v>62</c:v>
                </c:pt>
                <c:pt idx="1">
                  <c:v>49</c:v>
                </c:pt>
                <c:pt idx="2">
                  <c:v>264</c:v>
                </c:pt>
                <c:pt idx="3">
                  <c:v>2728</c:v>
                </c:pt>
                <c:pt idx="4">
                  <c:v>521</c:v>
                </c:pt>
                <c:pt idx="5">
                  <c:v>360</c:v>
                </c:pt>
                <c:pt idx="6">
                  <c:v>749</c:v>
                </c:pt>
                <c:pt idx="7">
                  <c:v>262</c:v>
                </c:pt>
                <c:pt idx="8">
                  <c:v>169</c:v>
                </c:pt>
                <c:pt idx="9">
                  <c:v>551</c:v>
                </c:pt>
                <c:pt idx="10">
                  <c:v>390</c:v>
                </c:pt>
                <c:pt idx="11">
                  <c:v>332</c:v>
                </c:pt>
                <c:pt idx="12">
                  <c:v>173</c:v>
                </c:pt>
                <c:pt idx="13">
                  <c:v>274</c:v>
                </c:pt>
                <c:pt idx="14">
                  <c:v>137</c:v>
                </c:pt>
                <c:pt idx="15">
                  <c:v>410</c:v>
                </c:pt>
                <c:pt idx="16">
                  <c:v>904</c:v>
                </c:pt>
                <c:pt idx="17">
                  <c:v>655</c:v>
                </c:pt>
                <c:pt idx="18">
                  <c:v>922</c:v>
                </c:pt>
                <c:pt idx="19">
                  <c:v>137</c:v>
                </c:pt>
                <c:pt idx="20">
                  <c:v>582</c:v>
                </c:pt>
                <c:pt idx="21">
                  <c:v>311</c:v>
                </c:pt>
                <c:pt idx="22">
                  <c:v>406</c:v>
                </c:pt>
              </c:numCache>
            </c:numRef>
          </c:val>
        </c:ser>
        <c:ser>
          <c:idx val="2"/>
          <c:order val="2"/>
          <c:tx>
            <c:strRef>
              <c:f>U3P!$E$3</c:f>
              <c:strCache>
                <c:ptCount val="1"/>
                <c:pt idx="0">
                  <c:v>Unauthorized U3P</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U3P!$E$5:$E$27</c:f>
              <c:numCache>
                <c:formatCode>General</c:formatCode>
                <c:ptCount val="23"/>
                <c:pt idx="0">
                  <c:v>2902</c:v>
                </c:pt>
                <c:pt idx="1">
                  <c:v>222</c:v>
                </c:pt>
                <c:pt idx="2">
                  <c:v>141</c:v>
                </c:pt>
                <c:pt idx="3">
                  <c:v>6999</c:v>
                </c:pt>
                <c:pt idx="4">
                  <c:v>1895</c:v>
                </c:pt>
                <c:pt idx="5">
                  <c:v>589</c:v>
                </c:pt>
                <c:pt idx="6">
                  <c:v>1226</c:v>
                </c:pt>
                <c:pt idx="7">
                  <c:v>428</c:v>
                </c:pt>
                <c:pt idx="8">
                  <c:v>276</c:v>
                </c:pt>
                <c:pt idx="9">
                  <c:v>2003</c:v>
                </c:pt>
                <c:pt idx="10">
                  <c:v>640</c:v>
                </c:pt>
                <c:pt idx="11">
                  <c:v>543</c:v>
                </c:pt>
                <c:pt idx="12">
                  <c:v>282</c:v>
                </c:pt>
                <c:pt idx="13">
                  <c:v>449</c:v>
                </c:pt>
                <c:pt idx="14">
                  <c:v>224</c:v>
                </c:pt>
                <c:pt idx="15">
                  <c:v>672</c:v>
                </c:pt>
                <c:pt idx="16">
                  <c:v>3292</c:v>
                </c:pt>
                <c:pt idx="17">
                  <c:v>1072</c:v>
                </c:pt>
                <c:pt idx="18">
                  <c:v>1508</c:v>
                </c:pt>
                <c:pt idx="19">
                  <c:v>224</c:v>
                </c:pt>
                <c:pt idx="20">
                  <c:v>2106</c:v>
                </c:pt>
                <c:pt idx="21">
                  <c:v>1130</c:v>
                </c:pt>
                <c:pt idx="22">
                  <c:v>664</c:v>
                </c:pt>
              </c:numCache>
            </c:numRef>
          </c:val>
        </c:ser>
        <c:ser>
          <c:idx val="3"/>
          <c:order val="3"/>
          <c:tx>
            <c:strRef>
              <c:f>U3P!$F$3</c:f>
              <c:strCache>
                <c:ptCount val="1"/>
                <c:pt idx="0">
                  <c:v>American U3P</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U3P!$F$5:$F$27</c:f>
              <c:numCache>
                <c:formatCode>General</c:formatCode>
                <c:ptCount val="23"/>
                <c:pt idx="0">
                  <c:v>8174</c:v>
                </c:pt>
                <c:pt idx="1">
                  <c:v>4327</c:v>
                </c:pt>
                <c:pt idx="2">
                  <c:v>4184</c:v>
                </c:pt>
                <c:pt idx="3">
                  <c:v>40658</c:v>
                </c:pt>
                <c:pt idx="4">
                  <c:v>21275</c:v>
                </c:pt>
                <c:pt idx="5">
                  <c:v>15415</c:v>
                </c:pt>
                <c:pt idx="6">
                  <c:v>32067</c:v>
                </c:pt>
                <c:pt idx="7">
                  <c:v>11203</c:v>
                </c:pt>
                <c:pt idx="8">
                  <c:v>7321</c:v>
                </c:pt>
                <c:pt idx="9">
                  <c:v>23284</c:v>
                </c:pt>
                <c:pt idx="10">
                  <c:v>16717</c:v>
                </c:pt>
                <c:pt idx="11">
                  <c:v>14204</c:v>
                </c:pt>
                <c:pt idx="12">
                  <c:v>7398</c:v>
                </c:pt>
                <c:pt idx="13">
                  <c:v>11725</c:v>
                </c:pt>
                <c:pt idx="14">
                  <c:v>5877</c:v>
                </c:pt>
                <c:pt idx="15">
                  <c:v>17591</c:v>
                </c:pt>
                <c:pt idx="16">
                  <c:v>36875</c:v>
                </c:pt>
                <c:pt idx="17">
                  <c:v>28051</c:v>
                </c:pt>
                <c:pt idx="18">
                  <c:v>39453</c:v>
                </c:pt>
                <c:pt idx="19">
                  <c:v>5533</c:v>
                </c:pt>
                <c:pt idx="20">
                  <c:v>43766</c:v>
                </c:pt>
                <c:pt idx="21">
                  <c:v>11278</c:v>
                </c:pt>
                <c:pt idx="22">
                  <c:v>23373</c:v>
                </c:pt>
              </c:numCache>
            </c:numRef>
          </c:val>
        </c:ser>
        <c:gapWidth val="100"/>
        <c:overlap val="0"/>
        <c:axId val="92151128"/>
        <c:axId val="44680612"/>
      </c:barChart>
      <c:catAx>
        <c:axId val="9215112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5340922519"/>
              <c:y val="0.4764073153321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4680612"/>
        <c:crosses val="autoZero"/>
        <c:auto val="1"/>
        <c:lblAlgn val="ctr"/>
        <c:lblOffset val="100"/>
        <c:noMultiLvlLbl val="0"/>
      </c:catAx>
      <c:valAx>
        <c:axId val="4468061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Unmployed Population</a:t>
                </a:r>
              </a:p>
            </c:rich>
          </c:tx>
          <c:layout>
            <c:manualLayout>
              <c:xMode val="edge"/>
              <c:yMode val="edge"/>
              <c:x val="0.430653484066648"/>
              <c:y val="0.9687153863194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2151128"/>
        <c:crosses val="max"/>
        <c:crossBetween val="midCat"/>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Unemployment-To-Population Ratio</a:t>
            </a:r>
          </a:p>
        </c:rich>
      </c:tx>
      <c:layout>
        <c:manualLayout>
          <c:xMode val="edge"/>
          <c:yMode val="edge"/>
          <c:x val="0.275678657263307"/>
          <c:y val="0.0106595110903227"/>
        </c:manualLayout>
      </c:layout>
      <c:overlay val="0"/>
      <c:spPr>
        <a:noFill/>
        <a:ln w="0">
          <a:noFill/>
        </a:ln>
      </c:spPr>
    </c:title>
    <c:autoTitleDeleted val="0"/>
    <c:plotArea>
      <c:layout>
        <c:manualLayout>
          <c:layoutTarget val="inner"/>
          <c:xMode val="edge"/>
          <c:yMode val="edge"/>
          <c:x val="0.249990150112289"/>
          <c:y val="0.0844144654242879"/>
          <c:w val="0.64973799298688"/>
          <c:h val="0.852637798183206"/>
        </c:manualLayout>
      </c:layout>
      <c:barChart>
        <c:barDir val="bar"/>
        <c:grouping val="clustered"/>
        <c:varyColors val="0"/>
        <c:ser>
          <c:idx val="0"/>
          <c:order val="0"/>
          <c:tx>
            <c:strRef>
              <c:f>U3TPR!$C$3</c:f>
              <c:strCache>
                <c:ptCount val="1"/>
                <c:pt idx="0">
                  <c:v>Overall U3TPR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U3TPR!$C$5:$C$27</c:f>
              <c:numCache>
                <c:formatCode>General</c:formatCode>
                <c:ptCount val="23"/>
                <c:pt idx="0">
                  <c:v>0.0293</c:v>
                </c:pt>
                <c:pt idx="1">
                  <c:v>0.0111</c:v>
                </c:pt>
                <c:pt idx="2">
                  <c:v>0.0111</c:v>
                </c:pt>
                <c:pt idx="3">
                  <c:v>0.0122</c:v>
                </c:pt>
                <c:pt idx="4">
                  <c:v>0.0057</c:v>
                </c:pt>
                <c:pt idx="5">
                  <c:v>0.004</c:v>
                </c:pt>
                <c:pt idx="6">
                  <c:v>0.0082</c:v>
                </c:pt>
                <c:pt idx="7">
                  <c:v>0.0029</c:v>
                </c:pt>
                <c:pt idx="8">
                  <c:v>0.0019</c:v>
                </c:pt>
                <c:pt idx="9">
                  <c:v>0.006</c:v>
                </c:pt>
                <c:pt idx="10">
                  <c:v>0.0043</c:v>
                </c:pt>
                <c:pt idx="11">
                  <c:v>0.0037</c:v>
                </c:pt>
                <c:pt idx="12">
                  <c:v>0.0019</c:v>
                </c:pt>
                <c:pt idx="13">
                  <c:v>0.003</c:v>
                </c:pt>
                <c:pt idx="14">
                  <c:v>0.0015</c:v>
                </c:pt>
                <c:pt idx="15">
                  <c:v>0.0045</c:v>
                </c:pt>
                <c:pt idx="16">
                  <c:v>0.01</c:v>
                </c:pt>
                <c:pt idx="17">
                  <c:v>0.0072</c:v>
                </c:pt>
                <c:pt idx="18">
                  <c:v>0.0101</c:v>
                </c:pt>
                <c:pt idx="19">
                  <c:v>0.0014</c:v>
                </c:pt>
                <c:pt idx="20">
                  <c:v>0.0113</c:v>
                </c:pt>
                <c:pt idx="21">
                  <c:v>0.0031</c:v>
                </c:pt>
                <c:pt idx="22">
                  <c:v>0.0059</c:v>
                </c:pt>
              </c:numCache>
            </c:numRef>
          </c:val>
        </c:ser>
        <c:ser>
          <c:idx val="1"/>
          <c:order val="1"/>
          <c:tx>
            <c:strRef>
              <c:f>U3TPR!$D$3</c:f>
              <c:strCache>
                <c:ptCount val="1"/>
                <c:pt idx="0">
                  <c:v>Authorized U3TPR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U3TPR!$D$5:$D$27</c:f>
              <c:numCache>
                <c:formatCode>General</c:formatCode>
                <c:ptCount val="23"/>
                <c:pt idx="0">
                  <c:v>0.0185</c:v>
                </c:pt>
                <c:pt idx="1">
                  <c:v>0.0092</c:v>
                </c:pt>
                <c:pt idx="2">
                  <c:v>0.0098</c:v>
                </c:pt>
                <c:pt idx="3">
                  <c:v>0.0101</c:v>
                </c:pt>
                <c:pt idx="4">
                  <c:v>0.0047</c:v>
                </c:pt>
                <c:pt idx="5">
                  <c:v>0.0033</c:v>
                </c:pt>
                <c:pt idx="6">
                  <c:v>0.0068</c:v>
                </c:pt>
                <c:pt idx="7">
                  <c:v>0.0024</c:v>
                </c:pt>
                <c:pt idx="8">
                  <c:v>0.0016</c:v>
                </c:pt>
                <c:pt idx="9">
                  <c:v>0.005</c:v>
                </c:pt>
                <c:pt idx="10">
                  <c:v>0.0036</c:v>
                </c:pt>
                <c:pt idx="11">
                  <c:v>0.0031</c:v>
                </c:pt>
                <c:pt idx="12">
                  <c:v>0.0016</c:v>
                </c:pt>
                <c:pt idx="13">
                  <c:v>0.0025</c:v>
                </c:pt>
                <c:pt idx="14">
                  <c:v>0.0013</c:v>
                </c:pt>
                <c:pt idx="15">
                  <c:v>0.0037</c:v>
                </c:pt>
                <c:pt idx="16">
                  <c:v>0.0083</c:v>
                </c:pt>
                <c:pt idx="17">
                  <c:v>0.006</c:v>
                </c:pt>
                <c:pt idx="18">
                  <c:v>0.0084</c:v>
                </c:pt>
                <c:pt idx="19">
                  <c:v>0.0012</c:v>
                </c:pt>
                <c:pt idx="20">
                  <c:v>0.0094</c:v>
                </c:pt>
                <c:pt idx="21">
                  <c:v>0.0026</c:v>
                </c:pt>
                <c:pt idx="22">
                  <c:v>0.0049</c:v>
                </c:pt>
              </c:numCache>
            </c:numRef>
          </c:val>
        </c:ser>
        <c:ser>
          <c:idx val="2"/>
          <c:order val="2"/>
          <c:tx>
            <c:strRef>
              <c:f>U3TPR!$E$3</c:f>
              <c:strCache>
                <c:ptCount val="1"/>
                <c:pt idx="0">
                  <c:v>Unauthorized U3TPR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U3TPR!$E$5:$E$27</c:f>
              <c:numCache>
                <c:formatCode>General</c:formatCode>
                <c:ptCount val="23"/>
                <c:pt idx="0">
                  <c:v>0.0921</c:v>
                </c:pt>
                <c:pt idx="1">
                  <c:v>0.0584</c:v>
                </c:pt>
                <c:pt idx="2">
                  <c:v>0.0742</c:v>
                </c:pt>
                <c:pt idx="3">
                  <c:v>0.0789</c:v>
                </c:pt>
                <c:pt idx="4">
                  <c:v>0.0468</c:v>
                </c:pt>
                <c:pt idx="5">
                  <c:v>0.0395</c:v>
                </c:pt>
                <c:pt idx="6">
                  <c:v>0.0512</c:v>
                </c:pt>
                <c:pt idx="7">
                  <c:v>0.0321</c:v>
                </c:pt>
                <c:pt idx="8">
                  <c:v>0.0284</c:v>
                </c:pt>
                <c:pt idx="9">
                  <c:v>0.0453</c:v>
                </c:pt>
                <c:pt idx="10">
                  <c:v>0.0402</c:v>
                </c:pt>
                <c:pt idx="11">
                  <c:v>0.0378</c:v>
                </c:pt>
                <c:pt idx="12">
                  <c:v>0.0305</c:v>
                </c:pt>
                <c:pt idx="13">
                  <c:v>0.0289</c:v>
                </c:pt>
                <c:pt idx="14">
                  <c:v>0.0267</c:v>
                </c:pt>
                <c:pt idx="15">
                  <c:v>0.0324</c:v>
                </c:pt>
                <c:pt idx="16">
                  <c:v>0.0587</c:v>
                </c:pt>
                <c:pt idx="17">
                  <c:v>0.0418</c:v>
                </c:pt>
                <c:pt idx="18">
                  <c:v>0.0442</c:v>
                </c:pt>
                <c:pt idx="19">
                  <c:v>0.0259</c:v>
                </c:pt>
                <c:pt idx="20">
                  <c:v>0.0621</c:v>
                </c:pt>
                <c:pt idx="21">
                  <c:v>0.0345</c:v>
                </c:pt>
                <c:pt idx="22">
                  <c:v>0.0386</c:v>
                </c:pt>
              </c:numCache>
            </c:numRef>
          </c:val>
        </c:ser>
        <c:ser>
          <c:idx val="3"/>
          <c:order val="3"/>
          <c:tx>
            <c:strRef>
              <c:f>U3TPR!$F$3</c:f>
              <c:strCache>
                <c:ptCount val="1"/>
                <c:pt idx="0">
                  <c:v>American U3TPR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U3TPR!$B$5:$B$27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U3TPR!$F$5:$F$27</c:f>
              <c:numCache>
                <c:formatCode>General</c:formatCode>
                <c:ptCount val="23"/>
                <c:pt idx="0">
                  <c:v>0.0284</c:v>
                </c:pt>
                <c:pt idx="1">
                  <c:v>0.0108</c:v>
                </c:pt>
                <c:pt idx="2">
                  <c:v>0.0107</c:v>
                </c:pt>
                <c:pt idx="3">
                  <c:v>0.0119</c:v>
                </c:pt>
                <c:pt idx="4">
                  <c:v>0.0055</c:v>
                </c:pt>
                <c:pt idx="5">
                  <c:v>0.0039</c:v>
                </c:pt>
                <c:pt idx="6">
                  <c:v>0.008</c:v>
                </c:pt>
                <c:pt idx="7">
                  <c:v>0.0028</c:v>
                </c:pt>
                <c:pt idx="8">
                  <c:v>0.0018</c:v>
                </c:pt>
                <c:pt idx="9">
                  <c:v>0.0058</c:v>
                </c:pt>
                <c:pt idx="10">
                  <c:v>0.0042</c:v>
                </c:pt>
                <c:pt idx="11">
                  <c:v>0.0036</c:v>
                </c:pt>
                <c:pt idx="12">
                  <c:v>0.0018</c:v>
                </c:pt>
                <c:pt idx="13">
                  <c:v>0.0029</c:v>
                </c:pt>
                <c:pt idx="14">
                  <c:v>0.0015</c:v>
                </c:pt>
                <c:pt idx="15">
                  <c:v>0.0044</c:v>
                </c:pt>
                <c:pt idx="16">
                  <c:v>0.0097</c:v>
                </c:pt>
                <c:pt idx="17">
                  <c:v>0.007</c:v>
                </c:pt>
                <c:pt idx="18">
                  <c:v>0.0098</c:v>
                </c:pt>
                <c:pt idx="19">
                  <c:v>0.0014</c:v>
                </c:pt>
                <c:pt idx="20">
                  <c:v>0.011</c:v>
                </c:pt>
                <c:pt idx="21">
                  <c:v>0.003</c:v>
                </c:pt>
                <c:pt idx="22">
                  <c:v>0.0057</c:v>
                </c:pt>
              </c:numCache>
            </c:numRef>
          </c:val>
        </c:ser>
        <c:gapWidth val="100"/>
        <c:overlap val="0"/>
        <c:axId val="73181838"/>
        <c:axId val="3585883"/>
      </c:barChart>
      <c:catAx>
        <c:axId val="73181838"/>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83668886175"/>
              <c:y val="0.4771669825952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85883"/>
        <c:crosses val="autoZero"/>
        <c:auto val="1"/>
        <c:lblAlgn val="ctr"/>
        <c:lblOffset val="100"/>
        <c:noMultiLvlLbl val="0"/>
      </c:catAx>
      <c:valAx>
        <c:axId val="358588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Unemployment-To-Population Ratio</a:t>
                </a:r>
              </a:p>
            </c:rich>
          </c:tx>
          <c:layout>
            <c:manualLayout>
              <c:xMode val="edge"/>
              <c:yMode val="edge"/>
              <c:x val="0.399472046018675"/>
              <c:y val="0.96871076536766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3181838"/>
        <c:crosses val="max"/>
        <c:crossBetween val="midCat"/>
      </c:valAx>
      <c:spPr>
        <a:noFill/>
        <a:ln w="0">
          <a:solidFill>
            <a:srgbClr val="b3b3b3"/>
          </a:solidFill>
        </a:ln>
      </c:spPr>
    </c:plotArea>
    <c:legend>
      <c:legendPos val="r"/>
      <c:layout>
        <c:manualLayout>
          <c:xMode val="edge"/>
          <c:yMode val="edge"/>
          <c:x val="0.10491906581072"/>
          <c:y val="0.0405601634220177"/>
          <c:w val="0.785072863332021"/>
          <c:h val="0.02490770366724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 Rate</a:t>
            </a:r>
          </a:p>
        </c:rich>
      </c:tx>
      <c:layout>
        <c:manualLayout>
          <c:xMode val="edge"/>
          <c:yMode val="edge"/>
          <c:x val="0.279281408816925"/>
          <c:y val="0.0105112867094995"/>
        </c:manualLayout>
      </c:layout>
      <c:overlay val="0"/>
      <c:spPr>
        <a:noFill/>
        <a:ln w="0">
          <a:noFill/>
        </a:ln>
      </c:spPr>
    </c:title>
    <c:autoTitleDeleted val="0"/>
    <c:plotArea>
      <c:layout>
        <c:manualLayout>
          <c:layoutTarget val="inner"/>
          <c:xMode val="edge"/>
          <c:yMode val="edge"/>
          <c:x val="0.25000984911161"/>
          <c:y val="0.0844103094306181"/>
          <c:w val="0.649686798250798"/>
          <c:h val="0.852571203505403"/>
        </c:manualLayout>
      </c:layout>
      <c:barChart>
        <c:barDir val="bar"/>
        <c:grouping val="clustered"/>
        <c:varyColors val="0"/>
        <c:ser>
          <c:idx val="0"/>
          <c:order val="0"/>
          <c:tx>
            <c:strRef>
              <c:f>U6R!$C$3</c:f>
              <c:strCache>
                <c:ptCount val="1"/>
                <c:pt idx="0">
                  <c:v>Overall U6R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U6R!$C$5:$C$27</c:f>
              <c:numCache>
                <c:formatCode>General</c:formatCode>
                <c:ptCount val="23"/>
                <c:pt idx="0">
                  <c:v>0.072</c:v>
                </c:pt>
                <c:pt idx="1">
                  <c:v>0.055</c:v>
                </c:pt>
                <c:pt idx="2">
                  <c:v>0.055</c:v>
                </c:pt>
                <c:pt idx="3">
                  <c:v>0.088</c:v>
                </c:pt>
                <c:pt idx="4">
                  <c:v>0.072</c:v>
                </c:pt>
                <c:pt idx="5">
                  <c:v>0.062</c:v>
                </c:pt>
                <c:pt idx="6">
                  <c:v>0.072</c:v>
                </c:pt>
                <c:pt idx="7">
                  <c:v>0.055</c:v>
                </c:pt>
                <c:pt idx="8">
                  <c:v>0.048</c:v>
                </c:pt>
                <c:pt idx="9">
                  <c:v>0.072</c:v>
                </c:pt>
                <c:pt idx="10">
                  <c:v>0.062</c:v>
                </c:pt>
                <c:pt idx="11">
                  <c:v>0.055</c:v>
                </c:pt>
                <c:pt idx="12">
                  <c:v>0.048</c:v>
                </c:pt>
                <c:pt idx="13">
                  <c:v>0.038</c:v>
                </c:pt>
                <c:pt idx="14">
                  <c:v>0.038</c:v>
                </c:pt>
                <c:pt idx="15">
                  <c:v>0.045</c:v>
                </c:pt>
                <c:pt idx="16">
                  <c:v>0.095</c:v>
                </c:pt>
                <c:pt idx="17">
                  <c:v>0.055</c:v>
                </c:pt>
                <c:pt idx="18">
                  <c:v>0.055</c:v>
                </c:pt>
                <c:pt idx="19">
                  <c:v>0.038</c:v>
                </c:pt>
                <c:pt idx="20">
                  <c:v>0.095</c:v>
                </c:pt>
                <c:pt idx="21">
                  <c:v>0.055</c:v>
                </c:pt>
                <c:pt idx="22">
                  <c:v>0.038</c:v>
                </c:pt>
              </c:numCache>
            </c:numRef>
          </c:val>
        </c:ser>
        <c:ser>
          <c:idx val="1"/>
          <c:order val="1"/>
          <c:tx>
            <c:strRef>
              <c:f>U6R!$D$3</c:f>
              <c:strCache>
                <c:ptCount val="1"/>
                <c:pt idx="0">
                  <c:v>Authorized U6R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U6R!$D$5:$D$27</c:f>
              <c:numCache>
                <c:formatCode>General</c:formatCode>
                <c:ptCount val="23"/>
                <c:pt idx="0">
                  <c:v>0.059</c:v>
                </c:pt>
                <c:pt idx="1">
                  <c:v>0.045</c:v>
                </c:pt>
                <c:pt idx="2">
                  <c:v>0.045</c:v>
                </c:pt>
                <c:pt idx="3">
                  <c:v>0.072</c:v>
                </c:pt>
                <c:pt idx="4">
                  <c:v>0.059</c:v>
                </c:pt>
                <c:pt idx="5">
                  <c:v>0.051</c:v>
                </c:pt>
                <c:pt idx="6">
                  <c:v>0.059</c:v>
                </c:pt>
                <c:pt idx="7">
                  <c:v>0.045</c:v>
                </c:pt>
                <c:pt idx="8">
                  <c:v>0.039</c:v>
                </c:pt>
                <c:pt idx="9">
                  <c:v>0.059</c:v>
                </c:pt>
                <c:pt idx="10">
                  <c:v>0.051</c:v>
                </c:pt>
                <c:pt idx="11">
                  <c:v>0.045</c:v>
                </c:pt>
                <c:pt idx="12">
                  <c:v>0.039</c:v>
                </c:pt>
                <c:pt idx="13">
                  <c:v>0.031</c:v>
                </c:pt>
                <c:pt idx="14">
                  <c:v>0.031</c:v>
                </c:pt>
                <c:pt idx="15">
                  <c:v>0.037</c:v>
                </c:pt>
                <c:pt idx="16">
                  <c:v>0.078</c:v>
                </c:pt>
                <c:pt idx="17">
                  <c:v>0.045</c:v>
                </c:pt>
                <c:pt idx="18">
                  <c:v>0.045</c:v>
                </c:pt>
                <c:pt idx="19">
                  <c:v>0.031</c:v>
                </c:pt>
                <c:pt idx="20">
                  <c:v>0.078</c:v>
                </c:pt>
                <c:pt idx="21">
                  <c:v>0.045</c:v>
                </c:pt>
                <c:pt idx="22">
                  <c:v>0.031</c:v>
                </c:pt>
              </c:numCache>
            </c:numRef>
          </c:val>
        </c:ser>
        <c:ser>
          <c:idx val="2"/>
          <c:order val="2"/>
          <c:tx>
            <c:strRef>
              <c:f>U6R!$E$3</c:f>
              <c:strCache>
                <c:ptCount val="1"/>
                <c:pt idx="0">
                  <c:v>Unauthorized U6R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U6R!$E$5:$E$27</c:f>
              <c:numCache>
                <c:formatCode>General</c:formatCode>
                <c:ptCount val="23"/>
                <c:pt idx="0">
                  <c:v>0.318</c:v>
                </c:pt>
                <c:pt idx="1">
                  <c:v>0.19</c:v>
                </c:pt>
                <c:pt idx="2">
                  <c:v>0.225</c:v>
                </c:pt>
                <c:pt idx="3">
                  <c:v>0.232</c:v>
                </c:pt>
                <c:pt idx="4">
                  <c:v>0.142</c:v>
                </c:pt>
                <c:pt idx="5">
                  <c:v>0.12</c:v>
                </c:pt>
                <c:pt idx="6">
                  <c:v>0.155</c:v>
                </c:pt>
                <c:pt idx="7">
                  <c:v>0.098</c:v>
                </c:pt>
                <c:pt idx="8">
                  <c:v>0.087</c:v>
                </c:pt>
                <c:pt idx="9">
                  <c:v>0.138</c:v>
                </c:pt>
                <c:pt idx="10">
                  <c:v>0.122</c:v>
                </c:pt>
                <c:pt idx="11">
                  <c:v>0.115</c:v>
                </c:pt>
                <c:pt idx="12">
                  <c:v>0.093</c:v>
                </c:pt>
                <c:pt idx="13">
                  <c:v>0.088</c:v>
                </c:pt>
                <c:pt idx="14">
                  <c:v>0.081</c:v>
                </c:pt>
                <c:pt idx="15">
                  <c:v>0.098</c:v>
                </c:pt>
                <c:pt idx="16">
                  <c:v>0.178</c:v>
                </c:pt>
                <c:pt idx="17">
                  <c:v>0.127</c:v>
                </c:pt>
                <c:pt idx="18">
                  <c:v>0.134</c:v>
                </c:pt>
                <c:pt idx="19">
                  <c:v>0.079</c:v>
                </c:pt>
                <c:pt idx="20">
                  <c:v>0.188</c:v>
                </c:pt>
                <c:pt idx="21">
                  <c:v>0.105</c:v>
                </c:pt>
                <c:pt idx="22">
                  <c:v>0.117</c:v>
                </c:pt>
              </c:numCache>
            </c:numRef>
          </c:val>
        </c:ser>
        <c:ser>
          <c:idx val="3"/>
          <c:order val="3"/>
          <c:tx>
            <c:strRef>
              <c:f>U6R!$F$3</c:f>
              <c:strCache>
                <c:ptCount val="1"/>
                <c:pt idx="0">
                  <c:v>American U6R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U6R!$F$5:$F$27</c:f>
              <c:numCache>
                <c:formatCode>General</c:formatCode>
                <c:ptCount val="23"/>
                <c:pt idx="0">
                  <c:v>0.069</c:v>
                </c:pt>
                <c:pt idx="1">
                  <c:v>0.053</c:v>
                </c:pt>
                <c:pt idx="2">
                  <c:v>0.053</c:v>
                </c:pt>
                <c:pt idx="3">
                  <c:v>0.085</c:v>
                </c:pt>
                <c:pt idx="4">
                  <c:v>0.069</c:v>
                </c:pt>
                <c:pt idx="5">
                  <c:v>0.059</c:v>
                </c:pt>
                <c:pt idx="6">
                  <c:v>0.069</c:v>
                </c:pt>
                <c:pt idx="7">
                  <c:v>0.053</c:v>
                </c:pt>
                <c:pt idx="8">
                  <c:v>0.046</c:v>
                </c:pt>
                <c:pt idx="9">
                  <c:v>0.069</c:v>
                </c:pt>
                <c:pt idx="10">
                  <c:v>0.059</c:v>
                </c:pt>
                <c:pt idx="11">
                  <c:v>0.053</c:v>
                </c:pt>
                <c:pt idx="12">
                  <c:v>0.046</c:v>
                </c:pt>
                <c:pt idx="13">
                  <c:v>0.036</c:v>
                </c:pt>
                <c:pt idx="14">
                  <c:v>0.036</c:v>
                </c:pt>
                <c:pt idx="15">
                  <c:v>0.043</c:v>
                </c:pt>
                <c:pt idx="16">
                  <c:v>0.091</c:v>
                </c:pt>
                <c:pt idx="17">
                  <c:v>0.053</c:v>
                </c:pt>
                <c:pt idx="18">
                  <c:v>0.053</c:v>
                </c:pt>
                <c:pt idx="19">
                  <c:v>0.036</c:v>
                </c:pt>
                <c:pt idx="20">
                  <c:v>0.091</c:v>
                </c:pt>
                <c:pt idx="21">
                  <c:v>0.053</c:v>
                </c:pt>
                <c:pt idx="22">
                  <c:v>0.036</c:v>
                </c:pt>
              </c:numCache>
            </c:numRef>
          </c:val>
        </c:ser>
        <c:gapWidth val="100"/>
        <c:overlap val="0"/>
        <c:axId val="74013029"/>
        <c:axId val="35060476"/>
      </c:barChart>
      <c:catAx>
        <c:axId val="7401302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67557026356"/>
              <c:y val="0.47704502375501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060476"/>
        <c:crosses val="autoZero"/>
        <c:auto val="1"/>
        <c:lblAlgn val="ctr"/>
        <c:lblOffset val="100"/>
        <c:noMultiLvlLbl val="0"/>
      </c:catAx>
      <c:valAx>
        <c:axId val="35060476"/>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 Rate</a:t>
                </a:r>
              </a:p>
            </c:rich>
          </c:tx>
          <c:layout>
            <c:manualLayout>
              <c:xMode val="edge"/>
              <c:yMode val="edge"/>
              <c:x val="0.431509277863137"/>
              <c:y val="0.968712305836595"/>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4013029"/>
        <c:crosses val="max"/>
        <c:crossBetween val="midCat"/>
        <c:majorUnit val="0.01"/>
      </c:valAx>
      <c:spPr>
        <a:noFill/>
        <a:ln w="0">
          <a:solidFill>
            <a:srgbClr val="b3b3b3"/>
          </a:solidFill>
        </a:ln>
      </c:spPr>
    </c:plotArea>
    <c:legend>
      <c:legendPos val="r"/>
      <c:layout>
        <c:manualLayout>
          <c:xMode val="edge"/>
          <c:yMode val="edge"/>
          <c:x val="0.104950183121333"/>
          <c:y val="0.0405827775453449"/>
          <c:w val="0.784971644612476"/>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Unemployed Population</a:t>
            </a:r>
          </a:p>
        </c:rich>
      </c:tx>
      <c:layout>
        <c:manualLayout>
          <c:xMode val="edge"/>
          <c:yMode val="edge"/>
          <c:x val="0.298144719738449"/>
          <c:y val="0.0113471336795727"/>
        </c:manualLayout>
      </c:layout>
      <c:overlay val="0"/>
      <c:spPr>
        <a:noFill/>
        <a:ln w="0">
          <a:noFill/>
        </a:ln>
      </c:spPr>
    </c:title>
    <c:autoTitleDeleted val="0"/>
    <c:plotArea>
      <c:layout>
        <c:manualLayout>
          <c:layoutTarget val="inner"/>
          <c:xMode val="edge"/>
          <c:yMode val="edge"/>
          <c:x val="0.250009847559775"/>
          <c:y val="0.0844019986708347"/>
          <c:w val="0.649741993933903"/>
          <c:h val="0.852684175548281"/>
        </c:manualLayout>
      </c:layout>
      <c:barChart>
        <c:barDir val="bar"/>
        <c:grouping val="clustered"/>
        <c:varyColors val="0"/>
        <c:ser>
          <c:idx val="0"/>
          <c:order val="0"/>
          <c:tx>
            <c:strRef>
              <c:f>U6P!$C$3</c:f>
              <c:strCache>
                <c:ptCount val="1"/>
                <c:pt idx="0">
                  <c:v>Overall U6P</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U6P!$C$5:$C$27</c:f>
              <c:numCache>
                <c:formatCode>General</c:formatCode>
                <c:ptCount val="23"/>
                <c:pt idx="0">
                  <c:v>21000</c:v>
                </c:pt>
                <c:pt idx="1">
                  <c:v>8700</c:v>
                </c:pt>
                <c:pt idx="2">
                  <c:v>8700</c:v>
                </c:pt>
                <c:pt idx="3">
                  <c:v>94000</c:v>
                </c:pt>
                <c:pt idx="4">
                  <c:v>44400</c:v>
                </c:pt>
                <c:pt idx="5">
                  <c:v>30700</c:v>
                </c:pt>
                <c:pt idx="6">
                  <c:v>63800</c:v>
                </c:pt>
                <c:pt idx="7">
                  <c:v>22300</c:v>
                </c:pt>
                <c:pt idx="8">
                  <c:v>14500</c:v>
                </c:pt>
                <c:pt idx="9">
                  <c:v>46500</c:v>
                </c:pt>
                <c:pt idx="10">
                  <c:v>33300</c:v>
                </c:pt>
                <c:pt idx="11">
                  <c:v>28200</c:v>
                </c:pt>
                <c:pt idx="12">
                  <c:v>14700</c:v>
                </c:pt>
                <c:pt idx="13">
                  <c:v>23300</c:v>
                </c:pt>
                <c:pt idx="14">
                  <c:v>11700</c:v>
                </c:pt>
                <c:pt idx="15">
                  <c:v>35000</c:v>
                </c:pt>
                <c:pt idx="16">
                  <c:v>77000</c:v>
                </c:pt>
                <c:pt idx="17">
                  <c:v>55800</c:v>
                </c:pt>
                <c:pt idx="18">
                  <c:v>78500</c:v>
                </c:pt>
                <c:pt idx="19">
                  <c:v>11000</c:v>
                </c:pt>
                <c:pt idx="20">
                  <c:v>87000</c:v>
                </c:pt>
                <c:pt idx="21">
                  <c:v>23800</c:v>
                </c:pt>
                <c:pt idx="22">
                  <c:v>45800</c:v>
                </c:pt>
              </c:numCache>
            </c:numRef>
          </c:val>
        </c:ser>
        <c:ser>
          <c:idx val="1"/>
          <c:order val="1"/>
          <c:tx>
            <c:strRef>
              <c:f>U6P!$D$3</c:f>
              <c:strCache>
                <c:ptCount val="1"/>
                <c:pt idx="0">
                  <c:v>Authorized U6P</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U6P!$D$5:$D$27</c:f>
              <c:numCache>
                <c:formatCode>General</c:formatCode>
                <c:ptCount val="23"/>
                <c:pt idx="0">
                  <c:v>142</c:v>
                </c:pt>
                <c:pt idx="1">
                  <c:v>89</c:v>
                </c:pt>
                <c:pt idx="2">
                  <c:v>528</c:v>
                </c:pt>
                <c:pt idx="3">
                  <c:v>5480</c:v>
                </c:pt>
                <c:pt idx="4">
                  <c:v>1198</c:v>
                </c:pt>
                <c:pt idx="5">
                  <c:v>1288</c:v>
                </c:pt>
                <c:pt idx="6">
                  <c:v>3398</c:v>
                </c:pt>
                <c:pt idx="7">
                  <c:v>1466</c:v>
                </c:pt>
                <c:pt idx="8">
                  <c:v>1702</c:v>
                </c:pt>
                <c:pt idx="9">
                  <c:v>4570</c:v>
                </c:pt>
                <c:pt idx="10">
                  <c:v>578</c:v>
                </c:pt>
                <c:pt idx="11">
                  <c:v>464</c:v>
                </c:pt>
                <c:pt idx="12">
                  <c:v>234</c:v>
                </c:pt>
                <c:pt idx="13">
                  <c:v>0</c:v>
                </c:pt>
                <c:pt idx="14">
                  <c:v>56</c:v>
                </c:pt>
                <c:pt idx="15">
                  <c:v>0</c:v>
                </c:pt>
                <c:pt idx="16">
                  <c:v>5576</c:v>
                </c:pt>
                <c:pt idx="17">
                  <c:v>602</c:v>
                </c:pt>
                <c:pt idx="18">
                  <c:v>2016</c:v>
                </c:pt>
                <c:pt idx="19">
                  <c:v>56</c:v>
                </c:pt>
                <c:pt idx="20">
                  <c:v>486</c:v>
                </c:pt>
                <c:pt idx="21">
                  <c:v>496</c:v>
                </c:pt>
                <c:pt idx="22">
                  <c:v>632</c:v>
                </c:pt>
              </c:numCache>
            </c:numRef>
          </c:val>
        </c:ser>
        <c:ser>
          <c:idx val="2"/>
          <c:order val="2"/>
          <c:tx>
            <c:strRef>
              <c:f>U6P!$E$3</c:f>
              <c:strCache>
                <c:ptCount val="1"/>
                <c:pt idx="0">
                  <c:v>Unauthorized U6P</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U6P!$E$5:$E$27</c:f>
              <c:numCache>
                <c:formatCode>General</c:formatCode>
                <c:ptCount val="23"/>
                <c:pt idx="0">
                  <c:v>5480</c:v>
                </c:pt>
                <c:pt idx="1">
                  <c:v>892</c:v>
                </c:pt>
                <c:pt idx="2">
                  <c:v>672</c:v>
                </c:pt>
                <c:pt idx="3">
                  <c:v>14800</c:v>
                </c:pt>
                <c:pt idx="4">
                  <c:v>4800</c:v>
                </c:pt>
                <c:pt idx="5">
                  <c:v>1840</c:v>
                </c:pt>
                <c:pt idx="6">
                  <c:v>3692</c:v>
                </c:pt>
                <c:pt idx="7">
                  <c:v>1652</c:v>
                </c:pt>
                <c:pt idx="8">
                  <c:v>2044</c:v>
                </c:pt>
                <c:pt idx="9">
                  <c:v>7198</c:v>
                </c:pt>
                <c:pt idx="10">
                  <c:v>2402</c:v>
                </c:pt>
                <c:pt idx="11">
                  <c:v>1856</c:v>
                </c:pt>
                <c:pt idx="12">
                  <c:v>998</c:v>
                </c:pt>
                <c:pt idx="13">
                  <c:v>0</c:v>
                </c:pt>
                <c:pt idx="14">
                  <c:v>0</c:v>
                </c:pt>
                <c:pt idx="15">
                  <c:v>0</c:v>
                </c:pt>
                <c:pt idx="16">
                  <c:v>13640</c:v>
                </c:pt>
                <c:pt idx="17">
                  <c:v>3200</c:v>
                </c:pt>
                <c:pt idx="18">
                  <c:v>3296</c:v>
                </c:pt>
                <c:pt idx="19">
                  <c:v>0</c:v>
                </c:pt>
                <c:pt idx="20">
                  <c:v>10314</c:v>
                </c:pt>
                <c:pt idx="21">
                  <c:v>3620</c:v>
                </c:pt>
                <c:pt idx="22">
                  <c:v>1772</c:v>
                </c:pt>
              </c:numCache>
            </c:numRef>
          </c:val>
        </c:ser>
        <c:ser>
          <c:idx val="3"/>
          <c:order val="3"/>
          <c:tx>
            <c:strRef>
              <c:f>U6P!$F$3</c:f>
              <c:strCache>
                <c:ptCount val="1"/>
                <c:pt idx="0">
                  <c:v>American U6P</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U6P!$B$5:$B$27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U6P!$F$5:$F$27</c:f>
              <c:numCache>
                <c:formatCode>General</c:formatCode>
                <c:ptCount val="23"/>
                <c:pt idx="0">
                  <c:v>15378</c:v>
                </c:pt>
                <c:pt idx="1">
                  <c:v>7719</c:v>
                </c:pt>
                <c:pt idx="2">
                  <c:v>7500</c:v>
                </c:pt>
                <c:pt idx="3">
                  <c:v>73720</c:v>
                </c:pt>
                <c:pt idx="4">
                  <c:v>38402</c:v>
                </c:pt>
                <c:pt idx="5">
                  <c:v>27572</c:v>
                </c:pt>
                <c:pt idx="6">
                  <c:v>56710</c:v>
                </c:pt>
                <c:pt idx="7">
                  <c:v>19182</c:v>
                </c:pt>
                <c:pt idx="8">
                  <c:v>10754</c:v>
                </c:pt>
                <c:pt idx="9">
                  <c:v>34732</c:v>
                </c:pt>
                <c:pt idx="10">
                  <c:v>30320</c:v>
                </c:pt>
                <c:pt idx="11">
                  <c:v>25880</c:v>
                </c:pt>
                <c:pt idx="12">
                  <c:v>13468</c:v>
                </c:pt>
                <c:pt idx="13">
                  <c:v>23300</c:v>
                </c:pt>
                <c:pt idx="14">
                  <c:v>11644</c:v>
                </c:pt>
                <c:pt idx="15">
                  <c:v>35000</c:v>
                </c:pt>
                <c:pt idx="16">
                  <c:v>57784</c:v>
                </c:pt>
                <c:pt idx="17">
                  <c:v>51998</c:v>
                </c:pt>
                <c:pt idx="18">
                  <c:v>73288</c:v>
                </c:pt>
                <c:pt idx="19">
                  <c:v>10944</c:v>
                </c:pt>
                <c:pt idx="20">
                  <c:v>76200</c:v>
                </c:pt>
                <c:pt idx="21">
                  <c:v>19684</c:v>
                </c:pt>
                <c:pt idx="22">
                  <c:v>43396</c:v>
                </c:pt>
              </c:numCache>
            </c:numRef>
          </c:val>
        </c:ser>
        <c:gapWidth val="100"/>
        <c:overlap val="0"/>
        <c:axId val="58095056"/>
        <c:axId val="16387378"/>
      </c:barChart>
      <c:catAx>
        <c:axId val="5809505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5340922519"/>
              <c:y val="0.47638270115932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6387378"/>
        <c:crosses val="autoZero"/>
        <c:auto val="1"/>
        <c:lblAlgn val="ctr"/>
        <c:lblOffset val="100"/>
        <c:noMultiLvlLbl val="0"/>
      </c:catAx>
      <c:valAx>
        <c:axId val="1638737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Unmployed Population</a:t>
                </a:r>
              </a:p>
            </c:rich>
          </c:tx>
          <c:layout>
            <c:manualLayout>
              <c:xMode val="edge"/>
              <c:yMode val="edge"/>
              <c:x val="0.430653484066648"/>
              <c:y val="0.96871538631944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8095056"/>
        <c:crosses val="max"/>
        <c:crossBetween val="midCat"/>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Underemployment-To-Population Ratio</a:t>
            </a:r>
          </a:p>
        </c:rich>
      </c:tx>
      <c:layout>
        <c:manualLayout>
          <c:xMode val="edge"/>
          <c:yMode val="edge"/>
          <c:x val="0.275205862653166"/>
          <c:y val="0.0106595110903227"/>
        </c:manualLayout>
      </c:layout>
      <c:overlay val="0"/>
      <c:spPr>
        <a:noFill/>
        <a:ln w="0">
          <a:noFill/>
        </a:ln>
      </c:spPr>
    </c:title>
    <c:autoTitleDeleted val="0"/>
    <c:plotArea>
      <c:layout>
        <c:manualLayout>
          <c:layoutTarget val="inner"/>
          <c:xMode val="edge"/>
          <c:yMode val="edge"/>
          <c:x val="0.249990150112289"/>
          <c:y val="0.0844144654242879"/>
          <c:w val="0.64973799298688"/>
          <c:h val="0.852637798183206"/>
        </c:manualLayout>
      </c:layout>
      <c:barChart>
        <c:barDir val="bar"/>
        <c:grouping val="clustered"/>
        <c:varyColors val="0"/>
        <c:ser>
          <c:idx val="0"/>
          <c:order val="0"/>
          <c:tx>
            <c:strRef>
              <c:f>U6TPR!$C$3</c:f>
              <c:strCache>
                <c:ptCount val="1"/>
                <c:pt idx="0">
                  <c:v>Overall U3TPR</c:v>
                </c:pt>
              </c:strCache>
            </c:strRef>
          </c:tx>
          <c:spPr>
            <a:solidFill>
              <a:srgbClr val="004586"/>
            </a:solidFill>
            <a:ln w="0">
              <a:noFill/>
            </a:ln>
          </c:spPr>
          <c:invertIfNegative val="0"/>
          <c:dPt>
            <c:idx val="8"/>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U6TPR!$C$5:$C$27</c:f>
              <c:numCache>
                <c:formatCode>General</c:formatCode>
                <c:ptCount val="23"/>
                <c:pt idx="0">
                  <c:v>0.0647</c:v>
                </c:pt>
                <c:pt idx="1">
                  <c:v>0.0211</c:v>
                </c:pt>
                <c:pt idx="2">
                  <c:v>0.0211</c:v>
                </c:pt>
                <c:pt idx="3">
                  <c:v>0.0266</c:v>
                </c:pt>
                <c:pt idx="4">
                  <c:v>0.0108</c:v>
                </c:pt>
                <c:pt idx="5">
                  <c:v>0.0074</c:v>
                </c:pt>
                <c:pt idx="6">
                  <c:v>0.0183</c:v>
                </c:pt>
                <c:pt idx="7">
                  <c:v>0.0054</c:v>
                </c:pt>
                <c:pt idx="8">
                  <c:v>0.0035</c:v>
                </c:pt>
                <c:pt idx="9">
                  <c:v>0.0133</c:v>
                </c:pt>
                <c:pt idx="10">
                  <c:v>0.0095</c:v>
                </c:pt>
                <c:pt idx="11">
                  <c:v>0.0081</c:v>
                </c:pt>
                <c:pt idx="12">
                  <c:v>0.0042</c:v>
                </c:pt>
                <c:pt idx="13">
                  <c:v>0.0067</c:v>
                </c:pt>
                <c:pt idx="14">
                  <c:v>0.0034</c:v>
                </c:pt>
                <c:pt idx="15">
                  <c:v>0.0101</c:v>
                </c:pt>
                <c:pt idx="16">
                  <c:v>0.0221</c:v>
                </c:pt>
                <c:pt idx="17">
                  <c:v>0.0159</c:v>
                </c:pt>
                <c:pt idx="18">
                  <c:v>0.0223</c:v>
                </c:pt>
                <c:pt idx="19">
                  <c:v>0.0032</c:v>
                </c:pt>
                <c:pt idx="20">
                  <c:v>0.0251</c:v>
                </c:pt>
                <c:pt idx="21">
                  <c:v>0.0069</c:v>
                </c:pt>
                <c:pt idx="22">
                  <c:v>0.0131</c:v>
                </c:pt>
              </c:numCache>
            </c:numRef>
          </c:val>
        </c:ser>
        <c:ser>
          <c:idx val="1"/>
          <c:order val="1"/>
          <c:tx>
            <c:strRef>
              <c:f>U6TPR!$D$3</c:f>
              <c:strCache>
                <c:ptCount val="1"/>
                <c:pt idx="0">
                  <c:v>Authorized U3TPR</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U6TPR!$D$5:$D$27</c:f>
              <c:numCache>
                <c:formatCode>General</c:formatCode>
                <c:ptCount val="23"/>
                <c:pt idx="0">
                  <c:v>0.0532</c:v>
                </c:pt>
                <c:pt idx="1">
                  <c:v>0.0174</c:v>
                </c:pt>
                <c:pt idx="2">
                  <c:v>0.0178</c:v>
                </c:pt>
                <c:pt idx="3">
                  <c:v>0.0219</c:v>
                </c:pt>
                <c:pt idx="4">
                  <c:v>0.0089</c:v>
                </c:pt>
                <c:pt idx="5">
                  <c:v>0.0061</c:v>
                </c:pt>
                <c:pt idx="6">
                  <c:v>0.0151</c:v>
                </c:pt>
                <c:pt idx="7">
                  <c:v>0.0045</c:v>
                </c:pt>
                <c:pt idx="8">
                  <c:v>0.0029</c:v>
                </c:pt>
                <c:pt idx="9">
                  <c:v>0.011</c:v>
                </c:pt>
                <c:pt idx="10">
                  <c:v>0.0078</c:v>
                </c:pt>
                <c:pt idx="11">
                  <c:v>0.0067</c:v>
                </c:pt>
                <c:pt idx="12">
                  <c:v>0.0035</c:v>
                </c:pt>
                <c:pt idx="13">
                  <c:v>0.0055</c:v>
                </c:pt>
                <c:pt idx="14">
                  <c:v>0.0028</c:v>
                </c:pt>
                <c:pt idx="15">
                  <c:v>0.0083</c:v>
                </c:pt>
                <c:pt idx="16">
                  <c:v>0.0182</c:v>
                </c:pt>
                <c:pt idx="17">
                  <c:v>0.0131</c:v>
                </c:pt>
                <c:pt idx="18">
                  <c:v>0.0184</c:v>
                </c:pt>
                <c:pt idx="19">
                  <c:v>0.0026</c:v>
                </c:pt>
                <c:pt idx="20">
                  <c:v>0.0207</c:v>
                </c:pt>
                <c:pt idx="21">
                  <c:v>0.0057</c:v>
                </c:pt>
                <c:pt idx="22">
                  <c:v>0.0108</c:v>
                </c:pt>
              </c:numCache>
            </c:numRef>
          </c:val>
        </c:ser>
        <c:ser>
          <c:idx val="2"/>
          <c:order val="2"/>
          <c:tx>
            <c:strRef>
              <c:f>U6TPR!$E$3</c:f>
              <c:strCache>
                <c:ptCount val="1"/>
                <c:pt idx="0">
                  <c:v>Unauthorized U3TPR</c:v>
                </c:pt>
              </c:strCache>
            </c:strRef>
          </c:tx>
          <c:spPr>
            <a:solidFill>
              <a:srgbClr val="ffd320"/>
            </a:solidFill>
            <a:ln w="0">
              <a:noFill/>
            </a:ln>
          </c:spPr>
          <c:invertIfNegative val="0"/>
          <c:dLbls>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U6TPR!$E$5:$E$27</c:f>
              <c:numCache>
                <c:formatCode>General</c:formatCode>
                <c:ptCount val="23"/>
                <c:pt idx="0">
                  <c:v>0.3185</c:v>
                </c:pt>
                <c:pt idx="1">
                  <c:v>0.1897</c:v>
                </c:pt>
                <c:pt idx="2">
                  <c:v>0.225</c:v>
                </c:pt>
                <c:pt idx="3">
                  <c:v>0.2321</c:v>
                </c:pt>
                <c:pt idx="4">
                  <c:v>0.1423</c:v>
                </c:pt>
                <c:pt idx="5">
                  <c:v>0.1198</c:v>
                </c:pt>
                <c:pt idx="6">
                  <c:v>0.1554</c:v>
                </c:pt>
                <c:pt idx="7">
                  <c:v>0.0976</c:v>
                </c:pt>
                <c:pt idx="8">
                  <c:v>0.0865</c:v>
                </c:pt>
                <c:pt idx="9">
                  <c:v>0.1378</c:v>
                </c:pt>
                <c:pt idx="10">
                  <c:v>0.1221</c:v>
                </c:pt>
                <c:pt idx="11">
                  <c:v>0.1148</c:v>
                </c:pt>
                <c:pt idx="12">
                  <c:v>0.0927</c:v>
                </c:pt>
                <c:pt idx="13">
                  <c:v>0.0879</c:v>
                </c:pt>
                <c:pt idx="14">
                  <c:v>0.0812</c:v>
                </c:pt>
                <c:pt idx="15">
                  <c:v>0.0983</c:v>
                </c:pt>
                <c:pt idx="16">
                  <c:v>0.1779</c:v>
                </c:pt>
                <c:pt idx="17">
                  <c:v>0.1267</c:v>
                </c:pt>
                <c:pt idx="18">
                  <c:v>0.1338</c:v>
                </c:pt>
                <c:pt idx="19">
                  <c:v>0.0788</c:v>
                </c:pt>
                <c:pt idx="20">
                  <c:v>0.1882</c:v>
                </c:pt>
                <c:pt idx="21">
                  <c:v>0.1046</c:v>
                </c:pt>
                <c:pt idx="22">
                  <c:v>0.117</c:v>
                </c:pt>
              </c:numCache>
            </c:numRef>
          </c:val>
        </c:ser>
        <c:ser>
          <c:idx val="3"/>
          <c:order val="3"/>
          <c:tx>
            <c:strRef>
              <c:f>U6TPR!$F$3</c:f>
              <c:strCache>
                <c:ptCount val="1"/>
                <c:pt idx="0">
                  <c:v>American U3TPR</c:v>
                </c:pt>
              </c:strCache>
            </c:strRef>
          </c:tx>
          <c:spPr>
            <a:solidFill>
              <a:srgbClr val="579d1c"/>
            </a:solidFill>
            <a:ln w="0">
              <a:noFill/>
            </a:ln>
          </c:spPr>
          <c:invertIfNegative val="0"/>
          <c:dPt>
            <c:idx val="8"/>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U6TPR!$B$5:$B$27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U6TPR!$F$5:$F$27</c:f>
              <c:numCache>
                <c:formatCode>General</c:formatCode>
                <c:ptCount val="23"/>
                <c:pt idx="0">
                  <c:v>0.0628</c:v>
                </c:pt>
                <c:pt idx="1">
                  <c:v>0.0205</c:v>
                </c:pt>
                <c:pt idx="2">
                  <c:v>0.0203</c:v>
                </c:pt>
                <c:pt idx="3">
                  <c:v>0.0259</c:v>
                </c:pt>
                <c:pt idx="4">
                  <c:v>0.0105</c:v>
                </c:pt>
                <c:pt idx="5">
                  <c:v>0.0072</c:v>
                </c:pt>
                <c:pt idx="6">
                  <c:v>0.0178</c:v>
                </c:pt>
                <c:pt idx="7">
                  <c:v>0.0053</c:v>
                </c:pt>
                <c:pt idx="8">
                  <c:v>0.0034</c:v>
                </c:pt>
                <c:pt idx="9">
                  <c:v>0.013</c:v>
                </c:pt>
                <c:pt idx="10">
                  <c:v>0.0093</c:v>
                </c:pt>
                <c:pt idx="11">
                  <c:v>0.0079</c:v>
                </c:pt>
                <c:pt idx="12">
                  <c:v>0.0041</c:v>
                </c:pt>
                <c:pt idx="13">
                  <c:v>0.0065</c:v>
                </c:pt>
                <c:pt idx="14">
                  <c:v>0.0033</c:v>
                </c:pt>
                <c:pt idx="15">
                  <c:v>0.0098</c:v>
                </c:pt>
                <c:pt idx="16">
                  <c:v>0.0215</c:v>
                </c:pt>
                <c:pt idx="17">
                  <c:v>0.0155</c:v>
                </c:pt>
                <c:pt idx="18">
                  <c:v>0.0217</c:v>
                </c:pt>
                <c:pt idx="19">
                  <c:v>0.0031</c:v>
                </c:pt>
                <c:pt idx="20">
                  <c:v>0.0244</c:v>
                </c:pt>
                <c:pt idx="21">
                  <c:v>0.0067</c:v>
                </c:pt>
                <c:pt idx="22">
                  <c:v>0.0128</c:v>
                </c:pt>
              </c:numCache>
            </c:numRef>
          </c:val>
        </c:ser>
        <c:gapWidth val="100"/>
        <c:overlap val="0"/>
        <c:axId val="70553956"/>
        <c:axId val="33061177"/>
      </c:barChart>
      <c:catAx>
        <c:axId val="7055395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83668886175"/>
              <c:y val="0.47711774697816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3061177"/>
        <c:crosses val="autoZero"/>
        <c:auto val="1"/>
        <c:lblAlgn val="ctr"/>
        <c:lblOffset val="100"/>
        <c:noMultiLvlLbl val="0"/>
      </c:catAx>
      <c:valAx>
        <c:axId val="3306117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Underemployment-To-Population Ratio</a:t>
                </a:r>
              </a:p>
            </c:rich>
          </c:tx>
          <c:layout>
            <c:manualLayout>
              <c:xMode val="edge"/>
              <c:yMode val="edge"/>
              <c:x val="0.400023639730507"/>
              <c:y val="0.968710765367667"/>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0553956"/>
        <c:crosses val="max"/>
        <c:crossBetween val="midCat"/>
      </c:valAx>
      <c:spPr>
        <a:noFill/>
        <a:ln w="0">
          <a:solidFill>
            <a:srgbClr val="b3b3b3"/>
          </a:solidFill>
        </a:ln>
      </c:spPr>
    </c:plotArea>
    <c:legend>
      <c:legendPos val="r"/>
      <c:layout>
        <c:manualLayout>
          <c:xMode val="edge"/>
          <c:yMode val="edge"/>
          <c:x val="0.10491906581072"/>
          <c:y val="0.0405601634220177"/>
          <c:w val="0.785072863332021"/>
          <c:h val="0.024907703667241"/>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Wage Average</a:t>
            </a:r>
          </a:p>
        </c:rich>
      </c:tx>
      <c:layout>
        <c:manualLayout>
          <c:xMode val="edge"/>
          <c:yMode val="edge"/>
          <c:x val="0.317143307334751"/>
          <c:y val="0.0105105105105105"/>
        </c:manualLayout>
      </c:layout>
      <c:overlay val="0"/>
      <c:spPr>
        <a:noFill/>
        <a:ln w="0">
          <a:noFill/>
        </a:ln>
      </c:spPr>
    </c:title>
    <c:autoTitleDeleted val="0"/>
    <c:plotArea>
      <c:layout>
        <c:manualLayout>
          <c:layoutTarget val="inner"/>
          <c:xMode val="edge"/>
          <c:yMode val="edge"/>
          <c:x val="0.249980304104625"/>
          <c:y val="0.0844040762073549"/>
          <c:w val="0.649728196643819"/>
          <c:h val="0.852680549401861"/>
        </c:manualLayout>
      </c:layout>
      <c:barChart>
        <c:barDir val="bar"/>
        <c:grouping val="clustered"/>
        <c:varyColors val="0"/>
        <c:ser>
          <c:idx val="0"/>
          <c:order val="0"/>
          <c:tx>
            <c:strRef>
              <c:f>WAVG!$C$3</c:f>
              <c:strCache>
                <c:ptCount val="1"/>
                <c:pt idx="0">
                  <c:v>Overall WAVG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WAVG!$C$5:$C$27</c:f>
              <c:numCache>
                <c:formatCode>General</c:formatCode>
                <c:ptCount val="23"/>
                <c:pt idx="0">
                  <c:v>18.5</c:v>
                </c:pt>
                <c:pt idx="1">
                  <c:v>35.2</c:v>
                </c:pt>
                <c:pt idx="2">
                  <c:v>42.8</c:v>
                </c:pt>
                <c:pt idx="3">
                  <c:v>28.4</c:v>
                </c:pt>
                <c:pt idx="4">
                  <c:v>24.1</c:v>
                </c:pt>
                <c:pt idx="5">
                  <c:v>26.5</c:v>
                </c:pt>
                <c:pt idx="6">
                  <c:v>32.9</c:v>
                </c:pt>
                <c:pt idx="7">
                  <c:v>30.2</c:v>
                </c:pt>
                <c:pt idx="8">
                  <c:v>28.1</c:v>
                </c:pt>
                <c:pt idx="9">
                  <c:v>20.8</c:v>
                </c:pt>
                <c:pt idx="10">
                  <c:v>31.7</c:v>
                </c:pt>
                <c:pt idx="11">
                  <c:v>25.9</c:v>
                </c:pt>
                <c:pt idx="12">
                  <c:v>38.5</c:v>
                </c:pt>
                <c:pt idx="13">
                  <c:v>40.1</c:v>
                </c:pt>
                <c:pt idx="14">
                  <c:v>32.4</c:v>
                </c:pt>
                <c:pt idx="15">
                  <c:v>45.8</c:v>
                </c:pt>
                <c:pt idx="16">
                  <c:v>22.3</c:v>
                </c:pt>
                <c:pt idx="17">
                  <c:v>34.2</c:v>
                </c:pt>
                <c:pt idx="18">
                  <c:v>36.7</c:v>
                </c:pt>
                <c:pt idx="19">
                  <c:v>24.5</c:v>
                </c:pt>
                <c:pt idx="20">
                  <c:v>16.8</c:v>
                </c:pt>
                <c:pt idx="21">
                  <c:v>26.1</c:v>
                </c:pt>
                <c:pt idx="22">
                  <c:v>38.9</c:v>
                </c:pt>
              </c:numCache>
            </c:numRef>
          </c:val>
        </c:ser>
        <c:ser>
          <c:idx val="1"/>
          <c:order val="1"/>
          <c:tx>
            <c:strRef>
              <c:f>WAVG!$D$3</c:f>
              <c:strCache>
                <c:ptCount val="1"/>
                <c:pt idx="0">
                  <c:v>Authorized WAVG</c:v>
                </c:pt>
              </c:strCache>
            </c:strRef>
          </c:tx>
          <c:spPr>
            <a:solidFill>
              <a:srgbClr val="ff420e"/>
            </a:solidFill>
            <a:ln w="0">
              <a:noFill/>
            </a:ln>
          </c:spPr>
          <c:invertIfNegative val="0"/>
          <c:dPt>
            <c:idx val="18"/>
            <c:invertIfNegative val="0"/>
            <c:spPr>
              <a:solidFill>
                <a:srgbClr val="ff420e"/>
              </a:solidFill>
              <a:ln w="0">
                <a:noFill/>
              </a:ln>
            </c:spPr>
          </c:dPt>
          <c:dLbls>
            <c:dLbl>
              <c:idx val="1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WAVG!$D$5:$D$27</c:f>
              <c:numCache>
                <c:formatCode>General</c:formatCode>
                <c:ptCount val="23"/>
                <c:pt idx="0">
                  <c:v>19.42</c:v>
                </c:pt>
                <c:pt idx="1">
                  <c:v>36.01</c:v>
                </c:pt>
                <c:pt idx="2">
                  <c:v>43.66</c:v>
                </c:pt>
                <c:pt idx="3">
                  <c:v>29.79</c:v>
                </c:pt>
                <c:pt idx="4">
                  <c:v>25.3</c:v>
                </c:pt>
                <c:pt idx="5">
                  <c:v>27.83</c:v>
                </c:pt>
                <c:pt idx="6">
                  <c:v>34.55</c:v>
                </c:pt>
                <c:pt idx="7">
                  <c:v>31.71</c:v>
                </c:pt>
                <c:pt idx="8">
                  <c:v>29.51</c:v>
                </c:pt>
                <c:pt idx="9">
                  <c:v>21.84</c:v>
                </c:pt>
                <c:pt idx="10">
                  <c:v>33.29</c:v>
                </c:pt>
                <c:pt idx="11">
                  <c:v>27.2</c:v>
                </c:pt>
                <c:pt idx="12">
                  <c:v>40.43</c:v>
                </c:pt>
                <c:pt idx="13">
                  <c:v>42.11</c:v>
                </c:pt>
                <c:pt idx="14">
                  <c:v>34.02</c:v>
                </c:pt>
                <c:pt idx="15">
                  <c:v>48.09</c:v>
                </c:pt>
                <c:pt idx="16">
                  <c:v>23.42</c:v>
                </c:pt>
                <c:pt idx="17">
                  <c:v>35.91</c:v>
                </c:pt>
                <c:pt idx="18">
                  <c:v>38.54</c:v>
                </c:pt>
                <c:pt idx="19">
                  <c:v>25.73</c:v>
                </c:pt>
                <c:pt idx="20">
                  <c:v>17.64</c:v>
                </c:pt>
                <c:pt idx="21">
                  <c:v>27.41</c:v>
                </c:pt>
                <c:pt idx="22">
                  <c:v>40.85</c:v>
                </c:pt>
              </c:numCache>
            </c:numRef>
          </c:val>
        </c:ser>
        <c:ser>
          <c:idx val="2"/>
          <c:order val="2"/>
          <c:tx>
            <c:strRef>
              <c:f>WAVG!$E$3</c:f>
              <c:strCache>
                <c:ptCount val="1"/>
                <c:pt idx="0">
                  <c:v>Unauthorized WAVG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WAVG!$E$5:$E$27</c:f>
              <c:numCache>
                <c:formatCode>General</c:formatCode>
                <c:ptCount val="23"/>
                <c:pt idx="0">
                  <c:v>14.8</c:v>
                </c:pt>
                <c:pt idx="1">
                  <c:v>29.92</c:v>
                </c:pt>
                <c:pt idx="2">
                  <c:v>36.38</c:v>
                </c:pt>
                <c:pt idx="3">
                  <c:v>22.72</c:v>
                </c:pt>
                <c:pt idx="4">
                  <c:v>19.28</c:v>
                </c:pt>
                <c:pt idx="5">
                  <c:v>21.2</c:v>
                </c:pt>
                <c:pt idx="6">
                  <c:v>26.32</c:v>
                </c:pt>
                <c:pt idx="7">
                  <c:v>24.16</c:v>
                </c:pt>
                <c:pt idx="8">
                  <c:v>22.48</c:v>
                </c:pt>
                <c:pt idx="9">
                  <c:v>16.64</c:v>
                </c:pt>
                <c:pt idx="10">
                  <c:v>25.36</c:v>
                </c:pt>
                <c:pt idx="11">
                  <c:v>20.72</c:v>
                </c:pt>
                <c:pt idx="12">
                  <c:v>32.73</c:v>
                </c:pt>
                <c:pt idx="13">
                  <c:v>34.09</c:v>
                </c:pt>
                <c:pt idx="14">
                  <c:v>27.54</c:v>
                </c:pt>
                <c:pt idx="15">
                  <c:v>38.93</c:v>
                </c:pt>
                <c:pt idx="16">
                  <c:v>17.84</c:v>
                </c:pt>
                <c:pt idx="17">
                  <c:v>29.07</c:v>
                </c:pt>
                <c:pt idx="18">
                  <c:v>31.2</c:v>
                </c:pt>
                <c:pt idx="19">
                  <c:v>19.6</c:v>
                </c:pt>
                <c:pt idx="20">
                  <c:v>13.44</c:v>
                </c:pt>
                <c:pt idx="21">
                  <c:v>20.88</c:v>
                </c:pt>
                <c:pt idx="22">
                  <c:v>33.07</c:v>
                </c:pt>
              </c:numCache>
            </c:numRef>
          </c:val>
        </c:ser>
        <c:ser>
          <c:idx val="3"/>
          <c:order val="3"/>
          <c:tx>
            <c:strRef>
              <c:f>WAVG!$F$3</c:f>
              <c:strCache>
                <c:ptCount val="1"/>
                <c:pt idx="0">
                  <c:v>American WAVG</c:v>
                </c:pt>
              </c:strCache>
            </c:strRef>
          </c:tx>
          <c:spPr>
            <a:solidFill>
              <a:srgbClr val="579d1c"/>
            </a:solidFill>
            <a:ln w="0">
              <a:noFill/>
            </a:ln>
          </c:spPr>
          <c:invertIfNegative val="0"/>
          <c:dLbls>
            <c:numFmt formatCode="[$$-409]#,##0.00;[RED]\-[$$-409]#,##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WAVG!$B$5:$B$27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WAVG!$F$5:$F$27</c:f>
              <c:numCache>
                <c:formatCode>General</c:formatCode>
                <c:ptCount val="23"/>
                <c:pt idx="0">
                  <c:v>18.72</c:v>
                </c:pt>
                <c:pt idx="1">
                  <c:v>35.45</c:v>
                </c:pt>
                <c:pt idx="2">
                  <c:v>43.12</c:v>
                </c:pt>
                <c:pt idx="3">
                  <c:v>28.65</c:v>
                </c:pt>
                <c:pt idx="4">
                  <c:v>24.35</c:v>
                </c:pt>
                <c:pt idx="5">
                  <c:v>26.78</c:v>
                </c:pt>
                <c:pt idx="6">
                  <c:v>33.23</c:v>
                </c:pt>
                <c:pt idx="7">
                  <c:v>30.5</c:v>
                </c:pt>
                <c:pt idx="8">
                  <c:v>28.35</c:v>
                </c:pt>
                <c:pt idx="9">
                  <c:v>21</c:v>
                </c:pt>
                <c:pt idx="10">
                  <c:v>32.02</c:v>
                </c:pt>
                <c:pt idx="11">
                  <c:v>26.15</c:v>
                </c:pt>
                <c:pt idx="12">
                  <c:v>38.88</c:v>
                </c:pt>
                <c:pt idx="13">
                  <c:v>40.5</c:v>
                </c:pt>
                <c:pt idx="14">
                  <c:v>32.73</c:v>
                </c:pt>
                <c:pt idx="15">
                  <c:v>46.26</c:v>
                </c:pt>
                <c:pt idx="16">
                  <c:v>22.55</c:v>
                </c:pt>
                <c:pt idx="17">
                  <c:v>34.55</c:v>
                </c:pt>
                <c:pt idx="18">
                  <c:v>37.07</c:v>
                </c:pt>
                <c:pt idx="19">
                  <c:v>24.75</c:v>
                </c:pt>
                <c:pt idx="20">
                  <c:v>17</c:v>
                </c:pt>
                <c:pt idx="21">
                  <c:v>26.35</c:v>
                </c:pt>
                <c:pt idx="22">
                  <c:v>39.29</c:v>
                </c:pt>
              </c:numCache>
            </c:numRef>
          </c:val>
        </c:ser>
        <c:gapWidth val="100"/>
        <c:overlap val="0"/>
        <c:axId val="48155419"/>
        <c:axId val="41287430"/>
      </c:barChart>
      <c:catAx>
        <c:axId val="4815541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43393996691"/>
              <c:y val="0.47698518190321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1287430"/>
        <c:crosses val="autoZero"/>
        <c:auto val="1"/>
        <c:lblAlgn val="ctr"/>
        <c:lblOffset val="100"/>
        <c:noMultiLvlLbl val="0"/>
      </c:catAx>
      <c:valAx>
        <c:axId val="41287430"/>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Wage Average</a:t>
                </a:r>
              </a:p>
            </c:rich>
          </c:tx>
          <c:layout>
            <c:manualLayout>
              <c:xMode val="edge"/>
              <c:yMode val="edge"/>
              <c:x val="0.433033955723627"/>
              <c:y val="0.9687146162556"/>
            </c:manualLayout>
          </c:layout>
          <c:overlay val="0"/>
          <c:spPr>
            <a:noFill/>
            <a:ln w="0">
              <a:noFill/>
            </a:ln>
          </c:spPr>
        </c:title>
        <c:numFmt formatCode="[$$-409]#,##0.00;[RED]\-[$$-409]#,##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8155419"/>
        <c:crosses val="max"/>
        <c:crossBetween val="midCat"/>
      </c:valAx>
      <c:spPr>
        <a:noFill/>
        <a:ln w="0">
          <a:solidFill>
            <a:srgbClr val="b3b3b3"/>
          </a:solidFill>
        </a:ln>
      </c:spPr>
    </c:plotArea>
    <c:legend>
      <c:legendPos val="r"/>
      <c:layout>
        <c:manualLayout>
          <c:xMode val="edge"/>
          <c:yMode val="edge"/>
          <c:x val="0.105"/>
          <c:y val="0.040625"/>
          <c:w val="0.784952163471003"/>
          <c:h val="0.024951401363222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WRAVG!$C$3</c:f>
              <c:strCache>
                <c:ptCount val="1"/>
                <c:pt idx="0">
                  <c:v>Overall WRAVG Min</c:v>
                </c:pt>
              </c:strCache>
            </c:strRef>
          </c:tx>
          <c:spPr>
            <a:solidFill>
              <a:srgbClr val="004586"/>
            </a:solidFill>
            <a:ln w="28800">
              <a:noFill/>
            </a:ln>
          </c:spPr>
          <c:marker>
            <c:symbol val="square"/>
            <c:size val="8"/>
            <c:spPr>
              <a:solidFill>
                <a:srgbClr val="004586"/>
              </a:solidFill>
            </c:spPr>
          </c:marker>
          <c:dPt>
            <c:idx val="0"/>
            <c:marker>
              <c:symbol val="square"/>
              <c:size val="8"/>
              <c:spPr>
                <a:solidFill>
                  <a:srgbClr val="004586"/>
                </a:solidFill>
              </c:spPr>
            </c:marker>
          </c:dPt>
          <c:dLbls>
            <c:dLbl>
              <c:idx val="0"/>
              <c:txPr>
                <a:bodyPr wrap="none"/>
                <a:lstStyle/>
                <a:p>
                  <a:pPr>
                    <a:defRPr sz="1000" b="0" u="none" strike="noStrike">
                      <a:uFillTx/>
                      <a:latin typeface="Arial"/>
                    </a:defRPr>
                  </a:pPr>
                </a:p>
              </c:txPr>
              <c:showLegendKey val="0"/>
              <c:showVal val="0"/>
              <c:showCatName val="0"/>
              <c:showSerName val="0"/>
              <c:showPercent val="0"/>
              <c:separator> </c:separator>
            </c:dLbl>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8800">
                  <a:noFill/>
                </a:ln>
              </c:spPr>
            </c:leaderLines>
            <c:extLst>
              <c:ext xmlns:c15="http://schemas.microsoft.com/office/drawing/2012/chart" uri="{CE6537A1-D6FC-4f65-9D91-7224C49458BB}">
                <c15:showLeaderLines val="1"/>
              </c:ext>
            </c:extLst>
          </c:dLbls>
          <c:xVal>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xVal>
          <c:yVal>
            <c:numRef>
              <c:f>WRAVG!$C$5:$C$27</c:f>
              <c:numCache>
                <c:formatCode>General</c:formatCode>
                <c:ptCount val="23"/>
                <c:pt idx="0">
                  <c:v>10.2</c:v>
                </c:pt>
                <c:pt idx="1">
                  <c:v>18.5</c:v>
                </c:pt>
                <c:pt idx="2">
                  <c:v>22</c:v>
                </c:pt>
                <c:pt idx="3">
                  <c:v>14.8</c:v>
                </c:pt>
                <c:pt idx="4">
                  <c:v>13.5</c:v>
                </c:pt>
                <c:pt idx="5">
                  <c:v>15</c:v>
                </c:pt>
                <c:pt idx="6">
                  <c:v>18</c:v>
                </c:pt>
                <c:pt idx="7">
                  <c:v>16.8</c:v>
                </c:pt>
                <c:pt idx="8">
                  <c:v>15.2</c:v>
                </c:pt>
                <c:pt idx="9">
                  <c:v>11.5</c:v>
                </c:pt>
                <c:pt idx="10">
                  <c:v>17</c:v>
                </c:pt>
                <c:pt idx="11">
                  <c:v>14</c:v>
                </c:pt>
                <c:pt idx="12">
                  <c:v>20</c:v>
                </c:pt>
                <c:pt idx="13">
                  <c:v>22</c:v>
                </c:pt>
                <c:pt idx="14">
                  <c:v>17.5</c:v>
                </c:pt>
                <c:pt idx="15">
                  <c:v>25</c:v>
                </c:pt>
                <c:pt idx="16">
                  <c:v>12</c:v>
                </c:pt>
                <c:pt idx="17">
                  <c:v>18.5</c:v>
                </c:pt>
                <c:pt idx="18">
                  <c:v>20</c:v>
                </c:pt>
                <c:pt idx="19">
                  <c:v>13</c:v>
                </c:pt>
                <c:pt idx="20">
                  <c:v>9.5</c:v>
                </c:pt>
                <c:pt idx="21">
                  <c:v>14</c:v>
                </c:pt>
                <c:pt idx="22">
                  <c:v>22</c:v>
                </c:pt>
              </c:numCache>
            </c:numRef>
          </c:yVal>
          <c:smooth val="0"/>
        </c:ser>
        <c:ser>
          <c:idx val="1"/>
          <c:order val="1"/>
          <c:tx>
            <c:strRef>
              <c:f>WRAVG!$D$3</c:f>
              <c:strCache>
                <c:ptCount val="1"/>
                <c:pt idx="0">
                  <c:v>Overall WRAVG Max</c:v>
                </c:pt>
              </c:strCache>
            </c:strRef>
          </c:tx>
          <c:spPr>
            <a:solidFill>
              <a:srgbClr val="ff420e"/>
            </a:solidFill>
            <a:ln w="28800">
              <a:noFill/>
            </a:ln>
          </c:spPr>
          <c:marker>
            <c:symbol val="diamond"/>
            <c:size val="8"/>
            <c:spPr>
              <a:solidFill>
                <a:srgbClr val="ff420e"/>
              </a:solidFill>
            </c:spPr>
          </c:marker>
          <c:dPt>
            <c:idx val="0"/>
            <c:marker>
              <c:symbol val="diamond"/>
              <c:size val="8"/>
              <c:spPr>
                <a:solidFill>
                  <a:srgbClr val="ff420e"/>
                </a:solidFill>
              </c:spPr>
            </c:marker>
          </c:dPt>
          <c:dLbls>
            <c:dLbl>
              <c:idx val="0"/>
              <c:txPr>
                <a:bodyPr wrap="none"/>
                <a:lstStyle/>
                <a:p>
                  <a:pPr>
                    <a:defRPr sz="1000" b="0" u="none" strike="noStrike">
                      <a:uFillTx/>
                      <a:latin typeface="Arial"/>
                    </a:defRPr>
                  </a:pPr>
                </a:p>
              </c:txPr>
              <c:showLegendKey val="0"/>
              <c:showVal val="0"/>
              <c:showCatName val="0"/>
              <c:showSerName val="0"/>
              <c:showPercent val="0"/>
              <c:separator> </c:separator>
            </c:dLbl>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8800">
                  <a:noFill/>
                </a:ln>
              </c:spPr>
            </c:leaderLines>
            <c:extLst>
              <c:ext xmlns:c15="http://schemas.microsoft.com/office/drawing/2012/chart" uri="{CE6537A1-D6FC-4f65-9D91-7224C49458BB}">
                <c15:showLeaderLines val="1"/>
              </c:ext>
            </c:extLst>
          </c:dLbls>
          <c:xVal>
            <c:strRef>
              <c:f>WRAVG!$B$5:$B$27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xVal>
          <c:yVal>
            <c:numRef>
              <c:f>WRAVG!$D$5:$D$27</c:f>
              <c:numCache>
                <c:formatCode>General</c:formatCode>
                <c:ptCount val="23"/>
                <c:pt idx="0">
                  <c:v>28.5</c:v>
                </c:pt>
                <c:pt idx="1">
                  <c:v>65</c:v>
                </c:pt>
                <c:pt idx="2">
                  <c:v>78</c:v>
                </c:pt>
                <c:pt idx="3">
                  <c:v>52</c:v>
                </c:pt>
                <c:pt idx="4">
                  <c:v>42</c:v>
                </c:pt>
                <c:pt idx="5">
                  <c:v>48</c:v>
                </c:pt>
                <c:pt idx="6">
                  <c:v>58</c:v>
                </c:pt>
                <c:pt idx="7">
                  <c:v>55</c:v>
                </c:pt>
                <c:pt idx="8">
                  <c:v>50</c:v>
                </c:pt>
                <c:pt idx="9">
                  <c:v>38</c:v>
                </c:pt>
                <c:pt idx="10">
                  <c:v>58</c:v>
                </c:pt>
                <c:pt idx="11">
                  <c:v>45</c:v>
                </c:pt>
                <c:pt idx="12">
                  <c:v>70</c:v>
                </c:pt>
                <c:pt idx="13">
                  <c:v>75</c:v>
                </c:pt>
                <c:pt idx="14">
                  <c:v>60</c:v>
                </c:pt>
                <c:pt idx="15">
                  <c:v>90</c:v>
                </c:pt>
                <c:pt idx="16">
                  <c:v>40</c:v>
                </c:pt>
                <c:pt idx="17">
                  <c:v>62</c:v>
                </c:pt>
                <c:pt idx="18">
                  <c:v>68</c:v>
                </c:pt>
                <c:pt idx="19">
                  <c:v>42</c:v>
                </c:pt>
                <c:pt idx="20">
                  <c:v>32</c:v>
                </c:pt>
                <c:pt idx="21">
                  <c:v>48</c:v>
                </c:pt>
                <c:pt idx="22">
                  <c:v>72</c:v>
                </c:pt>
              </c:numCache>
            </c:numRef>
          </c:yVal>
          <c:smooth val="0"/>
        </c:ser>
        <c:axId val="47634212"/>
        <c:axId val="31715303"/>
      </c:scatterChart>
      <c:valAx>
        <c:axId val="47634212"/>
        <c:scaling>
          <c:orientation val="minMax"/>
        </c:scaling>
        <c:delete val="0"/>
        <c:axPos val="b"/>
        <c:numFmt formatCode="General" sourceLinked="1"/>
        <c:majorTickMark val="out"/>
        <c:minorTickMark val="none"/>
        <c:tickLblPos val="nextTo"/>
        <c:spPr>
          <a:ln w="0">
            <a:solidFill>
              <a:srgbClr val="b3b3b3"/>
            </a:solidFill>
          </a:ln>
        </c:spPr>
        <c:txPr>
          <a:bodyPr/>
          <a:lstStyle/>
          <a:p>
            <a:pPr>
              <a:defRPr sz="1000" b="0" u="none" strike="noStrike">
                <a:uFillTx/>
                <a:latin typeface="Arial"/>
              </a:defRPr>
            </a:pPr>
          </a:p>
        </c:txPr>
        <c:crossAx val="31715303"/>
        <c:crosses val="autoZero"/>
        <c:crossBetween val="between"/>
      </c:valAx>
      <c:valAx>
        <c:axId val="31715303"/>
        <c:scaling>
          <c:orientation val="minMax"/>
        </c:scaling>
        <c:delete val="0"/>
        <c:axPos val="l"/>
        <c:majorGridlines>
          <c:spPr>
            <a:ln w="0">
              <a:solidFill>
                <a:srgbClr val="b3b3b3"/>
              </a:solidFill>
            </a:ln>
          </c:spPr>
        </c:majorGridlines>
        <c:numFmt formatCode="General" sourceLinked="1"/>
        <c:majorTickMark val="out"/>
        <c:minorTickMark val="none"/>
        <c:tickLblPos val="nextTo"/>
        <c:spPr>
          <a:ln w="0">
            <a:solidFill>
              <a:srgbClr val="b3b3b3"/>
            </a:solidFill>
          </a:ln>
        </c:spPr>
        <c:txPr>
          <a:bodyPr/>
          <a:lstStyle/>
          <a:p>
            <a:pPr>
              <a:defRPr sz="1000" b="0" u="none" strike="noStrike">
                <a:uFillTx/>
                <a:latin typeface="Arial"/>
              </a:defRPr>
            </a:pPr>
          </a:p>
        </c:txPr>
        <c:crossAx val="47634212"/>
        <c:crosses val="autoZero"/>
        <c:crossBetween val="between"/>
      </c:valAx>
      <c:spPr>
        <a:noFill/>
        <a:ln w="0">
          <a:solidFill>
            <a:srgbClr val="b3b3b3"/>
          </a:solidFill>
        </a:ln>
      </c:spPr>
    </c:plotArea>
    <c:legend>
      <c:legendPos val="r"/>
      <c:overlay val="0"/>
      <c:spPr>
        <a:noFill/>
        <a:ln w="0">
          <a:noFill/>
        </a:ln>
      </c:spPr>
      <c:txPr>
        <a:bodyPr/>
        <a:lstStyle/>
        <a:p>
          <a:pPr>
            <a:defRPr sz="1000" b="0" u="none" strike="noStrike">
              <a:uFillTx/>
              <a:latin typeface="Arial"/>
            </a:defRPr>
          </a:pPr>
        </a:p>
      </c:txPr>
    </c:legend>
    <c:plotVisOnly val="1"/>
    <c:dispBlanksAs val="span"/>
  </c:chart>
  <c:spPr>
    <a:solidFill>
      <a:srgbClr val="1c1c1c"/>
    </a:solidFill>
    <a:ln w="0">
      <a:noFill/>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Annual Income Average</a:t>
            </a:r>
          </a:p>
        </c:rich>
      </c:tx>
      <c:layout>
        <c:manualLayout>
          <c:xMode val="edge"/>
          <c:yMode val="edge"/>
          <c:x val="0.282145394269477"/>
          <c:y val="0.0167578490807827"/>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AIAVG!$C$3</c:f>
              <c:strCache>
                <c:ptCount val="1"/>
                <c:pt idx="0">
                  <c:v>Overall AIAVG</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AIAVG!$C$4:$C$27</c:f>
              <c:numCache>
                <c:formatCode>General</c:formatCode>
                <c:ptCount val="24"/>
                <c:pt idx="0">
                  <c:v>66477</c:v>
                </c:pt>
                <c:pt idx="1">
                  <c:v>35150</c:v>
                </c:pt>
                <c:pt idx="2">
                  <c:v>73500</c:v>
                </c:pt>
                <c:pt idx="3">
                  <c:v>83200</c:v>
                </c:pt>
                <c:pt idx="4">
                  <c:v>57400</c:v>
                </c:pt>
                <c:pt idx="5">
                  <c:v>64000</c:v>
                </c:pt>
                <c:pt idx="6">
                  <c:v>60000</c:v>
                </c:pt>
                <c:pt idx="7">
                  <c:v>73500</c:v>
                </c:pt>
                <c:pt idx="8">
                  <c:v>65600</c:v>
                </c:pt>
                <c:pt idx="9">
                  <c:v>45000</c:v>
                </c:pt>
                <c:pt idx="10">
                  <c:v>38500</c:v>
                </c:pt>
                <c:pt idx="11">
                  <c:v>60000</c:v>
                </c:pt>
                <c:pt idx="12">
                  <c:v>54600</c:v>
                </c:pt>
                <c:pt idx="13">
                  <c:v>83200</c:v>
                </c:pt>
                <c:pt idx="14">
                  <c:v>114400</c:v>
                </c:pt>
                <c:pt idx="15">
                  <c:v>64000</c:v>
                </c:pt>
                <c:pt idx="16">
                  <c:v>96750</c:v>
                </c:pt>
                <c:pt idx="17">
                  <c:v>45000</c:v>
                </c:pt>
                <c:pt idx="18">
                  <c:v>68250</c:v>
                </c:pt>
                <c:pt idx="19">
                  <c:v>70000</c:v>
                </c:pt>
                <c:pt idx="20">
                  <c:v>34000</c:v>
                </c:pt>
                <c:pt idx="21">
                  <c:v>25600</c:v>
                </c:pt>
                <c:pt idx="22">
                  <c:v>46250</c:v>
                </c:pt>
                <c:pt idx="23">
                  <c:v>72800</c:v>
                </c:pt>
              </c:numCache>
            </c:numRef>
          </c:val>
        </c:ser>
        <c:ser>
          <c:idx val="1"/>
          <c:order val="1"/>
          <c:tx>
            <c:strRef>
              <c:f>AIAVG!$D$3</c:f>
              <c:strCache>
                <c:ptCount val="1"/>
                <c:pt idx="0">
                  <c:v>Authorized AIAVG</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AIAVG!$D$4:$D$27</c:f>
              <c:numCache>
                <c:formatCode>General</c:formatCode>
                <c:ptCount val="24"/>
                <c:pt idx="0">
                  <c:v>68064</c:v>
                </c:pt>
                <c:pt idx="1">
                  <c:v>36105</c:v>
                </c:pt>
                <c:pt idx="2">
                  <c:v>76440</c:v>
                </c:pt>
                <c:pt idx="3">
                  <c:v>84864</c:v>
                </c:pt>
                <c:pt idx="4">
                  <c:v>59122</c:v>
                </c:pt>
                <c:pt idx="5">
                  <c:v>65280</c:v>
                </c:pt>
                <c:pt idx="6">
                  <c:v>61200</c:v>
                </c:pt>
                <c:pt idx="7">
                  <c:v>74970</c:v>
                </c:pt>
                <c:pt idx="8">
                  <c:v>66584</c:v>
                </c:pt>
                <c:pt idx="9">
                  <c:v>46350</c:v>
                </c:pt>
                <c:pt idx="10">
                  <c:v>39655</c:v>
                </c:pt>
                <c:pt idx="11">
                  <c:v>61200</c:v>
                </c:pt>
                <c:pt idx="12">
                  <c:v>55692</c:v>
                </c:pt>
                <c:pt idx="13">
                  <c:v>84864</c:v>
                </c:pt>
                <c:pt idx="14">
                  <c:v>115544</c:v>
                </c:pt>
                <c:pt idx="15">
                  <c:v>65280</c:v>
                </c:pt>
                <c:pt idx="16">
                  <c:v>97718</c:v>
                </c:pt>
                <c:pt idx="17">
                  <c:v>46350</c:v>
                </c:pt>
                <c:pt idx="18">
                  <c:v>69314</c:v>
                </c:pt>
                <c:pt idx="19">
                  <c:v>71050</c:v>
                </c:pt>
                <c:pt idx="20">
                  <c:v>35020</c:v>
                </c:pt>
                <c:pt idx="21">
                  <c:v>26496</c:v>
                </c:pt>
                <c:pt idx="22">
                  <c:v>47638</c:v>
                </c:pt>
                <c:pt idx="23">
                  <c:v>73992</c:v>
                </c:pt>
              </c:numCache>
            </c:numRef>
          </c:val>
        </c:ser>
        <c:ser>
          <c:idx val="2"/>
          <c:order val="2"/>
          <c:tx>
            <c:strRef>
              <c:f>AIAVG!$E$3</c:f>
              <c:strCache>
                <c:ptCount val="1"/>
                <c:pt idx="0">
                  <c:v>Unauthorized AIAVG</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AIAVG!$E$4:$E$27</c:f>
              <c:numCache>
                <c:formatCode>General</c:formatCode>
                <c:ptCount val="24"/>
                <c:pt idx="0">
                  <c:v>46534</c:v>
                </c:pt>
                <c:pt idx="1">
                  <c:v>22848</c:v>
                </c:pt>
                <c:pt idx="2">
                  <c:v>55125</c:v>
                </c:pt>
                <c:pt idx="3">
                  <c:v>66560</c:v>
                </c:pt>
                <c:pt idx="4">
                  <c:v>40180</c:v>
                </c:pt>
                <c:pt idx="5">
                  <c:v>46080</c:v>
                </c:pt>
                <c:pt idx="6">
                  <c:v>43200</c:v>
                </c:pt>
                <c:pt idx="7">
                  <c:v>55125</c:v>
                </c:pt>
                <c:pt idx="8">
                  <c:v>51168</c:v>
                </c:pt>
                <c:pt idx="9">
                  <c:v>31500</c:v>
                </c:pt>
                <c:pt idx="10">
                  <c:v>26180</c:v>
                </c:pt>
                <c:pt idx="11">
                  <c:v>43200</c:v>
                </c:pt>
                <c:pt idx="12">
                  <c:v>39312</c:v>
                </c:pt>
                <c:pt idx="13">
                  <c:v>66560</c:v>
                </c:pt>
                <c:pt idx="14">
                  <c:v>97240</c:v>
                </c:pt>
                <c:pt idx="15">
                  <c:v>49920</c:v>
                </c:pt>
                <c:pt idx="16">
                  <c:v>79335</c:v>
                </c:pt>
                <c:pt idx="17">
                  <c:v>31500</c:v>
                </c:pt>
                <c:pt idx="18">
                  <c:v>54600</c:v>
                </c:pt>
                <c:pt idx="19">
                  <c:v>56000</c:v>
                </c:pt>
                <c:pt idx="20">
                  <c:v>23120</c:v>
                </c:pt>
                <c:pt idx="21">
                  <c:v>16640</c:v>
                </c:pt>
                <c:pt idx="22">
                  <c:v>32375</c:v>
                </c:pt>
                <c:pt idx="23">
                  <c:v>58240</c:v>
                </c:pt>
              </c:numCache>
            </c:numRef>
          </c:val>
        </c:ser>
        <c:ser>
          <c:idx val="3"/>
          <c:order val="3"/>
          <c:tx>
            <c:strRef>
              <c:f>AIAVG!$F$3</c:f>
              <c:strCache>
                <c:ptCount val="1"/>
                <c:pt idx="0">
                  <c:v>American AIAVG</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AIAVG!$B$4:$B$27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AIAVG!$F$4:$F$27</c:f>
              <c:numCache>
                <c:formatCode>General</c:formatCode>
                <c:ptCount val="24"/>
                <c:pt idx="0">
                  <c:v>66857</c:v>
                </c:pt>
                <c:pt idx="1">
                  <c:v>35301</c:v>
                </c:pt>
                <c:pt idx="2">
                  <c:v>73926</c:v>
                </c:pt>
                <c:pt idx="3">
                  <c:v>83392</c:v>
                </c:pt>
                <c:pt idx="4">
                  <c:v>57687</c:v>
                </c:pt>
                <c:pt idx="5">
                  <c:v>64128</c:v>
                </c:pt>
                <c:pt idx="6">
                  <c:v>60120</c:v>
                </c:pt>
                <c:pt idx="7">
                  <c:v>73755</c:v>
                </c:pt>
                <c:pt idx="8">
                  <c:v>65752</c:v>
                </c:pt>
                <c:pt idx="9">
                  <c:v>45135</c:v>
                </c:pt>
                <c:pt idx="10">
                  <c:v>38611</c:v>
                </c:pt>
                <c:pt idx="11">
                  <c:v>60120</c:v>
                </c:pt>
                <c:pt idx="12">
                  <c:v>54781</c:v>
                </c:pt>
                <c:pt idx="13">
                  <c:v>83392</c:v>
                </c:pt>
                <c:pt idx="14">
                  <c:v>114644</c:v>
                </c:pt>
                <c:pt idx="15">
                  <c:v>64128</c:v>
                </c:pt>
                <c:pt idx="16">
                  <c:v>96891</c:v>
                </c:pt>
                <c:pt idx="17">
                  <c:v>45135</c:v>
                </c:pt>
                <c:pt idx="18">
                  <c:v>68429</c:v>
                </c:pt>
                <c:pt idx="19">
                  <c:v>70175</c:v>
                </c:pt>
                <c:pt idx="20">
                  <c:v>34134</c:v>
                </c:pt>
                <c:pt idx="21">
                  <c:v>25664</c:v>
                </c:pt>
                <c:pt idx="22">
                  <c:v>46431</c:v>
                </c:pt>
                <c:pt idx="23">
                  <c:v>72984</c:v>
                </c:pt>
              </c:numCache>
            </c:numRef>
          </c:val>
        </c:ser>
        <c:gapWidth val="100"/>
        <c:overlap val="0"/>
        <c:axId val="84570595"/>
        <c:axId val="88465469"/>
      </c:barChart>
      <c:catAx>
        <c:axId val="845705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76080634826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465469"/>
        <c:crosses val="autoZero"/>
        <c:auto val="1"/>
        <c:lblAlgn val="ctr"/>
        <c:lblOffset val="100"/>
        <c:noMultiLvlLbl val="0"/>
      </c:catAx>
      <c:valAx>
        <c:axId val="88465469"/>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Annual Income Average</a:t>
                </a:r>
              </a:p>
            </c:rich>
          </c:tx>
          <c:layout>
            <c:manualLayout>
              <c:xMode val="edge"/>
              <c:yMode val="edge"/>
              <c:x val="0.43042071197411"/>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4570595"/>
        <c:crosses val="max"/>
        <c:crossBetween val="midCat"/>
      </c:valAx>
      <c:spPr>
        <a:noFill/>
        <a:ln w="0">
          <a:solidFill>
            <a:srgbClr val="b3b3b3"/>
          </a:solidFill>
        </a:ln>
      </c:spPr>
    </c:plotArea>
    <c:legend>
      <c:legendPos val="r"/>
      <c:layout>
        <c:manualLayout>
          <c:xMode val="edge"/>
          <c:yMode val="edge"/>
          <c:x val="0.785835470507003"/>
          <c:y val="0.0767278551188863"/>
          <c:w val="0.188486426767677"/>
          <c:h val="0.1116696234969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300" b="0" u="none" strike="noStrike">
                <a:solidFill>
                  <a:srgbClr val="000000"/>
                </a:solidFill>
                <a:uFillTx/>
                <a:latin typeface="Arial"/>
                <a:ea typeface="DejaVu Sans"/>
              </a:rPr>
              <a:t>Alabama Labor Statistics – Wage Range Average</a:t>
            </a:r>
          </a:p>
        </c:rich>
      </c:tx>
      <c:overlay val="0"/>
      <c:spPr>
        <a:noFill/>
        <a:ln w="0">
          <a:noFill/>
        </a:ln>
      </c:spPr>
    </c:title>
    <c:autoTitleDeleted val="0"/>
    <c:plotArea>
      <c:stockChart>
        <c:ser>
          <c:idx val="1"/>
          <c:order val="1"/>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AIRAVG!$D$5:$D$27</c:f>
              <c:numCache>
                <c:formatCode>General</c:formatCode>
                <c:ptCount val="23"/>
                <c:pt idx="0">
                  <c:v>57000</c:v>
                </c:pt>
                <c:pt idx="1">
                  <c:v>130000</c:v>
                </c:pt>
                <c:pt idx="2">
                  <c:v>156000</c:v>
                </c:pt>
                <c:pt idx="3">
                  <c:v>104000</c:v>
                </c:pt>
                <c:pt idx="4">
                  <c:v>84000</c:v>
                </c:pt>
                <c:pt idx="5">
                  <c:v>96000</c:v>
                </c:pt>
                <c:pt idx="6">
                  <c:v>116000</c:v>
                </c:pt>
                <c:pt idx="7">
                  <c:v>110000</c:v>
                </c:pt>
                <c:pt idx="8">
                  <c:v>100000</c:v>
                </c:pt>
                <c:pt idx="9">
                  <c:v>76000</c:v>
                </c:pt>
                <c:pt idx="10">
                  <c:v>116000</c:v>
                </c:pt>
                <c:pt idx="11">
                  <c:v>90000</c:v>
                </c:pt>
                <c:pt idx="12">
                  <c:v>140000</c:v>
                </c:pt>
                <c:pt idx="13">
                  <c:v>150000</c:v>
                </c:pt>
                <c:pt idx="14">
                  <c:v>120000</c:v>
                </c:pt>
                <c:pt idx="15">
                  <c:v>180000</c:v>
                </c:pt>
                <c:pt idx="16">
                  <c:v>80000</c:v>
                </c:pt>
                <c:pt idx="17">
                  <c:v>124000</c:v>
                </c:pt>
                <c:pt idx="18">
                  <c:v>136000</c:v>
                </c:pt>
                <c:pt idx="19">
                  <c:v>84000</c:v>
                </c:pt>
                <c:pt idx="20">
                  <c:v>64000</c:v>
                </c:pt>
                <c:pt idx="21">
                  <c:v>96000</c:v>
                </c:pt>
                <c:pt idx="22">
                  <c:v>144000</c:v>
                </c:pt>
              </c:numCache>
            </c:numRef>
          </c:val>
        </c:ser>
        <c:ser>
          <c:idx val="2"/>
          <c:order val="2"/>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AIRAVG!$C$5:$C$27</c:f>
              <c:numCache>
                <c:formatCode>General</c:formatCode>
                <c:ptCount val="23"/>
                <c:pt idx="0">
                  <c:v>20400</c:v>
                </c:pt>
                <c:pt idx="1">
                  <c:v>37000</c:v>
                </c:pt>
                <c:pt idx="2">
                  <c:v>44000</c:v>
                </c:pt>
                <c:pt idx="3">
                  <c:v>29600</c:v>
                </c:pt>
                <c:pt idx="4">
                  <c:v>27000</c:v>
                </c:pt>
                <c:pt idx="5">
                  <c:v>30000</c:v>
                </c:pt>
                <c:pt idx="6">
                  <c:v>36000</c:v>
                </c:pt>
                <c:pt idx="7">
                  <c:v>33600</c:v>
                </c:pt>
                <c:pt idx="8">
                  <c:v>30400</c:v>
                </c:pt>
                <c:pt idx="9">
                  <c:v>23000</c:v>
                </c:pt>
                <c:pt idx="10">
                  <c:v>34000</c:v>
                </c:pt>
                <c:pt idx="11">
                  <c:v>28000</c:v>
                </c:pt>
                <c:pt idx="12">
                  <c:v>40000</c:v>
                </c:pt>
                <c:pt idx="13">
                  <c:v>44000</c:v>
                </c:pt>
                <c:pt idx="14">
                  <c:v>35000</c:v>
                </c:pt>
                <c:pt idx="15">
                  <c:v>50000</c:v>
                </c:pt>
                <c:pt idx="16">
                  <c:v>24000</c:v>
                </c:pt>
                <c:pt idx="17">
                  <c:v>37000</c:v>
                </c:pt>
                <c:pt idx="18">
                  <c:v>40000</c:v>
                </c:pt>
                <c:pt idx="19">
                  <c:v>26000</c:v>
                </c:pt>
                <c:pt idx="20">
                  <c:v>19000</c:v>
                </c:pt>
                <c:pt idx="21">
                  <c:v>28000</c:v>
                </c:pt>
                <c:pt idx="22">
                  <c:v>44000</c:v>
                </c:pt>
              </c:numCache>
            </c:numRef>
          </c:val>
        </c:ser>
        <c:ser>
          <c:idx val="3"/>
          <c:order val="3"/>
          <c:tx>
            <c:strRef>
              <c:f>AIRAVG!$E$3</c:f>
              <c:strCache>
                <c:ptCount val="1"/>
                <c:pt idx="0">
                  <c:v>Overall AIRAVG</c:v>
                </c:pt>
              </c:strCache>
            </c:strRef>
          </c:tx>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AIRAVG!$D$5:$D$27</c:f>
              <c:numCache>
                <c:formatCode>General</c:formatCode>
                <c:ptCount val="23"/>
                <c:pt idx="0">
                  <c:v>57000</c:v>
                </c:pt>
                <c:pt idx="1">
                  <c:v>130000</c:v>
                </c:pt>
                <c:pt idx="2">
                  <c:v>156000</c:v>
                </c:pt>
                <c:pt idx="3">
                  <c:v>104000</c:v>
                </c:pt>
                <c:pt idx="4">
                  <c:v>84000</c:v>
                </c:pt>
                <c:pt idx="5">
                  <c:v>96000</c:v>
                </c:pt>
                <c:pt idx="6">
                  <c:v>116000</c:v>
                </c:pt>
                <c:pt idx="7">
                  <c:v>110000</c:v>
                </c:pt>
                <c:pt idx="8">
                  <c:v>100000</c:v>
                </c:pt>
                <c:pt idx="9">
                  <c:v>76000</c:v>
                </c:pt>
                <c:pt idx="10">
                  <c:v>116000</c:v>
                </c:pt>
                <c:pt idx="11">
                  <c:v>90000</c:v>
                </c:pt>
                <c:pt idx="12">
                  <c:v>140000</c:v>
                </c:pt>
                <c:pt idx="13">
                  <c:v>150000</c:v>
                </c:pt>
                <c:pt idx="14">
                  <c:v>120000</c:v>
                </c:pt>
                <c:pt idx="15">
                  <c:v>180000</c:v>
                </c:pt>
                <c:pt idx="16">
                  <c:v>80000</c:v>
                </c:pt>
                <c:pt idx="17">
                  <c:v>124000</c:v>
                </c:pt>
                <c:pt idx="18">
                  <c:v>136000</c:v>
                </c:pt>
                <c:pt idx="19">
                  <c:v>84000</c:v>
                </c:pt>
                <c:pt idx="20">
                  <c:v>64000</c:v>
                </c:pt>
                <c:pt idx="21">
                  <c:v>96000</c:v>
                </c:pt>
                <c:pt idx="22">
                  <c:v>144000</c:v>
                </c:pt>
              </c:numCache>
            </c:numRef>
          </c:val>
        </c:ser>
        <c:ser>
          <c:idx val="4"/>
          <c:order val="4"/>
          <c:cat>
            <c:strRef>
              <c:f>AIRAVG!$B$5:$B$27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AIRAVG!$F$5:$F$27</c:f>
              <c:numCache>
                <c:formatCode>General</c:formatCode>
                <c:ptCount val="23"/>
                <c:pt idx="0">
                  <c:v>21420</c:v>
                </c:pt>
                <c:pt idx="1">
                  <c:v>38860</c:v>
                </c:pt>
                <c:pt idx="2">
                  <c:v>46200</c:v>
                </c:pt>
                <c:pt idx="3">
                  <c:v>31080</c:v>
                </c:pt>
                <c:pt idx="4">
                  <c:v>28360</c:v>
                </c:pt>
                <c:pt idx="5">
                  <c:v>31500</c:v>
                </c:pt>
                <c:pt idx="6">
                  <c:v>37800</c:v>
                </c:pt>
                <c:pt idx="7">
                  <c:v>35280</c:v>
                </c:pt>
                <c:pt idx="8">
                  <c:v>31920</c:v>
                </c:pt>
                <c:pt idx="9">
                  <c:v>24160</c:v>
                </c:pt>
                <c:pt idx="10">
                  <c:v>35700</c:v>
                </c:pt>
                <c:pt idx="11">
                  <c:v>29400</c:v>
                </c:pt>
                <c:pt idx="12">
                  <c:v>42000</c:v>
                </c:pt>
                <c:pt idx="13">
                  <c:v>46200</c:v>
                </c:pt>
                <c:pt idx="14">
                  <c:v>36750</c:v>
                </c:pt>
                <c:pt idx="15">
                  <c:v>52500</c:v>
                </c:pt>
                <c:pt idx="16">
                  <c:v>25200</c:v>
                </c:pt>
                <c:pt idx="17">
                  <c:v>38860</c:v>
                </c:pt>
                <c:pt idx="18">
                  <c:v>42000</c:v>
                </c:pt>
                <c:pt idx="19">
                  <c:v>27300</c:v>
                </c:pt>
                <c:pt idx="20">
                  <c:v>19950</c:v>
                </c:pt>
                <c:pt idx="21">
                  <c:v>29400</c:v>
                </c:pt>
                <c:pt idx="22">
                  <c:v>46200</c:v>
                </c:pt>
              </c:numCache>
            </c:numRef>
          </c:val>
        </c:ser>
        <c:hiLowLines>
          <c:spPr>
            <a:solidFill>
              <a:srgbClr val="004586"/>
            </a:solidFill>
            <a:ln w="91440">
              <a:solidFill>
                <a:srgbClr val="004586"/>
              </a:solidFill>
              <a:bevel/>
            </a:ln>
          </c:spPr>
        </c:hiLowLines>
        <c:upDownBars>
          <c:gapWidth val="150"/>
          <c:upBars>
            <c:spPr>
              <a:solidFill>
                <a:srgbClr val="ffffff"/>
              </a:solidFill>
              <a:ln w="0">
                <a:solidFill>
                  <a:srgbClr val="000000"/>
                </a:solidFill>
              </a:ln>
            </c:spPr>
          </c:upBars>
          <c:downBars>
            <c:spPr>
              <a:solidFill>
                <a:srgbClr val="000000"/>
              </a:solidFill>
              <a:ln w="0">
                <a:solidFill>
                  <a:srgbClr val="b3b3b3"/>
                </a:solidFill>
              </a:ln>
            </c:spPr>
          </c:downBars>
        </c:upDownBars>
        <c:axId val="29350252"/>
        <c:axId val="21925695"/>
      </c:stockChart>
      <c:catAx>
        <c:axId val="29350252"/>
        <c:scaling>
          <c:orientation val="minMax"/>
        </c:scaling>
        <c:delete val="0"/>
        <c:axPos val="b"/>
        <c:title>
          <c:tx>
            <c:rich>
              <a:bodyPr rot="0"/>
              <a:lstStyle/>
              <a:p>
                <a:pPr>
                  <a:defRPr sz="1300" b="0" u="none" strike="noStrike">
                    <a:uFillTx/>
                    <a:latin typeface="Arial"/>
                  </a:defRPr>
                </a:pPr>
                <a:r>
                  <a:rPr sz="900" b="0" u="none" strike="noStrike">
                    <a:solidFill>
                      <a:srgbClr val="000000"/>
                    </a:solidFill>
                    <a:uFillTx/>
                    <a:latin typeface="Arial"/>
                    <a:ea typeface="DejaVu Sans"/>
                  </a:rPr>
                  <a:t>Labor Sector</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925695"/>
        <c:crosses val="autoZero"/>
        <c:auto val="1"/>
        <c:lblAlgn val="ctr"/>
        <c:lblOffset val="100"/>
        <c:noMultiLvlLbl val="0"/>
      </c:catAx>
      <c:valAx>
        <c:axId val="2192569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sz="900" b="0" u="none" strike="noStrike">
                    <a:solidFill>
                      <a:srgbClr val="000000"/>
                    </a:solidFill>
                    <a:uFillTx/>
                    <a:latin typeface="Arial"/>
                    <a:ea typeface="DejaVu Sans"/>
                  </a:rPr>
                  <a:t>Wage Range Average</a:t>
                </a:r>
              </a:p>
            </c:rich>
          </c:tx>
          <c:overlay val="0"/>
          <c:spPr>
            <a:noFill/>
            <a:ln w="0">
              <a:noFill/>
            </a:ln>
          </c:spPr>
        </c:title>
        <c:numFmt formatCode="General" sourceLinked="0"/>
        <c:majorTickMark val="out"/>
        <c:minorTickMark val="none"/>
        <c:tickLblPos val="nextTo"/>
        <c:spPr>
          <a:ln w="0">
            <a:solidFill>
              <a:srgbClr val="b3b3b3"/>
            </a:solidFill>
          </a:ln>
        </c:spPr>
        <c:txPr>
          <a:bodyPr/>
          <a:lstStyle/>
          <a:p>
            <a:pPr>
              <a:defRPr sz="1000" b="0" u="none" strike="noStrike">
                <a:solidFill>
                  <a:srgbClr val="000000"/>
                </a:solidFill>
                <a:uFillTx/>
                <a:latin typeface="Arial"/>
                <a:ea typeface="DejaVu Sans"/>
              </a:defRPr>
            </a:pPr>
          </a:p>
        </c:txPr>
        <c:crossAx val="29350252"/>
        <c:crosses val="autoZero"/>
        <c:crossBetween val="between"/>
      </c:valAx>
      <c:spPr>
        <a:noFill/>
        <a:ln w="0">
          <a:solidFill>
            <a:srgbClr val="b3b3b3"/>
          </a:solidFill>
        </a:ln>
      </c:spPr>
    </c:plotArea>
    <c:legend>
      <c:legendPos val="t"/>
      <c:layout>
        <c:manualLayout>
          <c:xMode val="edge"/>
          <c:yMode val="edge"/>
          <c:x val="0.234375"/>
          <c:y val="0.0550787401574803"/>
          <c:w val="0.531238465513423"/>
          <c:h val="0.0399622032363479"/>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zero"/>
  </c:chart>
  <c:spPr>
    <a:solidFill>
      <a:srgbClr val="ffffff"/>
    </a:solidFill>
    <a:ln w="0">
      <a:noFill/>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Average Weekly Hourly Worked</a:t>
            </a:r>
          </a:p>
        </c:rich>
      </c:tx>
      <c:layout>
        <c:manualLayout>
          <c:xMode val="edge"/>
          <c:yMode val="edge"/>
          <c:x val="0.281945264815909"/>
          <c:y val="0.0167835609696075"/>
        </c:manualLayout>
      </c:layout>
      <c:overlay val="0"/>
      <c:spPr>
        <a:noFill/>
        <a:ln w="0">
          <a:noFill/>
        </a:ln>
      </c:spPr>
    </c:title>
    <c:autoTitleDeleted val="0"/>
    <c:plotArea>
      <c:layout>
        <c:manualLayout>
          <c:layoutTarget val="inner"/>
          <c:xMode val="edge"/>
          <c:yMode val="edge"/>
          <c:x val="0.25000984445757"/>
          <c:y val="0.0843853820598007"/>
          <c:w val="0.649852333136444"/>
          <c:h val="0.852934662236988"/>
        </c:manualLayout>
      </c:layout>
      <c:barChart>
        <c:barDir val="bar"/>
        <c:grouping val="clustered"/>
        <c:varyColors val="0"/>
        <c:ser>
          <c:idx val="0"/>
          <c:order val="0"/>
          <c:tx>
            <c:strRef>
              <c:f>AWHW!$C$3</c:f>
              <c:strCache>
                <c:ptCount val="1"/>
                <c:pt idx="0">
                  <c:v>Overal AWHW</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AWHW!$C$4:$C$27</c:f>
              <c:numCache>
                <c:formatCode>General</c:formatCode>
                <c:ptCount val="24"/>
                <c:pt idx="0">
                  <c:v>38.8</c:v>
                </c:pt>
                <c:pt idx="1">
                  <c:v>42.5</c:v>
                </c:pt>
                <c:pt idx="2">
                  <c:v>44</c:v>
                </c:pt>
                <c:pt idx="3">
                  <c:v>40</c:v>
                </c:pt>
                <c:pt idx="4">
                  <c:v>41.2</c:v>
                </c:pt>
                <c:pt idx="5">
                  <c:v>40.8</c:v>
                </c:pt>
                <c:pt idx="6">
                  <c:v>41.5</c:v>
                </c:pt>
                <c:pt idx="7">
                  <c:v>42</c:v>
                </c:pt>
                <c:pt idx="8">
                  <c:v>39.5</c:v>
                </c:pt>
                <c:pt idx="9">
                  <c:v>38</c:v>
                </c:pt>
                <c:pt idx="10">
                  <c:v>35.5</c:v>
                </c:pt>
                <c:pt idx="11">
                  <c:v>41</c:v>
                </c:pt>
                <c:pt idx="12">
                  <c:v>40.2</c:v>
                </c:pt>
                <c:pt idx="13">
                  <c:v>38.5</c:v>
                </c:pt>
                <c:pt idx="14">
                  <c:v>39</c:v>
                </c:pt>
                <c:pt idx="15">
                  <c:v>38</c:v>
                </c:pt>
                <c:pt idx="16">
                  <c:v>39.8</c:v>
                </c:pt>
                <c:pt idx="17">
                  <c:v>37.5</c:v>
                </c:pt>
                <c:pt idx="18">
                  <c:v>37</c:v>
                </c:pt>
                <c:pt idx="19">
                  <c:v>38.2</c:v>
                </c:pt>
                <c:pt idx="20">
                  <c:v>34</c:v>
                </c:pt>
                <c:pt idx="21">
                  <c:v>33.5</c:v>
                </c:pt>
                <c:pt idx="22">
                  <c:v>36</c:v>
                </c:pt>
                <c:pt idx="23">
                  <c:v>39.5</c:v>
                </c:pt>
              </c:numCache>
            </c:numRef>
          </c:val>
        </c:ser>
        <c:ser>
          <c:idx val="1"/>
          <c:order val="1"/>
          <c:tx>
            <c:strRef>
              <c:f>AWHW!$D$3</c:f>
              <c:strCache>
                <c:ptCount val="1"/>
                <c:pt idx="0">
                  <c:v>Authorized AWHW</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AWHW!$D$4:$D$27</c:f>
              <c:numCache>
                <c:formatCode>General</c:formatCode>
                <c:ptCount val="24"/>
                <c:pt idx="0">
                  <c:v>39.2</c:v>
                </c:pt>
                <c:pt idx="1">
                  <c:v>41.8</c:v>
                </c:pt>
                <c:pt idx="2">
                  <c:v>43.5</c:v>
                </c:pt>
                <c:pt idx="3">
                  <c:v>40.5</c:v>
                </c:pt>
                <c:pt idx="4">
                  <c:v>40.5</c:v>
                </c:pt>
                <c:pt idx="5">
                  <c:v>40.2</c:v>
                </c:pt>
                <c:pt idx="6">
                  <c:v>41</c:v>
                </c:pt>
                <c:pt idx="7">
                  <c:v>41.8</c:v>
                </c:pt>
                <c:pt idx="8">
                  <c:v>39.8</c:v>
                </c:pt>
                <c:pt idx="9">
                  <c:v>38.5</c:v>
                </c:pt>
                <c:pt idx="10">
                  <c:v>36</c:v>
                </c:pt>
                <c:pt idx="11">
                  <c:v>41.5</c:v>
                </c:pt>
                <c:pt idx="12">
                  <c:v>40.8</c:v>
                </c:pt>
                <c:pt idx="13">
                  <c:v>39</c:v>
                </c:pt>
                <c:pt idx="14">
                  <c:v>39.5</c:v>
                </c:pt>
                <c:pt idx="15">
                  <c:v>38.8</c:v>
                </c:pt>
                <c:pt idx="16">
                  <c:v>40.5</c:v>
                </c:pt>
                <c:pt idx="17">
                  <c:v>38</c:v>
                </c:pt>
                <c:pt idx="18">
                  <c:v>37.5</c:v>
                </c:pt>
                <c:pt idx="19">
                  <c:v>38.8</c:v>
                </c:pt>
                <c:pt idx="20">
                  <c:v>34.5</c:v>
                </c:pt>
                <c:pt idx="21">
                  <c:v>34</c:v>
                </c:pt>
                <c:pt idx="22">
                  <c:v>36.5</c:v>
                </c:pt>
                <c:pt idx="23">
                  <c:v>40</c:v>
                </c:pt>
              </c:numCache>
            </c:numRef>
          </c:val>
        </c:ser>
        <c:ser>
          <c:idx val="2"/>
          <c:order val="2"/>
          <c:tx>
            <c:strRef>
              <c:f>AWHW!$E$3</c:f>
              <c:strCache>
                <c:ptCount val="1"/>
                <c:pt idx="0">
                  <c:v>Unauthorized AWHW</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AWHW!$E$4:$E$27</c:f>
              <c:numCache>
                <c:formatCode>General</c:formatCode>
                <c:ptCount val="24"/>
                <c:pt idx="0">
                  <c:v>38.5</c:v>
                </c:pt>
                <c:pt idx="1">
                  <c:v>44</c:v>
                </c:pt>
                <c:pt idx="2">
                  <c:v>45.2</c:v>
                </c:pt>
                <c:pt idx="3">
                  <c:v>39</c:v>
                </c:pt>
                <c:pt idx="4">
                  <c:v>43</c:v>
                </c:pt>
                <c:pt idx="5">
                  <c:v>42</c:v>
                </c:pt>
                <c:pt idx="6">
                  <c:v>42.5</c:v>
                </c:pt>
                <c:pt idx="7">
                  <c:v>43.2</c:v>
                </c:pt>
                <c:pt idx="8">
                  <c:v>38.5</c:v>
                </c:pt>
                <c:pt idx="9">
                  <c:v>37</c:v>
                </c:pt>
                <c:pt idx="10">
                  <c:v>34</c:v>
                </c:pt>
                <c:pt idx="11">
                  <c:v>40</c:v>
                </c:pt>
                <c:pt idx="12">
                  <c:v>39.5</c:v>
                </c:pt>
                <c:pt idx="13">
                  <c:v>37</c:v>
                </c:pt>
                <c:pt idx="14">
                  <c:v>37.5</c:v>
                </c:pt>
                <c:pt idx="15">
                  <c:v>36.5</c:v>
                </c:pt>
                <c:pt idx="16">
                  <c:v>38</c:v>
                </c:pt>
                <c:pt idx="17">
                  <c:v>36.5</c:v>
                </c:pt>
                <c:pt idx="18">
                  <c:v>36</c:v>
                </c:pt>
                <c:pt idx="19">
                  <c:v>37</c:v>
                </c:pt>
                <c:pt idx="20">
                  <c:v>33</c:v>
                </c:pt>
                <c:pt idx="21">
                  <c:v>32.5</c:v>
                </c:pt>
                <c:pt idx="22">
                  <c:v>35</c:v>
                </c:pt>
                <c:pt idx="23">
                  <c:v>38</c:v>
                </c:pt>
              </c:numCache>
            </c:numRef>
          </c:val>
        </c:ser>
        <c:ser>
          <c:idx val="3"/>
          <c:order val="3"/>
          <c:tx>
            <c:strRef>
              <c:f>AWHW!$F$3</c:f>
              <c:strCache>
                <c:ptCount val="1"/>
                <c:pt idx="0">
                  <c:v>American AWHW</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AWHW!$B$4:$B$27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AWHW!$F$4:$F$27</c:f>
              <c:numCache>
                <c:formatCode>General</c:formatCode>
                <c:ptCount val="24"/>
                <c:pt idx="0">
                  <c:v>38.7</c:v>
                </c:pt>
                <c:pt idx="1">
                  <c:v>42.3</c:v>
                </c:pt>
                <c:pt idx="2">
                  <c:v>43.8</c:v>
                </c:pt>
                <c:pt idx="3">
                  <c:v>40.1</c:v>
                </c:pt>
                <c:pt idx="4">
                  <c:v>41</c:v>
                </c:pt>
                <c:pt idx="5">
                  <c:v>40.6</c:v>
                </c:pt>
                <c:pt idx="6">
                  <c:v>41.3</c:v>
                </c:pt>
                <c:pt idx="7">
                  <c:v>41.9</c:v>
                </c:pt>
                <c:pt idx="8">
                  <c:v>39.4</c:v>
                </c:pt>
                <c:pt idx="9">
                  <c:v>38.1</c:v>
                </c:pt>
                <c:pt idx="10">
                  <c:v>35.6</c:v>
                </c:pt>
                <c:pt idx="11">
                  <c:v>41.1</c:v>
                </c:pt>
                <c:pt idx="12">
                  <c:v>40.3</c:v>
                </c:pt>
                <c:pt idx="13">
                  <c:v>38.6</c:v>
                </c:pt>
                <c:pt idx="14">
                  <c:v>39.1</c:v>
                </c:pt>
                <c:pt idx="15">
                  <c:v>38.2</c:v>
                </c:pt>
                <c:pt idx="16">
                  <c:v>39.9</c:v>
                </c:pt>
                <c:pt idx="17">
                  <c:v>37.6</c:v>
                </c:pt>
                <c:pt idx="18">
                  <c:v>37.1</c:v>
                </c:pt>
                <c:pt idx="19">
                  <c:v>38.3</c:v>
                </c:pt>
                <c:pt idx="20">
                  <c:v>34.1</c:v>
                </c:pt>
                <c:pt idx="21">
                  <c:v>33.6</c:v>
                </c:pt>
                <c:pt idx="22">
                  <c:v>36.1</c:v>
                </c:pt>
                <c:pt idx="23">
                  <c:v>39.6</c:v>
                </c:pt>
              </c:numCache>
            </c:numRef>
          </c:val>
        </c:ser>
        <c:gapWidth val="100"/>
        <c:overlap val="0"/>
        <c:axId val="4758075"/>
        <c:axId val="97657383"/>
      </c:barChart>
      <c:catAx>
        <c:axId val="475807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764717464068"/>
              <c:y val="0.47675649070997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7657383"/>
        <c:crosses val="autoZero"/>
        <c:auto val="1"/>
        <c:lblAlgn val="ctr"/>
        <c:lblOffset val="100"/>
        <c:noMultiLvlLbl val="0"/>
      </c:catAx>
      <c:valAx>
        <c:axId val="9765738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Average Weekly Hourly Worked</a:t>
                </a:r>
              </a:p>
            </c:rich>
          </c:tx>
          <c:layout>
            <c:manualLayout>
              <c:xMode val="edge"/>
              <c:yMode val="edge"/>
              <c:x val="0.430399684977358"/>
              <c:y val="0.9687215454657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758075"/>
        <c:crosses val="max"/>
        <c:crossBetween val="midCat"/>
      </c:valAx>
      <c:spPr>
        <a:noFill/>
        <a:ln w="0">
          <a:solidFill>
            <a:srgbClr val="b3b3b3"/>
          </a:solidFill>
        </a:ln>
      </c:spPr>
    </c:plotArea>
    <c:legend>
      <c:legendPos val="r"/>
      <c:layout>
        <c:manualLayout>
          <c:xMode val="edge"/>
          <c:yMode val="edge"/>
          <c:x val="0.105"/>
          <c:y val="0.040625"/>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82181531797598"/>
          <c:y val="0.0167835609696075"/>
        </c:manualLayout>
      </c:layout>
      <c:overlay val="0"/>
      <c:spPr>
        <a:noFill/>
        <a:ln w="0">
          <a:noFill/>
        </a:ln>
      </c:spPr>
    </c:title>
    <c:autoTitleDeleted val="0"/>
    <c:plotArea>
      <c:layout>
        <c:manualLayout>
          <c:layoutTarget val="inner"/>
          <c:xMode val="edge"/>
          <c:yMode val="edge"/>
          <c:x val="0.25000984445757"/>
          <c:y val="0.0843853820598007"/>
          <c:w val="0.649852333136444"/>
          <c:h val="0.852910052910053"/>
        </c:manualLayout>
      </c:layout>
      <c:barChart>
        <c:barDir val="bar"/>
        <c:grouping val="clustered"/>
        <c:varyColors val="0"/>
        <c:ser>
          <c:idx val="0"/>
          <c:order val="0"/>
          <c:tx>
            <c:strRef>
              <c:f>FTER!$C$3</c:f>
              <c:strCache>
                <c:ptCount val="1"/>
                <c:pt idx="0">
                  <c:v>Overall FTER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FTER!$C$4:$C$27</c:f>
              <c:numCache>
                <c:formatCode>General</c:formatCode>
                <c:ptCount val="24"/>
                <c:pt idx="0">
                  <c:v>0.82</c:v>
                </c:pt>
                <c:pt idx="1">
                  <c:v>0.78</c:v>
                </c:pt>
                <c:pt idx="2">
                  <c:v>0.85</c:v>
                </c:pt>
                <c:pt idx="3">
                  <c:v>0.88</c:v>
                </c:pt>
                <c:pt idx="4">
                  <c:v>0.8</c:v>
                </c:pt>
                <c:pt idx="5">
                  <c:v>0.84</c:v>
                </c:pt>
                <c:pt idx="6">
                  <c:v>0.85</c:v>
                </c:pt>
                <c:pt idx="7">
                  <c:v>0.86</c:v>
                </c:pt>
                <c:pt idx="8">
                  <c:v>0.83</c:v>
                </c:pt>
                <c:pt idx="9">
                  <c:v>0.81</c:v>
                </c:pt>
                <c:pt idx="10">
                  <c:v>0.72</c:v>
                </c:pt>
                <c:pt idx="11">
                  <c:v>0.84</c:v>
                </c:pt>
                <c:pt idx="12">
                  <c:v>0.82</c:v>
                </c:pt>
                <c:pt idx="13">
                  <c:v>0.83</c:v>
                </c:pt>
                <c:pt idx="14">
                  <c:v>0.85</c:v>
                </c:pt>
                <c:pt idx="15">
                  <c:v>0.82</c:v>
                </c:pt>
                <c:pt idx="16">
                  <c:v>0.87</c:v>
                </c:pt>
                <c:pt idx="17">
                  <c:v>0.76</c:v>
                </c:pt>
                <c:pt idx="18">
                  <c:v>0.84</c:v>
                </c:pt>
                <c:pt idx="19">
                  <c:v>0.85</c:v>
                </c:pt>
                <c:pt idx="20">
                  <c:v>0.7</c:v>
                </c:pt>
                <c:pt idx="21">
                  <c:v>0.68</c:v>
                </c:pt>
                <c:pt idx="22">
                  <c:v>0.78</c:v>
                </c:pt>
                <c:pt idx="23">
                  <c:v>0.88</c:v>
                </c:pt>
              </c:numCache>
            </c:numRef>
          </c:val>
        </c:ser>
        <c:ser>
          <c:idx val="1"/>
          <c:order val="1"/>
          <c:tx>
            <c:strRef>
              <c:f>FTER!$D$3</c:f>
              <c:strCache>
                <c:ptCount val="1"/>
                <c:pt idx="0">
                  <c:v>Authorized FTER</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FTER!$D$4:$D$27</c:f>
              <c:numCache>
                <c:formatCode>General</c:formatCode>
                <c:ptCount val="24"/>
                <c:pt idx="0">
                  <c:v>0.84</c:v>
                </c:pt>
                <c:pt idx="1">
                  <c:v>0.76</c:v>
                </c:pt>
                <c:pt idx="2">
                  <c:v>0.86</c:v>
                </c:pt>
                <c:pt idx="3">
                  <c:v>0.89</c:v>
                </c:pt>
                <c:pt idx="4">
                  <c:v>0.78</c:v>
                </c:pt>
                <c:pt idx="5">
                  <c:v>0.82</c:v>
                </c:pt>
                <c:pt idx="6">
                  <c:v>0.84</c:v>
                </c:pt>
                <c:pt idx="7">
                  <c:v>0.85</c:v>
                </c:pt>
                <c:pt idx="8">
                  <c:v>0.84</c:v>
                </c:pt>
                <c:pt idx="9">
                  <c:v>0.82</c:v>
                </c:pt>
                <c:pt idx="10">
                  <c:v>0.74</c:v>
                </c:pt>
                <c:pt idx="11">
                  <c:v>0.85</c:v>
                </c:pt>
                <c:pt idx="12">
                  <c:v>0.83</c:v>
                </c:pt>
                <c:pt idx="13">
                  <c:v>0.85</c:v>
                </c:pt>
                <c:pt idx="14">
                  <c:v>0.87</c:v>
                </c:pt>
                <c:pt idx="15">
                  <c:v>0.84</c:v>
                </c:pt>
                <c:pt idx="16">
                  <c:v>0.89</c:v>
                </c:pt>
                <c:pt idx="17">
                  <c:v>0.78</c:v>
                </c:pt>
                <c:pt idx="18">
                  <c:v>0.86</c:v>
                </c:pt>
                <c:pt idx="19">
                  <c:v>0.87</c:v>
                </c:pt>
                <c:pt idx="20">
                  <c:v>0.72</c:v>
                </c:pt>
                <c:pt idx="21">
                  <c:v>0.7</c:v>
                </c:pt>
                <c:pt idx="22">
                  <c:v>0.8</c:v>
                </c:pt>
                <c:pt idx="23">
                  <c:v>0.89</c:v>
                </c:pt>
              </c:numCache>
            </c:numRef>
          </c:val>
        </c:ser>
        <c:ser>
          <c:idx val="2"/>
          <c:order val="2"/>
          <c:tx>
            <c:strRef>
              <c:f>FTER!$E$3</c:f>
              <c:strCache>
                <c:ptCount val="1"/>
                <c:pt idx="0">
                  <c:v>Unauthorized FTER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FTER!$E$4:$E$27</c:f>
              <c:numCache>
                <c:formatCode>General</c:formatCode>
                <c:ptCount val="24"/>
                <c:pt idx="0">
                  <c:v>0.78</c:v>
                </c:pt>
                <c:pt idx="1">
                  <c:v>0.82</c:v>
                </c:pt>
                <c:pt idx="2">
                  <c:v>0.83</c:v>
                </c:pt>
                <c:pt idx="3">
                  <c:v>0.85</c:v>
                </c:pt>
                <c:pt idx="4">
                  <c:v>0.84</c:v>
                </c:pt>
                <c:pt idx="5">
                  <c:v>0.86</c:v>
                </c:pt>
                <c:pt idx="6">
                  <c:v>0.87</c:v>
                </c:pt>
                <c:pt idx="7">
                  <c:v>0.88</c:v>
                </c:pt>
                <c:pt idx="8">
                  <c:v>0.8</c:v>
                </c:pt>
                <c:pt idx="9">
                  <c:v>0.78</c:v>
                </c:pt>
                <c:pt idx="10">
                  <c:v>0.68</c:v>
                </c:pt>
                <c:pt idx="11">
                  <c:v>0.81</c:v>
                </c:pt>
                <c:pt idx="12">
                  <c:v>0.79</c:v>
                </c:pt>
                <c:pt idx="13">
                  <c:v>0.79</c:v>
                </c:pt>
                <c:pt idx="14">
                  <c:v>0.81</c:v>
                </c:pt>
                <c:pt idx="15">
                  <c:v>0.78</c:v>
                </c:pt>
                <c:pt idx="16">
                  <c:v>0.82</c:v>
                </c:pt>
                <c:pt idx="17">
                  <c:v>0.72</c:v>
                </c:pt>
                <c:pt idx="18">
                  <c:v>0.8</c:v>
                </c:pt>
                <c:pt idx="19">
                  <c:v>0.81</c:v>
                </c:pt>
                <c:pt idx="20">
                  <c:v>0.66</c:v>
                </c:pt>
                <c:pt idx="21">
                  <c:v>0.64</c:v>
                </c:pt>
                <c:pt idx="22">
                  <c:v>0.74</c:v>
                </c:pt>
                <c:pt idx="23">
                  <c:v>0.85</c:v>
                </c:pt>
              </c:numCache>
            </c:numRef>
          </c:val>
        </c:ser>
        <c:ser>
          <c:idx val="3"/>
          <c:order val="3"/>
          <c:tx>
            <c:strRef>
              <c:f>FTER!$F$3</c:f>
              <c:strCache>
                <c:ptCount val="1"/>
                <c:pt idx="0">
                  <c:v>American FTER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0.0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FTER!$F$4:$F$27</c:f>
              <c:numCache>
                <c:formatCode>General</c:formatCode>
                <c:ptCount val="24"/>
                <c:pt idx="0">
                  <c:v>0.82</c:v>
                </c:pt>
                <c:pt idx="1">
                  <c:v>0.78</c:v>
                </c:pt>
                <c:pt idx="2">
                  <c:v>0.85</c:v>
                </c:pt>
                <c:pt idx="3">
                  <c:v>0.88</c:v>
                </c:pt>
                <c:pt idx="4">
                  <c:v>0.8</c:v>
                </c:pt>
                <c:pt idx="5">
                  <c:v>0.84</c:v>
                </c:pt>
                <c:pt idx="6">
                  <c:v>0.85</c:v>
                </c:pt>
                <c:pt idx="7">
                  <c:v>0.86</c:v>
                </c:pt>
                <c:pt idx="8">
                  <c:v>0.83</c:v>
                </c:pt>
                <c:pt idx="9">
                  <c:v>0.81</c:v>
                </c:pt>
                <c:pt idx="10">
                  <c:v>0.72</c:v>
                </c:pt>
                <c:pt idx="11">
                  <c:v>0.84</c:v>
                </c:pt>
                <c:pt idx="12">
                  <c:v>0.82</c:v>
                </c:pt>
                <c:pt idx="13">
                  <c:v>0.83</c:v>
                </c:pt>
                <c:pt idx="14">
                  <c:v>0.85</c:v>
                </c:pt>
                <c:pt idx="15">
                  <c:v>0.82</c:v>
                </c:pt>
                <c:pt idx="16">
                  <c:v>0.87</c:v>
                </c:pt>
                <c:pt idx="17">
                  <c:v>0.76</c:v>
                </c:pt>
                <c:pt idx="18">
                  <c:v>0.84</c:v>
                </c:pt>
                <c:pt idx="19">
                  <c:v>0.85</c:v>
                </c:pt>
                <c:pt idx="20">
                  <c:v>0.7</c:v>
                </c:pt>
                <c:pt idx="21">
                  <c:v>0.68</c:v>
                </c:pt>
                <c:pt idx="22">
                  <c:v>0.78</c:v>
                </c:pt>
                <c:pt idx="23">
                  <c:v>0.88</c:v>
                </c:pt>
              </c:numCache>
            </c:numRef>
          </c:val>
        </c:ser>
        <c:gapWidth val="100"/>
        <c:overlap val="0"/>
        <c:axId val="35296095"/>
        <c:axId val="51949651"/>
      </c:barChart>
      <c:catAx>
        <c:axId val="3529609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764717464068"/>
              <c:y val="0.476731881383044"/>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1949651"/>
        <c:crosses val="autoZero"/>
        <c:auto val="1"/>
        <c:lblAlgn val="ctr"/>
        <c:lblOffset val="100"/>
        <c:noMultiLvlLbl val="0"/>
      </c:catAx>
      <c:valAx>
        <c:axId val="5194965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0675329789329"/>
              <c:y val="0.968721545465732"/>
            </c:manualLayout>
          </c:layout>
          <c:overlay val="0"/>
          <c:spPr>
            <a:noFill/>
            <a:ln w="0">
              <a:noFill/>
            </a:ln>
          </c:spPr>
        </c:title>
        <c:numFmt formatCode="0.0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35296095"/>
        <c:crosses val="max"/>
        <c:crossBetween val="midCat"/>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Full-Time Employment Rate</a:t>
            </a:r>
          </a:p>
        </c:rich>
      </c:tx>
      <c:layout>
        <c:manualLayout>
          <c:xMode val="edge"/>
          <c:yMode val="edge"/>
          <c:x val="0.282260287458161"/>
          <c:y val="0.0167835609696075"/>
        </c:manualLayout>
      </c:layout>
      <c:overlay val="0"/>
      <c:spPr>
        <a:noFill/>
        <a:ln w="0">
          <a:noFill/>
        </a:ln>
      </c:spPr>
    </c:title>
    <c:autoTitleDeleted val="0"/>
    <c:plotArea>
      <c:layout>
        <c:manualLayout>
          <c:layoutTarget val="inner"/>
          <c:xMode val="edge"/>
          <c:yMode val="edge"/>
          <c:x val="0.25000984445757"/>
          <c:y val="0.0843853820598007"/>
          <c:w val="0.649852333136444"/>
          <c:h val="0.852910052910053"/>
        </c:manualLayout>
      </c:layout>
      <c:barChart>
        <c:barDir val="bar"/>
        <c:grouping val="clustered"/>
        <c:varyColors val="0"/>
        <c:ser>
          <c:idx val="0"/>
          <c:order val="0"/>
          <c:tx>
            <c:strRef>
              <c:f>PTER!$C$3</c:f>
              <c:strCache>
                <c:ptCount val="1"/>
                <c:pt idx="0">
                  <c:v>Overall FTER</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Pt>
            <c:idx val="22"/>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PTER!$C$4:$C$27</c:f>
              <c:numCache>
                <c:formatCode>General</c:formatCode>
                <c:ptCount val="24"/>
                <c:pt idx="0">
                  <c:v>0.18</c:v>
                </c:pt>
                <c:pt idx="1">
                  <c:v>0.22</c:v>
                </c:pt>
                <c:pt idx="2">
                  <c:v>0.15</c:v>
                </c:pt>
                <c:pt idx="3">
                  <c:v>0.12</c:v>
                </c:pt>
                <c:pt idx="4">
                  <c:v>0.2</c:v>
                </c:pt>
                <c:pt idx="5">
                  <c:v>0.16</c:v>
                </c:pt>
                <c:pt idx="6">
                  <c:v>0.15</c:v>
                </c:pt>
                <c:pt idx="7">
                  <c:v>0.14</c:v>
                </c:pt>
                <c:pt idx="8">
                  <c:v>0.17</c:v>
                </c:pt>
                <c:pt idx="9">
                  <c:v>0.19</c:v>
                </c:pt>
                <c:pt idx="10">
                  <c:v>0.28</c:v>
                </c:pt>
                <c:pt idx="11">
                  <c:v>0.16</c:v>
                </c:pt>
                <c:pt idx="12">
                  <c:v>0.18</c:v>
                </c:pt>
                <c:pt idx="13">
                  <c:v>0.17</c:v>
                </c:pt>
                <c:pt idx="14">
                  <c:v>0.15</c:v>
                </c:pt>
                <c:pt idx="15">
                  <c:v>0.18</c:v>
                </c:pt>
                <c:pt idx="16">
                  <c:v>0.13</c:v>
                </c:pt>
                <c:pt idx="17">
                  <c:v>0.24</c:v>
                </c:pt>
                <c:pt idx="18">
                  <c:v>0.16</c:v>
                </c:pt>
                <c:pt idx="19">
                  <c:v>0.15</c:v>
                </c:pt>
                <c:pt idx="20">
                  <c:v>0.3</c:v>
                </c:pt>
                <c:pt idx="21">
                  <c:v>0.32</c:v>
                </c:pt>
                <c:pt idx="22">
                  <c:v>0.22</c:v>
                </c:pt>
                <c:pt idx="23">
                  <c:v>0.12</c:v>
                </c:pt>
              </c:numCache>
            </c:numRef>
          </c:val>
        </c:ser>
        <c:ser>
          <c:idx val="1"/>
          <c:order val="1"/>
          <c:tx>
            <c:strRef>
              <c:f>PTER!$D$3</c:f>
              <c:strCache>
                <c:ptCount val="1"/>
                <c:pt idx="0">
                  <c:v>Authorized FTER</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Pt>
            <c:idx val="22"/>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PTER!$D$4:$D$27</c:f>
              <c:numCache>
                <c:formatCode>General</c:formatCode>
                <c:ptCount val="24"/>
                <c:pt idx="0">
                  <c:v>0.16</c:v>
                </c:pt>
                <c:pt idx="1">
                  <c:v>0.24</c:v>
                </c:pt>
                <c:pt idx="2">
                  <c:v>0.14</c:v>
                </c:pt>
                <c:pt idx="3">
                  <c:v>0.11</c:v>
                </c:pt>
                <c:pt idx="4">
                  <c:v>0.22</c:v>
                </c:pt>
                <c:pt idx="5">
                  <c:v>0.18</c:v>
                </c:pt>
                <c:pt idx="6">
                  <c:v>0.16</c:v>
                </c:pt>
                <c:pt idx="7">
                  <c:v>0.15</c:v>
                </c:pt>
                <c:pt idx="8">
                  <c:v>0.16</c:v>
                </c:pt>
                <c:pt idx="9">
                  <c:v>0.18</c:v>
                </c:pt>
                <c:pt idx="10">
                  <c:v>0.26</c:v>
                </c:pt>
                <c:pt idx="11">
                  <c:v>0.15</c:v>
                </c:pt>
                <c:pt idx="12">
                  <c:v>0.17</c:v>
                </c:pt>
                <c:pt idx="13">
                  <c:v>0.15</c:v>
                </c:pt>
                <c:pt idx="14">
                  <c:v>0.13</c:v>
                </c:pt>
                <c:pt idx="15">
                  <c:v>0.16</c:v>
                </c:pt>
                <c:pt idx="16">
                  <c:v>0.11</c:v>
                </c:pt>
                <c:pt idx="17">
                  <c:v>0.22</c:v>
                </c:pt>
                <c:pt idx="18">
                  <c:v>0.14</c:v>
                </c:pt>
                <c:pt idx="19">
                  <c:v>0.13</c:v>
                </c:pt>
                <c:pt idx="20">
                  <c:v>0.28</c:v>
                </c:pt>
                <c:pt idx="21">
                  <c:v>0.3</c:v>
                </c:pt>
                <c:pt idx="22">
                  <c:v>0.2</c:v>
                </c:pt>
                <c:pt idx="23">
                  <c:v>0.11</c:v>
                </c:pt>
              </c:numCache>
            </c:numRef>
          </c:val>
        </c:ser>
        <c:ser>
          <c:idx val="2"/>
          <c:order val="2"/>
          <c:tx>
            <c:strRef>
              <c:f>PTER!$E$3</c:f>
              <c:strCache>
                <c:ptCount val="1"/>
                <c:pt idx="0">
                  <c:v>Unauthorized FTER</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PTER!$E$4:$E$27</c:f>
              <c:numCache>
                <c:formatCode>General</c:formatCode>
                <c:ptCount val="24"/>
                <c:pt idx="0">
                  <c:v>0.22</c:v>
                </c:pt>
                <c:pt idx="1">
                  <c:v>0.18</c:v>
                </c:pt>
                <c:pt idx="2">
                  <c:v>0.17</c:v>
                </c:pt>
                <c:pt idx="3">
                  <c:v>0.15</c:v>
                </c:pt>
                <c:pt idx="4">
                  <c:v>0.16</c:v>
                </c:pt>
                <c:pt idx="5">
                  <c:v>0.14</c:v>
                </c:pt>
                <c:pt idx="6">
                  <c:v>0.13</c:v>
                </c:pt>
                <c:pt idx="7">
                  <c:v>0.12</c:v>
                </c:pt>
                <c:pt idx="8">
                  <c:v>0.2</c:v>
                </c:pt>
                <c:pt idx="9">
                  <c:v>0.22</c:v>
                </c:pt>
                <c:pt idx="10">
                  <c:v>0.32</c:v>
                </c:pt>
                <c:pt idx="11">
                  <c:v>0.19</c:v>
                </c:pt>
                <c:pt idx="12">
                  <c:v>0.21</c:v>
                </c:pt>
                <c:pt idx="13">
                  <c:v>0.21</c:v>
                </c:pt>
                <c:pt idx="14">
                  <c:v>0.19</c:v>
                </c:pt>
                <c:pt idx="15">
                  <c:v>0.22</c:v>
                </c:pt>
                <c:pt idx="16">
                  <c:v>0.18</c:v>
                </c:pt>
                <c:pt idx="17">
                  <c:v>0.28</c:v>
                </c:pt>
                <c:pt idx="18">
                  <c:v>0.2</c:v>
                </c:pt>
                <c:pt idx="19">
                  <c:v>0.19</c:v>
                </c:pt>
                <c:pt idx="20">
                  <c:v>0.34</c:v>
                </c:pt>
                <c:pt idx="21">
                  <c:v>0.36</c:v>
                </c:pt>
                <c:pt idx="22">
                  <c:v>0.26</c:v>
                </c:pt>
                <c:pt idx="23">
                  <c:v>0.15</c:v>
                </c:pt>
              </c:numCache>
            </c:numRef>
          </c:val>
        </c:ser>
        <c:ser>
          <c:idx val="3"/>
          <c:order val="3"/>
          <c:tx>
            <c:strRef>
              <c:f>PTER!$F$3</c:f>
              <c:strCache>
                <c:ptCount val="1"/>
                <c:pt idx="0">
                  <c:v>American FTER</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Pt>
            <c:idx val="22"/>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PTER!$B$4:$B$27</c:f>
              <c:strCache>
                <c:ptCount val="24"/>
                <c:pt idx="0">
                  <c:v>All Industries</c:v>
                </c:pt>
                <c:pt idx="1">
                  <c:v>Agriculture, Forestry, 
Fishing and Hunting</c:v>
                </c:pt>
                <c:pt idx="2">
                  <c:v>Mining, Quarrying, and
Oil and Gas Extraction</c:v>
                </c:pt>
                <c:pt idx="3">
                  <c:v>Utilities</c:v>
                </c:pt>
                <c:pt idx="4">
                  <c:v>Construction</c:v>
                </c:pt>
                <c:pt idx="5">
                  <c:v>Manufacturing
(Food,Textile, etc.)</c:v>
                </c:pt>
                <c:pt idx="6">
                  <c:v>Manufacturing (Wood,
Paper, Printing, etc.)</c:v>
                </c:pt>
                <c:pt idx="7">
                  <c:v>Manufacturing
(Machinery, Transport)</c:v>
                </c:pt>
                <c:pt idx="8">
                  <c:v>Wholesale Trade</c:v>
                </c:pt>
                <c:pt idx="9">
                  <c:v>Retail Trade (Motor
Vehicle, Electronics)</c:v>
                </c:pt>
                <c:pt idx="10">
                  <c:v>Retail Trade (Food, Clothing,
General Merchandise, etc.)</c:v>
                </c:pt>
                <c:pt idx="11">
                  <c:v>Transportation</c:v>
                </c:pt>
                <c:pt idx="12">
                  <c:v>Warehousing and Storage</c:v>
                </c:pt>
                <c:pt idx="13">
                  <c:v>Information</c:v>
                </c:pt>
                <c:pt idx="14">
                  <c:v>Finance and Insurance</c:v>
                </c:pt>
                <c:pt idx="15">
                  <c:v>Real Estate and
Rental and Leasing</c:v>
                </c:pt>
                <c:pt idx="16">
                  <c:v>Professional, Scientific,
and Technical Services</c:v>
                </c:pt>
                <c:pt idx="17">
                  <c:v>Administrative and Support
and Waste Management
and Remediation Services</c:v>
                </c:pt>
                <c:pt idx="18">
                  <c:v>Educational Services</c:v>
                </c:pt>
                <c:pt idx="19">
                  <c:v>Health Care and
Social Assistance</c:v>
                </c:pt>
                <c:pt idx="20">
                  <c:v>Arts, Entertainment,
and Recreation</c:v>
                </c:pt>
                <c:pt idx="21">
                  <c:v>Accommodation
and Food Services</c:v>
                </c:pt>
                <c:pt idx="22">
                  <c:v>Other Services (except
Public Administration)</c:v>
                </c:pt>
                <c:pt idx="23">
                  <c:v>Public Administration</c:v>
                </c:pt>
              </c:strCache>
            </c:strRef>
          </c:cat>
          <c:val>
            <c:numRef>
              <c:f>PTER!$F$4:$F$27</c:f>
              <c:numCache>
                <c:formatCode>General</c:formatCode>
                <c:ptCount val="24"/>
                <c:pt idx="0">
                  <c:v>0.18</c:v>
                </c:pt>
                <c:pt idx="1">
                  <c:v>0.22</c:v>
                </c:pt>
                <c:pt idx="2">
                  <c:v>0.15</c:v>
                </c:pt>
                <c:pt idx="3">
                  <c:v>0.12</c:v>
                </c:pt>
                <c:pt idx="4">
                  <c:v>0.2</c:v>
                </c:pt>
                <c:pt idx="5">
                  <c:v>0.16</c:v>
                </c:pt>
                <c:pt idx="6">
                  <c:v>0.15</c:v>
                </c:pt>
                <c:pt idx="7">
                  <c:v>0.14</c:v>
                </c:pt>
                <c:pt idx="8">
                  <c:v>0.17</c:v>
                </c:pt>
                <c:pt idx="9">
                  <c:v>0.19</c:v>
                </c:pt>
                <c:pt idx="10">
                  <c:v>0.28</c:v>
                </c:pt>
                <c:pt idx="11">
                  <c:v>0.16</c:v>
                </c:pt>
                <c:pt idx="12">
                  <c:v>0.18</c:v>
                </c:pt>
                <c:pt idx="13">
                  <c:v>0.17</c:v>
                </c:pt>
                <c:pt idx="14">
                  <c:v>0.15</c:v>
                </c:pt>
                <c:pt idx="15">
                  <c:v>0.18</c:v>
                </c:pt>
                <c:pt idx="16">
                  <c:v>0.13</c:v>
                </c:pt>
                <c:pt idx="17">
                  <c:v>0.24</c:v>
                </c:pt>
                <c:pt idx="18">
                  <c:v>0.16</c:v>
                </c:pt>
                <c:pt idx="19">
                  <c:v>0.15</c:v>
                </c:pt>
                <c:pt idx="20">
                  <c:v>0.3</c:v>
                </c:pt>
                <c:pt idx="21">
                  <c:v>0.32</c:v>
                </c:pt>
                <c:pt idx="22">
                  <c:v>0.22</c:v>
                </c:pt>
                <c:pt idx="23">
                  <c:v>0.12</c:v>
                </c:pt>
              </c:numCache>
            </c:numRef>
          </c:val>
        </c:ser>
        <c:gapWidth val="100"/>
        <c:overlap val="0"/>
        <c:axId val="56766026"/>
        <c:axId val="10275442"/>
      </c:barChart>
      <c:catAx>
        <c:axId val="56766026"/>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764717464068"/>
              <c:y val="0.47670727205610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0275442"/>
        <c:crosses val="autoZero"/>
        <c:auto val="1"/>
        <c:lblAlgn val="ctr"/>
        <c:lblOffset val="100"/>
        <c:noMultiLvlLbl val="0"/>
      </c:catAx>
      <c:valAx>
        <c:axId val="1027544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Full-Time Employment Rate</a:t>
                </a:r>
              </a:p>
            </c:rich>
          </c:tx>
          <c:layout>
            <c:manualLayout>
              <c:xMode val="edge"/>
              <c:yMode val="edge"/>
              <c:x val="0.43071470761961"/>
              <c:y val="0.96872154546573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6766026"/>
        <c:crosses val="max"/>
        <c:crossBetween val="midCat"/>
      </c:valAx>
      <c:spPr>
        <a:noFill/>
        <a:ln w="0">
          <a:solidFill>
            <a:srgbClr val="b3b3b3"/>
          </a:solidFill>
        </a:ln>
      </c:spPr>
    </c:plotArea>
    <c:legend>
      <c:legendPos val="r"/>
      <c:layout>
        <c:manualLayout>
          <c:xMode val="edge"/>
          <c:yMode val="edge"/>
          <c:x val="0.104995866304476"/>
          <c:y val="0.0406240003936911"/>
          <c:w val="0.78496062992126"/>
          <c:h val="0.0249753937007874"/>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928565790512"/>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Pt>
            <c:idx val="21"/>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JTA!$C$4:$C$29</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JTA!$D$4:$D$29</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3"/>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3"/>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JTA!$E$4:$E$29</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JTA!$F$4:$F$29</c:f>
              <c:numCache>
                <c:formatCode>General</c:formatCode>
                <c:ptCount val="26"/>
              </c:numCache>
            </c:numRef>
          </c:val>
        </c:ser>
        <c:gapWidth val="100"/>
        <c:overlap val="0"/>
        <c:axId val="85578747"/>
        <c:axId val="24405213"/>
      </c:barChart>
      <c:catAx>
        <c:axId val="85578747"/>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24328453842"/>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4405213"/>
        <c:crosses val="autoZero"/>
        <c:auto val="1"/>
        <c:lblAlgn val="ctr"/>
        <c:lblOffset val="100"/>
        <c:noMultiLvlLbl val="0"/>
      </c:catAx>
      <c:valAx>
        <c:axId val="2440521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0696976872681"/>
              <c:y val="0.96872689634777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5578747"/>
        <c:crosses val="max"/>
        <c:crossBetween val="midCat"/>
      </c:valAx>
      <c:spPr>
        <a:noFill/>
        <a:ln w="0">
          <a:solidFill>
            <a:srgbClr val="b3b3b3"/>
          </a:solidFill>
        </a:ln>
      </c:spPr>
    </c:plotArea>
    <c:legend>
      <c:legendPos val="r"/>
      <c:layout>
        <c:manualLayout>
          <c:xMode val="edge"/>
          <c:yMode val="edge"/>
          <c:x val="0.804221739988163"/>
          <c:y val="0.076653936183319"/>
          <c:w val="0.170020517676768"/>
          <c:h val="0.11164498324462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Job Tenure Average</a:t>
            </a:r>
          </a:p>
        </c:rich>
      </c:tx>
      <c:layout>
        <c:manualLayout>
          <c:xMode val="edge"/>
          <c:yMode val="edge"/>
          <c:x val="0.244928565790512"/>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JTA!$C$2</c:f>
              <c:strCache>
                <c:ptCount val="1"/>
                <c:pt idx="0">
                  <c:v>Job Tenure Average (years)</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JTA!$C$30:$C$55</c:f>
              <c:numCache>
                <c:formatCode>General</c:formatCode>
                <c:ptCount val="26"/>
              </c:numCache>
            </c:numRef>
          </c:val>
        </c:ser>
        <c:ser>
          <c:idx val="1"/>
          <c:order val="1"/>
          <c:tx>
            <c:strRef>
              <c:f>JTA!$D$2</c:f>
              <c:strCache>
                <c:ptCount val="1"/>
                <c:pt idx="0">
                  <c:v>Authorized Immigrant Job Tenure Average</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JTA!$D$30:$D$55</c:f>
              <c:numCache>
                <c:formatCode>General</c:formatCode>
                <c:ptCount val="26"/>
              </c:numCache>
            </c:numRef>
          </c:val>
        </c:ser>
        <c:ser>
          <c:idx val="2"/>
          <c:order val="2"/>
          <c:tx>
            <c:strRef>
              <c:f>JTA!$E$2</c:f>
              <c:strCache>
                <c:ptCount val="1"/>
                <c:pt idx="0">
                  <c:v>Unauthorized Immigrant Job Tenure Average</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JTA!$E$30:$E$55</c:f>
              <c:numCache>
                <c:formatCode>General</c:formatCode>
                <c:ptCount val="26"/>
              </c:numCache>
            </c:numRef>
          </c:val>
        </c:ser>
        <c:ser>
          <c:idx val="3"/>
          <c:order val="3"/>
          <c:tx>
            <c:strRef>
              <c:f>JTA!$F$2</c:f>
              <c:strCache>
                <c:ptCount val="1"/>
                <c:pt idx="0">
                  <c:v>American Job Tenure Average</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General"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JTA!$B$30:$B$55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JTA!$F$30:$F$55</c:f>
              <c:numCache>
                <c:formatCode>General</c:formatCode>
                <c:ptCount val="26"/>
              </c:numCache>
            </c:numRef>
          </c:val>
        </c:ser>
        <c:gapWidth val="100"/>
        <c:overlap val="0"/>
        <c:axId val="59389325"/>
        <c:axId val="55337234"/>
      </c:barChart>
      <c:catAx>
        <c:axId val="59389325"/>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21864064271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5337234"/>
        <c:crosses val="autoZero"/>
        <c:auto val="1"/>
        <c:lblAlgn val="ctr"/>
        <c:lblOffset val="100"/>
        <c:noMultiLvlLbl val="0"/>
      </c:catAx>
      <c:valAx>
        <c:axId val="5533723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Job Tenure Average</a:t>
                </a:r>
              </a:p>
            </c:rich>
          </c:tx>
          <c:layout>
            <c:manualLayout>
              <c:xMode val="edge"/>
              <c:yMode val="edge"/>
              <c:x val="0.430696976872681"/>
              <c:y val="0.96872689634777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9389325"/>
        <c:crosses val="max"/>
        <c:crossBetween val="midCat"/>
      </c:valAx>
      <c:spPr>
        <a:noFill/>
        <a:ln w="0">
          <a:solidFill>
            <a:srgbClr val="b3b3b3"/>
          </a:solidFill>
        </a:ln>
      </c:spPr>
    </c:plotArea>
    <c:legend>
      <c:legendPos val="r"/>
      <c:layout>
        <c:manualLayout>
          <c:xMode val="edge"/>
          <c:yMode val="edge"/>
          <c:x val="0.804182284474255"/>
          <c:y val="0.076653936183319"/>
          <c:w val="0.169941603535354"/>
          <c:h val="0.111644983244628"/>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59807403899282"/>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FPPTREV!$C$2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FPPTREV!$C$4:$C$29</c:f>
              <c:numCache>
                <c:formatCode>[$$-409]#,##0;\-[$$-409]#,##0</c:formatCode>
                <c:ptCount val="26"/>
              </c:numCache>
            </c:numRef>
          </c:val>
        </c:ser>
        <c:ser>
          <c:idx val="1"/>
          <c:order val="1"/>
          <c:tx>
            <c:strRef>
              <c:f>FPPTREV!$D$2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FPPTREV!$D$4:$D$29</c:f>
              <c:numCache>
                <c:formatCode>[$$-409]#,##0;\-[$$-409]#,##0</c:formatCode>
                <c:ptCount val="26"/>
              </c:numCache>
            </c:numRef>
          </c:val>
        </c:ser>
        <c:ser>
          <c:idx val="2"/>
          <c:order val="2"/>
          <c:tx>
            <c:strRef>
              <c:f>FPPTREV!$E$2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FPPTREV!$E$4:$E$29</c:f>
              <c:numCache>
                <c:formatCode>[$$-409]#,##0;\-[$$-409]#,##0</c:formatCode>
                <c:ptCount val="26"/>
              </c:numCache>
            </c:numRef>
          </c:val>
        </c:ser>
        <c:ser>
          <c:idx val="3"/>
          <c:order val="3"/>
          <c:tx>
            <c:strRef>
              <c:f>FPPTREV!$F$2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FPPTREV!$F$4:$F$29</c:f>
              <c:numCache>
                <c:formatCode>[$$-409]#,##0;\-[$$-409]#,##0</c:formatCode>
                <c:ptCount val="26"/>
              </c:numCache>
            </c:numRef>
          </c:val>
        </c:ser>
        <c:gapWidth val="100"/>
        <c:overlap val="0"/>
        <c:axId val="63736981"/>
        <c:axId val="40761602"/>
      </c:barChart>
      <c:catAx>
        <c:axId val="6373698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71151855685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0761602"/>
        <c:crosses val="autoZero"/>
        <c:auto val="1"/>
        <c:lblAlgn val="ctr"/>
        <c:lblOffset val="100"/>
        <c:noMultiLvlLbl val="0"/>
      </c:catAx>
      <c:valAx>
        <c:axId val="4076160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038834951456"/>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3736981"/>
        <c:crosses val="max"/>
        <c:crossBetween val="midCat"/>
        <c:majorUnit val="1000000"/>
      </c:valAx>
      <c:spPr>
        <a:noFill/>
        <a:ln w="0">
          <a:solidFill>
            <a:srgbClr val="b3b3b3"/>
          </a:solidFill>
        </a:ln>
      </c:spPr>
    </c:plotArea>
    <c:legend>
      <c:legendPos val="r"/>
      <c:layout>
        <c:manualLayout>
          <c:xMode val="edge"/>
          <c:yMode val="edge"/>
          <c:x val="0.804275796781319"/>
          <c:y val="0.0767638943634214"/>
          <c:w val="0.170170801940752"/>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Payroll Tax Revenue</a:t>
            </a:r>
          </a:p>
        </c:rich>
      </c:tx>
      <c:layout>
        <c:manualLayout>
          <c:xMode val="edge"/>
          <c:yMode val="edge"/>
          <c:x val="0.259807403899282"/>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FPPTREV!$C$2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FPPTREV!$C$30:$C$55</c:f>
              <c:numCache>
                <c:formatCode>[$$-409]#,##0;\-[$$-409]#,##0</c:formatCode>
                <c:ptCount val="26"/>
              </c:numCache>
            </c:numRef>
          </c:val>
        </c:ser>
        <c:ser>
          <c:idx val="1"/>
          <c:order val="1"/>
          <c:tx>
            <c:strRef>
              <c:f>FPPTREV!$D$2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FPPTREV!$D$30:$D$55</c:f>
              <c:numCache>
                <c:formatCode>[$$-409]#,##0;\-[$$-409]#,##0</c:formatCode>
                <c:ptCount val="26"/>
              </c:numCache>
            </c:numRef>
          </c:val>
        </c:ser>
        <c:ser>
          <c:idx val="2"/>
          <c:order val="2"/>
          <c:tx>
            <c:strRef>
              <c:f>FPPTREV!$E$2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FPPTREV!$E$30:$E$55</c:f>
              <c:numCache>
                <c:formatCode>[$$-409]#,##0;\-[$$-409]#,##0</c:formatCode>
                <c:ptCount val="26"/>
              </c:numCache>
            </c:numRef>
          </c:val>
        </c:ser>
        <c:ser>
          <c:idx val="3"/>
          <c:order val="3"/>
          <c:tx>
            <c:strRef>
              <c:f>FPPTREV!$F$2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FPPTREV!$B$30:$B$55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FPPTREV!$F$30:$F$55</c:f>
              <c:numCache>
                <c:formatCode>[$$-409]#,##0;\-[$$-409]#,##0</c:formatCode>
                <c:ptCount val="26"/>
              </c:numCache>
            </c:numRef>
          </c:val>
        </c:ser>
        <c:gapWidth val="100"/>
        <c:overlap val="0"/>
        <c:axId val="77901844"/>
        <c:axId val="57885674"/>
      </c:barChart>
      <c:catAx>
        <c:axId val="7790184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612942974025"/>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885674"/>
        <c:crosses val="autoZero"/>
        <c:auto val="1"/>
        <c:lblAlgn val="ctr"/>
        <c:lblOffset val="100"/>
        <c:noMultiLvlLbl val="0"/>
      </c:catAx>
      <c:valAx>
        <c:axId val="57885674"/>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Payroll Tax Revenue</a:t>
                </a:r>
              </a:p>
            </c:rich>
          </c:tx>
          <c:layout>
            <c:manualLayout>
              <c:xMode val="edge"/>
              <c:yMode val="edge"/>
              <c:x val="0.43211776777962"/>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7901844"/>
        <c:crosses val="max"/>
        <c:crossBetween val="midCat"/>
      </c:valAx>
      <c:spPr>
        <a:noFill/>
        <a:ln w="0">
          <a:solidFill>
            <a:srgbClr val="b3b3b3"/>
          </a:solidFill>
        </a:ln>
      </c:spPr>
    </c:plotArea>
    <c:legend>
      <c:legendPos val="r"/>
      <c:layout>
        <c:manualLayout>
          <c:xMode val="edge"/>
          <c:yMode val="edge"/>
          <c:x val="0.804236352161565"/>
          <c:y val="0.0767392589672842"/>
          <c:w val="0.170091909589365"/>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634935669745"/>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EITCREF!$C$2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EITCREF!$C$4:$C$29</c:f>
              <c:numCache>
                <c:formatCode>[$$-409]#,##0;\-[$$-409]#,##0</c:formatCode>
                <c:ptCount val="26"/>
              </c:numCache>
            </c:numRef>
          </c:val>
        </c:ser>
        <c:ser>
          <c:idx val="1"/>
          <c:order val="1"/>
          <c:tx>
            <c:strRef>
              <c:f>EITCREF!$D$2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EITCREF!$D$4:$D$29</c:f>
              <c:numCache>
                <c:formatCode>[$$-409]#,##0;\-[$$-409]#,##0</c:formatCode>
                <c:ptCount val="26"/>
              </c:numCache>
            </c:numRef>
          </c:val>
        </c:ser>
        <c:ser>
          <c:idx val="2"/>
          <c:order val="2"/>
          <c:tx>
            <c:strRef>
              <c:f>EITCREF!$E$2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EITCREF!$E$4:$E$29</c:f>
              <c:numCache>
                <c:formatCode>[$$-409]#,##0;\-[$$-409]#,##0</c:formatCode>
                <c:ptCount val="26"/>
              </c:numCache>
            </c:numRef>
          </c:val>
        </c:ser>
        <c:ser>
          <c:idx val="3"/>
          <c:order val="3"/>
          <c:tx>
            <c:strRef>
              <c:f>EITCREF!$F$2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EITCREF!$F$4:$F$29</c:f>
              <c:numCache>
                <c:formatCode>[$$-409]#,##0;\-[$$-409]#,##0</c:formatCode>
                <c:ptCount val="26"/>
              </c:numCache>
            </c:numRef>
          </c:val>
        </c:ser>
        <c:gapWidth val="100"/>
        <c:overlap val="0"/>
        <c:axId val="19682282"/>
        <c:axId val="15492311"/>
      </c:barChart>
      <c:catAx>
        <c:axId val="1968228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68687466114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5492311"/>
        <c:crosses val="autoZero"/>
        <c:auto val="1"/>
        <c:lblAlgn val="ctr"/>
        <c:lblOffset val="100"/>
        <c:noMultiLvlLbl val="0"/>
      </c:catAx>
      <c:valAx>
        <c:axId val="15492311"/>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34122661615"/>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9682282"/>
        <c:crosses val="max"/>
        <c:crossBetween val="midCat"/>
      </c:valAx>
      <c:spPr>
        <a:noFill/>
        <a:ln w="0">
          <a:solidFill>
            <a:srgbClr val="b3b3b3"/>
          </a:solidFill>
        </a:ln>
      </c:spPr>
    </c:plotArea>
    <c:legend>
      <c:legendPos val="r"/>
      <c:layout>
        <c:manualLayout>
          <c:xMode val="edge"/>
          <c:yMode val="edge"/>
          <c:x val="0.804275796781319"/>
          <c:y val="0.0767392589672842"/>
          <c:w val="0.170131355765059"/>
          <c:h val="0.11169963785075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Earned Income Tax Credit Refund</a:t>
            </a:r>
          </a:p>
        </c:rich>
      </c:tx>
      <c:layout>
        <c:manualLayout>
          <c:xMode val="edge"/>
          <c:yMode val="edge"/>
          <c:x val="0.246507222353777"/>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EITCREF!$C$2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EITCREF!$C$30:$C$55</c:f>
              <c:numCache>
                <c:formatCode>[$$-409]#,##0;\-[$$-409]#,##0</c:formatCode>
                <c:ptCount val="26"/>
              </c:numCache>
            </c:numRef>
          </c:val>
        </c:ser>
        <c:ser>
          <c:idx val="1"/>
          <c:order val="1"/>
          <c:tx>
            <c:strRef>
              <c:f>EITCREF!$D$2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EITCREF!$D$30:$D$55</c:f>
              <c:numCache>
                <c:formatCode>[$$-409]#,##0;\-[$$-409]#,##0</c:formatCode>
                <c:ptCount val="26"/>
              </c:numCache>
            </c:numRef>
          </c:val>
        </c:ser>
        <c:ser>
          <c:idx val="2"/>
          <c:order val="2"/>
          <c:tx>
            <c:strRef>
              <c:f>EITCREF!$E$2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EITCREF!$E$30:$E$55</c:f>
              <c:numCache>
                <c:formatCode>[$$-409]#,##0;\-[$$-409]#,##0</c:formatCode>
                <c:ptCount val="26"/>
              </c:numCache>
            </c:numRef>
          </c:val>
        </c:ser>
        <c:ser>
          <c:idx val="3"/>
          <c:order val="3"/>
          <c:tx>
            <c:strRef>
              <c:f>EITCREF!$F$2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EITCREF!$B$30:$B$55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EITCREF!$F$30:$F$55</c:f>
              <c:numCache>
                <c:formatCode>[$$-409]#,##0;\-[$$-409]#,##0</c:formatCode>
                <c:ptCount val="26"/>
              </c:numCache>
            </c:numRef>
          </c:val>
        </c:ser>
        <c:gapWidth val="100"/>
        <c:overlap val="0"/>
        <c:axId val="61556841"/>
        <c:axId val="91679388"/>
      </c:barChart>
      <c:catAx>
        <c:axId val="61556841"/>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588299078318"/>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679388"/>
        <c:crosses val="autoZero"/>
        <c:auto val="1"/>
        <c:lblAlgn val="ctr"/>
        <c:lblOffset val="100"/>
        <c:noMultiLvlLbl val="0"/>
      </c:catAx>
      <c:valAx>
        <c:axId val="9167938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Earned Income Tax Credit Refund</a:t>
                </a:r>
              </a:p>
            </c:rich>
          </c:tx>
          <c:layout>
            <c:manualLayout>
              <c:xMode val="edge"/>
              <c:yMode val="edge"/>
              <c:x val="0.433499092272476"/>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556841"/>
        <c:crosses val="max"/>
        <c:crossBetween val="midCat"/>
      </c:valAx>
      <c:spPr>
        <a:noFill/>
        <a:ln w="0">
          <a:solidFill>
            <a:srgbClr val="b3b3b3"/>
          </a:solidFill>
        </a:ln>
      </c:spPr>
    </c:plotArea>
    <c:legend>
      <c:legendPos val="r"/>
      <c:layout>
        <c:manualLayout>
          <c:xMode val="edge"/>
          <c:yMode val="edge"/>
          <c:x val="0.804196907541811"/>
          <c:y val="0.076714623571147"/>
          <c:w val="0.170091909589365"/>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65640539901"/>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ACTCREF!$C$2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ACTCREF!$C$4:$C$29</c:f>
              <c:numCache>
                <c:formatCode>[$$-409]#,##0;\-[$$-409]#,##0</c:formatCode>
                <c:ptCount val="26"/>
              </c:numCache>
            </c:numRef>
          </c:val>
        </c:ser>
        <c:ser>
          <c:idx val="1"/>
          <c:order val="1"/>
          <c:tx>
            <c:strRef>
              <c:f>ACTCREF!$D$2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ACTCREF!$D$4:$D$29</c:f>
              <c:numCache>
                <c:formatCode>[$$-409]#,##0;\-[$$-409]#,##0</c:formatCode>
                <c:ptCount val="26"/>
              </c:numCache>
            </c:numRef>
          </c:val>
        </c:ser>
        <c:ser>
          <c:idx val="2"/>
          <c:order val="2"/>
          <c:tx>
            <c:strRef>
              <c:f>ACTCREF!$E$2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ACTCREF!$E$4:$E$29</c:f>
              <c:numCache>
                <c:formatCode>[$$-409]#,##0;\-[$$-409]#,##0</c:formatCode>
                <c:ptCount val="26"/>
              </c:numCache>
            </c:numRef>
          </c:val>
        </c:ser>
        <c:ser>
          <c:idx val="3"/>
          <c:order val="3"/>
          <c:tx>
            <c:strRef>
              <c:f>ACTCREF!$F$2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ACTCREF!$F$4:$F$29</c:f>
              <c:numCache>
                <c:formatCode>[$$-409]#,##0;\-[$$-409]#,##0</c:formatCode>
                <c:ptCount val="26"/>
              </c:numCache>
            </c:numRef>
          </c:val>
        </c:ser>
        <c:gapWidth val="100"/>
        <c:overlap val="0"/>
        <c:axId val="46481443"/>
        <c:axId val="91895893"/>
      </c:barChart>
      <c:catAx>
        <c:axId val="4648144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489723495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91895893"/>
        <c:crosses val="autoZero"/>
        <c:auto val="1"/>
        <c:lblAlgn val="ctr"/>
        <c:lblOffset val="100"/>
        <c:noMultiLvlLbl val="0"/>
      </c:catAx>
      <c:valAx>
        <c:axId val="9189589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6575104586"/>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6481443"/>
        <c:crosses val="max"/>
        <c:crossBetween val="midCat"/>
      </c:valAx>
      <c:spPr>
        <a:noFill/>
        <a:ln w="0">
          <a:solidFill>
            <a:srgbClr val="b3b3b3"/>
          </a:solidFill>
        </a:ln>
      </c:spPr>
    </c:plotArea>
    <c:legend>
      <c:legendPos val="r"/>
      <c:layout>
        <c:manualLayout>
          <c:xMode val="edge"/>
          <c:yMode val="edge"/>
          <c:x val="0.804236352161565"/>
          <c:y val="0.076714623571147"/>
          <c:w val="0.170131355765059"/>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665640539901"/>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ACTCREF!$C$2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ACTCREF!$C$30:$C$55</c:f>
              <c:numCache>
                <c:formatCode>[$$-409]#,##0;\-[$$-409]#,##0</c:formatCode>
                <c:ptCount val="26"/>
              </c:numCache>
            </c:numRef>
          </c:val>
        </c:ser>
        <c:ser>
          <c:idx val="1"/>
          <c:order val="1"/>
          <c:tx>
            <c:strRef>
              <c:f>ACTCREF!$D$2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ACTCREF!$D$30:$D$55</c:f>
              <c:numCache>
                <c:formatCode>[$$-409]#,##0;\-[$$-409]#,##0</c:formatCode>
                <c:ptCount val="26"/>
              </c:numCache>
            </c:numRef>
          </c:val>
        </c:ser>
        <c:ser>
          <c:idx val="2"/>
          <c:order val="2"/>
          <c:tx>
            <c:strRef>
              <c:f>ACTCREF!$E$2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ACTCREF!$E$30:$E$55</c:f>
              <c:numCache>
                <c:formatCode>[$$-409]#,##0;\-[$$-409]#,##0</c:formatCode>
                <c:ptCount val="26"/>
              </c:numCache>
            </c:numRef>
          </c:val>
        </c:ser>
        <c:ser>
          <c:idx val="3"/>
          <c:order val="3"/>
          <c:tx>
            <c:strRef>
              <c:f>ACTCREF!$F$2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ACTCREF!$B$30:$B$55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ACTCREF!$F$30:$F$55</c:f>
              <c:numCache>
                <c:formatCode>[$$-409]#,##0;\-[$$-409]#,##0</c:formatCode>
                <c:ptCount val="26"/>
              </c:numCache>
            </c:numRef>
          </c:val>
        </c:ser>
        <c:gapWidth val="100"/>
        <c:overlap val="0"/>
        <c:axId val="88012544"/>
        <c:axId val="7883547"/>
      </c:barChart>
      <c:catAx>
        <c:axId val="88012544"/>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46507959978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883547"/>
        <c:crosses val="autoZero"/>
        <c:auto val="1"/>
        <c:lblAlgn val="ctr"/>
        <c:lblOffset val="100"/>
        <c:noMultiLvlLbl val="0"/>
      </c:catAx>
      <c:valAx>
        <c:axId val="7883547"/>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Additional Child Tax Credit Refund</a:t>
                </a:r>
              </a:p>
            </c:rich>
          </c:tx>
          <c:layout>
            <c:manualLayout>
              <c:xMode val="edge"/>
              <c:yMode val="edge"/>
              <c:x val="0.4306575104586"/>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88012544"/>
        <c:crosses val="max"/>
        <c:crossBetween val="midCat"/>
      </c:valAx>
      <c:spPr>
        <a:noFill/>
        <a:ln w="0">
          <a:solidFill>
            <a:srgbClr val="b3b3b3"/>
          </a:solidFill>
        </a:ln>
      </c:spPr>
    </c:plotArea>
    <c:legend>
      <c:legendPos val="r"/>
      <c:layout>
        <c:manualLayout>
          <c:xMode val="edge"/>
          <c:yMode val="edge"/>
          <c:x val="0.804196907541811"/>
          <c:y val="0.0766899881750099"/>
          <c:w val="0.170091909589365"/>
          <c:h val="0.111650365844645"/>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744573368064"/>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AOTCREF!$C$2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AOTCREF!$C$4:$C$29</c:f>
              <c:numCache>
                <c:formatCode>[$$-409]#,##0;\-[$$-409]#,##0</c:formatCode>
                <c:ptCount val="26"/>
              </c:numCache>
            </c:numRef>
          </c:val>
        </c:ser>
        <c:ser>
          <c:idx val="1"/>
          <c:order val="1"/>
          <c:tx>
            <c:strRef>
              <c:f>AOTCREF!$D$2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AOTCREF!$D$4:$D$29</c:f>
              <c:numCache>
                <c:formatCode>[$$-409]#,##0;\-[$$-409]#,##0</c:formatCode>
                <c:ptCount val="26"/>
              </c:numCache>
            </c:numRef>
          </c:val>
        </c:ser>
        <c:ser>
          <c:idx val="2"/>
          <c:order val="2"/>
          <c:tx>
            <c:strRef>
              <c:f>AOTCREF!$E$2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AOTCREF!$E$4:$E$29</c:f>
              <c:numCache>
                <c:formatCode>[$$-409]#,##0;\-[$$-409]#,##0</c:formatCode>
                <c:ptCount val="26"/>
              </c:numCache>
            </c:numRef>
          </c:val>
        </c:ser>
        <c:ser>
          <c:idx val="3"/>
          <c:order val="3"/>
          <c:tx>
            <c:strRef>
              <c:f>AOTCREF!$F$2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AOTCREF!$B$4:$B$29</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AOTCREF!$F$4:$F$29</c:f>
              <c:numCache>
                <c:formatCode>[$$-409]#,##0;\-[$$-409]#,##0</c:formatCode>
                <c:ptCount val="26"/>
              </c:numCache>
            </c:numRef>
          </c:val>
        </c:ser>
        <c:gapWidth val="100"/>
        <c:overlap val="0"/>
        <c:axId val="76486623"/>
        <c:axId val="43816748"/>
      </c:barChart>
      <c:catAx>
        <c:axId val="76486623"/>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48972349549"/>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43816748"/>
        <c:crosses val="autoZero"/>
        <c:auto val="1"/>
        <c:lblAlgn val="ctr"/>
        <c:lblOffset val="100"/>
        <c:noMultiLvlLbl val="0"/>
      </c:catAx>
      <c:valAx>
        <c:axId val="43816748"/>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6575104586"/>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76486623"/>
        <c:crosses val="max"/>
        <c:crossBetween val="midCat"/>
      </c:valAx>
      <c:spPr>
        <a:noFill/>
        <a:ln w="0">
          <a:solidFill>
            <a:srgbClr val="b3b3b3"/>
          </a:solidFill>
        </a:ln>
      </c:spPr>
    </c:plotArea>
    <c:legend>
      <c:legendPos val="r"/>
      <c:layout>
        <c:manualLayout>
          <c:xMode val="edge"/>
          <c:yMode val="edge"/>
          <c:x val="0.804236352161565"/>
          <c:y val="0.076714623571147"/>
          <c:w val="0.170052463413672"/>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Additional Child Tax Credit Refund</a:t>
            </a:r>
          </a:p>
        </c:rich>
      </c:tx>
      <c:layout>
        <c:manualLayout>
          <c:xMode val="edge"/>
          <c:yMode val="edge"/>
          <c:x val="0.243744573368064"/>
          <c:y val="0.0113361920252353"/>
        </c:manualLayout>
      </c:layout>
      <c:overlay val="0"/>
      <c:spPr>
        <a:noFill/>
        <a:ln w="0">
          <a:noFill/>
        </a:ln>
      </c:spPr>
    </c:title>
    <c:autoTitleDeleted val="0"/>
    <c:plotArea>
      <c:layout>
        <c:manualLayout>
          <c:layoutTarget val="inner"/>
          <c:xMode val="edge"/>
          <c:yMode val="edge"/>
          <c:x val="0.298484489699266"/>
          <c:y val="0.0469219774261915"/>
          <c:w val="0.469847659641645"/>
          <c:h val="0.873478239440091"/>
        </c:manualLayout>
      </c:layout>
      <c:barChart>
        <c:barDir val="bar"/>
        <c:grouping val="clustered"/>
        <c:varyColors val="0"/>
        <c:ser>
          <c:idx val="0"/>
          <c:order val="0"/>
          <c:tx>
            <c:strRef>
              <c:f>AOTCREF!$C$2</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1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ffffff"/>
                      </a:solidFill>
                      <a:uFillTx/>
                      <a:latin typeface="Arial"/>
                      <a:ea typeface="DejaVu Sans"/>
                    </a:defRPr>
                  </a:pPr>
                </a:p>
              </c:txPr>
              <c:dLblPos val="in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AOTCREF!$C$30:$C$55</c:f>
              <c:numCache>
                <c:formatCode>[$$-409]#,##0;\-[$$-409]#,##0</c:formatCode>
                <c:ptCount val="26"/>
              </c:numCache>
            </c:numRef>
          </c:val>
        </c:ser>
        <c:ser>
          <c:idx val="1"/>
          <c:order val="1"/>
          <c:tx>
            <c:strRef>
              <c:f>AOTCREF!$D$2</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AOTCREF!$D$30:$D$55</c:f>
              <c:numCache>
                <c:formatCode>[$$-409]#,##0;\-[$$-409]#,##0</c:formatCode>
                <c:ptCount val="26"/>
              </c:numCache>
            </c:numRef>
          </c:val>
        </c:ser>
        <c:ser>
          <c:idx val="2"/>
          <c:order val="2"/>
          <c:tx>
            <c:strRef>
              <c:f>AOTCREF!$E$2</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Pt>
            <c:idx val="24"/>
            <c:invertIfNegative val="0"/>
            <c:spPr>
              <a:solidFill>
                <a:srgbClr val="ffd320"/>
              </a:solidFill>
              <a:ln w="0">
                <a:noFill/>
              </a:ln>
            </c:spPr>
          </c:dPt>
          <c:dPt>
            <c:idx val="25"/>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AOTCREF!$E$30:$E$55</c:f>
              <c:numCache>
                <c:formatCode>[$$-409]#,##0;\-[$$-409]#,##0</c:formatCode>
                <c:ptCount val="26"/>
              </c:numCache>
            </c:numRef>
          </c:val>
        </c:ser>
        <c:ser>
          <c:idx val="3"/>
          <c:order val="3"/>
          <c:tx>
            <c:strRef>
              <c:f>AOTCREF!$F$2</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1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AOTCREF!$B$30:$B$55</c:f>
              <c:strCache>
                <c:ptCount val="26"/>
                <c:pt idx="0">
                  <c:v>#REF!</c:v>
                </c:pt>
                <c:pt idx="1">
                  <c:v>#REF!</c:v>
                </c:pt>
                <c:pt idx="2">
                  <c:v>#REF!</c:v>
                </c:pt>
                <c:pt idx="3">
                  <c:v>#REF!</c:v>
                </c:pt>
                <c:pt idx="4">
                  <c:v>#REF!</c:v>
                </c:pt>
                <c:pt idx="5">
                  <c:v>#REF!</c:v>
                </c:pt>
                <c:pt idx="6">
                  <c:v>#REF!</c:v>
                </c:pt>
                <c:pt idx="7">
                  <c:v>#REF!</c:v>
                </c:pt>
                <c:pt idx="8">
                  <c:v>#REF!</c:v>
                </c:pt>
                <c:pt idx="9">
                  <c:v>#REF!</c:v>
                </c:pt>
                <c:pt idx="10">
                  <c:v>#REF!</c:v>
                </c:pt>
                <c:pt idx="11">
                  <c:v>#REF!</c:v>
                </c:pt>
                <c:pt idx="12">
                  <c:v>#REF!</c:v>
                </c:pt>
                <c:pt idx="13">
                  <c:v>#REF!</c:v>
                </c:pt>
                <c:pt idx="14">
                  <c:v>#REF!</c:v>
                </c:pt>
                <c:pt idx="15">
                  <c:v>#REF!</c:v>
                </c:pt>
                <c:pt idx="16">
                  <c:v>#REF!</c:v>
                </c:pt>
                <c:pt idx="17">
                  <c:v>#REF!</c:v>
                </c:pt>
                <c:pt idx="18">
                  <c:v>#REF!</c:v>
                </c:pt>
                <c:pt idx="19">
                  <c:v>#REF!</c:v>
                </c:pt>
                <c:pt idx="20">
                  <c:v>#REF!</c:v>
                </c:pt>
                <c:pt idx="21">
                  <c:v>#REF!</c:v>
                </c:pt>
                <c:pt idx="22">
                  <c:v>#REF!</c:v>
                </c:pt>
                <c:pt idx="23">
                  <c:v>#REF!</c:v>
                </c:pt>
                <c:pt idx="24">
                  <c:v>#REF!</c:v>
                </c:pt>
                <c:pt idx="25">
                  <c:v>#REF!</c:v>
                </c:pt>
              </c:strCache>
            </c:strRef>
          </c:cat>
          <c:val>
            <c:numRef>
              <c:f>AOTCREF!$F$30:$F$55</c:f>
              <c:numCache>
                <c:formatCode>[$$-409]#,##0;\-[$$-409]#,##0</c:formatCode>
                <c:ptCount val="26"/>
              </c:numCache>
            </c:numRef>
          </c:val>
        </c:ser>
        <c:gapWidth val="100"/>
        <c:overlap val="0"/>
        <c:axId val="11116602"/>
        <c:axId val="21240582"/>
      </c:barChart>
      <c:catAx>
        <c:axId val="11116602"/>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36024942774"/>
              <c:y val="0.476440435704076"/>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21240582"/>
        <c:crosses val="autoZero"/>
        <c:auto val="1"/>
        <c:lblAlgn val="ctr"/>
        <c:lblOffset val="100"/>
        <c:noMultiLvlLbl val="0"/>
      </c:catAx>
      <c:valAx>
        <c:axId val="21240582"/>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American Opportunity Tax Credit Refund</a:t>
                </a:r>
              </a:p>
            </c:rich>
          </c:tx>
          <c:layout>
            <c:manualLayout>
              <c:xMode val="edge"/>
              <c:yMode val="edge"/>
              <c:x val="0.4306575104586"/>
              <c:y val="0.968726896347775"/>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11116602"/>
        <c:crosses val="max"/>
        <c:crossBetween val="midCat"/>
      </c:valAx>
      <c:spPr>
        <a:noFill/>
        <a:ln w="0">
          <a:solidFill>
            <a:srgbClr val="b3b3b3"/>
          </a:solidFill>
        </a:ln>
      </c:spPr>
    </c:plotArea>
    <c:legend>
      <c:legendPos val="r"/>
      <c:layout>
        <c:manualLayout>
          <c:xMode val="edge"/>
          <c:yMode val="edge"/>
          <c:x val="0.804236352161565"/>
          <c:y val="0.0766899881750099"/>
          <c:w val="0.170013017237979"/>
          <c:h val="0.1116750018477"/>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charts/chart2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200" b="0" u="none" strike="noStrike">
                <a:solidFill>
                  <a:srgbClr val="000000"/>
                </a:solidFill>
                <a:uFillTx/>
                <a:latin typeface="Arial"/>
                <a:ea typeface="DejaVu Sans"/>
              </a:rPr>
              <a:t>U.S. Labor Statistics (Alabama) – Federal Personal Income Tax Revenue</a:t>
            </a:r>
          </a:p>
        </c:rich>
      </c:tx>
      <c:layout>
        <c:manualLayout>
          <c:xMode val="edge"/>
          <c:yMode val="edge"/>
          <c:x val="0.226896714724651"/>
          <c:y val="0.0113227982080441"/>
        </c:manualLayout>
      </c:layout>
      <c:overlay val="0"/>
      <c:spPr>
        <a:noFill/>
        <a:ln w="0">
          <a:noFill/>
        </a:ln>
      </c:spPr>
    </c:title>
    <c:autoTitleDeleted val="0"/>
    <c:plotArea>
      <c:layout>
        <c:manualLayout>
          <c:layoutTarget val="inner"/>
          <c:xMode val="edge"/>
          <c:yMode val="edge"/>
          <c:x val="0.249980304104625"/>
          <c:y val="0.0844040762073549"/>
          <c:w val="0.649728196643819"/>
          <c:h val="0.852680549401861"/>
        </c:manualLayout>
      </c:layout>
      <c:barChart>
        <c:barDir val="bar"/>
        <c:grouping val="clustered"/>
        <c:varyColors val="0"/>
        <c:ser>
          <c:idx val="0"/>
          <c:order val="0"/>
          <c:tx>
            <c:strRef>
              <c:f>FPITREV!$C$3</c:f>
              <c:strCache>
                <c:ptCount val="1"/>
                <c:pt idx="0">
                  <c:v>#REF!</c:v>
                </c:pt>
              </c:strCache>
            </c:strRef>
          </c:tx>
          <c:spPr>
            <a:solidFill>
              <a:srgbClr val="004586"/>
            </a:solidFill>
            <a:ln w="0">
              <a:noFill/>
            </a:ln>
          </c:spPr>
          <c:invertIfNegative val="0"/>
          <c:dPt>
            <c:idx val="8"/>
            <c:invertIfNegative val="0"/>
            <c:spPr>
              <a:solidFill>
                <a:srgbClr val="004586"/>
              </a:solidFill>
              <a:ln w="0">
                <a:noFill/>
              </a:ln>
            </c:spPr>
          </c:dPt>
          <c:dPt>
            <c:idx val="20"/>
            <c:invertIfNegative val="0"/>
            <c:spPr>
              <a:solidFill>
                <a:srgbClr val="004586"/>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FPITREV!$C$5:$C$27</c:f>
              <c:numCache>
                <c:formatCode>General</c:formatCode>
                <c:ptCount val="23"/>
                <c:pt idx="0">
                  <c:v>2812</c:v>
                </c:pt>
                <c:pt idx="1">
                  <c:v>14700</c:v>
                </c:pt>
                <c:pt idx="2">
                  <c:v>18304</c:v>
                </c:pt>
                <c:pt idx="3">
                  <c:v>9184</c:v>
                </c:pt>
                <c:pt idx="4">
                  <c:v>9600</c:v>
                </c:pt>
                <c:pt idx="5">
                  <c:v>8400</c:v>
                </c:pt>
                <c:pt idx="6">
                  <c:v>13230</c:v>
                </c:pt>
                <c:pt idx="7">
                  <c:v>10496</c:v>
                </c:pt>
                <c:pt idx="8">
                  <c:v>5850</c:v>
                </c:pt>
                <c:pt idx="9">
                  <c:v>4235</c:v>
                </c:pt>
                <c:pt idx="10">
                  <c:v>9000</c:v>
                </c:pt>
                <c:pt idx="11">
                  <c:v>7644</c:v>
                </c:pt>
                <c:pt idx="12">
                  <c:v>18304</c:v>
                </c:pt>
                <c:pt idx="13">
                  <c:v>32032</c:v>
                </c:pt>
                <c:pt idx="14">
                  <c:v>10880</c:v>
                </c:pt>
                <c:pt idx="15">
                  <c:v>24188</c:v>
                </c:pt>
                <c:pt idx="16">
                  <c:v>5400</c:v>
                </c:pt>
                <c:pt idx="17">
                  <c:v>12285</c:v>
                </c:pt>
                <c:pt idx="18">
                  <c:v>13300</c:v>
                </c:pt>
                <c:pt idx="19">
                  <c:v>4420</c:v>
                </c:pt>
                <c:pt idx="20">
                  <c:v>2304</c:v>
                </c:pt>
                <c:pt idx="21">
                  <c:v>6475</c:v>
                </c:pt>
                <c:pt idx="22">
                  <c:v>14560</c:v>
                </c:pt>
              </c:numCache>
            </c:numRef>
          </c:val>
        </c:ser>
        <c:ser>
          <c:idx val="1"/>
          <c:order val="1"/>
          <c:tx>
            <c:strRef>
              <c:f>FPITREV!$D$3</c:f>
              <c:strCache>
                <c:ptCount val="1"/>
                <c:pt idx="0">
                  <c:v>#REF!</c:v>
                </c:pt>
              </c:strCache>
            </c:strRef>
          </c:tx>
          <c:spPr>
            <a:solidFill>
              <a:srgbClr val="ff420e"/>
            </a:solidFill>
            <a:ln w="0">
              <a:noFill/>
            </a:ln>
          </c:spPr>
          <c:invertIfNegative val="0"/>
          <c:dPt>
            <c:idx val="18"/>
            <c:invertIfNegative val="0"/>
            <c:spPr>
              <a:solidFill>
                <a:srgbClr val="ff420e"/>
              </a:solidFill>
              <a:ln w="0">
                <a:noFill/>
              </a:ln>
            </c:spPr>
          </c:dPt>
          <c:dPt>
            <c:idx val="20"/>
            <c:invertIfNegative val="0"/>
            <c:spPr>
              <a:solidFill>
                <a:srgbClr val="ff420e"/>
              </a:solidFill>
              <a:ln w="0">
                <a:noFill/>
              </a:ln>
            </c:spPr>
          </c:dPt>
          <c:dLbls>
            <c:dLbl>
              <c:idx val="1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FPITREV!$D$5:$D$27</c:f>
              <c:numCache>
                <c:formatCode>General</c:formatCode>
                <c:ptCount val="23"/>
                <c:pt idx="0">
                  <c:v>2896</c:v>
                </c:pt>
                <c:pt idx="1">
                  <c:v>14994</c:v>
                </c:pt>
                <c:pt idx="2">
                  <c:v>18671</c:v>
                </c:pt>
                <c:pt idx="3">
                  <c:v>9424</c:v>
                </c:pt>
                <c:pt idx="4">
                  <c:v>9792</c:v>
                </c:pt>
                <c:pt idx="5">
                  <c:v>8568</c:v>
                </c:pt>
                <c:pt idx="6">
                  <c:v>13495</c:v>
                </c:pt>
                <c:pt idx="7">
                  <c:v>10655</c:v>
                </c:pt>
                <c:pt idx="8">
                  <c:v>5996</c:v>
                </c:pt>
                <c:pt idx="9">
                  <c:v>4358</c:v>
                </c:pt>
                <c:pt idx="10">
                  <c:v>9180</c:v>
                </c:pt>
                <c:pt idx="11">
                  <c:v>7797</c:v>
                </c:pt>
                <c:pt idx="12">
                  <c:v>18671</c:v>
                </c:pt>
                <c:pt idx="13">
                  <c:v>32352</c:v>
                </c:pt>
                <c:pt idx="14">
                  <c:v>11098</c:v>
                </c:pt>
                <c:pt idx="15">
                  <c:v>24430</c:v>
                </c:pt>
                <c:pt idx="16">
                  <c:v>5535</c:v>
                </c:pt>
                <c:pt idx="17">
                  <c:v>12470</c:v>
                </c:pt>
                <c:pt idx="18">
                  <c:v>13503</c:v>
                </c:pt>
                <c:pt idx="19">
                  <c:v>4531</c:v>
                </c:pt>
                <c:pt idx="20">
                  <c:v>2385</c:v>
                </c:pt>
                <c:pt idx="21">
                  <c:v>6659</c:v>
                </c:pt>
                <c:pt idx="22">
                  <c:v>14792</c:v>
                </c:pt>
              </c:numCache>
            </c:numRef>
          </c:val>
        </c:ser>
        <c:ser>
          <c:idx val="2"/>
          <c:order val="2"/>
          <c:tx>
            <c:strRef>
              <c:f>FPITREV!$E$3</c:f>
              <c:strCache>
                <c:ptCount val="1"/>
                <c:pt idx="0">
                  <c:v>#REF!</c:v>
                </c:pt>
              </c:strCache>
            </c:strRef>
          </c:tx>
          <c:spPr>
            <a:solidFill>
              <a:srgbClr val="ffd320"/>
            </a:solidFill>
            <a:ln w="0">
              <a:noFill/>
            </a:ln>
          </c:spPr>
          <c:invertIfNegative val="0"/>
          <c:dPt>
            <c:idx val="0"/>
            <c:invertIfNegative val="0"/>
            <c:spPr>
              <a:solidFill>
                <a:srgbClr val="ffd320"/>
              </a:solidFill>
              <a:ln w="0">
                <a:noFill/>
              </a:ln>
            </c:spPr>
          </c:dPt>
          <c:dPt>
            <c:idx val="1"/>
            <c:invertIfNegative val="0"/>
            <c:spPr>
              <a:solidFill>
                <a:srgbClr val="ffd320"/>
              </a:solidFill>
              <a:ln w="0">
                <a:noFill/>
              </a:ln>
            </c:spPr>
          </c:dPt>
          <c:dPt>
            <c:idx val="2"/>
            <c:invertIfNegative val="0"/>
            <c:spPr>
              <a:solidFill>
                <a:srgbClr val="ffd320"/>
              </a:solidFill>
              <a:ln w="0">
                <a:noFill/>
              </a:ln>
            </c:spPr>
          </c:dPt>
          <c:dPt>
            <c:idx val="6"/>
            <c:invertIfNegative val="0"/>
            <c:spPr>
              <a:solidFill>
                <a:srgbClr val="ffd320"/>
              </a:solidFill>
              <a:ln w="0">
                <a:noFill/>
              </a:ln>
            </c:spPr>
          </c:dPt>
          <c:dPt>
            <c:idx val="7"/>
            <c:invertIfNegative val="0"/>
            <c:spPr>
              <a:solidFill>
                <a:srgbClr val="ffd320"/>
              </a:solidFill>
              <a:ln w="0">
                <a:noFill/>
              </a:ln>
            </c:spPr>
          </c:dPt>
          <c:dPt>
            <c:idx val="8"/>
            <c:invertIfNegative val="0"/>
            <c:spPr>
              <a:solidFill>
                <a:srgbClr val="ffd320"/>
              </a:solidFill>
              <a:ln w="0">
                <a:noFill/>
              </a:ln>
            </c:spPr>
          </c:dPt>
          <c:dPt>
            <c:idx val="10"/>
            <c:invertIfNegative val="0"/>
            <c:spPr>
              <a:solidFill>
                <a:srgbClr val="ffd320"/>
              </a:solidFill>
              <a:ln w="0">
                <a:noFill/>
              </a:ln>
            </c:spPr>
          </c:dPt>
          <c:dPt>
            <c:idx val="14"/>
            <c:invertIfNegative val="0"/>
            <c:spPr>
              <a:solidFill>
                <a:srgbClr val="ffd320"/>
              </a:solidFill>
              <a:ln w="0">
                <a:noFill/>
              </a:ln>
            </c:spPr>
          </c:dPt>
          <c:dPt>
            <c:idx val="15"/>
            <c:invertIfNegative val="0"/>
            <c:spPr>
              <a:solidFill>
                <a:srgbClr val="ffd320"/>
              </a:solidFill>
              <a:ln w="0">
                <a:noFill/>
              </a:ln>
            </c:spPr>
          </c:dPt>
          <c:dPt>
            <c:idx val="16"/>
            <c:invertIfNegative val="0"/>
            <c:spPr>
              <a:solidFill>
                <a:srgbClr val="ffd320"/>
              </a:solidFill>
              <a:ln w="0">
                <a:noFill/>
              </a:ln>
            </c:spPr>
          </c:dPt>
          <c:dPt>
            <c:idx val="20"/>
            <c:invertIfNegative val="0"/>
            <c:spPr>
              <a:solidFill>
                <a:srgbClr val="ffd320"/>
              </a:solidFill>
              <a:ln w="0">
                <a:noFill/>
              </a:ln>
            </c:spPr>
          </c:dPt>
          <c:dLbls>
            <c:dLbl>
              <c:idx val="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7"/>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4"/>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5"/>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16"/>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FPITREV!$E$5:$E$27</c:f>
              <c:numCache>
                <c:formatCode>General</c:formatCode>
                <c:ptCount val="23"/>
                <c:pt idx="0">
                  <c:v>1257</c:v>
                </c:pt>
                <c:pt idx="1">
                  <c:v>8820</c:v>
                </c:pt>
                <c:pt idx="2">
                  <c:v>14169</c:v>
                </c:pt>
                <c:pt idx="3">
                  <c:v>5835</c:v>
                </c:pt>
                <c:pt idx="4">
                  <c:v>6269</c:v>
                </c:pt>
                <c:pt idx="5">
                  <c:v>5712</c:v>
                </c:pt>
                <c:pt idx="6">
                  <c:v>9504</c:v>
                </c:pt>
                <c:pt idx="7">
                  <c:v>7885</c:v>
                </c:pt>
                <c:pt idx="8">
                  <c:v>3510</c:v>
                </c:pt>
                <c:pt idx="9">
                  <c:v>2459</c:v>
                </c:pt>
                <c:pt idx="10">
                  <c:v>5850</c:v>
                </c:pt>
                <c:pt idx="11">
                  <c:v>4969</c:v>
                </c:pt>
                <c:pt idx="12">
                  <c:v>14169</c:v>
                </c:pt>
                <c:pt idx="13">
                  <c:v>24887</c:v>
                </c:pt>
                <c:pt idx="14">
                  <c:v>7616</c:v>
                </c:pt>
                <c:pt idx="15">
                  <c:v>19522</c:v>
                </c:pt>
                <c:pt idx="16">
                  <c:v>3240</c:v>
                </c:pt>
                <c:pt idx="17">
                  <c:v>8833</c:v>
                </c:pt>
                <c:pt idx="18">
                  <c:v>9576</c:v>
                </c:pt>
                <c:pt idx="19">
                  <c:v>2564</c:v>
                </c:pt>
                <c:pt idx="20">
                  <c:v>1267</c:v>
                </c:pt>
                <c:pt idx="21">
                  <c:v>3885</c:v>
                </c:pt>
                <c:pt idx="22">
                  <c:v>10980</c:v>
                </c:pt>
              </c:numCache>
            </c:numRef>
          </c:val>
        </c:ser>
        <c:ser>
          <c:idx val="3"/>
          <c:order val="3"/>
          <c:tx>
            <c:strRef>
              <c:f>FPITREV!$F$3</c:f>
              <c:strCache>
                <c:ptCount val="1"/>
                <c:pt idx="0">
                  <c:v>#REF!</c:v>
                </c:pt>
              </c:strCache>
            </c:strRef>
          </c:tx>
          <c:spPr>
            <a:solidFill>
              <a:srgbClr val="579d1c"/>
            </a:solidFill>
            <a:ln w="0">
              <a:noFill/>
            </a:ln>
          </c:spPr>
          <c:invertIfNegative val="0"/>
          <c:dPt>
            <c:idx val="8"/>
            <c:invertIfNegative val="0"/>
            <c:spPr>
              <a:solidFill>
                <a:srgbClr val="579d1c"/>
              </a:solidFill>
              <a:ln w="0">
                <a:noFill/>
              </a:ln>
            </c:spPr>
          </c:dPt>
          <c:dPt>
            <c:idx val="20"/>
            <c:invertIfNegative val="0"/>
            <c:spPr>
              <a:solidFill>
                <a:srgbClr val="579d1c"/>
              </a:solidFill>
              <a:ln w="0">
                <a:noFill/>
              </a:ln>
            </c:spPr>
          </c:dPt>
          <c:dLbls>
            <c:dLbl>
              <c:idx val="8"/>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dLbl>
              <c:idx val="20"/>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dLbl>
            <c:numFmt formatCode="[$$-409]#,##0;[RED]\-[$$-409]#,##0" sourceLinked="0"/>
            <c:txPr>
              <a:bodyPr wrap="none"/>
              <a:lstStyle/>
              <a:p>
                <a:pPr>
                  <a:defRPr sz="700" b="0" u="none" strike="noStrike">
                    <a:solidFill>
                      <a:srgbClr val="000000"/>
                    </a:solidFill>
                    <a:uFillTx/>
                    <a:latin typeface="Arial"/>
                    <a:ea typeface="DejaVu Sans"/>
                  </a:defRPr>
                </a:pPr>
              </a:p>
            </c:txPr>
            <c:dLblPos val="outEnd"/>
            <c:showLegendKey val="0"/>
            <c:showVal val="1"/>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FPITREV!$B$5:$B$27</c:f>
              <c:strCache>
                <c:ptCount val="23"/>
                <c:pt idx="0">
                  <c:v>Agriculture, Forestry, 
Fishing and Hunting</c:v>
                </c:pt>
                <c:pt idx="1">
                  <c:v>Mining, Quarrying, and
Oil and Gas Extraction</c:v>
                </c:pt>
                <c:pt idx="2">
                  <c:v>Utilities</c:v>
                </c:pt>
                <c:pt idx="3">
                  <c:v>Construction</c:v>
                </c:pt>
                <c:pt idx="4">
                  <c:v>Manufacturing
(Food,Textile, etc.)</c:v>
                </c:pt>
                <c:pt idx="5">
                  <c:v>Manufacturing (Wood,
Paper, Printing, etc.)</c:v>
                </c:pt>
                <c:pt idx="6">
                  <c:v>Manufacturing
(Machinery, Transport)</c:v>
                </c:pt>
                <c:pt idx="7">
                  <c:v>Wholesale Trade</c:v>
                </c:pt>
                <c:pt idx="8">
                  <c:v>Retail Trade (Motor
Vehicle, Electronics)</c:v>
                </c:pt>
                <c:pt idx="9">
                  <c:v>Retail Trade (Food, Clothing,
General Merchandise, etc.)</c:v>
                </c:pt>
                <c:pt idx="10">
                  <c:v>Transportation</c:v>
                </c:pt>
                <c:pt idx="11">
                  <c:v>Warehousing and Storage</c:v>
                </c:pt>
                <c:pt idx="12">
                  <c:v>Information</c:v>
                </c:pt>
                <c:pt idx="13">
                  <c:v>Finance and Insurance</c:v>
                </c:pt>
                <c:pt idx="14">
                  <c:v>Real Estate and
Rental and Leasing</c:v>
                </c:pt>
                <c:pt idx="15">
                  <c:v>Professional, Scientific,
and Technical Services</c:v>
                </c:pt>
                <c:pt idx="16">
                  <c:v>Administrative and Support
and Waste Management
and Remediation Services</c:v>
                </c:pt>
                <c:pt idx="17">
                  <c:v>Educational Services</c:v>
                </c:pt>
                <c:pt idx="18">
                  <c:v>Health Care and
Social Assistance</c:v>
                </c:pt>
                <c:pt idx="19">
                  <c:v>Arts, Entertainment,
and Recreation</c:v>
                </c:pt>
                <c:pt idx="20">
                  <c:v>Accommodation
and Food Services</c:v>
                </c:pt>
                <c:pt idx="21">
                  <c:v>Other Services (except
Public Administration)</c:v>
                </c:pt>
                <c:pt idx="22">
                  <c:v>Public Administration</c:v>
                </c:pt>
              </c:strCache>
            </c:strRef>
          </c:cat>
          <c:val>
            <c:numRef>
              <c:f>FPITREV!$F$5:$F$27</c:f>
              <c:numCache>
                <c:formatCode>General</c:formatCode>
                <c:ptCount val="23"/>
                <c:pt idx="0">
                  <c:v>2826</c:v>
                </c:pt>
                <c:pt idx="1">
                  <c:v>14755</c:v>
                </c:pt>
                <c:pt idx="2">
                  <c:v>18345</c:v>
                </c:pt>
                <c:pt idx="3">
                  <c:v>9228</c:v>
                </c:pt>
                <c:pt idx="4">
                  <c:v>9634</c:v>
                </c:pt>
                <c:pt idx="5">
                  <c:v>8430</c:v>
                </c:pt>
                <c:pt idx="6">
                  <c:v>13277</c:v>
                </c:pt>
                <c:pt idx="7">
                  <c:v>10523</c:v>
                </c:pt>
                <c:pt idx="8">
                  <c:v>5873</c:v>
                </c:pt>
                <c:pt idx="9">
                  <c:v>4253</c:v>
                </c:pt>
                <c:pt idx="10">
                  <c:v>9036</c:v>
                </c:pt>
                <c:pt idx="11">
                  <c:v>7672</c:v>
                </c:pt>
                <c:pt idx="12">
                  <c:v>18345</c:v>
                </c:pt>
                <c:pt idx="13">
                  <c:v>32099</c:v>
                </c:pt>
                <c:pt idx="14">
                  <c:v>10930</c:v>
                </c:pt>
                <c:pt idx="15">
                  <c:v>24248</c:v>
                </c:pt>
                <c:pt idx="16">
                  <c:v>5423</c:v>
                </c:pt>
                <c:pt idx="17">
                  <c:v>12332</c:v>
                </c:pt>
                <c:pt idx="18">
                  <c:v>13348</c:v>
                </c:pt>
                <c:pt idx="19">
                  <c:v>4437</c:v>
                </c:pt>
                <c:pt idx="20">
                  <c:v>2315</c:v>
                </c:pt>
                <c:pt idx="21">
                  <c:v>6501</c:v>
                </c:pt>
                <c:pt idx="22">
                  <c:v>14608</c:v>
                </c:pt>
              </c:numCache>
            </c:numRef>
          </c:val>
        </c:ser>
        <c:gapWidth val="100"/>
        <c:overlap val="0"/>
        <c:axId val="61424189"/>
        <c:axId val="57014853"/>
      </c:barChart>
      <c:catAx>
        <c:axId val="61424189"/>
        <c:scaling>
          <c:orientation val="maxMin"/>
        </c:scaling>
        <c:delete val="0"/>
        <c:axPos val="b"/>
        <c:title>
          <c:tx>
            <c:rich>
              <a:bodyPr rot="-5400000"/>
              <a:lstStyle/>
              <a:p>
                <a:pPr>
                  <a:defRPr sz="1300" b="0" u="none" strike="noStrike">
                    <a:uFillTx/>
                    <a:latin typeface="Arial"/>
                  </a:defRPr>
                </a:pPr>
                <a:r>
                  <a:rPr sz="900" b="0" u="none" strike="noStrike">
                    <a:solidFill>
                      <a:srgbClr val="000000"/>
                    </a:solidFill>
                    <a:uFillTx/>
                    <a:latin typeface="Arial"/>
                    <a:ea typeface="DejaVu Sans"/>
                  </a:rPr>
                  <a:t>Industrial Labor Role</a:t>
                </a:r>
              </a:p>
            </c:rich>
          </c:tx>
          <c:layout>
            <c:manualLayout>
              <c:xMode val="edge"/>
              <c:yMode val="edge"/>
              <c:x val="0.0204443393996691"/>
              <c:y val="0.476812878452223"/>
            </c:manualLayout>
          </c:layout>
          <c:overlay val="0"/>
          <c:spPr>
            <a:noFill/>
            <a:ln w="0">
              <a:noFill/>
            </a:ln>
          </c:spPr>
        </c:title>
        <c:numFmt formatCode="General"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57014853"/>
        <c:crosses val="autoZero"/>
        <c:auto val="1"/>
        <c:lblAlgn val="ctr"/>
        <c:lblOffset val="100"/>
        <c:noMultiLvlLbl val="0"/>
      </c:catAx>
      <c:valAx>
        <c:axId val="57014853"/>
        <c:scaling>
          <c:orientation val="minMax"/>
        </c:scaling>
        <c:delete val="0"/>
        <c:axPos val="l"/>
        <c:majorGridlines>
          <c:spPr>
            <a:ln w="0">
              <a:solidFill>
                <a:srgbClr val="cccccc"/>
              </a:solidFill>
            </a:ln>
          </c:spPr>
        </c:majorGridlines>
        <c:title>
          <c:tx>
            <c:rich>
              <a:bodyPr rot="0"/>
              <a:lstStyle/>
              <a:p>
                <a:pPr>
                  <a:defRPr sz="1300" b="0" u="none" strike="noStrike">
                    <a:uFillTx/>
                    <a:latin typeface="Arial"/>
                  </a:defRPr>
                </a:pPr>
                <a:r>
                  <a:rPr sz="900" b="0" u="none" strike="noStrike">
                    <a:solidFill>
                      <a:srgbClr val="000000"/>
                    </a:solidFill>
                    <a:uFillTx/>
                    <a:latin typeface="Arial"/>
                    <a:ea typeface="DejaVu Sans"/>
                  </a:rPr>
                  <a:t>Federal Personal Income Tax Revenue</a:t>
                </a:r>
              </a:p>
            </c:rich>
          </c:tx>
          <c:layout>
            <c:manualLayout>
              <c:xMode val="edge"/>
              <c:yMode val="edge"/>
              <c:x val="0.433112739305129"/>
              <c:y val="0.9687146162556"/>
            </c:manualLayout>
          </c:layout>
          <c:overlay val="0"/>
          <c:spPr>
            <a:noFill/>
            <a:ln w="0">
              <a:noFill/>
            </a:ln>
          </c:spPr>
        </c:title>
        <c:numFmt formatCode="[$$-409]#,##0;[RED]\-[$$-409]#,##0" sourceLinked="0"/>
        <c:majorTickMark val="out"/>
        <c:minorTickMark val="none"/>
        <c:tickLblPos val="nextTo"/>
        <c:spPr>
          <a:ln w="0">
            <a:solidFill>
              <a:srgbClr val="b3b3b3"/>
            </a:solidFill>
          </a:ln>
        </c:spPr>
        <c:txPr>
          <a:bodyPr/>
          <a:lstStyle/>
          <a:p>
            <a:pPr>
              <a:defRPr sz="800" b="0" u="none" strike="noStrike">
                <a:solidFill>
                  <a:srgbClr val="000000"/>
                </a:solidFill>
                <a:uFillTx/>
                <a:latin typeface="Arial"/>
                <a:ea typeface="DejaVu Sans"/>
              </a:defRPr>
            </a:pPr>
          </a:p>
        </c:txPr>
        <c:crossAx val="61424189"/>
        <c:crosses val="max"/>
        <c:crossBetween val="midCat"/>
        <c:majorUnit val="1000000"/>
      </c:valAx>
      <c:spPr>
        <a:noFill/>
        <a:ln w="0">
          <a:solidFill>
            <a:srgbClr val="b3b3b3"/>
          </a:solidFill>
        </a:ln>
      </c:spPr>
    </c:plotArea>
    <c:legend>
      <c:legendPos val="r"/>
      <c:layout>
        <c:manualLayout>
          <c:xMode val="edge"/>
          <c:yMode val="edge"/>
          <c:x val="0.104989564053086"/>
          <c:y val="0.0406073880835774"/>
          <c:w val="0.784971644612476"/>
          <c:h val="0.0249310887970073"/>
        </c:manualLayout>
      </c:layout>
      <c:overlay val="0"/>
      <c:spPr>
        <a:noFill/>
        <a:ln w="0">
          <a:noFill/>
        </a:ln>
      </c:spPr>
      <c:txPr>
        <a:bodyPr/>
        <a:lstStyle/>
        <a:p>
          <a:pPr>
            <a:defRPr sz="1000" b="0" u="none" strike="noStrike">
              <a:solidFill>
                <a:srgbClr val="000000"/>
              </a:solidFill>
              <a:uFillTx/>
              <a:latin typeface="Arial"/>
              <a:ea typeface="DejaVu Sans"/>
            </a:defRPr>
          </a:pPr>
        </a:p>
      </c:txPr>
    </c:legend>
    <c:plotVisOnly val="1"/>
    <c:dispBlanksAs val="gap"/>
  </c:chart>
  <c:spPr>
    <a:solidFill>
      <a:srgbClr val="ffffff"/>
    </a:solidFill>
    <a:ln w="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_rels/drawing6.xml.rels><?xml version="1.0" encoding="UTF-8"?>
<Relationships xmlns="http://schemas.openxmlformats.org/package/2006/relationships"><Relationship Id="rId1" Type="http://schemas.openxmlformats.org/officeDocument/2006/relationships/chart" Target="../charts/chart6.xml"/>
</Relationships>
</file>

<file path=xl/drawings/_rels/drawing7.xml.rels><?xml version="1.0" encoding="UTF-8"?>
<Relationships xmlns="http://schemas.openxmlformats.org/package/2006/relationships"><Relationship Id="rId1" Type="http://schemas.openxmlformats.org/officeDocument/2006/relationships/chart" Target="../charts/chart7.xml"/>
</Relationships>
</file>

<file path=xl/drawings/_rels/drawing8.xml.rels><?xml version="1.0" encoding="UTF-8"?>
<Relationships xmlns="http://schemas.openxmlformats.org/package/2006/relationships"><Relationship Id="rId1" Type="http://schemas.openxmlformats.org/officeDocument/2006/relationships/chart" Target="../charts/chart8.xml"/>
</Relationships>
</file>

<file path=xl/drawings/_rels/drawing9.xml.rels><?xml version="1.0" encoding="UTF-8"?>
<Relationships xmlns="http://schemas.openxmlformats.org/package/2006/relationships"><Relationship Id="rId1" Type="http://schemas.openxmlformats.org/officeDocument/2006/relationships/chart" Target="../charts/chart9.xml"/>
</Relationships>
</file>

<file path=xl/drawings/_rels/drawing10.xml.rels><?xml version="1.0" encoding="UTF-8"?>
<Relationships xmlns="http://schemas.openxmlformats.org/package/2006/relationships"><Relationship Id="rId1" Type="http://schemas.openxmlformats.org/officeDocument/2006/relationships/chart" Target="../charts/chart10.xml"/>
</Relationships>
</file>

<file path=xl/drawings/_rels/drawing11.xml.rels><?xml version="1.0" encoding="UTF-8"?>
<Relationships xmlns="http://schemas.openxmlformats.org/package/2006/relationships"><Relationship Id="rId1" Type="http://schemas.openxmlformats.org/officeDocument/2006/relationships/chart" Target="../charts/chart11.xml"/>
</Relationships>
</file>

<file path=xl/drawings/_rels/drawing12.xml.rels><?xml version="1.0" encoding="UTF-8"?>
<Relationships xmlns="http://schemas.openxmlformats.org/package/2006/relationships"><Relationship Id="rId1" Type="http://schemas.openxmlformats.org/officeDocument/2006/relationships/chart" Target="../charts/chart12.xml"/>
</Relationships>
</file>

<file path=xl/drawings/_rels/drawing13.xml.rels><?xml version="1.0" encoding="UTF-8"?>
<Relationships xmlns="http://schemas.openxmlformats.org/package/2006/relationships"><Relationship Id="rId1" Type="http://schemas.openxmlformats.org/officeDocument/2006/relationships/chart" Target="../charts/chart13.xml"/>
</Relationships>
</file>

<file path=xl/drawings/_rels/drawing14.xml.rels><?xml version="1.0" encoding="UTF-8"?>
<Relationships xmlns="http://schemas.openxmlformats.org/package/2006/relationships"><Relationship Id="rId1" Type="http://schemas.openxmlformats.org/officeDocument/2006/relationships/chart" Target="../charts/chart14.xml"/>
</Relationships>
</file>

<file path=xl/drawings/_rels/drawing15.xml.rels><?xml version="1.0" encoding="UTF-8"?>
<Relationships xmlns="http://schemas.openxmlformats.org/package/2006/relationships"><Relationship Id="rId1" Type="http://schemas.openxmlformats.org/officeDocument/2006/relationships/chart" Target="../charts/chart15.xml"/>
</Relationships>
</file>

<file path=xl/drawings/_rels/drawing16.xml.rels><?xml version="1.0" encoding="UTF-8"?>
<Relationships xmlns="http://schemas.openxmlformats.org/package/2006/relationships"><Relationship Id="rId1" Type="http://schemas.openxmlformats.org/officeDocument/2006/relationships/chart" Target="../charts/chart16.xml"/>
</Relationships>
</file>

<file path=xl/drawings/_rels/drawing17.xml.rels><?xml version="1.0" encoding="UTF-8"?>
<Relationships xmlns="http://schemas.openxmlformats.org/package/2006/relationships"><Relationship Id="rId1" Type="http://schemas.openxmlformats.org/officeDocument/2006/relationships/chart" Target="../charts/chart17.xml"/>
</Relationships>
</file>

<file path=xl/drawings/_rels/drawing18.xml.rels><?xml version="1.0" encoding="UTF-8"?>
<Relationships xmlns="http://schemas.openxmlformats.org/package/2006/relationships"><Relationship Id="rId1" Type="http://schemas.openxmlformats.org/officeDocument/2006/relationships/chart" Target="../charts/chart18.xml"/>
</Relationships>
</file>

<file path=xl/drawings/_rels/drawing19.xml.rels><?xml version="1.0" encoding="UTF-8"?>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
</Relationships>
</file>

<file path=xl/drawings/_rels/drawing20.xml.rels><?xml version="1.0" encoding="UTF-8"?>
<Relationships xmlns="http://schemas.openxmlformats.org/package/2006/relationships"><Relationship Id="rId1" Type="http://schemas.openxmlformats.org/officeDocument/2006/relationships/chart" Target="../charts/chart21.xml"/><Relationship Id="rId2" Type="http://schemas.openxmlformats.org/officeDocument/2006/relationships/chart" Target="../charts/chart22.xml"/>
</Relationships>
</file>

<file path=xl/drawings/_rels/drawing21.xml.rels><?xml version="1.0" encoding="UTF-8"?>
<Relationships xmlns="http://schemas.openxmlformats.org/package/2006/relationships"><Relationship Id="rId1" Type="http://schemas.openxmlformats.org/officeDocument/2006/relationships/chart" Target="../charts/chart23.xml"/><Relationship Id="rId2" Type="http://schemas.openxmlformats.org/officeDocument/2006/relationships/chart" Target="../charts/chart24.xml"/>
</Relationships>
</file>

<file path=xl/drawings/_rels/drawing22.xml.rels><?xml version="1.0" encoding="UTF-8"?>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
</Relationships>
</file>

<file path=xl/drawings/_rels/drawing23.xml.rels><?xml version="1.0" encoding="UTF-8"?>
<Relationships xmlns="http://schemas.openxmlformats.org/package/2006/relationships"><Relationship Id="rId1" Type="http://schemas.openxmlformats.org/officeDocument/2006/relationships/chart" Target="../charts/chart27.xml"/><Relationship Id="rId2" Type="http://schemas.openxmlformats.org/officeDocument/2006/relationships/chart" Target="../charts/chart28.xml"/>
</Relationships>
</file>

<file path=xl/drawings/_rels/drawing24.xml.rels><?xml version="1.0" encoding="UTF-8"?>
<Relationships xmlns="http://schemas.openxmlformats.org/package/2006/relationships"><Relationship Id="rId1" Type="http://schemas.openxmlformats.org/officeDocument/2006/relationships/chart" Target="../charts/chart2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35</xdr:row>
      <xdr:rowOff>39240</xdr:rowOff>
    </xdr:from>
    <xdr:to>
      <xdr:col>7</xdr:col>
      <xdr:colOff>50760</xdr:colOff>
      <xdr:row>125</xdr:row>
      <xdr:rowOff>32040</xdr:rowOff>
    </xdr:to>
    <xdr:graphicFrame>
      <xdr:nvGraphicFramePr>
        <xdr:cNvPr id="1" name=""/>
        <xdr:cNvGraphicFramePr/>
      </xdr:nvGraphicFramePr>
      <xdr:xfrm>
        <a:off x="914400" y="7833960"/>
        <a:ext cx="913392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375840</xdr:colOff>
      <xdr:row>119</xdr:row>
      <xdr:rowOff>28440</xdr:rowOff>
    </xdr:to>
    <xdr:graphicFrame>
      <xdr:nvGraphicFramePr>
        <xdr:cNvPr id="2" name=""/>
        <xdr:cNvGraphicFramePr/>
      </xdr:nvGraphicFramePr>
      <xdr:xfrm>
        <a:off x="914400" y="6848640"/>
        <a:ext cx="913428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35640</xdr:rowOff>
    </xdr:from>
    <xdr:to>
      <xdr:col>7</xdr:col>
      <xdr:colOff>215280</xdr:colOff>
      <xdr:row>119</xdr:row>
      <xdr:rowOff>29160</xdr:rowOff>
    </xdr:to>
    <xdr:graphicFrame>
      <xdr:nvGraphicFramePr>
        <xdr:cNvPr id="3" name=""/>
        <xdr:cNvGraphicFramePr/>
      </xdr:nvGraphicFramePr>
      <xdr:xfrm>
        <a:off x="914400" y="6858000"/>
        <a:ext cx="9138240" cy="14623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28440</xdr:rowOff>
    </xdr:from>
    <xdr:to>
      <xdr:col>7</xdr:col>
      <xdr:colOff>216720</xdr:colOff>
      <xdr:row>119</xdr:row>
      <xdr:rowOff>23400</xdr:rowOff>
    </xdr:to>
    <xdr:graphicFrame>
      <xdr:nvGraphicFramePr>
        <xdr:cNvPr id="4" name=""/>
        <xdr:cNvGraphicFramePr/>
      </xdr:nvGraphicFramePr>
      <xdr:xfrm>
        <a:off x="914400" y="6841440"/>
        <a:ext cx="9138960" cy="1462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28</xdr:row>
      <xdr:rowOff>92160</xdr:rowOff>
    </xdr:from>
    <xdr:to>
      <xdr:col>6</xdr:col>
      <xdr:colOff>588600</xdr:colOff>
      <xdr:row>118</xdr:row>
      <xdr:rowOff>84960</xdr:rowOff>
    </xdr:to>
    <xdr:graphicFrame>
      <xdr:nvGraphicFramePr>
        <xdr:cNvPr id="5" name=""/>
        <xdr:cNvGraphicFramePr/>
      </xdr:nvGraphicFramePr>
      <xdr:xfrm>
        <a:off x="914400" y="675000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36360</xdr:rowOff>
    </xdr:from>
    <xdr:to>
      <xdr:col>7</xdr:col>
      <xdr:colOff>215280</xdr:colOff>
      <xdr:row>119</xdr:row>
      <xdr:rowOff>29880</xdr:rowOff>
    </xdr:to>
    <xdr:graphicFrame>
      <xdr:nvGraphicFramePr>
        <xdr:cNvPr id="6" name=""/>
        <xdr:cNvGraphicFramePr/>
      </xdr:nvGraphicFramePr>
      <xdr:xfrm>
        <a:off x="914400" y="6856920"/>
        <a:ext cx="9137520" cy="14623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29</xdr:row>
      <xdr:rowOff>29880</xdr:rowOff>
    </xdr:from>
    <xdr:to>
      <xdr:col>7</xdr:col>
      <xdr:colOff>216720</xdr:colOff>
      <xdr:row>119</xdr:row>
      <xdr:rowOff>24840</xdr:rowOff>
    </xdr:to>
    <xdr:graphicFrame>
      <xdr:nvGraphicFramePr>
        <xdr:cNvPr id="7" name=""/>
        <xdr:cNvGraphicFramePr/>
      </xdr:nvGraphicFramePr>
      <xdr:xfrm>
        <a:off x="914400" y="6852960"/>
        <a:ext cx="9138960" cy="1462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30</xdr:row>
      <xdr:rowOff>106200</xdr:rowOff>
    </xdr:from>
    <xdr:to>
      <xdr:col>6</xdr:col>
      <xdr:colOff>588600</xdr:colOff>
      <xdr:row>120</xdr:row>
      <xdr:rowOff>99000</xdr:rowOff>
    </xdr:to>
    <xdr:graphicFrame>
      <xdr:nvGraphicFramePr>
        <xdr:cNvPr id="8" name=""/>
        <xdr:cNvGraphicFramePr/>
      </xdr:nvGraphicFramePr>
      <xdr:xfrm>
        <a:off x="914400" y="708408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34</xdr:row>
      <xdr:rowOff>84600</xdr:rowOff>
    </xdr:from>
    <xdr:to>
      <xdr:col>7</xdr:col>
      <xdr:colOff>52560</xdr:colOff>
      <xdr:row>124</xdr:row>
      <xdr:rowOff>78120</xdr:rowOff>
    </xdr:to>
    <xdr:graphicFrame>
      <xdr:nvGraphicFramePr>
        <xdr:cNvPr id="9" name=""/>
        <xdr:cNvGraphicFramePr/>
      </xdr:nvGraphicFramePr>
      <xdr:xfrm>
        <a:off x="914400" y="7719840"/>
        <a:ext cx="9137520" cy="14623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30</xdr:row>
      <xdr:rowOff>54000</xdr:rowOff>
    </xdr:from>
    <xdr:to>
      <xdr:col>7</xdr:col>
      <xdr:colOff>216720</xdr:colOff>
      <xdr:row>120</xdr:row>
      <xdr:rowOff>48960</xdr:rowOff>
    </xdr:to>
    <xdr:graphicFrame>
      <xdr:nvGraphicFramePr>
        <xdr:cNvPr id="10" name=""/>
        <xdr:cNvGraphicFramePr/>
      </xdr:nvGraphicFramePr>
      <xdr:xfrm>
        <a:off x="914400" y="7029360"/>
        <a:ext cx="9138960" cy="14625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914400</xdr:colOff>
      <xdr:row>31</xdr:row>
      <xdr:rowOff>92160</xdr:rowOff>
    </xdr:from>
    <xdr:to>
      <xdr:col>6</xdr:col>
      <xdr:colOff>588600</xdr:colOff>
      <xdr:row>121</xdr:row>
      <xdr:rowOff>84960</xdr:rowOff>
    </xdr:to>
    <xdr:graphicFrame>
      <xdr:nvGraphicFramePr>
        <xdr:cNvPr id="11" name=""/>
        <xdr:cNvGraphicFramePr/>
      </xdr:nvGraphicFramePr>
      <xdr:xfrm>
        <a:off x="914400" y="7232760"/>
        <a:ext cx="9136800" cy="14623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54000</xdr:rowOff>
    </xdr:from>
    <xdr:to>
      <xdr:col>7</xdr:col>
      <xdr:colOff>866520</xdr:colOff>
      <xdr:row>120</xdr:row>
      <xdr:rowOff>48600</xdr:rowOff>
    </xdr:to>
    <xdr:graphicFrame>
      <xdr:nvGraphicFramePr>
        <xdr:cNvPr id="12" name=""/>
        <xdr:cNvGraphicFramePr/>
      </xdr:nvGraphicFramePr>
      <xdr:xfrm>
        <a:off x="914400" y="7176240"/>
        <a:ext cx="9138600" cy="14625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343080</xdr:colOff>
      <xdr:row>29</xdr:row>
      <xdr:rowOff>72360</xdr:rowOff>
    </xdr:from>
    <xdr:to>
      <xdr:col>10</xdr:col>
      <xdr:colOff>1084680</xdr:colOff>
      <xdr:row>72</xdr:row>
      <xdr:rowOff>79560</xdr:rowOff>
    </xdr:to>
    <xdr:graphicFrame>
      <xdr:nvGraphicFramePr>
        <xdr:cNvPr id="13" name=""/>
        <xdr:cNvGraphicFramePr/>
      </xdr:nvGraphicFramePr>
      <xdr:xfrm>
        <a:off x="1155960" y="7026840"/>
        <a:ext cx="12349440" cy="699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31</xdr:row>
      <xdr:rowOff>134280</xdr:rowOff>
    </xdr:from>
    <xdr:to>
      <xdr:col>6</xdr:col>
      <xdr:colOff>1113840</xdr:colOff>
      <xdr:row>121</xdr:row>
      <xdr:rowOff>111600</xdr:rowOff>
    </xdr:to>
    <xdr:graphicFrame>
      <xdr:nvGraphicFramePr>
        <xdr:cNvPr id="14" name=""/>
        <xdr:cNvGraphicFramePr/>
      </xdr:nvGraphicFramePr>
      <xdr:xfrm>
        <a:off x="804960" y="7429320"/>
        <a:ext cx="9121320" cy="14607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31</xdr:row>
      <xdr:rowOff>56160</xdr:rowOff>
    </xdr:from>
    <xdr:to>
      <xdr:col>12</xdr:col>
      <xdr:colOff>747720</xdr:colOff>
      <xdr:row>87</xdr:row>
      <xdr:rowOff>93960</xdr:rowOff>
    </xdr:to>
    <xdr:graphicFrame>
      <xdr:nvGraphicFramePr>
        <xdr:cNvPr id="15" name=""/>
        <xdr:cNvGraphicFramePr/>
      </xdr:nvGraphicFramePr>
      <xdr:xfrm>
        <a:off x="914400" y="7335720"/>
        <a:ext cx="14627520" cy="9141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32</xdr:row>
      <xdr:rowOff>37080</xdr:rowOff>
    </xdr:from>
    <xdr:to>
      <xdr:col>7</xdr:col>
      <xdr:colOff>56880</xdr:colOff>
      <xdr:row>122</xdr:row>
      <xdr:rowOff>34920</xdr:rowOff>
    </xdr:to>
    <xdr:graphicFrame>
      <xdr:nvGraphicFramePr>
        <xdr:cNvPr id="16" name=""/>
        <xdr:cNvGraphicFramePr/>
      </xdr:nvGraphicFramePr>
      <xdr:xfrm>
        <a:off x="914400" y="7345800"/>
        <a:ext cx="9141840" cy="14628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132120</xdr:rowOff>
    </xdr:from>
    <xdr:to>
      <xdr:col>7</xdr:col>
      <xdr:colOff>56880</xdr:colOff>
      <xdr:row>120</xdr:row>
      <xdr:rowOff>129960</xdr:rowOff>
    </xdr:to>
    <xdr:graphicFrame>
      <xdr:nvGraphicFramePr>
        <xdr:cNvPr id="17" name=""/>
        <xdr:cNvGraphicFramePr/>
      </xdr:nvGraphicFramePr>
      <xdr:xfrm>
        <a:off x="914400" y="7115760"/>
        <a:ext cx="9141840" cy="14628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132120</xdr:rowOff>
    </xdr:from>
    <xdr:to>
      <xdr:col>7</xdr:col>
      <xdr:colOff>56880</xdr:colOff>
      <xdr:row>120</xdr:row>
      <xdr:rowOff>129960</xdr:rowOff>
    </xdr:to>
    <xdr:graphicFrame>
      <xdr:nvGraphicFramePr>
        <xdr:cNvPr id="18" name=""/>
        <xdr:cNvGraphicFramePr/>
      </xdr:nvGraphicFramePr>
      <xdr:xfrm>
        <a:off x="914400" y="7115760"/>
        <a:ext cx="9141840" cy="14628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59</xdr:row>
      <xdr:rowOff>110520</xdr:rowOff>
    </xdr:from>
    <xdr:to>
      <xdr:col>7</xdr:col>
      <xdr:colOff>256320</xdr:colOff>
      <xdr:row>149</xdr:row>
      <xdr:rowOff>87840</xdr:rowOff>
    </xdr:to>
    <xdr:graphicFrame>
      <xdr:nvGraphicFramePr>
        <xdr:cNvPr id="19" name=""/>
        <xdr:cNvGraphicFramePr/>
      </xdr:nvGraphicFramePr>
      <xdr:xfrm>
        <a:off x="971640" y="9984240"/>
        <a:ext cx="9121320" cy="14607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156</xdr:row>
      <xdr:rowOff>14400</xdr:rowOff>
    </xdr:from>
    <xdr:to>
      <xdr:col>7</xdr:col>
      <xdr:colOff>260280</xdr:colOff>
      <xdr:row>245</xdr:row>
      <xdr:rowOff>154440</xdr:rowOff>
    </xdr:to>
    <xdr:graphicFrame>
      <xdr:nvGraphicFramePr>
        <xdr:cNvPr id="20" name=""/>
        <xdr:cNvGraphicFramePr/>
      </xdr:nvGraphicFramePr>
      <xdr:xfrm>
        <a:off x="975600" y="25656480"/>
        <a:ext cx="9121320" cy="14607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804960</xdr:colOff>
      <xdr:row>60</xdr:row>
      <xdr:rowOff>141480</xdr:rowOff>
    </xdr:from>
    <xdr:to>
      <xdr:col>7</xdr:col>
      <xdr:colOff>252000</xdr:colOff>
      <xdr:row>150</xdr:row>
      <xdr:rowOff>118800</xdr:rowOff>
    </xdr:to>
    <xdr:graphicFrame>
      <xdr:nvGraphicFramePr>
        <xdr:cNvPr id="21" name=""/>
        <xdr:cNvGraphicFramePr/>
      </xdr:nvGraphicFramePr>
      <xdr:xfrm>
        <a:off x="804960" y="10035360"/>
        <a:ext cx="9121320" cy="14607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804600</xdr:colOff>
      <xdr:row>155</xdr:row>
      <xdr:rowOff>159120</xdr:rowOff>
    </xdr:from>
    <xdr:to>
      <xdr:col>7</xdr:col>
      <xdr:colOff>251640</xdr:colOff>
      <xdr:row>245</xdr:row>
      <xdr:rowOff>136440</xdr:rowOff>
    </xdr:to>
    <xdr:graphicFrame>
      <xdr:nvGraphicFramePr>
        <xdr:cNvPr id="22" name=""/>
        <xdr:cNvGraphicFramePr/>
      </xdr:nvGraphicFramePr>
      <xdr:xfrm>
        <a:off x="804600" y="25496280"/>
        <a:ext cx="9121320" cy="14607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4320</xdr:colOff>
      <xdr:row>61</xdr:row>
      <xdr:rowOff>118800</xdr:rowOff>
    </xdr:from>
    <xdr:to>
      <xdr:col>7</xdr:col>
      <xdr:colOff>264240</xdr:colOff>
      <xdr:row>151</xdr:row>
      <xdr:rowOff>96120</xdr:rowOff>
    </xdr:to>
    <xdr:graphicFrame>
      <xdr:nvGraphicFramePr>
        <xdr:cNvPr id="23" name=""/>
        <xdr:cNvGraphicFramePr/>
      </xdr:nvGraphicFramePr>
      <xdr:xfrm>
        <a:off x="979560" y="10175400"/>
        <a:ext cx="9121320" cy="14607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156</xdr:row>
      <xdr:rowOff>141480</xdr:rowOff>
    </xdr:from>
    <xdr:to>
      <xdr:col>7</xdr:col>
      <xdr:colOff>255960</xdr:colOff>
      <xdr:row>246</xdr:row>
      <xdr:rowOff>118800</xdr:rowOff>
    </xdr:to>
    <xdr:graphicFrame>
      <xdr:nvGraphicFramePr>
        <xdr:cNvPr id="24" name=""/>
        <xdr:cNvGraphicFramePr/>
      </xdr:nvGraphicFramePr>
      <xdr:xfrm>
        <a:off x="971280" y="25641000"/>
        <a:ext cx="9121320" cy="14607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971280</xdr:colOff>
      <xdr:row>61</xdr:row>
      <xdr:rowOff>121320</xdr:rowOff>
    </xdr:from>
    <xdr:to>
      <xdr:col>7</xdr:col>
      <xdr:colOff>255960</xdr:colOff>
      <xdr:row>151</xdr:row>
      <xdr:rowOff>98640</xdr:rowOff>
    </xdr:to>
    <xdr:graphicFrame>
      <xdr:nvGraphicFramePr>
        <xdr:cNvPr id="25" name=""/>
        <xdr:cNvGraphicFramePr/>
      </xdr:nvGraphicFramePr>
      <xdr:xfrm>
        <a:off x="971280" y="10177920"/>
        <a:ext cx="9121320" cy="14607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971280</xdr:colOff>
      <xdr:row>157</xdr:row>
      <xdr:rowOff>141840</xdr:rowOff>
    </xdr:from>
    <xdr:to>
      <xdr:col>7</xdr:col>
      <xdr:colOff>255960</xdr:colOff>
      <xdr:row>247</xdr:row>
      <xdr:rowOff>119160</xdr:rowOff>
    </xdr:to>
    <xdr:graphicFrame>
      <xdr:nvGraphicFramePr>
        <xdr:cNvPr id="26" name=""/>
        <xdr:cNvGraphicFramePr/>
      </xdr:nvGraphicFramePr>
      <xdr:xfrm>
        <a:off x="971280" y="25804080"/>
        <a:ext cx="9121320" cy="14607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971640</xdr:colOff>
      <xdr:row>61</xdr:row>
      <xdr:rowOff>151920</xdr:rowOff>
    </xdr:from>
    <xdr:to>
      <xdr:col>7</xdr:col>
      <xdr:colOff>256320</xdr:colOff>
      <xdr:row>151</xdr:row>
      <xdr:rowOff>129240</xdr:rowOff>
    </xdr:to>
    <xdr:graphicFrame>
      <xdr:nvGraphicFramePr>
        <xdr:cNvPr id="27" name=""/>
        <xdr:cNvGraphicFramePr/>
      </xdr:nvGraphicFramePr>
      <xdr:xfrm>
        <a:off x="971640" y="10208520"/>
        <a:ext cx="9121320" cy="14607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360</xdr:colOff>
      <xdr:row>158</xdr:row>
      <xdr:rowOff>55440</xdr:rowOff>
    </xdr:from>
    <xdr:to>
      <xdr:col>7</xdr:col>
      <xdr:colOff>260280</xdr:colOff>
      <xdr:row>248</xdr:row>
      <xdr:rowOff>32760</xdr:rowOff>
    </xdr:to>
    <xdr:graphicFrame>
      <xdr:nvGraphicFramePr>
        <xdr:cNvPr id="28" name=""/>
        <xdr:cNvGraphicFramePr/>
      </xdr:nvGraphicFramePr>
      <xdr:xfrm>
        <a:off x="975600" y="25880400"/>
        <a:ext cx="9121320" cy="146077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101520</xdr:colOff>
      <xdr:row>30</xdr:row>
      <xdr:rowOff>56880</xdr:rowOff>
    </xdr:from>
    <xdr:to>
      <xdr:col>7</xdr:col>
      <xdr:colOff>53640</xdr:colOff>
      <xdr:row>120</xdr:row>
      <xdr:rowOff>51480</xdr:rowOff>
    </xdr:to>
    <xdr:graphicFrame>
      <xdr:nvGraphicFramePr>
        <xdr:cNvPr id="29" name=""/>
        <xdr:cNvGraphicFramePr/>
      </xdr:nvGraphicFramePr>
      <xdr:xfrm>
        <a:off x="914400" y="7037280"/>
        <a:ext cx="9138600" cy="14625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_rels/sheet24.xml.rels><?xml version="1.0" encoding="UTF-8"?>
<Relationships xmlns="http://schemas.openxmlformats.org/package/2006/relationships"><Relationship Id="rId1" Type="http://schemas.openxmlformats.org/officeDocument/2006/relationships/drawing" Target="../drawings/drawing19.xml"/>
</Relationships>
</file>

<file path=xl/worksheets/_rels/sheet25.xml.rels><?xml version="1.0" encoding="UTF-8"?>
<Relationships xmlns="http://schemas.openxmlformats.org/package/2006/relationships"><Relationship Id="rId1" Type="http://schemas.openxmlformats.org/officeDocument/2006/relationships/drawing" Target="../drawings/drawing20.xml"/>
</Relationships>
</file>

<file path=xl/worksheets/_rels/sheet26.xml.rels><?xml version="1.0" encoding="UTF-8"?>
<Relationships xmlns="http://schemas.openxmlformats.org/package/2006/relationships"><Relationship Id="rId1" Type="http://schemas.openxmlformats.org/officeDocument/2006/relationships/drawing" Target="../drawings/drawing21.xml"/>
</Relationships>
</file>

<file path=xl/worksheets/_rels/sheet27.xml.rels><?xml version="1.0" encoding="UTF-8"?>
<Relationships xmlns="http://schemas.openxmlformats.org/package/2006/relationships"><Relationship Id="rId1" Type="http://schemas.openxmlformats.org/officeDocument/2006/relationships/drawing" Target="../drawings/drawing22.xml"/>
</Relationships>
</file>

<file path=xl/worksheets/_rels/sheet28.xml.rels><?xml version="1.0" encoding="UTF-8"?>
<Relationships xmlns="http://schemas.openxmlformats.org/package/2006/relationships"><Relationship Id="rId1" Type="http://schemas.openxmlformats.org/officeDocument/2006/relationships/drawing" Target="../drawings/drawing23.xml"/>
</Relationships>
</file>

<file path=xl/worksheets/_rels/sheet29.xml.rels><?xml version="1.0" encoding="UTF-8"?>
<Relationships xmlns="http://schemas.openxmlformats.org/package/2006/relationships"><Relationship Id="rId1" Type="http://schemas.openxmlformats.org/officeDocument/2006/relationships/drawing" Target="../drawings/drawing2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D7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7" activeCellId="0" sqref="C7"/>
    </sheetView>
  </sheetViews>
  <sheetFormatPr defaultColWidth="11.53515625" defaultRowHeight="12.8" customHeight="false" zeroHeight="false" outlineLevelRow="1" outlineLevelCol="0"/>
  <cols>
    <col collapsed="false" customWidth="true" hidden="false" outlineLevel="0" max="1" min="1" style="1" width="23.07"/>
    <col collapsed="false" customWidth="true" hidden="false" outlineLevel="0" max="2" min="2" style="2" width="50.73"/>
    <col collapsed="false" customWidth="true" hidden="false" outlineLevel="0" max="3" min="3" style="2" width="32.28"/>
    <col collapsed="false" customWidth="true" hidden="false" outlineLevel="0" max="4" min="4" style="2" width="6.93"/>
    <col collapsed="false" customWidth="false" hidden="false" outlineLevel="0" max="115" min="5" style="2" width="11.53"/>
    <col collapsed="false" customWidth="false" hidden="false" outlineLevel="0" max="16384" min="116" style="3" width="11.53"/>
  </cols>
  <sheetData>
    <row r="1" customFormat="false" ht="12.8" hidden="false" customHeight="false" outlineLevel="0" collapsed="false">
      <c r="A1" s="4" t="s">
        <v>0</v>
      </c>
      <c r="B1" s="5" t="s">
        <v>1</v>
      </c>
      <c r="C1" s="6" t="s">
        <v>2</v>
      </c>
      <c r="D1" s="5"/>
    </row>
    <row r="2" customFormat="false" ht="12.8" hidden="false" customHeight="false" outlineLevel="1" collapsed="false">
      <c r="A2" s="4" t="s">
        <v>3</v>
      </c>
      <c r="B2" s="5" t="s">
        <v>4</v>
      </c>
      <c r="C2" s="5" t="s">
        <v>5</v>
      </c>
      <c r="D2" s="7"/>
    </row>
    <row r="3" customFormat="false" ht="12.8" hidden="false" customHeight="false" outlineLevel="1" collapsed="false">
      <c r="A3" s="8" t="str">
        <f aca="false">INVOKE!A$1</f>
        <v>LSD.RID.0.AL.INVOKE</v>
      </c>
      <c r="B3" s="9" t="str">
        <f aca="false">INVOKE!B$1</f>
        <v>Alabama Labor Statistic Logic Formulae</v>
      </c>
      <c r="C3" s="9" t="str">
        <f aca="false">INVOKE!C$1</f>
        <v>December 2025</v>
      </c>
      <c r="D3" s="7"/>
    </row>
    <row r="4" customFormat="false" ht="12.8" hidden="false" customHeight="false" outlineLevel="1" collapsed="false">
      <c r="A4" s="10" t="str">
        <f aca="false">FORM!A$1</f>
        <v>LSD.RID.0.AL.FORM</v>
      </c>
      <c r="B4" s="10" t="str">
        <f aca="false">FORM!B$1</f>
        <v>Alabama Labor Statistic Logic Interdependent Formulae</v>
      </c>
      <c r="C4" s="10" t="str">
        <f aca="false">FORM!C$1</f>
        <v>December, 2025</v>
      </c>
      <c r="D4" s="11"/>
    </row>
    <row r="5" customFormat="false" ht="12.8" hidden="false" customHeight="false" outlineLevel="1" collapsed="false">
      <c r="A5" s="12" t="str">
        <f aca="false">PARAM!A$1</f>
        <v>LSD.RID.0.AL.PARAM</v>
      </c>
      <c r="B5" s="12" t="str">
        <f aca="false">PARAM!B$1</f>
        <v>Alabama Labor Statistic Logic Interdependent Parameters</v>
      </c>
      <c r="C5" s="12" t="str">
        <f aca="false">PARAM!C$1</f>
        <v>December, 2025</v>
      </c>
      <c r="D5" s="11"/>
    </row>
    <row r="6" customFormat="false" ht="12.8" hidden="false" customHeight="false" outlineLevel="1" collapsed="false">
      <c r="A6" s="13" t="str">
        <f aca="false">CALC!A1</f>
        <v>LSD.RID.0.AL.CALC</v>
      </c>
      <c r="B6" s="13" t="str">
        <f aca="false">CALC!B1</f>
        <v>Alabama Labor Statistic Calculations</v>
      </c>
      <c r="C6" s="14" t="str">
        <f aca="false">CALC!C1</f>
        <v>December 2025</v>
      </c>
      <c r="D6" s="11"/>
    </row>
    <row r="7" customFormat="false" ht="12.8" hidden="false" customHeight="false" outlineLevel="1" collapsed="false">
      <c r="A7" s="15" t="str">
        <f aca="false">LFP!A1</f>
        <v>LSD.RID.0.AL.LFP</v>
      </c>
      <c r="B7" s="15" t="str">
        <f aca="false">LFP!B1</f>
        <v>Alabama Labor Force Population</v>
      </c>
      <c r="C7" s="16" t="str">
        <f aca="false">LFP!C1</f>
        <v>December 2025</v>
      </c>
      <c r="D7" s="11"/>
    </row>
    <row r="8" customFormat="false" ht="12.8" hidden="false" customHeight="false" outlineLevel="1" collapsed="false">
      <c r="A8" s="17" t="str">
        <f aca="false">ETPR!A1</f>
        <v>LSD.RID.0.AL.ETPR</v>
      </c>
      <c r="B8" s="17" t="str">
        <f aca="false">ETPR!B1</f>
        <v>Alabama Employment-to-Population Ratio (ETPR)</v>
      </c>
      <c r="C8" s="18" t="str">
        <f aca="false">ETPR!C1</f>
        <v>December 2025</v>
      </c>
      <c r="D8" s="11"/>
    </row>
    <row r="9" customFormat="false" ht="12.8" hidden="false" customHeight="false" outlineLevel="1" collapsed="false">
      <c r="A9" s="19" t="str">
        <f aca="false">LFPR!A1</f>
        <v>LSD.RID.0.AL.LFPR</v>
      </c>
      <c r="B9" s="19" t="str">
        <f aca="false">LFPR!B1</f>
        <v>Alabama Labor Force Participation Rate (LFPR)</v>
      </c>
      <c r="C9" s="20" t="str">
        <f aca="false">LFPR!C1</f>
        <v>December 2025</v>
      </c>
      <c r="D9" s="11"/>
    </row>
    <row r="10" customFormat="false" ht="12.8" hidden="false" customHeight="false" outlineLevel="1" collapsed="false">
      <c r="A10" s="21" t="str">
        <f aca="false">U3R!A1</f>
        <v>LSD.RID.0.AL.U3R</v>
      </c>
      <c r="B10" s="21" t="str">
        <f aca="false">U3R!B1</f>
        <v>Alabama Unemployment Rate (U3R)</v>
      </c>
      <c r="C10" s="22" t="str">
        <f aca="false">U3R!C1</f>
        <v>December 2025</v>
      </c>
      <c r="D10" s="11"/>
    </row>
    <row r="11" customFormat="false" ht="12.8" hidden="false" customHeight="false" outlineLevel="1" collapsed="false">
      <c r="A11" s="23" t="str">
        <f aca="false">U6R!A1</f>
        <v>LSD.RID.0.AL.U6R</v>
      </c>
      <c r="B11" s="23" t="str">
        <f aca="false">U6R!B1</f>
        <v>Alabama Underemployment Rate (U6R)</v>
      </c>
      <c r="C11" s="24" t="str">
        <f aca="false">U6R!C1</f>
        <v>December 2025</v>
      </c>
      <c r="D11" s="11"/>
    </row>
    <row r="12" customFormat="false" ht="12.8" hidden="false" customHeight="false" outlineLevel="1" collapsed="false">
      <c r="A12" s="25" t="str">
        <f aca="false">WAVG!A1</f>
        <v>LSD.RID.0.AL.WAVG</v>
      </c>
      <c r="B12" s="25" t="str">
        <f aca="false">WAVG!B1</f>
        <v>Alabama Wage Average (WAVG)</v>
      </c>
      <c r="C12" s="26" t="str">
        <f aca="false">WAVG!C1</f>
        <v>December 2025</v>
      </c>
      <c r="D12" s="11"/>
    </row>
    <row r="13" customFormat="false" ht="12.8" hidden="false" customHeight="false" outlineLevel="1" collapsed="false">
      <c r="A13" s="27" t="str">
        <f aca="false">AIAVG!A1</f>
        <v>LSD.RID.0.AL.AIAVG</v>
      </c>
      <c r="B13" s="27" t="str">
        <f aca="false">AIAVG!B1</f>
        <v>Alabama Annual Income Average (AIAVG)</v>
      </c>
      <c r="C13" s="28" t="str">
        <f aca="false">AIAVG!C1</f>
        <v>December 2025</v>
      </c>
      <c r="D13" s="11"/>
    </row>
    <row r="14" customFormat="false" ht="12.8" hidden="false" customHeight="false" outlineLevel="1" collapsed="false">
      <c r="A14" s="29" t="str">
        <f aca="false">FPITREV!A1</f>
        <v>LSD.RID.0.AL.FPITREV</v>
      </c>
      <c r="B14" s="29" t="str">
        <f aca="false">FPITREV!B1</f>
        <v>Alabama Federal Personal Income Tax Revenue (FPITREV)</v>
      </c>
      <c r="C14" s="30" t="str">
        <f aca="false">FPITREV!C1</f>
        <v>December 2025</v>
      </c>
      <c r="D14" s="11"/>
    </row>
    <row r="15" customFormat="false" ht="12.8" hidden="false" customHeight="false" outlineLevel="1" collapsed="false">
      <c r="A15" s="31" t="str">
        <f aca="false">FPPTREV!A1</f>
        <v>LSD.RID.0.AL.FPPTR</v>
      </c>
      <c r="B15" s="31" t="str">
        <f aca="false">FPPTREV!B1</f>
        <v>Alabama Federal Personal Payrol Tax Revenue</v>
      </c>
      <c r="C15" s="32" t="str">
        <f aca="false">FPPTREV!C1</f>
        <v>December 2025</v>
      </c>
      <c r="D15" s="11"/>
    </row>
    <row r="16" customFormat="false" ht="12.8" hidden="false" customHeight="false" outlineLevel="1" collapsed="false">
      <c r="A16" s="33" t="str">
        <f aca="false">EITCREF!A1</f>
        <v>LSD.RID.0.AL.EITCREF</v>
      </c>
      <c r="B16" s="33" t="str">
        <f aca="false">EITCREF!B1</f>
        <v>Alabama Earned Income Tax Credit Refund</v>
      </c>
      <c r="C16" s="34" t="str">
        <f aca="false">EITCREF!C1</f>
        <v>December 2025</v>
      </c>
      <c r="D16" s="11"/>
    </row>
    <row r="17" customFormat="false" ht="12.8" hidden="false" customHeight="false" outlineLevel="1" collapsed="false">
      <c r="A17" s="35" t="str">
        <f aca="false">ACTCREF!A1</f>
        <v>LSD.RID.0.AL.ACTCREF</v>
      </c>
      <c r="B17" s="35" t="str">
        <f aca="false">ACTCREF!B1</f>
        <v>Alabama Additional Child Tax Credit Refund</v>
      </c>
      <c r="C17" s="36" t="str">
        <f aca="false">ACTCREF!C1</f>
        <v>December 2025</v>
      </c>
      <c r="D17" s="11"/>
    </row>
    <row r="18" customFormat="false" ht="12.8" hidden="false" customHeight="false" outlineLevel="1" collapsed="false">
      <c r="A18" s="37" t="str">
        <f aca="false">AOTCREF!A1</f>
        <v>LSD.RID.0.AL.AOTCREF</v>
      </c>
      <c r="B18" s="37" t="str">
        <f aca="false">AOTCREF!B1</f>
        <v>Alabama American Opportunity Tax Credit Refund</v>
      </c>
      <c r="C18" s="38" t="str">
        <f aca="false">AOTCREF!C1</f>
        <v>December 2025</v>
      </c>
      <c r="D18" s="11"/>
    </row>
    <row r="19" customFormat="false" ht="12.8" hidden="false" customHeight="false" outlineLevel="0" collapsed="false">
      <c r="A19" s="11"/>
      <c r="B19" s="11"/>
      <c r="C19" s="11"/>
      <c r="D19" s="11"/>
    </row>
    <row r="20" customFormat="false" ht="12.8" hidden="false" customHeight="false" outlineLevel="0" collapsed="false">
      <c r="A20" s="4" t="s">
        <v>6</v>
      </c>
      <c r="B20" s="7" t="s">
        <v>7</v>
      </c>
      <c r="C20" s="7" t="s">
        <v>8</v>
      </c>
    </row>
    <row r="21" customFormat="false" ht="12.8" hidden="false" customHeight="false" outlineLevel="1" collapsed="false">
      <c r="A21" s="4" t="s">
        <v>9</v>
      </c>
      <c r="B21" s="7" t="s">
        <v>10</v>
      </c>
      <c r="C21" s="7" t="s">
        <v>11</v>
      </c>
    </row>
    <row r="22" customFormat="false" ht="12.8" hidden="false" customHeight="false" outlineLevel="1" collapsed="false">
      <c r="A22" s="39" t="s">
        <v>12</v>
      </c>
      <c r="B22" s="2" t="s">
        <v>13</v>
      </c>
      <c r="C22" s="2" t="s">
        <v>14</v>
      </c>
    </row>
    <row r="23" customFormat="false" ht="12.8" hidden="false" customHeight="false" outlineLevel="1" collapsed="false">
      <c r="A23" s="39" t="s">
        <v>15</v>
      </c>
      <c r="B23" s="2" t="s">
        <v>16</v>
      </c>
      <c r="C23" s="2" t="s">
        <v>17</v>
      </c>
    </row>
    <row r="24" customFormat="false" ht="12.8" hidden="false" customHeight="false" outlineLevel="1" collapsed="false">
      <c r="A24" s="39" t="s">
        <v>18</v>
      </c>
      <c r="B24" s="2" t="s">
        <v>19</v>
      </c>
      <c r="C24" s="2" t="s">
        <v>20</v>
      </c>
    </row>
    <row r="25" customFormat="false" ht="12.8" hidden="false" customHeight="false" outlineLevel="1" collapsed="false">
      <c r="A25" s="39" t="s">
        <v>21</v>
      </c>
      <c r="B25" s="2" t="s">
        <v>22</v>
      </c>
      <c r="C25" s="2" t="s">
        <v>23</v>
      </c>
    </row>
    <row r="26" customFormat="false" ht="12.8" hidden="false" customHeight="false" outlineLevel="1" collapsed="false">
      <c r="A26" s="39" t="s">
        <v>24</v>
      </c>
      <c r="B26" s="2" t="s">
        <v>25</v>
      </c>
      <c r="C26" s="2" t="s">
        <v>26</v>
      </c>
    </row>
    <row r="27" customFormat="false" ht="12.8" hidden="false" customHeight="false" outlineLevel="1" collapsed="false">
      <c r="A27" s="39" t="s">
        <v>27</v>
      </c>
      <c r="B27" s="2" t="s">
        <v>28</v>
      </c>
      <c r="C27" s="2" t="s">
        <v>29</v>
      </c>
    </row>
    <row r="28" customFormat="false" ht="12.8" hidden="false" customHeight="false" outlineLevel="1" collapsed="false">
      <c r="A28" s="39" t="s">
        <v>30</v>
      </c>
      <c r="B28" s="2" t="s">
        <v>13</v>
      </c>
      <c r="C28" s="2" t="s">
        <v>14</v>
      </c>
    </row>
    <row r="29" customFormat="false" ht="12.8" hidden="false" customHeight="false" outlineLevel="1" collapsed="false">
      <c r="A29" s="39" t="s">
        <v>31</v>
      </c>
      <c r="B29" s="2" t="s">
        <v>32</v>
      </c>
      <c r="C29" s="2" t="s">
        <v>33</v>
      </c>
    </row>
    <row r="30" customFormat="false" ht="12.8" hidden="false" customHeight="false" outlineLevel="1" collapsed="false">
      <c r="A30" s="39" t="s">
        <v>34</v>
      </c>
      <c r="B30" s="2" t="s">
        <v>35</v>
      </c>
      <c r="C30" s="2" t="s">
        <v>36</v>
      </c>
    </row>
    <row r="31" customFormat="false" ht="12.8" hidden="false" customHeight="false" outlineLevel="1" collapsed="false">
      <c r="A31" s="39" t="s">
        <v>37</v>
      </c>
      <c r="B31" s="2" t="s">
        <v>38</v>
      </c>
      <c r="C31" s="2" t="s">
        <v>39</v>
      </c>
    </row>
    <row r="32" customFormat="false" ht="12.8" hidden="false" customHeight="false" outlineLevel="1" collapsed="false">
      <c r="A32" s="39" t="s">
        <v>40</v>
      </c>
      <c r="B32" s="2" t="s">
        <v>41</v>
      </c>
      <c r="C32" s="2" t="s">
        <v>42</v>
      </c>
    </row>
    <row r="33" customFormat="false" ht="12.8" hidden="false" customHeight="false" outlineLevel="1" collapsed="false">
      <c r="A33" s="39" t="s">
        <v>43</v>
      </c>
      <c r="B33" s="2" t="s">
        <v>44</v>
      </c>
      <c r="C33" s="2" t="s">
        <v>45</v>
      </c>
    </row>
    <row r="34" customFormat="false" ht="12.8" hidden="false" customHeight="false" outlineLevel="1" collapsed="false">
      <c r="A34" s="39" t="s">
        <v>46</v>
      </c>
      <c r="B34" s="2" t="s">
        <v>47</v>
      </c>
      <c r="C34" s="2" t="s">
        <v>48</v>
      </c>
    </row>
    <row r="35" customFormat="false" ht="12.8" hidden="false" customHeight="false" outlineLevel="1" collapsed="false">
      <c r="A35" s="39" t="s">
        <v>49</v>
      </c>
      <c r="B35" s="2" t="s">
        <v>50</v>
      </c>
      <c r="C35" s="2" t="s">
        <v>51</v>
      </c>
    </row>
    <row r="36" customFormat="false" ht="12.8" hidden="false" customHeight="false" outlineLevel="1" collapsed="false">
      <c r="A36" s="39" t="s">
        <v>52</v>
      </c>
      <c r="B36" s="2" t="s">
        <v>53</v>
      </c>
      <c r="C36" s="2" t="s">
        <v>54</v>
      </c>
    </row>
    <row r="37" customFormat="false" ht="12.8" hidden="false" customHeight="false" outlineLevel="1" collapsed="false">
      <c r="A37" s="39" t="s">
        <v>55</v>
      </c>
      <c r="B37" s="2" t="s">
        <v>56</v>
      </c>
      <c r="C37" s="2" t="s">
        <v>57</v>
      </c>
    </row>
    <row r="38" customFormat="false" ht="12.8" hidden="false" customHeight="false" outlineLevel="1" collapsed="false">
      <c r="A38" s="39" t="s">
        <v>58</v>
      </c>
      <c r="B38" s="2" t="s">
        <v>59</v>
      </c>
      <c r="C38" s="2" t="s">
        <v>60</v>
      </c>
    </row>
    <row r="39" customFormat="false" ht="12.8" hidden="false" customHeight="false" outlineLevel="1" collapsed="false">
      <c r="A39" s="39" t="s">
        <v>61</v>
      </c>
      <c r="B39" s="2" t="s">
        <v>62</v>
      </c>
      <c r="C39" s="2" t="s">
        <v>63</v>
      </c>
    </row>
    <row r="40" customFormat="false" ht="12.8" hidden="false" customHeight="false" outlineLevel="1" collapsed="false">
      <c r="A40" s="39" t="s">
        <v>64</v>
      </c>
      <c r="B40" s="2" t="s">
        <v>65</v>
      </c>
      <c r="C40" s="2" t="s">
        <v>66</v>
      </c>
    </row>
    <row r="41" customFormat="false" ht="12.8" hidden="false" customHeight="false" outlineLevel="1" collapsed="false">
      <c r="A41" s="39" t="s">
        <v>67</v>
      </c>
      <c r="B41" s="40" t="s">
        <v>68</v>
      </c>
      <c r="C41" s="2" t="s">
        <v>69</v>
      </c>
    </row>
    <row r="42" customFormat="false" ht="12.8" hidden="false" customHeight="false" outlineLevel="1" collapsed="false">
      <c r="A42" s="39" t="s">
        <v>70</v>
      </c>
      <c r="B42" s="40" t="s">
        <v>71</v>
      </c>
      <c r="C42" s="2" t="s">
        <v>72</v>
      </c>
    </row>
    <row r="43" customFormat="false" ht="12.8" hidden="false" customHeight="false" outlineLevel="1" collapsed="false">
      <c r="A43" s="39" t="s">
        <v>73</v>
      </c>
      <c r="B43" s="40" t="s">
        <v>74</v>
      </c>
      <c r="C43" s="2" t="s">
        <v>75</v>
      </c>
    </row>
    <row r="44" customFormat="false" ht="12.8" hidden="false" customHeight="false" outlineLevel="1" collapsed="false">
      <c r="A44" s="39" t="s">
        <v>76</v>
      </c>
      <c r="B44" s="40" t="s">
        <v>77</v>
      </c>
      <c r="C44" s="2" t="s">
        <v>78</v>
      </c>
    </row>
    <row r="45" customFormat="false" ht="12.8" hidden="false" customHeight="false" outlineLevel="1" collapsed="false">
      <c r="A45" s="39" t="s">
        <v>79</v>
      </c>
      <c r="B45" s="40" t="s">
        <v>80</v>
      </c>
      <c r="C45" s="2" t="s">
        <v>81</v>
      </c>
    </row>
    <row r="46" customFormat="false" ht="12.8" hidden="false" customHeight="false" outlineLevel="1" collapsed="false">
      <c r="A46" s="39" t="s">
        <v>82</v>
      </c>
      <c r="B46" s="40" t="s">
        <v>83</v>
      </c>
      <c r="C46" s="2" t="s">
        <v>84</v>
      </c>
    </row>
    <row r="47" customFormat="false" ht="12.8" hidden="false" customHeight="false" outlineLevel="1" collapsed="false">
      <c r="A47" s="39" t="s">
        <v>85</v>
      </c>
      <c r="B47" s="40" t="s">
        <v>86</v>
      </c>
      <c r="C47" s="2" t="s">
        <v>87</v>
      </c>
    </row>
    <row r="48" customFormat="false" ht="12.8" hidden="false" customHeight="false" outlineLevel="1" collapsed="false">
      <c r="A48" s="39" t="s">
        <v>88</v>
      </c>
      <c r="B48" s="40" t="s">
        <v>89</v>
      </c>
      <c r="C48" s="2" t="s">
        <v>90</v>
      </c>
    </row>
    <row r="49" customFormat="false" ht="12.8" hidden="false" customHeight="false" outlineLevel="1" collapsed="false">
      <c r="A49" s="39" t="s">
        <v>91</v>
      </c>
      <c r="B49" s="40" t="s">
        <v>92</v>
      </c>
      <c r="C49" s="2" t="s">
        <v>93</v>
      </c>
    </row>
    <row r="50" customFormat="false" ht="12.8" hidden="false" customHeight="false" outlineLevel="1" collapsed="false">
      <c r="A50" s="39" t="s">
        <v>94</v>
      </c>
      <c r="B50" s="40" t="s">
        <v>95</v>
      </c>
      <c r="C50" s="2" t="s">
        <v>96</v>
      </c>
    </row>
    <row r="51" customFormat="false" ht="12.8" hidden="false" customHeight="false" outlineLevel="1" collapsed="false">
      <c r="A51" s="39" t="s">
        <v>97</v>
      </c>
      <c r="B51" s="40" t="s">
        <v>98</v>
      </c>
      <c r="C51" s="2" t="s">
        <v>99</v>
      </c>
    </row>
    <row r="52" customFormat="false" ht="12.8" hidden="false" customHeight="false" outlineLevel="1" collapsed="false">
      <c r="A52" s="39" t="s">
        <v>100</v>
      </c>
      <c r="B52" s="2" t="s">
        <v>101</v>
      </c>
      <c r="C52" s="2" t="s">
        <v>102</v>
      </c>
    </row>
    <row r="53" customFormat="false" ht="12.8" hidden="false" customHeight="false" outlineLevel="1" collapsed="false">
      <c r="A53" s="39" t="s">
        <v>103</v>
      </c>
      <c r="B53" s="2" t="s">
        <v>104</v>
      </c>
      <c r="C53" s="2" t="s">
        <v>105</v>
      </c>
    </row>
    <row r="54" customFormat="false" ht="12.8" hidden="false" customHeight="false" outlineLevel="1" collapsed="false">
      <c r="A54" s="39" t="s">
        <v>106</v>
      </c>
      <c r="B54" s="2" t="s">
        <v>107</v>
      </c>
      <c r="C54" s="2" t="s">
        <v>108</v>
      </c>
    </row>
    <row r="55" customFormat="false" ht="12.8" hidden="false" customHeight="false" outlineLevel="1" collapsed="false">
      <c r="A55" s="39" t="s">
        <v>109</v>
      </c>
      <c r="B55" s="2" t="s">
        <v>110</v>
      </c>
      <c r="C55" s="2" t="s">
        <v>111</v>
      </c>
    </row>
    <row r="56" customFormat="false" ht="12.8" hidden="false" customHeight="false" outlineLevel="1" collapsed="false">
      <c r="A56" s="39" t="s">
        <v>112</v>
      </c>
      <c r="B56" s="2" t="s">
        <v>113</v>
      </c>
      <c r="C56" s="2" t="s">
        <v>114</v>
      </c>
    </row>
    <row r="59" s="3" customFormat="true" ht="12.8" hidden="false" customHeight="false" outlineLevel="0" collapsed="false"/>
    <row r="60" s="3" customFormat="true" ht="12.8" hidden="false" customHeight="false" outlineLevel="0" collapsed="false"/>
    <row r="61" s="3" customFormat="true" ht="12.8" hidden="false" customHeight="false" outlineLevel="0" collapsed="false"/>
    <row r="62" s="3" customFormat="true" ht="12.8" hidden="false" customHeight="false" outlineLevel="0" collapsed="false"/>
    <row r="63" s="3" customFormat="true" ht="12.8" hidden="false" customHeight="false" outlineLevel="0" collapsed="false"/>
    <row r="64" s="3" customFormat="true" ht="12.8" hidden="false" customHeight="false" outlineLevel="0" collapsed="false"/>
    <row r="65" s="3" customFormat="true" ht="12.8" hidden="false" customHeight="false" outlineLevel="0" collapsed="false"/>
    <row r="66" s="3" customFormat="true" ht="12.8" hidden="false" customHeight="false" outlineLevel="0" collapsed="false"/>
    <row r="67" s="3" customFormat="true" ht="12.8" hidden="false" customHeight="false" outlineLevel="0" collapsed="false"/>
    <row r="68" s="3" customFormat="true" ht="12.8" hidden="false" customHeight="false" outlineLevel="0" collapsed="false"/>
    <row r="69" s="3" customFormat="true" ht="12.8" hidden="false" customHeight="false" outlineLevel="0" collapsed="false"/>
    <row r="70" s="3" customFormat="true" ht="12.8" hidden="false" customHeight="false" outlineLevel="0" collapsed="false"/>
    <row r="71" s="3" customFormat="true" ht="12.8" hidden="false" customHeight="false" outlineLevel="0" collapsed="false"/>
    <row r="72" s="3" customFormat="true" ht="12.8" hidden="false" customHeight="false" outlineLevel="0" collapsed="false"/>
    <row r="73" s="3" customFormat="true" ht="12.8" hidden="false" customHeight="false" outlineLevel="0" collapsed="false"/>
    <row r="74" s="3" customFormat="true" ht="12.8" hidden="false" customHeight="false" outlineLevel="0" collapsed="false"/>
    <row r="75" s="3" customFormat="true" ht="12.8" hidden="false" customHeight="false" outlineLevel="0" collapsed="false"/>
    <row r="76" s="3" customFormat="tru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1C1C"/>
    <pageSetUpPr fitToPage="false"/>
  </sheetPr>
  <dimension ref="A1:DK2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2" ySplit="2" topLeftCell="D3" activePane="bottomRight" state="frozen"/>
      <selection pane="topLeft" activeCell="A1" activeCellId="0" sqref="A1"/>
      <selection pane="topRight" activeCell="D1" activeCellId="0" sqref="D1"/>
      <selection pane="bottomLeft" activeCell="A3" activeCellId="0" sqref="A3"/>
      <selection pane="bottomRight" activeCell="D3" activeCellId="0" sqref="D3"/>
    </sheetView>
  </sheetViews>
  <sheetFormatPr defaultColWidth="11.53515625" defaultRowHeight="12.8" customHeight="false" zeroHeight="false" outlineLevelRow="0" outlineLevelCol="0"/>
  <cols>
    <col collapsed="false" customWidth="true" hidden="false" outlineLevel="0" max="1" min="1" style="3" width="9.21"/>
    <col collapsed="false" customWidth="true" hidden="false" outlineLevel="0" max="2" min="2" style="3" width="48.43"/>
    <col collapsed="false" customWidth="true" hidden="false" outlineLevel="0" max="3" min="3" style="3" width="87.64"/>
    <col collapsed="false" customWidth="true" hidden="false" outlineLevel="0" max="4" min="4" style="3" width="53.06"/>
    <col collapsed="false" customWidth="false" hidden="false" outlineLevel="0" max="16384" min="5" style="3" width="11.53"/>
  </cols>
  <sheetData>
    <row r="1" customFormat="false" ht="12.8" hidden="false" customHeight="false" outlineLevel="0" collapsed="false">
      <c r="A1" s="41" t="s">
        <v>115</v>
      </c>
      <c r="B1" s="42" t="s">
        <v>116</v>
      </c>
      <c r="C1" s="43" t="s">
        <v>2</v>
      </c>
    </row>
    <row r="2" customFormat="false" ht="12.8" hidden="false" customHeight="false" outlineLevel="0" collapsed="false">
      <c r="A2" s="4" t="s">
        <v>28</v>
      </c>
      <c r="B2" s="7" t="s">
        <v>117</v>
      </c>
      <c r="C2" s="7" t="s">
        <v>118</v>
      </c>
      <c r="D2" s="7" t="s">
        <v>119</v>
      </c>
      <c r="E2" s="7" t="s">
        <v>120</v>
      </c>
      <c r="F2" s="7" t="s">
        <v>121</v>
      </c>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c r="DC2" s="2"/>
      <c r="DD2" s="2"/>
      <c r="DE2" s="2"/>
      <c r="DF2" s="2"/>
      <c r="DG2" s="2"/>
      <c r="DH2" s="2"/>
      <c r="DI2" s="2"/>
      <c r="DJ2" s="2"/>
      <c r="DK2" s="2"/>
    </row>
    <row r="3" customFormat="false" ht="12.8" hidden="false" customHeight="false" outlineLevel="0" collapsed="false">
      <c r="A3" s="4" t="n">
        <v>22</v>
      </c>
      <c r="B3" s="7" t="s">
        <v>122</v>
      </c>
      <c r="C3" s="7" t="s">
        <v>123</v>
      </c>
      <c r="D3" s="7" t="s">
        <v>124</v>
      </c>
      <c r="E3" s="7"/>
      <c r="F3" s="7"/>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c r="BI3" s="2"/>
      <c r="BJ3" s="2"/>
      <c r="BK3" s="2"/>
      <c r="BL3" s="2"/>
      <c r="BM3" s="2"/>
      <c r="BN3" s="2"/>
      <c r="BO3" s="2"/>
      <c r="BP3" s="2"/>
      <c r="BQ3" s="2"/>
      <c r="BR3" s="2"/>
      <c r="BS3" s="2"/>
      <c r="BT3" s="2"/>
      <c r="BU3" s="2"/>
      <c r="BV3" s="2"/>
      <c r="BW3" s="2"/>
      <c r="BX3" s="2"/>
      <c r="BY3" s="2"/>
      <c r="BZ3" s="2"/>
      <c r="CA3" s="2"/>
      <c r="CB3" s="2"/>
      <c r="CC3" s="2"/>
      <c r="CD3" s="2"/>
      <c r="CE3" s="2"/>
      <c r="CF3" s="2"/>
      <c r="CG3" s="2"/>
      <c r="CH3" s="2"/>
      <c r="CI3" s="2"/>
      <c r="CJ3" s="2"/>
      <c r="CK3" s="2"/>
      <c r="CL3" s="2"/>
      <c r="CM3" s="2"/>
      <c r="CN3" s="2"/>
      <c r="CO3" s="2"/>
      <c r="CP3" s="2"/>
      <c r="CQ3" s="2"/>
      <c r="CR3" s="2"/>
      <c r="CS3" s="2"/>
      <c r="CT3" s="2"/>
      <c r="CU3" s="2"/>
      <c r="CV3" s="2"/>
      <c r="CW3" s="2"/>
      <c r="CX3" s="2"/>
      <c r="CY3" s="2"/>
      <c r="CZ3" s="2"/>
      <c r="DA3" s="2"/>
      <c r="DB3" s="2"/>
      <c r="DC3" s="2"/>
      <c r="DD3" s="2"/>
      <c r="DE3" s="2"/>
      <c r="DF3" s="2"/>
      <c r="DG3" s="2"/>
      <c r="DH3" s="2"/>
      <c r="DI3" s="2"/>
      <c r="DJ3" s="2"/>
      <c r="DK3" s="2"/>
    </row>
    <row r="4" customFormat="false" ht="270.1" hidden="false" customHeight="false" outlineLevel="0" collapsed="false">
      <c r="A4" s="4" t="n">
        <v>22</v>
      </c>
      <c r="B4" s="7" t="s">
        <v>122</v>
      </c>
      <c r="C4" s="44" t="s">
        <v>125</v>
      </c>
      <c r="D4" s="7" t="s">
        <v>126</v>
      </c>
      <c r="E4" s="39" t="s">
        <v>127</v>
      </c>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c r="BI4" s="2"/>
      <c r="BJ4" s="2"/>
      <c r="BK4" s="2"/>
      <c r="BL4" s="2"/>
      <c r="BM4" s="2"/>
      <c r="BN4" s="2"/>
      <c r="BO4" s="2"/>
      <c r="BP4" s="2"/>
      <c r="BQ4" s="2"/>
      <c r="BR4" s="2"/>
      <c r="BS4" s="2"/>
      <c r="BT4" s="2"/>
      <c r="BU4" s="2"/>
      <c r="BV4" s="2"/>
      <c r="BW4" s="2"/>
      <c r="BX4" s="2"/>
      <c r="BY4" s="2"/>
      <c r="BZ4" s="2"/>
      <c r="CA4" s="2"/>
      <c r="CB4" s="2"/>
      <c r="CC4" s="2"/>
      <c r="CD4" s="2"/>
      <c r="CE4" s="2"/>
      <c r="CF4" s="2"/>
      <c r="CG4" s="2"/>
      <c r="CH4" s="2"/>
      <c r="CI4" s="2"/>
      <c r="CJ4" s="2"/>
      <c r="CK4" s="2"/>
      <c r="CL4" s="2"/>
      <c r="CM4" s="2"/>
      <c r="CN4" s="2"/>
      <c r="CO4" s="2"/>
      <c r="CP4" s="2"/>
      <c r="CQ4" s="2"/>
      <c r="CR4" s="2"/>
      <c r="CS4" s="2"/>
      <c r="CT4" s="2"/>
      <c r="CU4" s="2"/>
      <c r="CV4" s="2"/>
      <c r="CW4" s="2"/>
      <c r="CX4" s="2"/>
      <c r="CY4" s="2"/>
      <c r="CZ4" s="2"/>
      <c r="DA4" s="2"/>
      <c r="DB4" s="2"/>
      <c r="DC4" s="2"/>
      <c r="DD4" s="2"/>
      <c r="DE4" s="2"/>
      <c r="DF4" s="2"/>
      <c r="DG4" s="2"/>
      <c r="DH4" s="2"/>
      <c r="DI4" s="2"/>
      <c r="DJ4" s="2"/>
      <c r="DK4" s="2"/>
    </row>
    <row r="5" customFormat="false" ht="270.1" hidden="false" customHeight="false" outlineLevel="0" collapsed="false">
      <c r="A5" s="4" t="n">
        <v>21</v>
      </c>
      <c r="B5" s="7" t="s">
        <v>122</v>
      </c>
      <c r="C5" s="44" t="s">
        <v>128</v>
      </c>
      <c r="D5" s="7" t="s">
        <v>129</v>
      </c>
      <c r="E5" s="7" t="s">
        <v>127</v>
      </c>
      <c r="G5" s="2"/>
      <c r="H5" s="2"/>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c r="BI5" s="2"/>
      <c r="BJ5" s="2"/>
      <c r="BK5" s="2"/>
      <c r="BL5" s="2"/>
      <c r="BM5" s="2"/>
      <c r="BN5" s="2"/>
      <c r="BO5" s="2"/>
      <c r="BP5" s="2"/>
      <c r="BQ5" s="2"/>
      <c r="BR5" s="2"/>
      <c r="BS5" s="2"/>
      <c r="BT5" s="2"/>
      <c r="BU5" s="2"/>
      <c r="BV5" s="2"/>
      <c r="BW5" s="2"/>
      <c r="BX5" s="2"/>
      <c r="BY5" s="2"/>
      <c r="BZ5" s="2"/>
      <c r="CA5" s="2"/>
      <c r="CB5" s="2"/>
      <c r="CC5" s="2"/>
      <c r="CD5" s="2"/>
      <c r="CE5" s="2"/>
      <c r="CF5" s="2"/>
      <c r="CG5" s="2"/>
      <c r="CH5" s="2"/>
      <c r="CI5" s="2"/>
      <c r="CJ5" s="2"/>
      <c r="CK5" s="2"/>
      <c r="CL5" s="2"/>
      <c r="CM5" s="2"/>
      <c r="CN5" s="2"/>
      <c r="CO5" s="2"/>
      <c r="CP5" s="2"/>
      <c r="CQ5" s="2"/>
      <c r="CR5" s="2"/>
      <c r="CS5" s="2"/>
      <c r="CT5" s="2"/>
      <c r="CU5" s="2"/>
      <c r="CV5" s="2"/>
      <c r="CW5" s="2"/>
      <c r="CX5" s="2"/>
      <c r="CY5" s="2"/>
      <c r="CZ5" s="2"/>
      <c r="DA5" s="2"/>
      <c r="DB5" s="2"/>
      <c r="DC5" s="2"/>
      <c r="DD5" s="2"/>
      <c r="DE5" s="2"/>
      <c r="DF5" s="2"/>
      <c r="DG5" s="2"/>
      <c r="DH5" s="2"/>
      <c r="DI5" s="2"/>
      <c r="DJ5" s="2"/>
      <c r="DK5" s="2"/>
    </row>
    <row r="6" customFormat="false" ht="12.8" hidden="false" customHeight="false" outlineLevel="0" collapsed="false">
      <c r="A6" s="4" t="n">
        <v>20</v>
      </c>
      <c r="B6" s="7" t="s">
        <v>122</v>
      </c>
      <c r="C6" s="7" t="s">
        <v>130</v>
      </c>
      <c r="D6" s="7" t="s">
        <v>131</v>
      </c>
      <c r="E6" s="7" t="s">
        <v>132</v>
      </c>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row>
    <row r="7" customFormat="false" ht="12.8" hidden="false" customHeight="false" outlineLevel="0" collapsed="false">
      <c r="A7" s="4" t="n">
        <v>19</v>
      </c>
      <c r="B7" s="7" t="s">
        <v>122</v>
      </c>
      <c r="C7" s="7" t="s">
        <v>133</v>
      </c>
      <c r="D7" s="7" t="s">
        <v>134</v>
      </c>
      <c r="E7" s="7" t="s">
        <v>135</v>
      </c>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row>
    <row r="8" customFormat="false" ht="12.8" hidden="false" customHeight="false" outlineLevel="0" collapsed="false">
      <c r="A8" s="4" t="s">
        <v>64</v>
      </c>
      <c r="B8" s="7" t="s">
        <v>136</v>
      </c>
      <c r="C8" s="7" t="s">
        <v>137</v>
      </c>
      <c r="D8" s="7" t="s">
        <v>138</v>
      </c>
      <c r="E8" s="7" t="s">
        <v>127</v>
      </c>
      <c r="G8" s="2"/>
      <c r="H8" s="2"/>
      <c r="I8" s="2"/>
      <c r="J8" s="2"/>
      <c r="K8" s="2"/>
      <c r="L8" s="2"/>
      <c r="M8" s="2"/>
      <c r="N8" s="2"/>
      <c r="O8" s="2"/>
      <c r="P8" s="2"/>
      <c r="Q8" s="2"/>
      <c r="R8" s="2"/>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row>
    <row r="9" customFormat="false" ht="113.4" hidden="false" customHeight="false" outlineLevel="0" collapsed="false">
      <c r="A9" s="4" t="n">
        <v>17</v>
      </c>
      <c r="B9" s="7" t="s">
        <v>7</v>
      </c>
      <c r="C9" s="44" t="s">
        <v>139</v>
      </c>
      <c r="D9" s="7" t="s">
        <v>140</v>
      </c>
      <c r="E9" s="39" t="s">
        <v>132</v>
      </c>
      <c r="F9" s="7"/>
      <c r="G9" s="2"/>
      <c r="H9" s="2"/>
      <c r="I9" s="2"/>
      <c r="J9" s="2"/>
      <c r="K9" s="2"/>
      <c r="L9" s="2"/>
      <c r="M9" s="2"/>
      <c r="N9" s="2"/>
      <c r="O9" s="2"/>
      <c r="P9" s="2"/>
      <c r="Q9" s="2"/>
      <c r="R9" s="2"/>
      <c r="S9" s="2"/>
      <c r="T9" s="2"/>
      <c r="U9" s="2"/>
      <c r="V9" s="2"/>
      <c r="W9" s="2"/>
      <c r="X9" s="2"/>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row>
    <row r="10" customFormat="false" ht="180.55" hidden="false" customHeight="false" outlineLevel="0" collapsed="false">
      <c r="A10" s="4" t="n">
        <v>16</v>
      </c>
      <c r="B10" s="7" t="s">
        <v>141</v>
      </c>
      <c r="C10" s="44" t="s">
        <v>142</v>
      </c>
      <c r="D10" s="7" t="s">
        <v>143</v>
      </c>
      <c r="E10" s="39" t="s">
        <v>127</v>
      </c>
      <c r="F10" s="7"/>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c r="BJ10" s="2"/>
      <c r="BK10" s="2"/>
      <c r="BL10" s="2"/>
      <c r="BM10" s="2"/>
      <c r="BN10" s="2"/>
      <c r="BO10" s="2"/>
      <c r="BP10" s="2"/>
      <c r="BQ10" s="2"/>
      <c r="BR10" s="2"/>
      <c r="BS10" s="2"/>
      <c r="BT10" s="2"/>
      <c r="BU10" s="2"/>
      <c r="BV10" s="2"/>
      <c r="BW10" s="2"/>
      <c r="BX10" s="2"/>
      <c r="BY10" s="2"/>
      <c r="BZ10" s="2"/>
      <c r="CA10" s="2"/>
      <c r="CB10" s="2"/>
      <c r="CC10" s="2"/>
      <c r="CD10" s="2"/>
      <c r="CE10" s="2"/>
      <c r="CF10" s="2"/>
      <c r="CG10" s="2"/>
      <c r="CH10" s="2"/>
      <c r="CI10" s="2"/>
      <c r="CJ10" s="2"/>
      <c r="CK10" s="2"/>
      <c r="CL10" s="2"/>
      <c r="CM10" s="2"/>
      <c r="CN10" s="2"/>
      <c r="CO10" s="2"/>
      <c r="CP10" s="2"/>
      <c r="CQ10" s="2"/>
      <c r="CR10" s="2"/>
      <c r="CS10" s="2"/>
      <c r="CT10" s="2"/>
      <c r="CU10" s="2"/>
      <c r="CV10" s="2"/>
      <c r="CW10" s="2"/>
      <c r="CX10" s="2"/>
      <c r="CY10" s="2"/>
      <c r="CZ10" s="2"/>
      <c r="DA10" s="2"/>
      <c r="DB10" s="2"/>
      <c r="DC10" s="2"/>
      <c r="DD10" s="2"/>
      <c r="DE10" s="2"/>
      <c r="DF10" s="2"/>
      <c r="DG10" s="2"/>
      <c r="DH10" s="2"/>
      <c r="DI10" s="2"/>
      <c r="DJ10" s="2"/>
      <c r="DK10" s="2"/>
    </row>
    <row r="11" customFormat="false" ht="158.2" hidden="false" customHeight="false" outlineLevel="0" collapsed="false">
      <c r="A11" s="4" t="n">
        <v>15</v>
      </c>
      <c r="B11" s="2" t="s">
        <v>144</v>
      </c>
      <c r="C11" s="44" t="s">
        <v>145</v>
      </c>
      <c r="D11" s="7" t="s">
        <v>146</v>
      </c>
      <c r="E11" s="7" t="s">
        <v>132</v>
      </c>
      <c r="F11" s="7"/>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c r="DC11" s="2"/>
      <c r="DD11" s="2"/>
      <c r="DE11" s="2"/>
      <c r="DF11" s="2"/>
      <c r="DG11" s="2"/>
      <c r="DH11" s="2"/>
      <c r="DI11" s="2"/>
      <c r="DJ11" s="2"/>
      <c r="DK11" s="2"/>
    </row>
    <row r="12" customFormat="false" ht="12.8" hidden="false" customHeight="false" outlineLevel="0" collapsed="false">
      <c r="A12" s="4" t="n">
        <v>14</v>
      </c>
      <c r="B12" s="2" t="s">
        <v>144</v>
      </c>
      <c r="C12" s="7" t="s">
        <v>147</v>
      </c>
      <c r="D12" s="7" t="s">
        <v>148</v>
      </c>
      <c r="E12" s="7" t="s">
        <v>127</v>
      </c>
      <c r="F12" s="7"/>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c r="CI12" s="2"/>
      <c r="CJ12" s="2"/>
      <c r="CK12" s="2"/>
      <c r="CL12" s="2"/>
      <c r="CM12" s="2"/>
      <c r="CN12" s="2"/>
      <c r="CO12" s="2"/>
      <c r="CP12" s="2"/>
      <c r="CQ12" s="2"/>
      <c r="CR12" s="2"/>
      <c r="CS12" s="2"/>
      <c r="CT12" s="2"/>
      <c r="CU12" s="2"/>
      <c r="CV12" s="2"/>
      <c r="CW12" s="2"/>
      <c r="CX12" s="2"/>
      <c r="CY12" s="2"/>
      <c r="CZ12" s="2"/>
      <c r="DA12" s="2"/>
      <c r="DB12" s="2"/>
      <c r="DC12" s="2"/>
      <c r="DD12" s="2"/>
      <c r="DE12" s="2"/>
      <c r="DF12" s="2"/>
      <c r="DG12" s="2"/>
      <c r="DH12" s="2"/>
      <c r="DI12" s="2"/>
      <c r="DJ12" s="2"/>
      <c r="DK12" s="2"/>
    </row>
    <row r="13" customFormat="false" ht="12.8" hidden="false" customHeight="false" outlineLevel="0" collapsed="false">
      <c r="A13" s="4" t="n">
        <v>13</v>
      </c>
      <c r="B13" s="2" t="s">
        <v>144</v>
      </c>
      <c r="C13" s="7" t="s">
        <v>147</v>
      </c>
      <c r="D13" s="7" t="s">
        <v>149</v>
      </c>
      <c r="E13" s="7" t="s">
        <v>127</v>
      </c>
      <c r="F13" s="7"/>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row>
    <row r="14" customFormat="false" ht="158.2" hidden="false" customHeight="false" outlineLevel="0" collapsed="false">
      <c r="A14" s="4" t="n">
        <v>12</v>
      </c>
      <c r="B14" s="2" t="s">
        <v>144</v>
      </c>
      <c r="C14" s="45" t="s">
        <v>150</v>
      </c>
      <c r="D14" s="7" t="s">
        <v>151</v>
      </c>
      <c r="E14" s="46" t="s">
        <v>132</v>
      </c>
      <c r="F14" s="7"/>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row>
    <row r="15" customFormat="false" ht="1020.1" hidden="false" customHeight="false" outlineLevel="0" collapsed="false">
      <c r="A15" s="1" t="n">
        <v>11</v>
      </c>
      <c r="B15" s="2" t="s">
        <v>144</v>
      </c>
      <c r="C15" s="45" t="s">
        <v>150</v>
      </c>
      <c r="D15" s="2" t="s">
        <v>152</v>
      </c>
      <c r="E15" s="2" t="s">
        <v>135</v>
      </c>
      <c r="F15" s="45" t="s">
        <v>153</v>
      </c>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row>
    <row r="16" customFormat="false" ht="12.8" hidden="false" customHeight="false" outlineLevel="0" collapsed="false">
      <c r="A16" s="1" t="s">
        <v>40</v>
      </c>
      <c r="B16" s="2" t="s">
        <v>154</v>
      </c>
      <c r="C16" s="2" t="s">
        <v>155</v>
      </c>
      <c r="D16" s="2" t="s">
        <v>156</v>
      </c>
      <c r="E16" s="2" t="s">
        <v>132</v>
      </c>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row>
    <row r="17" customFormat="false" ht="12.8" hidden="false" customHeight="false" outlineLevel="0" collapsed="false">
      <c r="A17" s="1" t="s">
        <v>37</v>
      </c>
      <c r="B17" s="2" t="s">
        <v>7</v>
      </c>
      <c r="C17" s="2" t="s">
        <v>157</v>
      </c>
      <c r="D17" s="2" t="s">
        <v>158</v>
      </c>
      <c r="E17" s="46" t="s">
        <v>135</v>
      </c>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row>
    <row r="18" customFormat="false" ht="169.4" hidden="false" customHeight="false" outlineLevel="0" collapsed="false">
      <c r="A18" s="1" t="n">
        <v>8</v>
      </c>
      <c r="B18" s="2" t="s">
        <v>7</v>
      </c>
      <c r="C18" s="45" t="s">
        <v>159</v>
      </c>
      <c r="D18" s="2"/>
      <c r="E18" s="46" t="s">
        <v>132</v>
      </c>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row>
    <row r="19" customFormat="false" ht="169.4" hidden="false" customHeight="false" outlineLevel="0" collapsed="false">
      <c r="A19" s="1" t="n">
        <v>7</v>
      </c>
      <c r="B19" s="2" t="s">
        <v>7</v>
      </c>
      <c r="C19" s="45" t="s">
        <v>159</v>
      </c>
      <c r="D19" s="2" t="s">
        <v>158</v>
      </c>
      <c r="E19" s="46" t="s">
        <v>135</v>
      </c>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row>
    <row r="20" customFormat="false" ht="135.8" hidden="false" customHeight="false" outlineLevel="0" collapsed="false">
      <c r="A20" s="1" t="n">
        <v>6</v>
      </c>
      <c r="B20" s="2" t="s">
        <v>160</v>
      </c>
      <c r="C20" s="45" t="s">
        <v>161</v>
      </c>
      <c r="D20" s="2" t="s">
        <v>162</v>
      </c>
      <c r="E20" s="2" t="s">
        <v>135</v>
      </c>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row>
    <row r="21" customFormat="false" ht="169.4" hidden="false" customHeight="false" outlineLevel="0" collapsed="false">
      <c r="A21" s="1" t="n">
        <v>5</v>
      </c>
      <c r="B21" s="2" t="s">
        <v>163</v>
      </c>
      <c r="C21" s="47" t="s">
        <v>164</v>
      </c>
      <c r="D21" s="2" t="s">
        <v>165</v>
      </c>
      <c r="E21" s="46" t="s">
        <v>132</v>
      </c>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row>
    <row r="22" customFormat="false" ht="12.8" hidden="false" customHeight="false" outlineLevel="0" collapsed="false">
      <c r="A22" s="1" t="s">
        <v>24</v>
      </c>
      <c r="B22" s="2" t="s">
        <v>166</v>
      </c>
      <c r="C22" s="2" t="s">
        <v>167</v>
      </c>
      <c r="D22" s="2" t="s">
        <v>168</v>
      </c>
      <c r="E22" s="2" t="s">
        <v>135</v>
      </c>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row>
    <row r="23" customFormat="false" ht="12.8" hidden="false" customHeight="false" outlineLevel="0" collapsed="false">
      <c r="A23" s="1" t="s">
        <v>21</v>
      </c>
      <c r="B23" s="2" t="s">
        <v>169</v>
      </c>
      <c r="C23" s="2" t="s">
        <v>167</v>
      </c>
      <c r="D23" s="2" t="s">
        <v>170</v>
      </c>
      <c r="E23" s="2" t="s">
        <v>127</v>
      </c>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row>
    <row r="24" customFormat="false" ht="102.2" hidden="false" customHeight="false" outlineLevel="0" collapsed="false">
      <c r="A24" s="1" t="s">
        <v>18</v>
      </c>
      <c r="B24" s="2" t="s">
        <v>171</v>
      </c>
      <c r="C24" s="45" t="s">
        <v>172</v>
      </c>
      <c r="D24" s="2" t="s">
        <v>173</v>
      </c>
      <c r="E24" s="2" t="s">
        <v>132</v>
      </c>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row>
    <row r="25" customFormat="false" ht="113.4" hidden="false" customHeight="false" outlineLevel="0" collapsed="false">
      <c r="A25" s="1" t="s">
        <v>15</v>
      </c>
      <c r="B25" s="2" t="s">
        <v>174</v>
      </c>
      <c r="C25" s="45" t="s">
        <v>175</v>
      </c>
      <c r="D25" s="2" t="s">
        <v>176</v>
      </c>
      <c r="E25" s="2" t="s">
        <v>135</v>
      </c>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row>
    <row r="26" customFormat="false" ht="113.4" hidden="false" customHeight="false" outlineLevel="0" collapsed="false">
      <c r="A26" s="1" t="s">
        <v>12</v>
      </c>
      <c r="B26" s="2" t="s">
        <v>177</v>
      </c>
      <c r="C26" s="45" t="s">
        <v>175</v>
      </c>
      <c r="D26" s="2" t="s">
        <v>178</v>
      </c>
      <c r="E26" s="2" t="s">
        <v>132</v>
      </c>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6"/>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3" ySplit="2" topLeftCell="D115" activePane="bottomRight" state="frozen"/>
      <selection pane="topLeft" activeCell="A1" activeCellId="0" sqref="A1"/>
      <selection pane="topRight" activeCell="D1" activeCellId="0" sqref="D1"/>
      <selection pane="bottomLeft" activeCell="A115" activeCellId="0" sqref="A115"/>
      <selection pane="bottomRight" activeCell="A160" activeCellId="0" sqref="A160"/>
    </sheetView>
  </sheetViews>
  <sheetFormatPr defaultColWidth="11.53515625" defaultRowHeight="12.8" customHeight="false" zeroHeight="false" outlineLevelRow="0" outlineLevelCol="0"/>
  <cols>
    <col collapsed="false" customWidth="true" hidden="false" outlineLevel="0" max="1" min="1" style="48" width="20.76"/>
    <col collapsed="false" customWidth="true" hidden="false" outlineLevel="0" max="2" min="2" style="3" width="18.45"/>
    <col collapsed="false" customWidth="true" hidden="false" outlineLevel="0" max="3" min="3" style="3" width="46.13"/>
    <col collapsed="false" customWidth="true" hidden="false" outlineLevel="0" max="4" min="4" style="3" width="20.76"/>
    <col collapsed="false" customWidth="false" hidden="false" outlineLevel="0" max="16384" min="5" style="3" width="11.53"/>
  </cols>
  <sheetData>
    <row r="1" customFormat="false" ht="12.8" hidden="false" customHeight="false" outlineLevel="0" collapsed="false">
      <c r="A1" s="11" t="s">
        <v>179</v>
      </c>
      <c r="B1" s="39" t="s">
        <v>180</v>
      </c>
      <c r="C1" s="39" t="s">
        <v>181</v>
      </c>
      <c r="D1" s="39"/>
      <c r="E1" s="39"/>
      <c r="F1" s="39"/>
    </row>
    <row r="2" customFormat="false" ht="12.8" hidden="false" customHeight="false" outlineLevel="0" collapsed="false">
      <c r="A2" s="49" t="s">
        <v>182</v>
      </c>
      <c r="B2" s="49" t="s">
        <v>183</v>
      </c>
      <c r="C2" s="49" t="s">
        <v>184</v>
      </c>
      <c r="D2" s="49" t="s">
        <v>185</v>
      </c>
      <c r="E2" s="49" t="s">
        <v>186</v>
      </c>
      <c r="F2" s="49" t="s">
        <v>187</v>
      </c>
    </row>
    <row r="3" customFormat="false" ht="12.8" hidden="false" customHeight="false" outlineLevel="0" collapsed="false">
      <c r="A3" s="11" t="s">
        <v>188</v>
      </c>
      <c r="B3" s="42" t="s">
        <v>189</v>
      </c>
    </row>
    <row r="4" customFormat="false" ht="12.8" hidden="false" customHeight="false" outlineLevel="0" collapsed="false">
      <c r="A4" s="48" t="s">
        <v>182</v>
      </c>
      <c r="B4" s="3" t="s">
        <v>183</v>
      </c>
      <c r="C4" s="3" t="s">
        <v>184</v>
      </c>
      <c r="D4" s="3" t="s">
        <v>185</v>
      </c>
      <c r="E4" s="3" t="s">
        <v>186</v>
      </c>
      <c r="F4" s="3" t="s">
        <v>187</v>
      </c>
    </row>
    <row r="5" customFormat="false" ht="12.8" hidden="false" customHeight="false" outlineLevel="0" collapsed="false">
      <c r="A5" s="48" t="s">
        <v>190</v>
      </c>
      <c r="B5" s="3" t="s">
        <v>191</v>
      </c>
      <c r="C5" s="3" t="s">
        <v>192</v>
      </c>
      <c r="D5" s="3" t="s">
        <v>193</v>
      </c>
      <c r="E5" s="3" t="s">
        <v>194</v>
      </c>
      <c r="F5" s="3" t="s">
        <v>195</v>
      </c>
    </row>
    <row r="6" customFormat="false" ht="12.8" hidden="false" customHeight="false" outlineLevel="0" collapsed="false">
      <c r="A6" s="48" t="s">
        <v>196</v>
      </c>
      <c r="B6" s="3" t="s">
        <v>191</v>
      </c>
      <c r="C6" s="3" t="s">
        <v>197</v>
      </c>
      <c r="D6" s="3" t="s">
        <v>198</v>
      </c>
      <c r="E6" s="3" t="s">
        <v>199</v>
      </c>
      <c r="F6" s="3" t="s">
        <v>200</v>
      </c>
    </row>
    <row r="7" customFormat="false" ht="12.8" hidden="false" customHeight="false" outlineLevel="0" collapsed="false">
      <c r="A7" s="48" t="s">
        <v>201</v>
      </c>
      <c r="B7" s="3" t="s">
        <v>191</v>
      </c>
      <c r="C7" s="3" t="s">
        <v>202</v>
      </c>
      <c r="D7" s="3" t="s">
        <v>203</v>
      </c>
      <c r="E7" s="3" t="s">
        <v>204</v>
      </c>
      <c r="F7" s="3" t="s">
        <v>205</v>
      </c>
    </row>
    <row r="8" customFormat="false" ht="12.8" hidden="false" customHeight="false" outlineLevel="0" collapsed="false">
      <c r="A8" s="48" t="s">
        <v>206</v>
      </c>
      <c r="B8" s="3" t="s">
        <v>191</v>
      </c>
      <c r="C8" s="3" t="s">
        <v>207</v>
      </c>
      <c r="D8" s="3" t="s">
        <v>208</v>
      </c>
      <c r="E8" s="3" t="s">
        <v>209</v>
      </c>
      <c r="F8" s="3" t="s">
        <v>210</v>
      </c>
    </row>
    <row r="9" customFormat="false" ht="12.8" hidden="false" customHeight="false" outlineLevel="0" collapsed="false">
      <c r="A9" s="48" t="s">
        <v>211</v>
      </c>
      <c r="B9" s="3" t="s">
        <v>191</v>
      </c>
      <c r="C9" s="3" t="s">
        <v>212</v>
      </c>
      <c r="D9" s="3" t="s">
        <v>213</v>
      </c>
      <c r="E9" s="3" t="s">
        <v>214</v>
      </c>
      <c r="F9" s="3" t="s">
        <v>215</v>
      </c>
    </row>
    <row r="10" customFormat="false" ht="12.8" hidden="false" customHeight="false" outlineLevel="0" collapsed="false">
      <c r="A10" s="48" t="s">
        <v>216</v>
      </c>
      <c r="B10" s="3" t="s">
        <v>191</v>
      </c>
      <c r="C10" s="3" t="s">
        <v>217</v>
      </c>
      <c r="D10" s="3" t="s">
        <v>218</v>
      </c>
      <c r="E10" s="3" t="s">
        <v>219</v>
      </c>
      <c r="F10" s="3" t="s">
        <v>220</v>
      </c>
    </row>
    <row r="11" customFormat="false" ht="12.8" hidden="false" customHeight="false" outlineLevel="0" collapsed="false">
      <c r="A11" s="48" t="s">
        <v>221</v>
      </c>
      <c r="B11" s="3" t="s">
        <v>191</v>
      </c>
      <c r="C11" s="3" t="s">
        <v>222</v>
      </c>
      <c r="D11" s="3" t="s">
        <v>223</v>
      </c>
      <c r="E11" s="3" t="s">
        <v>224</v>
      </c>
      <c r="F11" s="3" t="s">
        <v>225</v>
      </c>
    </row>
    <row r="12" customFormat="false" ht="12.8" hidden="false" customHeight="false" outlineLevel="0" collapsed="false">
      <c r="A12" s="48" t="s">
        <v>226</v>
      </c>
      <c r="B12" s="3" t="s">
        <v>191</v>
      </c>
      <c r="C12" s="3" t="s">
        <v>227</v>
      </c>
      <c r="D12" s="3" t="s">
        <v>228</v>
      </c>
      <c r="E12" s="3" t="s">
        <v>229</v>
      </c>
      <c r="F12" s="3" t="s">
        <v>230</v>
      </c>
    </row>
    <row r="13" customFormat="false" ht="12.8" hidden="false" customHeight="false" outlineLevel="0" collapsed="false">
      <c r="A13" s="48" t="s">
        <v>231</v>
      </c>
      <c r="B13" s="3" t="s">
        <v>191</v>
      </c>
      <c r="C13" s="3" t="s">
        <v>232</v>
      </c>
      <c r="D13" s="3" t="s">
        <v>233</v>
      </c>
      <c r="E13" s="3" t="s">
        <v>234</v>
      </c>
      <c r="F13" s="3" t="s">
        <v>235</v>
      </c>
    </row>
    <row r="14" customFormat="false" ht="12.8" hidden="false" customHeight="false" outlineLevel="0" collapsed="false">
      <c r="A14" s="48" t="s">
        <v>236</v>
      </c>
      <c r="B14" s="3" t="s">
        <v>191</v>
      </c>
      <c r="C14" s="3" t="s">
        <v>237</v>
      </c>
      <c r="D14" s="3" t="s">
        <v>238</v>
      </c>
      <c r="E14" s="3" t="s">
        <v>239</v>
      </c>
      <c r="F14" s="3" t="s">
        <v>240</v>
      </c>
    </row>
    <row r="15" customFormat="false" ht="12.8" hidden="false" customHeight="false" outlineLevel="0" collapsed="false">
      <c r="A15" s="48" t="s">
        <v>241</v>
      </c>
      <c r="B15" s="3" t="s">
        <v>191</v>
      </c>
      <c r="C15" s="3" t="s">
        <v>242</v>
      </c>
      <c r="D15" s="3" t="s">
        <v>243</v>
      </c>
      <c r="E15" s="3" t="s">
        <v>244</v>
      </c>
      <c r="F15" s="3" t="s">
        <v>245</v>
      </c>
    </row>
    <row r="17" customFormat="false" ht="12.8" hidden="false" customHeight="false" outlineLevel="0" collapsed="false">
      <c r="A17" s="11" t="s">
        <v>246</v>
      </c>
      <c r="B17" s="42" t="s">
        <v>247</v>
      </c>
    </row>
    <row r="18" customFormat="false" ht="12.8" hidden="false" customHeight="false" outlineLevel="0" collapsed="false">
      <c r="A18" s="48" t="s">
        <v>182</v>
      </c>
      <c r="B18" s="3" t="s">
        <v>183</v>
      </c>
      <c r="C18" s="3" t="s">
        <v>184</v>
      </c>
      <c r="D18" s="3" t="s">
        <v>185</v>
      </c>
      <c r="E18" s="3" t="s">
        <v>186</v>
      </c>
      <c r="F18" s="3" t="s">
        <v>187</v>
      </c>
    </row>
    <row r="19" customFormat="false" ht="12.8" hidden="false" customHeight="false" outlineLevel="0" collapsed="false">
      <c r="A19" s="48" t="s">
        <v>248</v>
      </c>
      <c r="B19" s="3" t="s">
        <v>249</v>
      </c>
      <c r="C19" s="3" t="s">
        <v>250</v>
      </c>
      <c r="D19" s="3" t="s">
        <v>251</v>
      </c>
      <c r="E19" s="3" t="s">
        <v>252</v>
      </c>
      <c r="F19" s="3" t="s">
        <v>253</v>
      </c>
    </row>
    <row r="20" customFormat="false" ht="12.8" hidden="false" customHeight="false" outlineLevel="0" collapsed="false">
      <c r="A20" s="48" t="s">
        <v>254</v>
      </c>
      <c r="B20" s="3" t="s">
        <v>249</v>
      </c>
      <c r="C20" s="3" t="s">
        <v>255</v>
      </c>
      <c r="D20" s="3" t="s">
        <v>256</v>
      </c>
      <c r="E20" s="3" t="s">
        <v>257</v>
      </c>
      <c r="F20" s="3" t="s">
        <v>258</v>
      </c>
    </row>
    <row r="21" customFormat="false" ht="12.8" hidden="false" customHeight="false" outlineLevel="0" collapsed="false">
      <c r="A21" s="48" t="s">
        <v>259</v>
      </c>
      <c r="B21" s="3" t="s">
        <v>249</v>
      </c>
      <c r="C21" s="3" t="s">
        <v>260</v>
      </c>
      <c r="D21" s="3" t="s">
        <v>261</v>
      </c>
      <c r="E21" s="3" t="s">
        <v>262</v>
      </c>
      <c r="F21" s="3" t="s">
        <v>263</v>
      </c>
    </row>
    <row r="22" customFormat="false" ht="12.8" hidden="false" customHeight="false" outlineLevel="0" collapsed="false">
      <c r="A22" s="48" t="s">
        <v>264</v>
      </c>
      <c r="B22" s="3" t="s">
        <v>249</v>
      </c>
      <c r="C22" s="3" t="s">
        <v>265</v>
      </c>
      <c r="D22" s="3" t="s">
        <v>266</v>
      </c>
      <c r="E22" s="3" t="s">
        <v>267</v>
      </c>
      <c r="F22" s="3" t="s">
        <v>258</v>
      </c>
    </row>
    <row r="24" customFormat="false" ht="12.8" hidden="false" customHeight="false" outlineLevel="0" collapsed="false">
      <c r="A24" s="48" t="s">
        <v>268</v>
      </c>
      <c r="B24" s="39" t="s">
        <v>269</v>
      </c>
    </row>
    <row r="25" customFormat="false" ht="12.8" hidden="false" customHeight="false" outlineLevel="0" collapsed="false">
      <c r="A25" s="48" t="s">
        <v>182</v>
      </c>
      <c r="B25" s="3" t="s">
        <v>183</v>
      </c>
      <c r="C25" s="3" t="s">
        <v>184</v>
      </c>
      <c r="D25" s="3" t="s">
        <v>185</v>
      </c>
      <c r="E25" s="3" t="s">
        <v>186</v>
      </c>
      <c r="F25" s="3" t="s">
        <v>187</v>
      </c>
    </row>
    <row r="26" customFormat="false" ht="12.8" hidden="false" customHeight="false" outlineLevel="0" collapsed="false">
      <c r="A26" s="48" t="s">
        <v>270</v>
      </c>
      <c r="B26" s="3" t="s">
        <v>271</v>
      </c>
      <c r="C26" s="3" t="s">
        <v>272</v>
      </c>
      <c r="D26" s="3" t="s">
        <v>273</v>
      </c>
      <c r="E26" s="3" t="s">
        <v>274</v>
      </c>
      <c r="F26" s="3" t="s">
        <v>275</v>
      </c>
    </row>
    <row r="27" customFormat="false" ht="12.8" hidden="false" customHeight="false" outlineLevel="0" collapsed="false">
      <c r="A27" s="48" t="s">
        <v>276</v>
      </c>
      <c r="B27" s="3" t="s">
        <v>271</v>
      </c>
      <c r="C27" s="3" t="s">
        <v>277</v>
      </c>
      <c r="D27" s="3" t="s">
        <v>278</v>
      </c>
      <c r="E27" s="3" t="s">
        <v>279</v>
      </c>
      <c r="F27" s="3" t="s">
        <v>280</v>
      </c>
    </row>
    <row r="29" customFormat="false" ht="12.8" hidden="false" customHeight="false" outlineLevel="0" collapsed="false">
      <c r="A29" s="48" t="s">
        <v>281</v>
      </c>
      <c r="B29" s="39" t="s">
        <v>282</v>
      </c>
    </row>
    <row r="30" customFormat="false" ht="12.8" hidden="false" customHeight="false" outlineLevel="0" collapsed="false">
      <c r="A30" s="48" t="s">
        <v>182</v>
      </c>
      <c r="B30" s="3" t="s">
        <v>183</v>
      </c>
      <c r="C30" s="3" t="s">
        <v>184</v>
      </c>
      <c r="D30" s="3" t="s">
        <v>185</v>
      </c>
      <c r="E30" s="3" t="s">
        <v>186</v>
      </c>
      <c r="F30" s="3" t="s">
        <v>187</v>
      </c>
    </row>
    <row r="31" customFormat="false" ht="12.8" hidden="false" customHeight="false" outlineLevel="0" collapsed="false">
      <c r="A31" s="48" t="s">
        <v>283</v>
      </c>
      <c r="B31" s="3" t="s">
        <v>284</v>
      </c>
      <c r="C31" s="3" t="s">
        <v>285</v>
      </c>
      <c r="D31" s="3" t="s">
        <v>286</v>
      </c>
      <c r="E31" s="3" t="s">
        <v>287</v>
      </c>
      <c r="F31" s="3" t="s">
        <v>288</v>
      </c>
    </row>
    <row r="32" customFormat="false" ht="12.8" hidden="false" customHeight="false" outlineLevel="0" collapsed="false">
      <c r="A32" s="48" t="s">
        <v>289</v>
      </c>
      <c r="B32" s="3" t="s">
        <v>284</v>
      </c>
      <c r="C32" s="3" t="s">
        <v>290</v>
      </c>
      <c r="D32" s="3" t="s">
        <v>291</v>
      </c>
      <c r="E32" s="3" t="s">
        <v>292</v>
      </c>
      <c r="F32" s="3" t="s">
        <v>280</v>
      </c>
    </row>
    <row r="33" customFormat="false" ht="12.8" hidden="false" customHeight="false" outlineLevel="0" collapsed="false">
      <c r="A33" s="48" t="s">
        <v>293</v>
      </c>
      <c r="B33" s="3" t="s">
        <v>284</v>
      </c>
      <c r="C33" s="3" t="s">
        <v>294</v>
      </c>
      <c r="D33" s="3" t="s">
        <v>295</v>
      </c>
      <c r="E33" s="3" t="s">
        <v>296</v>
      </c>
      <c r="F33" s="3" t="s">
        <v>297</v>
      </c>
    </row>
    <row r="34" customFormat="false" ht="12.8" hidden="false" customHeight="false" outlineLevel="0" collapsed="false">
      <c r="A34" s="48" t="s">
        <v>298</v>
      </c>
      <c r="B34" s="3" t="s">
        <v>284</v>
      </c>
      <c r="C34" s="3" t="s">
        <v>299</v>
      </c>
      <c r="D34" s="3" t="s">
        <v>300</v>
      </c>
      <c r="E34" s="3" t="s">
        <v>301</v>
      </c>
      <c r="F34" s="3" t="s">
        <v>302</v>
      </c>
    </row>
    <row r="35" customFormat="false" ht="12.8" hidden="false" customHeight="false" outlineLevel="0" collapsed="false">
      <c r="A35" s="48" t="s">
        <v>303</v>
      </c>
      <c r="B35" s="3" t="s">
        <v>284</v>
      </c>
      <c r="C35" s="3" t="s">
        <v>304</v>
      </c>
      <c r="D35" s="3" t="s">
        <v>305</v>
      </c>
      <c r="E35" s="3" t="s">
        <v>306</v>
      </c>
      <c r="F35" s="3" t="s">
        <v>302</v>
      </c>
    </row>
    <row r="37" customFormat="false" ht="12.8" hidden="false" customHeight="false" outlineLevel="0" collapsed="false">
      <c r="A37" s="48" t="s">
        <v>307</v>
      </c>
      <c r="B37" s="39" t="s">
        <v>308</v>
      </c>
    </row>
    <row r="38" customFormat="false" ht="12.8" hidden="false" customHeight="false" outlineLevel="0" collapsed="false">
      <c r="A38" s="48" t="s">
        <v>182</v>
      </c>
      <c r="B38" s="3" t="s">
        <v>183</v>
      </c>
      <c r="C38" s="3" t="s">
        <v>184</v>
      </c>
      <c r="D38" s="3" t="s">
        <v>185</v>
      </c>
      <c r="E38" s="3" t="s">
        <v>186</v>
      </c>
      <c r="F38" s="3" t="s">
        <v>187</v>
      </c>
    </row>
    <row r="39" customFormat="false" ht="12.8" hidden="false" customHeight="false" outlineLevel="0" collapsed="false">
      <c r="A39" s="48" t="s">
        <v>309</v>
      </c>
      <c r="B39" s="3" t="s">
        <v>310</v>
      </c>
      <c r="C39" s="3" t="s">
        <v>311</v>
      </c>
      <c r="D39" s="3" t="s">
        <v>312</v>
      </c>
      <c r="E39" s="3" t="s">
        <v>313</v>
      </c>
      <c r="F39" s="3" t="s">
        <v>314</v>
      </c>
    </row>
    <row r="40" customFormat="false" ht="12.8" hidden="false" customHeight="false" outlineLevel="0" collapsed="false">
      <c r="A40" s="48" t="s">
        <v>315</v>
      </c>
      <c r="B40" s="3" t="s">
        <v>310</v>
      </c>
      <c r="C40" s="3" t="s">
        <v>316</v>
      </c>
      <c r="D40" s="3" t="s">
        <v>317</v>
      </c>
      <c r="E40" s="3" t="s">
        <v>279</v>
      </c>
      <c r="F40" s="3" t="s">
        <v>280</v>
      </c>
    </row>
    <row r="41" customFormat="false" ht="12.8" hidden="false" customHeight="false" outlineLevel="0" collapsed="false">
      <c r="A41" s="48" t="s">
        <v>318</v>
      </c>
      <c r="B41" s="3" t="s">
        <v>310</v>
      </c>
      <c r="C41" s="3" t="s">
        <v>319</v>
      </c>
      <c r="D41" s="3" t="s">
        <v>320</v>
      </c>
      <c r="E41" s="3" t="s">
        <v>296</v>
      </c>
      <c r="F41" s="3" t="s">
        <v>297</v>
      </c>
    </row>
    <row r="43" customFormat="false" ht="12.8" hidden="false" customHeight="false" outlineLevel="0" collapsed="false">
      <c r="A43" s="11" t="s">
        <v>321</v>
      </c>
      <c r="B43" s="42" t="s">
        <v>322</v>
      </c>
    </row>
    <row r="44" customFormat="false" ht="12.8" hidden="false" customHeight="false" outlineLevel="0" collapsed="false">
      <c r="A44" s="48" t="s">
        <v>182</v>
      </c>
      <c r="B44" s="3" t="s">
        <v>183</v>
      </c>
      <c r="C44" s="3" t="s">
        <v>184</v>
      </c>
      <c r="D44" s="3" t="s">
        <v>185</v>
      </c>
      <c r="E44" s="3" t="s">
        <v>186</v>
      </c>
      <c r="F44" s="3" t="s">
        <v>187</v>
      </c>
    </row>
    <row r="45" customFormat="false" ht="12.8" hidden="false" customHeight="false" outlineLevel="0" collapsed="false">
      <c r="A45" s="48" t="s">
        <v>323</v>
      </c>
      <c r="B45" s="3" t="s">
        <v>249</v>
      </c>
      <c r="C45" s="3" t="s">
        <v>250</v>
      </c>
      <c r="D45" s="3" t="s">
        <v>324</v>
      </c>
      <c r="E45" s="3" t="s">
        <v>325</v>
      </c>
      <c r="F45" s="3" t="s">
        <v>258</v>
      </c>
    </row>
    <row r="46" customFormat="false" ht="12.8" hidden="false" customHeight="false" outlineLevel="0" collapsed="false">
      <c r="A46" s="48" t="s">
        <v>326</v>
      </c>
      <c r="B46" s="3" t="s">
        <v>249</v>
      </c>
      <c r="C46" s="3" t="s">
        <v>255</v>
      </c>
      <c r="D46" s="3" t="s">
        <v>256</v>
      </c>
      <c r="E46" s="3" t="s">
        <v>327</v>
      </c>
      <c r="F46" s="3" t="s">
        <v>258</v>
      </c>
    </row>
    <row r="47" customFormat="false" ht="12.8" hidden="false" customHeight="false" outlineLevel="0" collapsed="false">
      <c r="A47" s="48" t="s">
        <v>328</v>
      </c>
      <c r="B47" s="3" t="s">
        <v>249</v>
      </c>
      <c r="C47" s="3" t="s">
        <v>329</v>
      </c>
      <c r="D47" s="3" t="s">
        <v>330</v>
      </c>
      <c r="E47" s="3" t="s">
        <v>331</v>
      </c>
      <c r="F47" s="3" t="s">
        <v>258</v>
      </c>
    </row>
    <row r="48" customFormat="false" ht="12.8" hidden="false" customHeight="false" outlineLevel="0" collapsed="false">
      <c r="A48" s="48" t="s">
        <v>332</v>
      </c>
      <c r="B48" s="3" t="s">
        <v>249</v>
      </c>
      <c r="C48" s="3" t="s">
        <v>333</v>
      </c>
      <c r="D48" s="3" t="n">
        <v>0.7</v>
      </c>
      <c r="E48" s="3" t="s">
        <v>334</v>
      </c>
      <c r="F48" s="3" t="s">
        <v>258</v>
      </c>
    </row>
    <row r="50" customFormat="false" ht="12.8" hidden="false" customHeight="false" outlineLevel="0" collapsed="false">
      <c r="A50" s="48" t="s">
        <v>335</v>
      </c>
    </row>
    <row r="51" customFormat="false" ht="12.8" hidden="false" customHeight="false" outlineLevel="0" collapsed="false">
      <c r="A51" s="48" t="s">
        <v>182</v>
      </c>
      <c r="B51" s="3" t="s">
        <v>183</v>
      </c>
      <c r="C51" s="3" t="s">
        <v>184</v>
      </c>
      <c r="D51" s="3" t="s">
        <v>185</v>
      </c>
      <c r="E51" s="3" t="s">
        <v>186</v>
      </c>
      <c r="F51" s="3" t="s">
        <v>187</v>
      </c>
    </row>
    <row r="52" customFormat="false" ht="12.8" hidden="false" customHeight="false" outlineLevel="0" collapsed="false">
      <c r="A52" s="48" t="s">
        <v>336</v>
      </c>
      <c r="B52" s="3" t="s">
        <v>337</v>
      </c>
      <c r="C52" s="3" t="s">
        <v>338</v>
      </c>
      <c r="D52" s="3" t="s">
        <v>339</v>
      </c>
      <c r="E52" s="3" t="s">
        <v>340</v>
      </c>
      <c r="F52" s="3" t="s">
        <v>341</v>
      </c>
    </row>
    <row r="53" customFormat="false" ht="12.8" hidden="false" customHeight="false" outlineLevel="0" collapsed="false">
      <c r="A53" s="48" t="s">
        <v>342</v>
      </c>
      <c r="B53" s="3" t="s">
        <v>337</v>
      </c>
      <c r="C53" s="3" t="s">
        <v>343</v>
      </c>
      <c r="D53" s="3" t="s">
        <v>344</v>
      </c>
      <c r="E53" s="3" t="s">
        <v>345</v>
      </c>
      <c r="F53" s="3" t="s">
        <v>280</v>
      </c>
    </row>
    <row r="54" customFormat="false" ht="12.8" hidden="false" customHeight="false" outlineLevel="0" collapsed="false">
      <c r="A54" s="48" t="s">
        <v>346</v>
      </c>
      <c r="B54" s="3" t="s">
        <v>337</v>
      </c>
      <c r="C54" s="3" t="s">
        <v>347</v>
      </c>
      <c r="D54" s="3" t="s">
        <v>348</v>
      </c>
      <c r="E54" s="3" t="s">
        <v>296</v>
      </c>
      <c r="F54" s="3" t="s">
        <v>297</v>
      </c>
    </row>
    <row r="56" customFormat="false" ht="12.8" hidden="false" customHeight="false" outlineLevel="0" collapsed="false">
      <c r="A56" s="48" t="s">
        <v>349</v>
      </c>
    </row>
    <row r="57" customFormat="false" ht="12.8" hidden="false" customHeight="false" outlineLevel="0" collapsed="false">
      <c r="A57" s="48" t="s">
        <v>182</v>
      </c>
      <c r="B57" s="3" t="s">
        <v>183</v>
      </c>
      <c r="C57" s="3" t="s">
        <v>184</v>
      </c>
      <c r="D57" s="3" t="s">
        <v>185</v>
      </c>
      <c r="E57" s="3" t="s">
        <v>186</v>
      </c>
      <c r="F57" s="3" t="s">
        <v>187</v>
      </c>
    </row>
    <row r="58" customFormat="false" ht="12.8" hidden="false" customHeight="false" outlineLevel="0" collapsed="false">
      <c r="A58" s="48" t="s">
        <v>350</v>
      </c>
      <c r="B58" s="3" t="s">
        <v>351</v>
      </c>
      <c r="C58" s="3" t="s">
        <v>352</v>
      </c>
      <c r="D58" s="3" t="s">
        <v>353</v>
      </c>
      <c r="E58" s="3" t="s">
        <v>354</v>
      </c>
      <c r="F58" s="3" t="s">
        <v>341</v>
      </c>
    </row>
    <row r="59" customFormat="false" ht="12.8" hidden="false" customHeight="false" outlineLevel="0" collapsed="false">
      <c r="A59" s="48" t="s">
        <v>355</v>
      </c>
      <c r="B59" s="3" t="s">
        <v>351</v>
      </c>
      <c r="C59" s="3" t="s">
        <v>356</v>
      </c>
      <c r="D59" s="3" t="s">
        <v>357</v>
      </c>
      <c r="E59" s="3" t="s">
        <v>345</v>
      </c>
      <c r="F59" s="3" t="s">
        <v>280</v>
      </c>
    </row>
    <row r="60" customFormat="false" ht="12.8" hidden="false" customHeight="false" outlineLevel="0" collapsed="false">
      <c r="A60" s="48" t="s">
        <v>358</v>
      </c>
      <c r="B60" s="3" t="s">
        <v>351</v>
      </c>
      <c r="C60" s="3" t="s">
        <v>359</v>
      </c>
      <c r="D60" s="3" t="s">
        <v>360</v>
      </c>
      <c r="E60" s="3" t="s">
        <v>296</v>
      </c>
      <c r="F60" s="3" t="s">
        <v>297</v>
      </c>
    </row>
    <row r="62" customFormat="false" ht="12.8" hidden="false" customHeight="false" outlineLevel="0" collapsed="false">
      <c r="A62" s="11" t="s">
        <v>361</v>
      </c>
      <c r="B62" s="42" t="s">
        <v>362</v>
      </c>
    </row>
    <row r="63" customFormat="false" ht="12.8" hidden="false" customHeight="false" outlineLevel="0" collapsed="false">
      <c r="A63" s="48" t="s">
        <v>182</v>
      </c>
      <c r="B63" s="3" t="s">
        <v>183</v>
      </c>
      <c r="C63" s="3" t="s">
        <v>184</v>
      </c>
      <c r="D63" s="3" t="s">
        <v>185</v>
      </c>
      <c r="E63" s="3" t="s">
        <v>186</v>
      </c>
      <c r="F63" s="3" t="s">
        <v>187</v>
      </c>
    </row>
    <row r="64" customFormat="false" ht="12.8" hidden="false" customHeight="false" outlineLevel="0" collapsed="false">
      <c r="A64" s="48" t="s">
        <v>363</v>
      </c>
      <c r="B64" s="3" t="s">
        <v>249</v>
      </c>
      <c r="C64" s="3" t="s">
        <v>364</v>
      </c>
      <c r="D64" s="3" t="s">
        <v>365</v>
      </c>
      <c r="E64" s="3" t="s">
        <v>366</v>
      </c>
      <c r="F64" s="3" t="s">
        <v>258</v>
      </c>
    </row>
    <row r="65" customFormat="false" ht="12.8" hidden="false" customHeight="false" outlineLevel="0" collapsed="false">
      <c r="A65" s="48" t="s">
        <v>367</v>
      </c>
      <c r="B65" s="3" t="s">
        <v>249</v>
      </c>
      <c r="C65" s="3" t="s">
        <v>368</v>
      </c>
      <c r="D65" s="3" t="s">
        <v>369</v>
      </c>
      <c r="E65" s="3" t="s">
        <v>370</v>
      </c>
      <c r="F65" s="3" t="s">
        <v>258</v>
      </c>
    </row>
    <row r="66" customFormat="false" ht="12.8" hidden="false" customHeight="false" outlineLevel="0" collapsed="false">
      <c r="A66" s="48" t="s">
        <v>371</v>
      </c>
      <c r="B66" s="3" t="s">
        <v>249</v>
      </c>
      <c r="C66" s="3" t="s">
        <v>250</v>
      </c>
      <c r="D66" s="3" t="s">
        <v>324</v>
      </c>
      <c r="E66" s="3" t="s">
        <v>372</v>
      </c>
      <c r="F66" s="3" t="s">
        <v>258</v>
      </c>
    </row>
    <row r="68" customFormat="false" ht="12.8" hidden="false" customHeight="false" outlineLevel="0" collapsed="false">
      <c r="A68" s="48" t="s">
        <v>373</v>
      </c>
    </row>
    <row r="69" customFormat="false" ht="12.8" hidden="false" customHeight="false" outlineLevel="0" collapsed="false">
      <c r="A69" s="48" t="s">
        <v>182</v>
      </c>
      <c r="B69" s="3" t="s">
        <v>183</v>
      </c>
      <c r="C69" s="3" t="s">
        <v>184</v>
      </c>
      <c r="D69" s="3" t="s">
        <v>185</v>
      </c>
      <c r="E69" s="3" t="s">
        <v>186</v>
      </c>
      <c r="F69" s="3" t="s">
        <v>187</v>
      </c>
    </row>
    <row r="70" customFormat="false" ht="12.8" hidden="false" customHeight="false" outlineLevel="0" collapsed="false">
      <c r="A70" s="48" t="s">
        <v>374</v>
      </c>
      <c r="B70" s="3" t="s">
        <v>375</v>
      </c>
      <c r="C70" s="3" t="s">
        <v>376</v>
      </c>
      <c r="D70" s="3" t="s">
        <v>377</v>
      </c>
      <c r="E70" s="3" t="s">
        <v>378</v>
      </c>
      <c r="F70" s="3" t="s">
        <v>379</v>
      </c>
    </row>
    <row r="71" customFormat="false" ht="12.8" hidden="false" customHeight="false" outlineLevel="0" collapsed="false">
      <c r="A71" s="48" t="s">
        <v>380</v>
      </c>
      <c r="B71" s="3" t="s">
        <v>375</v>
      </c>
      <c r="C71" s="3" t="s">
        <v>381</v>
      </c>
      <c r="D71" s="3" t="s">
        <v>382</v>
      </c>
      <c r="E71" s="3" t="s">
        <v>383</v>
      </c>
      <c r="F71" s="3" t="s">
        <v>280</v>
      </c>
    </row>
    <row r="72" customFormat="false" ht="12.8" hidden="false" customHeight="false" outlineLevel="0" collapsed="false">
      <c r="A72" s="48" t="s">
        <v>384</v>
      </c>
      <c r="B72" s="3" t="s">
        <v>375</v>
      </c>
      <c r="C72" s="3" t="s">
        <v>385</v>
      </c>
      <c r="D72" s="3" t="s">
        <v>386</v>
      </c>
      <c r="E72" s="3" t="s">
        <v>387</v>
      </c>
      <c r="F72" s="3" t="s">
        <v>388</v>
      </c>
    </row>
    <row r="74" customFormat="false" ht="12.8" hidden="false" customHeight="false" outlineLevel="0" collapsed="false">
      <c r="A74" s="48" t="s">
        <v>389</v>
      </c>
    </row>
    <row r="75" customFormat="false" ht="12.8" hidden="false" customHeight="false" outlineLevel="0" collapsed="false">
      <c r="A75" s="48" t="s">
        <v>182</v>
      </c>
      <c r="B75" s="3" t="s">
        <v>183</v>
      </c>
      <c r="C75" s="3" t="s">
        <v>184</v>
      </c>
      <c r="D75" s="3" t="s">
        <v>185</v>
      </c>
      <c r="E75" s="3" t="s">
        <v>186</v>
      </c>
      <c r="F75" s="3" t="s">
        <v>187</v>
      </c>
    </row>
    <row r="76" customFormat="false" ht="12.8" hidden="false" customHeight="false" outlineLevel="0" collapsed="false">
      <c r="A76" s="48" t="s">
        <v>390</v>
      </c>
      <c r="B76" s="3" t="s">
        <v>391</v>
      </c>
      <c r="C76" s="3" t="s">
        <v>392</v>
      </c>
      <c r="D76" s="3" t="s">
        <v>393</v>
      </c>
      <c r="E76" s="3" t="s">
        <v>394</v>
      </c>
      <c r="F76" s="3" t="s">
        <v>395</v>
      </c>
    </row>
    <row r="77" customFormat="false" ht="12.8" hidden="false" customHeight="false" outlineLevel="0" collapsed="false">
      <c r="A77" s="48" t="s">
        <v>396</v>
      </c>
      <c r="B77" s="3" t="s">
        <v>391</v>
      </c>
      <c r="C77" s="3" t="s">
        <v>397</v>
      </c>
      <c r="D77" s="3" t="s">
        <v>398</v>
      </c>
      <c r="E77" s="3" t="s">
        <v>399</v>
      </c>
      <c r="F77" s="3" t="s">
        <v>280</v>
      </c>
    </row>
    <row r="78" customFormat="false" ht="12.8" hidden="false" customHeight="false" outlineLevel="0" collapsed="false">
      <c r="A78" s="48" t="s">
        <v>400</v>
      </c>
      <c r="B78" s="3" t="s">
        <v>391</v>
      </c>
      <c r="C78" s="3" t="s">
        <v>401</v>
      </c>
      <c r="D78" s="3" t="s">
        <v>402</v>
      </c>
      <c r="E78" s="3" t="s">
        <v>296</v>
      </c>
      <c r="F78" s="3" t="s">
        <v>297</v>
      </c>
    </row>
    <row r="80" customFormat="false" ht="12.8" hidden="false" customHeight="false" outlineLevel="0" collapsed="false">
      <c r="A80" s="11" t="s">
        <v>403</v>
      </c>
      <c r="B80" s="42" t="s">
        <v>404</v>
      </c>
    </row>
    <row r="81" customFormat="false" ht="12.8" hidden="false" customHeight="false" outlineLevel="0" collapsed="false">
      <c r="A81" s="48" t="s">
        <v>182</v>
      </c>
      <c r="B81" s="3" t="s">
        <v>183</v>
      </c>
      <c r="C81" s="3" t="s">
        <v>184</v>
      </c>
      <c r="D81" s="3" t="s">
        <v>185</v>
      </c>
      <c r="E81" s="3" t="s">
        <v>186</v>
      </c>
      <c r="F81" s="3" t="s">
        <v>187</v>
      </c>
    </row>
    <row r="82" customFormat="false" ht="12.8" hidden="false" customHeight="false" outlineLevel="0" collapsed="false">
      <c r="A82" s="48" t="s">
        <v>405</v>
      </c>
      <c r="B82" s="3" t="s">
        <v>406</v>
      </c>
      <c r="C82" s="3" t="s">
        <v>407</v>
      </c>
      <c r="D82" s="3" t="s">
        <v>408</v>
      </c>
      <c r="E82" s="3" t="s">
        <v>409</v>
      </c>
      <c r="F82" s="3" t="s">
        <v>410</v>
      </c>
    </row>
    <row r="83" customFormat="false" ht="12.8" hidden="false" customHeight="false" outlineLevel="0" collapsed="false">
      <c r="A83" s="48" t="s">
        <v>411</v>
      </c>
      <c r="B83" s="3" t="s">
        <v>406</v>
      </c>
      <c r="C83" s="3" t="s">
        <v>412</v>
      </c>
      <c r="D83" s="3" t="s">
        <v>413</v>
      </c>
      <c r="E83" s="3" t="s">
        <v>414</v>
      </c>
      <c r="F83" s="3" t="s">
        <v>415</v>
      </c>
    </row>
    <row r="84" customFormat="false" ht="12.8" hidden="false" customHeight="false" outlineLevel="0" collapsed="false">
      <c r="A84" s="48" t="s">
        <v>416</v>
      </c>
      <c r="B84" s="3" t="s">
        <v>406</v>
      </c>
      <c r="C84" s="3" t="s">
        <v>417</v>
      </c>
      <c r="D84" s="3" t="s">
        <v>418</v>
      </c>
      <c r="E84" s="3" t="s">
        <v>419</v>
      </c>
      <c r="F84" s="3" t="s">
        <v>420</v>
      </c>
    </row>
    <row r="85" customFormat="false" ht="12.8" hidden="false" customHeight="false" outlineLevel="0" collapsed="false">
      <c r="A85" s="48" t="s">
        <v>421</v>
      </c>
      <c r="B85" s="3" t="s">
        <v>406</v>
      </c>
      <c r="C85" s="3" t="s">
        <v>422</v>
      </c>
      <c r="D85" s="3" t="s">
        <v>423</v>
      </c>
      <c r="E85" s="3" t="s">
        <v>424</v>
      </c>
      <c r="F85" s="3" t="s">
        <v>327</v>
      </c>
    </row>
    <row r="87" customFormat="false" ht="12.8" hidden="false" customHeight="false" outlineLevel="0" collapsed="false">
      <c r="A87" s="11" t="s">
        <v>425</v>
      </c>
      <c r="B87" s="42" t="s">
        <v>426</v>
      </c>
    </row>
    <row r="88" customFormat="false" ht="12.8" hidden="false" customHeight="false" outlineLevel="0" collapsed="false">
      <c r="A88" s="48" t="s">
        <v>182</v>
      </c>
      <c r="B88" s="3" t="s">
        <v>183</v>
      </c>
      <c r="C88" s="3" t="s">
        <v>184</v>
      </c>
      <c r="D88" s="3" t="s">
        <v>185</v>
      </c>
      <c r="E88" s="3" t="s">
        <v>186</v>
      </c>
      <c r="F88" s="3" t="s">
        <v>187</v>
      </c>
    </row>
    <row r="89" customFormat="false" ht="12.8" hidden="false" customHeight="false" outlineLevel="0" collapsed="false">
      <c r="A89" s="48" t="s">
        <v>427</v>
      </c>
      <c r="B89" s="3" t="s">
        <v>428</v>
      </c>
      <c r="C89" s="3" t="s">
        <v>429</v>
      </c>
      <c r="D89" s="3" t="s">
        <v>430</v>
      </c>
      <c r="E89" s="3" t="s">
        <v>431</v>
      </c>
      <c r="F89" s="3" t="s">
        <v>432</v>
      </c>
    </row>
    <row r="90" customFormat="false" ht="12.8" hidden="false" customHeight="false" outlineLevel="0" collapsed="false">
      <c r="A90" s="48" t="s">
        <v>433</v>
      </c>
      <c r="B90" s="3" t="s">
        <v>428</v>
      </c>
      <c r="C90" s="3" t="s">
        <v>434</v>
      </c>
      <c r="D90" s="3" t="s">
        <v>435</v>
      </c>
      <c r="E90" s="3" t="s">
        <v>436</v>
      </c>
      <c r="F90" s="3" t="s">
        <v>280</v>
      </c>
    </row>
    <row r="91" customFormat="false" ht="12.8" hidden="false" customHeight="false" outlineLevel="0" collapsed="false">
      <c r="A91" s="48" t="s">
        <v>437</v>
      </c>
      <c r="B91" s="3" t="s">
        <v>428</v>
      </c>
      <c r="C91" s="3" t="s">
        <v>438</v>
      </c>
      <c r="D91" s="3" t="s">
        <v>439</v>
      </c>
      <c r="E91" s="3" t="s">
        <v>440</v>
      </c>
      <c r="F91" s="3" t="s">
        <v>441</v>
      </c>
    </row>
    <row r="92" customFormat="false" ht="12.8" hidden="false" customHeight="false" outlineLevel="0" collapsed="false">
      <c r="A92" s="48" t="s">
        <v>442</v>
      </c>
      <c r="B92" s="3" t="s">
        <v>428</v>
      </c>
      <c r="C92" s="3" t="s">
        <v>443</v>
      </c>
      <c r="D92" s="3" t="s">
        <v>444</v>
      </c>
      <c r="E92" s="3" t="s">
        <v>445</v>
      </c>
      <c r="F92" s="3" t="s">
        <v>258</v>
      </c>
    </row>
    <row r="93" customFormat="false" ht="12.8" hidden="false" customHeight="false" outlineLevel="0" collapsed="false">
      <c r="A93" s="48" t="s">
        <v>446</v>
      </c>
      <c r="B93" s="3" t="s">
        <v>428</v>
      </c>
      <c r="C93" s="3" t="s">
        <v>447</v>
      </c>
      <c r="D93" s="3" t="s">
        <v>448</v>
      </c>
      <c r="E93" s="3" t="s">
        <v>449</v>
      </c>
      <c r="F93" s="3" t="s">
        <v>258</v>
      </c>
    </row>
    <row r="95" customFormat="false" ht="12.8" hidden="false" customHeight="false" outlineLevel="0" collapsed="false">
      <c r="A95" s="11" t="s">
        <v>450</v>
      </c>
      <c r="B95" s="42" t="s">
        <v>451</v>
      </c>
    </row>
    <row r="96" customFormat="false" ht="12.8" hidden="false" customHeight="false" outlineLevel="0" collapsed="false">
      <c r="A96" s="48" t="s">
        <v>182</v>
      </c>
      <c r="B96" s="3" t="s">
        <v>183</v>
      </c>
      <c r="C96" s="3" t="s">
        <v>184</v>
      </c>
      <c r="D96" s="3" t="s">
        <v>185</v>
      </c>
      <c r="E96" s="3" t="s">
        <v>186</v>
      </c>
      <c r="F96" s="3" t="s">
        <v>187</v>
      </c>
    </row>
    <row r="97" customFormat="false" ht="12.8" hidden="false" customHeight="false" outlineLevel="0" collapsed="false">
      <c r="A97" s="48" t="s">
        <v>452</v>
      </c>
      <c r="B97" s="3" t="s">
        <v>453</v>
      </c>
      <c r="C97" s="3" t="s">
        <v>454</v>
      </c>
      <c r="D97" s="3" t="s">
        <v>455</v>
      </c>
      <c r="E97" s="3" t="s">
        <v>456</v>
      </c>
      <c r="F97" s="3" t="s">
        <v>457</v>
      </c>
    </row>
    <row r="98" customFormat="false" ht="12.8" hidden="false" customHeight="false" outlineLevel="0" collapsed="false">
      <c r="A98" s="48" t="s">
        <v>458</v>
      </c>
      <c r="B98" s="3" t="s">
        <v>453</v>
      </c>
      <c r="C98" s="3" t="s">
        <v>459</v>
      </c>
      <c r="D98" s="3" t="s">
        <v>460</v>
      </c>
      <c r="E98" s="3" t="s">
        <v>461</v>
      </c>
      <c r="F98" s="3" t="s">
        <v>462</v>
      </c>
    </row>
    <row r="99" customFormat="false" ht="12.8" hidden="false" customHeight="false" outlineLevel="0" collapsed="false">
      <c r="A99" s="48" t="s">
        <v>463</v>
      </c>
      <c r="B99" s="3" t="s">
        <v>453</v>
      </c>
      <c r="C99" s="3" t="s">
        <v>464</v>
      </c>
      <c r="D99" s="3" t="s">
        <v>465</v>
      </c>
      <c r="E99" s="3" t="s">
        <v>440</v>
      </c>
      <c r="F99" s="3" t="s">
        <v>466</v>
      </c>
    </row>
    <row r="100" customFormat="false" ht="12.8" hidden="false" customHeight="false" outlineLevel="0" collapsed="false">
      <c r="A100" s="48" t="s">
        <v>467</v>
      </c>
      <c r="B100" s="3" t="s">
        <v>453</v>
      </c>
      <c r="C100" s="3" t="s">
        <v>468</v>
      </c>
      <c r="D100" s="3" t="s">
        <v>469</v>
      </c>
      <c r="E100" s="3" t="s">
        <v>470</v>
      </c>
      <c r="F100" s="3" t="s">
        <v>471</v>
      </c>
    </row>
    <row r="101" customFormat="false" ht="12.8" hidden="false" customHeight="false" outlineLevel="0" collapsed="false">
      <c r="A101" s="48" t="s">
        <v>472</v>
      </c>
      <c r="B101" s="3" t="s">
        <v>453</v>
      </c>
      <c r="C101" s="3" t="s">
        <v>473</v>
      </c>
      <c r="D101" s="3" t="s">
        <v>474</v>
      </c>
      <c r="E101" s="3" t="s">
        <v>475</v>
      </c>
      <c r="F101" s="3" t="s">
        <v>476</v>
      </c>
    </row>
    <row r="103" customFormat="false" ht="12.8" hidden="false" customHeight="false" outlineLevel="0" collapsed="false">
      <c r="A103" s="11" t="s">
        <v>477</v>
      </c>
      <c r="B103" s="42" t="s">
        <v>478</v>
      </c>
    </row>
    <row r="104" customFormat="false" ht="12.8" hidden="false" customHeight="false" outlineLevel="0" collapsed="false">
      <c r="A104" s="48" t="s">
        <v>182</v>
      </c>
      <c r="B104" s="3" t="s">
        <v>183</v>
      </c>
      <c r="C104" s="3" t="s">
        <v>184</v>
      </c>
      <c r="D104" s="3" t="s">
        <v>185</v>
      </c>
      <c r="E104" s="3" t="s">
        <v>186</v>
      </c>
      <c r="F104" s="3" t="s">
        <v>187</v>
      </c>
    </row>
    <row r="105" customFormat="false" ht="12.8" hidden="false" customHeight="false" outlineLevel="0" collapsed="false">
      <c r="A105" s="48" t="s">
        <v>479</v>
      </c>
      <c r="B105" s="3" t="s">
        <v>480</v>
      </c>
      <c r="C105" s="3" t="s">
        <v>481</v>
      </c>
      <c r="D105" s="3" t="s">
        <v>482</v>
      </c>
      <c r="E105" s="3" t="s">
        <v>483</v>
      </c>
      <c r="F105" s="3" t="s">
        <v>205</v>
      </c>
    </row>
    <row r="106" customFormat="false" ht="12.8" hidden="false" customHeight="false" outlineLevel="0" collapsed="false">
      <c r="A106" s="48" t="s">
        <v>484</v>
      </c>
      <c r="B106" s="3" t="s">
        <v>480</v>
      </c>
      <c r="C106" s="3" t="s">
        <v>485</v>
      </c>
      <c r="D106" s="3" t="s">
        <v>486</v>
      </c>
      <c r="E106" s="3" t="s">
        <v>345</v>
      </c>
      <c r="F106" s="3" t="s">
        <v>280</v>
      </c>
    </row>
    <row r="107" customFormat="false" ht="12.8" hidden="false" customHeight="false" outlineLevel="0" collapsed="false">
      <c r="A107" s="48" t="s">
        <v>487</v>
      </c>
      <c r="B107" s="3" t="s">
        <v>480</v>
      </c>
      <c r="C107" s="3" t="s">
        <v>488</v>
      </c>
      <c r="D107" s="3" t="s">
        <v>489</v>
      </c>
      <c r="E107" s="3" t="s">
        <v>440</v>
      </c>
      <c r="F107" s="3" t="s">
        <v>441</v>
      </c>
    </row>
    <row r="108" customFormat="false" ht="12.8" hidden="false" customHeight="false" outlineLevel="0" collapsed="false">
      <c r="A108" s="48" t="s">
        <v>490</v>
      </c>
      <c r="B108" s="3" t="s">
        <v>480</v>
      </c>
      <c r="C108" s="3" t="s">
        <v>491</v>
      </c>
      <c r="D108" s="3" t="s">
        <v>492</v>
      </c>
      <c r="E108" s="3" t="s">
        <v>493</v>
      </c>
      <c r="F108" s="3" t="s">
        <v>494</v>
      </c>
    </row>
    <row r="109" customFormat="false" ht="12.8" hidden="false" customHeight="false" outlineLevel="0" collapsed="false">
      <c r="A109" s="48" t="s">
        <v>495</v>
      </c>
      <c r="B109" s="3" t="s">
        <v>480</v>
      </c>
      <c r="C109" s="3" t="s">
        <v>496</v>
      </c>
      <c r="D109" s="3" t="s">
        <v>497</v>
      </c>
      <c r="E109" s="3" t="s">
        <v>498</v>
      </c>
      <c r="F109" s="3" t="s">
        <v>499</v>
      </c>
    </row>
    <row r="112" customFormat="false" ht="12.8" hidden="false" customHeight="false" outlineLevel="0" collapsed="false">
      <c r="A112" s="48" t="s">
        <v>500</v>
      </c>
      <c r="B112" s="39" t="s">
        <v>501</v>
      </c>
    </row>
    <row r="113" customFormat="false" ht="12.8" hidden="false" customHeight="false" outlineLevel="0" collapsed="false">
      <c r="A113" s="48" t="s">
        <v>182</v>
      </c>
      <c r="B113" s="3" t="s">
        <v>183</v>
      </c>
      <c r="C113" s="3" t="s">
        <v>184</v>
      </c>
      <c r="D113" s="3" t="s">
        <v>185</v>
      </c>
      <c r="E113" s="3" t="s">
        <v>186</v>
      </c>
      <c r="F113" s="3" t="s">
        <v>187</v>
      </c>
    </row>
    <row r="114" customFormat="false" ht="12.8" hidden="false" customHeight="false" outlineLevel="0" collapsed="false">
      <c r="A114" s="48" t="s">
        <v>502</v>
      </c>
      <c r="B114" s="3" t="s">
        <v>503</v>
      </c>
      <c r="C114" s="3" t="s">
        <v>504</v>
      </c>
      <c r="D114" s="3" t="s">
        <v>505</v>
      </c>
      <c r="E114" s="3" t="s">
        <v>506</v>
      </c>
      <c r="F114" s="3" t="s">
        <v>507</v>
      </c>
    </row>
    <row r="115" customFormat="false" ht="12.8" hidden="false" customHeight="false" outlineLevel="0" collapsed="false">
      <c r="A115" s="48" t="s">
        <v>508</v>
      </c>
      <c r="B115" s="3" t="s">
        <v>503</v>
      </c>
      <c r="C115" s="3" t="s">
        <v>509</v>
      </c>
      <c r="D115" s="3" t="s">
        <v>510</v>
      </c>
      <c r="E115" s="3" t="s">
        <v>511</v>
      </c>
      <c r="F115" s="3" t="s">
        <v>512</v>
      </c>
    </row>
    <row r="116" customFormat="false" ht="12.8" hidden="false" customHeight="false" outlineLevel="0" collapsed="false">
      <c r="A116" s="48" t="s">
        <v>513</v>
      </c>
      <c r="B116" s="3" t="s">
        <v>503</v>
      </c>
      <c r="C116" s="3" t="s">
        <v>514</v>
      </c>
      <c r="D116" s="3" t="s">
        <v>515</v>
      </c>
      <c r="E116" s="3" t="s">
        <v>516</v>
      </c>
      <c r="F116" s="3" t="s">
        <v>517</v>
      </c>
    </row>
    <row r="117" customFormat="false" ht="12.8" hidden="false" customHeight="false" outlineLevel="0" collapsed="false">
      <c r="A117" s="48" t="s">
        <v>518</v>
      </c>
      <c r="B117" s="3" t="s">
        <v>503</v>
      </c>
      <c r="C117" s="3" t="s">
        <v>519</v>
      </c>
      <c r="D117" s="3" t="s">
        <v>520</v>
      </c>
      <c r="E117" s="3" t="s">
        <v>521</v>
      </c>
      <c r="F117" s="3" t="s">
        <v>522</v>
      </c>
    </row>
    <row r="118" customFormat="false" ht="12.8" hidden="false" customHeight="false" outlineLevel="0" collapsed="false">
      <c r="A118" s="48" t="s">
        <v>523</v>
      </c>
      <c r="B118" s="3" t="s">
        <v>503</v>
      </c>
      <c r="C118" s="3" t="s">
        <v>524</v>
      </c>
      <c r="D118" s="3" t="s">
        <v>525</v>
      </c>
      <c r="E118" s="3" t="s">
        <v>526</v>
      </c>
      <c r="F118" s="3" t="s">
        <v>527</v>
      </c>
    </row>
    <row r="120" customFormat="false" ht="12.8" hidden="false" customHeight="false" outlineLevel="0" collapsed="false">
      <c r="A120" s="48" t="s">
        <v>528</v>
      </c>
      <c r="B120" s="39" t="s">
        <v>529</v>
      </c>
    </row>
    <row r="121" customFormat="false" ht="12.8" hidden="false" customHeight="false" outlineLevel="0" collapsed="false">
      <c r="A121" s="48" t="s">
        <v>182</v>
      </c>
      <c r="B121" s="3" t="s">
        <v>183</v>
      </c>
      <c r="C121" s="3" t="s">
        <v>184</v>
      </c>
      <c r="D121" s="3" t="s">
        <v>185</v>
      </c>
      <c r="E121" s="3" t="s">
        <v>186</v>
      </c>
      <c r="F121" s="3" t="s">
        <v>187</v>
      </c>
    </row>
    <row r="122" customFormat="false" ht="12.8" hidden="false" customHeight="false" outlineLevel="0" collapsed="false">
      <c r="A122" s="48" t="s">
        <v>530</v>
      </c>
      <c r="B122" s="3" t="s">
        <v>531</v>
      </c>
      <c r="C122" s="3" t="s">
        <v>532</v>
      </c>
      <c r="D122" s="3" t="s">
        <v>533</v>
      </c>
      <c r="E122" s="3" t="s">
        <v>534</v>
      </c>
      <c r="F122" s="3" t="s">
        <v>535</v>
      </c>
    </row>
    <row r="123" customFormat="false" ht="12.8" hidden="false" customHeight="false" outlineLevel="0" collapsed="false">
      <c r="A123" s="48" t="s">
        <v>536</v>
      </c>
      <c r="B123" s="3" t="s">
        <v>531</v>
      </c>
      <c r="C123" s="3" t="s">
        <v>537</v>
      </c>
      <c r="D123" s="3" t="s">
        <v>538</v>
      </c>
      <c r="E123" s="3" t="s">
        <v>511</v>
      </c>
      <c r="F123" s="3" t="s">
        <v>539</v>
      </c>
    </row>
    <row r="124" customFormat="false" ht="12.8" hidden="false" customHeight="false" outlineLevel="0" collapsed="false">
      <c r="A124" s="48" t="s">
        <v>540</v>
      </c>
      <c r="B124" s="3" t="s">
        <v>531</v>
      </c>
      <c r="C124" s="3" t="s">
        <v>541</v>
      </c>
      <c r="D124" s="3" t="s">
        <v>542</v>
      </c>
      <c r="E124" s="3" t="s">
        <v>516</v>
      </c>
      <c r="F124" s="3" t="s">
        <v>543</v>
      </c>
    </row>
    <row r="125" customFormat="false" ht="12.8" hidden="false" customHeight="false" outlineLevel="0" collapsed="false">
      <c r="A125" s="48" t="s">
        <v>544</v>
      </c>
      <c r="B125" s="3" t="s">
        <v>531</v>
      </c>
      <c r="C125" s="3" t="s">
        <v>545</v>
      </c>
      <c r="D125" s="3" t="s">
        <v>546</v>
      </c>
      <c r="E125" s="3" t="s">
        <v>547</v>
      </c>
      <c r="F125" s="3" t="s">
        <v>548</v>
      </c>
    </row>
    <row r="126" customFormat="false" ht="12.8" hidden="false" customHeight="false" outlineLevel="0" collapsed="false">
      <c r="A126" s="48" t="s">
        <v>549</v>
      </c>
      <c r="B126" s="3" t="s">
        <v>531</v>
      </c>
      <c r="C126" s="3" t="s">
        <v>550</v>
      </c>
      <c r="D126" s="3" t="s">
        <v>551</v>
      </c>
      <c r="E126" s="3" t="s">
        <v>552</v>
      </c>
      <c r="F126" s="3" t="s">
        <v>553</v>
      </c>
    </row>
    <row r="128" customFormat="false" ht="12.8" hidden="false" customHeight="false" outlineLevel="0" collapsed="false">
      <c r="A128" s="48" t="s">
        <v>554</v>
      </c>
    </row>
    <row r="129" customFormat="false" ht="12.8" hidden="false" customHeight="false" outlineLevel="0" collapsed="false">
      <c r="A129" s="48" t="s">
        <v>182</v>
      </c>
      <c r="B129" s="3" t="s">
        <v>183</v>
      </c>
      <c r="C129" s="3" t="s">
        <v>184</v>
      </c>
      <c r="D129" s="3" t="s">
        <v>185</v>
      </c>
      <c r="E129" s="3" t="s">
        <v>186</v>
      </c>
      <c r="F129" s="3" t="s">
        <v>187</v>
      </c>
    </row>
    <row r="130" customFormat="false" ht="12.8" hidden="false" customHeight="false" outlineLevel="0" collapsed="false">
      <c r="A130" s="48" t="s">
        <v>555</v>
      </c>
      <c r="B130" s="3" t="s">
        <v>556</v>
      </c>
      <c r="C130" s="3" t="s">
        <v>557</v>
      </c>
      <c r="D130" s="3" t="s">
        <v>558</v>
      </c>
      <c r="E130" s="3" t="s">
        <v>559</v>
      </c>
      <c r="F130" s="3" t="s">
        <v>560</v>
      </c>
    </row>
    <row r="131" customFormat="false" ht="12.8" hidden="false" customHeight="false" outlineLevel="0" collapsed="false">
      <c r="A131" s="48" t="s">
        <v>561</v>
      </c>
      <c r="B131" s="3" t="s">
        <v>556</v>
      </c>
      <c r="C131" s="3" t="s">
        <v>562</v>
      </c>
      <c r="D131" s="3" t="s">
        <v>563</v>
      </c>
      <c r="E131" s="3" t="s">
        <v>564</v>
      </c>
      <c r="F131" s="3" t="s">
        <v>565</v>
      </c>
    </row>
    <row r="132" customFormat="false" ht="12.8" hidden="false" customHeight="false" outlineLevel="0" collapsed="false">
      <c r="A132" s="48" t="s">
        <v>566</v>
      </c>
      <c r="B132" s="3" t="s">
        <v>556</v>
      </c>
      <c r="C132" s="3" t="s">
        <v>567</v>
      </c>
      <c r="D132" s="3" t="s">
        <v>568</v>
      </c>
      <c r="E132" s="3" t="s">
        <v>569</v>
      </c>
      <c r="F132" s="3" t="s">
        <v>570</v>
      </c>
    </row>
    <row r="133" customFormat="false" ht="12.8" hidden="false" customHeight="false" outlineLevel="0" collapsed="false">
      <c r="A133" s="48" t="s">
        <v>571</v>
      </c>
      <c r="B133" s="3" t="s">
        <v>556</v>
      </c>
      <c r="C133" s="3" t="s">
        <v>572</v>
      </c>
      <c r="D133" s="3" t="s">
        <v>573</v>
      </c>
      <c r="E133" s="3" t="s">
        <v>574</v>
      </c>
      <c r="F133" s="3" t="s">
        <v>575</v>
      </c>
    </row>
    <row r="134" customFormat="false" ht="12.8" hidden="false" customHeight="false" outlineLevel="0" collapsed="false">
      <c r="A134" s="48" t="s">
        <v>576</v>
      </c>
      <c r="B134" s="3" t="s">
        <v>556</v>
      </c>
      <c r="C134" s="3" t="s">
        <v>577</v>
      </c>
      <c r="D134" s="3" t="s">
        <v>578</v>
      </c>
      <c r="E134" s="3" t="s">
        <v>579</v>
      </c>
      <c r="F134" s="3" t="s">
        <v>580</v>
      </c>
    </row>
    <row r="136" customFormat="false" ht="12.8" hidden="false" customHeight="false" outlineLevel="0" collapsed="false">
      <c r="A136" s="48" t="s">
        <v>581</v>
      </c>
    </row>
    <row r="137" customFormat="false" ht="12.8" hidden="false" customHeight="false" outlineLevel="0" collapsed="false">
      <c r="A137" s="48" t="s">
        <v>182</v>
      </c>
      <c r="B137" s="3" t="s">
        <v>183</v>
      </c>
      <c r="C137" s="3" t="s">
        <v>184</v>
      </c>
      <c r="D137" s="3" t="s">
        <v>185</v>
      </c>
      <c r="E137" s="3" t="s">
        <v>186</v>
      </c>
      <c r="F137" s="3" t="s">
        <v>187</v>
      </c>
    </row>
    <row r="138" customFormat="false" ht="12.8" hidden="false" customHeight="false" outlineLevel="0" collapsed="false">
      <c r="A138" s="48" t="s">
        <v>582</v>
      </c>
      <c r="B138" s="3" t="s">
        <v>583</v>
      </c>
      <c r="C138" s="3" t="s">
        <v>584</v>
      </c>
      <c r="D138" s="3" t="s">
        <v>585</v>
      </c>
      <c r="E138" s="3" t="s">
        <v>586</v>
      </c>
      <c r="F138" s="3" t="s">
        <v>587</v>
      </c>
    </row>
    <row r="139" customFormat="false" ht="12.8" hidden="false" customHeight="false" outlineLevel="0" collapsed="false">
      <c r="A139" s="48" t="s">
        <v>588</v>
      </c>
      <c r="B139" s="3" t="s">
        <v>583</v>
      </c>
      <c r="C139" s="3" t="s">
        <v>589</v>
      </c>
      <c r="D139" s="3" t="s">
        <v>590</v>
      </c>
      <c r="E139" s="3" t="s">
        <v>564</v>
      </c>
      <c r="F139" s="3" t="s">
        <v>591</v>
      </c>
    </row>
    <row r="140" customFormat="false" ht="12.8" hidden="false" customHeight="false" outlineLevel="0" collapsed="false">
      <c r="A140" s="48" t="s">
        <v>592</v>
      </c>
      <c r="B140" s="3" t="s">
        <v>583</v>
      </c>
      <c r="C140" s="3" t="s">
        <v>593</v>
      </c>
      <c r="D140" s="3" t="s">
        <v>594</v>
      </c>
      <c r="E140" s="3" t="s">
        <v>569</v>
      </c>
      <c r="F140" s="3" t="s">
        <v>595</v>
      </c>
    </row>
    <row r="141" customFormat="false" ht="12.8" hidden="false" customHeight="false" outlineLevel="0" collapsed="false">
      <c r="A141" s="48" t="s">
        <v>596</v>
      </c>
      <c r="B141" s="3" t="s">
        <v>583</v>
      </c>
      <c r="C141" s="3" t="s">
        <v>597</v>
      </c>
      <c r="D141" s="3" t="s">
        <v>598</v>
      </c>
      <c r="E141" s="3" t="s">
        <v>599</v>
      </c>
      <c r="F141" s="3" t="s">
        <v>575</v>
      </c>
    </row>
    <row r="142" customFormat="false" ht="12.8" hidden="false" customHeight="false" outlineLevel="0" collapsed="false">
      <c r="A142" s="48" t="s">
        <v>600</v>
      </c>
      <c r="B142" s="3" t="s">
        <v>583</v>
      </c>
      <c r="C142" s="3" t="s">
        <v>601</v>
      </c>
      <c r="D142" s="3" t="s">
        <v>602</v>
      </c>
      <c r="E142" s="3" t="s">
        <v>603</v>
      </c>
      <c r="F142" s="3" t="s">
        <v>604</v>
      </c>
    </row>
    <row r="144" customFormat="false" ht="12.8" hidden="false" customHeight="false" outlineLevel="0" collapsed="false">
      <c r="A144" s="48" t="s">
        <v>605</v>
      </c>
    </row>
    <row r="145" customFormat="false" ht="12.8" hidden="false" customHeight="false" outlineLevel="0" collapsed="false">
      <c r="A145" s="48" t="s">
        <v>182</v>
      </c>
      <c r="B145" s="3" t="s">
        <v>183</v>
      </c>
      <c r="C145" s="3" t="s">
        <v>184</v>
      </c>
      <c r="D145" s="3" t="s">
        <v>185</v>
      </c>
      <c r="E145" s="3" t="s">
        <v>186</v>
      </c>
      <c r="F145" s="3" t="s">
        <v>187</v>
      </c>
    </row>
    <row r="146" customFormat="false" ht="12.8" hidden="false" customHeight="false" outlineLevel="0" collapsed="false">
      <c r="A146" s="48" t="s">
        <v>606</v>
      </c>
      <c r="B146" s="3" t="s">
        <v>607</v>
      </c>
      <c r="C146" s="3" t="s">
        <v>608</v>
      </c>
      <c r="D146" s="3" t="s">
        <v>609</v>
      </c>
      <c r="E146" s="3" t="s">
        <v>610</v>
      </c>
      <c r="F146" s="3" t="s">
        <v>611</v>
      </c>
    </row>
    <row r="147" customFormat="false" ht="12.8" hidden="false" customHeight="false" outlineLevel="0" collapsed="false">
      <c r="A147" s="48" t="s">
        <v>612</v>
      </c>
      <c r="B147" s="3" t="s">
        <v>607</v>
      </c>
      <c r="C147" s="3" t="s">
        <v>613</v>
      </c>
      <c r="D147" s="3" t="s">
        <v>614</v>
      </c>
      <c r="E147" s="3" t="s">
        <v>615</v>
      </c>
      <c r="F147" s="3" t="s">
        <v>591</v>
      </c>
    </row>
    <row r="148" customFormat="false" ht="12.8" hidden="false" customHeight="false" outlineLevel="0" collapsed="false">
      <c r="A148" s="48" t="s">
        <v>616</v>
      </c>
      <c r="B148" s="3" t="s">
        <v>607</v>
      </c>
      <c r="C148" s="3" t="s">
        <v>617</v>
      </c>
      <c r="D148" s="3" t="s">
        <v>618</v>
      </c>
      <c r="E148" s="3" t="s">
        <v>569</v>
      </c>
      <c r="F148" s="3" t="s">
        <v>619</v>
      </c>
    </row>
    <row r="149" customFormat="false" ht="12.8" hidden="false" customHeight="false" outlineLevel="0" collapsed="false">
      <c r="A149" s="48" t="s">
        <v>620</v>
      </c>
      <c r="B149" s="3" t="s">
        <v>607</v>
      </c>
      <c r="C149" s="3" t="s">
        <v>621</v>
      </c>
      <c r="D149" s="3" t="s">
        <v>622</v>
      </c>
      <c r="E149" s="3" t="s">
        <v>623</v>
      </c>
      <c r="F149" s="3" t="s">
        <v>575</v>
      </c>
    </row>
    <row r="150" customFormat="false" ht="12.8" hidden="false" customHeight="false" outlineLevel="0" collapsed="false">
      <c r="A150" s="48" t="s">
        <v>624</v>
      </c>
      <c r="B150" s="3" t="s">
        <v>607</v>
      </c>
      <c r="C150" s="3" t="s">
        <v>625</v>
      </c>
      <c r="D150" s="3" t="s">
        <v>626</v>
      </c>
      <c r="E150" s="3" t="s">
        <v>627</v>
      </c>
      <c r="F150" s="3" t="s">
        <v>628</v>
      </c>
    </row>
    <row r="152" customFormat="false" ht="12.8" hidden="false" customHeight="false" outlineLevel="0" collapsed="false">
      <c r="A152" s="48" t="s">
        <v>629</v>
      </c>
    </row>
    <row r="153" customFormat="false" ht="12.8" hidden="false" customHeight="false" outlineLevel="0" collapsed="false">
      <c r="A153" s="48" t="s">
        <v>182</v>
      </c>
      <c r="B153" s="3" t="s">
        <v>183</v>
      </c>
      <c r="C153" s="3" t="s">
        <v>184</v>
      </c>
      <c r="D153" s="3" t="s">
        <v>185</v>
      </c>
      <c r="E153" s="3" t="s">
        <v>186</v>
      </c>
      <c r="F153" s="3" t="s">
        <v>187</v>
      </c>
    </row>
    <row r="154" customFormat="false" ht="12.8" hidden="false" customHeight="false" outlineLevel="0" collapsed="false">
      <c r="A154" s="48" t="s">
        <v>630</v>
      </c>
      <c r="B154" s="3" t="s">
        <v>631</v>
      </c>
      <c r="C154" s="3" t="s">
        <v>632</v>
      </c>
      <c r="D154" s="3" t="s">
        <v>633</v>
      </c>
      <c r="E154" s="3" t="s">
        <v>634</v>
      </c>
      <c r="F154" s="3" t="s">
        <v>611</v>
      </c>
    </row>
    <row r="155" customFormat="false" ht="12.8" hidden="false" customHeight="false" outlineLevel="0" collapsed="false">
      <c r="A155" s="48" t="s">
        <v>635</v>
      </c>
      <c r="B155" s="3" t="s">
        <v>631</v>
      </c>
      <c r="C155" s="3" t="s">
        <v>636</v>
      </c>
      <c r="D155" s="3" t="s">
        <v>637</v>
      </c>
      <c r="E155" s="3" t="s">
        <v>638</v>
      </c>
      <c r="F155" s="3" t="s">
        <v>591</v>
      </c>
    </row>
    <row r="156" customFormat="false" ht="12.8" hidden="false" customHeight="false" outlineLevel="0" collapsed="false">
      <c r="A156" s="48" t="s">
        <v>639</v>
      </c>
      <c r="B156" s="3" t="s">
        <v>631</v>
      </c>
      <c r="C156" s="3" t="s">
        <v>640</v>
      </c>
      <c r="D156" s="3" t="s">
        <v>641</v>
      </c>
      <c r="E156" s="3" t="s">
        <v>642</v>
      </c>
      <c r="F156" s="3" t="s">
        <v>643</v>
      </c>
    </row>
    <row r="157" customFormat="false" ht="12.8" hidden="false" customHeight="false" outlineLevel="0" collapsed="false">
      <c r="A157" s="48" t="s">
        <v>644</v>
      </c>
      <c r="B157" s="3" t="s">
        <v>631</v>
      </c>
      <c r="C157" s="3" t="s">
        <v>645</v>
      </c>
      <c r="D157" s="3" t="s">
        <v>646</v>
      </c>
      <c r="E157" s="3" t="s">
        <v>647</v>
      </c>
      <c r="F157" s="3" t="s">
        <v>575</v>
      </c>
    </row>
    <row r="158" customFormat="false" ht="12.8" hidden="false" customHeight="false" outlineLevel="0" collapsed="false">
      <c r="A158" s="48" t="s">
        <v>648</v>
      </c>
      <c r="B158" s="3" t="s">
        <v>631</v>
      </c>
      <c r="C158" s="3" t="s">
        <v>649</v>
      </c>
      <c r="D158" s="3" t="s">
        <v>650</v>
      </c>
      <c r="E158" s="3" t="s">
        <v>651</v>
      </c>
      <c r="F158" s="3" t="s">
        <v>652</v>
      </c>
    </row>
    <row r="160" customFormat="false" ht="12.8" hidden="false" customHeight="false" outlineLevel="0" collapsed="false">
      <c r="A160" s="48" t="s">
        <v>653</v>
      </c>
    </row>
    <row r="161" customFormat="false" ht="12.8" hidden="false" customHeight="false" outlineLevel="0" collapsed="false">
      <c r="A161" s="48" t="s">
        <v>182</v>
      </c>
      <c r="B161" s="3" t="s">
        <v>183</v>
      </c>
      <c r="C161" s="3" t="s">
        <v>184</v>
      </c>
      <c r="D161" s="3" t="s">
        <v>185</v>
      </c>
      <c r="E161" s="3" t="s">
        <v>186</v>
      </c>
      <c r="F161" s="3" t="s">
        <v>187</v>
      </c>
    </row>
    <row r="162" customFormat="false" ht="12.8" hidden="false" customHeight="false" outlineLevel="0" collapsed="false">
      <c r="A162" s="48" t="s">
        <v>654</v>
      </c>
      <c r="B162" s="3" t="s">
        <v>655</v>
      </c>
      <c r="C162" s="3" t="s">
        <v>656</v>
      </c>
      <c r="D162" s="3" t="s">
        <v>657</v>
      </c>
      <c r="E162" s="3" t="s">
        <v>658</v>
      </c>
      <c r="F162" s="3" t="s">
        <v>611</v>
      </c>
    </row>
    <row r="163" customFormat="false" ht="12.8" hidden="false" customHeight="false" outlineLevel="0" collapsed="false">
      <c r="A163" s="48" t="s">
        <v>659</v>
      </c>
      <c r="B163" s="3" t="s">
        <v>655</v>
      </c>
      <c r="C163" s="3" t="s">
        <v>660</v>
      </c>
      <c r="D163" s="3" t="s">
        <v>661</v>
      </c>
      <c r="E163" s="3" t="s">
        <v>662</v>
      </c>
      <c r="F163" s="3" t="s">
        <v>591</v>
      </c>
    </row>
    <row r="164" customFormat="false" ht="12.8" hidden="false" customHeight="false" outlineLevel="0" collapsed="false">
      <c r="A164" s="48" t="s">
        <v>663</v>
      </c>
      <c r="B164" s="3" t="s">
        <v>655</v>
      </c>
      <c r="C164" s="3" t="s">
        <v>664</v>
      </c>
      <c r="D164" s="3" t="s">
        <v>665</v>
      </c>
      <c r="E164" s="3" t="s">
        <v>642</v>
      </c>
      <c r="F164" s="3" t="s">
        <v>666</v>
      </c>
    </row>
    <row r="165" customFormat="false" ht="12.8" hidden="false" customHeight="false" outlineLevel="0" collapsed="false">
      <c r="A165" s="48" t="s">
        <v>667</v>
      </c>
      <c r="B165" s="3" t="s">
        <v>655</v>
      </c>
      <c r="C165" s="3" t="s">
        <v>668</v>
      </c>
      <c r="D165" s="3" t="s">
        <v>669</v>
      </c>
      <c r="E165" s="3" t="s">
        <v>670</v>
      </c>
      <c r="F165" s="3" t="s">
        <v>575</v>
      </c>
    </row>
    <row r="166" customFormat="false" ht="12.8" hidden="false" customHeight="false" outlineLevel="0" collapsed="false">
      <c r="A166" s="48" t="s">
        <v>671</v>
      </c>
      <c r="B166" s="3" t="s">
        <v>655</v>
      </c>
      <c r="C166" s="3" t="s">
        <v>672</v>
      </c>
      <c r="D166" s="3" t="s">
        <v>673</v>
      </c>
      <c r="E166" s="3" t="s">
        <v>674</v>
      </c>
      <c r="F166" s="3" t="s">
        <v>652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1"/>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pane xSplit="2" ySplit="2" topLeftCell="C62" activePane="bottomRight" state="frozen"/>
      <selection pane="topLeft" activeCell="A1" activeCellId="0" sqref="A1"/>
      <selection pane="topRight" activeCell="C1" activeCellId="0" sqref="C1"/>
      <selection pane="bottomLeft" activeCell="A62" activeCellId="0" sqref="A62"/>
      <selection pane="bottomRight" activeCell="B84" activeCellId="0" sqref="B84"/>
    </sheetView>
  </sheetViews>
  <sheetFormatPr defaultColWidth="11.53515625" defaultRowHeight="12.8" customHeight="false" zeroHeight="false" outlineLevelRow="0" outlineLevelCol="0"/>
  <cols>
    <col collapsed="false" customWidth="true" hidden="false" outlineLevel="0" max="1" min="1" style="48" width="23.07"/>
    <col collapsed="false" customWidth="true" hidden="false" outlineLevel="0" max="2" min="2" style="3" width="32.29"/>
    <col collapsed="false" customWidth="true" hidden="false" outlineLevel="0" max="4" min="4" style="3" width="20.76"/>
  </cols>
  <sheetData>
    <row r="1" customFormat="false" ht="12.8" hidden="false" customHeight="false" outlineLevel="0" collapsed="false">
      <c r="A1" s="50" t="s">
        <v>675</v>
      </c>
      <c r="B1" s="39" t="s">
        <v>676</v>
      </c>
      <c r="C1" s="39" t="s">
        <v>181</v>
      </c>
      <c r="E1" s="39"/>
      <c r="F1" s="39"/>
      <c r="G1" s="39"/>
      <c r="H1" s="3"/>
    </row>
    <row r="2" customFormat="false" ht="12.8" hidden="false" customHeight="false" outlineLevel="0" collapsed="false">
      <c r="A2" s="49" t="s">
        <v>182</v>
      </c>
      <c r="B2" s="49" t="s">
        <v>184</v>
      </c>
      <c r="C2" s="49" t="s">
        <v>677</v>
      </c>
      <c r="D2" s="49" t="s">
        <v>186</v>
      </c>
      <c r="E2" s="49" t="s">
        <v>678</v>
      </c>
      <c r="F2" s="49" t="s">
        <v>679</v>
      </c>
      <c r="G2" s="49" t="s">
        <v>680</v>
      </c>
      <c r="H2" s="49" t="s">
        <v>187</v>
      </c>
    </row>
    <row r="3" customFormat="false" ht="12.8" hidden="false" customHeight="false" outlineLevel="0" collapsed="false">
      <c r="A3" s="48" t="s">
        <v>681</v>
      </c>
      <c r="B3" s="39" t="s">
        <v>682</v>
      </c>
    </row>
    <row r="4" customFormat="false" ht="12.8" hidden="false" customHeight="false" outlineLevel="0" collapsed="false">
      <c r="A4" s="48" t="s">
        <v>683</v>
      </c>
      <c r="B4" s="3" t="s">
        <v>184</v>
      </c>
      <c r="C4" s="3" t="s">
        <v>684</v>
      </c>
      <c r="D4" s="3" t="s">
        <v>186</v>
      </c>
      <c r="E4" s="3" t="s">
        <v>678</v>
      </c>
      <c r="F4" s="3" t="s">
        <v>679</v>
      </c>
      <c r="G4" s="3" t="s">
        <v>680</v>
      </c>
      <c r="H4" s="3" t="s">
        <v>187</v>
      </c>
      <c r="I4" s="3" t="s">
        <v>685</v>
      </c>
    </row>
    <row r="5" customFormat="false" ht="12.8" hidden="false" customHeight="false" outlineLevel="0" collapsed="false">
      <c r="A5" s="48" t="s">
        <v>686</v>
      </c>
      <c r="B5" s="3" t="s">
        <v>687</v>
      </c>
      <c r="C5" s="3" t="n">
        <v>4130000</v>
      </c>
      <c r="D5" s="3" t="s">
        <v>688</v>
      </c>
      <c r="E5" s="3" t="s">
        <v>689</v>
      </c>
      <c r="F5" s="3" t="s">
        <v>690</v>
      </c>
      <c r="G5" s="51" t="s">
        <v>691</v>
      </c>
      <c r="H5" s="3" t="s">
        <v>692</v>
      </c>
      <c r="I5" s="3" t="s">
        <v>693</v>
      </c>
    </row>
    <row r="6" customFormat="false" ht="12.8" hidden="false" customHeight="false" outlineLevel="0" collapsed="false">
      <c r="A6" s="48" t="s">
        <v>694</v>
      </c>
      <c r="B6" s="3" t="s">
        <v>695</v>
      </c>
      <c r="C6" s="3" t="n">
        <v>0.01</v>
      </c>
      <c r="D6" s="3" t="s">
        <v>696</v>
      </c>
      <c r="E6" s="3" t="s">
        <v>689</v>
      </c>
      <c r="F6" s="3" t="s">
        <v>697</v>
      </c>
      <c r="G6" s="51" t="s">
        <v>691</v>
      </c>
      <c r="H6" s="3" t="s">
        <v>698</v>
      </c>
      <c r="I6" s="3" t="s">
        <v>693</v>
      </c>
    </row>
    <row r="7" customFormat="false" ht="12.8" hidden="false" customHeight="false" outlineLevel="0" collapsed="false">
      <c r="A7" s="48" t="s">
        <v>699</v>
      </c>
      <c r="B7" s="3" t="s">
        <v>700</v>
      </c>
      <c r="C7" s="3" t="n">
        <v>0.025</v>
      </c>
      <c r="D7" s="3" t="s">
        <v>701</v>
      </c>
      <c r="E7" s="3" t="s">
        <v>689</v>
      </c>
      <c r="F7" s="3" t="s">
        <v>702</v>
      </c>
      <c r="G7" s="51" t="s">
        <v>691</v>
      </c>
      <c r="H7" s="3" t="s">
        <v>703</v>
      </c>
      <c r="I7" s="3" t="s">
        <v>693</v>
      </c>
    </row>
    <row r="8" customFormat="false" ht="12.8" hidden="false" customHeight="false" outlineLevel="0" collapsed="false">
      <c r="A8" s="48" t="s">
        <v>704</v>
      </c>
      <c r="B8" s="3" t="s">
        <v>705</v>
      </c>
      <c r="C8" s="3" t="n">
        <v>0.12</v>
      </c>
      <c r="D8" s="3" t="s">
        <v>706</v>
      </c>
      <c r="E8" s="3" t="s">
        <v>689</v>
      </c>
      <c r="F8" s="3" t="s">
        <v>707</v>
      </c>
      <c r="G8" s="51" t="s">
        <v>691</v>
      </c>
      <c r="H8" s="3" t="s">
        <v>708</v>
      </c>
      <c r="I8" s="3" t="s">
        <v>709</v>
      </c>
    </row>
    <row r="9" customFormat="false" ht="12.8" hidden="false" customHeight="false" outlineLevel="0" collapsed="false">
      <c r="A9" s="48" t="s">
        <v>710</v>
      </c>
      <c r="B9" s="3" t="s">
        <v>711</v>
      </c>
      <c r="C9" s="3" t="n">
        <v>0.08</v>
      </c>
      <c r="D9" s="3" t="s">
        <v>712</v>
      </c>
      <c r="E9" s="3" t="s">
        <v>689</v>
      </c>
      <c r="F9" s="3" t="s">
        <v>713</v>
      </c>
      <c r="G9" s="51" t="s">
        <v>691</v>
      </c>
      <c r="H9" s="3" t="s">
        <v>714</v>
      </c>
      <c r="I9" s="3" t="s">
        <v>715</v>
      </c>
    </row>
    <row r="10" customFormat="false" ht="12.8" hidden="false" customHeight="false" outlineLevel="0" collapsed="false">
      <c r="A10" s="48" t="s">
        <v>716</v>
      </c>
      <c r="B10" s="3" t="s">
        <v>717</v>
      </c>
      <c r="C10" s="3" t="n">
        <v>0.15</v>
      </c>
      <c r="D10" s="3" t="s">
        <v>718</v>
      </c>
      <c r="E10" s="3" t="s">
        <v>689</v>
      </c>
      <c r="F10" s="3" t="s">
        <v>719</v>
      </c>
      <c r="G10" s="51" t="s">
        <v>691</v>
      </c>
      <c r="H10" s="3" t="s">
        <v>719</v>
      </c>
      <c r="I10" s="3" t="s">
        <v>720</v>
      </c>
    </row>
    <row r="11" customFormat="false" ht="12.8" hidden="false" customHeight="false" outlineLevel="0" collapsed="false">
      <c r="A11" s="48" t="s">
        <v>721</v>
      </c>
      <c r="B11" s="3" t="s">
        <v>722</v>
      </c>
      <c r="C11" s="3" t="s">
        <v>723</v>
      </c>
      <c r="D11" s="3" t="s">
        <v>724</v>
      </c>
      <c r="E11" s="3" t="s">
        <v>689</v>
      </c>
      <c r="F11" s="3" t="s">
        <v>725</v>
      </c>
      <c r="G11" s="51" t="s">
        <v>691</v>
      </c>
      <c r="H11" s="3" t="s">
        <v>726</v>
      </c>
      <c r="I11" s="3" t="s">
        <v>693</v>
      </c>
    </row>
    <row r="12" customFormat="false" ht="12.8" hidden="false" customHeight="false" outlineLevel="0" collapsed="false">
      <c r="A12" s="48" t="s">
        <v>727</v>
      </c>
      <c r="B12" s="3" t="s">
        <v>728</v>
      </c>
      <c r="C12" s="3" t="s">
        <v>729</v>
      </c>
      <c r="D12" s="3" t="s">
        <v>730</v>
      </c>
      <c r="E12" s="3" t="s">
        <v>689</v>
      </c>
      <c r="F12" s="3" t="s">
        <v>731</v>
      </c>
      <c r="G12" s="51" t="s">
        <v>691</v>
      </c>
      <c r="H12" s="3" t="s">
        <v>732</v>
      </c>
      <c r="I12" s="3" t="s">
        <v>693</v>
      </c>
    </row>
    <row r="13" customFormat="false" ht="12.8" hidden="false" customHeight="false" outlineLevel="0" collapsed="false">
      <c r="A13" s="48" t="s">
        <v>733</v>
      </c>
      <c r="B13" s="3" t="s">
        <v>734</v>
      </c>
      <c r="C13" s="3" t="s">
        <v>735</v>
      </c>
      <c r="D13" s="3" t="s">
        <v>736</v>
      </c>
      <c r="E13" s="3" t="s">
        <v>689</v>
      </c>
      <c r="F13" s="3" t="s">
        <v>737</v>
      </c>
      <c r="G13" s="51" t="s">
        <v>691</v>
      </c>
      <c r="H13" s="3" t="s">
        <v>738</v>
      </c>
      <c r="I13" s="3" t="s">
        <v>693</v>
      </c>
    </row>
    <row r="14" customFormat="false" ht="12.8" hidden="false" customHeight="false" outlineLevel="0" collapsed="false">
      <c r="A14" s="48" t="s">
        <v>739</v>
      </c>
      <c r="B14" s="3" t="s">
        <v>740</v>
      </c>
      <c r="C14" s="3" t="s">
        <v>741</v>
      </c>
      <c r="D14" s="3" t="s">
        <v>742</v>
      </c>
      <c r="E14" s="3" t="s">
        <v>689</v>
      </c>
      <c r="F14" s="3" t="s">
        <v>743</v>
      </c>
      <c r="G14" s="51" t="s">
        <v>691</v>
      </c>
      <c r="H14" s="3" t="s">
        <v>744</v>
      </c>
      <c r="I14" s="3" t="s">
        <v>693</v>
      </c>
    </row>
    <row r="15" customFormat="false" ht="12.8" hidden="false" customHeight="false" outlineLevel="0" collapsed="false">
      <c r="A15" s="48" t="s">
        <v>745</v>
      </c>
      <c r="B15" s="3" t="s">
        <v>746</v>
      </c>
      <c r="C15" s="3" t="n">
        <v>1.025</v>
      </c>
      <c r="D15" s="3" t="s">
        <v>747</v>
      </c>
      <c r="E15" s="3" t="s">
        <v>689</v>
      </c>
      <c r="F15" s="3" t="s">
        <v>748</v>
      </c>
      <c r="G15" s="51" t="s">
        <v>691</v>
      </c>
      <c r="H15" s="3" t="s">
        <v>749</v>
      </c>
      <c r="I15" s="3" t="s">
        <v>693</v>
      </c>
    </row>
    <row r="16" customFormat="false" ht="12.8" hidden="false" customHeight="false" outlineLevel="0" collapsed="false">
      <c r="A16" s="48" t="s">
        <v>750</v>
      </c>
      <c r="B16" s="3" t="s">
        <v>751</v>
      </c>
      <c r="C16" s="3" t="n">
        <v>0.92</v>
      </c>
      <c r="D16" s="3" t="s">
        <v>752</v>
      </c>
      <c r="E16" s="3" t="s">
        <v>689</v>
      </c>
      <c r="F16" s="3" t="s">
        <v>748</v>
      </c>
      <c r="G16" s="51" t="s">
        <v>691</v>
      </c>
      <c r="H16" s="3" t="s">
        <v>749</v>
      </c>
      <c r="I16" s="3" t="s">
        <v>693</v>
      </c>
    </row>
    <row r="17" customFormat="false" ht="12.8" hidden="false" customHeight="false" outlineLevel="0" collapsed="false">
      <c r="A17" s="48" t="s">
        <v>753</v>
      </c>
      <c r="B17" s="3" t="s">
        <v>754</v>
      </c>
      <c r="C17" s="3" t="n">
        <v>0.14</v>
      </c>
      <c r="D17" s="3" t="s">
        <v>755</v>
      </c>
      <c r="E17" s="3" t="s">
        <v>689</v>
      </c>
      <c r="F17" s="3" t="s">
        <v>756</v>
      </c>
      <c r="G17" s="51" t="s">
        <v>691</v>
      </c>
      <c r="H17" s="3" t="s">
        <v>749</v>
      </c>
      <c r="I17" s="3" t="s">
        <v>693</v>
      </c>
    </row>
    <row r="18" customFormat="false" ht="12.8" hidden="false" customHeight="false" outlineLevel="0" collapsed="false">
      <c r="A18" s="48" t="s">
        <v>757</v>
      </c>
      <c r="B18" s="3" t="s">
        <v>758</v>
      </c>
      <c r="C18" s="3" t="n">
        <v>0.88</v>
      </c>
      <c r="D18" s="3" t="s">
        <v>759</v>
      </c>
      <c r="E18" s="3" t="s">
        <v>689</v>
      </c>
      <c r="F18" s="3" t="s">
        <v>760</v>
      </c>
      <c r="G18" s="51" t="s">
        <v>691</v>
      </c>
      <c r="H18" s="3" t="s">
        <v>761</v>
      </c>
      <c r="I18" s="3" t="s">
        <v>693</v>
      </c>
    </row>
    <row r="19" customFormat="false" ht="12.8" hidden="false" customHeight="false" outlineLevel="0" collapsed="false">
      <c r="A19" s="48" t="s">
        <v>762</v>
      </c>
      <c r="B19" s="3" t="s">
        <v>763</v>
      </c>
      <c r="C19" s="3" t="n">
        <v>0.81</v>
      </c>
      <c r="D19" s="3" t="s">
        <v>764</v>
      </c>
      <c r="E19" s="3" t="s">
        <v>689</v>
      </c>
      <c r="F19" s="3" t="s">
        <v>765</v>
      </c>
      <c r="G19" s="51" t="s">
        <v>691</v>
      </c>
      <c r="H19" s="3" t="s">
        <v>761</v>
      </c>
      <c r="I19" s="3" t="s">
        <v>693</v>
      </c>
    </row>
    <row r="20" customFormat="false" ht="12.8" hidden="false" customHeight="false" outlineLevel="0" collapsed="false">
      <c r="A20" s="48" t="s">
        <v>766</v>
      </c>
      <c r="B20" s="3" t="s">
        <v>767</v>
      </c>
      <c r="C20" s="3" t="n">
        <v>0.75</v>
      </c>
      <c r="D20" s="3" t="s">
        <v>768</v>
      </c>
      <c r="E20" s="3" t="s">
        <v>769</v>
      </c>
      <c r="F20" s="3" t="s">
        <v>770</v>
      </c>
      <c r="G20" s="51" t="s">
        <v>691</v>
      </c>
      <c r="H20" s="3" t="s">
        <v>761</v>
      </c>
      <c r="I20" s="3" t="s">
        <v>693</v>
      </c>
    </row>
    <row r="21" customFormat="false" ht="12.8" hidden="false" customHeight="false" outlineLevel="0" collapsed="false">
      <c r="A21" s="48" t="s">
        <v>771</v>
      </c>
      <c r="B21" s="3" t="s">
        <v>772</v>
      </c>
      <c r="C21" s="3" t="n">
        <v>1.04</v>
      </c>
      <c r="D21" s="3" t="s">
        <v>773</v>
      </c>
      <c r="E21" s="3" t="s">
        <v>689</v>
      </c>
      <c r="F21" s="3" t="s">
        <v>774</v>
      </c>
      <c r="G21" s="51" t="s">
        <v>691</v>
      </c>
      <c r="H21" s="3" t="s">
        <v>775</v>
      </c>
      <c r="I21" s="3" t="s">
        <v>693</v>
      </c>
    </row>
    <row r="22" customFormat="false" ht="12.8" hidden="false" customHeight="false" outlineLevel="0" collapsed="false">
      <c r="A22" s="48" t="s">
        <v>776</v>
      </c>
      <c r="B22" s="3" t="s">
        <v>777</v>
      </c>
      <c r="C22" s="3" t="s">
        <v>778</v>
      </c>
      <c r="D22" s="3" t="s">
        <v>779</v>
      </c>
      <c r="E22" s="3" t="s">
        <v>689</v>
      </c>
      <c r="F22" s="3" t="s">
        <v>780</v>
      </c>
      <c r="G22" s="51" t="s">
        <v>691</v>
      </c>
      <c r="H22" s="3" t="s">
        <v>781</v>
      </c>
      <c r="I22" s="3" t="s">
        <v>693</v>
      </c>
    </row>
    <row r="23" customFormat="false" ht="12.8" hidden="false" customHeight="false" outlineLevel="0" collapsed="false">
      <c r="A23" s="48" t="s">
        <v>782</v>
      </c>
      <c r="B23" s="3" t="s">
        <v>783</v>
      </c>
      <c r="C23" s="3" t="s">
        <v>784</v>
      </c>
      <c r="D23" s="3" t="s">
        <v>785</v>
      </c>
      <c r="E23" s="3" t="s">
        <v>689</v>
      </c>
      <c r="F23" s="3" t="s">
        <v>786</v>
      </c>
      <c r="G23" s="51" t="s">
        <v>691</v>
      </c>
      <c r="H23" s="3" t="s">
        <v>775</v>
      </c>
      <c r="I23" s="3" t="s">
        <v>693</v>
      </c>
    </row>
    <row r="24" customFormat="false" ht="12.8" hidden="false" customHeight="false" outlineLevel="0" collapsed="false">
      <c r="A24" s="48" t="s">
        <v>787</v>
      </c>
      <c r="B24" s="3" t="s">
        <v>788</v>
      </c>
      <c r="C24" s="3" t="n">
        <v>2381000</v>
      </c>
      <c r="D24" s="3" t="s">
        <v>789</v>
      </c>
      <c r="E24" s="3" t="s">
        <v>689</v>
      </c>
      <c r="F24" s="3" t="s">
        <v>690</v>
      </c>
      <c r="G24" s="51" t="s">
        <v>691</v>
      </c>
      <c r="H24" s="3" t="s">
        <v>790</v>
      </c>
      <c r="I24" s="3" t="s">
        <v>32</v>
      </c>
    </row>
    <row r="25" customFormat="false" ht="12.8" hidden="false" customHeight="false" outlineLevel="0" collapsed="false">
      <c r="A25" s="48" t="s">
        <v>791</v>
      </c>
      <c r="B25" s="3" t="s">
        <v>792</v>
      </c>
      <c r="C25" s="3" t="n">
        <v>0.05</v>
      </c>
      <c r="D25" s="3" t="s">
        <v>793</v>
      </c>
      <c r="E25" s="3" t="s">
        <v>689</v>
      </c>
      <c r="F25" s="3" t="s">
        <v>794</v>
      </c>
      <c r="G25" s="51" t="s">
        <v>691</v>
      </c>
      <c r="H25" s="3" t="s">
        <v>794</v>
      </c>
      <c r="I25" s="3" t="s">
        <v>693</v>
      </c>
    </row>
    <row r="26" customFormat="false" ht="12.8" hidden="false" customHeight="false" outlineLevel="0" collapsed="false">
      <c r="A26" s="48" t="s">
        <v>795</v>
      </c>
      <c r="B26" s="3" t="s">
        <v>796</v>
      </c>
      <c r="C26" s="3" t="s">
        <v>797</v>
      </c>
      <c r="D26" s="3" t="s">
        <v>798</v>
      </c>
      <c r="E26" s="3" t="s">
        <v>689</v>
      </c>
      <c r="F26" s="3" t="s">
        <v>774</v>
      </c>
      <c r="G26" s="51" t="s">
        <v>691</v>
      </c>
      <c r="H26" s="3" t="s">
        <v>761</v>
      </c>
      <c r="I26" s="3" t="s">
        <v>693</v>
      </c>
    </row>
    <row r="27" customFormat="false" ht="12.8" hidden="false" customHeight="false" outlineLevel="0" collapsed="false">
      <c r="A27" s="48" t="s">
        <v>799</v>
      </c>
      <c r="B27" s="3" t="s">
        <v>800</v>
      </c>
      <c r="C27" s="3" t="s">
        <v>801</v>
      </c>
      <c r="D27" s="3" t="s">
        <v>802</v>
      </c>
      <c r="E27" s="3" t="s">
        <v>689</v>
      </c>
      <c r="F27" s="3" t="s">
        <v>803</v>
      </c>
      <c r="G27" s="51" t="s">
        <v>691</v>
      </c>
      <c r="H27" s="3" t="s">
        <v>794</v>
      </c>
      <c r="I27" s="3" t="s">
        <v>693</v>
      </c>
    </row>
    <row r="28" customFormat="false" ht="12.8" hidden="false" customHeight="false" outlineLevel="0" collapsed="false">
      <c r="A28" s="48" t="s">
        <v>804</v>
      </c>
      <c r="B28" s="3" t="s">
        <v>805</v>
      </c>
      <c r="C28" s="3" t="s">
        <v>806</v>
      </c>
      <c r="D28" s="3" t="s">
        <v>807</v>
      </c>
      <c r="E28" s="3" t="s">
        <v>689</v>
      </c>
      <c r="F28" s="3" t="s">
        <v>808</v>
      </c>
      <c r="G28" s="51" t="s">
        <v>691</v>
      </c>
      <c r="H28" s="3" t="s">
        <v>794</v>
      </c>
      <c r="I28" s="3" t="s">
        <v>693</v>
      </c>
    </row>
    <row r="29" customFormat="false" ht="12.8" hidden="false" customHeight="false" outlineLevel="0" collapsed="false">
      <c r="A29" s="48" t="s">
        <v>809</v>
      </c>
      <c r="B29" s="3" t="s">
        <v>810</v>
      </c>
      <c r="C29" s="3" t="s">
        <v>811</v>
      </c>
      <c r="D29" s="3" t="s">
        <v>812</v>
      </c>
      <c r="E29" s="3" t="s">
        <v>689</v>
      </c>
      <c r="F29" s="3" t="s">
        <v>774</v>
      </c>
      <c r="G29" s="51" t="s">
        <v>691</v>
      </c>
      <c r="H29" s="3" t="s">
        <v>794</v>
      </c>
      <c r="I29" s="3" t="s">
        <v>693</v>
      </c>
    </row>
    <row r="30" customFormat="false" ht="12.8" hidden="false" customHeight="false" outlineLevel="0" collapsed="false">
      <c r="A30" s="48" t="s">
        <v>813</v>
      </c>
      <c r="B30" s="3" t="s">
        <v>814</v>
      </c>
      <c r="C30" s="3" t="s">
        <v>815</v>
      </c>
      <c r="D30" s="3" t="s">
        <v>816</v>
      </c>
      <c r="E30" s="3" t="s">
        <v>689</v>
      </c>
      <c r="F30" s="3" t="s">
        <v>817</v>
      </c>
      <c r="G30" s="51" t="s">
        <v>691</v>
      </c>
      <c r="H30" s="3" t="s">
        <v>818</v>
      </c>
      <c r="I30" s="3" t="s">
        <v>819</v>
      </c>
    </row>
    <row r="31" customFormat="false" ht="12.8" hidden="false" customHeight="false" outlineLevel="0" collapsed="false">
      <c r="A31" s="48" t="s">
        <v>820</v>
      </c>
      <c r="B31" s="3" t="s">
        <v>821</v>
      </c>
      <c r="C31" s="3" t="s">
        <v>822</v>
      </c>
      <c r="D31" s="3" t="s">
        <v>823</v>
      </c>
      <c r="E31" s="3" t="s">
        <v>689</v>
      </c>
      <c r="F31" s="3" t="s">
        <v>808</v>
      </c>
      <c r="G31" s="51" t="s">
        <v>691</v>
      </c>
      <c r="H31" s="3" t="s">
        <v>824</v>
      </c>
      <c r="I31" s="3" t="s">
        <v>38</v>
      </c>
    </row>
    <row r="32" customFormat="false" ht="12.8" hidden="false" customHeight="false" outlineLevel="0" collapsed="false">
      <c r="A32" s="48" t="s">
        <v>825</v>
      </c>
      <c r="B32" s="3" t="s">
        <v>826</v>
      </c>
      <c r="C32" s="3" t="s">
        <v>827</v>
      </c>
      <c r="D32" s="3" t="s">
        <v>828</v>
      </c>
      <c r="E32" s="3" t="s">
        <v>689</v>
      </c>
      <c r="F32" s="3" t="s">
        <v>829</v>
      </c>
      <c r="G32" s="51" t="s">
        <v>691</v>
      </c>
      <c r="H32" s="3" t="s">
        <v>829</v>
      </c>
      <c r="I32" s="3" t="s">
        <v>41</v>
      </c>
    </row>
    <row r="33" customFormat="false" ht="12.8" hidden="false" customHeight="false" outlineLevel="0" collapsed="false">
      <c r="A33" s="48" t="s">
        <v>830</v>
      </c>
      <c r="B33" s="3" t="s">
        <v>831</v>
      </c>
      <c r="C33" s="3" t="n">
        <v>1.08</v>
      </c>
      <c r="D33" s="3" t="s">
        <v>832</v>
      </c>
      <c r="E33" s="3" t="s">
        <v>689</v>
      </c>
      <c r="F33" s="3" t="s">
        <v>833</v>
      </c>
      <c r="G33" s="51" t="s">
        <v>691</v>
      </c>
      <c r="H33" s="3" t="s">
        <v>833</v>
      </c>
      <c r="I33" s="3" t="s">
        <v>41</v>
      </c>
    </row>
    <row r="34" customFormat="false" ht="12.8" hidden="false" customHeight="false" outlineLevel="0" collapsed="false">
      <c r="A34" s="48" t="s">
        <v>834</v>
      </c>
      <c r="B34" s="3" t="s">
        <v>835</v>
      </c>
      <c r="C34" s="3" t="s">
        <v>836</v>
      </c>
      <c r="D34" s="3" t="s">
        <v>837</v>
      </c>
      <c r="E34" s="3" t="s">
        <v>689</v>
      </c>
      <c r="F34" s="3" t="s">
        <v>833</v>
      </c>
      <c r="G34" s="51" t="s">
        <v>691</v>
      </c>
      <c r="H34" s="3" t="s">
        <v>833</v>
      </c>
      <c r="I34" s="3" t="s">
        <v>41</v>
      </c>
    </row>
    <row r="35" customFormat="false" ht="12.8" hidden="false" customHeight="false" outlineLevel="0" collapsed="false">
      <c r="A35" s="48" t="s">
        <v>838</v>
      </c>
      <c r="B35" s="3" t="s">
        <v>839</v>
      </c>
      <c r="C35" s="3" t="s">
        <v>840</v>
      </c>
      <c r="D35" s="3" t="s">
        <v>841</v>
      </c>
      <c r="E35" s="3" t="s">
        <v>689</v>
      </c>
      <c r="F35" s="3" t="s">
        <v>833</v>
      </c>
      <c r="G35" s="51" t="s">
        <v>691</v>
      </c>
      <c r="H35" s="3" t="s">
        <v>833</v>
      </c>
      <c r="I35" s="3" t="s">
        <v>41</v>
      </c>
    </row>
    <row r="36" customFormat="false" ht="12.8" hidden="false" customHeight="false" outlineLevel="0" collapsed="false">
      <c r="A36" s="48" t="s">
        <v>842</v>
      </c>
      <c r="B36" s="3" t="s">
        <v>843</v>
      </c>
      <c r="C36" s="3" t="n">
        <v>2317000</v>
      </c>
      <c r="D36" s="3" t="s">
        <v>844</v>
      </c>
      <c r="E36" s="3" t="s">
        <v>689</v>
      </c>
      <c r="F36" s="3" t="s">
        <v>690</v>
      </c>
      <c r="G36" s="51" t="s">
        <v>691</v>
      </c>
      <c r="H36" s="3" t="s">
        <v>845</v>
      </c>
      <c r="I36" s="3" t="s">
        <v>68</v>
      </c>
    </row>
    <row r="37" customFormat="false" ht="12.8" hidden="false" customHeight="false" outlineLevel="0" collapsed="false">
      <c r="A37" s="48" t="s">
        <v>846</v>
      </c>
      <c r="B37" s="3" t="s">
        <v>847</v>
      </c>
      <c r="C37" s="3" t="n">
        <v>64000</v>
      </c>
      <c r="D37" s="3" t="s">
        <v>848</v>
      </c>
      <c r="E37" s="3" t="s">
        <v>689</v>
      </c>
      <c r="F37" s="3" t="s">
        <v>690</v>
      </c>
      <c r="G37" s="51" t="s">
        <v>691</v>
      </c>
      <c r="H37" s="3" t="s">
        <v>845</v>
      </c>
      <c r="I37" s="3" t="s">
        <v>849</v>
      </c>
    </row>
    <row r="38" customFormat="false" ht="12.8" hidden="false" customHeight="false" outlineLevel="0" collapsed="false">
      <c r="A38" s="48" t="s">
        <v>850</v>
      </c>
      <c r="B38" s="3" t="s">
        <v>851</v>
      </c>
      <c r="C38" s="3" t="n">
        <v>0.577</v>
      </c>
      <c r="D38" s="3" t="s">
        <v>852</v>
      </c>
      <c r="E38" s="3" t="s">
        <v>689</v>
      </c>
      <c r="F38" s="3" t="s">
        <v>690</v>
      </c>
      <c r="G38" s="51" t="s">
        <v>691</v>
      </c>
      <c r="H38" s="3" t="s">
        <v>845</v>
      </c>
      <c r="I38" s="3" t="s">
        <v>38</v>
      </c>
    </row>
    <row r="39" customFormat="false" ht="12.8" hidden="false" customHeight="false" outlineLevel="0" collapsed="false">
      <c r="A39" s="48" t="s">
        <v>853</v>
      </c>
      <c r="B39" s="3" t="s">
        <v>854</v>
      </c>
      <c r="C39" s="3" t="n">
        <v>0.561</v>
      </c>
      <c r="D39" s="3" t="s">
        <v>855</v>
      </c>
      <c r="E39" s="3" t="s">
        <v>689</v>
      </c>
      <c r="F39" s="3" t="s">
        <v>690</v>
      </c>
      <c r="G39" s="51" t="s">
        <v>691</v>
      </c>
      <c r="H39" s="3" t="s">
        <v>845</v>
      </c>
      <c r="I39" s="3" t="s">
        <v>35</v>
      </c>
    </row>
    <row r="40" customFormat="false" ht="12.8" hidden="false" customHeight="false" outlineLevel="0" collapsed="false">
      <c r="A40" s="48" t="s">
        <v>856</v>
      </c>
      <c r="B40" s="3" t="s">
        <v>857</v>
      </c>
      <c r="C40" s="3" t="n">
        <v>0.027</v>
      </c>
      <c r="D40" s="3" t="s">
        <v>858</v>
      </c>
      <c r="E40" s="3" t="s">
        <v>689</v>
      </c>
      <c r="F40" s="3" t="s">
        <v>690</v>
      </c>
      <c r="G40" s="51" t="s">
        <v>691</v>
      </c>
      <c r="H40" s="3" t="s">
        <v>845</v>
      </c>
      <c r="I40" s="3" t="s">
        <v>41</v>
      </c>
    </row>
    <row r="41" customFormat="false" ht="12.8" hidden="false" customHeight="false" outlineLevel="0" collapsed="false">
      <c r="A41" s="48" t="s">
        <v>859</v>
      </c>
      <c r="B41" s="3" t="s">
        <v>860</v>
      </c>
      <c r="C41" s="3" t="n">
        <v>148000</v>
      </c>
      <c r="D41" s="3" t="s">
        <v>861</v>
      </c>
      <c r="E41" s="3" t="s">
        <v>689</v>
      </c>
      <c r="F41" s="3" t="s">
        <v>862</v>
      </c>
      <c r="G41" s="51" t="s">
        <v>691</v>
      </c>
      <c r="H41" s="3" t="s">
        <v>863</v>
      </c>
      <c r="I41" s="3" t="s">
        <v>864</v>
      </c>
    </row>
    <row r="42" customFormat="false" ht="12.8" hidden="false" customHeight="false" outlineLevel="0" collapsed="false">
      <c r="A42" s="48" t="s">
        <v>865</v>
      </c>
      <c r="B42" s="3" t="s">
        <v>866</v>
      </c>
      <c r="C42" s="3" t="s">
        <v>867</v>
      </c>
      <c r="D42" s="3" t="s">
        <v>868</v>
      </c>
      <c r="E42" s="3" t="s">
        <v>689</v>
      </c>
      <c r="F42" s="3" t="s">
        <v>869</v>
      </c>
      <c r="G42" s="51" t="s">
        <v>691</v>
      </c>
      <c r="H42" s="3" t="s">
        <v>870</v>
      </c>
      <c r="I42" s="3" t="s">
        <v>871</v>
      </c>
    </row>
    <row r="43" customFormat="false" ht="12.8" hidden="false" customHeight="false" outlineLevel="0" collapsed="false">
      <c r="A43" s="48" t="s">
        <v>872</v>
      </c>
      <c r="B43" s="3" t="s">
        <v>873</v>
      </c>
      <c r="C43" s="3" t="s">
        <v>874</v>
      </c>
      <c r="D43" s="3" t="s">
        <v>875</v>
      </c>
      <c r="E43" s="3" t="s">
        <v>689</v>
      </c>
      <c r="F43" s="3" t="s">
        <v>876</v>
      </c>
      <c r="G43" s="51" t="s">
        <v>691</v>
      </c>
      <c r="H43" s="3" t="s">
        <v>870</v>
      </c>
      <c r="I43" s="3" t="s">
        <v>871</v>
      </c>
    </row>
    <row r="45" customFormat="false" ht="12.8" hidden="false" customHeight="false" outlineLevel="0" collapsed="false">
      <c r="A45" s="48" t="s">
        <v>877</v>
      </c>
      <c r="B45" s="39" t="s">
        <v>878</v>
      </c>
    </row>
    <row r="46" customFormat="false" ht="12.8" hidden="false" customHeight="false" outlineLevel="0" collapsed="false">
      <c r="A46" s="48" t="s">
        <v>683</v>
      </c>
      <c r="B46" s="3" t="s">
        <v>184</v>
      </c>
      <c r="C46" s="3" t="s">
        <v>684</v>
      </c>
      <c r="D46" s="3" t="s">
        <v>186</v>
      </c>
      <c r="E46" s="3" t="s">
        <v>678</v>
      </c>
      <c r="F46" s="3" t="s">
        <v>679</v>
      </c>
      <c r="G46" s="3" t="s">
        <v>680</v>
      </c>
      <c r="H46" s="3" t="s">
        <v>187</v>
      </c>
      <c r="I46" s="3" t="s">
        <v>685</v>
      </c>
    </row>
    <row r="47" customFormat="false" ht="12.8" hidden="false" customHeight="false" outlineLevel="0" collapsed="false">
      <c r="A47" s="48" t="s">
        <v>879</v>
      </c>
      <c r="B47" s="3" t="s">
        <v>880</v>
      </c>
      <c r="C47" s="3" t="s">
        <v>881</v>
      </c>
      <c r="D47" s="3" t="s">
        <v>882</v>
      </c>
      <c r="E47" s="3" t="s">
        <v>689</v>
      </c>
      <c r="F47" s="3" t="s">
        <v>883</v>
      </c>
      <c r="G47" s="51" t="s">
        <v>691</v>
      </c>
      <c r="H47" s="3" t="s">
        <v>258</v>
      </c>
      <c r="I47" s="3" t="s">
        <v>884</v>
      </c>
    </row>
    <row r="48" customFormat="false" ht="12.8" hidden="false" customHeight="false" outlineLevel="0" collapsed="false">
      <c r="A48" s="48" t="s">
        <v>885</v>
      </c>
      <c r="B48" s="3" t="s">
        <v>886</v>
      </c>
      <c r="C48" s="3" t="s">
        <v>887</v>
      </c>
      <c r="D48" s="3" t="s">
        <v>888</v>
      </c>
      <c r="E48" s="3" t="s">
        <v>689</v>
      </c>
      <c r="F48" s="3" t="s">
        <v>889</v>
      </c>
      <c r="G48" s="51" t="s">
        <v>691</v>
      </c>
      <c r="H48" s="3" t="s">
        <v>258</v>
      </c>
      <c r="I48" s="3" t="s">
        <v>32</v>
      </c>
    </row>
    <row r="49" customFormat="false" ht="12.8" hidden="false" customHeight="false" outlineLevel="0" collapsed="false">
      <c r="A49" s="48" t="s">
        <v>890</v>
      </c>
      <c r="B49" s="3" t="s">
        <v>891</v>
      </c>
      <c r="C49" s="3" t="n">
        <v>0.62</v>
      </c>
      <c r="D49" s="3" t="s">
        <v>892</v>
      </c>
      <c r="E49" s="3" t="s">
        <v>689</v>
      </c>
      <c r="F49" s="3" t="s">
        <v>893</v>
      </c>
      <c r="G49" s="51" t="s">
        <v>691</v>
      </c>
      <c r="H49" s="3" t="s">
        <v>258</v>
      </c>
      <c r="I49" s="3" t="s">
        <v>35</v>
      </c>
    </row>
    <row r="50" customFormat="false" ht="12.8" hidden="false" customHeight="false" outlineLevel="0" collapsed="false">
      <c r="A50" s="48" t="s">
        <v>894</v>
      </c>
      <c r="B50" s="3" t="s">
        <v>895</v>
      </c>
      <c r="C50" s="3" t="n">
        <v>0.48</v>
      </c>
      <c r="D50" s="3" t="s">
        <v>896</v>
      </c>
      <c r="E50" s="3" t="s">
        <v>689</v>
      </c>
      <c r="F50" s="3" t="s">
        <v>893</v>
      </c>
      <c r="G50" s="51" t="s">
        <v>691</v>
      </c>
      <c r="H50" s="3" t="s">
        <v>258</v>
      </c>
      <c r="I50" s="3" t="s">
        <v>35</v>
      </c>
    </row>
    <row r="51" customFormat="false" ht="12.8" hidden="false" customHeight="false" outlineLevel="0" collapsed="false">
      <c r="A51" s="48" t="s">
        <v>897</v>
      </c>
      <c r="B51" s="3" t="s">
        <v>898</v>
      </c>
      <c r="C51" s="3" t="n">
        <v>0.61</v>
      </c>
      <c r="D51" s="3" t="s">
        <v>899</v>
      </c>
      <c r="E51" s="3" t="s">
        <v>689</v>
      </c>
      <c r="F51" s="3" t="s">
        <v>893</v>
      </c>
      <c r="G51" s="51" t="s">
        <v>691</v>
      </c>
      <c r="H51" s="3" t="s">
        <v>258</v>
      </c>
      <c r="I51" s="3" t="s">
        <v>35</v>
      </c>
    </row>
    <row r="52" customFormat="false" ht="12.8" hidden="false" customHeight="false" outlineLevel="0" collapsed="false">
      <c r="A52" s="48" t="s">
        <v>900</v>
      </c>
      <c r="B52" s="3" t="s">
        <v>901</v>
      </c>
      <c r="C52" s="3" t="n">
        <v>1.035</v>
      </c>
      <c r="D52" s="3" t="s">
        <v>902</v>
      </c>
      <c r="E52" s="3" t="s">
        <v>689</v>
      </c>
      <c r="F52" s="3" t="s">
        <v>903</v>
      </c>
      <c r="G52" s="51" t="s">
        <v>691</v>
      </c>
      <c r="H52" s="3" t="s">
        <v>258</v>
      </c>
      <c r="I52" s="3" t="s">
        <v>35</v>
      </c>
    </row>
    <row r="53" customFormat="false" ht="12.8" hidden="false" customHeight="false" outlineLevel="0" collapsed="false">
      <c r="A53" s="48" t="s">
        <v>904</v>
      </c>
      <c r="B53" s="3" t="s">
        <v>905</v>
      </c>
      <c r="C53" s="3" t="n">
        <v>0.64</v>
      </c>
      <c r="D53" s="3" t="s">
        <v>906</v>
      </c>
      <c r="E53" s="3" t="s">
        <v>689</v>
      </c>
      <c r="F53" s="3" t="s">
        <v>907</v>
      </c>
      <c r="G53" s="51" t="s">
        <v>691</v>
      </c>
      <c r="H53" s="3" t="s">
        <v>258</v>
      </c>
      <c r="I53" s="3" t="s">
        <v>38</v>
      </c>
    </row>
    <row r="54" customFormat="false" ht="12.8" hidden="false" customHeight="false" outlineLevel="0" collapsed="false">
      <c r="A54" s="48" t="s">
        <v>908</v>
      </c>
      <c r="B54" s="3" t="s">
        <v>909</v>
      </c>
      <c r="C54" s="3" t="n">
        <v>0.52</v>
      </c>
      <c r="D54" s="3" t="s">
        <v>910</v>
      </c>
      <c r="E54" s="3" t="s">
        <v>689</v>
      </c>
      <c r="F54" s="3" t="s">
        <v>907</v>
      </c>
      <c r="G54" s="51" t="s">
        <v>691</v>
      </c>
      <c r="H54" s="3" t="s">
        <v>258</v>
      </c>
      <c r="I54" s="3" t="s">
        <v>38</v>
      </c>
    </row>
    <row r="55" customFormat="false" ht="12.8" hidden="false" customHeight="false" outlineLevel="0" collapsed="false">
      <c r="A55" s="48" t="s">
        <v>911</v>
      </c>
      <c r="B55" s="3" t="s">
        <v>912</v>
      </c>
      <c r="C55" s="3" t="n">
        <v>0.63</v>
      </c>
      <c r="D55" s="3" t="s">
        <v>913</v>
      </c>
      <c r="E55" s="3" t="s">
        <v>689</v>
      </c>
      <c r="F55" s="3" t="s">
        <v>907</v>
      </c>
      <c r="G55" s="51" t="s">
        <v>691</v>
      </c>
      <c r="H55" s="3" t="s">
        <v>258</v>
      </c>
      <c r="I55" s="3" t="s">
        <v>38</v>
      </c>
    </row>
    <row r="56" customFormat="false" ht="12.8" hidden="false" customHeight="false" outlineLevel="0" collapsed="false">
      <c r="A56" s="48" t="s">
        <v>914</v>
      </c>
      <c r="B56" s="3" t="s">
        <v>915</v>
      </c>
      <c r="C56" s="3" t="s">
        <v>916</v>
      </c>
      <c r="D56" s="3" t="s">
        <v>917</v>
      </c>
      <c r="E56" s="3" t="s">
        <v>689</v>
      </c>
      <c r="F56" s="3" t="s">
        <v>749</v>
      </c>
      <c r="G56" s="51" t="s">
        <v>691</v>
      </c>
      <c r="H56" s="3" t="s">
        <v>258</v>
      </c>
      <c r="I56" s="3" t="s">
        <v>32</v>
      </c>
    </row>
    <row r="57" customFormat="false" ht="12.8" hidden="false" customHeight="false" outlineLevel="0" collapsed="false">
      <c r="A57" s="48" t="s">
        <v>918</v>
      </c>
      <c r="B57" s="3" t="s">
        <v>919</v>
      </c>
      <c r="C57" s="3" t="n">
        <v>0.92</v>
      </c>
      <c r="D57" s="3" t="s">
        <v>920</v>
      </c>
      <c r="E57" s="3" t="s">
        <v>689</v>
      </c>
      <c r="F57" s="3" t="s">
        <v>921</v>
      </c>
      <c r="G57" s="51" t="s">
        <v>691</v>
      </c>
      <c r="H57" s="3" t="s">
        <v>258</v>
      </c>
      <c r="I57" s="3" t="s">
        <v>922</v>
      </c>
    </row>
    <row r="58" customFormat="false" ht="12.8" hidden="false" customHeight="false" outlineLevel="0" collapsed="false">
      <c r="A58" s="48" t="s">
        <v>923</v>
      </c>
      <c r="B58" s="3" t="s">
        <v>924</v>
      </c>
      <c r="C58" s="3" t="n">
        <v>0.88</v>
      </c>
      <c r="D58" s="3" t="s">
        <v>925</v>
      </c>
      <c r="E58" s="3" t="s">
        <v>689</v>
      </c>
      <c r="F58" s="3" t="s">
        <v>714</v>
      </c>
      <c r="G58" s="51" t="s">
        <v>691</v>
      </c>
      <c r="H58" s="3" t="s">
        <v>258</v>
      </c>
      <c r="I58" s="3" t="s">
        <v>926</v>
      </c>
    </row>
    <row r="59" customFormat="false" ht="12.8" hidden="false" customHeight="false" outlineLevel="0" collapsed="false">
      <c r="A59" s="48" t="s">
        <v>927</v>
      </c>
      <c r="B59" s="3" t="s">
        <v>928</v>
      </c>
      <c r="C59" s="3" t="n">
        <v>5</v>
      </c>
      <c r="D59" s="3" t="s">
        <v>929</v>
      </c>
      <c r="E59" s="3" t="s">
        <v>689</v>
      </c>
      <c r="F59" s="3" t="s">
        <v>930</v>
      </c>
      <c r="G59" s="51" t="s">
        <v>691</v>
      </c>
      <c r="H59" s="3" t="s">
        <v>258</v>
      </c>
      <c r="I59" s="3" t="s">
        <v>32</v>
      </c>
    </row>
    <row r="60" customFormat="false" ht="12.8" hidden="false" customHeight="false" outlineLevel="0" collapsed="false">
      <c r="A60" s="48" t="s">
        <v>931</v>
      </c>
      <c r="B60" s="3" t="s">
        <v>932</v>
      </c>
      <c r="C60" s="3" t="n">
        <v>4</v>
      </c>
      <c r="D60" s="3" t="s">
        <v>933</v>
      </c>
      <c r="E60" s="3" t="s">
        <v>689</v>
      </c>
      <c r="F60" s="3" t="s">
        <v>903</v>
      </c>
      <c r="G60" s="51" t="s">
        <v>691</v>
      </c>
      <c r="H60" s="3" t="s">
        <v>258</v>
      </c>
      <c r="I60" s="3" t="s">
        <v>35</v>
      </c>
    </row>
    <row r="61" customFormat="false" ht="12.8" hidden="false" customHeight="false" outlineLevel="0" collapsed="false">
      <c r="A61" s="48" t="s">
        <v>934</v>
      </c>
      <c r="B61" s="3" t="s">
        <v>935</v>
      </c>
      <c r="C61" s="3" t="n">
        <v>4</v>
      </c>
      <c r="D61" s="3" t="s">
        <v>936</v>
      </c>
      <c r="E61" s="3" t="s">
        <v>689</v>
      </c>
      <c r="F61" s="3" t="s">
        <v>824</v>
      </c>
      <c r="G61" s="51" t="s">
        <v>691</v>
      </c>
      <c r="H61" s="3" t="s">
        <v>258</v>
      </c>
      <c r="I61" s="3" t="s">
        <v>38</v>
      </c>
    </row>
    <row r="62" customFormat="false" ht="12.8" hidden="false" customHeight="false" outlineLevel="0" collapsed="false">
      <c r="A62" s="48" t="s">
        <v>937</v>
      </c>
      <c r="B62" s="3" t="s">
        <v>788</v>
      </c>
      <c r="C62" s="3" t="n">
        <v>2381000</v>
      </c>
      <c r="D62" s="3" t="s">
        <v>938</v>
      </c>
      <c r="E62" s="3" t="s">
        <v>689</v>
      </c>
      <c r="F62" s="3" t="s">
        <v>690</v>
      </c>
      <c r="G62" s="51" t="s">
        <v>691</v>
      </c>
      <c r="H62" s="3" t="s">
        <v>258</v>
      </c>
      <c r="I62" s="3" t="s">
        <v>32</v>
      </c>
    </row>
    <row r="63" customFormat="false" ht="12.8" hidden="false" customHeight="false" outlineLevel="0" collapsed="false">
      <c r="A63" s="48" t="s">
        <v>939</v>
      </c>
      <c r="B63" s="3" t="s">
        <v>854</v>
      </c>
      <c r="C63" s="3" t="n">
        <v>0.561</v>
      </c>
      <c r="D63" s="3" t="s">
        <v>855</v>
      </c>
      <c r="E63" s="3" t="s">
        <v>689</v>
      </c>
      <c r="F63" s="3" t="s">
        <v>690</v>
      </c>
      <c r="G63" s="51" t="s">
        <v>691</v>
      </c>
      <c r="H63" s="3" t="s">
        <v>258</v>
      </c>
      <c r="I63" s="3" t="s">
        <v>35</v>
      </c>
    </row>
    <row r="64" customFormat="false" ht="12.8" hidden="false" customHeight="false" outlineLevel="0" collapsed="false">
      <c r="A64" s="48" t="s">
        <v>940</v>
      </c>
      <c r="B64" s="3" t="s">
        <v>851</v>
      </c>
      <c r="C64" s="3" t="n">
        <v>0.577</v>
      </c>
      <c r="D64" s="3" t="s">
        <v>852</v>
      </c>
      <c r="E64" s="3" t="s">
        <v>689</v>
      </c>
      <c r="F64" s="3" t="s">
        <v>690</v>
      </c>
      <c r="G64" s="51" t="s">
        <v>691</v>
      </c>
      <c r="H64" s="3" t="s">
        <v>258</v>
      </c>
      <c r="I64" s="3" t="s">
        <v>38</v>
      </c>
    </row>
    <row r="65" customFormat="false" ht="12.8" hidden="false" customHeight="false" outlineLevel="0" collapsed="false">
      <c r="A65" s="48" t="s">
        <v>941</v>
      </c>
      <c r="B65" s="3" t="s">
        <v>942</v>
      </c>
      <c r="C65" s="3" t="n">
        <v>1.025</v>
      </c>
      <c r="D65" s="3" t="s">
        <v>943</v>
      </c>
      <c r="E65" s="3" t="s">
        <v>689</v>
      </c>
      <c r="F65" s="3" t="s">
        <v>749</v>
      </c>
      <c r="G65" s="51" t="s">
        <v>691</v>
      </c>
      <c r="H65" s="3" t="s">
        <v>258</v>
      </c>
      <c r="I65" s="3" t="s">
        <v>32</v>
      </c>
    </row>
    <row r="66" customFormat="false" ht="12.8" hidden="false" customHeight="false" outlineLevel="0" collapsed="false">
      <c r="A66" s="48" t="s">
        <v>944</v>
      </c>
      <c r="B66" s="3" t="s">
        <v>945</v>
      </c>
      <c r="C66" s="3" t="n">
        <v>0.915</v>
      </c>
      <c r="D66" s="3" t="s">
        <v>946</v>
      </c>
      <c r="E66" s="3" t="s">
        <v>689</v>
      </c>
      <c r="F66" s="3" t="s">
        <v>749</v>
      </c>
      <c r="G66" s="51" t="s">
        <v>691</v>
      </c>
      <c r="H66" s="3" t="s">
        <v>258</v>
      </c>
      <c r="I66" s="3" t="s">
        <v>32</v>
      </c>
    </row>
    <row r="67" customFormat="false" ht="12.8" hidden="false" customHeight="false" outlineLevel="0" collapsed="false">
      <c r="A67" s="48" t="s">
        <v>947</v>
      </c>
      <c r="B67" s="3" t="s">
        <v>948</v>
      </c>
      <c r="C67" s="3" t="n">
        <v>1</v>
      </c>
      <c r="D67" s="3" t="s">
        <v>949</v>
      </c>
      <c r="E67" s="3" t="s">
        <v>689</v>
      </c>
      <c r="F67" s="3" t="s">
        <v>749</v>
      </c>
      <c r="G67" s="51" t="s">
        <v>691</v>
      </c>
      <c r="H67" s="3" t="s">
        <v>258</v>
      </c>
      <c r="I67" s="3" t="s">
        <v>32</v>
      </c>
    </row>
    <row r="68" customFormat="false" ht="12.8" hidden="false" customHeight="false" outlineLevel="0" collapsed="false">
      <c r="A68" s="48" t="s">
        <v>950</v>
      </c>
      <c r="B68" s="3" t="s">
        <v>951</v>
      </c>
      <c r="C68" s="3" t="s">
        <v>952</v>
      </c>
      <c r="D68" s="3" t="s">
        <v>953</v>
      </c>
      <c r="E68" s="3" t="s">
        <v>689</v>
      </c>
      <c r="F68" s="3" t="s">
        <v>954</v>
      </c>
      <c r="G68" s="51" t="s">
        <v>691</v>
      </c>
      <c r="H68" s="3" t="s">
        <v>258</v>
      </c>
      <c r="I68" s="3" t="s">
        <v>32</v>
      </c>
    </row>
    <row r="69" customFormat="false" ht="12.8" hidden="false" customHeight="false" outlineLevel="0" collapsed="false">
      <c r="A69" s="48" t="s">
        <v>955</v>
      </c>
      <c r="B69" s="3" t="s">
        <v>956</v>
      </c>
      <c r="C69" s="3" t="n">
        <v>0.65</v>
      </c>
      <c r="D69" s="3" t="s">
        <v>957</v>
      </c>
      <c r="E69" s="3" t="s">
        <v>689</v>
      </c>
      <c r="F69" s="3" t="s">
        <v>761</v>
      </c>
      <c r="G69" s="51" t="s">
        <v>691</v>
      </c>
      <c r="H69" s="3" t="s">
        <v>258</v>
      </c>
      <c r="I69" s="3" t="s">
        <v>35</v>
      </c>
    </row>
    <row r="70" customFormat="false" ht="12.8" hidden="false" customHeight="false" outlineLevel="0" collapsed="false">
      <c r="A70" s="48" t="s">
        <v>958</v>
      </c>
      <c r="B70" s="3" t="s">
        <v>959</v>
      </c>
      <c r="C70" s="3" t="n">
        <v>0.6</v>
      </c>
      <c r="D70" s="3" t="s">
        <v>960</v>
      </c>
      <c r="E70" s="3" t="s">
        <v>689</v>
      </c>
      <c r="F70" s="3" t="s">
        <v>761</v>
      </c>
      <c r="G70" s="51" t="s">
        <v>691</v>
      </c>
      <c r="H70" s="3" t="s">
        <v>258</v>
      </c>
      <c r="I70" s="3" t="s">
        <v>38</v>
      </c>
    </row>
    <row r="71" customFormat="false" ht="12.8" hidden="false" customHeight="false" outlineLevel="0" collapsed="false">
      <c r="A71" s="48" t="s">
        <v>961</v>
      </c>
      <c r="B71" s="3" t="s">
        <v>962</v>
      </c>
      <c r="C71" s="3" t="n">
        <v>1.06</v>
      </c>
      <c r="D71" s="3" t="s">
        <v>963</v>
      </c>
      <c r="E71" s="3" t="s">
        <v>689</v>
      </c>
      <c r="F71" s="3" t="s">
        <v>775</v>
      </c>
      <c r="G71" s="51" t="s">
        <v>691</v>
      </c>
      <c r="H71" s="3" t="s">
        <v>258</v>
      </c>
      <c r="I71" s="3" t="s">
        <v>32</v>
      </c>
    </row>
    <row r="72" customFormat="false" ht="12.8" hidden="false" customHeight="false" outlineLevel="0" collapsed="false">
      <c r="A72" s="48" t="s">
        <v>964</v>
      </c>
      <c r="B72" s="3" t="s">
        <v>821</v>
      </c>
      <c r="C72" s="3" t="s">
        <v>965</v>
      </c>
      <c r="D72" s="3" t="s">
        <v>966</v>
      </c>
      <c r="E72" s="3" t="s">
        <v>689</v>
      </c>
      <c r="F72" s="3" t="s">
        <v>967</v>
      </c>
      <c r="G72" s="51" t="s">
        <v>691</v>
      </c>
      <c r="H72" s="3" t="s">
        <v>968</v>
      </c>
      <c r="I72" s="3" t="s">
        <v>38</v>
      </c>
    </row>
    <row r="73" customFormat="false" ht="12.8" hidden="false" customHeight="false" outlineLevel="0" collapsed="false">
      <c r="A73" s="48" t="s">
        <v>969</v>
      </c>
      <c r="B73" s="3" t="s">
        <v>970</v>
      </c>
      <c r="C73" s="3" t="s">
        <v>971</v>
      </c>
      <c r="D73" s="3" t="s">
        <v>972</v>
      </c>
      <c r="E73" s="3" t="s">
        <v>689</v>
      </c>
      <c r="F73" s="3" t="s">
        <v>973</v>
      </c>
      <c r="G73" s="51" t="s">
        <v>691</v>
      </c>
      <c r="H73" s="3" t="s">
        <v>974</v>
      </c>
      <c r="I73" s="3" t="s">
        <v>38</v>
      </c>
    </row>
    <row r="74" customFormat="false" ht="12.8" hidden="false" customHeight="false" outlineLevel="0" collapsed="false">
      <c r="C74" s="3"/>
      <c r="E74" s="3"/>
      <c r="F74" s="3"/>
      <c r="G74" s="51"/>
      <c r="H74" s="3"/>
      <c r="I74" s="3"/>
    </row>
    <row r="75" customFormat="false" ht="12.8" hidden="false" customHeight="false" outlineLevel="0" collapsed="false">
      <c r="A75" s="48" t="s">
        <v>975</v>
      </c>
      <c r="B75" s="39" t="s">
        <v>976</v>
      </c>
    </row>
    <row r="76" customFormat="false" ht="12.8" hidden="false" customHeight="false" outlineLevel="0" collapsed="false">
      <c r="A76" s="48" t="s">
        <v>683</v>
      </c>
      <c r="B76" s="3" t="s">
        <v>184</v>
      </c>
      <c r="C76" s="3" t="s">
        <v>684</v>
      </c>
      <c r="D76" s="3" t="s">
        <v>186</v>
      </c>
      <c r="E76" s="3" t="s">
        <v>678</v>
      </c>
      <c r="F76" s="3" t="s">
        <v>679</v>
      </c>
      <c r="G76" s="3" t="s">
        <v>680</v>
      </c>
      <c r="H76" s="3" t="s">
        <v>187</v>
      </c>
      <c r="I76" s="3" t="s">
        <v>685</v>
      </c>
    </row>
    <row r="77" customFormat="false" ht="12.8" hidden="false" customHeight="false" outlineLevel="0" collapsed="false">
      <c r="A77" s="48" t="s">
        <v>977</v>
      </c>
      <c r="B77" s="3" t="s">
        <v>857</v>
      </c>
      <c r="C77" s="3" t="n">
        <v>0.027</v>
      </c>
      <c r="D77" s="3" t="s">
        <v>978</v>
      </c>
      <c r="E77" s="3" t="s">
        <v>689</v>
      </c>
      <c r="F77" s="3" t="s">
        <v>690</v>
      </c>
      <c r="G77" s="51" t="s">
        <v>691</v>
      </c>
      <c r="H77" s="3" t="s">
        <v>302</v>
      </c>
      <c r="I77" s="3" t="s">
        <v>41</v>
      </c>
    </row>
    <row r="78" customFormat="false" ht="12.8" hidden="false" customHeight="false" outlineLevel="0" collapsed="false">
      <c r="A78" s="48" t="s">
        <v>979</v>
      </c>
      <c r="B78" s="3" t="s">
        <v>980</v>
      </c>
      <c r="C78" s="3" t="s">
        <v>981</v>
      </c>
      <c r="D78" s="3" t="s">
        <v>982</v>
      </c>
      <c r="E78" s="3" t="s">
        <v>983</v>
      </c>
      <c r="F78" s="3" t="s">
        <v>984</v>
      </c>
      <c r="G78" s="51" t="s">
        <v>691</v>
      </c>
      <c r="H78" s="3" t="s">
        <v>302</v>
      </c>
      <c r="I78" s="3" t="s">
        <v>41</v>
      </c>
    </row>
    <row r="79" customFormat="false" ht="12.8" hidden="false" customHeight="false" outlineLevel="0" collapsed="false">
      <c r="A79" s="48" t="s">
        <v>985</v>
      </c>
      <c r="B79" s="3" t="s">
        <v>986</v>
      </c>
      <c r="C79" s="3" t="s">
        <v>987</v>
      </c>
      <c r="D79" s="3" t="s">
        <v>988</v>
      </c>
      <c r="E79" s="3" t="s">
        <v>983</v>
      </c>
      <c r="F79" s="3" t="s">
        <v>984</v>
      </c>
      <c r="G79" s="51" t="s">
        <v>691</v>
      </c>
      <c r="H79" s="3" t="s">
        <v>989</v>
      </c>
      <c r="I79" s="3" t="s">
        <v>41</v>
      </c>
    </row>
    <row r="80" customFormat="false" ht="12.8" hidden="false" customHeight="false" outlineLevel="0" collapsed="false">
      <c r="A80" s="48" t="s">
        <v>990</v>
      </c>
      <c r="B80" s="3" t="s">
        <v>991</v>
      </c>
      <c r="C80" s="3" t="s">
        <v>992</v>
      </c>
      <c r="D80" s="3" t="s">
        <v>993</v>
      </c>
      <c r="E80" s="3" t="s">
        <v>983</v>
      </c>
      <c r="F80" s="3" t="s">
        <v>984</v>
      </c>
      <c r="G80" s="51" t="s">
        <v>691</v>
      </c>
      <c r="H80" s="3" t="s">
        <v>974</v>
      </c>
      <c r="I80" s="3" t="s">
        <v>41</v>
      </c>
    </row>
    <row r="81" customFormat="false" ht="12.8" hidden="false" customHeight="false" outlineLevel="0" collapsed="false">
      <c r="A81" s="48" t="s">
        <v>994</v>
      </c>
      <c r="B81" s="3" t="s">
        <v>995</v>
      </c>
      <c r="C81" s="3" t="n">
        <v>0.72</v>
      </c>
      <c r="D81" s="3" t="s">
        <v>996</v>
      </c>
      <c r="E81" s="3" t="s">
        <v>689</v>
      </c>
      <c r="F81" s="3" t="s">
        <v>997</v>
      </c>
      <c r="G81" s="51" t="s">
        <v>691</v>
      </c>
      <c r="H81" s="3" t="s">
        <v>302</v>
      </c>
      <c r="I81" s="3" t="s">
        <v>41</v>
      </c>
    </row>
    <row r="82" customFormat="false" ht="12.8" hidden="false" customHeight="false" outlineLevel="0" collapsed="false">
      <c r="A82" s="48" t="s">
        <v>998</v>
      </c>
      <c r="B82" s="3" t="s">
        <v>999</v>
      </c>
      <c r="C82" s="3" t="n">
        <v>5</v>
      </c>
      <c r="D82" s="3" t="s">
        <v>1000</v>
      </c>
      <c r="E82" s="3" t="s">
        <v>689</v>
      </c>
      <c r="F82" s="3" t="s">
        <v>1001</v>
      </c>
      <c r="G82" s="51" t="s">
        <v>691</v>
      </c>
      <c r="H82" s="3" t="s">
        <v>302</v>
      </c>
      <c r="I82" s="3" t="s">
        <v>41</v>
      </c>
    </row>
    <row r="84" customFormat="false" ht="12.8" hidden="false" customHeight="false" outlineLevel="0" collapsed="false">
      <c r="A84" s="48" t="s">
        <v>1002</v>
      </c>
      <c r="B84" s="39" t="s">
        <v>1003</v>
      </c>
    </row>
    <row r="85" customFormat="false" ht="12.8" hidden="false" customHeight="false" outlineLevel="0" collapsed="false">
      <c r="A85" s="48" t="s">
        <v>683</v>
      </c>
      <c r="B85" s="3" t="s">
        <v>184</v>
      </c>
      <c r="C85" s="3" t="s">
        <v>684</v>
      </c>
      <c r="D85" s="3" t="s">
        <v>186</v>
      </c>
      <c r="E85" s="3" t="s">
        <v>678</v>
      </c>
      <c r="F85" s="3" t="s">
        <v>679</v>
      </c>
      <c r="G85" s="3" t="s">
        <v>680</v>
      </c>
      <c r="H85" s="3" t="s">
        <v>187</v>
      </c>
      <c r="I85" s="3" t="s">
        <v>685</v>
      </c>
    </row>
    <row r="86" customFormat="false" ht="12.8" hidden="false" customHeight="false" outlineLevel="0" collapsed="false">
      <c r="A86" s="48" t="s">
        <v>1004</v>
      </c>
      <c r="B86" s="3" t="s">
        <v>1005</v>
      </c>
      <c r="C86" s="3" t="n">
        <v>0.062</v>
      </c>
      <c r="D86" s="3" t="s">
        <v>1006</v>
      </c>
      <c r="E86" s="3" t="s">
        <v>689</v>
      </c>
      <c r="F86" s="3" t="s">
        <v>1007</v>
      </c>
      <c r="G86" s="51" t="s">
        <v>691</v>
      </c>
      <c r="H86" s="3" t="s">
        <v>302</v>
      </c>
      <c r="I86" s="3" t="s">
        <v>44</v>
      </c>
    </row>
    <row r="87" customFormat="false" ht="12.8" hidden="false" customHeight="false" outlineLevel="0" collapsed="false">
      <c r="A87" s="48" t="s">
        <v>1008</v>
      </c>
      <c r="B87" s="3" t="s">
        <v>1009</v>
      </c>
      <c r="C87" s="3" t="s">
        <v>1010</v>
      </c>
      <c r="D87" s="3" t="s">
        <v>982</v>
      </c>
      <c r="E87" s="3" t="s">
        <v>983</v>
      </c>
      <c r="F87" s="3" t="s">
        <v>984</v>
      </c>
      <c r="G87" s="51" t="s">
        <v>691</v>
      </c>
      <c r="H87" s="3" t="s">
        <v>302</v>
      </c>
      <c r="I87" s="3" t="s">
        <v>44</v>
      </c>
    </row>
    <row r="88" customFormat="false" ht="12.8" hidden="false" customHeight="false" outlineLevel="0" collapsed="false">
      <c r="A88" s="48" t="s">
        <v>1011</v>
      </c>
      <c r="B88" s="3" t="s">
        <v>1012</v>
      </c>
      <c r="C88" s="3" t="s">
        <v>987</v>
      </c>
      <c r="D88" s="3" t="s">
        <v>1013</v>
      </c>
      <c r="E88" s="3" t="s">
        <v>983</v>
      </c>
      <c r="F88" s="3" t="s">
        <v>984</v>
      </c>
      <c r="G88" s="51" t="s">
        <v>691</v>
      </c>
      <c r="H88" s="3" t="s">
        <v>989</v>
      </c>
      <c r="I88" s="3" t="s">
        <v>44</v>
      </c>
    </row>
    <row r="89" customFormat="false" ht="12.8" hidden="false" customHeight="false" outlineLevel="0" collapsed="false">
      <c r="A89" s="48" t="s">
        <v>1014</v>
      </c>
      <c r="B89" s="3" t="s">
        <v>1015</v>
      </c>
      <c r="C89" s="3" t="s">
        <v>992</v>
      </c>
      <c r="D89" s="3" t="s">
        <v>993</v>
      </c>
      <c r="E89" s="3" t="s">
        <v>983</v>
      </c>
      <c r="F89" s="3" t="s">
        <v>984</v>
      </c>
      <c r="G89" s="51" t="s">
        <v>691</v>
      </c>
      <c r="H89" s="3" t="s">
        <v>974</v>
      </c>
      <c r="I89" s="3" t="s">
        <v>44</v>
      </c>
    </row>
    <row r="90" customFormat="false" ht="12.8" hidden="false" customHeight="false" outlineLevel="0" collapsed="false">
      <c r="A90" s="48" t="s">
        <v>1016</v>
      </c>
      <c r="B90" s="3" t="s">
        <v>1017</v>
      </c>
      <c r="C90" s="3" t="n">
        <v>0.7</v>
      </c>
      <c r="D90" s="3" t="s">
        <v>1018</v>
      </c>
      <c r="E90" s="3" t="s">
        <v>689</v>
      </c>
      <c r="F90" s="3" t="s">
        <v>997</v>
      </c>
      <c r="G90" s="51" t="s">
        <v>691</v>
      </c>
      <c r="H90" s="3" t="s">
        <v>302</v>
      </c>
      <c r="I90" s="3" t="s">
        <v>44</v>
      </c>
    </row>
    <row r="91" customFormat="false" ht="12.8" hidden="false" customHeight="false" outlineLevel="0" collapsed="false">
      <c r="A91" s="48" t="s">
        <v>1019</v>
      </c>
      <c r="B91" s="3" t="s">
        <v>1020</v>
      </c>
      <c r="C91" s="3" t="n">
        <v>5</v>
      </c>
      <c r="D91" s="3" t="s">
        <v>1000</v>
      </c>
      <c r="E91" s="3" t="s">
        <v>689</v>
      </c>
      <c r="F91" s="3" t="s">
        <v>1001</v>
      </c>
      <c r="G91" s="51" t="s">
        <v>691</v>
      </c>
      <c r="H91" s="3" t="s">
        <v>302</v>
      </c>
      <c r="I91" s="3" t="s">
        <v>44</v>
      </c>
    </row>
    <row r="93" customFormat="false" ht="12.8" hidden="false" customHeight="false" outlineLevel="0" collapsed="false">
      <c r="A93" s="48" t="s">
        <v>1021</v>
      </c>
      <c r="B93" s="39" t="s">
        <v>1022</v>
      </c>
    </row>
    <row r="94" customFormat="false" ht="12.8" hidden="false" customHeight="false" outlineLevel="0" collapsed="false">
      <c r="A94" s="48" t="s">
        <v>683</v>
      </c>
      <c r="B94" s="3" t="s">
        <v>184</v>
      </c>
      <c r="C94" s="3" t="s">
        <v>684</v>
      </c>
      <c r="D94" s="3" t="s">
        <v>186</v>
      </c>
      <c r="E94" s="3" t="s">
        <v>678</v>
      </c>
      <c r="F94" s="3" t="s">
        <v>679</v>
      </c>
      <c r="G94" s="3" t="s">
        <v>680</v>
      </c>
      <c r="H94" s="3" t="s">
        <v>187</v>
      </c>
      <c r="I94" s="3" t="s">
        <v>685</v>
      </c>
    </row>
    <row r="95" customFormat="false" ht="12.8" hidden="false" customHeight="false" outlineLevel="0" collapsed="false">
      <c r="A95" s="48" t="s">
        <v>1023</v>
      </c>
      <c r="B95" s="3" t="s">
        <v>1024</v>
      </c>
      <c r="C95" s="3" t="s">
        <v>1025</v>
      </c>
      <c r="D95" s="3" t="s">
        <v>1026</v>
      </c>
      <c r="E95" s="3" t="s">
        <v>689</v>
      </c>
      <c r="F95" s="3" t="s">
        <v>1027</v>
      </c>
      <c r="G95" s="51" t="s">
        <v>691</v>
      </c>
      <c r="H95" s="3" t="s">
        <v>1028</v>
      </c>
      <c r="I95" s="3" t="s">
        <v>1029</v>
      </c>
    </row>
    <row r="96" customFormat="false" ht="12.8" hidden="false" customHeight="false" outlineLevel="0" collapsed="false">
      <c r="A96" s="48" t="s">
        <v>1030</v>
      </c>
      <c r="B96" s="3" t="s">
        <v>1031</v>
      </c>
      <c r="C96" s="3" t="s">
        <v>1032</v>
      </c>
      <c r="D96" s="3" t="s">
        <v>1033</v>
      </c>
      <c r="E96" s="3" t="s">
        <v>689</v>
      </c>
      <c r="F96" s="3" t="s">
        <v>1034</v>
      </c>
      <c r="G96" s="51" t="s">
        <v>691</v>
      </c>
      <c r="H96" s="3" t="s">
        <v>1035</v>
      </c>
      <c r="I96" s="3" t="s">
        <v>47</v>
      </c>
    </row>
    <row r="97" customFormat="false" ht="12.8" hidden="false" customHeight="false" outlineLevel="0" collapsed="false">
      <c r="A97" s="48" t="s">
        <v>1036</v>
      </c>
      <c r="B97" s="3" t="s">
        <v>1037</v>
      </c>
      <c r="C97" s="3" t="s">
        <v>1038</v>
      </c>
      <c r="D97" s="3" t="s">
        <v>1039</v>
      </c>
      <c r="E97" s="3" t="s">
        <v>689</v>
      </c>
      <c r="F97" s="3" t="s">
        <v>1040</v>
      </c>
      <c r="G97" s="51" t="s">
        <v>691</v>
      </c>
      <c r="H97" s="3" t="s">
        <v>1035</v>
      </c>
      <c r="I97" s="3" t="s">
        <v>47</v>
      </c>
    </row>
    <row r="98" customFormat="false" ht="12.8" hidden="false" customHeight="false" outlineLevel="0" collapsed="false">
      <c r="A98" s="48" t="s">
        <v>1041</v>
      </c>
      <c r="B98" s="3" t="s">
        <v>1042</v>
      </c>
      <c r="C98" s="3" t="s">
        <v>1043</v>
      </c>
      <c r="D98" s="3" t="s">
        <v>1044</v>
      </c>
      <c r="E98" s="3" t="s">
        <v>689</v>
      </c>
      <c r="F98" s="3" t="s">
        <v>794</v>
      </c>
      <c r="G98" s="51" t="s">
        <v>691</v>
      </c>
      <c r="H98" s="3" t="s">
        <v>47</v>
      </c>
    </row>
    <row r="99" customFormat="false" ht="12.8" hidden="false" customHeight="false" outlineLevel="0" collapsed="false">
      <c r="A99" s="48" t="s">
        <v>1045</v>
      </c>
      <c r="B99" s="3" t="s">
        <v>1046</v>
      </c>
      <c r="C99" s="3" t="s">
        <v>1047</v>
      </c>
      <c r="D99" s="3" t="s">
        <v>1048</v>
      </c>
      <c r="E99" s="3" t="s">
        <v>689</v>
      </c>
      <c r="F99" s="3" t="s">
        <v>1049</v>
      </c>
      <c r="G99" s="51" t="s">
        <v>691</v>
      </c>
      <c r="H99" s="3" t="s">
        <v>1050</v>
      </c>
      <c r="I99" s="3" t="s">
        <v>50</v>
      </c>
    </row>
    <row r="100" customFormat="false" ht="12.8" hidden="false" customHeight="false" outlineLevel="0" collapsed="false">
      <c r="A100" s="48" t="s">
        <v>1051</v>
      </c>
      <c r="B100" s="3" t="s">
        <v>1052</v>
      </c>
      <c r="C100" s="3" t="s">
        <v>1053</v>
      </c>
      <c r="D100" s="3" t="s">
        <v>1054</v>
      </c>
      <c r="E100" s="3" t="s">
        <v>689</v>
      </c>
      <c r="F100" s="3" t="s">
        <v>1055</v>
      </c>
      <c r="G100" s="51" t="s">
        <v>691</v>
      </c>
      <c r="H100" s="3" t="s">
        <v>1056</v>
      </c>
      <c r="I100" s="3" t="s">
        <v>50</v>
      </c>
    </row>
    <row r="101" customFormat="false" ht="12.8" hidden="false" customHeight="false" outlineLevel="0" collapsed="false">
      <c r="A101" s="48" t="s">
        <v>1057</v>
      </c>
      <c r="B101" s="3" t="s">
        <v>1058</v>
      </c>
      <c r="C101" s="3" t="s">
        <v>1059</v>
      </c>
      <c r="D101" s="3" t="s">
        <v>1060</v>
      </c>
      <c r="E101" s="3" t="s">
        <v>689</v>
      </c>
      <c r="F101" s="3" t="s">
        <v>1061</v>
      </c>
      <c r="G101" s="51" t="s">
        <v>691</v>
      </c>
      <c r="H101" s="3" t="s">
        <v>1062</v>
      </c>
      <c r="I101" s="3" t="s">
        <v>50</v>
      </c>
    </row>
    <row r="102" customFormat="false" ht="12.8" hidden="false" customHeight="false" outlineLevel="0" collapsed="false">
      <c r="A102" s="48" t="s">
        <v>1063</v>
      </c>
      <c r="B102" s="3" t="s">
        <v>1064</v>
      </c>
      <c r="C102" s="3" t="n">
        <v>31.96</v>
      </c>
      <c r="D102" s="3" t="s">
        <v>1065</v>
      </c>
      <c r="E102" s="3" t="s">
        <v>689</v>
      </c>
      <c r="F102" s="3" t="s">
        <v>1066</v>
      </c>
      <c r="G102" s="51" t="s">
        <v>691</v>
      </c>
      <c r="H102" s="3" t="s">
        <v>1035</v>
      </c>
      <c r="I102" s="3" t="s">
        <v>47</v>
      </c>
    </row>
    <row r="103" customFormat="false" ht="12.8" hidden="false" customHeight="false" outlineLevel="0" collapsed="false">
      <c r="A103" s="48" t="s">
        <v>1067</v>
      </c>
      <c r="B103" s="3" t="s">
        <v>1068</v>
      </c>
      <c r="C103" s="3" t="n">
        <v>66477</v>
      </c>
      <c r="D103" s="3" t="s">
        <v>1069</v>
      </c>
      <c r="E103" s="3" t="s">
        <v>689</v>
      </c>
      <c r="F103" s="3" t="s">
        <v>893</v>
      </c>
      <c r="G103" s="51" t="s">
        <v>691</v>
      </c>
      <c r="H103" s="3" t="s">
        <v>1070</v>
      </c>
      <c r="I103" s="3" t="s">
        <v>50</v>
      </c>
    </row>
    <row r="104" customFormat="false" ht="12.8" hidden="false" customHeight="false" outlineLevel="0" collapsed="false">
      <c r="A104" s="48" t="s">
        <v>1071</v>
      </c>
      <c r="B104" s="3" t="s">
        <v>1072</v>
      </c>
      <c r="C104" s="3" t="n">
        <v>0.68</v>
      </c>
      <c r="D104" s="3" t="s">
        <v>1073</v>
      </c>
      <c r="E104" s="3" t="s">
        <v>689</v>
      </c>
      <c r="F104" s="3" t="s">
        <v>1074</v>
      </c>
      <c r="G104" s="51" t="s">
        <v>691</v>
      </c>
      <c r="H104" s="3" t="s">
        <v>47</v>
      </c>
    </row>
    <row r="105" customFormat="false" ht="12.8" hidden="false" customHeight="false" outlineLevel="0" collapsed="false">
      <c r="A105" s="48" t="s">
        <v>1075</v>
      </c>
      <c r="B105" s="3" t="s">
        <v>1076</v>
      </c>
      <c r="C105" s="3" t="n">
        <v>0.7</v>
      </c>
      <c r="D105" s="3" t="s">
        <v>1077</v>
      </c>
      <c r="E105" s="3" t="s">
        <v>689</v>
      </c>
      <c r="F105" s="3" t="s">
        <v>1055</v>
      </c>
      <c r="G105" s="51" t="s">
        <v>691</v>
      </c>
      <c r="H105" s="3" t="s">
        <v>1078</v>
      </c>
      <c r="I105" s="3" t="s">
        <v>50</v>
      </c>
    </row>
    <row r="106" customFormat="false" ht="12.8" hidden="false" customHeight="false" outlineLevel="0" collapsed="false">
      <c r="A106" s="48" t="s">
        <v>1079</v>
      </c>
      <c r="B106" s="3" t="s">
        <v>1080</v>
      </c>
      <c r="C106" s="3" t="n">
        <v>4</v>
      </c>
      <c r="D106" s="3" t="s">
        <v>1081</v>
      </c>
      <c r="E106" s="3" t="s">
        <v>689</v>
      </c>
      <c r="F106" s="3" t="s">
        <v>930</v>
      </c>
      <c r="G106" s="51" t="s">
        <v>691</v>
      </c>
      <c r="H106" s="3" t="s">
        <v>47</v>
      </c>
    </row>
    <row r="107" customFormat="false" ht="12.8" hidden="false" customHeight="false" outlineLevel="0" collapsed="false">
      <c r="A107" s="48" t="s">
        <v>1082</v>
      </c>
      <c r="B107" s="3" t="s">
        <v>1083</v>
      </c>
      <c r="C107" s="3" t="n">
        <v>4</v>
      </c>
      <c r="D107" s="3" t="s">
        <v>1084</v>
      </c>
      <c r="E107" s="3" t="s">
        <v>689</v>
      </c>
      <c r="F107" s="3" t="s">
        <v>930</v>
      </c>
      <c r="G107" s="51" t="s">
        <v>691</v>
      </c>
      <c r="H107" s="3" t="s">
        <v>50</v>
      </c>
    </row>
    <row r="108" customFormat="false" ht="12.8" hidden="false" customHeight="false" outlineLevel="0" collapsed="false">
      <c r="A108" s="48" t="s">
        <v>1085</v>
      </c>
      <c r="B108" s="3" t="s">
        <v>1086</v>
      </c>
      <c r="C108" s="3" t="s">
        <v>1087</v>
      </c>
      <c r="D108" s="3" t="s">
        <v>1088</v>
      </c>
      <c r="E108" s="3" t="s">
        <v>689</v>
      </c>
      <c r="F108" s="3" t="s">
        <v>775</v>
      </c>
      <c r="G108" s="51" t="s">
        <v>691</v>
      </c>
      <c r="H108" s="3" t="s">
        <v>47</v>
      </c>
    </row>
    <row r="109" customFormat="false" ht="12.8" hidden="false" customHeight="false" outlineLevel="0" collapsed="false">
      <c r="A109" s="48" t="s">
        <v>1089</v>
      </c>
      <c r="B109" s="3" t="s">
        <v>1090</v>
      </c>
      <c r="C109" s="3" t="s">
        <v>1091</v>
      </c>
      <c r="D109" s="3" t="s">
        <v>1092</v>
      </c>
      <c r="E109" s="3" t="s">
        <v>689</v>
      </c>
      <c r="F109" s="3" t="s">
        <v>1093</v>
      </c>
      <c r="G109" s="51" t="s">
        <v>691</v>
      </c>
      <c r="H109" s="3" t="s">
        <v>50</v>
      </c>
      <c r="I109" s="3" t="s">
        <v>50</v>
      </c>
    </row>
    <row r="110" customFormat="false" ht="12.8" hidden="false" customHeight="false" outlineLevel="0" collapsed="false">
      <c r="A110" s="48" t="s">
        <v>1094</v>
      </c>
      <c r="B110" s="3" t="s">
        <v>1095</v>
      </c>
      <c r="C110" s="3" t="n">
        <v>0.75</v>
      </c>
      <c r="D110" s="3" t="s">
        <v>1096</v>
      </c>
      <c r="E110" s="3" t="s">
        <v>689</v>
      </c>
      <c r="F110" s="3" t="s">
        <v>1074</v>
      </c>
      <c r="G110" s="51" t="s">
        <v>691</v>
      </c>
      <c r="H110" s="3" t="s">
        <v>47</v>
      </c>
    </row>
    <row r="111" customFormat="false" ht="12.8" hidden="false" customHeight="false" outlineLevel="0" collapsed="false">
      <c r="A111" s="48" t="s">
        <v>1097</v>
      </c>
      <c r="B111" s="3" t="s">
        <v>1098</v>
      </c>
      <c r="C111" s="3" t="n">
        <v>0.78</v>
      </c>
      <c r="D111" s="3" t="s">
        <v>1099</v>
      </c>
      <c r="E111" s="3" t="s">
        <v>689</v>
      </c>
      <c r="F111" s="3" t="s">
        <v>1074</v>
      </c>
      <c r="G111" s="51" t="s">
        <v>691</v>
      </c>
      <c r="H111" s="3" t="s">
        <v>50</v>
      </c>
    </row>
    <row r="112" customFormat="false" ht="12.8" hidden="false" customHeight="false" outlineLevel="0" collapsed="false">
      <c r="A112" s="48" t="s">
        <v>1100</v>
      </c>
      <c r="B112" s="3" t="s">
        <v>1101</v>
      </c>
      <c r="C112" s="3" t="n">
        <v>0.85</v>
      </c>
      <c r="D112" s="3" t="s">
        <v>1102</v>
      </c>
      <c r="E112" s="3" t="s">
        <v>689</v>
      </c>
      <c r="F112" s="3" t="s">
        <v>1103</v>
      </c>
      <c r="G112" s="51" t="s">
        <v>691</v>
      </c>
      <c r="H112" s="3" t="s">
        <v>47</v>
      </c>
    </row>
    <row r="113" customFormat="false" ht="12.8" hidden="false" customHeight="false" outlineLevel="0" collapsed="false">
      <c r="A113" s="48" t="s">
        <v>1104</v>
      </c>
      <c r="B113" s="3" t="s">
        <v>1105</v>
      </c>
      <c r="C113" s="3" t="n">
        <v>0.03</v>
      </c>
      <c r="D113" s="3" t="s">
        <v>1106</v>
      </c>
      <c r="E113" s="3" t="s">
        <v>689</v>
      </c>
      <c r="F113" s="3" t="s">
        <v>794</v>
      </c>
      <c r="G113" s="51" t="s">
        <v>691</v>
      </c>
      <c r="H113" s="3" t="s">
        <v>50</v>
      </c>
    </row>
    <row r="114" customFormat="false" ht="12.8" hidden="false" customHeight="false" outlineLevel="0" collapsed="false">
      <c r="A114" s="48" t="s">
        <v>1107</v>
      </c>
      <c r="B114" s="3" t="s">
        <v>1108</v>
      </c>
      <c r="C114" s="3" t="n">
        <v>0.7</v>
      </c>
      <c r="D114" s="3" t="s">
        <v>1109</v>
      </c>
      <c r="E114" s="3" t="s">
        <v>689</v>
      </c>
      <c r="F114" s="3" t="s">
        <v>1035</v>
      </c>
      <c r="G114" s="51" t="s">
        <v>691</v>
      </c>
      <c r="H114" s="3" t="s">
        <v>47</v>
      </c>
    </row>
    <row r="115" customFormat="false" ht="12.8" hidden="false" customHeight="false" outlineLevel="0" collapsed="false">
      <c r="A115" s="48" t="s">
        <v>1110</v>
      </c>
      <c r="B115" s="3" t="s">
        <v>1111</v>
      </c>
      <c r="C115" s="3" t="n">
        <v>0.68</v>
      </c>
      <c r="D115" s="3" t="s">
        <v>1112</v>
      </c>
      <c r="E115" s="3" t="s">
        <v>689</v>
      </c>
      <c r="F115" s="3" t="s">
        <v>1061</v>
      </c>
      <c r="G115" s="51" t="s">
        <v>691</v>
      </c>
      <c r="H115" s="3" t="s">
        <v>50</v>
      </c>
    </row>
    <row r="116" customFormat="false" ht="12.8" hidden="false" customHeight="false" outlineLevel="0" collapsed="false">
      <c r="A116" s="48" t="s">
        <v>1113</v>
      </c>
      <c r="B116" s="3" t="s">
        <v>1114</v>
      </c>
      <c r="C116" s="3" t="n">
        <v>0.022</v>
      </c>
      <c r="D116" s="3" t="s">
        <v>1115</v>
      </c>
      <c r="E116" s="3" t="s">
        <v>689</v>
      </c>
      <c r="F116" s="3" t="s">
        <v>761</v>
      </c>
      <c r="G116" s="51" t="s">
        <v>691</v>
      </c>
      <c r="H116" s="3" t="s">
        <v>47</v>
      </c>
    </row>
    <row r="117" customFormat="false" ht="12.8" hidden="false" customHeight="false" outlineLevel="0" collapsed="false">
      <c r="A117" s="48" t="s">
        <v>1116</v>
      </c>
      <c r="B117" s="3" t="s">
        <v>1117</v>
      </c>
      <c r="C117" s="3" t="n">
        <v>0.024</v>
      </c>
      <c r="D117" s="3" t="s">
        <v>1118</v>
      </c>
      <c r="E117" s="3" t="s">
        <v>689</v>
      </c>
      <c r="F117" s="3" t="s">
        <v>761</v>
      </c>
      <c r="G117" s="51" t="s">
        <v>691</v>
      </c>
      <c r="H117" s="3" t="s">
        <v>50</v>
      </c>
    </row>
    <row r="118" customFormat="false" ht="12.8" hidden="false" customHeight="false" outlineLevel="0" collapsed="false">
      <c r="A118" s="48" t="s">
        <v>1119</v>
      </c>
      <c r="B118" s="3" t="s">
        <v>1120</v>
      </c>
      <c r="C118" s="3" t="n">
        <v>31.96</v>
      </c>
      <c r="D118" s="3" t="s">
        <v>1121</v>
      </c>
      <c r="E118" s="3" t="s">
        <v>689</v>
      </c>
      <c r="F118" s="3" t="s">
        <v>774</v>
      </c>
      <c r="G118" s="51" t="s">
        <v>691</v>
      </c>
      <c r="H118" s="3" t="s">
        <v>1122</v>
      </c>
      <c r="I118" s="3" t="s">
        <v>47</v>
      </c>
    </row>
    <row r="119" customFormat="false" ht="12.8" hidden="false" customHeight="false" outlineLevel="0" collapsed="false">
      <c r="A119" s="48" t="s">
        <v>1123</v>
      </c>
      <c r="B119" s="3" t="s">
        <v>1124</v>
      </c>
      <c r="C119" s="3" t="n">
        <v>66477</v>
      </c>
      <c r="D119" s="3" t="s">
        <v>1125</v>
      </c>
      <c r="E119" s="3" t="s">
        <v>689</v>
      </c>
      <c r="F119" s="3" t="s">
        <v>774</v>
      </c>
      <c r="G119" s="51" t="s">
        <v>691</v>
      </c>
      <c r="H119" s="3" t="s">
        <v>1126</v>
      </c>
      <c r="I119" s="3" t="s">
        <v>50</v>
      </c>
    </row>
    <row r="121" customFormat="false" ht="12.8" hidden="false" customHeight="false" outlineLevel="0" collapsed="false">
      <c r="A121" s="48" t="s">
        <v>1127</v>
      </c>
      <c r="B121" s="39" t="s">
        <v>1128</v>
      </c>
    </row>
    <row r="122" customFormat="false" ht="12.8" hidden="false" customHeight="false" outlineLevel="0" collapsed="false">
      <c r="A122" s="48" t="s">
        <v>683</v>
      </c>
      <c r="B122" s="3" t="s">
        <v>184</v>
      </c>
      <c r="C122" s="3" t="s">
        <v>684</v>
      </c>
      <c r="D122" s="3" t="s">
        <v>186</v>
      </c>
      <c r="E122" s="3" t="s">
        <v>678</v>
      </c>
      <c r="F122" s="3" t="s">
        <v>679</v>
      </c>
      <c r="G122" s="3" t="s">
        <v>680</v>
      </c>
      <c r="H122" s="3" t="s">
        <v>187</v>
      </c>
      <c r="I122" s="3" t="s">
        <v>685</v>
      </c>
    </row>
    <row r="123" customFormat="false" ht="12.8" hidden="false" customHeight="false" outlineLevel="0" collapsed="false">
      <c r="A123" s="48" t="s">
        <v>1129</v>
      </c>
      <c r="B123" s="3" t="s">
        <v>1130</v>
      </c>
      <c r="C123" s="3" t="s">
        <v>1131</v>
      </c>
      <c r="D123" s="3" t="s">
        <v>1132</v>
      </c>
      <c r="E123" s="3" t="s">
        <v>689</v>
      </c>
      <c r="F123" s="3" t="s">
        <v>1133</v>
      </c>
      <c r="G123" s="51" t="s">
        <v>691</v>
      </c>
      <c r="H123" s="3" t="s">
        <v>1134</v>
      </c>
      <c r="I123" s="3" t="s">
        <v>1135</v>
      </c>
    </row>
    <row r="124" customFormat="false" ht="12.8" hidden="false" customHeight="false" outlineLevel="0" collapsed="false">
      <c r="A124" s="48" t="s">
        <v>1136</v>
      </c>
      <c r="B124" s="3" t="s">
        <v>1137</v>
      </c>
      <c r="C124" s="3" t="s">
        <v>1138</v>
      </c>
      <c r="D124" s="3" t="s">
        <v>1139</v>
      </c>
      <c r="E124" s="3" t="s">
        <v>689</v>
      </c>
      <c r="F124" s="3" t="s">
        <v>1055</v>
      </c>
      <c r="G124" s="51" t="s">
        <v>691</v>
      </c>
      <c r="H124" s="3" t="s">
        <v>1140</v>
      </c>
      <c r="I124" s="3" t="s">
        <v>53</v>
      </c>
    </row>
    <row r="125" customFormat="false" ht="12.8" hidden="false" customHeight="false" outlineLevel="0" collapsed="false">
      <c r="A125" s="48" t="s">
        <v>1141</v>
      </c>
      <c r="B125" s="3" t="s">
        <v>1142</v>
      </c>
      <c r="C125" s="3" t="s">
        <v>1143</v>
      </c>
      <c r="D125" s="3" t="s">
        <v>1144</v>
      </c>
      <c r="E125" s="3" t="s">
        <v>689</v>
      </c>
      <c r="F125" s="3" t="s">
        <v>1145</v>
      </c>
      <c r="G125" s="51" t="s">
        <v>691</v>
      </c>
      <c r="H125" s="3" t="s">
        <v>1146</v>
      </c>
      <c r="I125" s="3" t="s">
        <v>53</v>
      </c>
    </row>
    <row r="126" customFormat="false" ht="12.8" hidden="false" customHeight="false" outlineLevel="0" collapsed="false">
      <c r="A126" s="48" t="s">
        <v>1147</v>
      </c>
      <c r="B126" s="3" t="s">
        <v>1148</v>
      </c>
      <c r="C126" s="3" t="s">
        <v>1149</v>
      </c>
      <c r="D126" s="3" t="s">
        <v>1150</v>
      </c>
      <c r="E126" s="3" t="s">
        <v>689</v>
      </c>
      <c r="F126" s="3" t="s">
        <v>1055</v>
      </c>
      <c r="G126" s="51" t="s">
        <v>691</v>
      </c>
      <c r="H126" s="3" t="s">
        <v>1151</v>
      </c>
      <c r="I126" s="3" t="s">
        <v>53</v>
      </c>
    </row>
    <row r="127" customFormat="false" ht="12.8" hidden="false" customHeight="false" outlineLevel="0" collapsed="false">
      <c r="A127" s="48" t="s">
        <v>1152</v>
      </c>
      <c r="B127" s="3" t="s">
        <v>1153</v>
      </c>
      <c r="C127" s="3" t="s">
        <v>1154</v>
      </c>
      <c r="D127" s="3" t="s">
        <v>1155</v>
      </c>
      <c r="E127" s="3" t="s">
        <v>689</v>
      </c>
      <c r="F127" s="3" t="s">
        <v>930</v>
      </c>
      <c r="G127" s="51" t="s">
        <v>691</v>
      </c>
      <c r="H127" s="3" t="s">
        <v>1156</v>
      </c>
      <c r="I127" s="3" t="s">
        <v>53</v>
      </c>
    </row>
    <row r="128" customFormat="false" ht="12.8" hidden="false" customHeight="false" outlineLevel="0" collapsed="false">
      <c r="A128" s="48" t="s">
        <v>1157</v>
      </c>
      <c r="B128" s="3" t="s">
        <v>1158</v>
      </c>
      <c r="C128" s="3" t="s">
        <v>1159</v>
      </c>
      <c r="D128" s="3" t="s">
        <v>1160</v>
      </c>
      <c r="E128" s="3" t="s">
        <v>689</v>
      </c>
      <c r="F128" s="3" t="s">
        <v>1161</v>
      </c>
      <c r="G128" s="51" t="s">
        <v>691</v>
      </c>
      <c r="H128" s="3" t="s">
        <v>56</v>
      </c>
      <c r="I128" s="3" t="s">
        <v>56</v>
      </c>
    </row>
    <row r="129" customFormat="false" ht="12.8" hidden="false" customHeight="false" outlineLevel="0" collapsed="false">
      <c r="A129" s="48" t="s">
        <v>1162</v>
      </c>
      <c r="B129" s="3" t="s">
        <v>1163</v>
      </c>
      <c r="C129" s="3" t="n">
        <v>0.55</v>
      </c>
      <c r="D129" s="3" t="s">
        <v>1164</v>
      </c>
      <c r="E129" s="3" t="s">
        <v>689</v>
      </c>
      <c r="F129" s="3" t="s">
        <v>1165</v>
      </c>
      <c r="G129" s="51" t="s">
        <v>691</v>
      </c>
      <c r="H129" s="3" t="s">
        <v>56</v>
      </c>
      <c r="I129" s="3" t="s">
        <v>56</v>
      </c>
    </row>
    <row r="130" customFormat="false" ht="12.8" hidden="false" customHeight="false" outlineLevel="0" collapsed="false">
      <c r="A130" s="48" t="s">
        <v>1166</v>
      </c>
      <c r="B130" s="3" t="s">
        <v>1167</v>
      </c>
      <c r="C130" s="3" t="n">
        <v>1.012</v>
      </c>
      <c r="D130" s="3" t="s">
        <v>1168</v>
      </c>
      <c r="E130" s="3" t="s">
        <v>689</v>
      </c>
      <c r="F130" s="3" t="s">
        <v>1055</v>
      </c>
      <c r="G130" s="51" t="s">
        <v>691</v>
      </c>
      <c r="H130" s="3" t="s">
        <v>56</v>
      </c>
      <c r="I130" s="3" t="s">
        <v>56</v>
      </c>
    </row>
    <row r="131" customFormat="false" ht="12.8" hidden="false" customHeight="false" outlineLevel="0" collapsed="false">
      <c r="A131" s="48" t="s">
        <v>1169</v>
      </c>
      <c r="B131" s="3" t="s">
        <v>1170</v>
      </c>
      <c r="C131" s="3" t="n">
        <v>9640</v>
      </c>
      <c r="D131" s="3" t="s">
        <v>1171</v>
      </c>
      <c r="E131" s="3" t="s">
        <v>689</v>
      </c>
      <c r="F131" s="3" t="s">
        <v>1172</v>
      </c>
      <c r="G131" s="51" t="s">
        <v>691</v>
      </c>
      <c r="H131" s="3" t="s">
        <v>1173</v>
      </c>
      <c r="I131" s="3" t="s">
        <v>53</v>
      </c>
    </row>
    <row r="132" customFormat="false" ht="12.8" hidden="false" customHeight="false" outlineLevel="0" collapsed="false">
      <c r="A132" s="48" t="s">
        <v>1174</v>
      </c>
      <c r="B132" s="3" t="s">
        <v>1175</v>
      </c>
      <c r="C132" s="3" t="s">
        <v>1176</v>
      </c>
      <c r="D132" s="3" t="s">
        <v>1177</v>
      </c>
      <c r="E132" s="3" t="s">
        <v>689</v>
      </c>
      <c r="F132" s="3" t="s">
        <v>1178</v>
      </c>
      <c r="G132" s="51" t="s">
        <v>691</v>
      </c>
      <c r="H132" s="3" t="s">
        <v>56</v>
      </c>
      <c r="I132" s="3" t="s">
        <v>56</v>
      </c>
    </row>
    <row r="133" customFormat="false" ht="12.8" hidden="false" customHeight="false" outlineLevel="0" collapsed="false">
      <c r="A133" s="48" t="s">
        <v>1179</v>
      </c>
      <c r="B133" s="3" t="s">
        <v>1180</v>
      </c>
      <c r="C133" s="3" t="n">
        <v>4</v>
      </c>
      <c r="D133" s="3" t="s">
        <v>1181</v>
      </c>
      <c r="E133" s="3" t="s">
        <v>689</v>
      </c>
      <c r="F133" s="3" t="s">
        <v>930</v>
      </c>
      <c r="G133" s="51" t="s">
        <v>691</v>
      </c>
      <c r="H133" s="3" t="s">
        <v>53</v>
      </c>
      <c r="I133" s="3" t="s">
        <v>53</v>
      </c>
    </row>
    <row r="134" customFormat="false" ht="12.8" hidden="false" customHeight="false" outlineLevel="0" collapsed="false">
      <c r="A134" s="48" t="s">
        <v>1182</v>
      </c>
      <c r="B134" s="3" t="s">
        <v>1183</v>
      </c>
      <c r="C134" s="3" t="n">
        <v>0.82</v>
      </c>
      <c r="D134" s="3" t="s">
        <v>1184</v>
      </c>
      <c r="E134" s="3" t="s">
        <v>689</v>
      </c>
      <c r="F134" s="3" t="s">
        <v>774</v>
      </c>
      <c r="G134" s="51" t="s">
        <v>691</v>
      </c>
      <c r="H134" s="3" t="s">
        <v>56</v>
      </c>
      <c r="I134" s="3" t="s">
        <v>56</v>
      </c>
    </row>
    <row r="135" customFormat="false" ht="12.8" hidden="false" customHeight="false" outlineLevel="0" collapsed="false">
      <c r="A135" s="48" t="s">
        <v>1185</v>
      </c>
      <c r="B135" s="3" t="s">
        <v>1186</v>
      </c>
      <c r="C135" s="3" t="s">
        <v>1187</v>
      </c>
      <c r="D135" s="3" t="s">
        <v>1188</v>
      </c>
      <c r="E135" s="3" t="s">
        <v>689</v>
      </c>
      <c r="F135" s="3" t="s">
        <v>808</v>
      </c>
      <c r="G135" s="51" t="s">
        <v>691</v>
      </c>
      <c r="H135" s="3" t="s">
        <v>53</v>
      </c>
      <c r="I135" s="3" t="s">
        <v>53</v>
      </c>
    </row>
    <row r="136" customFormat="false" ht="12.8" hidden="false" customHeight="false" outlineLevel="0" collapsed="false">
      <c r="A136" s="48" t="s">
        <v>1189</v>
      </c>
      <c r="B136" s="3" t="s">
        <v>1190</v>
      </c>
      <c r="C136" s="3" t="n">
        <v>0.72</v>
      </c>
      <c r="D136" s="3" t="s">
        <v>1191</v>
      </c>
      <c r="E136" s="3" t="s">
        <v>689</v>
      </c>
      <c r="F136" s="3" t="s">
        <v>1192</v>
      </c>
      <c r="G136" s="51" t="s">
        <v>691</v>
      </c>
      <c r="H136" s="3" t="s">
        <v>53</v>
      </c>
      <c r="I136" s="3" t="s">
        <v>53</v>
      </c>
    </row>
    <row r="137" customFormat="false" ht="12.8" hidden="false" customHeight="false" outlineLevel="0" collapsed="false">
      <c r="A137" s="48" t="s">
        <v>1193</v>
      </c>
      <c r="B137" s="3" t="s">
        <v>1194</v>
      </c>
      <c r="C137" s="3" t="n">
        <v>0.68</v>
      </c>
      <c r="D137" s="3" t="s">
        <v>1195</v>
      </c>
      <c r="E137" s="3" t="s">
        <v>689</v>
      </c>
      <c r="F137" s="3" t="s">
        <v>774</v>
      </c>
      <c r="G137" s="51" t="s">
        <v>691</v>
      </c>
      <c r="H137" s="3" t="s">
        <v>56</v>
      </c>
      <c r="I137" s="3" t="s">
        <v>56</v>
      </c>
    </row>
    <row r="138" customFormat="false" ht="12.8" hidden="false" customHeight="false" outlineLevel="0" collapsed="false">
      <c r="A138" s="48" t="s">
        <v>1196</v>
      </c>
      <c r="B138" s="3" t="s">
        <v>1197</v>
      </c>
      <c r="C138" s="3" t="n">
        <v>0.58</v>
      </c>
      <c r="D138" s="3" t="s">
        <v>1198</v>
      </c>
      <c r="E138" s="3" t="s">
        <v>689</v>
      </c>
      <c r="F138" s="3" t="s">
        <v>1199</v>
      </c>
      <c r="G138" s="51" t="s">
        <v>691</v>
      </c>
      <c r="H138" s="3" t="s">
        <v>53</v>
      </c>
      <c r="I138" s="3" t="s">
        <v>53</v>
      </c>
    </row>
    <row r="139" customFormat="false" ht="12.8" hidden="false" customHeight="false" outlineLevel="0" collapsed="false">
      <c r="A139" s="48" t="s">
        <v>1200</v>
      </c>
      <c r="B139" s="3" t="s">
        <v>1201</v>
      </c>
      <c r="C139" s="3" t="n">
        <v>0.52</v>
      </c>
      <c r="D139" s="3" t="s">
        <v>1202</v>
      </c>
      <c r="E139" s="3" t="s">
        <v>689</v>
      </c>
      <c r="F139" s="3" t="s">
        <v>1178</v>
      </c>
      <c r="G139" s="51" t="s">
        <v>691</v>
      </c>
      <c r="H139" s="3" t="s">
        <v>56</v>
      </c>
      <c r="I139" s="3" t="s">
        <v>56</v>
      </c>
    </row>
    <row r="140" customFormat="false" ht="12.8" hidden="false" customHeight="false" outlineLevel="0" collapsed="false">
      <c r="A140" s="48" t="s">
        <v>1203</v>
      </c>
      <c r="B140" s="3" t="s">
        <v>1204</v>
      </c>
      <c r="C140" s="3" t="s">
        <v>1205</v>
      </c>
      <c r="D140" s="3" t="s">
        <v>1206</v>
      </c>
      <c r="E140" s="3" t="s">
        <v>689</v>
      </c>
      <c r="F140" s="3" t="s">
        <v>1207</v>
      </c>
      <c r="G140" s="51" t="s">
        <v>691</v>
      </c>
      <c r="H140" s="3" t="s">
        <v>1208</v>
      </c>
      <c r="I140" s="3" t="s">
        <v>53</v>
      </c>
    </row>
    <row r="141" customFormat="false" ht="12.8" hidden="false" customHeight="false" outlineLevel="0" collapsed="false">
      <c r="A141" s="48" t="s">
        <v>1209</v>
      </c>
      <c r="B141" s="3" t="s">
        <v>1210</v>
      </c>
      <c r="C141" s="3" t="s">
        <v>1211</v>
      </c>
      <c r="D141" s="3" t="s">
        <v>1212</v>
      </c>
      <c r="E141" s="3" t="s">
        <v>689</v>
      </c>
      <c r="F141" s="3" t="s">
        <v>774</v>
      </c>
      <c r="G141" s="51" t="s">
        <v>691</v>
      </c>
      <c r="H141" s="3" t="s">
        <v>56</v>
      </c>
      <c r="I141" s="3" t="s">
        <v>56</v>
      </c>
    </row>
    <row r="142" customFormat="false" ht="12.8" hidden="false" customHeight="false" outlineLevel="0" collapsed="false">
      <c r="A142" s="48" t="s">
        <v>1213</v>
      </c>
      <c r="B142" s="3" t="s">
        <v>1214</v>
      </c>
      <c r="C142" s="3" t="n">
        <v>1.05</v>
      </c>
      <c r="D142" s="3" t="s">
        <v>1215</v>
      </c>
      <c r="E142" s="3" t="s">
        <v>689</v>
      </c>
      <c r="F142" s="3" t="s">
        <v>775</v>
      </c>
      <c r="G142" s="51" t="s">
        <v>691</v>
      </c>
      <c r="H142" s="3" t="s">
        <v>53</v>
      </c>
      <c r="I142" s="3" t="s">
        <v>53</v>
      </c>
    </row>
    <row r="143" customFormat="false" ht="12.8" hidden="false" customHeight="false" outlineLevel="0" collapsed="false">
      <c r="A143" s="48" t="s">
        <v>1216</v>
      </c>
      <c r="B143" s="3" t="s">
        <v>1217</v>
      </c>
      <c r="C143" s="3" t="n">
        <v>4</v>
      </c>
      <c r="D143" s="3" t="s">
        <v>1218</v>
      </c>
      <c r="E143" s="3" t="s">
        <v>689</v>
      </c>
      <c r="F143" s="3" t="s">
        <v>930</v>
      </c>
      <c r="G143" s="51" t="s">
        <v>691</v>
      </c>
      <c r="H143" s="3" t="s">
        <v>56</v>
      </c>
      <c r="I143" s="3" t="s">
        <v>56</v>
      </c>
    </row>
    <row r="144" customFormat="false" ht="12.8" hidden="false" customHeight="false" outlineLevel="0" collapsed="false">
      <c r="A144" s="48" t="s">
        <v>1219</v>
      </c>
      <c r="B144" s="3" t="s">
        <v>1220</v>
      </c>
      <c r="C144" s="3" t="n">
        <v>0.015</v>
      </c>
      <c r="D144" s="3" t="s">
        <v>1221</v>
      </c>
      <c r="E144" s="3" t="s">
        <v>689</v>
      </c>
      <c r="F144" s="3" t="s">
        <v>1222</v>
      </c>
      <c r="G144" s="51" t="s">
        <v>691</v>
      </c>
      <c r="H144" s="3" t="s">
        <v>53</v>
      </c>
      <c r="I144" s="3" t="s">
        <v>53</v>
      </c>
    </row>
    <row r="145" customFormat="false" ht="12.8" hidden="false" customHeight="false" outlineLevel="0" collapsed="false">
      <c r="A145" s="48" t="s">
        <v>1223</v>
      </c>
      <c r="B145" s="3" t="s">
        <v>1224</v>
      </c>
      <c r="C145" s="3" t="n">
        <v>0.018</v>
      </c>
      <c r="D145" s="3" t="s">
        <v>1225</v>
      </c>
      <c r="E145" s="3" t="s">
        <v>689</v>
      </c>
      <c r="F145" s="3" t="s">
        <v>1222</v>
      </c>
      <c r="G145" s="51" t="s">
        <v>691</v>
      </c>
      <c r="H145" s="3" t="s">
        <v>56</v>
      </c>
      <c r="I145" s="3" t="s">
        <v>56</v>
      </c>
    </row>
    <row r="146" customFormat="false" ht="12.8" hidden="false" customHeight="false" outlineLevel="0" collapsed="false">
      <c r="A146" s="48" t="s">
        <v>1226</v>
      </c>
      <c r="B146" s="3" t="s">
        <v>1227</v>
      </c>
      <c r="C146" s="3" t="n">
        <v>9640</v>
      </c>
      <c r="D146" s="3" t="s">
        <v>1228</v>
      </c>
      <c r="E146" s="3" t="s">
        <v>689</v>
      </c>
      <c r="F146" s="3" t="s">
        <v>774</v>
      </c>
      <c r="G146" s="51" t="s">
        <v>691</v>
      </c>
      <c r="H146" s="3" t="s">
        <v>1229</v>
      </c>
      <c r="I146" s="3" t="s">
        <v>53</v>
      </c>
    </row>
    <row r="147" customFormat="false" ht="12.8" hidden="false" customHeight="false" outlineLevel="0" collapsed="false">
      <c r="A147" s="48" t="s">
        <v>1230</v>
      </c>
      <c r="B147" s="3" t="s">
        <v>1231</v>
      </c>
      <c r="C147" s="3" t="s">
        <v>797</v>
      </c>
      <c r="D147" s="3" t="s">
        <v>1232</v>
      </c>
      <c r="E147" s="3" t="s">
        <v>689</v>
      </c>
      <c r="F147" s="3" t="s">
        <v>1161</v>
      </c>
      <c r="G147" s="51" t="s">
        <v>691</v>
      </c>
      <c r="H147" s="3" t="s">
        <v>56</v>
      </c>
      <c r="I147" s="3" t="s">
        <v>56</v>
      </c>
    </row>
    <row r="149" customFormat="false" ht="12.8" hidden="false" customHeight="false" outlineLevel="0" collapsed="false">
      <c r="A149" s="48" t="s">
        <v>1233</v>
      </c>
      <c r="B149" s="3" t="s">
        <v>1234</v>
      </c>
    </row>
    <row r="150" customFormat="false" ht="12.8" hidden="false" customHeight="false" outlineLevel="0" collapsed="false">
      <c r="A150" s="48" t="s">
        <v>683</v>
      </c>
      <c r="B150" s="3" t="s">
        <v>184</v>
      </c>
      <c r="C150" s="3" t="s">
        <v>684</v>
      </c>
      <c r="D150" s="3" t="s">
        <v>186</v>
      </c>
      <c r="E150" s="3" t="s">
        <v>678</v>
      </c>
      <c r="F150" s="3" t="s">
        <v>679</v>
      </c>
      <c r="G150" s="3" t="s">
        <v>680</v>
      </c>
      <c r="H150" s="3" t="s">
        <v>187</v>
      </c>
      <c r="I150" s="3" t="s">
        <v>685</v>
      </c>
    </row>
    <row r="151" customFormat="false" ht="12.8" hidden="false" customHeight="false" outlineLevel="0" collapsed="false">
      <c r="A151" s="48" t="s">
        <v>1235</v>
      </c>
      <c r="B151" s="3" t="s">
        <v>843</v>
      </c>
      <c r="C151" s="3" t="n">
        <v>2317000</v>
      </c>
      <c r="D151" s="3" t="s">
        <v>844</v>
      </c>
      <c r="E151" s="3" t="s">
        <v>689</v>
      </c>
      <c r="F151" s="3" t="s">
        <v>690</v>
      </c>
      <c r="G151" s="51" t="s">
        <v>691</v>
      </c>
      <c r="H151" s="3" t="s">
        <v>258</v>
      </c>
      <c r="I151" s="3" t="s">
        <v>68</v>
      </c>
    </row>
    <row r="152" customFormat="false" ht="12.8" hidden="false" customHeight="false" outlineLevel="0" collapsed="false">
      <c r="A152" s="48" t="s">
        <v>1236</v>
      </c>
      <c r="B152" s="3" t="s">
        <v>1237</v>
      </c>
      <c r="C152" s="3" t="s">
        <v>1238</v>
      </c>
      <c r="D152" s="3" t="s">
        <v>1239</v>
      </c>
      <c r="E152" s="3" t="s">
        <v>689</v>
      </c>
      <c r="F152" s="3" t="s">
        <v>1240</v>
      </c>
      <c r="G152" s="51" t="s">
        <v>691</v>
      </c>
      <c r="H152" s="3" t="s">
        <v>258</v>
      </c>
      <c r="I152" s="3" t="s">
        <v>68</v>
      </c>
    </row>
    <row r="153" customFormat="false" ht="12.8" hidden="false" customHeight="false" outlineLevel="0" collapsed="false">
      <c r="A153" s="48" t="s">
        <v>1241</v>
      </c>
      <c r="B153" s="3" t="s">
        <v>1242</v>
      </c>
      <c r="C153" s="3" t="s">
        <v>1243</v>
      </c>
      <c r="D153" s="3" t="s">
        <v>1244</v>
      </c>
      <c r="E153" s="3" t="s">
        <v>689</v>
      </c>
      <c r="F153" s="3" t="s">
        <v>967</v>
      </c>
      <c r="G153" s="51" t="s">
        <v>691</v>
      </c>
      <c r="H153" s="3" t="s">
        <v>968</v>
      </c>
      <c r="I153" s="3" t="s">
        <v>68</v>
      </c>
    </row>
    <row r="154" customFormat="false" ht="12.8" hidden="false" customHeight="false" outlineLevel="0" collapsed="false">
      <c r="A154" s="48" t="s">
        <v>1245</v>
      </c>
      <c r="B154" s="3" t="s">
        <v>1246</v>
      </c>
      <c r="C154" s="3" t="n">
        <v>0.75</v>
      </c>
      <c r="D154" s="3" t="s">
        <v>1247</v>
      </c>
      <c r="E154" s="3" t="s">
        <v>689</v>
      </c>
      <c r="F154" s="3" t="s">
        <v>1248</v>
      </c>
      <c r="G154" s="51" t="s">
        <v>691</v>
      </c>
      <c r="H154" s="3" t="s">
        <v>258</v>
      </c>
      <c r="I154" s="3" t="s">
        <v>68</v>
      </c>
    </row>
    <row r="155" customFormat="false" ht="12.8" hidden="false" customHeight="false" outlineLevel="0" collapsed="false">
      <c r="A155" s="48" t="s">
        <v>1249</v>
      </c>
      <c r="B155" s="3" t="s">
        <v>1250</v>
      </c>
      <c r="C155" s="3" t="n">
        <v>0.78</v>
      </c>
      <c r="D155" s="3" t="s">
        <v>1251</v>
      </c>
      <c r="E155" s="3" t="s">
        <v>689</v>
      </c>
      <c r="F155" s="3" t="s">
        <v>1252</v>
      </c>
      <c r="G155" s="51" t="s">
        <v>691</v>
      </c>
      <c r="H155" s="3" t="s">
        <v>258</v>
      </c>
      <c r="I155" s="3" t="s">
        <v>68</v>
      </c>
    </row>
    <row r="156" customFormat="false" ht="12.8" hidden="false" customHeight="false" outlineLevel="0" collapsed="false">
      <c r="A156" s="48" t="s">
        <v>1253</v>
      </c>
      <c r="B156" s="3" t="s">
        <v>1254</v>
      </c>
      <c r="C156" s="3" t="n">
        <v>4</v>
      </c>
      <c r="D156" s="3" t="s">
        <v>1255</v>
      </c>
      <c r="E156" s="3" t="s">
        <v>689</v>
      </c>
      <c r="F156" s="3" t="s">
        <v>1256</v>
      </c>
      <c r="G156" s="51" t="s">
        <v>691</v>
      </c>
      <c r="H156" s="3" t="s">
        <v>258</v>
      </c>
      <c r="I156" s="3" t="s">
        <v>68</v>
      </c>
    </row>
    <row r="157" customFormat="false" ht="12.8" hidden="false" customHeight="false" outlineLevel="0" collapsed="false">
      <c r="A157" s="48" t="s">
        <v>1257</v>
      </c>
      <c r="B157" s="3" t="s">
        <v>1258</v>
      </c>
      <c r="C157" s="3" t="n">
        <v>2317000</v>
      </c>
      <c r="D157" s="3" t="s">
        <v>1259</v>
      </c>
      <c r="E157" s="3" t="s">
        <v>689</v>
      </c>
      <c r="F157" s="3" t="s">
        <v>774</v>
      </c>
      <c r="G157" s="51" t="s">
        <v>691</v>
      </c>
      <c r="H157" s="3" t="s">
        <v>258</v>
      </c>
      <c r="I157" s="3" t="s">
        <v>68</v>
      </c>
    </row>
    <row r="158" customFormat="false" ht="12.8" hidden="false" customHeight="false" outlineLevel="0" collapsed="false">
      <c r="A158" s="48" t="s">
        <v>1260</v>
      </c>
      <c r="B158" s="3" t="s">
        <v>1261</v>
      </c>
      <c r="C158" s="3" t="s">
        <v>1262</v>
      </c>
      <c r="D158" s="3" t="s">
        <v>1263</v>
      </c>
      <c r="E158" s="3" t="s">
        <v>689</v>
      </c>
      <c r="F158" s="3" t="s">
        <v>973</v>
      </c>
      <c r="G158" s="51" t="s">
        <v>691</v>
      </c>
      <c r="H158" s="3" t="s">
        <v>974</v>
      </c>
      <c r="I158" s="3" t="s">
        <v>68</v>
      </c>
    </row>
    <row r="159" customFormat="false" ht="12.8" hidden="false" customHeight="false" outlineLevel="0" collapsed="false">
      <c r="G159" s="51"/>
    </row>
    <row r="160" customFormat="false" ht="12.8" hidden="false" customHeight="false" outlineLevel="0" collapsed="false">
      <c r="A160" s="48" t="s">
        <v>1264</v>
      </c>
      <c r="B160" s="39" t="s">
        <v>1265</v>
      </c>
    </row>
    <row r="161" customFormat="false" ht="12.8" hidden="false" customHeight="false" outlineLevel="0" collapsed="false">
      <c r="A161" s="48" t="s">
        <v>683</v>
      </c>
      <c r="B161" s="3" t="s">
        <v>184</v>
      </c>
      <c r="C161" s="3" t="s">
        <v>684</v>
      </c>
      <c r="D161" s="3" t="s">
        <v>186</v>
      </c>
      <c r="E161" s="3" t="s">
        <v>678</v>
      </c>
      <c r="F161" s="3" t="s">
        <v>679</v>
      </c>
      <c r="G161" s="3" t="s">
        <v>680</v>
      </c>
      <c r="H161" s="3" t="s">
        <v>187</v>
      </c>
      <c r="I161" s="3" t="s">
        <v>685</v>
      </c>
    </row>
    <row r="162" customFormat="false" ht="12.8" hidden="false" customHeight="false" outlineLevel="0" collapsed="false">
      <c r="A162" s="48" t="s">
        <v>1266</v>
      </c>
      <c r="B162" s="3" t="s">
        <v>847</v>
      </c>
      <c r="C162" s="3" t="n">
        <v>64000</v>
      </c>
      <c r="D162" s="3" t="s">
        <v>1267</v>
      </c>
      <c r="E162" s="3" t="s">
        <v>689</v>
      </c>
      <c r="F162" s="3" t="s">
        <v>690</v>
      </c>
      <c r="G162" s="51" t="s">
        <v>691</v>
      </c>
      <c r="H162" s="3" t="s">
        <v>258</v>
      </c>
      <c r="I162" s="3" t="s">
        <v>849</v>
      </c>
    </row>
    <row r="163" customFormat="false" ht="12.8" hidden="false" customHeight="false" outlineLevel="0" collapsed="false">
      <c r="A163" s="48" t="s">
        <v>1268</v>
      </c>
      <c r="B163" s="3" t="s">
        <v>1269</v>
      </c>
      <c r="C163" s="3" t="s">
        <v>1270</v>
      </c>
      <c r="D163" s="3" t="s">
        <v>1271</v>
      </c>
      <c r="E163" s="3" t="s">
        <v>689</v>
      </c>
      <c r="F163" s="3" t="s">
        <v>1272</v>
      </c>
      <c r="G163" s="51" t="s">
        <v>691</v>
      </c>
      <c r="H163" s="3" t="s">
        <v>258</v>
      </c>
      <c r="I163" s="3" t="s">
        <v>849</v>
      </c>
    </row>
    <row r="164" customFormat="false" ht="12.8" hidden="false" customHeight="false" outlineLevel="0" collapsed="false">
      <c r="A164" s="48" t="s">
        <v>1273</v>
      </c>
      <c r="B164" s="3" t="s">
        <v>1274</v>
      </c>
      <c r="C164" s="3" t="s">
        <v>1243</v>
      </c>
      <c r="D164" s="3" t="s">
        <v>1275</v>
      </c>
      <c r="E164" s="3" t="s">
        <v>689</v>
      </c>
      <c r="F164" s="3" t="s">
        <v>967</v>
      </c>
      <c r="G164" s="51" t="s">
        <v>691</v>
      </c>
      <c r="H164" s="3" t="s">
        <v>989</v>
      </c>
      <c r="I164" s="3" t="s">
        <v>849</v>
      </c>
    </row>
    <row r="165" customFormat="false" ht="12.8" hidden="false" customHeight="false" outlineLevel="0" collapsed="false">
      <c r="A165" s="48" t="s">
        <v>1276</v>
      </c>
      <c r="B165" s="3" t="s">
        <v>1277</v>
      </c>
      <c r="C165" s="3" t="n">
        <v>1.25</v>
      </c>
      <c r="D165" s="3" t="s">
        <v>1278</v>
      </c>
      <c r="E165" s="3" t="s">
        <v>689</v>
      </c>
      <c r="F165" s="3" t="s">
        <v>1279</v>
      </c>
      <c r="G165" s="51" t="s">
        <v>691</v>
      </c>
      <c r="H165" s="3" t="s">
        <v>258</v>
      </c>
      <c r="I165" s="3" t="s">
        <v>849</v>
      </c>
    </row>
    <row r="166" customFormat="false" ht="12.8" hidden="false" customHeight="false" outlineLevel="0" collapsed="false">
      <c r="A166" s="48" t="s">
        <v>1280</v>
      </c>
      <c r="B166" s="3" t="s">
        <v>1281</v>
      </c>
      <c r="C166" s="3" t="n">
        <v>0.82</v>
      </c>
      <c r="D166" s="3" t="s">
        <v>1282</v>
      </c>
      <c r="E166" s="3" t="s">
        <v>689</v>
      </c>
      <c r="F166" s="3" t="s">
        <v>1283</v>
      </c>
      <c r="G166" s="51" t="s">
        <v>691</v>
      </c>
      <c r="H166" s="3" t="s">
        <v>258</v>
      </c>
      <c r="I166" s="3" t="s">
        <v>849</v>
      </c>
    </row>
    <row r="167" customFormat="false" ht="12.8" hidden="false" customHeight="false" outlineLevel="0" collapsed="false">
      <c r="A167" s="48" t="s">
        <v>1284</v>
      </c>
      <c r="B167" s="3" t="s">
        <v>1285</v>
      </c>
      <c r="C167" s="3" t="n">
        <v>4</v>
      </c>
      <c r="D167" s="3" t="s">
        <v>1286</v>
      </c>
      <c r="E167" s="3" t="s">
        <v>689</v>
      </c>
      <c r="F167" s="3" t="s">
        <v>1256</v>
      </c>
      <c r="G167" s="51" t="s">
        <v>691</v>
      </c>
      <c r="H167" s="3" t="s">
        <v>258</v>
      </c>
      <c r="I167" s="3" t="s">
        <v>849</v>
      </c>
    </row>
    <row r="168" customFormat="false" ht="12.8" hidden="false" customHeight="false" outlineLevel="0" collapsed="false">
      <c r="A168" s="48" t="s">
        <v>1287</v>
      </c>
      <c r="B168" s="3" t="s">
        <v>1288</v>
      </c>
      <c r="C168" s="3" t="n">
        <v>64000</v>
      </c>
      <c r="D168" s="3" t="s">
        <v>1289</v>
      </c>
      <c r="E168" s="3" t="s">
        <v>689</v>
      </c>
      <c r="F168" s="3" t="s">
        <v>774</v>
      </c>
      <c r="G168" s="51" t="s">
        <v>691</v>
      </c>
      <c r="H168" s="3" t="s">
        <v>258</v>
      </c>
      <c r="I168" s="3" t="s">
        <v>849</v>
      </c>
    </row>
    <row r="169" customFormat="false" ht="12.8" hidden="false" customHeight="false" outlineLevel="0" collapsed="false">
      <c r="A169" s="48" t="s">
        <v>1290</v>
      </c>
      <c r="B169" s="3" t="s">
        <v>1291</v>
      </c>
      <c r="C169" s="3" t="s">
        <v>1292</v>
      </c>
      <c r="D169" s="3" t="s">
        <v>1293</v>
      </c>
      <c r="E169" s="3" t="s">
        <v>689</v>
      </c>
      <c r="F169" s="3" t="s">
        <v>973</v>
      </c>
      <c r="G169" s="51" t="s">
        <v>691</v>
      </c>
      <c r="H169" s="3" t="s">
        <v>974</v>
      </c>
      <c r="I169" s="3" t="s">
        <v>849</v>
      </c>
    </row>
    <row r="171" customFormat="false" ht="12.8" hidden="false" customHeight="false" outlineLevel="0" collapsed="false">
      <c r="A171" s="48" t="s">
        <v>1294</v>
      </c>
      <c r="B171" s="3" t="s">
        <v>1295</v>
      </c>
    </row>
    <row r="172" customFormat="false" ht="12.8" hidden="false" customHeight="false" outlineLevel="0" collapsed="false">
      <c r="A172" s="48" t="s">
        <v>683</v>
      </c>
      <c r="B172" s="3" t="s">
        <v>184</v>
      </c>
      <c r="C172" s="3" t="s">
        <v>684</v>
      </c>
      <c r="D172" s="3" t="s">
        <v>186</v>
      </c>
      <c r="E172" s="3" t="s">
        <v>678</v>
      </c>
      <c r="F172" s="3" t="s">
        <v>679</v>
      </c>
      <c r="G172" s="3" t="s">
        <v>680</v>
      </c>
      <c r="H172" s="3" t="s">
        <v>187</v>
      </c>
      <c r="I172" s="3" t="s">
        <v>685</v>
      </c>
    </row>
    <row r="173" customFormat="false" ht="12.8" hidden="false" customHeight="false" outlineLevel="0" collapsed="false">
      <c r="A173" s="48" t="s">
        <v>1296</v>
      </c>
      <c r="B173" s="3" t="s">
        <v>860</v>
      </c>
      <c r="C173" s="3" t="n">
        <v>148000</v>
      </c>
      <c r="D173" s="3" t="s">
        <v>1297</v>
      </c>
      <c r="E173" s="3" t="s">
        <v>689</v>
      </c>
      <c r="F173" s="3" t="s">
        <v>1298</v>
      </c>
      <c r="G173" s="51" t="s">
        <v>691</v>
      </c>
      <c r="H173" s="3" t="s">
        <v>258</v>
      </c>
      <c r="I173" s="3" t="s">
        <v>864</v>
      </c>
    </row>
    <row r="174" customFormat="false" ht="12.8" hidden="false" customHeight="false" outlineLevel="0" collapsed="false">
      <c r="A174" s="48" t="s">
        <v>1299</v>
      </c>
      <c r="B174" s="3" t="s">
        <v>1300</v>
      </c>
      <c r="C174" s="3" t="s">
        <v>1301</v>
      </c>
      <c r="D174" s="3" t="s">
        <v>1302</v>
      </c>
      <c r="E174" s="3" t="s">
        <v>689</v>
      </c>
      <c r="F174" s="3" t="s">
        <v>1303</v>
      </c>
      <c r="G174" s="51" t="s">
        <v>691</v>
      </c>
      <c r="H174" s="3" t="s">
        <v>258</v>
      </c>
      <c r="I174" s="3" t="s">
        <v>864</v>
      </c>
    </row>
    <row r="175" customFormat="false" ht="12.8" hidden="false" customHeight="false" outlineLevel="0" collapsed="false">
      <c r="A175" s="48" t="s">
        <v>1304</v>
      </c>
      <c r="B175" s="3" t="s">
        <v>1305</v>
      </c>
      <c r="C175" s="3" t="s">
        <v>1306</v>
      </c>
      <c r="D175" s="3" t="s">
        <v>1307</v>
      </c>
      <c r="E175" s="3" t="s">
        <v>689</v>
      </c>
      <c r="F175" s="3" t="s">
        <v>1308</v>
      </c>
      <c r="G175" s="51" t="s">
        <v>691</v>
      </c>
      <c r="H175" s="3" t="s">
        <v>258</v>
      </c>
      <c r="I175" s="3" t="s">
        <v>864</v>
      </c>
    </row>
    <row r="176" customFormat="false" ht="12.8" hidden="false" customHeight="false" outlineLevel="0" collapsed="false">
      <c r="A176" s="48" t="s">
        <v>1309</v>
      </c>
      <c r="B176" s="3" t="s">
        <v>1310</v>
      </c>
      <c r="C176" s="3" t="n">
        <v>1.15</v>
      </c>
      <c r="D176" s="3" t="s">
        <v>1311</v>
      </c>
      <c r="E176" s="3" t="s">
        <v>689</v>
      </c>
      <c r="F176" s="3" t="s">
        <v>1312</v>
      </c>
      <c r="G176" s="51" t="s">
        <v>691</v>
      </c>
      <c r="H176" s="3" t="s">
        <v>258</v>
      </c>
      <c r="I176" s="3" t="s">
        <v>864</v>
      </c>
    </row>
    <row r="177" customFormat="false" ht="12.8" hidden="false" customHeight="false" outlineLevel="0" collapsed="false">
      <c r="A177" s="48" t="s">
        <v>1313</v>
      </c>
      <c r="B177" s="3" t="s">
        <v>1314</v>
      </c>
      <c r="C177" s="3" t="n">
        <v>0.8</v>
      </c>
      <c r="D177" s="3" t="s">
        <v>1315</v>
      </c>
      <c r="E177" s="3" t="s">
        <v>689</v>
      </c>
      <c r="F177" s="3" t="s">
        <v>1316</v>
      </c>
      <c r="G177" s="51" t="s">
        <v>691</v>
      </c>
      <c r="H177" s="3" t="s">
        <v>258</v>
      </c>
      <c r="I177" s="3" t="s">
        <v>864</v>
      </c>
    </row>
    <row r="178" customFormat="false" ht="12.8" hidden="false" customHeight="false" outlineLevel="0" collapsed="false">
      <c r="A178" s="48" t="s">
        <v>1317</v>
      </c>
      <c r="B178" s="3" t="s">
        <v>1318</v>
      </c>
      <c r="C178" s="3" t="n">
        <v>5</v>
      </c>
      <c r="D178" s="3" t="s">
        <v>1319</v>
      </c>
      <c r="E178" s="3" t="s">
        <v>689</v>
      </c>
      <c r="F178" s="3" t="s">
        <v>1256</v>
      </c>
      <c r="G178" s="51" t="s">
        <v>691</v>
      </c>
      <c r="H178" s="3" t="s">
        <v>258</v>
      </c>
      <c r="I178" s="3" t="s">
        <v>864</v>
      </c>
    </row>
    <row r="179" customFormat="false" ht="12.8" hidden="false" customHeight="false" outlineLevel="0" collapsed="false">
      <c r="A179" s="48" t="s">
        <v>1320</v>
      </c>
      <c r="B179" s="3" t="s">
        <v>1321</v>
      </c>
      <c r="C179" s="3" t="n">
        <v>148000</v>
      </c>
      <c r="D179" s="3" t="s">
        <v>1322</v>
      </c>
      <c r="E179" s="3" t="s">
        <v>689</v>
      </c>
      <c r="F179" s="3" t="s">
        <v>774</v>
      </c>
      <c r="G179" s="51" t="s">
        <v>691</v>
      </c>
      <c r="H179" s="3" t="s">
        <v>258</v>
      </c>
      <c r="I179" s="3" t="s">
        <v>864</v>
      </c>
    </row>
    <row r="180" customFormat="false" ht="12.8" hidden="false" customHeight="false" outlineLevel="0" collapsed="false">
      <c r="A180" s="48" t="s">
        <v>1323</v>
      </c>
      <c r="B180" s="3" t="s">
        <v>1324</v>
      </c>
      <c r="C180" s="3" t="s">
        <v>965</v>
      </c>
      <c r="D180" s="3" t="s">
        <v>1325</v>
      </c>
      <c r="E180" s="3" t="s">
        <v>689</v>
      </c>
      <c r="F180" s="3" t="s">
        <v>967</v>
      </c>
      <c r="G180" s="51" t="s">
        <v>691</v>
      </c>
      <c r="H180" s="3" t="s">
        <v>989</v>
      </c>
      <c r="I180" s="3" t="s">
        <v>864</v>
      </c>
    </row>
    <row r="181" customFormat="false" ht="12.8" hidden="false" customHeight="false" outlineLevel="0" collapsed="false">
      <c r="A181" s="48" t="s">
        <v>1326</v>
      </c>
      <c r="B181" s="3" t="s">
        <v>1327</v>
      </c>
      <c r="C181" s="3" t="s">
        <v>1328</v>
      </c>
      <c r="D181" s="3" t="s">
        <v>1329</v>
      </c>
      <c r="E181" s="3" t="s">
        <v>689</v>
      </c>
      <c r="F181" s="3" t="s">
        <v>973</v>
      </c>
      <c r="G181" s="51" t="s">
        <v>691</v>
      </c>
      <c r="H181" s="3" t="s">
        <v>974</v>
      </c>
      <c r="I181" s="3" t="s">
        <v>864</v>
      </c>
    </row>
    <row r="183" customFormat="false" ht="12.8" hidden="false" customHeight="false" outlineLevel="0" collapsed="false">
      <c r="A183" s="48" t="s">
        <v>1330</v>
      </c>
      <c r="B183" s="39" t="s">
        <v>1331</v>
      </c>
    </row>
    <row r="184" customFormat="false" ht="12.8" hidden="false" customHeight="false" outlineLevel="0" collapsed="false">
      <c r="A184" s="48" t="s">
        <v>683</v>
      </c>
      <c r="B184" s="3" t="s">
        <v>184</v>
      </c>
      <c r="C184" s="3" t="s">
        <v>684</v>
      </c>
      <c r="D184" s="3" t="s">
        <v>186</v>
      </c>
      <c r="E184" s="3" t="s">
        <v>678</v>
      </c>
      <c r="F184" s="3" t="s">
        <v>679</v>
      </c>
      <c r="G184" s="3" t="s">
        <v>680</v>
      </c>
      <c r="H184" s="3" t="s">
        <v>187</v>
      </c>
      <c r="I184" s="3" t="s">
        <v>685</v>
      </c>
    </row>
    <row r="185" customFormat="false" ht="12.8" hidden="false" customHeight="false" outlineLevel="0" collapsed="false">
      <c r="A185" s="48" t="s">
        <v>1332</v>
      </c>
      <c r="B185" s="3" t="s">
        <v>1333</v>
      </c>
      <c r="C185" s="3" t="n">
        <v>0.0155</v>
      </c>
      <c r="D185" s="3" t="s">
        <v>1334</v>
      </c>
      <c r="E185" s="3" t="s">
        <v>689</v>
      </c>
      <c r="F185" s="3" t="s">
        <v>1335</v>
      </c>
      <c r="G185" s="51" t="s">
        <v>691</v>
      </c>
      <c r="H185" s="3" t="s">
        <v>258</v>
      </c>
      <c r="I185" s="3" t="s">
        <v>1336</v>
      </c>
    </row>
    <row r="186" customFormat="false" ht="12.8" hidden="false" customHeight="false" outlineLevel="0" collapsed="false">
      <c r="A186" s="48" t="s">
        <v>1337</v>
      </c>
      <c r="B186" s="3" t="s">
        <v>1338</v>
      </c>
      <c r="C186" s="3" t="s">
        <v>1270</v>
      </c>
      <c r="D186" s="3" t="s">
        <v>1339</v>
      </c>
      <c r="E186" s="3" t="s">
        <v>689</v>
      </c>
      <c r="F186" s="3" t="s">
        <v>1340</v>
      </c>
      <c r="G186" s="51" t="s">
        <v>691</v>
      </c>
      <c r="H186" s="3" t="s">
        <v>258</v>
      </c>
      <c r="I186" s="3" t="s">
        <v>1336</v>
      </c>
    </row>
    <row r="187" customFormat="false" ht="12.8" hidden="false" customHeight="false" outlineLevel="0" collapsed="false">
      <c r="A187" s="48" t="s">
        <v>1341</v>
      </c>
      <c r="B187" s="3" t="s">
        <v>1342</v>
      </c>
      <c r="C187" s="3" t="s">
        <v>1243</v>
      </c>
      <c r="D187" s="3" t="s">
        <v>1343</v>
      </c>
      <c r="E187" s="3" t="s">
        <v>689</v>
      </c>
      <c r="F187" s="3" t="s">
        <v>967</v>
      </c>
      <c r="G187" s="51" t="s">
        <v>691</v>
      </c>
      <c r="H187" s="3" t="s">
        <v>968</v>
      </c>
      <c r="J187" s="3" t="s">
        <v>1336</v>
      </c>
    </row>
    <row r="188" customFormat="false" ht="12.8" hidden="false" customHeight="false" outlineLevel="0" collapsed="false">
      <c r="A188" s="48" t="s">
        <v>1344</v>
      </c>
      <c r="B188" s="3" t="s">
        <v>1345</v>
      </c>
      <c r="C188" s="3" t="n">
        <v>0.85</v>
      </c>
      <c r="D188" s="3" t="s">
        <v>1346</v>
      </c>
      <c r="E188" s="3" t="s">
        <v>689</v>
      </c>
      <c r="F188" s="3" t="s">
        <v>1347</v>
      </c>
      <c r="G188" s="51" t="s">
        <v>691</v>
      </c>
      <c r="H188" s="3" t="s">
        <v>258</v>
      </c>
      <c r="I188" s="3" t="s">
        <v>1336</v>
      </c>
    </row>
    <row r="189" customFormat="false" ht="12.8" hidden="false" customHeight="false" outlineLevel="0" collapsed="false">
      <c r="A189" s="48" t="s">
        <v>1348</v>
      </c>
      <c r="B189" s="3" t="s">
        <v>1349</v>
      </c>
      <c r="C189" s="3" t="n">
        <v>4</v>
      </c>
      <c r="D189" s="3" t="s">
        <v>1350</v>
      </c>
      <c r="E189" s="3" t="s">
        <v>689</v>
      </c>
      <c r="F189" s="3" t="s">
        <v>1256</v>
      </c>
      <c r="G189" s="51" t="s">
        <v>691</v>
      </c>
      <c r="H189" s="3" t="s">
        <v>258</v>
      </c>
      <c r="I189" s="3" t="s">
        <v>1336</v>
      </c>
    </row>
    <row r="190" customFormat="false" ht="12.8" hidden="false" customHeight="false" outlineLevel="0" collapsed="false">
      <c r="A190" s="48" t="s">
        <v>1351</v>
      </c>
      <c r="B190" s="3" t="s">
        <v>1352</v>
      </c>
      <c r="C190" s="3" t="n">
        <v>0.0155</v>
      </c>
      <c r="D190" s="3" t="s">
        <v>1353</v>
      </c>
      <c r="E190" s="3" t="s">
        <v>689</v>
      </c>
      <c r="F190" s="3" t="s">
        <v>774</v>
      </c>
      <c r="G190" s="51" t="s">
        <v>691</v>
      </c>
      <c r="H190" s="3" t="s">
        <v>258</v>
      </c>
      <c r="I190" s="3" t="s">
        <v>1336</v>
      </c>
    </row>
    <row r="191" customFormat="false" ht="12.8" hidden="false" customHeight="false" outlineLevel="0" collapsed="false">
      <c r="A191" s="48" t="s">
        <v>1354</v>
      </c>
      <c r="B191" s="3" t="s">
        <v>1355</v>
      </c>
      <c r="C191" s="3" t="s">
        <v>1356</v>
      </c>
      <c r="D191" s="3" t="s">
        <v>1357</v>
      </c>
      <c r="E191" s="3" t="s">
        <v>689</v>
      </c>
      <c r="F191" s="3" t="s">
        <v>973</v>
      </c>
      <c r="G191" s="51" t="s">
        <v>691</v>
      </c>
      <c r="H191" s="3" t="s">
        <v>974</v>
      </c>
      <c r="I191" s="3" t="s">
        <v>1336</v>
      </c>
    </row>
    <row r="193" customFormat="false" ht="12.8" hidden="false" customHeight="false" outlineLevel="0" collapsed="false">
      <c r="A193" s="48" t="s">
        <v>1358</v>
      </c>
      <c r="B193" s="39" t="s">
        <v>1359</v>
      </c>
    </row>
    <row r="194" customFormat="false" ht="12.8" hidden="false" customHeight="false" outlineLevel="0" collapsed="false">
      <c r="A194" s="48" t="s">
        <v>683</v>
      </c>
      <c r="B194" s="3" t="s">
        <v>184</v>
      </c>
      <c r="C194" s="3" t="s">
        <v>684</v>
      </c>
      <c r="D194" s="3" t="s">
        <v>186</v>
      </c>
      <c r="E194" s="3" t="s">
        <v>678</v>
      </c>
      <c r="F194" s="3" t="s">
        <v>679</v>
      </c>
      <c r="G194" s="3" t="s">
        <v>680</v>
      </c>
      <c r="H194" s="3" t="s">
        <v>187</v>
      </c>
      <c r="I194" s="3" t="s">
        <v>685</v>
      </c>
    </row>
    <row r="195" customFormat="false" ht="12.8" hidden="false" customHeight="false" outlineLevel="0" collapsed="false">
      <c r="A195" s="48" t="s">
        <v>1360</v>
      </c>
      <c r="B195" s="3" t="s">
        <v>1361</v>
      </c>
      <c r="C195" s="3" t="n">
        <v>0.0358</v>
      </c>
      <c r="D195" s="3" t="s">
        <v>1362</v>
      </c>
      <c r="E195" s="3" t="s">
        <v>689</v>
      </c>
      <c r="F195" s="3" t="s">
        <v>1363</v>
      </c>
      <c r="G195" s="51" t="s">
        <v>691</v>
      </c>
      <c r="H195" s="3" t="s">
        <v>258</v>
      </c>
      <c r="I195" s="3" t="s">
        <v>1364</v>
      </c>
    </row>
    <row r="196" customFormat="false" ht="12.8" hidden="false" customHeight="false" outlineLevel="0" collapsed="false">
      <c r="A196" s="48" t="s">
        <v>1365</v>
      </c>
      <c r="B196" s="3" t="s">
        <v>1366</v>
      </c>
      <c r="C196" s="3" t="s">
        <v>1367</v>
      </c>
      <c r="D196" s="3" t="s">
        <v>1368</v>
      </c>
      <c r="E196" s="3" t="s">
        <v>689</v>
      </c>
      <c r="F196" s="3" t="s">
        <v>1369</v>
      </c>
      <c r="G196" s="51" t="s">
        <v>691</v>
      </c>
      <c r="H196" s="3" t="s">
        <v>258</v>
      </c>
      <c r="I196" s="3" t="s">
        <v>1364</v>
      </c>
    </row>
    <row r="197" customFormat="false" ht="12.8" hidden="false" customHeight="false" outlineLevel="0" collapsed="false">
      <c r="A197" s="48" t="s">
        <v>1370</v>
      </c>
      <c r="B197" s="3" t="s">
        <v>1371</v>
      </c>
      <c r="C197" s="3" t="s">
        <v>965</v>
      </c>
      <c r="D197" s="3" t="s">
        <v>1372</v>
      </c>
      <c r="E197" s="3" t="s">
        <v>689</v>
      </c>
      <c r="F197" s="3" t="s">
        <v>967</v>
      </c>
      <c r="G197" s="51" t="s">
        <v>691</v>
      </c>
      <c r="H197" s="3" t="s">
        <v>968</v>
      </c>
      <c r="J197" s="3" t="s">
        <v>1364</v>
      </c>
    </row>
    <row r="198" customFormat="false" ht="12.8" hidden="false" customHeight="false" outlineLevel="0" collapsed="false">
      <c r="A198" s="48" t="s">
        <v>1373</v>
      </c>
      <c r="B198" s="3" t="s">
        <v>1374</v>
      </c>
      <c r="C198" s="3" t="n">
        <v>0.82</v>
      </c>
      <c r="D198" s="3" t="s">
        <v>1375</v>
      </c>
      <c r="E198" s="3" t="s">
        <v>689</v>
      </c>
      <c r="F198" s="3" t="s">
        <v>1376</v>
      </c>
      <c r="G198" s="51" t="s">
        <v>691</v>
      </c>
      <c r="H198" s="3" t="s">
        <v>258</v>
      </c>
      <c r="I198" s="3" t="s">
        <v>1364</v>
      </c>
    </row>
    <row r="199" customFormat="false" ht="12.8" hidden="false" customHeight="false" outlineLevel="0" collapsed="false">
      <c r="A199" s="48" t="s">
        <v>1377</v>
      </c>
      <c r="B199" s="3" t="s">
        <v>1378</v>
      </c>
      <c r="C199" s="3" t="n">
        <v>4</v>
      </c>
      <c r="D199" s="3" t="s">
        <v>1379</v>
      </c>
      <c r="E199" s="3" t="s">
        <v>689</v>
      </c>
      <c r="F199" s="3" t="s">
        <v>1256</v>
      </c>
      <c r="G199" s="51" t="s">
        <v>691</v>
      </c>
      <c r="H199" s="3" t="s">
        <v>258</v>
      </c>
      <c r="I199" s="3" t="s">
        <v>1364</v>
      </c>
    </row>
    <row r="200" customFormat="false" ht="12.8" hidden="false" customHeight="false" outlineLevel="0" collapsed="false">
      <c r="A200" s="48" t="s">
        <v>1380</v>
      </c>
      <c r="B200" s="3" t="s">
        <v>1381</v>
      </c>
      <c r="C200" s="3" t="n">
        <v>0.0358</v>
      </c>
      <c r="D200" s="3" t="s">
        <v>1382</v>
      </c>
      <c r="E200" s="3" t="s">
        <v>689</v>
      </c>
      <c r="F200" s="3" t="s">
        <v>774</v>
      </c>
      <c r="G200" s="51" t="s">
        <v>691</v>
      </c>
      <c r="H200" s="3" t="s">
        <v>258</v>
      </c>
      <c r="I200" s="3" t="s">
        <v>1364</v>
      </c>
    </row>
    <row r="201" customFormat="false" ht="12.8" hidden="false" customHeight="false" outlineLevel="0" collapsed="false">
      <c r="A201" s="48" t="s">
        <v>1383</v>
      </c>
      <c r="B201" s="3" t="s">
        <v>1384</v>
      </c>
      <c r="C201" s="3" t="s">
        <v>1328</v>
      </c>
      <c r="D201" s="3" t="s">
        <v>1385</v>
      </c>
      <c r="E201" s="3" t="s">
        <v>689</v>
      </c>
      <c r="F201" s="3" t="s">
        <v>973</v>
      </c>
      <c r="G201" s="51" t="s">
        <v>691</v>
      </c>
      <c r="H201" s="3" t="s">
        <v>974</v>
      </c>
      <c r="I201" s="3" t="s">
        <v>1364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FO27"/>
  <sheetViews>
    <sheetView showFormulas="false" showGridLines="true" showRowColHeaders="true" showZeros="true" rightToLeft="false" tabSelected="false" showOutlineSymbols="true" defaultGridColor="true" view="normal" topLeftCell="CE1" colorId="64" zoomScale="65" zoomScaleNormal="65" zoomScalePageLayoutView="100" workbookViewId="0">
      <selection pane="topLeft" activeCell="CM4" activeCellId="0" sqref="CM4"/>
    </sheetView>
  </sheetViews>
  <sheetFormatPr defaultColWidth="11.53515625" defaultRowHeight="12.8" customHeight="false" zeroHeight="false" outlineLevelRow="0" outlineLevelCol="0"/>
  <cols>
    <col collapsed="false" customWidth="true" hidden="false" outlineLevel="0" max="1" min="1" style="50" width="6.92"/>
    <col collapsed="false" customWidth="true" hidden="false" outlineLevel="0" max="2" min="2" style="39" width="6.92"/>
    <col collapsed="false" customWidth="true" hidden="false" outlineLevel="0" max="3" min="3" style="39" width="28.39"/>
    <col collapsed="false" customWidth="true" hidden="false" outlineLevel="0" max="4" min="4" style="39" width="14.55"/>
    <col collapsed="false" customWidth="true" hidden="false" outlineLevel="0" max="11" min="5" style="39" width="16.84"/>
    <col collapsed="false" customWidth="true" hidden="false" outlineLevel="0" max="12" min="12" style="3" width="13.84"/>
    <col collapsed="false" customWidth="true" hidden="false" outlineLevel="0" max="23" min="16" style="3" width="16.84"/>
    <col collapsed="false" customWidth="true" hidden="false" outlineLevel="0" max="51" min="24" style="39" width="16.84"/>
    <col collapsed="false" customWidth="true" hidden="false" outlineLevel="0" max="54" min="52" style="52" width="12.23"/>
    <col collapsed="false" customWidth="true" hidden="false" outlineLevel="0" max="55" min="55" style="53" width="12.23"/>
    <col collapsed="false" customWidth="true" hidden="false" outlineLevel="0" max="63" min="56" style="52" width="12.23"/>
    <col collapsed="false" customWidth="true" hidden="false" outlineLevel="0" max="67" min="64" style="39" width="16.84"/>
    <col collapsed="false" customWidth="true" hidden="false" outlineLevel="0" max="79" min="68" style="39" width="17.78"/>
    <col collapsed="false" customWidth="true" hidden="false" outlineLevel="0" max="111" min="110" style="39" width="17.78"/>
    <col collapsed="false" customWidth="true" hidden="false" outlineLevel="0" max="113" min="112" style="39" width="15.48"/>
    <col collapsed="false" customWidth="true" hidden="false" outlineLevel="0" max="114" min="114" style="3" width="15.48"/>
    <col collapsed="false" customWidth="false" hidden="false" outlineLevel="0" max="118" min="118" style="39" width="11.53"/>
    <col collapsed="false" customWidth="true" hidden="false" outlineLevel="0" max="119" min="119" style="39" width="18.45"/>
    <col collapsed="false" customWidth="true" hidden="false" outlineLevel="0" max="122" min="120" style="39" width="16.14"/>
    <col collapsed="false" customWidth="true" hidden="false" outlineLevel="0" max="129" min="123" style="39" width="13.84"/>
  </cols>
  <sheetData>
    <row r="1" customFormat="false" ht="12.8" hidden="false" customHeight="false" outlineLevel="0" collapsed="false">
      <c r="A1" s="4" t="s">
        <v>1386</v>
      </c>
      <c r="B1" s="42" t="s">
        <v>7</v>
      </c>
      <c r="C1" s="6" t="s">
        <v>2</v>
      </c>
      <c r="D1" s="42"/>
      <c r="E1" s="42"/>
      <c r="F1" s="42"/>
      <c r="G1" s="42"/>
      <c r="H1" s="42"/>
      <c r="I1" s="42"/>
      <c r="J1" s="42"/>
      <c r="K1" s="42"/>
      <c r="M1" s="3"/>
      <c r="N1" s="3"/>
      <c r="O1" s="3"/>
      <c r="X1" s="42"/>
      <c r="Y1" s="42"/>
      <c r="Z1" s="42"/>
      <c r="AA1" s="42"/>
      <c r="AB1" s="42"/>
      <c r="AC1" s="42"/>
      <c r="AD1" s="42"/>
      <c r="AE1" s="42"/>
      <c r="AF1" s="42"/>
      <c r="AG1" s="42"/>
      <c r="AH1" s="42"/>
      <c r="AI1" s="42"/>
      <c r="AJ1" s="42"/>
      <c r="AK1" s="42"/>
      <c r="AL1" s="42"/>
      <c r="AM1" s="42"/>
      <c r="AN1" s="42"/>
      <c r="AO1" s="42"/>
      <c r="AP1" s="42"/>
      <c r="AQ1" s="42"/>
      <c r="AR1" s="42"/>
      <c r="AS1" s="42"/>
      <c r="AT1" s="42"/>
      <c r="AU1" s="42"/>
      <c r="AV1" s="42"/>
      <c r="AW1" s="42"/>
      <c r="AX1" s="42"/>
      <c r="AY1" s="42"/>
      <c r="AZ1" s="54"/>
      <c r="BA1" s="54"/>
      <c r="BB1" s="54"/>
      <c r="BC1" s="55"/>
      <c r="BD1" s="54"/>
      <c r="BE1" s="54"/>
      <c r="BF1" s="54"/>
      <c r="BG1" s="54"/>
      <c r="BH1" s="54"/>
      <c r="BI1" s="54"/>
      <c r="BJ1" s="54"/>
      <c r="BK1" s="54"/>
      <c r="BL1" s="42"/>
      <c r="BM1" s="42"/>
      <c r="BN1" s="42"/>
      <c r="BO1" s="42"/>
      <c r="BP1" s="42"/>
      <c r="BQ1" s="42"/>
      <c r="BR1" s="42"/>
      <c r="BS1" s="42"/>
      <c r="BT1" s="42"/>
      <c r="BU1" s="42"/>
      <c r="BV1" s="42"/>
      <c r="BW1" s="42"/>
      <c r="BX1" s="42"/>
      <c r="BY1" s="42"/>
      <c r="BZ1" s="42"/>
      <c r="CA1" s="42"/>
      <c r="CB1" s="3"/>
      <c r="CC1" s="3"/>
      <c r="CD1" s="3"/>
      <c r="CE1" s="3"/>
      <c r="CF1" s="3"/>
      <c r="CG1" s="3"/>
      <c r="CH1" s="3"/>
      <c r="CI1" s="3"/>
      <c r="CJ1" s="3"/>
      <c r="CK1" s="3"/>
      <c r="CL1" s="3"/>
      <c r="CM1" s="3"/>
      <c r="CN1" s="3"/>
      <c r="CO1" s="3"/>
      <c r="CP1" s="3"/>
      <c r="CQ1" s="3"/>
      <c r="CR1" s="3"/>
      <c r="CS1" s="3"/>
      <c r="CT1" s="3"/>
      <c r="CU1" s="3"/>
      <c r="CV1" s="3"/>
      <c r="CW1" s="3"/>
      <c r="CX1" s="3"/>
      <c r="CY1" s="3"/>
      <c r="CZ1" s="3"/>
      <c r="DA1" s="3"/>
      <c r="DB1" s="3"/>
      <c r="DC1" s="3"/>
      <c r="DD1" s="3"/>
      <c r="DE1" s="3"/>
      <c r="DF1" s="42"/>
      <c r="DG1" s="42"/>
      <c r="DH1" s="42"/>
      <c r="DI1" s="42"/>
      <c r="DJ1" s="42"/>
      <c r="DK1" s="42"/>
      <c r="DL1" s="42"/>
      <c r="DM1" s="42"/>
      <c r="DN1" s="42"/>
      <c r="DO1" s="42"/>
      <c r="DP1" s="42"/>
      <c r="DQ1" s="42"/>
      <c r="DR1" s="42"/>
      <c r="DS1" s="42"/>
      <c r="DT1" s="42"/>
      <c r="DU1" s="42"/>
      <c r="DV1" s="42"/>
      <c r="DW1" s="42"/>
      <c r="DX1" s="42"/>
      <c r="DY1" s="42"/>
      <c r="DZ1" s="3"/>
      <c r="EA1" s="3"/>
      <c r="EB1" s="3"/>
      <c r="EC1" s="3"/>
      <c r="ED1" s="3"/>
      <c r="EE1" s="3"/>
      <c r="EF1" s="3"/>
      <c r="EG1" s="3"/>
      <c r="EH1" s="3"/>
      <c r="EI1" s="3"/>
      <c r="EJ1" s="3"/>
      <c r="EK1" s="3"/>
    </row>
    <row r="2" s="42" customFormat="true" ht="12.8" hidden="false" customHeight="false" outlineLevel="0" collapsed="false">
      <c r="A2" s="5" t="s">
        <v>1387</v>
      </c>
      <c r="B2" s="5"/>
      <c r="C2" s="5"/>
      <c r="D2" s="56" t="s">
        <v>1388</v>
      </c>
      <c r="E2" s="56"/>
      <c r="F2" s="56"/>
      <c r="G2" s="56"/>
      <c r="H2" s="5" t="s">
        <v>1389</v>
      </c>
      <c r="I2" s="5"/>
      <c r="J2" s="5"/>
      <c r="K2" s="5"/>
      <c r="L2" s="57" t="s">
        <v>1390</v>
      </c>
      <c r="M2" s="57"/>
      <c r="N2" s="57"/>
      <c r="O2" s="57"/>
      <c r="P2" s="57" t="s">
        <v>1391</v>
      </c>
      <c r="Q2" s="57"/>
      <c r="R2" s="57"/>
      <c r="S2" s="57"/>
      <c r="T2" s="57" t="s">
        <v>1392</v>
      </c>
      <c r="U2" s="57"/>
      <c r="V2" s="57"/>
      <c r="W2" s="57"/>
      <c r="X2" s="5" t="s">
        <v>1393</v>
      </c>
      <c r="Y2" s="5"/>
      <c r="Z2" s="5"/>
      <c r="AA2" s="5"/>
      <c r="AB2" s="5" t="s">
        <v>1394</v>
      </c>
      <c r="AC2" s="5"/>
      <c r="AD2" s="5"/>
      <c r="AE2" s="5"/>
      <c r="AF2" s="5" t="s">
        <v>1395</v>
      </c>
      <c r="AG2" s="5"/>
      <c r="AH2" s="5"/>
      <c r="AI2" s="5"/>
      <c r="AJ2" s="5" t="s">
        <v>1396</v>
      </c>
      <c r="AK2" s="5"/>
      <c r="AL2" s="5"/>
      <c r="AM2" s="5"/>
      <c r="AN2" s="5" t="s">
        <v>1397</v>
      </c>
      <c r="AO2" s="5"/>
      <c r="AP2" s="5"/>
      <c r="AQ2" s="5"/>
      <c r="AR2" s="5" t="s">
        <v>1398</v>
      </c>
      <c r="AS2" s="5"/>
      <c r="AT2" s="5"/>
      <c r="AU2" s="5"/>
      <c r="AV2" s="5" t="s">
        <v>1399</v>
      </c>
      <c r="AW2" s="5"/>
      <c r="AX2" s="5"/>
      <c r="AY2" s="5"/>
      <c r="AZ2" s="58" t="s">
        <v>1400</v>
      </c>
      <c r="BA2" s="58"/>
      <c r="BB2" s="58"/>
      <c r="BC2" s="58" t="s">
        <v>1401</v>
      </c>
      <c r="BD2" s="58"/>
      <c r="BE2" s="58"/>
      <c r="BF2" s="58" t="s">
        <v>1402</v>
      </c>
      <c r="BG2" s="58"/>
      <c r="BH2" s="58"/>
      <c r="BI2" s="58" t="s">
        <v>1403</v>
      </c>
      <c r="BJ2" s="58"/>
      <c r="BK2" s="58"/>
      <c r="BL2" s="5" t="s">
        <v>1404</v>
      </c>
      <c r="BM2" s="5"/>
      <c r="BN2" s="5"/>
      <c r="BO2" s="5"/>
      <c r="BP2" s="58" t="s">
        <v>1405</v>
      </c>
      <c r="BQ2" s="58"/>
      <c r="BR2" s="58"/>
      <c r="BS2" s="58" t="s">
        <v>1406</v>
      </c>
      <c r="BT2" s="58"/>
      <c r="BU2" s="58"/>
      <c r="BV2" s="58" t="s">
        <v>1407</v>
      </c>
      <c r="BW2" s="58"/>
      <c r="BX2" s="58"/>
      <c r="BY2" s="58" t="s">
        <v>1408</v>
      </c>
      <c r="BZ2" s="58"/>
      <c r="CA2" s="58"/>
      <c r="CB2" s="57" t="s">
        <v>1409</v>
      </c>
      <c r="CC2" s="57"/>
      <c r="CD2" s="57"/>
      <c r="CE2" s="57"/>
      <c r="CF2" s="57" t="s">
        <v>1410</v>
      </c>
      <c r="CG2" s="57"/>
      <c r="CH2" s="57"/>
      <c r="CI2" s="57"/>
      <c r="CJ2" s="57" t="s">
        <v>1411</v>
      </c>
      <c r="CK2" s="57"/>
      <c r="CL2" s="57"/>
      <c r="CM2" s="57"/>
      <c r="CN2" s="57" t="s">
        <v>1412</v>
      </c>
      <c r="CO2" s="57"/>
      <c r="CP2" s="57"/>
      <c r="CQ2" s="57"/>
      <c r="CR2" s="57"/>
      <c r="CS2" s="57"/>
      <c r="CT2" s="57" t="s">
        <v>1413</v>
      </c>
      <c r="CU2" s="57"/>
      <c r="CV2" s="57"/>
      <c r="CW2" s="57"/>
      <c r="CX2" s="57" t="s">
        <v>1414</v>
      </c>
      <c r="CY2" s="57"/>
      <c r="CZ2" s="57"/>
      <c r="DA2" s="57"/>
      <c r="DB2" s="57" t="s">
        <v>1415</v>
      </c>
      <c r="DC2" s="57"/>
      <c r="DD2" s="57"/>
      <c r="DE2" s="57"/>
      <c r="DF2" s="5" t="s">
        <v>1416</v>
      </c>
      <c r="DG2" s="5"/>
      <c r="DH2" s="5"/>
      <c r="DI2" s="5"/>
      <c r="DJ2" s="5" t="s">
        <v>1417</v>
      </c>
      <c r="DK2" s="5"/>
      <c r="DL2" s="5"/>
      <c r="DM2" s="5"/>
      <c r="DN2" s="5" t="s">
        <v>1418</v>
      </c>
      <c r="DO2" s="5"/>
      <c r="DP2" s="5"/>
      <c r="DQ2" s="5"/>
      <c r="DR2" s="5" t="s">
        <v>1419</v>
      </c>
      <c r="DS2" s="5"/>
      <c r="DT2" s="5"/>
      <c r="DU2" s="5"/>
      <c r="DV2" s="5" t="s">
        <v>1420</v>
      </c>
      <c r="DW2" s="5"/>
      <c r="DX2" s="5"/>
      <c r="DY2" s="5"/>
      <c r="DZ2" s="57" t="s">
        <v>1421</v>
      </c>
      <c r="EA2" s="57"/>
      <c r="EB2" s="57"/>
      <c r="EC2" s="57"/>
      <c r="ED2" s="57" t="s">
        <v>1422</v>
      </c>
      <c r="EE2" s="57"/>
      <c r="EF2" s="57"/>
      <c r="EG2" s="57"/>
      <c r="EH2" s="57" t="s">
        <v>1423</v>
      </c>
      <c r="EI2" s="57"/>
      <c r="EJ2" s="57"/>
      <c r="EK2" s="57"/>
      <c r="EL2" s="57"/>
      <c r="EM2" s="57"/>
      <c r="EN2" s="57"/>
      <c r="EO2" s="57"/>
      <c r="EP2" s="3"/>
      <c r="EQ2" s="3"/>
      <c r="ER2" s="3"/>
      <c r="ES2" s="3"/>
      <c r="ET2" s="3"/>
      <c r="EU2" s="3"/>
      <c r="EV2" s="3"/>
      <c r="EW2" s="3"/>
      <c r="EX2" s="3"/>
      <c r="EY2" s="3"/>
      <c r="EZ2" s="3"/>
      <c r="FA2" s="3"/>
      <c r="FB2" s="3"/>
      <c r="FC2" s="3"/>
      <c r="FD2" s="3"/>
      <c r="FE2" s="3"/>
      <c r="FF2" s="3"/>
      <c r="FG2" s="3"/>
      <c r="FH2" s="3"/>
      <c r="FI2" s="3"/>
      <c r="FJ2" s="3"/>
      <c r="FK2" s="3"/>
      <c r="FL2" s="3"/>
      <c r="FM2" s="3"/>
      <c r="FN2" s="3"/>
      <c r="FO2" s="3"/>
    </row>
    <row r="3" customFormat="false" ht="23.85" hidden="false" customHeight="false" outlineLevel="0" collapsed="false">
      <c r="A3" s="11" t="s">
        <v>1424</v>
      </c>
      <c r="B3" s="42" t="s">
        <v>1425</v>
      </c>
      <c r="C3" s="42" t="s">
        <v>1426</v>
      </c>
      <c r="D3" s="59" t="s">
        <v>1427</v>
      </c>
      <c r="E3" s="59" t="s">
        <v>1428</v>
      </c>
      <c r="F3" s="59" t="s">
        <v>1429</v>
      </c>
      <c r="G3" s="59" t="s">
        <v>1430</v>
      </c>
      <c r="H3" s="60" t="s">
        <v>1431</v>
      </c>
      <c r="I3" s="60" t="s">
        <v>1432</v>
      </c>
      <c r="J3" s="60" t="s">
        <v>1433</v>
      </c>
      <c r="K3" s="60" t="s">
        <v>1434</v>
      </c>
      <c r="L3" s="42" t="s">
        <v>1435</v>
      </c>
      <c r="M3" s="42" t="s">
        <v>1436</v>
      </c>
      <c r="N3" s="42" t="s">
        <v>1437</v>
      </c>
      <c r="O3" s="42" t="s">
        <v>1438</v>
      </c>
      <c r="P3" s="42" t="s">
        <v>1439</v>
      </c>
      <c r="Q3" s="42" t="s">
        <v>1440</v>
      </c>
      <c r="R3" s="42" t="s">
        <v>1441</v>
      </c>
      <c r="S3" s="42" t="s">
        <v>1442</v>
      </c>
      <c r="T3" s="42" t="s">
        <v>1443</v>
      </c>
      <c r="U3" s="42" t="s">
        <v>1444</v>
      </c>
      <c r="V3" s="42" t="s">
        <v>1445</v>
      </c>
      <c r="W3" s="42" t="s">
        <v>1446</v>
      </c>
      <c r="X3" s="42" t="s">
        <v>1447</v>
      </c>
      <c r="Y3" s="42" t="s">
        <v>1448</v>
      </c>
      <c r="Z3" s="42" t="s">
        <v>1449</v>
      </c>
      <c r="AA3" s="42" t="s">
        <v>1450</v>
      </c>
      <c r="AB3" s="42" t="s">
        <v>1451</v>
      </c>
      <c r="AC3" s="42" t="s">
        <v>1452</v>
      </c>
      <c r="AD3" s="42" t="s">
        <v>1453</v>
      </c>
      <c r="AE3" s="42" t="s">
        <v>1454</v>
      </c>
      <c r="AF3" s="42" t="s">
        <v>1455</v>
      </c>
      <c r="AG3" s="42" t="s">
        <v>1456</v>
      </c>
      <c r="AH3" s="42" t="s">
        <v>1457</v>
      </c>
      <c r="AI3" s="42" t="s">
        <v>1458</v>
      </c>
      <c r="AJ3" s="42" t="s">
        <v>1459</v>
      </c>
      <c r="AK3" s="42" t="s">
        <v>1460</v>
      </c>
      <c r="AL3" s="42" t="s">
        <v>1461</v>
      </c>
      <c r="AM3" s="42" t="s">
        <v>1462</v>
      </c>
      <c r="AN3" s="42" t="s">
        <v>1463</v>
      </c>
      <c r="AO3" s="42" t="s">
        <v>1464</v>
      </c>
      <c r="AP3" s="42" t="s">
        <v>1465</v>
      </c>
      <c r="AQ3" s="42" t="s">
        <v>1466</v>
      </c>
      <c r="AR3" s="42" t="s">
        <v>1467</v>
      </c>
      <c r="AS3" s="42" t="s">
        <v>1468</v>
      </c>
      <c r="AT3" s="42" t="s">
        <v>1469</v>
      </c>
      <c r="AU3" s="42" t="s">
        <v>1470</v>
      </c>
      <c r="AV3" s="42" t="s">
        <v>1471</v>
      </c>
      <c r="AW3" s="42" t="s">
        <v>1472</v>
      </c>
      <c r="AX3" s="42" t="s">
        <v>1473</v>
      </c>
      <c r="AY3" s="42" t="s">
        <v>1474</v>
      </c>
      <c r="AZ3" s="54" t="s">
        <v>1475</v>
      </c>
      <c r="BA3" s="54" t="s">
        <v>1476</v>
      </c>
      <c r="BB3" s="54" t="s">
        <v>1477</v>
      </c>
      <c r="BC3" s="55" t="s">
        <v>1478</v>
      </c>
      <c r="BD3" s="54" t="s">
        <v>1479</v>
      </c>
      <c r="BE3" s="54" t="s">
        <v>1480</v>
      </c>
      <c r="BF3" s="54" t="s">
        <v>1481</v>
      </c>
      <c r="BG3" s="54" t="s">
        <v>1482</v>
      </c>
      <c r="BH3" s="54" t="s">
        <v>1483</v>
      </c>
      <c r="BI3" s="54" t="s">
        <v>1484</v>
      </c>
      <c r="BJ3" s="54" t="s">
        <v>1485</v>
      </c>
      <c r="BK3" s="54" t="s">
        <v>1486</v>
      </c>
      <c r="BL3" s="42" t="s">
        <v>1487</v>
      </c>
      <c r="BM3" s="42" t="s">
        <v>1488</v>
      </c>
      <c r="BN3" s="42" t="s">
        <v>1489</v>
      </c>
      <c r="BO3" s="42" t="s">
        <v>1490</v>
      </c>
      <c r="BP3" s="54" t="s">
        <v>1491</v>
      </c>
      <c r="BQ3" s="54" t="s">
        <v>1492</v>
      </c>
      <c r="BR3" s="54" t="s">
        <v>1493</v>
      </c>
      <c r="BS3" s="55" t="s">
        <v>1494</v>
      </c>
      <c r="BT3" s="54" t="s">
        <v>1495</v>
      </c>
      <c r="BU3" s="54" t="s">
        <v>1496</v>
      </c>
      <c r="BV3" s="54" t="s">
        <v>1497</v>
      </c>
      <c r="BW3" s="54" t="s">
        <v>1498</v>
      </c>
      <c r="BX3" s="54" t="s">
        <v>1499</v>
      </c>
      <c r="BY3" s="54" t="s">
        <v>1500</v>
      </c>
      <c r="BZ3" s="54" t="s">
        <v>1501</v>
      </c>
      <c r="CA3" s="54" t="s">
        <v>1502</v>
      </c>
      <c r="CB3" s="42" t="s">
        <v>1503</v>
      </c>
      <c r="CC3" s="42" t="s">
        <v>1504</v>
      </c>
      <c r="CD3" s="42" t="s">
        <v>1505</v>
      </c>
      <c r="CE3" s="42" t="s">
        <v>1506</v>
      </c>
      <c r="CF3" s="42" t="s">
        <v>1507</v>
      </c>
      <c r="CG3" s="42" t="s">
        <v>1508</v>
      </c>
      <c r="CH3" s="42" t="s">
        <v>1509</v>
      </c>
      <c r="CI3" s="42" t="s">
        <v>1510</v>
      </c>
      <c r="CJ3" s="42" t="s">
        <v>78</v>
      </c>
      <c r="CK3" s="42" t="s">
        <v>1511</v>
      </c>
      <c r="CL3" s="42" t="s">
        <v>1512</v>
      </c>
      <c r="CM3" s="42" t="s">
        <v>1513</v>
      </c>
      <c r="CN3" s="42" t="s">
        <v>1514</v>
      </c>
      <c r="CO3" s="42" t="s">
        <v>1515</v>
      </c>
      <c r="CP3" s="42" t="s">
        <v>1516</v>
      </c>
      <c r="CQ3" s="42" t="s">
        <v>1517</v>
      </c>
      <c r="CR3" s="42" t="s">
        <v>1518</v>
      </c>
      <c r="CS3" s="42" t="s">
        <v>1519</v>
      </c>
      <c r="CT3" s="42" t="s">
        <v>84</v>
      </c>
      <c r="CU3" s="42" t="s">
        <v>1520</v>
      </c>
      <c r="CV3" s="42" t="s">
        <v>1521</v>
      </c>
      <c r="CW3" s="42" t="s">
        <v>1522</v>
      </c>
      <c r="CX3" s="42" t="s">
        <v>1523</v>
      </c>
      <c r="CY3" s="42" t="s">
        <v>1524</v>
      </c>
      <c r="CZ3" s="42" t="s">
        <v>1525</v>
      </c>
      <c r="DA3" s="42" t="s">
        <v>1526</v>
      </c>
      <c r="DB3" s="42" t="s">
        <v>1527</v>
      </c>
      <c r="DC3" s="42" t="s">
        <v>1528</v>
      </c>
      <c r="DD3" s="42" t="s">
        <v>1529</v>
      </c>
      <c r="DE3" s="42" t="s">
        <v>1530</v>
      </c>
      <c r="DF3" s="42" t="s">
        <v>1531</v>
      </c>
      <c r="DG3" s="42" t="s">
        <v>1532</v>
      </c>
      <c r="DH3" s="42" t="s">
        <v>1533</v>
      </c>
      <c r="DI3" s="42" t="s">
        <v>1534</v>
      </c>
      <c r="DJ3" s="42" t="s">
        <v>1535</v>
      </c>
      <c r="DK3" s="42" t="s">
        <v>1536</v>
      </c>
      <c r="DL3" s="42" t="s">
        <v>1537</v>
      </c>
      <c r="DM3" s="42" t="s">
        <v>1538</v>
      </c>
      <c r="DN3" s="42" t="s">
        <v>1539</v>
      </c>
      <c r="DO3" s="42" t="s">
        <v>1540</v>
      </c>
      <c r="DP3" s="42" t="s">
        <v>1541</v>
      </c>
      <c r="DQ3" s="42" t="s">
        <v>1542</v>
      </c>
      <c r="DR3" s="42" t="s">
        <v>1543</v>
      </c>
      <c r="DS3" s="42" t="s">
        <v>1544</v>
      </c>
      <c r="DT3" s="42" t="s">
        <v>1545</v>
      </c>
      <c r="DU3" s="42" t="s">
        <v>1546</v>
      </c>
      <c r="DV3" s="42" t="s">
        <v>1547</v>
      </c>
      <c r="DW3" s="42" t="s">
        <v>1548</v>
      </c>
      <c r="DX3" s="42" t="s">
        <v>1549</v>
      </c>
      <c r="DY3" s="42" t="s">
        <v>1550</v>
      </c>
      <c r="DZ3" s="42" t="s">
        <v>1551</v>
      </c>
      <c r="EA3" s="42" t="s">
        <v>1552</v>
      </c>
      <c r="EB3" s="42" t="s">
        <v>1553</v>
      </c>
      <c r="EC3" s="42" t="s">
        <v>1554</v>
      </c>
      <c r="ED3" s="42" t="s">
        <v>1555</v>
      </c>
      <c r="EE3" s="42" t="s">
        <v>1556</v>
      </c>
      <c r="EF3" s="42" t="s">
        <v>1557</v>
      </c>
      <c r="EG3" s="42" t="s">
        <v>1558</v>
      </c>
      <c r="EH3" s="42" t="s">
        <v>99</v>
      </c>
      <c r="EI3" s="42" t="s">
        <v>1559</v>
      </c>
      <c r="EJ3" s="42" t="s">
        <v>1560</v>
      </c>
      <c r="EK3" s="42" t="s">
        <v>1561</v>
      </c>
      <c r="EL3" s="42"/>
      <c r="EM3" s="42"/>
      <c r="EN3" s="42"/>
      <c r="EO3" s="42"/>
    </row>
    <row r="4" customFormat="false" ht="12.8" hidden="false" customHeight="false" outlineLevel="0" collapsed="false">
      <c r="A4" s="50" t="n">
        <v>0</v>
      </c>
      <c r="B4" s="39" t="s">
        <v>1562</v>
      </c>
      <c r="C4" s="39" t="s">
        <v>1563</v>
      </c>
      <c r="D4" s="42" t="n">
        <f aca="false">LFP!C4</f>
        <v>2381000</v>
      </c>
      <c r="E4" s="42" t="n">
        <f aca="false">LFP!D4</f>
        <v>62388</v>
      </c>
      <c r="F4" s="42" t="n">
        <f aca="false">LFP!E4</f>
        <v>50000</v>
      </c>
      <c r="G4" s="42" t="n">
        <f aca="false">LFP!F4</f>
        <v>2270612</v>
      </c>
      <c r="H4" s="42" t="n">
        <f aca="false">TNPE!C4</f>
        <v>2211200</v>
      </c>
      <c r="I4" s="42" t="n">
        <f aca="false">TNPE!D4</f>
        <v>81814</v>
      </c>
      <c r="J4" s="42" t="n">
        <f aca="false">TNPE!E4</f>
        <v>48646</v>
      </c>
      <c r="K4" s="42" t="n">
        <f aca="false">TNPE!F4</f>
        <v>2080740</v>
      </c>
      <c r="L4" s="39" t="n">
        <f aca="false">EP!C4</f>
        <v>2317000</v>
      </c>
      <c r="M4" s="39" t="n">
        <f aca="false">EP!D4</f>
        <v>61250</v>
      </c>
      <c r="N4" s="39" t="n">
        <f aca="false">EP!E4</f>
        <v>54820</v>
      </c>
      <c r="O4" s="39" t="n">
        <f aca="false">EP!F4</f>
        <v>2201930</v>
      </c>
      <c r="P4" s="39" t="n">
        <f aca="false">U3P!C4</f>
        <v>64000</v>
      </c>
      <c r="Q4" s="39" t="n">
        <f aca="false">U3P!D4</f>
        <v>1828</v>
      </c>
      <c r="R4" s="39" t="n">
        <f aca="false">U3P!E4</f>
        <v>1658</v>
      </c>
      <c r="S4" s="39" t="n">
        <f aca="false">U3P!F4</f>
        <v>60514</v>
      </c>
      <c r="T4" s="39" t="n">
        <f aca="false">U6P!C4</f>
        <v>148000</v>
      </c>
      <c r="U4" s="39" t="n">
        <f aca="false">U6P!D4</f>
        <v>2985</v>
      </c>
      <c r="V4" s="39" t="n">
        <f aca="false">U6P!E4</f>
        <v>12845</v>
      </c>
      <c r="W4" s="39" t="n">
        <f aca="false">U6P!F4</f>
        <v>132170</v>
      </c>
      <c r="X4" s="39" t="n">
        <f aca="false">ETPR!C4</f>
        <v>0.561</v>
      </c>
      <c r="Y4" s="39" t="n">
        <f aca="false">ETPR!D4</f>
        <v>0.538</v>
      </c>
      <c r="Z4" s="39" t="n">
        <f aca="false">ETPR!E4</f>
        <v>0.594</v>
      </c>
      <c r="AA4" s="39" t="n">
        <f aca="false">ETPR!F4</f>
        <v>0.564</v>
      </c>
      <c r="AB4" s="39" t="n">
        <f aca="false">U3TPR!C4</f>
        <v>0.0155</v>
      </c>
      <c r="AC4" s="39" t="n">
        <f aca="false">U3TPR!D4</f>
        <v>0.0128</v>
      </c>
      <c r="AD4" s="39" t="n">
        <f aca="false">U3TPR!E4</f>
        <v>0.0482</v>
      </c>
      <c r="AE4" s="39" t="n">
        <f aca="false">U3TPR!F4</f>
        <v>0.0151</v>
      </c>
      <c r="AF4" s="39" t="n">
        <f aca="false">U6TPR!C4</f>
        <v>0.0358</v>
      </c>
      <c r="AG4" s="39" t="n">
        <f aca="false">U6TPR!D4</f>
        <v>0.0295</v>
      </c>
      <c r="AH4" s="39" t="n">
        <f aca="false">U6TPR!E4</f>
        <v>0.1984</v>
      </c>
      <c r="AI4" s="39" t="n">
        <f aca="false">U6TPR!F4</f>
        <v>0.035</v>
      </c>
      <c r="AJ4" s="39" t="n">
        <f aca="false">LFPR!C4</f>
        <v>0.577</v>
      </c>
      <c r="AK4" s="39" t="n">
        <f aca="false">LFPR!D4</f>
        <v>0.41</v>
      </c>
      <c r="AL4" s="39" t="n">
        <f aca="false">LFPR!E4</f>
        <v>0.61</v>
      </c>
      <c r="AM4" s="39" t="n">
        <f aca="false">LFPR!F4</f>
        <v>0.583</v>
      </c>
      <c r="AN4" s="39" t="n">
        <f aca="false">U3R!C4</f>
        <v>0.027</v>
      </c>
      <c r="AO4" s="39" t="n">
        <f aca="false">U3R!D4</f>
        <v>0.029</v>
      </c>
      <c r="AP4" s="39" t="n">
        <f aca="false">U3R!E4</f>
        <v>0.033</v>
      </c>
      <c r="AQ4" s="39" t="n">
        <f aca="false">U3R!F4</f>
        <v>0.027</v>
      </c>
      <c r="AR4" s="39" t="n">
        <f aca="false">U6R!C4</f>
        <v>0.062</v>
      </c>
      <c r="AS4" s="39" t="n">
        <f aca="false">U6R!D4</f>
        <v>0.048</v>
      </c>
      <c r="AT4" s="39" t="n">
        <f aca="false">U6R!E4</f>
        <v>0.198</v>
      </c>
      <c r="AU4" s="39" t="n">
        <f aca="false">U6R!F4</f>
        <v>0.059</v>
      </c>
      <c r="AV4" s="39" t="n">
        <f aca="false">WAVG!C4</f>
        <v>31.96</v>
      </c>
      <c r="AW4" s="39" t="n">
        <f aca="false">WAVG!D4</f>
        <v>32.68</v>
      </c>
      <c r="AX4" s="39" t="n">
        <f aca="false">WAVG!E4</f>
        <v>25.57</v>
      </c>
      <c r="AY4" s="39" t="n">
        <f aca="false">WAVG!F4</f>
        <v>32.12</v>
      </c>
      <c r="AZ4" s="52" t="n">
        <f aca="false">WRAVG!C4</f>
        <v>15</v>
      </c>
      <c r="BA4" s="52" t="n">
        <f aca="false">WRAVG!D4</f>
        <v>55</v>
      </c>
      <c r="BB4" s="52" t="n">
        <f aca="false">WRAVG!E4</f>
        <v>31.96</v>
      </c>
      <c r="BC4" s="52" t="n">
        <f aca="false">WRAVG!F4</f>
        <v>15.75</v>
      </c>
      <c r="BD4" s="52" t="n">
        <f aca="false">WRAVG!G4</f>
        <v>58.3</v>
      </c>
      <c r="BE4" s="52" t="n">
        <f aca="false">WRAVG!H4</f>
        <v>32.68</v>
      </c>
      <c r="BF4" s="52" t="n">
        <f aca="false">WRAVG!I4</f>
        <v>10.5</v>
      </c>
      <c r="BG4" s="52" t="n">
        <f aca="false">WRAVG!J4</f>
        <v>44</v>
      </c>
      <c r="BH4" s="52" t="n">
        <f aca="false">WRAVG!K4</f>
        <v>25.57</v>
      </c>
      <c r="BI4" s="52" t="n">
        <f aca="false">WRAVG!L4</f>
        <v>15.2</v>
      </c>
      <c r="BJ4" s="52" t="n">
        <f aca="false">WRAVG!M4</f>
        <v>55.6</v>
      </c>
      <c r="BK4" s="52" t="n">
        <f aca="false">WRAVG!N4</f>
        <v>32.12</v>
      </c>
      <c r="BL4" s="61" t="n">
        <f aca="false">AIAVG!C4</f>
        <v>66477</v>
      </c>
      <c r="BM4" s="61" t="n">
        <f aca="false">AIAVG!D4</f>
        <v>68064</v>
      </c>
      <c r="BN4" s="61" t="n">
        <f aca="false">AIAVG!E4</f>
        <v>46534</v>
      </c>
      <c r="BO4" s="61" t="n">
        <f aca="false">AIAVG!F4</f>
        <v>66857</v>
      </c>
      <c r="BP4" s="61" t="n">
        <f aca="false">AIRAVG!C4</f>
        <v>31200</v>
      </c>
      <c r="BQ4" s="61" t="n">
        <f aca="false">AIRAVG!D4</f>
        <v>114400</v>
      </c>
      <c r="BR4" s="61" t="n">
        <f aca="false">AIRAVG!E4</f>
        <v>66476</v>
      </c>
      <c r="BS4" s="61" t="n">
        <f aca="false">AIRAVG!F4</f>
        <v>32760</v>
      </c>
      <c r="BT4" s="61" t="n">
        <f aca="false">AIRAVG!G4</f>
        <v>121064</v>
      </c>
      <c r="BU4" s="61" t="n">
        <f aca="false">AIRAVG!H4</f>
        <v>69678</v>
      </c>
      <c r="BV4" s="61" t="n">
        <f aca="false">AIRAVG!I4</f>
        <v>21840</v>
      </c>
      <c r="BW4" s="61" t="n">
        <f aca="false">AIRAVG!J4</f>
        <v>91520</v>
      </c>
      <c r="BX4" s="61" t="n">
        <f aca="false">AIRAVG!K4</f>
        <v>53181</v>
      </c>
      <c r="BY4" s="61" t="n">
        <f aca="false">AIRAVG!L4</f>
        <v>31500</v>
      </c>
      <c r="BZ4" s="61" t="n">
        <f aca="false">AIRAVG!M4</f>
        <v>115904</v>
      </c>
      <c r="CA4" s="61" t="n">
        <f aca="false">AIRAVG!N4</f>
        <v>67020</v>
      </c>
      <c r="CB4" s="3" t="n">
        <f aca="false">AWHW!C4</f>
        <v>38.8</v>
      </c>
      <c r="CC4" s="3" t="n">
        <f aca="false">AWHW!D4</f>
        <v>39.2</v>
      </c>
      <c r="CD4" s="3" t="n">
        <f aca="false">AWHW!E4</f>
        <v>38.5</v>
      </c>
      <c r="CE4" s="3" t="n">
        <f aca="false">AWHW!F4</f>
        <v>38.7</v>
      </c>
      <c r="CF4" s="3" t="n">
        <f aca="false">FTER!C4</f>
        <v>0.82</v>
      </c>
      <c r="CG4" s="3" t="n">
        <f aca="false">FTER!D4</f>
        <v>0.84</v>
      </c>
      <c r="CH4" s="3" t="n">
        <f aca="false">FTER!E4</f>
        <v>0.78</v>
      </c>
      <c r="CI4" s="3" t="n">
        <f aca="false">FTER!F4</f>
        <v>0.82</v>
      </c>
      <c r="CJ4" s="3" t="n">
        <f aca="false">PTER!C4</f>
        <v>0.18</v>
      </c>
      <c r="CK4" s="3" t="n">
        <f aca="false">PTER!D4</f>
        <v>0.16</v>
      </c>
      <c r="CL4" s="3" t="n">
        <f aca="false">PTER!E4</f>
        <v>0.22</v>
      </c>
      <c r="CM4" s="3" t="n">
        <f aca="false">PTER!F4</f>
        <v>0.18</v>
      </c>
      <c r="CN4" s="3"/>
      <c r="CO4" s="3"/>
      <c r="CP4" s="3"/>
      <c r="CQ4" s="3"/>
      <c r="CR4" s="3"/>
      <c r="CS4" s="3"/>
      <c r="CT4" s="3"/>
      <c r="CU4" s="3"/>
      <c r="CV4" s="3"/>
      <c r="CW4" s="3"/>
      <c r="CX4" s="3"/>
      <c r="CY4" s="3"/>
      <c r="CZ4" s="3"/>
      <c r="DA4" s="3"/>
      <c r="DB4" s="3"/>
      <c r="DC4" s="3"/>
      <c r="DD4" s="3"/>
      <c r="DE4" s="3"/>
      <c r="DJ4" s="39"/>
      <c r="DK4" s="3"/>
      <c r="DL4" s="3"/>
      <c r="DM4" s="3"/>
      <c r="DN4" s="3"/>
      <c r="DZ4" s="3"/>
      <c r="EA4" s="3"/>
      <c r="EB4" s="3"/>
      <c r="EC4" s="3"/>
      <c r="ED4" s="3"/>
      <c r="EE4" s="3"/>
      <c r="EF4" s="3"/>
      <c r="EG4" s="3"/>
      <c r="EH4" s="3"/>
      <c r="EI4" s="3"/>
      <c r="EJ4" s="3"/>
      <c r="EK4" s="3"/>
    </row>
    <row r="5" customFormat="false" ht="23.85" hidden="false" customHeight="false" outlineLevel="0" collapsed="false">
      <c r="A5" s="50" t="n">
        <v>1</v>
      </c>
      <c r="B5" s="39" t="n">
        <v>11</v>
      </c>
      <c r="C5" s="40" t="s">
        <v>1564</v>
      </c>
      <c r="D5" s="42" t="n">
        <f aca="false">LFP!C5</f>
        <v>38000</v>
      </c>
      <c r="E5" s="42" t="n">
        <f aca="false">LFP!D5</f>
        <v>152</v>
      </c>
      <c r="F5" s="42" t="n">
        <f aca="false">LFP!E5</f>
        <v>5320</v>
      </c>
      <c r="G5" s="42" t="n">
        <f aca="false">LFP!F5</f>
        <v>32528</v>
      </c>
      <c r="H5" s="42" t="n">
        <f aca="false">TNPE!C5</f>
        <v>33500</v>
      </c>
      <c r="I5" s="42" t="n">
        <f aca="false">TNPE!D5</f>
        <v>1240</v>
      </c>
      <c r="J5" s="42" t="n">
        <f aca="false">TNPE!E5</f>
        <v>884</v>
      </c>
      <c r="K5" s="42" t="n">
        <f aca="false">TNPE!F5</f>
        <v>31376</v>
      </c>
      <c r="L5" s="39" t="n">
        <f aca="false">EP!C5</f>
        <v>26862</v>
      </c>
      <c r="M5" s="39" t="n">
        <f aca="false">EP!D5</f>
        <v>520</v>
      </c>
      <c r="N5" s="39" t="n">
        <f aca="false">EP!E5</f>
        <v>3120</v>
      </c>
      <c r="O5" s="39" t="n">
        <f aca="false">EP!F5</f>
        <v>23222</v>
      </c>
      <c r="P5" s="39" t="n">
        <f aca="false">U3P!C5</f>
        <v>11138</v>
      </c>
      <c r="Q5" s="39" t="n">
        <f aca="false">U3P!D5</f>
        <v>62</v>
      </c>
      <c r="R5" s="39" t="n">
        <f aca="false">U3P!E5</f>
        <v>2902</v>
      </c>
      <c r="S5" s="39" t="n">
        <f aca="false">U3P!F5</f>
        <v>8174</v>
      </c>
      <c r="T5" s="39" t="n">
        <f aca="false">U6P!C5</f>
        <v>21000</v>
      </c>
      <c r="U5" s="39" t="n">
        <f aca="false">U6P!D5</f>
        <v>142</v>
      </c>
      <c r="V5" s="39" t="n">
        <f aca="false">U6P!E5</f>
        <v>5480</v>
      </c>
      <c r="W5" s="39" t="n">
        <f aca="false">U6P!F5</f>
        <v>15378</v>
      </c>
      <c r="X5" s="39" t="n">
        <f aca="false">ETPR!C5</f>
        <v>0.61</v>
      </c>
      <c r="Y5" s="39" t="n">
        <f aca="false">ETPR!D5</f>
        <v>0.62</v>
      </c>
      <c r="Z5" s="39" t="n">
        <f aca="false">ETPR!E5</f>
        <v>0.68</v>
      </c>
      <c r="AA5" s="39" t="n">
        <f aca="false">ETPR!F5</f>
        <v>0.605</v>
      </c>
      <c r="AB5" s="39" t="n">
        <f aca="false">U3TPR!C5</f>
        <v>0.0293</v>
      </c>
      <c r="AC5" s="39" t="n">
        <f aca="false">U3TPR!D5</f>
        <v>0.0185</v>
      </c>
      <c r="AD5" s="39" t="n">
        <f aca="false">U3TPR!E5</f>
        <v>0.0921</v>
      </c>
      <c r="AE5" s="39" t="n">
        <f aca="false">U3TPR!F5</f>
        <v>0.0284</v>
      </c>
      <c r="AF5" s="39" t="n">
        <f aca="false">U6TPR!C5</f>
        <v>0.0647</v>
      </c>
      <c r="AG5" s="39" t="n">
        <f aca="false">U6TPR!D5</f>
        <v>0.0532</v>
      </c>
      <c r="AH5" s="39" t="n">
        <f aca="false">U6TPR!E5</f>
        <v>0.3185</v>
      </c>
      <c r="AI5" s="39" t="n">
        <f aca="false">U6TPR!F5</f>
        <v>0.0628</v>
      </c>
      <c r="AJ5" s="39" t="n">
        <f aca="false">LFPR!C5</f>
        <v>0.545</v>
      </c>
      <c r="AK5" s="39" t="n">
        <f aca="false">LFPR!D5</f>
        <v>0.4</v>
      </c>
      <c r="AL5" s="39" t="n">
        <f aca="false">LFPR!E5</f>
        <v>0.7</v>
      </c>
      <c r="AM5" s="39" t="n">
        <f aca="false">LFPR!F5</f>
        <v>0.545</v>
      </c>
      <c r="AN5" s="39" t="n">
        <f aca="false">U3R!C5</f>
        <v>0.045</v>
      </c>
      <c r="AO5" s="39" t="n">
        <f aca="false">U3R!D5</f>
        <v>0.048</v>
      </c>
      <c r="AP5" s="39" t="n">
        <f aca="false">U3R!E5</f>
        <v>0.062</v>
      </c>
      <c r="AQ5" s="39" t="n">
        <f aca="false">U3R!F5</f>
        <v>0.042</v>
      </c>
      <c r="AR5" s="39" t="n">
        <f aca="false">U6R!C5</f>
        <v>0.072</v>
      </c>
      <c r="AS5" s="39" t="n">
        <f aca="false">U6R!D5</f>
        <v>0.059</v>
      </c>
      <c r="AT5" s="39" t="n">
        <f aca="false">U6R!E5</f>
        <v>0.318</v>
      </c>
      <c r="AU5" s="39" t="n">
        <f aca="false">U6R!F5</f>
        <v>0.069</v>
      </c>
      <c r="AV5" s="39" t="n">
        <f aca="false">WAVG!C5</f>
        <v>18.5</v>
      </c>
      <c r="AW5" s="39" t="n">
        <f aca="false">WAVG!D5</f>
        <v>19.42</v>
      </c>
      <c r="AX5" s="39" t="n">
        <f aca="false">WAVG!E5</f>
        <v>14.8</v>
      </c>
      <c r="AY5" s="39" t="n">
        <f aca="false">WAVG!F5</f>
        <v>18.72</v>
      </c>
      <c r="AZ5" s="52" t="n">
        <f aca="false">WRAVG!C5</f>
        <v>10.2</v>
      </c>
      <c r="BA5" s="52" t="n">
        <f aca="false">WRAVG!D5</f>
        <v>28.5</v>
      </c>
      <c r="BB5" s="52" t="n">
        <f aca="false">WRAVG!E5</f>
        <v>18.5</v>
      </c>
      <c r="BC5" s="52" t="n">
        <f aca="false">WRAVG!F5</f>
        <v>10.71</v>
      </c>
      <c r="BD5" s="52" t="n">
        <f aca="false">WRAVG!G5</f>
        <v>30.02</v>
      </c>
      <c r="BE5" s="52" t="n">
        <f aca="false">WRAVG!H5</f>
        <v>19.42</v>
      </c>
      <c r="BF5" s="52" t="n">
        <f aca="false">WRAVG!I5</f>
        <v>7.14</v>
      </c>
      <c r="BG5" s="52" t="n">
        <f aca="false">WRAVG!J5</f>
        <v>22.8</v>
      </c>
      <c r="BH5" s="52" t="n">
        <f aca="false">WRAVG!K5</f>
        <v>14.8</v>
      </c>
      <c r="BI5" s="52" t="n">
        <f aca="false">WRAVG!L5</f>
        <v>10.3</v>
      </c>
      <c r="BJ5" s="52" t="n">
        <f aca="false">WRAVG!M5</f>
        <v>28.8</v>
      </c>
      <c r="BK5" s="52" t="n">
        <f aca="false">WRAVG!N5</f>
        <v>18.72</v>
      </c>
      <c r="BL5" s="61" t="n">
        <f aca="false">AIAVG!C5</f>
        <v>35150</v>
      </c>
      <c r="BM5" s="61" t="n">
        <f aca="false">AIAVG!D5</f>
        <v>36105</v>
      </c>
      <c r="BN5" s="61" t="n">
        <f aca="false">AIAVG!E5</f>
        <v>22848</v>
      </c>
      <c r="BO5" s="61" t="n">
        <f aca="false">AIAVG!F5</f>
        <v>35301</v>
      </c>
      <c r="BP5" s="61" t="n">
        <f aca="false">AIRAVG!C5</f>
        <v>20400</v>
      </c>
      <c r="BQ5" s="61" t="n">
        <f aca="false">AIRAVG!D5</f>
        <v>57000</v>
      </c>
      <c r="BR5" s="61" t="n">
        <f aca="false">AIRAVG!E5</f>
        <v>38500</v>
      </c>
      <c r="BS5" s="61" t="n">
        <f aca="false">AIRAVG!F5</f>
        <v>21420</v>
      </c>
      <c r="BT5" s="61" t="n">
        <f aca="false">AIRAVG!G5</f>
        <v>60040</v>
      </c>
      <c r="BU5" s="61" t="n">
        <f aca="false">AIRAVG!H5</f>
        <v>40735</v>
      </c>
      <c r="BV5" s="61" t="n">
        <f aca="false">AIRAVG!I5</f>
        <v>14280</v>
      </c>
      <c r="BW5" s="61" t="n">
        <f aca="false">AIRAVG!J5</f>
        <v>45600</v>
      </c>
      <c r="BX5" s="61" t="n">
        <f aca="false">AIRAVG!K5</f>
        <v>29940</v>
      </c>
      <c r="BY5" s="61" t="n">
        <f aca="false">AIRAVG!L5</f>
        <v>20600</v>
      </c>
      <c r="BZ5" s="61" t="n">
        <f aca="false">AIRAVG!M5</f>
        <v>57600</v>
      </c>
      <c r="CA5" s="61" t="n">
        <f aca="false">AIRAVG!N5</f>
        <v>38900</v>
      </c>
      <c r="CB5" s="3" t="n">
        <f aca="false">AWHW!C5</f>
        <v>42.5</v>
      </c>
      <c r="CC5" s="3" t="n">
        <f aca="false">AWHW!D5</f>
        <v>41.8</v>
      </c>
      <c r="CD5" s="3" t="n">
        <f aca="false">AWHW!E5</f>
        <v>44</v>
      </c>
      <c r="CE5" s="3" t="n">
        <f aca="false">AWHW!F5</f>
        <v>42.3</v>
      </c>
      <c r="CF5" s="3" t="n">
        <f aca="false">FTER!C5</f>
        <v>0.78</v>
      </c>
      <c r="CG5" s="3" t="n">
        <f aca="false">FTER!D5</f>
        <v>0.76</v>
      </c>
      <c r="CH5" s="3" t="n">
        <f aca="false">FTER!E5</f>
        <v>0.82</v>
      </c>
      <c r="CI5" s="3" t="n">
        <f aca="false">FTER!F5</f>
        <v>0.78</v>
      </c>
      <c r="CJ5" s="3" t="n">
        <f aca="false">PTER!C5</f>
        <v>0.22</v>
      </c>
      <c r="CK5" s="3" t="n">
        <f aca="false">PTER!D5</f>
        <v>0.24</v>
      </c>
      <c r="CL5" s="3" t="n">
        <f aca="false">PTER!E5</f>
        <v>0.18</v>
      </c>
      <c r="CM5" s="3" t="n">
        <f aca="false">PTER!F5</f>
        <v>0.22</v>
      </c>
      <c r="CN5" s="3"/>
      <c r="CO5" s="3"/>
      <c r="CP5" s="3"/>
      <c r="CQ5" s="3"/>
      <c r="CR5" s="3"/>
      <c r="CS5" s="3"/>
      <c r="CT5" s="3"/>
      <c r="CU5" s="3"/>
      <c r="CV5" s="3"/>
      <c r="CW5" s="3"/>
      <c r="CX5" s="3"/>
      <c r="CY5" s="3"/>
      <c r="CZ5" s="3"/>
      <c r="DA5" s="3"/>
      <c r="DB5" s="3"/>
      <c r="DC5" s="3"/>
      <c r="DD5" s="3"/>
      <c r="DE5" s="3"/>
      <c r="DJ5" s="39"/>
      <c r="DK5" s="3"/>
      <c r="DL5" s="3"/>
      <c r="DM5" s="3"/>
      <c r="DN5" s="3"/>
      <c r="DZ5" s="3"/>
      <c r="EA5" s="3"/>
      <c r="EB5" s="3"/>
      <c r="EC5" s="3"/>
      <c r="ED5" s="3"/>
      <c r="EE5" s="3"/>
      <c r="EF5" s="3"/>
      <c r="EG5" s="3"/>
      <c r="EH5" s="3"/>
      <c r="EI5" s="3"/>
      <c r="EJ5" s="3"/>
      <c r="EK5" s="3"/>
    </row>
    <row r="6" customFormat="false" ht="23.85" hidden="false" customHeight="false" outlineLevel="0" collapsed="false">
      <c r="A6" s="50" t="n">
        <v>2</v>
      </c>
      <c r="B6" s="39" t="n">
        <v>21</v>
      </c>
      <c r="C6" s="40" t="s">
        <v>1565</v>
      </c>
      <c r="D6" s="42" t="n">
        <f aca="false">LFP!C6</f>
        <v>14000</v>
      </c>
      <c r="E6" s="42" t="n">
        <f aca="false">LFP!D6</f>
        <v>196</v>
      </c>
      <c r="F6" s="42" t="n">
        <f aca="false">LFP!E6</f>
        <v>560</v>
      </c>
      <c r="G6" s="42" t="n">
        <f aca="false">LFP!F6</f>
        <v>13244</v>
      </c>
      <c r="H6" s="42" t="n">
        <f aca="false">TNPE!C6</f>
        <v>4800</v>
      </c>
      <c r="I6" s="42" t="n">
        <f aca="false">TNPE!D6</f>
        <v>178</v>
      </c>
      <c r="J6" s="42" t="n">
        <f aca="false">TNPE!E6</f>
        <v>106</v>
      </c>
      <c r="K6" s="42" t="n">
        <f aca="false">TNPE!F6</f>
        <v>4516</v>
      </c>
      <c r="L6" s="39" t="n">
        <f aca="false">EP!C6</f>
        <v>9402</v>
      </c>
      <c r="M6" s="39" t="n">
        <f aca="false">EP!D6</f>
        <v>285</v>
      </c>
      <c r="N6" s="39" t="n">
        <f aca="false">EP!E6</f>
        <v>420</v>
      </c>
      <c r="O6" s="39" t="n">
        <f aca="false">EP!F6</f>
        <v>8697</v>
      </c>
      <c r="P6" s="39" t="n">
        <f aca="false">U3P!C6</f>
        <v>4598</v>
      </c>
      <c r="Q6" s="39" t="n">
        <f aca="false">U3P!D6</f>
        <v>49</v>
      </c>
      <c r="R6" s="39" t="n">
        <f aca="false">U3P!E6</f>
        <v>222</v>
      </c>
      <c r="S6" s="39" t="n">
        <f aca="false">U3P!F6</f>
        <v>4327</v>
      </c>
      <c r="T6" s="39" t="n">
        <f aca="false">U6P!C6</f>
        <v>8700</v>
      </c>
      <c r="U6" s="39" t="n">
        <f aca="false">U6P!D6</f>
        <v>89</v>
      </c>
      <c r="V6" s="39" t="n">
        <f aca="false">U6P!E6</f>
        <v>892</v>
      </c>
      <c r="W6" s="39" t="n">
        <f aca="false">U6P!F6</f>
        <v>7719</v>
      </c>
      <c r="X6" s="39" t="n">
        <f aca="false">ETPR!C6</f>
        <v>0.68</v>
      </c>
      <c r="Y6" s="39" t="n">
        <f aca="false">ETPR!D6</f>
        <v>0.67</v>
      </c>
      <c r="Z6" s="39" t="n">
        <f aca="false">ETPR!E6</f>
        <v>0.71</v>
      </c>
      <c r="AA6" s="39" t="n">
        <f aca="false">ETPR!F6</f>
        <v>0.682</v>
      </c>
      <c r="AB6" s="39" t="n">
        <f aca="false">U3TPR!C6</f>
        <v>0.0111</v>
      </c>
      <c r="AC6" s="39" t="n">
        <f aca="false">U3TPR!D6</f>
        <v>0.0092</v>
      </c>
      <c r="AD6" s="39" t="n">
        <f aca="false">U3TPR!E6</f>
        <v>0.0584</v>
      </c>
      <c r="AE6" s="39" t="n">
        <f aca="false">U3TPR!F6</f>
        <v>0.0108</v>
      </c>
      <c r="AF6" s="39" t="n">
        <f aca="false">U6TPR!C6</f>
        <v>0.0211</v>
      </c>
      <c r="AG6" s="39" t="n">
        <f aca="false">U6TPR!D6</f>
        <v>0.0174</v>
      </c>
      <c r="AH6" s="39" t="n">
        <f aca="false">U6TPR!E6</f>
        <v>0.1897</v>
      </c>
      <c r="AI6" s="39" t="n">
        <f aca="false">U6TPR!F6</f>
        <v>0.0205</v>
      </c>
      <c r="AJ6" s="39" t="n">
        <f aca="false">LFPR!C6</f>
        <v>0.585</v>
      </c>
      <c r="AK6" s="39" t="n">
        <f aca="false">LFPR!D6</f>
        <v>0.415</v>
      </c>
      <c r="AL6" s="39" t="n">
        <f aca="false">LFPR!E6</f>
        <v>0.65</v>
      </c>
      <c r="AM6" s="39" t="n">
        <f aca="false">LFPR!F6</f>
        <v>0.585</v>
      </c>
      <c r="AN6" s="39" t="n">
        <f aca="false">U3R!C6</f>
        <v>0.038</v>
      </c>
      <c r="AO6" s="39" t="n">
        <f aca="false">U3R!D6</f>
        <v>0.04</v>
      </c>
      <c r="AP6" s="39" t="n">
        <f aca="false">U3R!E6</f>
        <v>0.052</v>
      </c>
      <c r="AQ6" s="39" t="n">
        <f aca="false">U3R!F6</f>
        <v>0.036</v>
      </c>
      <c r="AR6" s="39" t="n">
        <f aca="false">U6R!C6</f>
        <v>0.055</v>
      </c>
      <c r="AS6" s="39" t="n">
        <f aca="false">U6R!D6</f>
        <v>0.045</v>
      </c>
      <c r="AT6" s="39" t="n">
        <f aca="false">U6R!E6</f>
        <v>0.19</v>
      </c>
      <c r="AU6" s="39" t="n">
        <f aca="false">U6R!F6</f>
        <v>0.053</v>
      </c>
      <c r="AV6" s="39" t="n">
        <f aca="false">WAVG!C6</f>
        <v>35.2</v>
      </c>
      <c r="AW6" s="39" t="n">
        <f aca="false">WAVG!D6</f>
        <v>36.01</v>
      </c>
      <c r="AX6" s="39" t="n">
        <f aca="false">WAVG!E6</f>
        <v>29.92</v>
      </c>
      <c r="AY6" s="39" t="n">
        <f aca="false">WAVG!F6</f>
        <v>35.45</v>
      </c>
      <c r="AZ6" s="52" t="n">
        <f aca="false">WRAVG!C6</f>
        <v>18.5</v>
      </c>
      <c r="BA6" s="52" t="n">
        <f aca="false">WRAVG!D6</f>
        <v>65</v>
      </c>
      <c r="BB6" s="52" t="n">
        <f aca="false">WRAVG!E6</f>
        <v>35.2</v>
      </c>
      <c r="BC6" s="52" t="n">
        <f aca="false">WRAVG!F6</f>
        <v>19.43</v>
      </c>
      <c r="BD6" s="52" t="n">
        <f aca="false">WRAVG!G6</f>
        <v>68.9</v>
      </c>
      <c r="BE6" s="52" t="n">
        <f aca="false">WRAVG!H6</f>
        <v>36.01</v>
      </c>
      <c r="BF6" s="52" t="n">
        <f aca="false">WRAVG!I6</f>
        <v>12.95</v>
      </c>
      <c r="BG6" s="52" t="n">
        <f aca="false">WRAVG!J6</f>
        <v>52</v>
      </c>
      <c r="BH6" s="52" t="n">
        <f aca="false">WRAVG!K6</f>
        <v>29.92</v>
      </c>
      <c r="BI6" s="52" t="n">
        <f aca="false">WRAVG!L6</f>
        <v>18.7</v>
      </c>
      <c r="BJ6" s="52" t="n">
        <f aca="false">WRAVG!M6</f>
        <v>65.7</v>
      </c>
      <c r="BK6" s="52" t="n">
        <f aca="false">WRAVG!N6</f>
        <v>35.45</v>
      </c>
      <c r="BL6" s="61" t="n">
        <f aca="false">AIAVG!C6</f>
        <v>73500</v>
      </c>
      <c r="BM6" s="61" t="n">
        <f aca="false">AIAVG!D6</f>
        <v>76440</v>
      </c>
      <c r="BN6" s="61" t="n">
        <f aca="false">AIAVG!E6</f>
        <v>55125</v>
      </c>
      <c r="BO6" s="61" t="n">
        <f aca="false">AIAVG!F6</f>
        <v>73926</v>
      </c>
      <c r="BP6" s="61" t="n">
        <f aca="false">AIRAVG!C6</f>
        <v>37000</v>
      </c>
      <c r="BQ6" s="61" t="n">
        <f aca="false">AIRAVG!D6</f>
        <v>130000</v>
      </c>
      <c r="BR6" s="61" t="n">
        <f aca="false">AIRAVG!E6</f>
        <v>72800</v>
      </c>
      <c r="BS6" s="61" t="n">
        <f aca="false">AIRAVG!F6</f>
        <v>38860</v>
      </c>
      <c r="BT6" s="61" t="n">
        <f aca="false">AIRAVG!G6</f>
        <v>137800</v>
      </c>
      <c r="BU6" s="61" t="n">
        <f aca="false">AIRAVG!H6</f>
        <v>76440</v>
      </c>
      <c r="BV6" s="61" t="n">
        <f aca="false">AIRAVG!I6</f>
        <v>25900</v>
      </c>
      <c r="BW6" s="61" t="n">
        <f aca="false">AIRAVG!J6</f>
        <v>104000</v>
      </c>
      <c r="BX6" s="61" t="n">
        <f aca="false">AIRAVG!K6</f>
        <v>58120</v>
      </c>
      <c r="BY6" s="61" t="n">
        <f aca="false">AIRAVG!L6</f>
        <v>37400</v>
      </c>
      <c r="BZ6" s="61" t="n">
        <f aca="false">AIRAVG!M6</f>
        <v>131400</v>
      </c>
      <c r="CA6" s="61" t="n">
        <f aca="false">AIRAVG!N6</f>
        <v>73300</v>
      </c>
      <c r="CB6" s="3" t="n">
        <f aca="false">AWHW!C6</f>
        <v>44</v>
      </c>
      <c r="CC6" s="3" t="n">
        <f aca="false">AWHW!D6</f>
        <v>43.5</v>
      </c>
      <c r="CD6" s="3" t="n">
        <f aca="false">AWHW!E6</f>
        <v>45.2</v>
      </c>
      <c r="CE6" s="3" t="n">
        <f aca="false">AWHW!F6</f>
        <v>43.8</v>
      </c>
      <c r="CF6" s="3" t="n">
        <f aca="false">FTER!C6</f>
        <v>0.85</v>
      </c>
      <c r="CG6" s="3" t="n">
        <f aca="false">FTER!D6</f>
        <v>0.86</v>
      </c>
      <c r="CH6" s="3" t="n">
        <f aca="false">FTER!E6</f>
        <v>0.83</v>
      </c>
      <c r="CI6" s="3" t="n">
        <f aca="false">FTER!F6</f>
        <v>0.85</v>
      </c>
      <c r="CJ6" s="3" t="n">
        <f aca="false">PTER!C6</f>
        <v>0.15</v>
      </c>
      <c r="CK6" s="3" t="n">
        <f aca="false">PTER!D6</f>
        <v>0.14</v>
      </c>
      <c r="CL6" s="3" t="n">
        <f aca="false">PTER!E6</f>
        <v>0.17</v>
      </c>
      <c r="CM6" s="3" t="n">
        <f aca="false">PTER!F6</f>
        <v>0.15</v>
      </c>
      <c r="CN6" s="3"/>
      <c r="CO6" s="3"/>
      <c r="CP6" s="3"/>
      <c r="CQ6" s="3"/>
      <c r="CR6" s="3"/>
      <c r="CS6" s="3"/>
      <c r="CT6" s="3"/>
      <c r="CU6" s="3"/>
      <c r="CV6" s="3"/>
      <c r="CW6" s="3"/>
      <c r="CX6" s="3"/>
      <c r="CY6" s="3"/>
      <c r="CZ6" s="3"/>
      <c r="DA6" s="3"/>
      <c r="DB6" s="3"/>
      <c r="DC6" s="3"/>
      <c r="DD6" s="3"/>
      <c r="DE6" s="3"/>
      <c r="DJ6" s="39"/>
      <c r="DK6" s="3"/>
      <c r="DL6" s="3"/>
      <c r="DM6" s="3"/>
      <c r="DN6" s="3"/>
      <c r="DZ6" s="3"/>
      <c r="EA6" s="3"/>
      <c r="EB6" s="3"/>
      <c r="EC6" s="3"/>
      <c r="ED6" s="3"/>
      <c r="EE6" s="3"/>
      <c r="EF6" s="3"/>
      <c r="EG6" s="3"/>
      <c r="EH6" s="3"/>
      <c r="EI6" s="3"/>
      <c r="EJ6" s="3"/>
      <c r="EK6" s="3"/>
    </row>
    <row r="7" customFormat="false" ht="12.8" hidden="false" customHeight="false" outlineLevel="0" collapsed="false">
      <c r="A7" s="3" t="n">
        <v>3</v>
      </c>
      <c r="B7" s="3" t="n">
        <v>22</v>
      </c>
      <c r="C7" s="3" t="s">
        <v>1566</v>
      </c>
      <c r="D7" s="42" t="n">
        <f aca="false">LFP!C7</f>
        <v>28000</v>
      </c>
      <c r="E7" s="42" t="n">
        <f aca="false">LFP!D7</f>
        <v>560</v>
      </c>
      <c r="F7" s="42" t="n">
        <f aca="false">LFP!E7</f>
        <v>224</v>
      </c>
      <c r="G7" s="42" t="n">
        <f aca="false">LFP!F7</f>
        <v>27216</v>
      </c>
      <c r="H7" s="42" t="n">
        <f aca="false">TNPE!C7</f>
        <v>7100</v>
      </c>
      <c r="I7" s="42" t="n">
        <f aca="false">TNPE!D7</f>
        <v>263</v>
      </c>
      <c r="J7" s="42" t="n">
        <f aca="false">TNPE!E7</f>
        <v>156</v>
      </c>
      <c r="K7" s="42" t="n">
        <f aca="false">TNPE!F7</f>
        <v>6681</v>
      </c>
      <c r="L7" s="39" t="n">
        <f aca="false">EP!C7</f>
        <v>13431</v>
      </c>
      <c r="M7" s="39" t="n">
        <f aca="false">EP!D7</f>
        <v>385</v>
      </c>
      <c r="N7" s="39" t="n">
        <f aca="false">EP!E7</f>
        <v>285</v>
      </c>
      <c r="O7" s="39" t="n">
        <f aca="false">EP!F7</f>
        <v>12761</v>
      </c>
      <c r="P7" s="39" t="n">
        <f aca="false">U3P!C7</f>
        <v>4589</v>
      </c>
      <c r="Q7" s="39" t="n">
        <f aca="false">U3P!D7</f>
        <v>264</v>
      </c>
      <c r="R7" s="39" t="n">
        <f aca="false">U3P!E7</f>
        <v>141</v>
      </c>
      <c r="S7" s="39" t="n">
        <f aca="false">U3P!F7</f>
        <v>4184</v>
      </c>
      <c r="T7" s="39" t="n">
        <f aca="false">U6P!C7</f>
        <v>8700</v>
      </c>
      <c r="U7" s="39" t="n">
        <f aca="false">U6P!D7</f>
        <v>528</v>
      </c>
      <c r="V7" s="39" t="n">
        <f aca="false">U6P!E7</f>
        <v>672</v>
      </c>
      <c r="W7" s="39" t="n">
        <f aca="false">U6P!F7</f>
        <v>7500</v>
      </c>
      <c r="X7" s="39" t="n">
        <f aca="false">ETPR!C7</f>
        <v>0.78</v>
      </c>
      <c r="Y7" s="39" t="n">
        <f aca="false">ETPR!D7</f>
        <v>0.77</v>
      </c>
      <c r="Z7" s="39" t="n">
        <f aca="false">ETPR!E7</f>
        <v>0.8</v>
      </c>
      <c r="AA7" s="39" t="n">
        <f aca="false">ETPR!F7</f>
        <v>0.781</v>
      </c>
      <c r="AB7" s="39" t="n">
        <f aca="false">U3TPR!C7</f>
        <v>0.0111</v>
      </c>
      <c r="AC7" s="39" t="n">
        <f aca="false">U3TPR!D7</f>
        <v>0.0098</v>
      </c>
      <c r="AD7" s="39" t="n">
        <f aca="false">U3TPR!E7</f>
        <v>0.0742</v>
      </c>
      <c r="AE7" s="39" t="n">
        <f aca="false">U3TPR!F7</f>
        <v>0.0107</v>
      </c>
      <c r="AF7" s="39" t="n">
        <f aca="false">U6TPR!C7</f>
        <v>0.0211</v>
      </c>
      <c r="AG7" s="39" t="n">
        <f aca="false">U6TPR!D7</f>
        <v>0.0178</v>
      </c>
      <c r="AH7" s="39" t="n">
        <f aca="false">U6TPR!E7</f>
        <v>0.225</v>
      </c>
      <c r="AI7" s="39" t="n">
        <f aca="false">U6TPR!F7</f>
        <v>0.0203</v>
      </c>
      <c r="AJ7" s="39" t="n">
        <f aca="false">LFPR!C7</f>
        <v>0.575</v>
      </c>
      <c r="AK7" s="39" t="n">
        <f aca="false">LFPR!D7</f>
        <v>0.41</v>
      </c>
      <c r="AL7" s="39" t="n">
        <f aca="false">LFPR!E7</f>
        <v>0.62</v>
      </c>
      <c r="AM7" s="39" t="n">
        <f aca="false">LFPR!F7</f>
        <v>0.575</v>
      </c>
      <c r="AN7" s="39" t="n">
        <f aca="false">U3R!C7</f>
        <v>0.018</v>
      </c>
      <c r="AO7" s="39" t="n">
        <f aca="false">U3R!D7</f>
        <v>0.019</v>
      </c>
      <c r="AP7" s="39" t="n">
        <f aca="false">U3R!E7</f>
        <v>0.022</v>
      </c>
      <c r="AQ7" s="39" t="n">
        <f aca="false">U3R!F7</f>
        <v>0.018</v>
      </c>
      <c r="AR7" s="39" t="n">
        <f aca="false">U6R!C7</f>
        <v>0.055</v>
      </c>
      <c r="AS7" s="39" t="n">
        <f aca="false">U6R!D7</f>
        <v>0.045</v>
      </c>
      <c r="AT7" s="39" t="n">
        <f aca="false">U6R!E7</f>
        <v>0.225</v>
      </c>
      <c r="AU7" s="39" t="n">
        <f aca="false">U6R!F7</f>
        <v>0.053</v>
      </c>
      <c r="AV7" s="39" t="n">
        <f aca="false">WAVG!C7</f>
        <v>42.8</v>
      </c>
      <c r="AW7" s="39" t="n">
        <f aca="false">WAVG!D7</f>
        <v>43.66</v>
      </c>
      <c r="AX7" s="39" t="n">
        <f aca="false">WAVG!E7</f>
        <v>36.38</v>
      </c>
      <c r="AY7" s="39" t="n">
        <f aca="false">WAVG!F7</f>
        <v>43.12</v>
      </c>
      <c r="AZ7" s="52" t="n">
        <f aca="false">WRAVG!C7</f>
        <v>22</v>
      </c>
      <c r="BA7" s="52" t="n">
        <f aca="false">WRAVG!D7</f>
        <v>78</v>
      </c>
      <c r="BB7" s="52" t="n">
        <f aca="false">WRAVG!E7</f>
        <v>42.8</v>
      </c>
      <c r="BC7" s="52" t="n">
        <f aca="false">WRAVG!F7</f>
        <v>23.1</v>
      </c>
      <c r="BD7" s="52" t="n">
        <f aca="false">WRAVG!G7</f>
        <v>82.68</v>
      </c>
      <c r="BE7" s="52" t="n">
        <f aca="false">WRAVG!H7</f>
        <v>43.66</v>
      </c>
      <c r="BF7" s="52" t="n">
        <f aca="false">WRAVG!I7</f>
        <v>15.4</v>
      </c>
      <c r="BG7" s="52" t="n">
        <f aca="false">WRAVG!J7</f>
        <v>62.4</v>
      </c>
      <c r="BH7" s="52" t="n">
        <f aca="false">WRAVG!K7</f>
        <v>36.38</v>
      </c>
      <c r="BI7" s="52" t="n">
        <f aca="false">WRAVG!L7</f>
        <v>22.2</v>
      </c>
      <c r="BJ7" s="52" t="n">
        <f aca="false">WRAVG!M7</f>
        <v>78.8</v>
      </c>
      <c r="BK7" s="52" t="n">
        <f aca="false">WRAVG!N7</f>
        <v>43.12</v>
      </c>
      <c r="BL7" s="61" t="n">
        <f aca="false">AIAVG!C7</f>
        <v>83200</v>
      </c>
      <c r="BM7" s="61" t="n">
        <f aca="false">AIAVG!D7</f>
        <v>84864</v>
      </c>
      <c r="BN7" s="61" t="n">
        <f aca="false">AIAVG!E7</f>
        <v>66560</v>
      </c>
      <c r="BO7" s="61" t="n">
        <f aca="false">AIAVG!F7</f>
        <v>83392</v>
      </c>
      <c r="BP7" s="61" t="n">
        <f aca="false">AIRAVG!C7</f>
        <v>44000</v>
      </c>
      <c r="BQ7" s="61" t="n">
        <f aca="false">AIRAVG!D7</f>
        <v>156000</v>
      </c>
      <c r="BR7" s="61" t="n">
        <f aca="false">AIRAVG!E7</f>
        <v>89024</v>
      </c>
      <c r="BS7" s="61" t="n">
        <f aca="false">AIRAVG!F7</f>
        <v>46200</v>
      </c>
      <c r="BT7" s="61" t="n">
        <f aca="false">AIRAVG!G7</f>
        <v>165360</v>
      </c>
      <c r="BU7" s="61" t="n">
        <f aca="false">AIRAVG!H7</f>
        <v>93475</v>
      </c>
      <c r="BV7" s="61" t="n">
        <f aca="false">AIRAVG!I7</f>
        <v>30800</v>
      </c>
      <c r="BW7" s="61" t="n">
        <f aca="false">AIRAVG!J7</f>
        <v>124800</v>
      </c>
      <c r="BX7" s="61" t="n">
        <f aca="false">AIRAVG!K7</f>
        <v>62300</v>
      </c>
      <c r="BY7" s="61" t="n">
        <f aca="false">AIRAVG!L7</f>
        <v>44400</v>
      </c>
      <c r="BZ7" s="61" t="n">
        <f aca="false">AIRAVG!M7</f>
        <v>157600</v>
      </c>
      <c r="CA7" s="61" t="n">
        <f aca="false">AIRAVG!N7</f>
        <v>89600</v>
      </c>
      <c r="CB7" s="3" t="n">
        <f aca="false">AWHW!C7</f>
        <v>40</v>
      </c>
      <c r="CC7" s="3" t="n">
        <f aca="false">AWHW!D7</f>
        <v>40.5</v>
      </c>
      <c r="CD7" s="3" t="n">
        <f aca="false">AWHW!E7</f>
        <v>39</v>
      </c>
      <c r="CE7" s="3" t="n">
        <f aca="false">AWHW!F7</f>
        <v>40.1</v>
      </c>
      <c r="CF7" s="3" t="n">
        <f aca="false">FTER!C7</f>
        <v>0.88</v>
      </c>
      <c r="CG7" s="3" t="n">
        <f aca="false">FTER!D7</f>
        <v>0.89</v>
      </c>
      <c r="CH7" s="3" t="n">
        <f aca="false">FTER!E7</f>
        <v>0.85</v>
      </c>
      <c r="CI7" s="3" t="n">
        <f aca="false">FTER!F7</f>
        <v>0.88</v>
      </c>
      <c r="CJ7" s="3" t="n">
        <f aca="false">PTER!C7</f>
        <v>0.12</v>
      </c>
      <c r="CK7" s="3" t="n">
        <f aca="false">PTER!D7</f>
        <v>0.11</v>
      </c>
      <c r="CL7" s="3" t="n">
        <f aca="false">PTER!E7</f>
        <v>0.15</v>
      </c>
      <c r="CM7" s="3" t="n">
        <f aca="false">PTER!F7</f>
        <v>0.12</v>
      </c>
      <c r="CN7" s="3"/>
      <c r="CO7" s="3"/>
      <c r="CP7" s="3"/>
      <c r="CQ7" s="3"/>
      <c r="CR7" s="3"/>
      <c r="CS7" s="3"/>
      <c r="CT7" s="3"/>
      <c r="CU7" s="3"/>
      <c r="CV7" s="3"/>
      <c r="CW7" s="3"/>
      <c r="CX7" s="3"/>
      <c r="CY7" s="3"/>
      <c r="CZ7" s="3"/>
      <c r="DA7" s="3"/>
      <c r="DB7" s="3"/>
      <c r="DC7" s="3"/>
      <c r="DD7" s="3"/>
      <c r="DE7" s="3"/>
      <c r="DF7" s="3"/>
      <c r="DG7" s="3"/>
      <c r="DH7" s="3"/>
      <c r="DI7" s="3"/>
      <c r="DK7" s="3"/>
      <c r="DL7" s="3"/>
      <c r="DM7" s="3"/>
      <c r="DN7" s="3"/>
      <c r="DO7" s="3"/>
      <c r="DP7" s="3"/>
      <c r="DQ7" s="3"/>
      <c r="DR7" s="3"/>
      <c r="DS7" s="3"/>
      <c r="DT7" s="3"/>
      <c r="DU7" s="3"/>
      <c r="DV7" s="3"/>
      <c r="DW7" s="3"/>
      <c r="DX7" s="3"/>
      <c r="DY7" s="3"/>
      <c r="DZ7" s="3"/>
      <c r="EA7" s="3"/>
      <c r="EB7" s="3"/>
      <c r="EC7" s="3"/>
      <c r="ED7" s="3"/>
      <c r="EE7" s="3"/>
      <c r="EF7" s="3"/>
      <c r="EG7" s="3"/>
      <c r="EH7" s="3"/>
      <c r="EI7" s="3"/>
      <c r="EJ7" s="3"/>
      <c r="EK7" s="3"/>
    </row>
    <row r="8" customFormat="false" ht="12.8" hidden="false" customHeight="false" outlineLevel="0" collapsed="false">
      <c r="A8" s="3" t="n">
        <v>4</v>
      </c>
      <c r="B8" s="3" t="n">
        <v>23</v>
      </c>
      <c r="C8" s="3" t="s">
        <v>1567</v>
      </c>
      <c r="D8" s="42" t="n">
        <f aca="false">LFP!C8</f>
        <v>135000</v>
      </c>
      <c r="E8" s="42" t="n">
        <f aca="false">LFP!D8</f>
        <v>4590</v>
      </c>
      <c r="F8" s="42" t="n">
        <f aca="false">LFP!E8</f>
        <v>13770</v>
      </c>
      <c r="G8" s="42" t="n">
        <f aca="false">LFP!F8</f>
        <v>116640</v>
      </c>
      <c r="H8" s="42" t="n">
        <f aca="false">TNPE!C8</f>
        <v>56600</v>
      </c>
      <c r="I8" s="42" t="n">
        <f aca="false">TNPE!D8</f>
        <v>2094</v>
      </c>
      <c r="J8" s="42" t="n">
        <f aca="false">TNPE!E8</f>
        <v>1681</v>
      </c>
      <c r="K8" s="42" t="n">
        <f aca="false">TNPE!F8</f>
        <v>52825</v>
      </c>
      <c r="L8" s="39" t="n">
        <f aca="false">EP!C8</f>
        <v>84615</v>
      </c>
      <c r="M8" s="39" t="n">
        <f aca="false">EP!D8</f>
        <v>1850</v>
      </c>
      <c r="N8" s="39" t="n">
        <f aca="false">EP!E8</f>
        <v>9850</v>
      </c>
      <c r="O8" s="39" t="n">
        <f aca="false">EP!F8</f>
        <v>72915</v>
      </c>
      <c r="P8" s="39" t="n">
        <f aca="false">U3P!C8</f>
        <v>50385</v>
      </c>
      <c r="Q8" s="39" t="n">
        <f aca="false">U3P!D8</f>
        <v>2728</v>
      </c>
      <c r="R8" s="39" t="n">
        <f aca="false">U3P!E8</f>
        <v>6999</v>
      </c>
      <c r="S8" s="39" t="n">
        <f aca="false">U3P!F8</f>
        <v>40658</v>
      </c>
      <c r="T8" s="39" t="n">
        <f aca="false">U6P!C8</f>
        <v>94000</v>
      </c>
      <c r="U8" s="39" t="n">
        <f aca="false">U6P!D8</f>
        <v>5480</v>
      </c>
      <c r="V8" s="39" t="n">
        <f aca="false">U6P!E8</f>
        <v>14800</v>
      </c>
      <c r="W8" s="39" t="n">
        <f aca="false">U6P!F8</f>
        <v>73720</v>
      </c>
      <c r="X8" s="39" t="n">
        <f aca="false">ETPR!C8</f>
        <v>0.62</v>
      </c>
      <c r="Y8" s="39" t="n">
        <f aca="false">ETPR!D8</f>
        <v>0.59</v>
      </c>
      <c r="Z8" s="39" t="n">
        <f aca="false">ETPR!E8</f>
        <v>0.68</v>
      </c>
      <c r="AA8" s="39" t="n">
        <f aca="false">ETPR!F8</f>
        <v>0.62</v>
      </c>
      <c r="AB8" s="39" t="n">
        <f aca="false">U3TPR!C8</f>
        <v>0.0122</v>
      </c>
      <c r="AC8" s="39" t="n">
        <f aca="false">U3TPR!D8</f>
        <v>0.0101</v>
      </c>
      <c r="AD8" s="39" t="n">
        <f aca="false">U3TPR!E8</f>
        <v>0.0789</v>
      </c>
      <c r="AE8" s="39" t="n">
        <f aca="false">U3TPR!F8</f>
        <v>0.0119</v>
      </c>
      <c r="AF8" s="39" t="n">
        <f aca="false">U6TPR!C8</f>
        <v>0.0266</v>
      </c>
      <c r="AG8" s="39" t="n">
        <f aca="false">U6TPR!D8</f>
        <v>0.0219</v>
      </c>
      <c r="AH8" s="39" t="n">
        <f aca="false">U6TPR!E8</f>
        <v>0.2321</v>
      </c>
      <c r="AI8" s="39" t="n">
        <f aca="false">U6TPR!F8</f>
        <v>0.0259</v>
      </c>
      <c r="AJ8" s="39" t="n">
        <f aca="false">LFPR!C8</f>
        <v>0.565</v>
      </c>
      <c r="AK8" s="39" t="n">
        <f aca="false">LFPR!D8</f>
        <v>0.405</v>
      </c>
      <c r="AL8" s="39" t="n">
        <f aca="false">LFPR!E8</f>
        <v>0.67</v>
      </c>
      <c r="AM8" s="39" t="n">
        <f aca="false">LFPR!F8</f>
        <v>0.565</v>
      </c>
      <c r="AN8" s="39" t="n">
        <f aca="false">U3R!C8</f>
        <v>0.052</v>
      </c>
      <c r="AO8" s="39" t="n">
        <f aca="false">U3R!D8</f>
        <v>0.056</v>
      </c>
      <c r="AP8" s="39" t="n">
        <f aca="false">U3R!E8</f>
        <v>0.075</v>
      </c>
      <c r="AQ8" s="39" t="n">
        <f aca="false">U3R!F8</f>
        <v>0.048</v>
      </c>
      <c r="AR8" s="39" t="n">
        <f aca="false">U6R!C8</f>
        <v>0.088</v>
      </c>
      <c r="AS8" s="39" t="n">
        <f aca="false">U6R!D8</f>
        <v>0.072</v>
      </c>
      <c r="AT8" s="39" t="n">
        <f aca="false">U6R!E8</f>
        <v>0.232</v>
      </c>
      <c r="AU8" s="39" t="n">
        <f aca="false">U6R!F8</f>
        <v>0.085</v>
      </c>
      <c r="AV8" s="39" t="n">
        <f aca="false">WAVG!C8</f>
        <v>28.4</v>
      </c>
      <c r="AW8" s="39" t="n">
        <f aca="false">WAVG!D8</f>
        <v>29.79</v>
      </c>
      <c r="AX8" s="39" t="n">
        <f aca="false">WAVG!E8</f>
        <v>22.72</v>
      </c>
      <c r="AY8" s="39" t="n">
        <f aca="false">WAVG!F8</f>
        <v>28.65</v>
      </c>
      <c r="AZ8" s="52" t="n">
        <f aca="false">WRAVG!C8</f>
        <v>14.8</v>
      </c>
      <c r="BA8" s="52" t="n">
        <f aca="false">WRAVG!D8</f>
        <v>52</v>
      </c>
      <c r="BB8" s="52" t="n">
        <f aca="false">WRAVG!E8</f>
        <v>28.4</v>
      </c>
      <c r="BC8" s="52" t="n">
        <f aca="false">WRAVG!F8</f>
        <v>15.54</v>
      </c>
      <c r="BD8" s="52" t="n">
        <f aca="false">WRAVG!G8</f>
        <v>55.12</v>
      </c>
      <c r="BE8" s="52" t="n">
        <f aca="false">WRAVG!H8</f>
        <v>29.79</v>
      </c>
      <c r="BF8" s="52" t="n">
        <f aca="false">WRAVG!I8</f>
        <v>10.36</v>
      </c>
      <c r="BG8" s="52" t="n">
        <f aca="false">WRAVG!J8</f>
        <v>41.6</v>
      </c>
      <c r="BH8" s="52" t="n">
        <f aca="false">WRAVG!K8</f>
        <v>22.72</v>
      </c>
      <c r="BI8" s="52" t="n">
        <f aca="false">WRAVG!L8</f>
        <v>14.95</v>
      </c>
      <c r="BJ8" s="52" t="n">
        <f aca="false">WRAVG!M8</f>
        <v>52.6</v>
      </c>
      <c r="BK8" s="52" t="n">
        <f aca="false">WRAVG!N8</f>
        <v>28.65</v>
      </c>
      <c r="BL8" s="61" t="n">
        <f aca="false">AIAVG!C8</f>
        <v>57400</v>
      </c>
      <c r="BM8" s="61" t="n">
        <f aca="false">AIAVG!D8</f>
        <v>59122</v>
      </c>
      <c r="BN8" s="61" t="n">
        <f aca="false">AIAVG!E8</f>
        <v>40180</v>
      </c>
      <c r="BO8" s="61" t="n">
        <f aca="false">AIAVG!F8</f>
        <v>57687</v>
      </c>
      <c r="BP8" s="61" t="n">
        <f aca="false">AIRAVG!C8</f>
        <v>29600</v>
      </c>
      <c r="BQ8" s="61" t="n">
        <f aca="false">AIRAVG!D8</f>
        <v>104000</v>
      </c>
      <c r="BR8" s="61" t="n">
        <f aca="false">AIRAVG!E8</f>
        <v>56800</v>
      </c>
      <c r="BS8" s="61" t="n">
        <f aca="false">AIRAVG!F8</f>
        <v>31080</v>
      </c>
      <c r="BT8" s="61" t="n">
        <f aca="false">AIRAVG!G8</f>
        <v>110240</v>
      </c>
      <c r="BU8" s="61" t="n">
        <f aca="false">AIRAVG!H8</f>
        <v>59640</v>
      </c>
      <c r="BV8" s="61" t="n">
        <f aca="false">AIRAVG!I8</f>
        <v>20720</v>
      </c>
      <c r="BW8" s="61" t="n">
        <f aca="false">AIRAVG!J8</f>
        <v>83200</v>
      </c>
      <c r="BX8" s="61" t="n">
        <f aca="false">AIRAVG!K8</f>
        <v>41440</v>
      </c>
      <c r="BY8" s="61" t="n">
        <f aca="false">AIRAVG!L8</f>
        <v>29900</v>
      </c>
      <c r="BZ8" s="61" t="n">
        <f aca="false">AIRAVG!M8</f>
        <v>105200</v>
      </c>
      <c r="CA8" s="61" t="n">
        <f aca="false">AIRAVG!N8</f>
        <v>57400</v>
      </c>
      <c r="CB8" s="3" t="n">
        <f aca="false">AWHW!C8</f>
        <v>41.2</v>
      </c>
      <c r="CC8" s="3" t="n">
        <f aca="false">AWHW!D8</f>
        <v>40.5</v>
      </c>
      <c r="CD8" s="3" t="n">
        <f aca="false">AWHW!E8</f>
        <v>43</v>
      </c>
      <c r="CE8" s="3" t="n">
        <f aca="false">AWHW!F8</f>
        <v>41</v>
      </c>
      <c r="CF8" s="3" t="n">
        <f aca="false">FTER!C8</f>
        <v>0.8</v>
      </c>
      <c r="CG8" s="3" t="n">
        <f aca="false">FTER!D8</f>
        <v>0.78</v>
      </c>
      <c r="CH8" s="3" t="n">
        <f aca="false">FTER!E8</f>
        <v>0.84</v>
      </c>
      <c r="CI8" s="3" t="n">
        <f aca="false">FTER!F8</f>
        <v>0.8</v>
      </c>
      <c r="CJ8" s="3" t="n">
        <f aca="false">PTER!C8</f>
        <v>0.2</v>
      </c>
      <c r="CK8" s="3" t="n">
        <f aca="false">PTER!D8</f>
        <v>0.22</v>
      </c>
      <c r="CL8" s="3" t="n">
        <f aca="false">PTER!E8</f>
        <v>0.16</v>
      </c>
      <c r="CM8" s="3" t="n">
        <f aca="false">PTER!F8</f>
        <v>0.2</v>
      </c>
      <c r="CN8" s="3"/>
      <c r="CO8" s="3"/>
      <c r="CP8" s="3"/>
      <c r="CQ8" s="3"/>
      <c r="CR8" s="3"/>
      <c r="CS8" s="3"/>
      <c r="CT8" s="3"/>
      <c r="CU8" s="3"/>
      <c r="CV8" s="3"/>
      <c r="CW8" s="3"/>
      <c r="CX8" s="3"/>
      <c r="CY8" s="3"/>
      <c r="CZ8" s="3"/>
      <c r="DA8" s="3"/>
      <c r="DB8" s="3"/>
      <c r="DC8" s="3"/>
      <c r="DD8" s="3"/>
      <c r="DE8" s="3"/>
      <c r="DF8" s="3"/>
      <c r="DG8" s="3"/>
      <c r="DH8" s="3"/>
      <c r="DI8" s="3"/>
      <c r="DK8" s="3"/>
      <c r="DL8" s="3"/>
      <c r="DM8" s="3"/>
      <c r="DN8" s="3"/>
      <c r="DO8" s="3"/>
      <c r="DP8" s="3"/>
      <c r="DQ8" s="3"/>
      <c r="DR8" s="3"/>
      <c r="DS8" s="3"/>
      <c r="DT8" s="3"/>
      <c r="DU8" s="3"/>
      <c r="DV8" s="3"/>
      <c r="DW8" s="3"/>
      <c r="DX8" s="3"/>
      <c r="DY8" s="3"/>
      <c r="DZ8" s="3"/>
      <c r="EA8" s="3"/>
      <c r="EB8" s="3"/>
      <c r="EC8" s="3"/>
      <c r="ED8" s="3"/>
      <c r="EE8" s="3"/>
      <c r="EF8" s="3"/>
      <c r="EG8" s="3"/>
      <c r="EH8" s="3"/>
      <c r="EI8" s="3"/>
      <c r="EJ8" s="3"/>
      <c r="EK8" s="3"/>
    </row>
    <row r="9" customFormat="false" ht="23.85" hidden="false" customHeight="false" outlineLevel="0" collapsed="false">
      <c r="A9" s="3" t="n">
        <v>5</v>
      </c>
      <c r="B9" s="3" t="n">
        <v>31</v>
      </c>
      <c r="C9" s="40" t="s">
        <v>1568</v>
      </c>
      <c r="D9" s="42" t="n">
        <f aca="false">LFP!C9</f>
        <v>70700</v>
      </c>
      <c r="E9" s="42" t="n">
        <f aca="false">LFP!D9</f>
        <v>1555</v>
      </c>
      <c r="F9" s="42" t="n">
        <f aca="false">LFP!E9</f>
        <v>5656</v>
      </c>
      <c r="G9" s="42" t="n">
        <f aca="false">LFP!F9</f>
        <v>63489</v>
      </c>
      <c r="H9" s="42" t="n">
        <f aca="false">TNPE!C9</f>
        <v>47009</v>
      </c>
      <c r="I9" s="42" t="n">
        <f aca="false">TNPE!D9</f>
        <v>1034</v>
      </c>
      <c r="J9" s="42" t="n">
        <f aca="false">TNPE!E9</f>
        <v>3761</v>
      </c>
      <c r="K9" s="42" t="n">
        <f aca="false">TNPE!F9</f>
        <v>42214</v>
      </c>
      <c r="L9" s="39" t="n">
        <f aca="false">EP!C9</f>
        <v>47009</v>
      </c>
      <c r="M9" s="39" t="n">
        <f aca="false">EP!D9</f>
        <v>980</v>
      </c>
      <c r="N9" s="39" t="n">
        <f aca="false">EP!E9</f>
        <v>4520</v>
      </c>
      <c r="O9" s="39" t="n">
        <f aca="false">EP!F9</f>
        <v>41509</v>
      </c>
      <c r="P9" s="39" t="n">
        <f aca="false">U3P!C9</f>
        <v>23691</v>
      </c>
      <c r="Q9" s="39" t="n">
        <f aca="false">U3P!D9</f>
        <v>521</v>
      </c>
      <c r="R9" s="39" t="n">
        <f aca="false">U3P!E9</f>
        <v>1895</v>
      </c>
      <c r="S9" s="39" t="n">
        <f aca="false">U3P!F9</f>
        <v>21275</v>
      </c>
      <c r="T9" s="39" t="n">
        <f aca="false">U6P!C9</f>
        <v>44400</v>
      </c>
      <c r="U9" s="39" t="n">
        <f aca="false">U6P!D9</f>
        <v>1198</v>
      </c>
      <c r="V9" s="39" t="n">
        <f aca="false">U6P!E9</f>
        <v>4800</v>
      </c>
      <c r="W9" s="39" t="n">
        <f aca="false">U6P!F9</f>
        <v>38402</v>
      </c>
      <c r="X9" s="39" t="n">
        <f aca="false">ETPR!C9</f>
        <v>0.66</v>
      </c>
      <c r="Y9" s="39" t="n">
        <f aca="false">ETPR!D9</f>
        <v>0.63</v>
      </c>
      <c r="Z9" s="39" t="n">
        <f aca="false">ETPR!E9</f>
        <v>0.7</v>
      </c>
      <c r="AA9" s="39" t="n">
        <f aca="false">ETPR!F9</f>
        <v>0.66</v>
      </c>
      <c r="AB9" s="39" t="n">
        <f aca="false">U3TPR!C9</f>
        <v>0.0057</v>
      </c>
      <c r="AC9" s="39" t="n">
        <f aca="false">U3TPR!D9</f>
        <v>0.0047</v>
      </c>
      <c r="AD9" s="39" t="n">
        <f aca="false">U3TPR!E9</f>
        <v>0.0468</v>
      </c>
      <c r="AE9" s="39" t="n">
        <f aca="false">U3TPR!F9</f>
        <v>0.0055</v>
      </c>
      <c r="AF9" s="39" t="n">
        <f aca="false">U6TPR!C9</f>
        <v>0.0108</v>
      </c>
      <c r="AG9" s="39" t="n">
        <f aca="false">U6TPR!D9</f>
        <v>0.0089</v>
      </c>
      <c r="AH9" s="39" t="n">
        <f aca="false">U6TPR!E9</f>
        <v>0.1423</v>
      </c>
      <c r="AI9" s="39" t="n">
        <f aca="false">U6TPR!F9</f>
        <v>0.0105</v>
      </c>
      <c r="AJ9" s="39" t="n">
        <f aca="false">LFPR!C9</f>
        <v>0.57</v>
      </c>
      <c r="AK9" s="39" t="n">
        <f aca="false">LFPR!D9</f>
        <v>0.405</v>
      </c>
      <c r="AL9" s="39" t="n">
        <f aca="false">LFPR!E9</f>
        <v>0.66</v>
      </c>
      <c r="AM9" s="39" t="n">
        <f aca="false">LFPR!F9</f>
        <v>0.57</v>
      </c>
      <c r="AN9" s="39" t="n">
        <f aca="false">U3R!C9</f>
        <v>0.045</v>
      </c>
      <c r="AO9" s="39" t="n">
        <f aca="false">U3R!D9</f>
        <v>0.048</v>
      </c>
      <c r="AP9" s="39" t="n">
        <f aca="false">U3R!E9</f>
        <v>0.062</v>
      </c>
      <c r="AQ9" s="39" t="n">
        <f aca="false">U3R!F9</f>
        <v>0.042</v>
      </c>
      <c r="AR9" s="39" t="n">
        <f aca="false">U6R!C9</f>
        <v>0.072</v>
      </c>
      <c r="AS9" s="39" t="n">
        <f aca="false">U6R!D9</f>
        <v>0.059</v>
      </c>
      <c r="AT9" s="39" t="n">
        <f aca="false">U6R!E9</f>
        <v>0.142</v>
      </c>
      <c r="AU9" s="39" t="n">
        <f aca="false">U6R!F9</f>
        <v>0.069</v>
      </c>
      <c r="AV9" s="39" t="n">
        <f aca="false">WAVG!C9</f>
        <v>24.1</v>
      </c>
      <c r="AW9" s="39" t="n">
        <f aca="false">WAVG!D9</f>
        <v>25.3</v>
      </c>
      <c r="AX9" s="39" t="n">
        <f aca="false">WAVG!E9</f>
        <v>19.28</v>
      </c>
      <c r="AY9" s="39" t="n">
        <f aca="false">WAVG!F9</f>
        <v>24.35</v>
      </c>
      <c r="AZ9" s="52" t="n">
        <f aca="false">WRAVG!C9</f>
        <v>13.5</v>
      </c>
      <c r="BA9" s="52" t="n">
        <f aca="false">WRAVG!D9</f>
        <v>42</v>
      </c>
      <c r="BB9" s="52" t="n">
        <f aca="false">WRAVG!E9</f>
        <v>24.1</v>
      </c>
      <c r="BC9" s="52" t="n">
        <f aca="false">WRAVG!F9</f>
        <v>14.18</v>
      </c>
      <c r="BD9" s="52" t="n">
        <f aca="false">WRAVG!G9</f>
        <v>44.52</v>
      </c>
      <c r="BE9" s="52" t="n">
        <f aca="false">WRAVG!H9</f>
        <v>25.3</v>
      </c>
      <c r="BF9" s="52" t="n">
        <f aca="false">WRAVG!I9</f>
        <v>9.45</v>
      </c>
      <c r="BG9" s="52" t="n">
        <f aca="false">WRAVG!J9</f>
        <v>33.6</v>
      </c>
      <c r="BH9" s="52" t="n">
        <f aca="false">WRAVG!K9</f>
        <v>19.28</v>
      </c>
      <c r="BI9" s="52" t="n">
        <f aca="false">WRAVG!L9</f>
        <v>13.65</v>
      </c>
      <c r="BJ9" s="52" t="n">
        <f aca="false">WRAVG!M9</f>
        <v>42.4</v>
      </c>
      <c r="BK9" s="52" t="n">
        <f aca="false">WRAVG!N9</f>
        <v>24.35</v>
      </c>
      <c r="BL9" s="61" t="n">
        <f aca="false">AIAVG!C9</f>
        <v>64000</v>
      </c>
      <c r="BM9" s="61" t="n">
        <f aca="false">AIAVG!D9</f>
        <v>65280</v>
      </c>
      <c r="BN9" s="61" t="n">
        <f aca="false">AIAVG!E9</f>
        <v>46080</v>
      </c>
      <c r="BO9" s="61" t="n">
        <f aca="false">AIAVG!F9</f>
        <v>64128</v>
      </c>
      <c r="BP9" s="61" t="n">
        <f aca="false">AIRAVG!C9</f>
        <v>27000</v>
      </c>
      <c r="BQ9" s="61" t="n">
        <f aca="false">AIRAVG!D9</f>
        <v>84000</v>
      </c>
      <c r="BR9" s="61" t="n">
        <f aca="false">AIRAVG!E9</f>
        <v>50080</v>
      </c>
      <c r="BS9" s="61" t="n">
        <f aca="false">AIRAVG!F9</f>
        <v>28360</v>
      </c>
      <c r="BT9" s="61" t="n">
        <f aca="false">AIRAVG!G9</f>
        <v>89040</v>
      </c>
      <c r="BU9" s="61" t="n">
        <f aca="false">AIRAVG!H9</f>
        <v>52684</v>
      </c>
      <c r="BV9" s="61" t="n">
        <f aca="false">AIRAVG!I9</f>
        <v>18900</v>
      </c>
      <c r="BW9" s="61" t="n">
        <f aca="false">AIRAVG!J9</f>
        <v>67200</v>
      </c>
      <c r="BX9" s="61" t="n">
        <f aca="false">AIRAVG!K9</f>
        <v>40064</v>
      </c>
      <c r="BY9" s="61" t="n">
        <f aca="false">AIRAVG!L9</f>
        <v>27300</v>
      </c>
      <c r="BZ9" s="61" t="n">
        <f aca="false">AIRAVG!M9</f>
        <v>84800</v>
      </c>
      <c r="CA9" s="61" t="n">
        <f aca="false">AIRAVG!N9</f>
        <v>50500</v>
      </c>
      <c r="CB9" s="3" t="n">
        <f aca="false">AWHW!C9</f>
        <v>40.8</v>
      </c>
      <c r="CC9" s="3" t="n">
        <f aca="false">AWHW!D9</f>
        <v>40.2</v>
      </c>
      <c r="CD9" s="3" t="n">
        <f aca="false">AWHW!E9</f>
        <v>42</v>
      </c>
      <c r="CE9" s="3" t="n">
        <f aca="false">AWHW!F9</f>
        <v>40.6</v>
      </c>
      <c r="CF9" s="3" t="n">
        <f aca="false">FTER!C9</f>
        <v>0.84</v>
      </c>
      <c r="CG9" s="3" t="n">
        <f aca="false">FTER!D9</f>
        <v>0.82</v>
      </c>
      <c r="CH9" s="3" t="n">
        <f aca="false">FTER!E9</f>
        <v>0.86</v>
      </c>
      <c r="CI9" s="3" t="n">
        <f aca="false">FTER!F9</f>
        <v>0.84</v>
      </c>
      <c r="CJ9" s="3" t="n">
        <f aca="false">PTER!C9</f>
        <v>0.16</v>
      </c>
      <c r="CK9" s="3" t="n">
        <f aca="false">PTER!D9</f>
        <v>0.18</v>
      </c>
      <c r="CL9" s="3" t="n">
        <f aca="false">PTER!E9</f>
        <v>0.14</v>
      </c>
      <c r="CM9" s="3" t="n">
        <f aca="false">PTER!F9</f>
        <v>0.16</v>
      </c>
      <c r="CN9" s="3"/>
      <c r="CO9" s="3"/>
      <c r="CP9" s="3"/>
      <c r="CQ9" s="3"/>
      <c r="CR9" s="3"/>
      <c r="CS9" s="3"/>
      <c r="CT9" s="3"/>
      <c r="CU9" s="3"/>
      <c r="CV9" s="3"/>
      <c r="CW9" s="3"/>
      <c r="CX9" s="3"/>
      <c r="CY9" s="3"/>
      <c r="CZ9" s="3"/>
      <c r="DA9" s="3"/>
      <c r="DB9" s="3"/>
      <c r="DC9" s="3"/>
      <c r="DD9" s="3"/>
      <c r="DE9" s="3"/>
      <c r="DF9" s="3"/>
      <c r="DG9" s="3"/>
      <c r="DH9" s="3"/>
      <c r="DI9" s="3"/>
      <c r="DK9" s="3"/>
      <c r="DL9" s="3"/>
      <c r="DM9" s="3"/>
      <c r="DN9" s="3"/>
      <c r="DO9" s="3"/>
      <c r="DP9" s="3"/>
      <c r="DQ9" s="3"/>
      <c r="DR9" s="3"/>
      <c r="DS9" s="3"/>
      <c r="DT9" s="3"/>
      <c r="DU9" s="3"/>
      <c r="DV9" s="3"/>
      <c r="DW9" s="3"/>
      <c r="DX9" s="3"/>
      <c r="DY9" s="3"/>
      <c r="DZ9" s="3"/>
      <c r="EA9" s="3"/>
      <c r="EB9" s="3"/>
      <c r="EC9" s="3"/>
      <c r="ED9" s="3"/>
      <c r="EE9" s="3"/>
      <c r="EF9" s="3"/>
      <c r="EG9" s="3"/>
      <c r="EH9" s="3"/>
      <c r="EI9" s="3"/>
      <c r="EJ9" s="3"/>
      <c r="EK9" s="3"/>
    </row>
    <row r="10" customFormat="false" ht="23.85" hidden="false" customHeight="false" outlineLevel="0" collapsed="false">
      <c r="A10" s="3" t="n">
        <v>6</v>
      </c>
      <c r="B10" s="3" t="n">
        <v>32</v>
      </c>
      <c r="C10" s="40" t="s">
        <v>1569</v>
      </c>
      <c r="D10" s="42" t="n">
        <f aca="false">LFP!C10</f>
        <v>58000</v>
      </c>
      <c r="E10" s="42" t="n">
        <f aca="false">LFP!D10</f>
        <v>1276</v>
      </c>
      <c r="F10" s="42" t="n">
        <f aca="false">LFP!E10</f>
        <v>2088</v>
      </c>
      <c r="G10" s="42" t="n">
        <f aca="false">LFP!F10</f>
        <v>54636</v>
      </c>
      <c r="H10" s="42" t="n">
        <f aca="false">TNPE!C10</f>
        <v>41636</v>
      </c>
      <c r="I10" s="42" t="n">
        <f aca="false">TNPE!D10</f>
        <v>916</v>
      </c>
      <c r="J10" s="42" t="n">
        <f aca="false">TNPE!E10</f>
        <v>1499</v>
      </c>
      <c r="K10" s="42" t="n">
        <f aca="false">TNPE!F10</f>
        <v>39221</v>
      </c>
      <c r="L10" s="39" t="n">
        <f aca="false">EP!C10</f>
        <v>41636</v>
      </c>
      <c r="M10" s="39" t="n">
        <f aca="false">EP!D10</f>
        <v>916</v>
      </c>
      <c r="N10" s="39" t="n">
        <f aca="false">EP!E10</f>
        <v>1499</v>
      </c>
      <c r="O10" s="39" t="n">
        <f aca="false">EP!F10</f>
        <v>39221</v>
      </c>
      <c r="P10" s="39" t="n">
        <f aca="false">U3P!C10</f>
        <v>16364</v>
      </c>
      <c r="Q10" s="39" t="n">
        <f aca="false">U3P!D10</f>
        <v>360</v>
      </c>
      <c r="R10" s="39" t="n">
        <f aca="false">U3P!E10</f>
        <v>589</v>
      </c>
      <c r="S10" s="39" t="n">
        <f aca="false">U3P!F10</f>
        <v>15415</v>
      </c>
      <c r="T10" s="39" t="n">
        <f aca="false">U6P!C10</f>
        <v>30700</v>
      </c>
      <c r="U10" s="39" t="n">
        <f aca="false">U6P!D10</f>
        <v>1288</v>
      </c>
      <c r="V10" s="39" t="n">
        <f aca="false">U6P!E10</f>
        <v>1840</v>
      </c>
      <c r="W10" s="39" t="n">
        <f aca="false">U6P!F10</f>
        <v>27572</v>
      </c>
      <c r="X10" s="39" t="n">
        <f aca="false">ETPR!C10</f>
        <v>0.72</v>
      </c>
      <c r="Y10" s="39" t="n">
        <f aca="false">ETPR!D10</f>
        <v>0.69</v>
      </c>
      <c r="Z10" s="39" t="n">
        <f aca="false">ETPR!E10</f>
        <v>0.76</v>
      </c>
      <c r="AA10" s="39" t="n">
        <f aca="false">ETPR!F10</f>
        <v>0.72</v>
      </c>
      <c r="AB10" s="39" t="n">
        <f aca="false">U3TPR!C10</f>
        <v>0.004</v>
      </c>
      <c r="AC10" s="39" t="n">
        <f aca="false">U3TPR!D10</f>
        <v>0.0033</v>
      </c>
      <c r="AD10" s="39" t="n">
        <f aca="false">U3TPR!E10</f>
        <v>0.0395</v>
      </c>
      <c r="AE10" s="39" t="n">
        <f aca="false">U3TPR!F10</f>
        <v>0.0039</v>
      </c>
      <c r="AF10" s="39" t="n">
        <f aca="false">U6TPR!C10</f>
        <v>0.0074</v>
      </c>
      <c r="AG10" s="39" t="n">
        <f aca="false">U6TPR!D10</f>
        <v>0.0061</v>
      </c>
      <c r="AH10" s="39" t="n">
        <f aca="false">U6TPR!E10</f>
        <v>0.1198</v>
      </c>
      <c r="AI10" s="39" t="n">
        <f aca="false">U6TPR!F10</f>
        <v>0.0072</v>
      </c>
      <c r="AJ10" s="39" t="n">
        <f aca="false">LFPR!C10</f>
        <v>0.56</v>
      </c>
      <c r="AK10" s="39" t="n">
        <f aca="false">LFPR!D10</f>
        <v>0.4</v>
      </c>
      <c r="AL10" s="39" t="n">
        <f aca="false">LFPR!E10</f>
        <v>0.65</v>
      </c>
      <c r="AM10" s="39" t="n">
        <f aca="false">LFPR!F10</f>
        <v>0.56</v>
      </c>
      <c r="AN10" s="39" t="n">
        <f aca="false">U3R!C10</f>
        <v>0.038</v>
      </c>
      <c r="AO10" s="39" t="n">
        <f aca="false">U3R!D10</f>
        <v>0.04</v>
      </c>
      <c r="AP10" s="39" t="n">
        <f aca="false">U3R!E10</f>
        <v>0.052</v>
      </c>
      <c r="AQ10" s="39" t="n">
        <f aca="false">U3R!F10</f>
        <v>0.036</v>
      </c>
      <c r="AR10" s="39" t="n">
        <f aca="false">U6R!C10</f>
        <v>0.062</v>
      </c>
      <c r="AS10" s="39" t="n">
        <f aca="false">U6R!D10</f>
        <v>0.051</v>
      </c>
      <c r="AT10" s="39" t="n">
        <f aca="false">U6R!E10</f>
        <v>0.12</v>
      </c>
      <c r="AU10" s="39" t="n">
        <f aca="false">U6R!F10</f>
        <v>0.059</v>
      </c>
      <c r="AV10" s="39" t="n">
        <f aca="false">WAVG!C10</f>
        <v>26.5</v>
      </c>
      <c r="AW10" s="39" t="n">
        <f aca="false">WAVG!D10</f>
        <v>27.83</v>
      </c>
      <c r="AX10" s="39" t="n">
        <f aca="false">WAVG!E10</f>
        <v>21.2</v>
      </c>
      <c r="AY10" s="39" t="n">
        <f aca="false">WAVG!F10</f>
        <v>26.78</v>
      </c>
      <c r="AZ10" s="52" t="n">
        <f aca="false">WRAVG!C10</f>
        <v>15</v>
      </c>
      <c r="BA10" s="52" t="n">
        <f aca="false">WRAVG!D10</f>
        <v>48</v>
      </c>
      <c r="BB10" s="52" t="n">
        <f aca="false">WRAVG!E10</f>
        <v>26.5</v>
      </c>
      <c r="BC10" s="52" t="n">
        <f aca="false">WRAVG!F10</f>
        <v>15.75</v>
      </c>
      <c r="BD10" s="52" t="n">
        <f aca="false">WRAVG!G10</f>
        <v>50.88</v>
      </c>
      <c r="BE10" s="52" t="n">
        <f aca="false">WRAVG!H10</f>
        <v>27.83</v>
      </c>
      <c r="BF10" s="52" t="n">
        <f aca="false">WRAVG!I10</f>
        <v>10.5</v>
      </c>
      <c r="BG10" s="52" t="n">
        <f aca="false">WRAVG!J10</f>
        <v>38.4</v>
      </c>
      <c r="BH10" s="52" t="n">
        <f aca="false">WRAVG!K10</f>
        <v>21.2</v>
      </c>
      <c r="BI10" s="52" t="n">
        <f aca="false">WRAVG!L10</f>
        <v>15.15</v>
      </c>
      <c r="BJ10" s="52" t="n">
        <f aca="false">WRAVG!M10</f>
        <v>48.5</v>
      </c>
      <c r="BK10" s="52" t="n">
        <f aca="false">WRAVG!N10</f>
        <v>26.78</v>
      </c>
      <c r="BL10" s="61" t="n">
        <f aca="false">AIAVG!C10</f>
        <v>60000</v>
      </c>
      <c r="BM10" s="61" t="n">
        <f aca="false">AIAVG!D10</f>
        <v>61200</v>
      </c>
      <c r="BN10" s="61" t="n">
        <f aca="false">AIAVG!E10</f>
        <v>43200</v>
      </c>
      <c r="BO10" s="61" t="n">
        <f aca="false">AIAVG!F10</f>
        <v>60120</v>
      </c>
      <c r="BP10" s="61" t="n">
        <f aca="false">AIRAVG!C10</f>
        <v>30000</v>
      </c>
      <c r="BQ10" s="61" t="n">
        <f aca="false">AIRAVG!D10</f>
        <v>96000</v>
      </c>
      <c r="BR10" s="61" t="n">
        <f aca="false">AIRAVG!E10</f>
        <v>55120</v>
      </c>
      <c r="BS10" s="61" t="n">
        <f aca="false">AIRAVG!F10</f>
        <v>31500</v>
      </c>
      <c r="BT10" s="61" t="n">
        <f aca="false">AIRAVG!G10</f>
        <v>101760</v>
      </c>
      <c r="BU10" s="61" t="n">
        <f aca="false">AIRAVG!H10</f>
        <v>57976</v>
      </c>
      <c r="BV10" s="61" t="n">
        <f aca="false">AIRAVG!I10</f>
        <v>21000</v>
      </c>
      <c r="BW10" s="61" t="n">
        <f aca="false">AIRAVG!J10</f>
        <v>76800</v>
      </c>
      <c r="BX10" s="61" t="n">
        <f aca="false">AIRAVG!K10</f>
        <v>44096</v>
      </c>
      <c r="BY10" s="61" t="n">
        <f aca="false">AIRAVG!L10</f>
        <v>30300</v>
      </c>
      <c r="BZ10" s="61" t="n">
        <f aca="false">AIRAVG!M10</f>
        <v>97000</v>
      </c>
      <c r="CA10" s="61" t="n">
        <f aca="false">AIRAVG!N10</f>
        <v>55600</v>
      </c>
      <c r="CB10" s="3" t="n">
        <f aca="false">AWHW!C10</f>
        <v>41.5</v>
      </c>
      <c r="CC10" s="3" t="n">
        <f aca="false">AWHW!D10</f>
        <v>41</v>
      </c>
      <c r="CD10" s="3" t="n">
        <f aca="false">AWHW!E10</f>
        <v>42.5</v>
      </c>
      <c r="CE10" s="3" t="n">
        <f aca="false">AWHW!F10</f>
        <v>41.3</v>
      </c>
      <c r="CF10" s="3" t="n">
        <f aca="false">FTER!C10</f>
        <v>0.85</v>
      </c>
      <c r="CG10" s="3" t="n">
        <f aca="false">FTER!D10</f>
        <v>0.84</v>
      </c>
      <c r="CH10" s="3" t="n">
        <f aca="false">FTER!E10</f>
        <v>0.87</v>
      </c>
      <c r="CI10" s="3" t="n">
        <f aca="false">FTER!F10</f>
        <v>0.85</v>
      </c>
      <c r="CJ10" s="3" t="n">
        <f aca="false">PTER!C10</f>
        <v>0.15</v>
      </c>
      <c r="CK10" s="3" t="n">
        <f aca="false">PTER!D10</f>
        <v>0.16</v>
      </c>
      <c r="CL10" s="3" t="n">
        <f aca="false">PTER!E10</f>
        <v>0.13</v>
      </c>
      <c r="CM10" s="3" t="n">
        <f aca="false">PTER!F10</f>
        <v>0.15</v>
      </c>
      <c r="CN10" s="3"/>
      <c r="CO10" s="3"/>
      <c r="CP10" s="3"/>
      <c r="CQ10" s="3"/>
      <c r="CR10" s="3"/>
      <c r="CS10" s="3"/>
      <c r="CT10" s="3"/>
      <c r="CU10" s="3"/>
      <c r="CV10" s="3"/>
      <c r="CW10" s="3"/>
      <c r="CX10" s="3"/>
      <c r="CY10" s="3"/>
      <c r="CZ10" s="3"/>
      <c r="DA10" s="3"/>
      <c r="DB10" s="3"/>
      <c r="DC10" s="3"/>
      <c r="DD10" s="3"/>
      <c r="DE10" s="3"/>
      <c r="DF10" s="3"/>
      <c r="DG10" s="3"/>
      <c r="DH10" s="3"/>
      <c r="DI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row>
    <row r="11" customFormat="false" ht="23.85" hidden="false" customHeight="false" outlineLevel="0" collapsed="false">
      <c r="A11" s="3" t="n">
        <v>7</v>
      </c>
      <c r="B11" s="3" t="n">
        <v>33</v>
      </c>
      <c r="C11" s="40" t="s">
        <v>1570</v>
      </c>
      <c r="D11" s="42" t="n">
        <f aca="false">LFP!C11</f>
        <v>120000</v>
      </c>
      <c r="E11" s="42" t="n">
        <f aca="false">LFP!D11</f>
        <v>2640</v>
      </c>
      <c r="F11" s="42" t="n">
        <f aca="false">LFP!E11</f>
        <v>4320</v>
      </c>
      <c r="G11" s="42" t="n">
        <f aca="false">LFP!F11</f>
        <v>113040</v>
      </c>
      <c r="H11" s="42" t="n">
        <f aca="false">TNPE!C11</f>
        <v>85958</v>
      </c>
      <c r="I11" s="42" t="n">
        <f aca="false">TNPE!D11</f>
        <v>1891</v>
      </c>
      <c r="J11" s="42" t="n">
        <f aca="false">TNPE!E11</f>
        <v>3094</v>
      </c>
      <c r="K11" s="42" t="n">
        <f aca="false">TNPE!F11</f>
        <v>80973</v>
      </c>
      <c r="L11" s="39" t="n">
        <f aca="false">EP!C11</f>
        <v>85958</v>
      </c>
      <c r="M11" s="39" t="n">
        <f aca="false">EP!D11</f>
        <v>1891</v>
      </c>
      <c r="N11" s="39" t="n">
        <f aca="false">EP!E11</f>
        <v>3094</v>
      </c>
      <c r="O11" s="39" t="n">
        <f aca="false">EP!F11</f>
        <v>80973</v>
      </c>
      <c r="P11" s="39" t="n">
        <f aca="false">U3P!C11</f>
        <v>34042</v>
      </c>
      <c r="Q11" s="39" t="n">
        <f aca="false">U3P!D11</f>
        <v>749</v>
      </c>
      <c r="R11" s="39" t="n">
        <f aca="false">U3P!E11</f>
        <v>1226</v>
      </c>
      <c r="S11" s="39" t="n">
        <f aca="false">U3P!F11</f>
        <v>32067</v>
      </c>
      <c r="T11" s="39" t="n">
        <f aca="false">U6P!C11</f>
        <v>63800</v>
      </c>
      <c r="U11" s="39" t="n">
        <f aca="false">U6P!D11</f>
        <v>3398</v>
      </c>
      <c r="V11" s="39" t="n">
        <f aca="false">U6P!E11</f>
        <v>3692</v>
      </c>
      <c r="W11" s="39" t="n">
        <f aca="false">U6P!F11</f>
        <v>56710</v>
      </c>
      <c r="X11" s="39" t="n">
        <f aca="false">ETPR!C11</f>
        <v>0.72</v>
      </c>
      <c r="Y11" s="39" t="n">
        <f aca="false">ETPR!D11</f>
        <v>0.69</v>
      </c>
      <c r="Z11" s="39" t="n">
        <f aca="false">ETPR!E11</f>
        <v>0.76</v>
      </c>
      <c r="AA11" s="39" t="n">
        <f aca="false">ETPR!F11</f>
        <v>0.72</v>
      </c>
      <c r="AB11" s="39" t="n">
        <f aca="false">U3TPR!C11</f>
        <v>0.0082</v>
      </c>
      <c r="AC11" s="39" t="n">
        <f aca="false">U3TPR!D11</f>
        <v>0.0068</v>
      </c>
      <c r="AD11" s="39" t="n">
        <f aca="false">U3TPR!E11</f>
        <v>0.0512</v>
      </c>
      <c r="AE11" s="39" t="n">
        <f aca="false">U3TPR!F11</f>
        <v>0.008</v>
      </c>
      <c r="AF11" s="39" t="n">
        <f aca="false">U6TPR!C11</f>
        <v>0.0183</v>
      </c>
      <c r="AG11" s="39" t="n">
        <f aca="false">U6TPR!D11</f>
        <v>0.0151</v>
      </c>
      <c r="AH11" s="39" t="n">
        <f aca="false">U6TPR!E11</f>
        <v>0.1554</v>
      </c>
      <c r="AI11" s="39" t="n">
        <f aca="false">U6TPR!F11</f>
        <v>0.0178</v>
      </c>
      <c r="AJ11" s="39" t="n">
        <f aca="false">LFPR!C11</f>
        <v>0.58</v>
      </c>
      <c r="AK11" s="39" t="n">
        <f aca="false">LFPR!D11</f>
        <v>0.415</v>
      </c>
      <c r="AL11" s="39" t="n">
        <f aca="false">LFPR!E11</f>
        <v>0.68</v>
      </c>
      <c r="AM11" s="39" t="n">
        <f aca="false">LFPR!F11</f>
        <v>0.58</v>
      </c>
      <c r="AN11" s="39" t="n">
        <f aca="false">U3R!C11</f>
        <v>0.038</v>
      </c>
      <c r="AO11" s="39" t="n">
        <f aca="false">U3R!D11</f>
        <v>0.04</v>
      </c>
      <c r="AP11" s="39" t="n">
        <f aca="false">U3R!E11</f>
        <v>0.052</v>
      </c>
      <c r="AQ11" s="39" t="n">
        <f aca="false">U3R!F11</f>
        <v>0.036</v>
      </c>
      <c r="AR11" s="39" t="n">
        <f aca="false">U6R!C11</f>
        <v>0.072</v>
      </c>
      <c r="AS11" s="39" t="n">
        <f aca="false">U6R!D11</f>
        <v>0.059</v>
      </c>
      <c r="AT11" s="39" t="n">
        <f aca="false">U6R!E11</f>
        <v>0.155</v>
      </c>
      <c r="AU11" s="39" t="n">
        <f aca="false">U6R!F11</f>
        <v>0.069</v>
      </c>
      <c r="AV11" s="39" t="n">
        <f aca="false">WAVG!C11</f>
        <v>32.9</v>
      </c>
      <c r="AW11" s="39" t="n">
        <f aca="false">WAVG!D11</f>
        <v>34.55</v>
      </c>
      <c r="AX11" s="39" t="n">
        <f aca="false">WAVG!E11</f>
        <v>26.32</v>
      </c>
      <c r="AY11" s="39" t="n">
        <f aca="false">WAVG!F11</f>
        <v>33.23</v>
      </c>
      <c r="AZ11" s="52" t="n">
        <f aca="false">WRAVG!C11</f>
        <v>18</v>
      </c>
      <c r="BA11" s="52" t="n">
        <f aca="false">WRAVG!D11</f>
        <v>58</v>
      </c>
      <c r="BB11" s="52" t="n">
        <f aca="false">WRAVG!E11</f>
        <v>32.9</v>
      </c>
      <c r="BC11" s="52" t="n">
        <f aca="false">WRAVG!F11</f>
        <v>18.9</v>
      </c>
      <c r="BD11" s="52" t="n">
        <f aca="false">WRAVG!G11</f>
        <v>61.48</v>
      </c>
      <c r="BE11" s="52" t="n">
        <f aca="false">WRAVG!H11</f>
        <v>34.55</v>
      </c>
      <c r="BF11" s="52" t="n">
        <f aca="false">WRAVG!I11</f>
        <v>12.6</v>
      </c>
      <c r="BG11" s="52" t="n">
        <f aca="false">WRAVG!J11</f>
        <v>46.4</v>
      </c>
      <c r="BH11" s="52" t="n">
        <f aca="false">WRAVG!K11</f>
        <v>26.32</v>
      </c>
      <c r="BI11" s="52" t="n">
        <f aca="false">WRAVG!L11</f>
        <v>18.2</v>
      </c>
      <c r="BJ11" s="52" t="n">
        <f aca="false">WRAVG!M11</f>
        <v>58.6</v>
      </c>
      <c r="BK11" s="52" t="n">
        <f aca="false">WRAVG!N11</f>
        <v>33.23</v>
      </c>
      <c r="BL11" s="61" t="n">
        <f aca="false">AIAVG!C11</f>
        <v>73500</v>
      </c>
      <c r="BM11" s="61" t="n">
        <f aca="false">AIAVG!D11</f>
        <v>74970</v>
      </c>
      <c r="BN11" s="61" t="n">
        <f aca="false">AIAVG!E11</f>
        <v>55125</v>
      </c>
      <c r="BO11" s="61" t="n">
        <f aca="false">AIAVG!F11</f>
        <v>73755</v>
      </c>
      <c r="BP11" s="61" t="n">
        <f aca="false">AIRAVG!C11</f>
        <v>36000</v>
      </c>
      <c r="BQ11" s="61" t="n">
        <f aca="false">AIRAVG!D11</f>
        <v>116000</v>
      </c>
      <c r="BR11" s="61" t="n">
        <f aca="false">AIRAVG!E11</f>
        <v>68432</v>
      </c>
      <c r="BS11" s="61" t="n">
        <f aca="false">AIRAVG!F11</f>
        <v>37800</v>
      </c>
      <c r="BT11" s="61" t="n">
        <f aca="false">AIRAVG!G11</f>
        <v>122960</v>
      </c>
      <c r="BU11" s="61" t="n">
        <f aca="false">AIRAVG!H11</f>
        <v>71954</v>
      </c>
      <c r="BV11" s="61" t="n">
        <f aca="false">AIRAVG!I11</f>
        <v>25200</v>
      </c>
      <c r="BW11" s="61" t="n">
        <f aca="false">AIRAVG!J11</f>
        <v>92800</v>
      </c>
      <c r="BX11" s="61" t="n">
        <f aca="false">AIRAVG!K11</f>
        <v>54746</v>
      </c>
      <c r="BY11" s="61" t="n">
        <f aca="false">AIRAVG!L11</f>
        <v>36400</v>
      </c>
      <c r="BZ11" s="61" t="n">
        <f aca="false">AIRAVG!M11</f>
        <v>117200</v>
      </c>
      <c r="CA11" s="61" t="n">
        <f aca="false">AIRAVG!N11</f>
        <v>69000</v>
      </c>
      <c r="CB11" s="3" t="n">
        <f aca="false">AWHW!C11</f>
        <v>42</v>
      </c>
      <c r="CC11" s="3" t="n">
        <f aca="false">AWHW!D11</f>
        <v>41.8</v>
      </c>
      <c r="CD11" s="3" t="n">
        <f aca="false">AWHW!E11</f>
        <v>43.2</v>
      </c>
      <c r="CE11" s="3" t="n">
        <f aca="false">AWHW!F11</f>
        <v>41.9</v>
      </c>
      <c r="CF11" s="3" t="n">
        <f aca="false">FTER!C11</f>
        <v>0.86</v>
      </c>
      <c r="CG11" s="3" t="n">
        <f aca="false">FTER!D11</f>
        <v>0.85</v>
      </c>
      <c r="CH11" s="3" t="n">
        <f aca="false">FTER!E11</f>
        <v>0.88</v>
      </c>
      <c r="CI11" s="3" t="n">
        <f aca="false">FTER!F11</f>
        <v>0.86</v>
      </c>
      <c r="CJ11" s="3" t="n">
        <f aca="false">PTER!C11</f>
        <v>0.14</v>
      </c>
      <c r="CK11" s="3" t="n">
        <f aca="false">PTER!D11</f>
        <v>0.15</v>
      </c>
      <c r="CL11" s="3" t="n">
        <f aca="false">PTER!E11</f>
        <v>0.12</v>
      </c>
      <c r="CM11" s="3" t="n">
        <f aca="false">PTER!F11</f>
        <v>0.14</v>
      </c>
      <c r="CN11" s="3"/>
      <c r="CO11" s="3"/>
      <c r="CP11" s="3"/>
      <c r="CQ11" s="3"/>
      <c r="CR11" s="3"/>
      <c r="CS11" s="3"/>
      <c r="CT11" s="3"/>
      <c r="CU11" s="3"/>
      <c r="CV11" s="3"/>
      <c r="CW11" s="3"/>
      <c r="CX11" s="3"/>
      <c r="CY11" s="3"/>
      <c r="CZ11" s="3"/>
      <c r="DA11" s="3"/>
      <c r="DB11" s="3"/>
      <c r="DC11" s="3"/>
      <c r="DD11" s="3"/>
      <c r="DE11" s="3"/>
      <c r="DF11" s="3"/>
      <c r="DG11" s="3"/>
      <c r="DH11" s="3"/>
      <c r="DI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row>
    <row r="12" customFormat="false" ht="12.8" hidden="false" customHeight="false" outlineLevel="0" collapsed="false">
      <c r="A12" s="3" t="n">
        <v>8</v>
      </c>
      <c r="B12" s="3" t="n">
        <v>42</v>
      </c>
      <c r="C12" s="3" t="s">
        <v>1571</v>
      </c>
      <c r="D12" s="42" t="n">
        <f aca="false">LFP!C12</f>
        <v>49500</v>
      </c>
      <c r="E12" s="42" t="n">
        <f aca="false">LFP!D12</f>
        <v>1089</v>
      </c>
      <c r="F12" s="42" t="n">
        <f aca="false">LFP!E12</f>
        <v>1782</v>
      </c>
      <c r="G12" s="42" t="n">
        <f aca="false">LFP!F12</f>
        <v>46629</v>
      </c>
      <c r="H12" s="42" t="n">
        <f aca="false">TNPE!C12</f>
        <v>37607</v>
      </c>
      <c r="I12" s="42" t="n">
        <f aca="false">TNPE!D12</f>
        <v>827</v>
      </c>
      <c r="J12" s="42" t="n">
        <f aca="false">TNPE!E12</f>
        <v>1354</v>
      </c>
      <c r="K12" s="42" t="n">
        <f aca="false">TNPE!F12</f>
        <v>35426</v>
      </c>
      <c r="L12" s="39" t="n">
        <f aca="false">EP!C12</f>
        <v>37607</v>
      </c>
      <c r="M12" s="39" t="n">
        <f aca="false">EP!D12</f>
        <v>827</v>
      </c>
      <c r="N12" s="39" t="n">
        <f aca="false">EP!E12</f>
        <v>1354</v>
      </c>
      <c r="O12" s="39" t="n">
        <f aca="false">EP!F12</f>
        <v>35426</v>
      </c>
      <c r="P12" s="39" t="n">
        <f aca="false">U3P!C12</f>
        <v>11893</v>
      </c>
      <c r="Q12" s="39" t="n">
        <f aca="false">U3P!D12</f>
        <v>262</v>
      </c>
      <c r="R12" s="39" t="n">
        <f aca="false">U3P!E12</f>
        <v>428</v>
      </c>
      <c r="S12" s="39" t="n">
        <f aca="false">U3P!F12</f>
        <v>11203</v>
      </c>
      <c r="T12" s="39" t="n">
        <f aca="false">U6P!C12</f>
        <v>22300</v>
      </c>
      <c r="U12" s="39" t="n">
        <f aca="false">U6P!D12</f>
        <v>1466</v>
      </c>
      <c r="V12" s="39" t="n">
        <f aca="false">U6P!E12</f>
        <v>1652</v>
      </c>
      <c r="W12" s="39" t="n">
        <f aca="false">U6P!F12</f>
        <v>19182</v>
      </c>
      <c r="X12" s="39" t="n">
        <f aca="false">ETPR!C12</f>
        <v>0.76</v>
      </c>
      <c r="Y12" s="39" t="n">
        <f aca="false">ETPR!D12</f>
        <v>0.73</v>
      </c>
      <c r="Z12" s="39" t="n">
        <f aca="false">ETPR!E12</f>
        <v>0.8</v>
      </c>
      <c r="AA12" s="39" t="n">
        <f aca="false">ETPR!F12</f>
        <v>0.76</v>
      </c>
      <c r="AB12" s="39" t="n">
        <f aca="false">U3TPR!C12</f>
        <v>0.0029</v>
      </c>
      <c r="AC12" s="39" t="n">
        <f aca="false">U3TPR!D12</f>
        <v>0.0024</v>
      </c>
      <c r="AD12" s="39" t="n">
        <f aca="false">U3TPR!E12</f>
        <v>0.0321</v>
      </c>
      <c r="AE12" s="39" t="n">
        <f aca="false">U3TPR!F12</f>
        <v>0.0028</v>
      </c>
      <c r="AF12" s="39" t="n">
        <f aca="false">U6TPR!C12</f>
        <v>0.0054</v>
      </c>
      <c r="AG12" s="39" t="n">
        <f aca="false">U6TPR!D12</f>
        <v>0.0045</v>
      </c>
      <c r="AH12" s="39" t="n">
        <f aca="false">U6TPR!E12</f>
        <v>0.0976</v>
      </c>
      <c r="AI12" s="39" t="n">
        <f aca="false">U6TPR!F12</f>
        <v>0.0053</v>
      </c>
      <c r="AJ12" s="39" t="n">
        <f aca="false">LFPR!C12</f>
        <v>0.55</v>
      </c>
      <c r="AK12" s="39" t="n">
        <f aca="false">LFPR!D12</f>
        <v>0.395</v>
      </c>
      <c r="AL12" s="39" t="n">
        <f aca="false">LFPR!E12</f>
        <v>0.64</v>
      </c>
      <c r="AM12" s="39" t="n">
        <f aca="false">LFPR!F12</f>
        <v>0.55</v>
      </c>
      <c r="AN12" s="39" t="n">
        <f aca="false">U3R!C12</f>
        <v>0.028</v>
      </c>
      <c r="AO12" s="39" t="n">
        <f aca="false">U3R!D12</f>
        <v>0.03</v>
      </c>
      <c r="AP12" s="39" t="n">
        <f aca="false">U3R!E12</f>
        <v>0.04</v>
      </c>
      <c r="AQ12" s="39" t="n">
        <f aca="false">U3R!F12</f>
        <v>0.027</v>
      </c>
      <c r="AR12" s="39" t="n">
        <f aca="false">U6R!C12</f>
        <v>0.055</v>
      </c>
      <c r="AS12" s="39" t="n">
        <f aca="false">U6R!D12</f>
        <v>0.045</v>
      </c>
      <c r="AT12" s="39" t="n">
        <f aca="false">U6R!E12</f>
        <v>0.098</v>
      </c>
      <c r="AU12" s="39" t="n">
        <f aca="false">U6R!F12</f>
        <v>0.053</v>
      </c>
      <c r="AV12" s="39" t="n">
        <f aca="false">WAVG!C12</f>
        <v>30.2</v>
      </c>
      <c r="AW12" s="39" t="n">
        <f aca="false">WAVG!D12</f>
        <v>31.71</v>
      </c>
      <c r="AX12" s="39" t="n">
        <f aca="false">WAVG!E12</f>
        <v>24.16</v>
      </c>
      <c r="AY12" s="39" t="n">
        <f aca="false">WAVG!F12</f>
        <v>30.5</v>
      </c>
      <c r="AZ12" s="52" t="n">
        <f aca="false">WRAVG!C12</f>
        <v>16.8</v>
      </c>
      <c r="BA12" s="52" t="n">
        <f aca="false">WRAVG!D12</f>
        <v>55</v>
      </c>
      <c r="BB12" s="52" t="n">
        <f aca="false">WRAVG!E12</f>
        <v>30.2</v>
      </c>
      <c r="BC12" s="52" t="n">
        <f aca="false">WRAVG!F12</f>
        <v>17.64</v>
      </c>
      <c r="BD12" s="52" t="n">
        <f aca="false">WRAVG!G12</f>
        <v>58.3</v>
      </c>
      <c r="BE12" s="52" t="n">
        <f aca="false">WRAVG!H12</f>
        <v>31.71</v>
      </c>
      <c r="BF12" s="52" t="n">
        <f aca="false">WRAVG!I12</f>
        <v>11.76</v>
      </c>
      <c r="BG12" s="52" t="n">
        <f aca="false">WRAVG!J12</f>
        <v>44</v>
      </c>
      <c r="BH12" s="52" t="n">
        <f aca="false">WRAVG!K12</f>
        <v>24.16</v>
      </c>
      <c r="BI12" s="52" t="n">
        <f aca="false">WRAVG!L12</f>
        <v>17</v>
      </c>
      <c r="BJ12" s="52" t="n">
        <f aca="false">WRAVG!M12</f>
        <v>55.6</v>
      </c>
      <c r="BK12" s="52" t="n">
        <f aca="false">WRAVG!N12</f>
        <v>30.5</v>
      </c>
      <c r="BL12" s="61" t="n">
        <f aca="false">AIAVG!C12</f>
        <v>65600</v>
      </c>
      <c r="BM12" s="61" t="n">
        <f aca="false">AIAVG!D12</f>
        <v>66584</v>
      </c>
      <c r="BN12" s="61" t="n">
        <f aca="false">AIAVG!E12</f>
        <v>51168</v>
      </c>
      <c r="BO12" s="61" t="n">
        <f aca="false">AIAVG!F12</f>
        <v>65752</v>
      </c>
      <c r="BP12" s="61" t="n">
        <f aca="false">AIRAVG!C12</f>
        <v>33600</v>
      </c>
      <c r="BQ12" s="61" t="n">
        <f aca="false">AIRAVG!D12</f>
        <v>110000</v>
      </c>
      <c r="BR12" s="61" t="n">
        <f aca="false">AIRAVG!E12</f>
        <v>60400</v>
      </c>
      <c r="BS12" s="61" t="n">
        <f aca="false">AIRAVG!F12</f>
        <v>35280</v>
      </c>
      <c r="BT12" s="61" t="n">
        <f aca="false">AIRAVG!G12</f>
        <v>116600</v>
      </c>
      <c r="BU12" s="61" t="n">
        <f aca="false">AIRAVG!H12</f>
        <v>63520</v>
      </c>
      <c r="BV12" s="61" t="n">
        <f aca="false">AIRAVG!I12</f>
        <v>23520</v>
      </c>
      <c r="BW12" s="61" t="n">
        <f aca="false">AIRAVG!J12</f>
        <v>88000</v>
      </c>
      <c r="BX12" s="61" t="n">
        <f aca="false">AIRAVG!K12</f>
        <v>47040</v>
      </c>
      <c r="BY12" s="61" t="n">
        <f aca="false">AIRAVG!L12</f>
        <v>34000</v>
      </c>
      <c r="BZ12" s="61" t="n">
        <f aca="false">AIRAVG!M12</f>
        <v>111200</v>
      </c>
      <c r="CA12" s="61" t="n">
        <f aca="false">AIRAVG!N12</f>
        <v>60800</v>
      </c>
      <c r="CB12" s="3" t="n">
        <f aca="false">AWHW!C12</f>
        <v>39.5</v>
      </c>
      <c r="CC12" s="3" t="n">
        <f aca="false">AWHW!D12</f>
        <v>39.8</v>
      </c>
      <c r="CD12" s="3" t="n">
        <f aca="false">AWHW!E12</f>
        <v>38.5</v>
      </c>
      <c r="CE12" s="3" t="n">
        <f aca="false">AWHW!F12</f>
        <v>39.4</v>
      </c>
      <c r="CF12" s="3" t="n">
        <f aca="false">FTER!C12</f>
        <v>0.83</v>
      </c>
      <c r="CG12" s="3" t="n">
        <f aca="false">FTER!D12</f>
        <v>0.84</v>
      </c>
      <c r="CH12" s="3" t="n">
        <f aca="false">FTER!E12</f>
        <v>0.8</v>
      </c>
      <c r="CI12" s="3" t="n">
        <f aca="false">FTER!F12</f>
        <v>0.83</v>
      </c>
      <c r="CJ12" s="3" t="n">
        <f aca="false">PTER!C12</f>
        <v>0.17</v>
      </c>
      <c r="CK12" s="3" t="n">
        <f aca="false">PTER!D12</f>
        <v>0.16</v>
      </c>
      <c r="CL12" s="3" t="n">
        <f aca="false">PTER!E12</f>
        <v>0.2</v>
      </c>
      <c r="CM12" s="3" t="n">
        <f aca="false">PTER!F12</f>
        <v>0.17</v>
      </c>
      <c r="CN12" s="3"/>
      <c r="CO12" s="3"/>
      <c r="CP12" s="3"/>
      <c r="CQ12" s="3"/>
      <c r="CR12" s="3"/>
      <c r="CS12" s="3"/>
      <c r="CT12" s="3"/>
      <c r="CU12" s="3"/>
      <c r="CV12" s="3"/>
      <c r="CW12" s="3"/>
      <c r="CX12" s="3"/>
      <c r="CY12" s="3"/>
      <c r="CZ12" s="3"/>
      <c r="DA12" s="3"/>
      <c r="DB12" s="3"/>
      <c r="DC12" s="3"/>
      <c r="DD12" s="3"/>
      <c r="DE12" s="3"/>
      <c r="DF12" s="3"/>
      <c r="DG12" s="3"/>
      <c r="DH12" s="3"/>
      <c r="DI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row>
    <row r="13" customFormat="false" ht="23.85" hidden="false" customHeight="false" outlineLevel="0" collapsed="false">
      <c r="A13" s="3" t="n">
        <v>9</v>
      </c>
      <c r="B13" s="3" t="n">
        <v>44</v>
      </c>
      <c r="C13" s="40" t="s">
        <v>1572</v>
      </c>
      <c r="D13" s="42" t="n">
        <f aca="false">LFP!C13</f>
        <v>39900</v>
      </c>
      <c r="E13" s="42" t="n">
        <f aca="false">LFP!D13</f>
        <v>878</v>
      </c>
      <c r="F13" s="42" t="n">
        <f aca="false">LFP!E13</f>
        <v>1436</v>
      </c>
      <c r="G13" s="42" t="n">
        <f aca="false">LFP!F13</f>
        <v>37586</v>
      </c>
      <c r="H13" s="42" t="n">
        <f aca="false">TNPE!C13</f>
        <v>32234</v>
      </c>
      <c r="I13" s="42" t="n">
        <f aca="false">TNPE!D13</f>
        <v>709</v>
      </c>
      <c r="J13" s="42" t="n">
        <f aca="false">TNPE!E13</f>
        <v>1160</v>
      </c>
      <c r="K13" s="42" t="n">
        <f aca="false">TNPE!F13</f>
        <v>30365</v>
      </c>
      <c r="L13" s="39" t="n">
        <f aca="false">EP!C13</f>
        <v>32234</v>
      </c>
      <c r="M13" s="39" t="n">
        <f aca="false">EP!D13</f>
        <v>709</v>
      </c>
      <c r="N13" s="39" t="n">
        <f aca="false">EP!E13</f>
        <v>1160</v>
      </c>
      <c r="O13" s="39" t="n">
        <f aca="false">EP!F13</f>
        <v>30365</v>
      </c>
      <c r="P13" s="39" t="n">
        <f aca="false">U3P!C13</f>
        <v>7766</v>
      </c>
      <c r="Q13" s="39" t="n">
        <f aca="false">U3P!D13</f>
        <v>169</v>
      </c>
      <c r="R13" s="39" t="n">
        <f aca="false">U3P!E13</f>
        <v>276</v>
      </c>
      <c r="S13" s="39" t="n">
        <f aca="false">U3P!F13</f>
        <v>7321</v>
      </c>
      <c r="T13" s="39" t="n">
        <f aca="false">U6P!C13</f>
        <v>14500</v>
      </c>
      <c r="U13" s="39" t="n">
        <f aca="false">U6P!D13</f>
        <v>1702</v>
      </c>
      <c r="V13" s="39" t="n">
        <f aca="false">U6P!E13</f>
        <v>2044</v>
      </c>
      <c r="W13" s="39" t="n">
        <f aca="false">U6P!F13</f>
        <v>10754</v>
      </c>
      <c r="X13" s="39" t="n">
        <f aca="false">ETPR!C13</f>
        <v>0.81</v>
      </c>
      <c r="Y13" s="39" t="n">
        <f aca="false">ETPR!D13</f>
        <v>0.78</v>
      </c>
      <c r="Z13" s="39" t="n">
        <f aca="false">ETPR!E13</f>
        <v>0.85</v>
      </c>
      <c r="AA13" s="39" t="n">
        <f aca="false">ETPR!F13</f>
        <v>0.81</v>
      </c>
      <c r="AB13" s="39" t="n">
        <f aca="false">U3TPR!C13</f>
        <v>0.0019</v>
      </c>
      <c r="AC13" s="39" t="n">
        <f aca="false">U3TPR!D13</f>
        <v>0.0016</v>
      </c>
      <c r="AD13" s="39" t="n">
        <f aca="false">U3TPR!E13</f>
        <v>0.0284</v>
      </c>
      <c r="AE13" s="39" t="n">
        <f aca="false">U3TPR!F13</f>
        <v>0.0018</v>
      </c>
      <c r="AF13" s="39" t="n">
        <f aca="false">U6TPR!C13</f>
        <v>0.0035</v>
      </c>
      <c r="AG13" s="39" t="n">
        <f aca="false">U6TPR!D13</f>
        <v>0.0029</v>
      </c>
      <c r="AH13" s="39" t="n">
        <f aca="false">U6TPR!E13</f>
        <v>0.0865</v>
      </c>
      <c r="AI13" s="39" t="n">
        <f aca="false">U6TPR!F13</f>
        <v>0.0034</v>
      </c>
      <c r="AJ13" s="39" t="n">
        <f aca="false">LFPR!C13</f>
        <v>0.54</v>
      </c>
      <c r="AK13" s="39" t="n">
        <f aca="false">LFPR!D13</f>
        <v>0.39</v>
      </c>
      <c r="AL13" s="39" t="n">
        <f aca="false">LFPR!E13</f>
        <v>0.63</v>
      </c>
      <c r="AM13" s="39" t="n">
        <f aca="false">LFPR!F13</f>
        <v>0.54</v>
      </c>
      <c r="AN13" s="39" t="n">
        <f aca="false">U3R!C13</f>
        <v>0.028</v>
      </c>
      <c r="AO13" s="39" t="n">
        <f aca="false">U3R!D13</f>
        <v>0.03</v>
      </c>
      <c r="AP13" s="39" t="n">
        <f aca="false">U3R!E13</f>
        <v>0.04</v>
      </c>
      <c r="AQ13" s="39" t="n">
        <f aca="false">U3R!F13</f>
        <v>0.027</v>
      </c>
      <c r="AR13" s="39" t="n">
        <f aca="false">U6R!C13</f>
        <v>0.048</v>
      </c>
      <c r="AS13" s="39" t="n">
        <f aca="false">U6R!D13</f>
        <v>0.039</v>
      </c>
      <c r="AT13" s="39" t="n">
        <f aca="false">U6R!E13</f>
        <v>0.087</v>
      </c>
      <c r="AU13" s="39" t="n">
        <f aca="false">U6R!F13</f>
        <v>0.046</v>
      </c>
      <c r="AV13" s="39" t="n">
        <f aca="false">WAVG!C13</f>
        <v>28.1</v>
      </c>
      <c r="AW13" s="39" t="n">
        <f aca="false">WAVG!D13</f>
        <v>29.51</v>
      </c>
      <c r="AX13" s="39" t="n">
        <f aca="false">WAVG!E13</f>
        <v>22.48</v>
      </c>
      <c r="AY13" s="39" t="n">
        <f aca="false">WAVG!F13</f>
        <v>28.35</v>
      </c>
      <c r="AZ13" s="52" t="n">
        <f aca="false">WRAVG!C13</f>
        <v>15.2</v>
      </c>
      <c r="BA13" s="52" t="n">
        <f aca="false">WRAVG!D13</f>
        <v>50</v>
      </c>
      <c r="BB13" s="52" t="n">
        <f aca="false">WRAVG!E13</f>
        <v>28.1</v>
      </c>
      <c r="BC13" s="52" t="n">
        <f aca="false">WRAVG!F13</f>
        <v>15.96</v>
      </c>
      <c r="BD13" s="52" t="n">
        <f aca="false">WRAVG!G13</f>
        <v>53</v>
      </c>
      <c r="BE13" s="52" t="n">
        <f aca="false">WRAVG!H13</f>
        <v>29.51</v>
      </c>
      <c r="BF13" s="52" t="n">
        <f aca="false">WRAVG!I13</f>
        <v>10.64</v>
      </c>
      <c r="BG13" s="52" t="n">
        <f aca="false">WRAVG!J13</f>
        <v>40</v>
      </c>
      <c r="BH13" s="52" t="n">
        <f aca="false">WRAVG!K13</f>
        <v>22.48</v>
      </c>
      <c r="BI13" s="52" t="n">
        <f aca="false">WRAVG!L13</f>
        <v>15.35</v>
      </c>
      <c r="BJ13" s="52" t="n">
        <f aca="false">WRAVG!M13</f>
        <v>50.5</v>
      </c>
      <c r="BK13" s="52" t="n">
        <f aca="false">WRAVG!N13</f>
        <v>28.35</v>
      </c>
      <c r="BL13" s="61" t="n">
        <f aca="false">AIAVG!C13</f>
        <v>45000</v>
      </c>
      <c r="BM13" s="61" t="n">
        <f aca="false">AIAVG!D13</f>
        <v>46350</v>
      </c>
      <c r="BN13" s="61" t="n">
        <f aca="false">AIAVG!E13</f>
        <v>31500</v>
      </c>
      <c r="BO13" s="61" t="n">
        <f aca="false">AIAVG!F13</f>
        <v>45135</v>
      </c>
      <c r="BP13" s="61" t="n">
        <f aca="false">AIRAVG!C13</f>
        <v>30400</v>
      </c>
      <c r="BQ13" s="61" t="n">
        <f aca="false">AIRAVG!D13</f>
        <v>100000</v>
      </c>
      <c r="BR13" s="61" t="n">
        <f aca="false">AIRAVG!E13</f>
        <v>56200</v>
      </c>
      <c r="BS13" s="61" t="n">
        <f aca="false">AIRAVG!F13</f>
        <v>31920</v>
      </c>
      <c r="BT13" s="61" t="n">
        <f aca="false">AIRAVG!G13</f>
        <v>106000</v>
      </c>
      <c r="BU13" s="61" t="n">
        <f aca="false">AIRAVG!H13</f>
        <v>59100</v>
      </c>
      <c r="BV13" s="61" t="n">
        <f aca="false">AIRAVG!I13</f>
        <v>21280</v>
      </c>
      <c r="BW13" s="61" t="n">
        <f aca="false">AIRAVG!J13</f>
        <v>80000</v>
      </c>
      <c r="BX13" s="61" t="n">
        <f aca="false">AIRAVG!K13</f>
        <v>44960</v>
      </c>
      <c r="BY13" s="61" t="n">
        <f aca="false">AIRAVG!L13</f>
        <v>30700</v>
      </c>
      <c r="BZ13" s="61" t="n">
        <f aca="false">AIRAVG!M13</f>
        <v>101000</v>
      </c>
      <c r="CA13" s="61" t="n">
        <f aca="false">AIRAVG!N13</f>
        <v>56700</v>
      </c>
      <c r="CB13" s="3" t="n">
        <f aca="false">AWHW!C13</f>
        <v>38</v>
      </c>
      <c r="CC13" s="3" t="n">
        <f aca="false">AWHW!D13</f>
        <v>38.5</v>
      </c>
      <c r="CD13" s="3" t="n">
        <f aca="false">AWHW!E13</f>
        <v>37</v>
      </c>
      <c r="CE13" s="3" t="n">
        <f aca="false">AWHW!F13</f>
        <v>38.1</v>
      </c>
      <c r="CF13" s="3" t="n">
        <f aca="false">FTER!C13</f>
        <v>0.81</v>
      </c>
      <c r="CG13" s="3" t="n">
        <f aca="false">FTER!D13</f>
        <v>0.82</v>
      </c>
      <c r="CH13" s="3" t="n">
        <f aca="false">FTER!E13</f>
        <v>0.78</v>
      </c>
      <c r="CI13" s="3" t="n">
        <f aca="false">FTER!F13</f>
        <v>0.81</v>
      </c>
      <c r="CJ13" s="3" t="n">
        <f aca="false">PTER!C13</f>
        <v>0.19</v>
      </c>
      <c r="CK13" s="3" t="n">
        <f aca="false">PTER!D13</f>
        <v>0.18</v>
      </c>
      <c r="CL13" s="3" t="n">
        <f aca="false">PTER!E13</f>
        <v>0.22</v>
      </c>
      <c r="CM13" s="3" t="n">
        <f aca="false">PTER!F13</f>
        <v>0.19</v>
      </c>
      <c r="CN13" s="3"/>
      <c r="CO13" s="3"/>
      <c r="CP13" s="3"/>
      <c r="CQ13" s="3"/>
      <c r="CR13" s="3"/>
      <c r="CS13" s="3"/>
      <c r="CT13" s="3"/>
      <c r="CU13" s="3"/>
      <c r="CV13" s="3"/>
      <c r="CW13" s="3"/>
      <c r="CX13" s="3"/>
      <c r="CY13" s="3"/>
      <c r="CZ13" s="3"/>
      <c r="DA13" s="3"/>
      <c r="DB13" s="3"/>
      <c r="DC13" s="3"/>
      <c r="DD13" s="3"/>
      <c r="DE13" s="3"/>
      <c r="DF13" s="3"/>
      <c r="DG13" s="3"/>
      <c r="DH13" s="3"/>
      <c r="DI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row>
    <row r="14" customFormat="false" ht="23.85" hidden="false" customHeight="false" outlineLevel="0" collapsed="false">
      <c r="A14" s="3" t="n">
        <v>10</v>
      </c>
      <c r="B14" s="3" t="n">
        <v>45</v>
      </c>
      <c r="C14" s="40" t="s">
        <v>1573</v>
      </c>
      <c r="D14" s="42" t="n">
        <f aca="false">LFP!C14</f>
        <v>129800</v>
      </c>
      <c r="E14" s="42" t="n">
        <f aca="false">LFP!D14</f>
        <v>2856</v>
      </c>
      <c r="F14" s="42" t="n">
        <f aca="false">LFP!E14</f>
        <v>10384</v>
      </c>
      <c r="G14" s="42" t="n">
        <f aca="false">LFP!F14</f>
        <v>116560</v>
      </c>
      <c r="H14" s="42" t="n">
        <f aca="false">TNPE!C14</f>
        <v>104762</v>
      </c>
      <c r="I14" s="42" t="n">
        <f aca="false">TNPE!D14</f>
        <v>2305</v>
      </c>
      <c r="J14" s="42" t="n">
        <f aca="false">TNPE!E14</f>
        <v>8381</v>
      </c>
      <c r="K14" s="42" t="n">
        <f aca="false">TNPE!F14</f>
        <v>94076</v>
      </c>
      <c r="L14" s="39" t="n">
        <f aca="false">EP!C14</f>
        <v>104762</v>
      </c>
      <c r="M14" s="39" t="n">
        <f aca="false">EP!D14</f>
        <v>2305</v>
      </c>
      <c r="N14" s="39" t="n">
        <f aca="false">EP!E14</f>
        <v>8381</v>
      </c>
      <c r="O14" s="39" t="n">
        <f aca="false">EP!F14</f>
        <v>94076</v>
      </c>
      <c r="P14" s="39" t="n">
        <f aca="false">U3P!C14</f>
        <v>24838</v>
      </c>
      <c r="Q14" s="39" t="n">
        <f aca="false">U3P!D14</f>
        <v>551</v>
      </c>
      <c r="R14" s="39" t="n">
        <f aca="false">U3P!E14</f>
        <v>2003</v>
      </c>
      <c r="S14" s="39" t="n">
        <f aca="false">U3P!F14</f>
        <v>23284</v>
      </c>
      <c r="T14" s="39" t="n">
        <f aca="false">U6P!C14</f>
        <v>46500</v>
      </c>
      <c r="U14" s="39" t="n">
        <f aca="false">U6P!D14</f>
        <v>4570</v>
      </c>
      <c r="V14" s="39" t="n">
        <f aca="false">U6P!E14</f>
        <v>7198</v>
      </c>
      <c r="W14" s="39" t="n">
        <f aca="false">U6P!F14</f>
        <v>34732</v>
      </c>
      <c r="X14" s="39" t="n">
        <f aca="false">ETPR!C14</f>
        <v>0.81</v>
      </c>
      <c r="Y14" s="39" t="n">
        <f aca="false">ETPR!D14</f>
        <v>0.78</v>
      </c>
      <c r="Z14" s="39" t="n">
        <f aca="false">ETPR!E14</f>
        <v>0.85</v>
      </c>
      <c r="AA14" s="39" t="n">
        <f aca="false">ETPR!F14</f>
        <v>0.81</v>
      </c>
      <c r="AB14" s="39" t="n">
        <f aca="false">U3TPR!C14</f>
        <v>0.006</v>
      </c>
      <c r="AC14" s="39" t="n">
        <f aca="false">U3TPR!D14</f>
        <v>0.005</v>
      </c>
      <c r="AD14" s="39" t="n">
        <f aca="false">U3TPR!E14</f>
        <v>0.0453</v>
      </c>
      <c r="AE14" s="39" t="n">
        <f aca="false">U3TPR!F14</f>
        <v>0.0058</v>
      </c>
      <c r="AF14" s="39" t="n">
        <f aca="false">U6TPR!C14</f>
        <v>0.0133</v>
      </c>
      <c r="AG14" s="39" t="n">
        <f aca="false">U6TPR!D14</f>
        <v>0.011</v>
      </c>
      <c r="AH14" s="39" t="n">
        <f aca="false">U6TPR!E14</f>
        <v>0.1378</v>
      </c>
      <c r="AI14" s="39" t="n">
        <f aca="false">U6TPR!F14</f>
        <v>0.013</v>
      </c>
      <c r="AJ14" s="39" t="n">
        <f aca="false">LFPR!C14</f>
        <v>0.58</v>
      </c>
      <c r="AK14" s="39" t="n">
        <f aca="false">LFPR!D14</f>
        <v>0.415</v>
      </c>
      <c r="AL14" s="39" t="n">
        <f aca="false">LFPR!E14</f>
        <v>0.68</v>
      </c>
      <c r="AM14" s="39" t="n">
        <f aca="false">LFPR!F14</f>
        <v>0.58</v>
      </c>
      <c r="AN14" s="39" t="n">
        <f aca="false">U3R!C14</f>
        <v>0.028</v>
      </c>
      <c r="AO14" s="39" t="n">
        <f aca="false">U3R!D14</f>
        <v>0.03</v>
      </c>
      <c r="AP14" s="39" t="n">
        <f aca="false">U3R!E14</f>
        <v>0.04</v>
      </c>
      <c r="AQ14" s="39" t="n">
        <f aca="false">U3R!F14</f>
        <v>0.027</v>
      </c>
      <c r="AR14" s="39" t="n">
        <f aca="false">U6R!C14</f>
        <v>0.072</v>
      </c>
      <c r="AS14" s="39" t="n">
        <f aca="false">U6R!D14</f>
        <v>0.059</v>
      </c>
      <c r="AT14" s="39" t="n">
        <f aca="false">U6R!E14</f>
        <v>0.138</v>
      </c>
      <c r="AU14" s="39" t="n">
        <f aca="false">U6R!F14</f>
        <v>0.069</v>
      </c>
      <c r="AV14" s="39" t="n">
        <f aca="false">WAVG!C14</f>
        <v>20.8</v>
      </c>
      <c r="AW14" s="39" t="n">
        <f aca="false">WAVG!D14</f>
        <v>21.84</v>
      </c>
      <c r="AX14" s="39" t="n">
        <f aca="false">WAVG!E14</f>
        <v>16.64</v>
      </c>
      <c r="AY14" s="39" t="n">
        <f aca="false">WAVG!F14</f>
        <v>21</v>
      </c>
      <c r="AZ14" s="52" t="n">
        <f aca="false">WRAVG!C14</f>
        <v>11.5</v>
      </c>
      <c r="BA14" s="52" t="n">
        <f aca="false">WRAVG!D14</f>
        <v>38</v>
      </c>
      <c r="BB14" s="52" t="n">
        <f aca="false">WRAVG!E14</f>
        <v>20.8</v>
      </c>
      <c r="BC14" s="52" t="n">
        <f aca="false">WRAVG!F14</f>
        <v>12.08</v>
      </c>
      <c r="BD14" s="52" t="n">
        <f aca="false">WRAVG!G14</f>
        <v>40.28</v>
      </c>
      <c r="BE14" s="52" t="n">
        <f aca="false">WRAVG!H14</f>
        <v>21.84</v>
      </c>
      <c r="BF14" s="52" t="n">
        <f aca="false">WRAVG!I14</f>
        <v>8.05</v>
      </c>
      <c r="BG14" s="52" t="n">
        <f aca="false">WRAVG!J14</f>
        <v>30.4</v>
      </c>
      <c r="BH14" s="52" t="n">
        <f aca="false">WRAVG!K14</f>
        <v>16.64</v>
      </c>
      <c r="BI14" s="52" t="n">
        <f aca="false">WRAVG!L14</f>
        <v>11.62</v>
      </c>
      <c r="BJ14" s="52" t="n">
        <f aca="false">WRAVG!M14</f>
        <v>38.4</v>
      </c>
      <c r="BK14" s="52" t="n">
        <f aca="false">WRAVG!N14</f>
        <v>21</v>
      </c>
      <c r="BL14" s="61" t="n">
        <f aca="false">AIAVG!C14</f>
        <v>38500</v>
      </c>
      <c r="BM14" s="61" t="n">
        <f aca="false">AIAVG!D14</f>
        <v>39655</v>
      </c>
      <c r="BN14" s="61" t="n">
        <f aca="false">AIAVG!E14</f>
        <v>26180</v>
      </c>
      <c r="BO14" s="61" t="n">
        <f aca="false">AIAVG!F14</f>
        <v>38611</v>
      </c>
      <c r="BP14" s="61" t="n">
        <f aca="false">AIRAVG!C14</f>
        <v>23000</v>
      </c>
      <c r="BQ14" s="61" t="n">
        <f aca="false">AIRAVG!D14</f>
        <v>76000</v>
      </c>
      <c r="BR14" s="61" t="n">
        <f aca="false">AIRAVG!E14</f>
        <v>41600</v>
      </c>
      <c r="BS14" s="61" t="n">
        <f aca="false">AIRAVG!F14</f>
        <v>24160</v>
      </c>
      <c r="BT14" s="61" t="n">
        <f aca="false">AIRAVG!G14</f>
        <v>80560</v>
      </c>
      <c r="BU14" s="61" t="n">
        <f aca="false">AIRAVG!H14</f>
        <v>43680</v>
      </c>
      <c r="BV14" s="61" t="n">
        <f aca="false">AIRAVG!I14</f>
        <v>16100</v>
      </c>
      <c r="BW14" s="61" t="n">
        <f aca="false">AIRAVG!J14</f>
        <v>60800</v>
      </c>
      <c r="BX14" s="61" t="n">
        <f aca="false">AIRAVG!K14</f>
        <v>33280</v>
      </c>
      <c r="BY14" s="61" t="n">
        <f aca="false">AIRAVG!L14</f>
        <v>23240</v>
      </c>
      <c r="BZ14" s="61" t="n">
        <f aca="false">AIRAVG!M14</f>
        <v>76800</v>
      </c>
      <c r="CA14" s="61" t="n">
        <f aca="false">AIRAVG!N14</f>
        <v>42000</v>
      </c>
      <c r="CB14" s="3" t="n">
        <f aca="false">AWHW!C14</f>
        <v>35.5</v>
      </c>
      <c r="CC14" s="3" t="n">
        <f aca="false">AWHW!D14</f>
        <v>36</v>
      </c>
      <c r="CD14" s="3" t="n">
        <f aca="false">AWHW!E14</f>
        <v>34</v>
      </c>
      <c r="CE14" s="3" t="n">
        <f aca="false">AWHW!F14</f>
        <v>35.6</v>
      </c>
      <c r="CF14" s="3" t="n">
        <f aca="false">FTER!C14</f>
        <v>0.72</v>
      </c>
      <c r="CG14" s="3" t="n">
        <f aca="false">FTER!D14</f>
        <v>0.74</v>
      </c>
      <c r="CH14" s="3" t="n">
        <f aca="false">FTER!E14</f>
        <v>0.68</v>
      </c>
      <c r="CI14" s="3" t="n">
        <f aca="false">FTER!F14</f>
        <v>0.72</v>
      </c>
      <c r="CJ14" s="3" t="n">
        <f aca="false">PTER!C14</f>
        <v>0.28</v>
      </c>
      <c r="CK14" s="3" t="n">
        <f aca="false">PTER!D14</f>
        <v>0.26</v>
      </c>
      <c r="CL14" s="3" t="n">
        <f aca="false">PTER!E14</f>
        <v>0.32</v>
      </c>
      <c r="CM14" s="3" t="n">
        <f aca="false">PTER!F14</f>
        <v>0.28</v>
      </c>
      <c r="CN14" s="3"/>
      <c r="CO14" s="3"/>
      <c r="CP14" s="3"/>
      <c r="CQ14" s="3"/>
      <c r="CR14" s="3"/>
      <c r="CS14" s="3"/>
      <c r="CT14" s="3"/>
      <c r="CU14" s="3"/>
      <c r="CV14" s="3"/>
      <c r="CW14" s="3"/>
      <c r="CX14" s="3"/>
      <c r="CY14" s="3"/>
      <c r="CZ14" s="3"/>
      <c r="DA14" s="3"/>
      <c r="DB14" s="3"/>
      <c r="DC14" s="3"/>
      <c r="DD14" s="3"/>
      <c r="DE14" s="3"/>
      <c r="DF14" s="3"/>
      <c r="DG14" s="3"/>
      <c r="DH14" s="3"/>
      <c r="DI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row>
    <row r="15" customFormat="false" ht="12.8" hidden="false" customHeight="false" outlineLevel="0" collapsed="false">
      <c r="A15" s="3" t="n">
        <v>11</v>
      </c>
      <c r="B15" s="3" t="n">
        <v>48</v>
      </c>
      <c r="C15" s="3" t="s">
        <v>1574</v>
      </c>
      <c r="D15" s="42" t="n">
        <f aca="false">LFP!C15</f>
        <v>75500</v>
      </c>
      <c r="E15" s="42" t="n">
        <f aca="false">LFP!D15</f>
        <v>1661</v>
      </c>
      <c r="F15" s="42" t="n">
        <f aca="false">LFP!E15</f>
        <v>2719</v>
      </c>
      <c r="G15" s="42" t="n">
        <f aca="false">LFP!F15</f>
        <v>71120</v>
      </c>
      <c r="H15" s="42" t="n">
        <f aca="false">TNPE!C15</f>
        <v>57753</v>
      </c>
      <c r="I15" s="42" t="n">
        <f aca="false">TNPE!D15</f>
        <v>1271</v>
      </c>
      <c r="J15" s="42" t="n">
        <f aca="false">TNPE!E15</f>
        <v>2079</v>
      </c>
      <c r="K15" s="42" t="n">
        <f aca="false">TNPE!F15</f>
        <v>54403</v>
      </c>
      <c r="L15" s="39" t="n">
        <f aca="false">EP!C15</f>
        <v>57753</v>
      </c>
      <c r="M15" s="39" t="n">
        <f aca="false">EP!D15</f>
        <v>1271</v>
      </c>
      <c r="N15" s="39" t="n">
        <f aca="false">EP!E15</f>
        <v>2079</v>
      </c>
      <c r="O15" s="39" t="n">
        <f aca="false">EP!F15</f>
        <v>54403</v>
      </c>
      <c r="P15" s="39" t="n">
        <f aca="false">U3P!C15</f>
        <v>17747</v>
      </c>
      <c r="Q15" s="39" t="n">
        <f aca="false">U3P!D15</f>
        <v>390</v>
      </c>
      <c r="R15" s="39" t="n">
        <f aca="false">U3P!E15</f>
        <v>640</v>
      </c>
      <c r="S15" s="39" t="n">
        <f aca="false">U3P!F15</f>
        <v>16717</v>
      </c>
      <c r="T15" s="39" t="n">
        <f aca="false">U6P!C15</f>
        <v>33300</v>
      </c>
      <c r="U15" s="39" t="n">
        <f aca="false">U6P!D15</f>
        <v>578</v>
      </c>
      <c r="V15" s="39" t="n">
        <f aca="false">U6P!E15</f>
        <v>2402</v>
      </c>
      <c r="W15" s="39" t="n">
        <f aca="false">U6P!F15</f>
        <v>30320</v>
      </c>
      <c r="X15" s="39" t="n">
        <f aca="false">ETPR!C15</f>
        <v>0.77</v>
      </c>
      <c r="Y15" s="39" t="n">
        <f aca="false">ETPR!D15</f>
        <v>0.74</v>
      </c>
      <c r="Z15" s="39" t="n">
        <f aca="false">ETPR!E15</f>
        <v>0.81</v>
      </c>
      <c r="AA15" s="39" t="n">
        <f aca="false">ETPR!F15</f>
        <v>0.77</v>
      </c>
      <c r="AB15" s="39" t="n">
        <f aca="false">U3TPR!C15</f>
        <v>0.0043</v>
      </c>
      <c r="AC15" s="39" t="n">
        <f aca="false">U3TPR!D15</f>
        <v>0.0036</v>
      </c>
      <c r="AD15" s="39" t="n">
        <f aca="false">U3TPR!E15</f>
        <v>0.0402</v>
      </c>
      <c r="AE15" s="39" t="n">
        <f aca="false">U3TPR!F15</f>
        <v>0.0042</v>
      </c>
      <c r="AF15" s="39" t="n">
        <f aca="false">U6TPR!C15</f>
        <v>0.0095</v>
      </c>
      <c r="AG15" s="39" t="n">
        <f aca="false">U6TPR!D15</f>
        <v>0.0078</v>
      </c>
      <c r="AH15" s="39" t="n">
        <f aca="false">U6TPR!E15</f>
        <v>0.1221</v>
      </c>
      <c r="AI15" s="39" t="n">
        <f aca="false">U6TPR!F15</f>
        <v>0.0093</v>
      </c>
      <c r="AJ15" s="39" t="n">
        <f aca="false">LFPR!C15</f>
        <v>0.57</v>
      </c>
      <c r="AK15" s="39" t="n">
        <f aca="false">LFPR!D15</f>
        <v>0.41</v>
      </c>
      <c r="AL15" s="39" t="n">
        <f aca="false">LFPR!E15</f>
        <v>0.67</v>
      </c>
      <c r="AM15" s="39" t="n">
        <f aca="false">LFPR!F15</f>
        <v>0.57</v>
      </c>
      <c r="AN15" s="39" t="n">
        <f aca="false">U3R!C15</f>
        <v>0.028</v>
      </c>
      <c r="AO15" s="39" t="n">
        <f aca="false">U3R!D15</f>
        <v>0.03</v>
      </c>
      <c r="AP15" s="39" t="n">
        <f aca="false">U3R!E15</f>
        <v>0.04</v>
      </c>
      <c r="AQ15" s="39" t="n">
        <f aca="false">U3R!F15</f>
        <v>0.027</v>
      </c>
      <c r="AR15" s="39" t="n">
        <f aca="false">U6R!C15</f>
        <v>0.062</v>
      </c>
      <c r="AS15" s="39" t="n">
        <f aca="false">U6R!D15</f>
        <v>0.051</v>
      </c>
      <c r="AT15" s="39" t="n">
        <f aca="false">U6R!E15</f>
        <v>0.122</v>
      </c>
      <c r="AU15" s="39" t="n">
        <f aca="false">U6R!F15</f>
        <v>0.059</v>
      </c>
      <c r="AV15" s="39" t="n">
        <f aca="false">WAVG!C15</f>
        <v>31.7</v>
      </c>
      <c r="AW15" s="39" t="n">
        <f aca="false">WAVG!D15</f>
        <v>33.29</v>
      </c>
      <c r="AX15" s="39" t="n">
        <f aca="false">WAVG!E15</f>
        <v>25.36</v>
      </c>
      <c r="AY15" s="39" t="n">
        <f aca="false">WAVG!F15</f>
        <v>32.02</v>
      </c>
      <c r="AZ15" s="52" t="n">
        <f aca="false">WRAVG!C15</f>
        <v>17</v>
      </c>
      <c r="BA15" s="52" t="n">
        <f aca="false">WRAVG!D15</f>
        <v>58</v>
      </c>
      <c r="BB15" s="52" t="n">
        <f aca="false">WRAVG!E15</f>
        <v>31.7</v>
      </c>
      <c r="BC15" s="52" t="n">
        <f aca="false">WRAVG!F15</f>
        <v>17.85</v>
      </c>
      <c r="BD15" s="52" t="n">
        <f aca="false">WRAVG!G15</f>
        <v>61.48</v>
      </c>
      <c r="BE15" s="52" t="n">
        <f aca="false">WRAVG!H15</f>
        <v>33.29</v>
      </c>
      <c r="BF15" s="52" t="n">
        <f aca="false">WRAVG!I15</f>
        <v>11.9</v>
      </c>
      <c r="BG15" s="52" t="n">
        <f aca="false">WRAVG!J15</f>
        <v>46.4</v>
      </c>
      <c r="BH15" s="52" t="n">
        <f aca="false">WRAVG!K15</f>
        <v>25.36</v>
      </c>
      <c r="BI15" s="52" t="n">
        <f aca="false">WRAVG!L15</f>
        <v>17.2</v>
      </c>
      <c r="BJ15" s="52" t="n">
        <f aca="false">WRAVG!M15</f>
        <v>58.6</v>
      </c>
      <c r="BK15" s="52" t="n">
        <f aca="false">WRAVG!N15</f>
        <v>32.02</v>
      </c>
      <c r="BL15" s="61" t="n">
        <f aca="false">AIAVG!C15</f>
        <v>60000</v>
      </c>
      <c r="BM15" s="61" t="n">
        <f aca="false">AIAVG!D15</f>
        <v>61200</v>
      </c>
      <c r="BN15" s="61" t="n">
        <f aca="false">AIAVG!E15</f>
        <v>43200</v>
      </c>
      <c r="BO15" s="61" t="n">
        <f aca="false">AIAVG!F15</f>
        <v>60120</v>
      </c>
      <c r="BP15" s="61" t="n">
        <f aca="false">AIRAVG!C15</f>
        <v>34000</v>
      </c>
      <c r="BQ15" s="61" t="n">
        <f aca="false">AIRAVG!D15</f>
        <v>116000</v>
      </c>
      <c r="BR15" s="61" t="n">
        <f aca="false">AIRAVG!E15</f>
        <v>65840</v>
      </c>
      <c r="BS15" s="61" t="n">
        <f aca="false">AIRAVG!F15</f>
        <v>35700</v>
      </c>
      <c r="BT15" s="61" t="n">
        <f aca="false">AIRAVG!G15</f>
        <v>122960</v>
      </c>
      <c r="BU15" s="61" t="n">
        <f aca="false">AIRAVG!H15</f>
        <v>69132</v>
      </c>
      <c r="BV15" s="61" t="n">
        <f aca="false">AIRAVG!I15</f>
        <v>23800</v>
      </c>
      <c r="BW15" s="61" t="n">
        <f aca="false">AIRAVG!J15</f>
        <v>92800</v>
      </c>
      <c r="BX15" s="61" t="n">
        <f aca="false">AIRAVG!K15</f>
        <v>52340</v>
      </c>
      <c r="BY15" s="61" t="n">
        <f aca="false">AIRAVG!L15</f>
        <v>34400</v>
      </c>
      <c r="BZ15" s="61" t="n">
        <f aca="false">AIRAVG!M15</f>
        <v>117200</v>
      </c>
      <c r="CA15" s="61" t="n">
        <f aca="false">AIRAVG!N15</f>
        <v>66100</v>
      </c>
      <c r="CB15" s="3" t="n">
        <f aca="false">AWHW!C15</f>
        <v>41</v>
      </c>
      <c r="CC15" s="3" t="n">
        <f aca="false">AWHW!D15</f>
        <v>41.5</v>
      </c>
      <c r="CD15" s="3" t="n">
        <f aca="false">AWHW!E15</f>
        <v>40</v>
      </c>
      <c r="CE15" s="3" t="n">
        <f aca="false">AWHW!F15</f>
        <v>41.1</v>
      </c>
      <c r="CF15" s="3" t="n">
        <f aca="false">FTER!C15</f>
        <v>0.84</v>
      </c>
      <c r="CG15" s="3" t="n">
        <f aca="false">FTER!D15</f>
        <v>0.85</v>
      </c>
      <c r="CH15" s="3" t="n">
        <f aca="false">FTER!E15</f>
        <v>0.81</v>
      </c>
      <c r="CI15" s="3" t="n">
        <f aca="false">FTER!F15</f>
        <v>0.84</v>
      </c>
      <c r="CJ15" s="3" t="n">
        <f aca="false">PTER!C15</f>
        <v>0.16</v>
      </c>
      <c r="CK15" s="3" t="n">
        <f aca="false">PTER!D15</f>
        <v>0.15</v>
      </c>
      <c r="CL15" s="3" t="n">
        <f aca="false">PTER!E15</f>
        <v>0.19</v>
      </c>
      <c r="CM15" s="3" t="n">
        <f aca="false">PTER!F15</f>
        <v>0.16</v>
      </c>
      <c r="CN15" s="3"/>
      <c r="CO15" s="3"/>
      <c r="CP15" s="3"/>
      <c r="CQ15" s="3"/>
      <c r="CR15" s="3"/>
      <c r="CS15" s="3"/>
      <c r="CT15" s="3"/>
      <c r="CU15" s="3"/>
      <c r="CV15" s="3"/>
      <c r="CW15" s="3"/>
      <c r="CX15" s="3"/>
      <c r="CY15" s="3"/>
      <c r="CZ15" s="3"/>
      <c r="DA15" s="3"/>
      <c r="DB15" s="3"/>
      <c r="DC15" s="3"/>
      <c r="DD15" s="3"/>
      <c r="DE15" s="3"/>
      <c r="DF15" s="3"/>
      <c r="DG15" s="3"/>
      <c r="DH15" s="3"/>
      <c r="DI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row>
    <row r="16" customFormat="false" ht="12.8" hidden="false" customHeight="false" outlineLevel="0" collapsed="false">
      <c r="A16" s="3" t="n">
        <v>12</v>
      </c>
      <c r="B16" s="3" t="n">
        <v>49</v>
      </c>
      <c r="C16" s="3" t="s">
        <v>1575</v>
      </c>
      <c r="D16" s="42" t="n">
        <f aca="false">LFP!C16</f>
        <v>50000</v>
      </c>
      <c r="E16" s="42" t="n">
        <f aca="false">LFP!D16</f>
        <v>1100</v>
      </c>
      <c r="F16" s="42" t="n">
        <f aca="false">LFP!E16</f>
        <v>1800</v>
      </c>
      <c r="G16" s="42" t="n">
        <f aca="false">LFP!F16</f>
        <v>47100</v>
      </c>
      <c r="H16" s="42" t="n">
        <f aca="false">TNPE!C16</f>
        <v>34921</v>
      </c>
      <c r="I16" s="42" t="n">
        <f aca="false">TNPE!D16</f>
        <v>768</v>
      </c>
      <c r="J16" s="42" t="n">
        <f aca="false">TNPE!E16</f>
        <v>1257</v>
      </c>
      <c r="K16" s="42" t="n">
        <f aca="false">TNPE!F16</f>
        <v>32896</v>
      </c>
      <c r="L16" s="39" t="n">
        <f aca="false">EP!C16</f>
        <v>34921</v>
      </c>
      <c r="M16" s="39" t="n">
        <f aca="false">EP!D16</f>
        <v>768</v>
      </c>
      <c r="N16" s="39" t="n">
        <f aca="false">EP!E16</f>
        <v>1257</v>
      </c>
      <c r="O16" s="39" t="n">
        <f aca="false">EP!F16</f>
        <v>32896</v>
      </c>
      <c r="P16" s="39" t="n">
        <f aca="false">U3P!C16</f>
        <v>15079</v>
      </c>
      <c r="Q16" s="39" t="n">
        <f aca="false">U3P!D16</f>
        <v>332</v>
      </c>
      <c r="R16" s="39" t="n">
        <f aca="false">U3P!E16</f>
        <v>543</v>
      </c>
      <c r="S16" s="39" t="n">
        <f aca="false">U3P!F16</f>
        <v>14204</v>
      </c>
      <c r="T16" s="39" t="n">
        <f aca="false">U6P!C16</f>
        <v>28200</v>
      </c>
      <c r="U16" s="39" t="n">
        <f aca="false">U6P!D16</f>
        <v>464</v>
      </c>
      <c r="V16" s="39" t="n">
        <f aca="false">U6P!E16</f>
        <v>1856</v>
      </c>
      <c r="W16" s="39" t="n">
        <f aca="false">U6P!F16</f>
        <v>25880</v>
      </c>
      <c r="X16" s="39" t="n">
        <f aca="false">ETPR!C16</f>
        <v>0.7</v>
      </c>
      <c r="Y16" s="39" t="n">
        <f aca="false">ETPR!D16</f>
        <v>0.67</v>
      </c>
      <c r="Z16" s="39" t="n">
        <f aca="false">ETPR!E16</f>
        <v>0.74</v>
      </c>
      <c r="AA16" s="39" t="n">
        <f aca="false">ETPR!F16</f>
        <v>0.7</v>
      </c>
      <c r="AB16" s="39" t="n">
        <f aca="false">U3TPR!C16</f>
        <v>0.0037</v>
      </c>
      <c r="AC16" s="39" t="n">
        <f aca="false">U3TPR!D16</f>
        <v>0.0031</v>
      </c>
      <c r="AD16" s="39" t="n">
        <f aca="false">U3TPR!E16</f>
        <v>0.0378</v>
      </c>
      <c r="AE16" s="39" t="n">
        <f aca="false">U3TPR!F16</f>
        <v>0.0036</v>
      </c>
      <c r="AF16" s="39" t="n">
        <f aca="false">U6TPR!C16</f>
        <v>0.0081</v>
      </c>
      <c r="AG16" s="39" t="n">
        <f aca="false">U6TPR!D16</f>
        <v>0.0067</v>
      </c>
      <c r="AH16" s="39" t="n">
        <f aca="false">U6TPR!E16</f>
        <v>0.1148</v>
      </c>
      <c r="AI16" s="39" t="n">
        <f aca="false">U6TPR!F16</f>
        <v>0.0079</v>
      </c>
      <c r="AJ16" s="39" t="n">
        <f aca="false">LFPR!C16</f>
        <v>0.56</v>
      </c>
      <c r="AK16" s="39" t="n">
        <f aca="false">LFPR!D16</f>
        <v>0.4</v>
      </c>
      <c r="AL16" s="39" t="n">
        <f aca="false">LFPR!E16</f>
        <v>0.66</v>
      </c>
      <c r="AM16" s="39" t="n">
        <f aca="false">LFPR!F16</f>
        <v>0.56</v>
      </c>
      <c r="AN16" s="39" t="n">
        <f aca="false">U3R!C16</f>
        <v>0.028</v>
      </c>
      <c r="AO16" s="39" t="n">
        <f aca="false">U3R!D16</f>
        <v>0.03</v>
      </c>
      <c r="AP16" s="39" t="n">
        <f aca="false">U3R!E16</f>
        <v>0.04</v>
      </c>
      <c r="AQ16" s="39" t="n">
        <f aca="false">U3R!F16</f>
        <v>0.027</v>
      </c>
      <c r="AR16" s="39" t="n">
        <f aca="false">U6R!C16</f>
        <v>0.055</v>
      </c>
      <c r="AS16" s="39" t="n">
        <f aca="false">U6R!D16</f>
        <v>0.045</v>
      </c>
      <c r="AT16" s="39" t="n">
        <f aca="false">U6R!E16</f>
        <v>0.115</v>
      </c>
      <c r="AU16" s="39" t="n">
        <f aca="false">U6R!F16</f>
        <v>0.053</v>
      </c>
      <c r="AV16" s="39" t="n">
        <f aca="false">WAVG!C16</f>
        <v>25.9</v>
      </c>
      <c r="AW16" s="39" t="n">
        <f aca="false">WAVG!D16</f>
        <v>27.2</v>
      </c>
      <c r="AX16" s="39" t="n">
        <f aca="false">WAVG!E16</f>
        <v>20.72</v>
      </c>
      <c r="AY16" s="39" t="n">
        <f aca="false">WAVG!F16</f>
        <v>26.15</v>
      </c>
      <c r="AZ16" s="52" t="n">
        <f aca="false">WRAVG!C16</f>
        <v>14</v>
      </c>
      <c r="BA16" s="52" t="n">
        <f aca="false">WRAVG!D16</f>
        <v>45</v>
      </c>
      <c r="BB16" s="52" t="n">
        <f aca="false">WRAVG!E16</f>
        <v>25.9</v>
      </c>
      <c r="BC16" s="52" t="n">
        <f aca="false">WRAVG!F16</f>
        <v>14.7</v>
      </c>
      <c r="BD16" s="52" t="n">
        <f aca="false">WRAVG!G16</f>
        <v>47.7</v>
      </c>
      <c r="BE16" s="52" t="n">
        <f aca="false">WRAVG!H16</f>
        <v>27.2</v>
      </c>
      <c r="BF16" s="52" t="n">
        <f aca="false">WRAVG!I16</f>
        <v>9.8</v>
      </c>
      <c r="BG16" s="52" t="n">
        <f aca="false">WRAVG!J16</f>
        <v>36</v>
      </c>
      <c r="BH16" s="52" t="n">
        <f aca="false">WRAVG!K16</f>
        <v>20.72</v>
      </c>
      <c r="BI16" s="52" t="n">
        <f aca="false">WRAVG!L16</f>
        <v>14.14</v>
      </c>
      <c r="BJ16" s="52" t="n">
        <f aca="false">WRAVG!M16</f>
        <v>45.5</v>
      </c>
      <c r="BK16" s="52" t="n">
        <f aca="false">WRAVG!N16</f>
        <v>26.15</v>
      </c>
      <c r="BL16" s="61" t="n">
        <f aca="false">AIAVG!C16</f>
        <v>54600</v>
      </c>
      <c r="BM16" s="61" t="n">
        <f aca="false">AIAVG!D16</f>
        <v>55692</v>
      </c>
      <c r="BN16" s="61" t="n">
        <f aca="false">AIAVG!E16</f>
        <v>39312</v>
      </c>
      <c r="BO16" s="61" t="n">
        <f aca="false">AIAVG!F16</f>
        <v>54781</v>
      </c>
      <c r="BP16" s="61" t="n">
        <f aca="false">AIRAVG!C16</f>
        <v>28000</v>
      </c>
      <c r="BQ16" s="61" t="n">
        <f aca="false">AIRAVG!D16</f>
        <v>90000</v>
      </c>
      <c r="BR16" s="61" t="n">
        <f aca="false">AIRAVG!E16</f>
        <v>52000</v>
      </c>
      <c r="BS16" s="61" t="n">
        <f aca="false">AIRAVG!F16</f>
        <v>29400</v>
      </c>
      <c r="BT16" s="61" t="n">
        <f aca="false">AIRAVG!G16</f>
        <v>95400</v>
      </c>
      <c r="BU16" s="61" t="n">
        <f aca="false">AIRAVG!H16</f>
        <v>54600</v>
      </c>
      <c r="BV16" s="61" t="n">
        <f aca="false">AIRAVG!I16</f>
        <v>19600</v>
      </c>
      <c r="BW16" s="61" t="n">
        <f aca="false">AIRAVG!J16</f>
        <v>72000</v>
      </c>
      <c r="BX16" s="61" t="n">
        <f aca="false">AIRAVG!K16</f>
        <v>41600</v>
      </c>
      <c r="BY16" s="61" t="n">
        <f aca="false">AIRAVG!L16</f>
        <v>28280</v>
      </c>
      <c r="BZ16" s="61" t="n">
        <f aca="false">AIRAVG!M16</f>
        <v>91000</v>
      </c>
      <c r="CA16" s="61" t="n">
        <f aca="false">AIRAVG!N16</f>
        <v>53200</v>
      </c>
      <c r="CB16" s="3" t="n">
        <f aca="false">AWHW!C16</f>
        <v>40.2</v>
      </c>
      <c r="CC16" s="3" t="n">
        <f aca="false">AWHW!D16</f>
        <v>40.8</v>
      </c>
      <c r="CD16" s="3" t="n">
        <f aca="false">AWHW!E16</f>
        <v>39.5</v>
      </c>
      <c r="CE16" s="3" t="n">
        <f aca="false">AWHW!F16</f>
        <v>40.3</v>
      </c>
      <c r="CF16" s="3" t="n">
        <f aca="false">FTER!C16</f>
        <v>0.82</v>
      </c>
      <c r="CG16" s="3" t="n">
        <f aca="false">FTER!D16</f>
        <v>0.83</v>
      </c>
      <c r="CH16" s="3" t="n">
        <f aca="false">FTER!E16</f>
        <v>0.79</v>
      </c>
      <c r="CI16" s="3" t="n">
        <f aca="false">FTER!F16</f>
        <v>0.82</v>
      </c>
      <c r="CJ16" s="3" t="n">
        <f aca="false">PTER!C16</f>
        <v>0.18</v>
      </c>
      <c r="CK16" s="3" t="n">
        <f aca="false">PTER!D16</f>
        <v>0.17</v>
      </c>
      <c r="CL16" s="3" t="n">
        <f aca="false">PTER!E16</f>
        <v>0.21</v>
      </c>
      <c r="CM16" s="3" t="n">
        <f aca="false">PTER!F16</f>
        <v>0.18</v>
      </c>
      <c r="CN16" s="3"/>
      <c r="CO16" s="3"/>
      <c r="CP16" s="3"/>
      <c r="CQ16" s="3"/>
      <c r="CR16" s="3"/>
      <c r="CS16" s="3"/>
      <c r="CT16" s="3"/>
      <c r="CU16" s="3"/>
      <c r="CV16" s="3"/>
      <c r="CW16" s="3"/>
      <c r="CX16" s="3"/>
      <c r="CY16" s="3"/>
      <c r="CZ16" s="3"/>
      <c r="DA16" s="3"/>
      <c r="DB16" s="3"/>
      <c r="DC16" s="3"/>
      <c r="DD16" s="3"/>
      <c r="DE16" s="3"/>
      <c r="DF16" s="3"/>
      <c r="DG16" s="3"/>
      <c r="DH16" s="3"/>
      <c r="DI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row>
    <row r="17" customFormat="false" ht="12.8" hidden="false" customHeight="false" outlineLevel="0" collapsed="false">
      <c r="A17" s="3" t="n">
        <v>13</v>
      </c>
      <c r="B17" s="3" t="n">
        <v>51</v>
      </c>
      <c r="C17" s="3" t="s">
        <v>1576</v>
      </c>
      <c r="D17" s="42" t="n">
        <f aca="false">LFP!C17</f>
        <v>28000</v>
      </c>
      <c r="E17" s="42" t="n">
        <f aca="false">LFP!D17</f>
        <v>616</v>
      </c>
      <c r="F17" s="42" t="n">
        <f aca="false">LFP!E17</f>
        <v>1008</v>
      </c>
      <c r="G17" s="42" t="n">
        <f aca="false">LFP!F17</f>
        <v>26376</v>
      </c>
      <c r="H17" s="42" t="n">
        <f aca="false">TNPE!C17</f>
        <v>20147</v>
      </c>
      <c r="I17" s="42" t="n">
        <f aca="false">TNPE!D17</f>
        <v>443</v>
      </c>
      <c r="J17" s="42" t="n">
        <f aca="false">TNPE!E17</f>
        <v>726</v>
      </c>
      <c r="K17" s="42" t="n">
        <f aca="false">TNPE!F17</f>
        <v>18978</v>
      </c>
      <c r="L17" s="39" t="n">
        <f aca="false">EP!C17</f>
        <v>20147</v>
      </c>
      <c r="M17" s="39" t="n">
        <f aca="false">EP!D17</f>
        <v>443</v>
      </c>
      <c r="N17" s="39" t="n">
        <f aca="false">EP!E17</f>
        <v>726</v>
      </c>
      <c r="O17" s="39" t="n">
        <f aca="false">EP!F17</f>
        <v>18978</v>
      </c>
      <c r="P17" s="39" t="n">
        <f aca="false">U3P!C17</f>
        <v>7853</v>
      </c>
      <c r="Q17" s="39" t="n">
        <f aca="false">U3P!D17</f>
        <v>173</v>
      </c>
      <c r="R17" s="39" t="n">
        <f aca="false">U3P!E17</f>
        <v>282</v>
      </c>
      <c r="S17" s="39" t="n">
        <f aca="false">U3P!F17</f>
        <v>7398</v>
      </c>
      <c r="T17" s="39" t="n">
        <f aca="false">U6P!C17</f>
        <v>14700</v>
      </c>
      <c r="U17" s="39" t="n">
        <f aca="false">U6P!D17</f>
        <v>234</v>
      </c>
      <c r="V17" s="39" t="n">
        <f aca="false">U6P!E17</f>
        <v>998</v>
      </c>
      <c r="W17" s="39" t="n">
        <f aca="false">U6P!F17</f>
        <v>13468</v>
      </c>
      <c r="X17" s="39" t="n">
        <f aca="false">ETPR!C17</f>
        <v>0.72</v>
      </c>
      <c r="Y17" s="39" t="n">
        <f aca="false">ETPR!D17</f>
        <v>0.69</v>
      </c>
      <c r="Z17" s="39" t="n">
        <f aca="false">ETPR!E17</f>
        <v>0.76</v>
      </c>
      <c r="AA17" s="39" t="n">
        <f aca="false">ETPR!F17</f>
        <v>0.72</v>
      </c>
      <c r="AB17" s="39" t="n">
        <f aca="false">U3TPR!C17</f>
        <v>0.0019</v>
      </c>
      <c r="AC17" s="39" t="n">
        <f aca="false">U3TPR!D17</f>
        <v>0.0016</v>
      </c>
      <c r="AD17" s="39" t="n">
        <f aca="false">U3TPR!E17</f>
        <v>0.0305</v>
      </c>
      <c r="AE17" s="39" t="n">
        <f aca="false">U3TPR!F17</f>
        <v>0.0018</v>
      </c>
      <c r="AF17" s="39" t="n">
        <f aca="false">U6TPR!C17</f>
        <v>0.0042</v>
      </c>
      <c r="AG17" s="39" t="n">
        <f aca="false">U6TPR!D17</f>
        <v>0.0035</v>
      </c>
      <c r="AH17" s="39" t="n">
        <f aca="false">U6TPR!E17</f>
        <v>0.0927</v>
      </c>
      <c r="AI17" s="39" t="n">
        <f aca="false">U6TPR!F17</f>
        <v>0.0041</v>
      </c>
      <c r="AJ17" s="39" t="n">
        <f aca="false">LFPR!C17</f>
        <v>0.55</v>
      </c>
      <c r="AK17" s="39" t="n">
        <f aca="false">LFPR!D17</f>
        <v>0.395</v>
      </c>
      <c r="AL17" s="39" t="n">
        <f aca="false">LFPR!E17</f>
        <v>0.64</v>
      </c>
      <c r="AM17" s="39" t="n">
        <f aca="false">LFPR!F17</f>
        <v>0.55</v>
      </c>
      <c r="AN17" s="39" t="n">
        <f aca="false">U3R!C17</f>
        <v>0.028</v>
      </c>
      <c r="AO17" s="39" t="n">
        <f aca="false">U3R!D17</f>
        <v>0.03</v>
      </c>
      <c r="AP17" s="39" t="n">
        <f aca="false">U3R!E17</f>
        <v>0.04</v>
      </c>
      <c r="AQ17" s="39" t="n">
        <f aca="false">U3R!F17</f>
        <v>0.027</v>
      </c>
      <c r="AR17" s="39" t="n">
        <f aca="false">U6R!C17</f>
        <v>0.048</v>
      </c>
      <c r="AS17" s="39" t="n">
        <f aca="false">U6R!D17</f>
        <v>0.039</v>
      </c>
      <c r="AT17" s="39" t="n">
        <f aca="false">U6R!E17</f>
        <v>0.093</v>
      </c>
      <c r="AU17" s="39" t="n">
        <f aca="false">U6R!F17</f>
        <v>0.046</v>
      </c>
      <c r="AV17" s="39" t="n">
        <f aca="false">WAVG!C17</f>
        <v>38.5</v>
      </c>
      <c r="AW17" s="39" t="n">
        <f aca="false">WAVG!D17</f>
        <v>40.43</v>
      </c>
      <c r="AX17" s="39" t="n">
        <f aca="false">WAVG!E17</f>
        <v>32.73</v>
      </c>
      <c r="AY17" s="39" t="n">
        <f aca="false">WAVG!F17</f>
        <v>38.88</v>
      </c>
      <c r="AZ17" s="52" t="n">
        <f aca="false">WRAVG!C17</f>
        <v>20</v>
      </c>
      <c r="BA17" s="52" t="n">
        <f aca="false">WRAVG!D17</f>
        <v>70</v>
      </c>
      <c r="BB17" s="52" t="n">
        <f aca="false">WRAVG!E17</f>
        <v>38.5</v>
      </c>
      <c r="BC17" s="52" t="n">
        <f aca="false">WRAVG!F17</f>
        <v>21</v>
      </c>
      <c r="BD17" s="52" t="n">
        <f aca="false">WRAVG!G17</f>
        <v>74.2</v>
      </c>
      <c r="BE17" s="52" t="n">
        <f aca="false">WRAVG!H17</f>
        <v>40.43</v>
      </c>
      <c r="BF17" s="52" t="n">
        <f aca="false">WRAVG!I17</f>
        <v>14</v>
      </c>
      <c r="BG17" s="52" t="n">
        <f aca="false">WRAVG!J17</f>
        <v>56</v>
      </c>
      <c r="BH17" s="52" t="n">
        <f aca="false">WRAVG!K17</f>
        <v>32.73</v>
      </c>
      <c r="BI17" s="52" t="n">
        <f aca="false">WRAVG!L17</f>
        <v>20.2</v>
      </c>
      <c r="BJ17" s="52" t="n">
        <f aca="false">WRAVG!M17</f>
        <v>70.7</v>
      </c>
      <c r="BK17" s="52" t="n">
        <f aca="false">WRAVG!N17</f>
        <v>38.88</v>
      </c>
      <c r="BL17" s="61" t="n">
        <f aca="false">AIAVG!C17</f>
        <v>83200</v>
      </c>
      <c r="BM17" s="61" t="n">
        <f aca="false">AIAVG!D17</f>
        <v>84864</v>
      </c>
      <c r="BN17" s="61" t="n">
        <f aca="false">AIAVG!E17</f>
        <v>66560</v>
      </c>
      <c r="BO17" s="61" t="n">
        <f aca="false">AIAVG!F17</f>
        <v>83392</v>
      </c>
      <c r="BP17" s="61" t="n">
        <f aca="false">AIRAVG!C17</f>
        <v>40000</v>
      </c>
      <c r="BQ17" s="61" t="n">
        <f aca="false">AIRAVG!D17</f>
        <v>140000</v>
      </c>
      <c r="BR17" s="61" t="n">
        <f aca="false">AIRAVG!E17</f>
        <v>80000</v>
      </c>
      <c r="BS17" s="61" t="n">
        <f aca="false">AIRAVG!F17</f>
        <v>42000</v>
      </c>
      <c r="BT17" s="61" t="n">
        <f aca="false">AIRAVG!G17</f>
        <v>148000</v>
      </c>
      <c r="BU17" s="61" t="n">
        <f aca="false">AIRAVG!H17</f>
        <v>84000</v>
      </c>
      <c r="BV17" s="61" t="n">
        <f aca="false">AIRAVG!I17</f>
        <v>28000</v>
      </c>
      <c r="BW17" s="61" t="n">
        <f aca="false">AIRAVG!J17</f>
        <v>112000</v>
      </c>
      <c r="BX17" s="61" t="n">
        <f aca="false">AIRAVG!K17</f>
        <v>64000</v>
      </c>
      <c r="BY17" s="61" t="n">
        <f aca="false">AIRAVG!L17</f>
        <v>40400</v>
      </c>
      <c r="BZ17" s="61" t="n">
        <f aca="false">AIRAVG!M17</f>
        <v>141400</v>
      </c>
      <c r="CA17" s="61" t="n">
        <f aca="false">AIRAVG!N17</f>
        <v>80600</v>
      </c>
      <c r="CB17" s="3" t="n">
        <f aca="false">AWHW!C17</f>
        <v>38.5</v>
      </c>
      <c r="CC17" s="3" t="n">
        <f aca="false">AWHW!D17</f>
        <v>39</v>
      </c>
      <c r="CD17" s="3" t="n">
        <f aca="false">AWHW!E17</f>
        <v>37</v>
      </c>
      <c r="CE17" s="3" t="n">
        <f aca="false">AWHW!F17</f>
        <v>38.6</v>
      </c>
      <c r="CF17" s="3" t="n">
        <f aca="false">FTER!C17</f>
        <v>0.83</v>
      </c>
      <c r="CG17" s="3" t="n">
        <f aca="false">FTER!D17</f>
        <v>0.85</v>
      </c>
      <c r="CH17" s="3" t="n">
        <f aca="false">FTER!E17</f>
        <v>0.79</v>
      </c>
      <c r="CI17" s="3" t="n">
        <f aca="false">FTER!F17</f>
        <v>0.83</v>
      </c>
      <c r="CJ17" s="3" t="n">
        <f aca="false">PTER!C17</f>
        <v>0.17</v>
      </c>
      <c r="CK17" s="3" t="n">
        <f aca="false">PTER!D17</f>
        <v>0.15</v>
      </c>
      <c r="CL17" s="3" t="n">
        <f aca="false">PTER!E17</f>
        <v>0.21</v>
      </c>
      <c r="CM17" s="3" t="n">
        <f aca="false">PTER!F17</f>
        <v>0.17</v>
      </c>
      <c r="CN17" s="3"/>
      <c r="CO17" s="3"/>
      <c r="CP17" s="3"/>
      <c r="CQ17" s="3"/>
      <c r="CR17" s="3"/>
      <c r="CS17" s="3"/>
      <c r="CT17" s="3"/>
      <c r="CU17" s="3"/>
      <c r="CV17" s="3"/>
      <c r="CW17" s="3"/>
      <c r="CX17" s="3"/>
      <c r="CY17" s="3"/>
      <c r="CZ17" s="3"/>
      <c r="DA17" s="3"/>
      <c r="DB17" s="3"/>
      <c r="DC17" s="3"/>
      <c r="DD17" s="3"/>
      <c r="DE17" s="3"/>
      <c r="DF17" s="3"/>
      <c r="DG17" s="3"/>
      <c r="DH17" s="3"/>
      <c r="DI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row>
    <row r="18" customFormat="false" ht="12.8" hidden="false" customHeight="false" outlineLevel="0" collapsed="false">
      <c r="A18" s="50" t="n">
        <v>14</v>
      </c>
      <c r="B18" s="39" t="n">
        <v>52</v>
      </c>
      <c r="C18" s="39" t="s">
        <v>1577</v>
      </c>
      <c r="D18" s="42" t="n">
        <f aca="false">LFP!C18</f>
        <v>60800</v>
      </c>
      <c r="E18" s="42" t="n">
        <f aca="false">LFP!D18</f>
        <v>1338</v>
      </c>
      <c r="F18" s="42" t="n">
        <f aca="false">LFP!E18</f>
        <v>2190</v>
      </c>
      <c r="G18" s="42" t="n">
        <f aca="false">LFP!F18</f>
        <v>57272</v>
      </c>
      <c r="H18" s="42" t="n">
        <f aca="false">TNPE!C18</f>
        <v>48352</v>
      </c>
      <c r="I18" s="42" t="n">
        <f aca="false">TNPE!D18</f>
        <v>1064</v>
      </c>
      <c r="J18" s="42" t="n">
        <f aca="false">TNPE!E18</f>
        <v>1741</v>
      </c>
      <c r="K18" s="42" t="n">
        <f aca="false">TNPE!F18</f>
        <v>45547</v>
      </c>
      <c r="L18" s="39" t="n">
        <f aca="false">EP!C18</f>
        <v>48352</v>
      </c>
      <c r="M18" s="39" t="n">
        <f aca="false">EP!D18</f>
        <v>1064</v>
      </c>
      <c r="N18" s="39" t="n">
        <f aca="false">EP!E18</f>
        <v>1741</v>
      </c>
      <c r="O18" s="39" t="n">
        <f aca="false">EP!F18</f>
        <v>45547</v>
      </c>
      <c r="P18" s="39" t="n">
        <f aca="false">U3P!C18</f>
        <v>12448</v>
      </c>
      <c r="Q18" s="39" t="n">
        <f aca="false">U3P!D18</f>
        <v>274</v>
      </c>
      <c r="R18" s="39" t="n">
        <f aca="false">U3P!E18</f>
        <v>449</v>
      </c>
      <c r="S18" s="39" t="n">
        <f aca="false">U3P!F18</f>
        <v>11725</v>
      </c>
      <c r="T18" s="39" t="n">
        <f aca="false">U6P!C18</f>
        <v>23300</v>
      </c>
      <c r="U18" s="39" t="n">
        <f aca="false">U6P!D18</f>
        <v>0</v>
      </c>
      <c r="V18" s="39" t="n">
        <f aca="false">U6P!E18</f>
        <v>0</v>
      </c>
      <c r="W18" s="39" t="n">
        <f aca="false">U6P!F18</f>
        <v>23300</v>
      </c>
      <c r="X18" s="39" t="n">
        <f aca="false">ETPR!C18</f>
        <v>0.8</v>
      </c>
      <c r="Y18" s="39" t="n">
        <f aca="false">ETPR!D18</f>
        <v>0.77</v>
      </c>
      <c r="Z18" s="39" t="n">
        <f aca="false">ETPR!E18</f>
        <v>0.84</v>
      </c>
      <c r="AA18" s="39" t="n">
        <f aca="false">ETPR!F18</f>
        <v>0.8</v>
      </c>
      <c r="AB18" s="39" t="n">
        <f aca="false">U3TPR!C18</f>
        <v>0.003</v>
      </c>
      <c r="AC18" s="39" t="n">
        <f aca="false">U3TPR!D18</f>
        <v>0.0025</v>
      </c>
      <c r="AD18" s="39" t="n">
        <f aca="false">U3TPR!E18</f>
        <v>0.0289</v>
      </c>
      <c r="AE18" s="39" t="n">
        <f aca="false">U3TPR!F18</f>
        <v>0.0029</v>
      </c>
      <c r="AF18" s="39" t="n">
        <f aca="false">U6TPR!C18</f>
        <v>0.0067</v>
      </c>
      <c r="AG18" s="39" t="n">
        <f aca="false">U6TPR!D18</f>
        <v>0.0055</v>
      </c>
      <c r="AH18" s="39" t="n">
        <f aca="false">U6TPR!E18</f>
        <v>0.0879</v>
      </c>
      <c r="AI18" s="39" t="n">
        <f aca="false">U6TPR!F18</f>
        <v>0.0065</v>
      </c>
      <c r="AJ18" s="39" t="n">
        <f aca="false">LFPR!C18</f>
        <v>0.59</v>
      </c>
      <c r="AK18" s="39" t="n">
        <f aca="false">LFPR!D18</f>
        <v>0.42</v>
      </c>
      <c r="AL18" s="39" t="n">
        <f aca="false">LFPR!E18</f>
        <v>0.69</v>
      </c>
      <c r="AM18" s="39" t="n">
        <f aca="false">LFPR!F18</f>
        <v>0.59</v>
      </c>
      <c r="AN18" s="39" t="n">
        <f aca="false">U3R!C18</f>
        <v>0.018</v>
      </c>
      <c r="AO18" s="39" t="n">
        <f aca="false">U3R!D18</f>
        <v>0.019</v>
      </c>
      <c r="AP18" s="39" t="n">
        <f aca="false">U3R!E18</f>
        <v>0.022</v>
      </c>
      <c r="AQ18" s="39" t="n">
        <f aca="false">U3R!F18</f>
        <v>0.018</v>
      </c>
      <c r="AR18" s="39" t="n">
        <f aca="false">U6R!C18</f>
        <v>0.038</v>
      </c>
      <c r="AS18" s="39" t="n">
        <f aca="false">U6R!D18</f>
        <v>0.031</v>
      </c>
      <c r="AT18" s="39" t="n">
        <f aca="false">U6R!E18</f>
        <v>0.088</v>
      </c>
      <c r="AU18" s="39" t="n">
        <f aca="false">U6R!F18</f>
        <v>0.036</v>
      </c>
      <c r="AV18" s="39" t="n">
        <f aca="false">WAVG!C18</f>
        <v>40.1</v>
      </c>
      <c r="AW18" s="39" t="n">
        <f aca="false">WAVG!D18</f>
        <v>42.11</v>
      </c>
      <c r="AX18" s="39" t="n">
        <f aca="false">WAVG!E18</f>
        <v>34.09</v>
      </c>
      <c r="AY18" s="39" t="n">
        <f aca="false">WAVG!F18</f>
        <v>40.5</v>
      </c>
      <c r="AZ18" s="52" t="n">
        <f aca="false">WRAVG!C18</f>
        <v>22</v>
      </c>
      <c r="BA18" s="52" t="n">
        <f aca="false">WRAVG!D18</f>
        <v>75</v>
      </c>
      <c r="BB18" s="52" t="n">
        <f aca="false">WRAVG!E18</f>
        <v>40.1</v>
      </c>
      <c r="BC18" s="52" t="n">
        <f aca="false">WRAVG!F18</f>
        <v>23.1</v>
      </c>
      <c r="BD18" s="52" t="n">
        <f aca="false">WRAVG!G18</f>
        <v>79.5</v>
      </c>
      <c r="BE18" s="52" t="n">
        <f aca="false">WRAVG!H18</f>
        <v>42.11</v>
      </c>
      <c r="BF18" s="52" t="n">
        <f aca="false">WRAVG!I18</f>
        <v>15.4</v>
      </c>
      <c r="BG18" s="52" t="n">
        <f aca="false">WRAVG!J18</f>
        <v>60</v>
      </c>
      <c r="BH18" s="52" t="n">
        <f aca="false">WRAVG!K18</f>
        <v>34.09</v>
      </c>
      <c r="BI18" s="52" t="n">
        <f aca="false">WRAVG!L18</f>
        <v>22.2</v>
      </c>
      <c r="BJ18" s="52" t="n">
        <f aca="false">WRAVG!M18</f>
        <v>75.8</v>
      </c>
      <c r="BK18" s="52" t="n">
        <f aca="false">WRAVG!N18</f>
        <v>40.5</v>
      </c>
      <c r="BL18" s="61" t="n">
        <f aca="false">AIAVG!C18</f>
        <v>114400</v>
      </c>
      <c r="BM18" s="61" t="n">
        <f aca="false">AIAVG!D18</f>
        <v>115544</v>
      </c>
      <c r="BN18" s="61" t="n">
        <f aca="false">AIAVG!E18</f>
        <v>97240</v>
      </c>
      <c r="BO18" s="61" t="n">
        <f aca="false">AIAVG!F18</f>
        <v>114644</v>
      </c>
      <c r="BP18" s="61" t="n">
        <f aca="false">AIRAVG!C18</f>
        <v>44000</v>
      </c>
      <c r="BQ18" s="61" t="n">
        <f aca="false">AIRAVG!D18</f>
        <v>150000</v>
      </c>
      <c r="BR18" s="61" t="n">
        <f aca="false">AIRAVG!E18</f>
        <v>83200</v>
      </c>
      <c r="BS18" s="61" t="n">
        <f aca="false">AIRAVG!F18</f>
        <v>46200</v>
      </c>
      <c r="BT18" s="61" t="n">
        <f aca="false">AIRAVG!G18</f>
        <v>159000</v>
      </c>
      <c r="BU18" s="61" t="n">
        <f aca="false">AIRAVG!H18</f>
        <v>87360</v>
      </c>
      <c r="BV18" s="61" t="n">
        <f aca="false">AIRAVG!I18</f>
        <v>30800</v>
      </c>
      <c r="BW18" s="61" t="n">
        <f aca="false">AIRAVG!J18</f>
        <v>120000</v>
      </c>
      <c r="BX18" s="61" t="n">
        <f aca="false">AIRAVG!K18</f>
        <v>66560</v>
      </c>
      <c r="BY18" s="61" t="n">
        <f aca="false">AIRAVG!L18</f>
        <v>44400</v>
      </c>
      <c r="BZ18" s="61" t="n">
        <f aca="false">AIRAVG!M18</f>
        <v>151600</v>
      </c>
      <c r="CA18" s="61" t="n">
        <f aca="false">AIRAVG!N18</f>
        <v>84000</v>
      </c>
      <c r="CB18" s="3" t="n">
        <f aca="false">AWHW!C18</f>
        <v>39</v>
      </c>
      <c r="CC18" s="3" t="n">
        <f aca="false">AWHW!D18</f>
        <v>39.5</v>
      </c>
      <c r="CD18" s="3" t="n">
        <f aca="false">AWHW!E18</f>
        <v>37.5</v>
      </c>
      <c r="CE18" s="3" t="n">
        <f aca="false">AWHW!F18</f>
        <v>39.1</v>
      </c>
      <c r="CF18" s="3" t="n">
        <f aca="false">FTER!C18</f>
        <v>0.85</v>
      </c>
      <c r="CG18" s="3" t="n">
        <f aca="false">FTER!D18</f>
        <v>0.87</v>
      </c>
      <c r="CH18" s="3" t="n">
        <f aca="false">FTER!E18</f>
        <v>0.81</v>
      </c>
      <c r="CI18" s="3" t="n">
        <f aca="false">FTER!F18</f>
        <v>0.85</v>
      </c>
      <c r="CJ18" s="3" t="n">
        <f aca="false">PTER!C18</f>
        <v>0.15</v>
      </c>
      <c r="CK18" s="3" t="n">
        <f aca="false">PTER!D18</f>
        <v>0.13</v>
      </c>
      <c r="CL18" s="3" t="n">
        <f aca="false">PTER!E18</f>
        <v>0.19</v>
      </c>
      <c r="CM18" s="3" t="n">
        <f aca="false">PTER!F18</f>
        <v>0.15</v>
      </c>
      <c r="CN18" s="3"/>
      <c r="CO18" s="3"/>
      <c r="CP18" s="3"/>
      <c r="CQ18" s="3"/>
      <c r="CR18" s="3"/>
      <c r="CS18" s="3"/>
      <c r="CT18" s="3"/>
      <c r="CU18" s="3"/>
      <c r="CV18" s="3"/>
      <c r="CW18" s="3"/>
      <c r="CX18" s="3"/>
      <c r="CY18" s="3"/>
      <c r="CZ18" s="3"/>
      <c r="DA18" s="3"/>
      <c r="DB18" s="3"/>
      <c r="DC18" s="3"/>
      <c r="DD18" s="3"/>
      <c r="DE18" s="3"/>
      <c r="DJ18" s="39"/>
      <c r="DK18" s="3"/>
      <c r="DL18" s="3"/>
      <c r="DM18" s="3"/>
      <c r="DN18" s="3"/>
      <c r="DZ18" s="3"/>
      <c r="EA18" s="3"/>
      <c r="EB18" s="3"/>
      <c r="EC18" s="3"/>
      <c r="ED18" s="3"/>
      <c r="EE18" s="3"/>
      <c r="EF18" s="3"/>
      <c r="EG18" s="3"/>
      <c r="EH18" s="3"/>
      <c r="EI18" s="3"/>
      <c r="EJ18" s="3"/>
      <c r="EK18" s="3"/>
    </row>
    <row r="19" customFormat="false" ht="23.85" hidden="false" customHeight="false" outlineLevel="0" collapsed="false">
      <c r="A19" s="50" t="n">
        <v>15</v>
      </c>
      <c r="B19" s="39" t="n">
        <v>53</v>
      </c>
      <c r="C19" s="40" t="s">
        <v>1578</v>
      </c>
      <c r="D19" s="42" t="n">
        <f aca="false">LFP!C19</f>
        <v>30400</v>
      </c>
      <c r="E19" s="42" t="n">
        <f aca="false">LFP!D19</f>
        <v>669</v>
      </c>
      <c r="F19" s="42" t="n">
        <f aca="false">LFP!E19</f>
        <v>1094</v>
      </c>
      <c r="G19" s="42" t="n">
        <f aca="false">LFP!F19</f>
        <v>28637</v>
      </c>
      <c r="H19" s="42" t="n">
        <f aca="false">TNPE!C19</f>
        <v>24176</v>
      </c>
      <c r="I19" s="42" t="n">
        <f aca="false">TNPE!D19</f>
        <v>532</v>
      </c>
      <c r="J19" s="42" t="n">
        <f aca="false">TNPE!E19</f>
        <v>870</v>
      </c>
      <c r="K19" s="42" t="n">
        <f aca="false">TNPE!F19</f>
        <v>22774</v>
      </c>
      <c r="L19" s="39" t="n">
        <f aca="false">EP!C19</f>
        <v>24176</v>
      </c>
      <c r="M19" s="39" t="n">
        <f aca="false">EP!D19</f>
        <v>532</v>
      </c>
      <c r="N19" s="39" t="n">
        <f aca="false">EP!E19</f>
        <v>870</v>
      </c>
      <c r="O19" s="39" t="n">
        <f aca="false">EP!F19</f>
        <v>22774</v>
      </c>
      <c r="P19" s="39" t="n">
        <f aca="false">U3P!C19</f>
        <v>6238</v>
      </c>
      <c r="Q19" s="39" t="n">
        <f aca="false">U3P!D19</f>
        <v>137</v>
      </c>
      <c r="R19" s="39" t="n">
        <f aca="false">U3P!E19</f>
        <v>224</v>
      </c>
      <c r="S19" s="39" t="n">
        <f aca="false">U3P!F19</f>
        <v>5877</v>
      </c>
      <c r="T19" s="39" t="n">
        <f aca="false">U6P!C19</f>
        <v>11700</v>
      </c>
      <c r="U19" s="39" t="n">
        <f aca="false">U6P!D19</f>
        <v>56</v>
      </c>
      <c r="V19" s="39" t="n">
        <f aca="false">U6P!E19</f>
        <v>0</v>
      </c>
      <c r="W19" s="39" t="n">
        <f aca="false">U6P!F19</f>
        <v>11644</v>
      </c>
      <c r="X19" s="39" t="n">
        <f aca="false">ETPR!C19</f>
        <v>0.8</v>
      </c>
      <c r="Y19" s="39" t="n">
        <f aca="false">ETPR!D19</f>
        <v>0.77</v>
      </c>
      <c r="Z19" s="39" t="n">
        <f aca="false">ETPR!E19</f>
        <v>0.84</v>
      </c>
      <c r="AA19" s="39" t="n">
        <f aca="false">ETPR!F19</f>
        <v>0.8</v>
      </c>
      <c r="AB19" s="39" t="n">
        <f aca="false">U3TPR!C19</f>
        <v>0.0015</v>
      </c>
      <c r="AC19" s="39" t="n">
        <f aca="false">U3TPR!D19</f>
        <v>0.0013</v>
      </c>
      <c r="AD19" s="39" t="n">
        <f aca="false">U3TPR!E19</f>
        <v>0.0267</v>
      </c>
      <c r="AE19" s="39" t="n">
        <f aca="false">U3TPR!F19</f>
        <v>0.0015</v>
      </c>
      <c r="AF19" s="39" t="n">
        <f aca="false">U6TPR!C19</f>
        <v>0.0034</v>
      </c>
      <c r="AG19" s="39" t="n">
        <f aca="false">U6TPR!D19</f>
        <v>0.0028</v>
      </c>
      <c r="AH19" s="39" t="n">
        <f aca="false">U6TPR!E19</f>
        <v>0.0812</v>
      </c>
      <c r="AI19" s="39" t="n">
        <f aca="false">U6TPR!F19</f>
        <v>0.0033</v>
      </c>
      <c r="AJ19" s="39" t="n">
        <f aca="false">LFPR!C19</f>
        <v>0.58</v>
      </c>
      <c r="AK19" s="39" t="n">
        <f aca="false">LFPR!D19</f>
        <v>0.415</v>
      </c>
      <c r="AL19" s="39" t="n">
        <f aca="false">LFPR!E19</f>
        <v>0.68</v>
      </c>
      <c r="AM19" s="39" t="n">
        <f aca="false">LFPR!F19</f>
        <v>0.58</v>
      </c>
      <c r="AN19" s="39" t="n">
        <f aca="false">U3R!C19</f>
        <v>0.018</v>
      </c>
      <c r="AO19" s="39" t="n">
        <f aca="false">U3R!D19</f>
        <v>0.019</v>
      </c>
      <c r="AP19" s="39" t="n">
        <f aca="false">U3R!E19</f>
        <v>0.022</v>
      </c>
      <c r="AQ19" s="39" t="n">
        <f aca="false">U3R!F19</f>
        <v>0.018</v>
      </c>
      <c r="AR19" s="39" t="n">
        <f aca="false">U6R!C19</f>
        <v>0.038</v>
      </c>
      <c r="AS19" s="39" t="n">
        <f aca="false">U6R!D19</f>
        <v>0.031</v>
      </c>
      <c r="AT19" s="39" t="n">
        <f aca="false">U6R!E19</f>
        <v>0.081</v>
      </c>
      <c r="AU19" s="39" t="n">
        <f aca="false">U6R!F19</f>
        <v>0.036</v>
      </c>
      <c r="AV19" s="39" t="n">
        <f aca="false">WAVG!C19</f>
        <v>32.4</v>
      </c>
      <c r="AW19" s="39" t="n">
        <f aca="false">WAVG!D19</f>
        <v>34.02</v>
      </c>
      <c r="AX19" s="39" t="n">
        <f aca="false">WAVG!E19</f>
        <v>27.54</v>
      </c>
      <c r="AY19" s="39" t="n">
        <f aca="false">WAVG!F19</f>
        <v>32.73</v>
      </c>
      <c r="AZ19" s="52" t="n">
        <f aca="false">WRAVG!C19</f>
        <v>17.5</v>
      </c>
      <c r="BA19" s="52" t="n">
        <f aca="false">WRAVG!D19</f>
        <v>60</v>
      </c>
      <c r="BB19" s="52" t="n">
        <f aca="false">WRAVG!E19</f>
        <v>32.4</v>
      </c>
      <c r="BC19" s="52" t="n">
        <f aca="false">WRAVG!F19</f>
        <v>18.38</v>
      </c>
      <c r="BD19" s="52" t="n">
        <f aca="false">WRAVG!G19</f>
        <v>63.6</v>
      </c>
      <c r="BE19" s="52" t="n">
        <f aca="false">WRAVG!H19</f>
        <v>34.02</v>
      </c>
      <c r="BF19" s="52" t="n">
        <f aca="false">WRAVG!I19</f>
        <v>12.25</v>
      </c>
      <c r="BG19" s="52" t="n">
        <f aca="false">WRAVG!J19</f>
        <v>48</v>
      </c>
      <c r="BH19" s="52" t="n">
        <f aca="false">WRAVG!K19</f>
        <v>27.54</v>
      </c>
      <c r="BI19" s="52" t="n">
        <f aca="false">WRAVG!L19</f>
        <v>17.7</v>
      </c>
      <c r="BJ19" s="52" t="n">
        <f aca="false">WRAVG!M19</f>
        <v>60.6</v>
      </c>
      <c r="BK19" s="52" t="n">
        <f aca="false">WRAVG!N19</f>
        <v>32.73</v>
      </c>
      <c r="BL19" s="61" t="n">
        <f aca="false">AIAVG!C19</f>
        <v>64000</v>
      </c>
      <c r="BM19" s="61" t="n">
        <f aca="false">AIAVG!D19</f>
        <v>65280</v>
      </c>
      <c r="BN19" s="61" t="n">
        <f aca="false">AIAVG!E19</f>
        <v>49920</v>
      </c>
      <c r="BO19" s="61" t="n">
        <f aca="false">AIAVG!F19</f>
        <v>64128</v>
      </c>
      <c r="BP19" s="61" t="n">
        <f aca="false">AIRAVG!C19</f>
        <v>35000</v>
      </c>
      <c r="BQ19" s="61" t="n">
        <f aca="false">AIRAVG!D19</f>
        <v>120000</v>
      </c>
      <c r="BR19" s="61" t="n">
        <f aca="false">AIRAVG!E19</f>
        <v>67200</v>
      </c>
      <c r="BS19" s="61" t="n">
        <f aca="false">AIRAVG!F19</f>
        <v>36750</v>
      </c>
      <c r="BT19" s="61" t="n">
        <f aca="false">AIRAVG!G19</f>
        <v>127200</v>
      </c>
      <c r="BU19" s="61" t="n">
        <f aca="false">AIRAVG!H19</f>
        <v>70560</v>
      </c>
      <c r="BV19" s="61" t="n">
        <f aca="false">AIRAVG!I19</f>
        <v>24500</v>
      </c>
      <c r="BW19" s="61" t="n">
        <f aca="false">AIRAVG!J19</f>
        <v>96000</v>
      </c>
      <c r="BX19" s="61" t="n">
        <f aca="false">AIRAVG!K19</f>
        <v>53760</v>
      </c>
      <c r="BY19" s="61" t="n">
        <f aca="false">AIRAVG!L19</f>
        <v>35400</v>
      </c>
      <c r="BZ19" s="61" t="n">
        <f aca="false">AIRAVG!M19</f>
        <v>121200</v>
      </c>
      <c r="CA19" s="61" t="n">
        <f aca="false">AIRAVG!N19</f>
        <v>67400</v>
      </c>
      <c r="CB19" s="3" t="n">
        <f aca="false">AWHW!C19</f>
        <v>38</v>
      </c>
      <c r="CC19" s="3" t="n">
        <f aca="false">AWHW!D19</f>
        <v>38.8</v>
      </c>
      <c r="CD19" s="3" t="n">
        <f aca="false">AWHW!E19</f>
        <v>36.5</v>
      </c>
      <c r="CE19" s="3" t="n">
        <f aca="false">AWHW!F19</f>
        <v>38.2</v>
      </c>
      <c r="CF19" s="3" t="n">
        <f aca="false">FTER!C19</f>
        <v>0.82</v>
      </c>
      <c r="CG19" s="3" t="n">
        <f aca="false">FTER!D19</f>
        <v>0.84</v>
      </c>
      <c r="CH19" s="3" t="n">
        <f aca="false">FTER!E19</f>
        <v>0.78</v>
      </c>
      <c r="CI19" s="3" t="n">
        <f aca="false">FTER!F19</f>
        <v>0.82</v>
      </c>
      <c r="CJ19" s="3" t="n">
        <f aca="false">PTER!C19</f>
        <v>0.18</v>
      </c>
      <c r="CK19" s="3" t="n">
        <f aca="false">PTER!D19</f>
        <v>0.16</v>
      </c>
      <c r="CL19" s="3" t="n">
        <f aca="false">PTER!E19</f>
        <v>0.22</v>
      </c>
      <c r="CM19" s="3" t="n">
        <f aca="false">PTER!F19</f>
        <v>0.18</v>
      </c>
      <c r="CN19" s="3"/>
      <c r="CO19" s="3"/>
      <c r="CP19" s="3"/>
      <c r="CQ19" s="3"/>
      <c r="CR19" s="3"/>
      <c r="CS19" s="3"/>
      <c r="CT19" s="3"/>
      <c r="CU19" s="3"/>
      <c r="CV19" s="3"/>
      <c r="CW19" s="3"/>
      <c r="CX19" s="3"/>
      <c r="CY19" s="3"/>
      <c r="CZ19" s="3"/>
      <c r="DA19" s="3"/>
      <c r="DB19" s="3"/>
      <c r="DC19" s="3"/>
      <c r="DD19" s="3"/>
      <c r="DE19" s="3"/>
      <c r="DJ19" s="39"/>
      <c r="DK19" s="3"/>
      <c r="DL19" s="3"/>
      <c r="DM19" s="3"/>
      <c r="DN19" s="3"/>
      <c r="DZ19" s="3"/>
      <c r="EA19" s="3"/>
      <c r="EB19" s="3"/>
      <c r="EC19" s="3"/>
      <c r="ED19" s="3"/>
      <c r="EE19" s="3"/>
      <c r="EF19" s="3"/>
      <c r="EG19" s="3"/>
      <c r="EH19" s="3"/>
      <c r="EI19" s="3"/>
      <c r="EJ19" s="3"/>
      <c r="EK19" s="3"/>
    </row>
    <row r="20" customFormat="false" ht="23.85" hidden="false" customHeight="false" outlineLevel="0" collapsed="false">
      <c r="A20" s="50" t="n">
        <v>16</v>
      </c>
      <c r="B20" s="39" t="n">
        <v>54</v>
      </c>
      <c r="C20" s="40" t="s">
        <v>1579</v>
      </c>
      <c r="D20" s="42" t="n">
        <f aca="false">LFP!C20</f>
        <v>91200</v>
      </c>
      <c r="E20" s="42" t="n">
        <f aca="false">LFP!D20</f>
        <v>2006</v>
      </c>
      <c r="F20" s="42" t="n">
        <f aca="false">LFP!E20</f>
        <v>3283</v>
      </c>
      <c r="G20" s="42" t="n">
        <f aca="false">LFP!F20</f>
        <v>85911</v>
      </c>
      <c r="H20" s="42" t="n">
        <f aca="false">TNPE!C20</f>
        <v>72527</v>
      </c>
      <c r="I20" s="42" t="n">
        <f aca="false">TNPE!D20</f>
        <v>1596</v>
      </c>
      <c r="J20" s="42" t="n">
        <f aca="false">TNPE!E20</f>
        <v>2611</v>
      </c>
      <c r="K20" s="42" t="n">
        <f aca="false">TNPE!F20</f>
        <v>68320</v>
      </c>
      <c r="L20" s="39" t="n">
        <f aca="false">EP!C20</f>
        <v>72527</v>
      </c>
      <c r="M20" s="39" t="n">
        <f aca="false">EP!D20</f>
        <v>1596</v>
      </c>
      <c r="N20" s="39" t="n">
        <f aca="false">EP!E20</f>
        <v>2611</v>
      </c>
      <c r="O20" s="39" t="n">
        <f aca="false">EP!F20</f>
        <v>68320</v>
      </c>
      <c r="P20" s="39" t="n">
        <f aca="false">U3P!C20</f>
        <v>18673</v>
      </c>
      <c r="Q20" s="39" t="n">
        <f aca="false">U3P!D20</f>
        <v>410</v>
      </c>
      <c r="R20" s="39" t="n">
        <f aca="false">U3P!E20</f>
        <v>672</v>
      </c>
      <c r="S20" s="39" t="n">
        <f aca="false">U3P!F20</f>
        <v>17591</v>
      </c>
      <c r="T20" s="39" t="n">
        <f aca="false">U6P!C20</f>
        <v>35000</v>
      </c>
      <c r="U20" s="39" t="n">
        <f aca="false">U6P!D20</f>
        <v>0</v>
      </c>
      <c r="V20" s="39" t="n">
        <f aca="false">U6P!E20</f>
        <v>0</v>
      </c>
      <c r="W20" s="39" t="n">
        <f aca="false">U6P!F20</f>
        <v>35000</v>
      </c>
      <c r="X20" s="39" t="n">
        <f aca="false">ETPR!C20</f>
        <v>0.8</v>
      </c>
      <c r="Y20" s="39" t="n">
        <f aca="false">ETPR!D20</f>
        <v>0.77</v>
      </c>
      <c r="Z20" s="39" t="n">
        <f aca="false">ETPR!E20</f>
        <v>0.84</v>
      </c>
      <c r="AA20" s="39" t="n">
        <f aca="false">ETPR!F20</f>
        <v>0.8</v>
      </c>
      <c r="AB20" s="39" t="n">
        <f aca="false">U3TPR!C20</f>
        <v>0.0045</v>
      </c>
      <c r="AC20" s="39" t="n">
        <f aca="false">U3TPR!D20</f>
        <v>0.0037</v>
      </c>
      <c r="AD20" s="39" t="n">
        <f aca="false">U3TPR!E20</f>
        <v>0.0324</v>
      </c>
      <c r="AE20" s="39" t="n">
        <f aca="false">U3TPR!F20</f>
        <v>0.0044</v>
      </c>
      <c r="AF20" s="39" t="n">
        <f aca="false">U6TPR!C20</f>
        <v>0.0101</v>
      </c>
      <c r="AG20" s="39" t="n">
        <f aca="false">U6TPR!D20</f>
        <v>0.0083</v>
      </c>
      <c r="AH20" s="39" t="n">
        <f aca="false">U6TPR!E20</f>
        <v>0.0983</v>
      </c>
      <c r="AI20" s="39" t="n">
        <f aca="false">U6TPR!F20</f>
        <v>0.0098</v>
      </c>
      <c r="AJ20" s="39" t="n">
        <f aca="false">LFPR!C20</f>
        <v>0.6</v>
      </c>
      <c r="AK20" s="39" t="n">
        <f aca="false">LFPR!D20</f>
        <v>0.43</v>
      </c>
      <c r="AL20" s="39" t="n">
        <f aca="false">LFPR!E20</f>
        <v>0.7</v>
      </c>
      <c r="AM20" s="39" t="n">
        <f aca="false">LFPR!F20</f>
        <v>0.6</v>
      </c>
      <c r="AN20" s="39" t="n">
        <f aca="false">U3R!C20</f>
        <v>0.018</v>
      </c>
      <c r="AO20" s="39" t="n">
        <f aca="false">U3R!D20</f>
        <v>0.019</v>
      </c>
      <c r="AP20" s="39" t="n">
        <f aca="false">U3R!E20</f>
        <v>0.022</v>
      </c>
      <c r="AQ20" s="39" t="n">
        <f aca="false">U3R!F20</f>
        <v>0.018</v>
      </c>
      <c r="AR20" s="39" t="n">
        <f aca="false">U6R!C20</f>
        <v>0.045</v>
      </c>
      <c r="AS20" s="39" t="n">
        <f aca="false">U6R!D20</f>
        <v>0.037</v>
      </c>
      <c r="AT20" s="39" t="n">
        <f aca="false">U6R!E20</f>
        <v>0.098</v>
      </c>
      <c r="AU20" s="39" t="n">
        <f aca="false">U6R!F20</f>
        <v>0.043</v>
      </c>
      <c r="AV20" s="39" t="n">
        <f aca="false">WAVG!C20</f>
        <v>45.8</v>
      </c>
      <c r="AW20" s="39" t="n">
        <f aca="false">WAVG!D20</f>
        <v>48.09</v>
      </c>
      <c r="AX20" s="39" t="n">
        <f aca="false">WAVG!E20</f>
        <v>38.93</v>
      </c>
      <c r="AY20" s="39" t="n">
        <f aca="false">WAVG!F20</f>
        <v>46.26</v>
      </c>
      <c r="AZ20" s="52" t="n">
        <f aca="false">WRAVG!C20</f>
        <v>25</v>
      </c>
      <c r="BA20" s="52" t="n">
        <f aca="false">WRAVG!D20</f>
        <v>90</v>
      </c>
      <c r="BB20" s="52" t="n">
        <f aca="false">WRAVG!E20</f>
        <v>45.8</v>
      </c>
      <c r="BC20" s="52" t="n">
        <f aca="false">WRAVG!F20</f>
        <v>26.25</v>
      </c>
      <c r="BD20" s="52" t="n">
        <f aca="false">WRAVG!G20</f>
        <v>95.4</v>
      </c>
      <c r="BE20" s="52" t="n">
        <f aca="false">WRAVG!H20</f>
        <v>48.09</v>
      </c>
      <c r="BF20" s="52" t="n">
        <f aca="false">WRAVG!I20</f>
        <v>17.5</v>
      </c>
      <c r="BG20" s="52" t="n">
        <f aca="false">WRAVG!J20</f>
        <v>72</v>
      </c>
      <c r="BH20" s="52" t="n">
        <f aca="false">WRAVG!K20</f>
        <v>38.93</v>
      </c>
      <c r="BI20" s="52" t="n">
        <f aca="false">WRAVG!L20</f>
        <v>25.3</v>
      </c>
      <c r="BJ20" s="52" t="n">
        <f aca="false">WRAVG!M20</f>
        <v>90.9</v>
      </c>
      <c r="BK20" s="52" t="n">
        <f aca="false">WRAVG!N20</f>
        <v>46.26</v>
      </c>
      <c r="BL20" s="61" t="n">
        <f aca="false">AIAVG!C20</f>
        <v>96750</v>
      </c>
      <c r="BM20" s="61" t="n">
        <f aca="false">AIAVG!D20</f>
        <v>97718</v>
      </c>
      <c r="BN20" s="61" t="n">
        <f aca="false">AIAVG!E20</f>
        <v>79335</v>
      </c>
      <c r="BO20" s="61" t="n">
        <f aca="false">AIAVG!F20</f>
        <v>96891</v>
      </c>
      <c r="BP20" s="61" t="n">
        <f aca="false">AIRAVG!C20</f>
        <v>50000</v>
      </c>
      <c r="BQ20" s="61" t="n">
        <f aca="false">AIRAVG!D20</f>
        <v>180000</v>
      </c>
      <c r="BR20" s="61" t="n">
        <f aca="false">AIRAVG!E20</f>
        <v>95040</v>
      </c>
      <c r="BS20" s="61" t="n">
        <f aca="false">AIRAVG!F20</f>
        <v>52500</v>
      </c>
      <c r="BT20" s="61" t="n">
        <f aca="false">AIRAVG!G20</f>
        <v>190800</v>
      </c>
      <c r="BU20" s="61" t="n">
        <f aca="false">AIRAVG!H20</f>
        <v>100792</v>
      </c>
      <c r="BV20" s="61" t="n">
        <f aca="false">AIRAVG!I20</f>
        <v>35000</v>
      </c>
      <c r="BW20" s="61" t="n">
        <f aca="false">AIRAVG!J20</f>
        <v>144000</v>
      </c>
      <c r="BX20" s="61" t="n">
        <f aca="false">AIRAVG!K20</f>
        <v>76160</v>
      </c>
      <c r="BY20" s="61" t="n">
        <f aca="false">AIRAVG!L20</f>
        <v>50600</v>
      </c>
      <c r="BZ20" s="61" t="n">
        <f aca="false">AIRAVG!M20</f>
        <v>181800</v>
      </c>
      <c r="CA20" s="61" t="n">
        <f aca="false">AIRAVG!N20</f>
        <v>96000</v>
      </c>
      <c r="CB20" s="3" t="n">
        <f aca="false">AWHW!C20</f>
        <v>39.8</v>
      </c>
      <c r="CC20" s="3" t="n">
        <f aca="false">AWHW!D20</f>
        <v>40.5</v>
      </c>
      <c r="CD20" s="3" t="n">
        <f aca="false">AWHW!E20</f>
        <v>38</v>
      </c>
      <c r="CE20" s="3" t="n">
        <f aca="false">AWHW!F20</f>
        <v>39.9</v>
      </c>
      <c r="CF20" s="3" t="n">
        <f aca="false">FTER!C20</f>
        <v>0.87</v>
      </c>
      <c r="CG20" s="3" t="n">
        <f aca="false">FTER!D20</f>
        <v>0.89</v>
      </c>
      <c r="CH20" s="3" t="n">
        <f aca="false">FTER!E20</f>
        <v>0.82</v>
      </c>
      <c r="CI20" s="3" t="n">
        <f aca="false">FTER!F20</f>
        <v>0.87</v>
      </c>
      <c r="CJ20" s="3" t="n">
        <f aca="false">PTER!C20</f>
        <v>0.13</v>
      </c>
      <c r="CK20" s="3" t="n">
        <f aca="false">PTER!D20</f>
        <v>0.11</v>
      </c>
      <c r="CL20" s="3" t="n">
        <f aca="false">PTER!E20</f>
        <v>0.18</v>
      </c>
      <c r="CM20" s="3" t="n">
        <f aca="false">PTER!F20</f>
        <v>0.13</v>
      </c>
      <c r="CN20" s="3"/>
      <c r="CO20" s="3"/>
      <c r="CP20" s="3"/>
      <c r="CQ20" s="3"/>
      <c r="CR20" s="3"/>
      <c r="CS20" s="3"/>
      <c r="CT20" s="3"/>
      <c r="CU20" s="3"/>
      <c r="CV20" s="3"/>
      <c r="CW20" s="3"/>
      <c r="CX20" s="3"/>
      <c r="CY20" s="3"/>
      <c r="CZ20" s="3"/>
      <c r="DA20" s="3"/>
      <c r="DB20" s="3"/>
      <c r="DC20" s="3"/>
      <c r="DD20" s="3"/>
      <c r="DE20" s="3"/>
      <c r="DJ20" s="39"/>
      <c r="DK20" s="3"/>
      <c r="DL20" s="3"/>
      <c r="DM20" s="3"/>
      <c r="DN20" s="3"/>
      <c r="DZ20" s="3"/>
      <c r="EA20" s="3"/>
      <c r="EB20" s="3"/>
      <c r="EC20" s="3"/>
      <c r="ED20" s="3"/>
      <c r="EE20" s="3"/>
      <c r="EF20" s="3"/>
      <c r="EG20" s="3"/>
      <c r="EH20" s="3"/>
      <c r="EI20" s="3"/>
      <c r="EJ20" s="3"/>
      <c r="EK20" s="3"/>
    </row>
    <row r="21" customFormat="false" ht="34.4" hidden="false" customHeight="false" outlineLevel="0" collapsed="false">
      <c r="A21" s="50" t="n">
        <v>17</v>
      </c>
      <c r="B21" s="39" t="n">
        <v>56</v>
      </c>
      <c r="C21" s="40" t="s">
        <v>1580</v>
      </c>
      <c r="D21" s="42" t="n">
        <f aca="false">LFP!C21</f>
        <v>123000</v>
      </c>
      <c r="E21" s="42" t="n">
        <f aca="false">LFP!D21</f>
        <v>2706</v>
      </c>
      <c r="F21" s="42" t="n">
        <f aca="false">LFP!E21</f>
        <v>9846</v>
      </c>
      <c r="G21" s="42" t="n">
        <f aca="false">LFP!F21</f>
        <v>110448</v>
      </c>
      <c r="H21" s="42" t="n">
        <f aca="false">TNPE!C21</f>
        <v>81929</v>
      </c>
      <c r="I21" s="42" t="n">
        <f aca="false">TNPE!D21</f>
        <v>1802</v>
      </c>
      <c r="J21" s="42" t="n">
        <f aca="false">TNPE!E21</f>
        <v>6554</v>
      </c>
      <c r="K21" s="42" t="n">
        <f aca="false">TNPE!F21</f>
        <v>73573</v>
      </c>
      <c r="L21" s="39" t="n">
        <f aca="false">EP!C21</f>
        <v>81929</v>
      </c>
      <c r="M21" s="39" t="n">
        <f aca="false">EP!D21</f>
        <v>1802</v>
      </c>
      <c r="N21" s="39" t="n">
        <f aca="false">EP!E21</f>
        <v>6554</v>
      </c>
      <c r="O21" s="39" t="n">
        <f aca="false">EP!F21</f>
        <v>73573</v>
      </c>
      <c r="P21" s="39" t="n">
        <f aca="false">U3P!C21</f>
        <v>41071</v>
      </c>
      <c r="Q21" s="39" t="n">
        <f aca="false">U3P!D21</f>
        <v>904</v>
      </c>
      <c r="R21" s="39" t="n">
        <f aca="false">U3P!E21</f>
        <v>3292</v>
      </c>
      <c r="S21" s="39" t="n">
        <f aca="false">U3P!F21</f>
        <v>36875</v>
      </c>
      <c r="T21" s="39" t="n">
        <f aca="false">U6P!C21</f>
        <v>77000</v>
      </c>
      <c r="U21" s="39" t="n">
        <f aca="false">U6P!D21</f>
        <v>5576</v>
      </c>
      <c r="V21" s="39" t="n">
        <f aca="false">U6P!E21</f>
        <v>13640</v>
      </c>
      <c r="W21" s="39" t="n">
        <f aca="false">U6P!F21</f>
        <v>57784</v>
      </c>
      <c r="X21" s="39" t="n">
        <f aca="false">ETPR!C21</f>
        <v>0.67</v>
      </c>
      <c r="Y21" s="39" t="n">
        <f aca="false">ETPR!D21</f>
        <v>0.64</v>
      </c>
      <c r="Z21" s="39" t="n">
        <f aca="false">ETPR!E21</f>
        <v>0.71</v>
      </c>
      <c r="AA21" s="39" t="n">
        <f aca="false">ETPR!F21</f>
        <v>0.67</v>
      </c>
      <c r="AB21" s="39" t="n">
        <f aca="false">U3TPR!C21</f>
        <v>0.01</v>
      </c>
      <c r="AC21" s="39" t="n">
        <f aca="false">U3TPR!D21</f>
        <v>0.0083</v>
      </c>
      <c r="AD21" s="39" t="n">
        <f aca="false">U3TPR!E21</f>
        <v>0.0587</v>
      </c>
      <c r="AE21" s="39" t="n">
        <f aca="false">U3TPR!F21</f>
        <v>0.0097</v>
      </c>
      <c r="AF21" s="39" t="n">
        <f aca="false">U6TPR!C21</f>
        <v>0.0221</v>
      </c>
      <c r="AG21" s="39" t="n">
        <f aca="false">U6TPR!D21</f>
        <v>0.0182</v>
      </c>
      <c r="AH21" s="39" t="n">
        <f aca="false">U6TPR!E21</f>
        <v>0.1779</v>
      </c>
      <c r="AI21" s="39" t="n">
        <f aca="false">U6TPR!F21</f>
        <v>0.0215</v>
      </c>
      <c r="AJ21" s="39" t="n">
        <f aca="false">LFPR!C21</f>
        <v>0.56</v>
      </c>
      <c r="AK21" s="39" t="n">
        <f aca="false">LFPR!D21</f>
        <v>0.4</v>
      </c>
      <c r="AL21" s="39" t="n">
        <f aca="false">LFPR!E21</f>
        <v>0.66</v>
      </c>
      <c r="AM21" s="39" t="n">
        <f aca="false">LFPR!F21</f>
        <v>0.56</v>
      </c>
      <c r="AN21" s="39" t="n">
        <f aca="false">U3R!C21</f>
        <v>0.045</v>
      </c>
      <c r="AO21" s="39" t="n">
        <f aca="false">U3R!D21</f>
        <v>0.048</v>
      </c>
      <c r="AP21" s="39" t="n">
        <f aca="false">U3R!E21</f>
        <v>0.062</v>
      </c>
      <c r="AQ21" s="39" t="n">
        <f aca="false">U3R!F21</f>
        <v>0.042</v>
      </c>
      <c r="AR21" s="39" t="n">
        <f aca="false">U6R!C21</f>
        <v>0.095</v>
      </c>
      <c r="AS21" s="39" t="n">
        <f aca="false">U6R!D21</f>
        <v>0.078</v>
      </c>
      <c r="AT21" s="39" t="n">
        <f aca="false">U6R!E21</f>
        <v>0.178</v>
      </c>
      <c r="AU21" s="39" t="n">
        <f aca="false">U6R!F21</f>
        <v>0.091</v>
      </c>
      <c r="AV21" s="39" t="n">
        <f aca="false">WAVG!C21</f>
        <v>22.3</v>
      </c>
      <c r="AW21" s="39" t="n">
        <f aca="false">WAVG!D21</f>
        <v>23.42</v>
      </c>
      <c r="AX21" s="39" t="n">
        <f aca="false">WAVG!E21</f>
        <v>17.84</v>
      </c>
      <c r="AY21" s="39" t="n">
        <f aca="false">WAVG!F21</f>
        <v>22.55</v>
      </c>
      <c r="AZ21" s="52" t="n">
        <f aca="false">WRAVG!C21</f>
        <v>12</v>
      </c>
      <c r="BA21" s="52" t="n">
        <f aca="false">WRAVG!D21</f>
        <v>40</v>
      </c>
      <c r="BB21" s="52" t="n">
        <f aca="false">WRAVG!E21</f>
        <v>22.3</v>
      </c>
      <c r="BC21" s="52" t="n">
        <f aca="false">WRAVG!F21</f>
        <v>12.6</v>
      </c>
      <c r="BD21" s="52" t="n">
        <f aca="false">WRAVG!G21</f>
        <v>42.4</v>
      </c>
      <c r="BE21" s="52" t="n">
        <f aca="false">WRAVG!H21</f>
        <v>23.42</v>
      </c>
      <c r="BF21" s="52" t="n">
        <f aca="false">WRAVG!I21</f>
        <v>8.4</v>
      </c>
      <c r="BG21" s="52" t="n">
        <f aca="false">WRAVG!J21</f>
        <v>32</v>
      </c>
      <c r="BH21" s="52" t="n">
        <f aca="false">WRAVG!K21</f>
        <v>17.84</v>
      </c>
      <c r="BI21" s="52" t="n">
        <f aca="false">WRAVG!L21</f>
        <v>12.12</v>
      </c>
      <c r="BJ21" s="52" t="n">
        <f aca="false">WRAVG!M21</f>
        <v>40.4</v>
      </c>
      <c r="BK21" s="52" t="n">
        <f aca="false">WRAVG!N21</f>
        <v>22.55</v>
      </c>
      <c r="BL21" s="61" t="n">
        <f aca="false">AIAVG!C21</f>
        <v>45000</v>
      </c>
      <c r="BM21" s="61" t="n">
        <f aca="false">AIAVG!D21</f>
        <v>46350</v>
      </c>
      <c r="BN21" s="61" t="n">
        <f aca="false">AIAVG!E21</f>
        <v>31500</v>
      </c>
      <c r="BO21" s="61" t="n">
        <f aca="false">AIAVG!F21</f>
        <v>45135</v>
      </c>
      <c r="BP21" s="61" t="n">
        <f aca="false">AIRAVG!C21</f>
        <v>24000</v>
      </c>
      <c r="BQ21" s="61" t="n">
        <f aca="false">AIRAVG!D21</f>
        <v>80000</v>
      </c>
      <c r="BR21" s="61" t="n">
        <f aca="false">AIRAVG!E21</f>
        <v>44600</v>
      </c>
      <c r="BS21" s="61" t="n">
        <f aca="false">AIRAVG!F21</f>
        <v>25200</v>
      </c>
      <c r="BT21" s="61" t="n">
        <f aca="false">AIRAVG!G21</f>
        <v>84800</v>
      </c>
      <c r="BU21" s="61" t="n">
        <f aca="false">AIRAVG!H21</f>
        <v>46880</v>
      </c>
      <c r="BV21" s="61" t="n">
        <f aca="false">AIRAVG!I21</f>
        <v>16800</v>
      </c>
      <c r="BW21" s="61" t="n">
        <f aca="false">AIRAVG!J21</f>
        <v>64000</v>
      </c>
      <c r="BX21" s="61" t="n">
        <f aca="false">AIRAVG!K21</f>
        <v>35840</v>
      </c>
      <c r="BY21" s="61" t="n">
        <f aca="false">AIRAVG!L21</f>
        <v>24240</v>
      </c>
      <c r="BZ21" s="61" t="n">
        <f aca="false">AIRAVG!M21</f>
        <v>80800</v>
      </c>
      <c r="CA21" s="61" t="n">
        <f aca="false">AIRAVG!N21</f>
        <v>44900</v>
      </c>
      <c r="CB21" s="3" t="n">
        <f aca="false">AWHW!C21</f>
        <v>37.5</v>
      </c>
      <c r="CC21" s="3" t="n">
        <f aca="false">AWHW!D21</f>
        <v>38</v>
      </c>
      <c r="CD21" s="3" t="n">
        <f aca="false">AWHW!E21</f>
        <v>36.5</v>
      </c>
      <c r="CE21" s="3" t="n">
        <f aca="false">AWHW!F21</f>
        <v>37.6</v>
      </c>
      <c r="CF21" s="3" t="n">
        <f aca="false">FTER!C21</f>
        <v>0.76</v>
      </c>
      <c r="CG21" s="3" t="n">
        <f aca="false">FTER!D21</f>
        <v>0.78</v>
      </c>
      <c r="CH21" s="3" t="n">
        <f aca="false">FTER!E21</f>
        <v>0.72</v>
      </c>
      <c r="CI21" s="3" t="n">
        <f aca="false">FTER!F21</f>
        <v>0.76</v>
      </c>
      <c r="CJ21" s="3" t="n">
        <f aca="false">PTER!C21</f>
        <v>0.24</v>
      </c>
      <c r="CK21" s="3" t="n">
        <f aca="false">PTER!D21</f>
        <v>0.22</v>
      </c>
      <c r="CL21" s="3" t="n">
        <f aca="false">PTER!E21</f>
        <v>0.28</v>
      </c>
      <c r="CM21" s="3" t="n">
        <f aca="false">PTER!F21</f>
        <v>0.24</v>
      </c>
      <c r="CN21" s="3"/>
      <c r="CO21" s="3"/>
      <c r="CP21" s="3"/>
      <c r="CQ21" s="3"/>
      <c r="CR21" s="3"/>
      <c r="CS21" s="3"/>
      <c r="CT21" s="3"/>
      <c r="CU21" s="3"/>
      <c r="CV21" s="3"/>
      <c r="CW21" s="3"/>
      <c r="CX21" s="3"/>
      <c r="CY21" s="3"/>
      <c r="CZ21" s="3"/>
      <c r="DA21" s="3"/>
      <c r="DB21" s="3"/>
      <c r="DC21" s="3"/>
      <c r="DD21" s="3"/>
      <c r="DE21" s="3"/>
      <c r="DJ21" s="39"/>
      <c r="DK21" s="3"/>
      <c r="DL21" s="3"/>
      <c r="DM21" s="3"/>
      <c r="DN21" s="3"/>
      <c r="DZ21" s="3"/>
      <c r="EA21" s="3"/>
      <c r="EB21" s="3"/>
      <c r="EC21" s="3"/>
      <c r="ED21" s="3"/>
      <c r="EE21" s="3"/>
      <c r="EF21" s="3"/>
      <c r="EG21" s="3"/>
      <c r="EH21" s="3"/>
      <c r="EI21" s="3"/>
      <c r="EJ21" s="3"/>
      <c r="EK21" s="3"/>
    </row>
    <row r="22" customFormat="false" ht="12.8" hidden="false" customHeight="false" outlineLevel="0" collapsed="false">
      <c r="A22" s="50" t="n">
        <v>18</v>
      </c>
      <c r="B22" s="39" t="n">
        <v>61</v>
      </c>
      <c r="C22" s="39" t="s">
        <v>1581</v>
      </c>
      <c r="D22" s="42" t="n">
        <f aca="false">LFP!C22</f>
        <v>152000</v>
      </c>
      <c r="E22" s="42" t="n">
        <f aca="false">LFP!D22</f>
        <v>3344</v>
      </c>
      <c r="F22" s="42" t="n">
        <f aca="false">LFP!E22</f>
        <v>5472</v>
      </c>
      <c r="G22" s="42" t="n">
        <f aca="false">LFP!F22</f>
        <v>143184</v>
      </c>
      <c r="H22" s="42" t="n">
        <f aca="false">TNPE!C22</f>
        <v>122222</v>
      </c>
      <c r="I22" s="42" t="n">
        <f aca="false">TNPE!D22</f>
        <v>2689</v>
      </c>
      <c r="J22" s="42" t="n">
        <f aca="false">TNPE!E22</f>
        <v>4400</v>
      </c>
      <c r="K22" s="42" t="n">
        <f aca="false">TNPE!F22</f>
        <v>115133</v>
      </c>
      <c r="L22" s="39" t="n">
        <f aca="false">EP!C22</f>
        <v>122222</v>
      </c>
      <c r="M22" s="39" t="n">
        <f aca="false">EP!D22</f>
        <v>2689</v>
      </c>
      <c r="N22" s="39" t="n">
        <f aca="false">EP!E22</f>
        <v>4400</v>
      </c>
      <c r="O22" s="39" t="n">
        <f aca="false">EP!F22</f>
        <v>115133</v>
      </c>
      <c r="P22" s="39" t="n">
        <f aca="false">U3P!C22</f>
        <v>29778</v>
      </c>
      <c r="Q22" s="39" t="n">
        <f aca="false">U3P!D22</f>
        <v>655</v>
      </c>
      <c r="R22" s="39" t="n">
        <f aca="false">U3P!E22</f>
        <v>1072</v>
      </c>
      <c r="S22" s="39" t="n">
        <f aca="false">U3P!F22</f>
        <v>28051</v>
      </c>
      <c r="T22" s="39" t="n">
        <f aca="false">U6P!C22</f>
        <v>55800</v>
      </c>
      <c r="U22" s="39" t="n">
        <f aca="false">U6P!D22</f>
        <v>602</v>
      </c>
      <c r="V22" s="39" t="n">
        <f aca="false">U6P!E22</f>
        <v>3200</v>
      </c>
      <c r="W22" s="39" t="n">
        <f aca="false">U6P!F22</f>
        <v>51998</v>
      </c>
      <c r="X22" s="39" t="n">
        <f aca="false">ETPR!C22</f>
        <v>0.8</v>
      </c>
      <c r="Y22" s="39" t="n">
        <f aca="false">ETPR!D22</f>
        <v>0.77</v>
      </c>
      <c r="Z22" s="39" t="n">
        <f aca="false">ETPR!E22</f>
        <v>0.84</v>
      </c>
      <c r="AA22" s="39" t="n">
        <f aca="false">ETPR!F22</f>
        <v>0.8</v>
      </c>
      <c r="AB22" s="39" t="n">
        <f aca="false">U3TPR!C22</f>
        <v>0.0072</v>
      </c>
      <c r="AC22" s="39" t="n">
        <f aca="false">U3TPR!D22</f>
        <v>0.006</v>
      </c>
      <c r="AD22" s="39" t="n">
        <f aca="false">U3TPR!E22</f>
        <v>0.0418</v>
      </c>
      <c r="AE22" s="39" t="n">
        <f aca="false">U3TPR!F22</f>
        <v>0.007</v>
      </c>
      <c r="AF22" s="39" t="n">
        <f aca="false">U6TPR!C22</f>
        <v>0.0159</v>
      </c>
      <c r="AG22" s="39" t="n">
        <f aca="false">U6TPR!D22</f>
        <v>0.0131</v>
      </c>
      <c r="AH22" s="39" t="n">
        <f aca="false">U6TPR!E22</f>
        <v>0.1267</v>
      </c>
      <c r="AI22" s="39" t="n">
        <f aca="false">U6TPR!F22</f>
        <v>0.0155</v>
      </c>
      <c r="AJ22" s="39" t="n">
        <f aca="false">LFPR!C22</f>
        <v>0.59</v>
      </c>
      <c r="AK22" s="39" t="n">
        <f aca="false">LFPR!D22</f>
        <v>0.42</v>
      </c>
      <c r="AL22" s="39" t="n">
        <f aca="false">LFPR!E22</f>
        <v>0.69</v>
      </c>
      <c r="AM22" s="39" t="n">
        <f aca="false">LFPR!F22</f>
        <v>0.59</v>
      </c>
      <c r="AN22" s="39" t="n">
        <f aca="false">U3R!C22</f>
        <v>0.018</v>
      </c>
      <c r="AO22" s="39" t="n">
        <f aca="false">U3R!D22</f>
        <v>0.019</v>
      </c>
      <c r="AP22" s="39" t="n">
        <f aca="false">U3R!E22</f>
        <v>0.022</v>
      </c>
      <c r="AQ22" s="39" t="n">
        <f aca="false">U3R!F22</f>
        <v>0.018</v>
      </c>
      <c r="AR22" s="39" t="n">
        <f aca="false">U6R!C22</f>
        <v>0.055</v>
      </c>
      <c r="AS22" s="39" t="n">
        <f aca="false">U6R!D22</f>
        <v>0.045</v>
      </c>
      <c r="AT22" s="39" t="n">
        <f aca="false">U6R!E22</f>
        <v>0.127</v>
      </c>
      <c r="AU22" s="39" t="n">
        <f aca="false">U6R!F22</f>
        <v>0.053</v>
      </c>
      <c r="AV22" s="39" t="n">
        <f aca="false">WAVG!C22</f>
        <v>34.2</v>
      </c>
      <c r="AW22" s="39" t="n">
        <f aca="false">WAVG!D22</f>
        <v>35.91</v>
      </c>
      <c r="AX22" s="39" t="n">
        <f aca="false">WAVG!E22</f>
        <v>29.07</v>
      </c>
      <c r="AY22" s="39" t="n">
        <f aca="false">WAVG!F22</f>
        <v>34.55</v>
      </c>
      <c r="AZ22" s="52" t="n">
        <f aca="false">WRAVG!C22</f>
        <v>18.5</v>
      </c>
      <c r="BA22" s="52" t="n">
        <f aca="false">WRAVG!D22</f>
        <v>62</v>
      </c>
      <c r="BB22" s="52" t="n">
        <f aca="false">WRAVG!E22</f>
        <v>34.2</v>
      </c>
      <c r="BC22" s="52" t="n">
        <f aca="false">WRAVG!F22</f>
        <v>19.43</v>
      </c>
      <c r="BD22" s="52" t="n">
        <f aca="false">WRAVG!G22</f>
        <v>65.72</v>
      </c>
      <c r="BE22" s="52" t="n">
        <f aca="false">WRAVG!H22</f>
        <v>35.91</v>
      </c>
      <c r="BF22" s="52" t="n">
        <f aca="false">WRAVG!I22</f>
        <v>12.95</v>
      </c>
      <c r="BG22" s="52" t="n">
        <f aca="false">WRAVG!J22</f>
        <v>49.6</v>
      </c>
      <c r="BH22" s="52" t="n">
        <f aca="false">WRAVG!K22</f>
        <v>29.07</v>
      </c>
      <c r="BI22" s="52" t="n">
        <f aca="false">WRAVG!L22</f>
        <v>18.7</v>
      </c>
      <c r="BJ22" s="52" t="n">
        <f aca="false">WRAVG!M22</f>
        <v>62.6</v>
      </c>
      <c r="BK22" s="52" t="n">
        <f aca="false">WRAVG!N22</f>
        <v>34.55</v>
      </c>
      <c r="BL22" s="61" t="n">
        <f aca="false">AIAVG!C22</f>
        <v>68250</v>
      </c>
      <c r="BM22" s="61" t="n">
        <f aca="false">AIAVG!D22</f>
        <v>69314</v>
      </c>
      <c r="BN22" s="61" t="n">
        <f aca="false">AIAVG!E22</f>
        <v>54600</v>
      </c>
      <c r="BO22" s="61" t="n">
        <f aca="false">AIAVG!F22</f>
        <v>68429</v>
      </c>
      <c r="BP22" s="61" t="n">
        <f aca="false">AIRAVG!C22</f>
        <v>37000</v>
      </c>
      <c r="BQ22" s="61" t="n">
        <f aca="false">AIRAVG!D22</f>
        <v>124000</v>
      </c>
      <c r="BR22" s="61" t="n">
        <f aca="false">AIRAVG!E22</f>
        <v>70880</v>
      </c>
      <c r="BS22" s="61" t="n">
        <f aca="false">AIRAVG!F22</f>
        <v>38860</v>
      </c>
      <c r="BT22" s="61" t="n">
        <f aca="false">AIRAVG!G22</f>
        <v>131440</v>
      </c>
      <c r="BU22" s="61" t="n">
        <f aca="false">AIRAVG!H22</f>
        <v>74424</v>
      </c>
      <c r="BV22" s="61" t="n">
        <f aca="false">AIRAVG!I22</f>
        <v>25900</v>
      </c>
      <c r="BW22" s="61" t="n">
        <f aca="false">AIRAVG!J22</f>
        <v>99200</v>
      </c>
      <c r="BX22" s="61" t="n">
        <f aca="false">AIRAVG!K22</f>
        <v>56560</v>
      </c>
      <c r="BY22" s="61" t="n">
        <f aca="false">AIRAVG!L22</f>
        <v>37400</v>
      </c>
      <c r="BZ22" s="61" t="n">
        <f aca="false">AIRAVG!M22</f>
        <v>125200</v>
      </c>
      <c r="CA22" s="61" t="n">
        <f aca="false">AIRAVG!N22</f>
        <v>71400</v>
      </c>
      <c r="CB22" s="3" t="n">
        <f aca="false">AWHW!C22</f>
        <v>37</v>
      </c>
      <c r="CC22" s="3" t="n">
        <f aca="false">AWHW!D22</f>
        <v>37.5</v>
      </c>
      <c r="CD22" s="3" t="n">
        <f aca="false">AWHW!E22</f>
        <v>36</v>
      </c>
      <c r="CE22" s="3" t="n">
        <f aca="false">AWHW!F22</f>
        <v>37.1</v>
      </c>
      <c r="CF22" s="3" t="n">
        <f aca="false">FTER!C22</f>
        <v>0.84</v>
      </c>
      <c r="CG22" s="3" t="n">
        <f aca="false">FTER!D22</f>
        <v>0.86</v>
      </c>
      <c r="CH22" s="3" t="n">
        <f aca="false">FTER!E22</f>
        <v>0.8</v>
      </c>
      <c r="CI22" s="3" t="n">
        <f aca="false">FTER!F22</f>
        <v>0.84</v>
      </c>
      <c r="CJ22" s="3" t="n">
        <f aca="false">PTER!C22</f>
        <v>0.16</v>
      </c>
      <c r="CK22" s="3" t="n">
        <f aca="false">PTER!D22</f>
        <v>0.14</v>
      </c>
      <c r="CL22" s="3" t="n">
        <f aca="false">PTER!E22</f>
        <v>0.2</v>
      </c>
      <c r="CM22" s="3" t="n">
        <f aca="false">PTER!F22</f>
        <v>0.16</v>
      </c>
      <c r="CN22" s="3"/>
      <c r="CO22" s="3"/>
      <c r="CP22" s="3"/>
      <c r="CQ22" s="3"/>
      <c r="CR22" s="3"/>
      <c r="CS22" s="3"/>
      <c r="CT22" s="3"/>
      <c r="CU22" s="3"/>
      <c r="CV22" s="3"/>
      <c r="CW22" s="3"/>
      <c r="CX22" s="3"/>
      <c r="CY22" s="3"/>
      <c r="CZ22" s="3"/>
      <c r="DA22" s="3"/>
      <c r="DB22" s="3"/>
      <c r="DC22" s="3"/>
      <c r="DD22" s="3"/>
      <c r="DE22" s="3"/>
      <c r="DJ22" s="39"/>
      <c r="DK22" s="3"/>
      <c r="DL22" s="3"/>
      <c r="DM22" s="3"/>
      <c r="DN22" s="3"/>
      <c r="DZ22" s="3"/>
      <c r="EA22" s="3"/>
      <c r="EB22" s="3"/>
      <c r="EC22" s="3"/>
      <c r="ED22" s="3"/>
      <c r="EE22" s="3"/>
      <c r="EF22" s="3"/>
      <c r="EG22" s="3"/>
      <c r="EH22" s="3"/>
      <c r="EI22" s="3"/>
      <c r="EJ22" s="3"/>
      <c r="EK22" s="3"/>
    </row>
    <row r="23" customFormat="false" ht="23.85" hidden="false" customHeight="false" outlineLevel="0" collapsed="false">
      <c r="A23" s="50" t="n">
        <v>19</v>
      </c>
      <c r="B23" s="39" t="n">
        <v>62</v>
      </c>
      <c r="C23" s="40" t="s">
        <v>1582</v>
      </c>
      <c r="D23" s="42" t="n">
        <f aca="false">LFP!C23</f>
        <v>213800</v>
      </c>
      <c r="E23" s="42" t="n">
        <f aca="false">LFP!D23</f>
        <v>4704</v>
      </c>
      <c r="F23" s="42" t="n">
        <f aca="false">LFP!E23</f>
        <v>7697</v>
      </c>
      <c r="G23" s="42" t="n">
        <f aca="false">LFP!F23</f>
        <v>201399</v>
      </c>
      <c r="H23" s="42" t="n">
        <f aca="false">TNPE!C23</f>
        <v>171917</v>
      </c>
      <c r="I23" s="42" t="n">
        <f aca="false">TNPE!D23</f>
        <v>3782</v>
      </c>
      <c r="J23" s="42" t="n">
        <f aca="false">TNPE!E23</f>
        <v>6189</v>
      </c>
      <c r="K23" s="42" t="n">
        <f aca="false">TNPE!F23</f>
        <v>161946</v>
      </c>
      <c r="L23" s="39" t="n">
        <f aca="false">EP!C23</f>
        <v>171917</v>
      </c>
      <c r="M23" s="39" t="n">
        <f aca="false">EP!D23</f>
        <v>3782</v>
      </c>
      <c r="N23" s="39" t="n">
        <f aca="false">EP!E23</f>
        <v>6189</v>
      </c>
      <c r="O23" s="39" t="n">
        <f aca="false">EP!F23</f>
        <v>161946</v>
      </c>
      <c r="P23" s="39" t="n">
        <f aca="false">U3P!C23</f>
        <v>41883</v>
      </c>
      <c r="Q23" s="39" t="n">
        <f aca="false">U3P!D23</f>
        <v>922</v>
      </c>
      <c r="R23" s="39" t="n">
        <f aca="false">U3P!E23</f>
        <v>1508</v>
      </c>
      <c r="S23" s="39" t="n">
        <f aca="false">U3P!F23</f>
        <v>39453</v>
      </c>
      <c r="T23" s="39" t="n">
        <f aca="false">U6P!C23</f>
        <v>78500</v>
      </c>
      <c r="U23" s="39" t="n">
        <f aca="false">U6P!D23</f>
        <v>2016</v>
      </c>
      <c r="V23" s="39" t="n">
        <f aca="false">U6P!E23</f>
        <v>3296</v>
      </c>
      <c r="W23" s="39" t="n">
        <f aca="false">U6P!F23</f>
        <v>73288</v>
      </c>
      <c r="X23" s="39" t="n">
        <f aca="false">ETPR!C23</f>
        <v>0.8</v>
      </c>
      <c r="Y23" s="39" t="n">
        <f aca="false">ETPR!D23</f>
        <v>0.77</v>
      </c>
      <c r="Z23" s="39" t="n">
        <f aca="false">ETPR!E23</f>
        <v>0.84</v>
      </c>
      <c r="AA23" s="39" t="n">
        <f aca="false">ETPR!F23</f>
        <v>0.8</v>
      </c>
      <c r="AB23" s="39" t="n">
        <f aca="false">U3TPR!C23</f>
        <v>0.0101</v>
      </c>
      <c r="AC23" s="39" t="n">
        <f aca="false">U3TPR!D23</f>
        <v>0.0084</v>
      </c>
      <c r="AD23" s="39" t="n">
        <f aca="false">U3TPR!E23</f>
        <v>0.0442</v>
      </c>
      <c r="AE23" s="39" t="n">
        <f aca="false">U3TPR!F23</f>
        <v>0.0098</v>
      </c>
      <c r="AF23" s="39" t="n">
        <f aca="false">U6TPR!C23</f>
        <v>0.0223</v>
      </c>
      <c r="AG23" s="39" t="n">
        <f aca="false">U6TPR!D23</f>
        <v>0.0184</v>
      </c>
      <c r="AH23" s="39" t="n">
        <f aca="false">U6TPR!E23</f>
        <v>0.1338</v>
      </c>
      <c r="AI23" s="39" t="n">
        <f aca="false">U6TPR!F23</f>
        <v>0.0217</v>
      </c>
      <c r="AJ23" s="39" t="n">
        <f aca="false">LFPR!C23</f>
        <v>0.61</v>
      </c>
      <c r="AK23" s="39" t="n">
        <f aca="false">LFPR!D23</f>
        <v>0.435</v>
      </c>
      <c r="AL23" s="39" t="n">
        <f aca="false">LFPR!E23</f>
        <v>0.71</v>
      </c>
      <c r="AM23" s="39" t="n">
        <f aca="false">LFPR!F23</f>
        <v>0.61</v>
      </c>
      <c r="AN23" s="39" t="n">
        <f aca="false">U3R!C23</f>
        <v>0.018</v>
      </c>
      <c r="AO23" s="39" t="n">
        <f aca="false">U3R!D23</f>
        <v>0.019</v>
      </c>
      <c r="AP23" s="39" t="n">
        <f aca="false">U3R!E23</f>
        <v>0.022</v>
      </c>
      <c r="AQ23" s="39" t="n">
        <f aca="false">U3R!F23</f>
        <v>0.018</v>
      </c>
      <c r="AR23" s="39" t="n">
        <f aca="false">U6R!C23</f>
        <v>0.055</v>
      </c>
      <c r="AS23" s="39" t="n">
        <f aca="false">U6R!D23</f>
        <v>0.045</v>
      </c>
      <c r="AT23" s="39" t="n">
        <f aca="false">U6R!E23</f>
        <v>0.134</v>
      </c>
      <c r="AU23" s="39" t="n">
        <f aca="false">U6R!F23</f>
        <v>0.053</v>
      </c>
      <c r="AV23" s="39" t="n">
        <f aca="false">WAVG!C23</f>
        <v>36.7</v>
      </c>
      <c r="AW23" s="39" t="n">
        <f aca="false">WAVG!D23</f>
        <v>38.54</v>
      </c>
      <c r="AX23" s="39" t="n">
        <f aca="false">WAVG!E23</f>
        <v>31.2</v>
      </c>
      <c r="AY23" s="39" t="n">
        <f aca="false">WAVG!F23</f>
        <v>37.07</v>
      </c>
      <c r="AZ23" s="52" t="n">
        <f aca="false">WRAVG!C23</f>
        <v>20</v>
      </c>
      <c r="BA23" s="52" t="n">
        <f aca="false">WRAVG!D23</f>
        <v>68</v>
      </c>
      <c r="BB23" s="52" t="n">
        <f aca="false">WRAVG!E23</f>
        <v>36.7</v>
      </c>
      <c r="BC23" s="52" t="n">
        <f aca="false">WRAVG!F23</f>
        <v>21</v>
      </c>
      <c r="BD23" s="52" t="n">
        <f aca="false">WRAVG!G23</f>
        <v>72.08</v>
      </c>
      <c r="BE23" s="52" t="n">
        <f aca="false">WRAVG!H23</f>
        <v>38.54</v>
      </c>
      <c r="BF23" s="52" t="n">
        <f aca="false">WRAVG!I23</f>
        <v>14</v>
      </c>
      <c r="BG23" s="52" t="n">
        <f aca="false">WRAVG!J23</f>
        <v>54.4</v>
      </c>
      <c r="BH23" s="52" t="n">
        <f aca="false">WRAVG!K23</f>
        <v>31.2</v>
      </c>
      <c r="BI23" s="52" t="n">
        <f aca="false">WRAVG!L23</f>
        <v>20.2</v>
      </c>
      <c r="BJ23" s="52" t="n">
        <f aca="false">WRAVG!M23</f>
        <v>68.7</v>
      </c>
      <c r="BK23" s="52" t="n">
        <f aca="false">WRAVG!N23</f>
        <v>37.07</v>
      </c>
      <c r="BL23" s="61" t="n">
        <f aca="false">AIAVG!C23</f>
        <v>70000</v>
      </c>
      <c r="BM23" s="61" t="n">
        <f aca="false">AIAVG!D23</f>
        <v>71050</v>
      </c>
      <c r="BN23" s="61" t="n">
        <f aca="false">AIAVG!E23</f>
        <v>56000</v>
      </c>
      <c r="BO23" s="61" t="n">
        <f aca="false">AIAVG!F23</f>
        <v>70175</v>
      </c>
      <c r="BP23" s="61" t="n">
        <f aca="false">AIRAVG!C23</f>
        <v>40000</v>
      </c>
      <c r="BQ23" s="61" t="n">
        <f aca="false">AIRAVG!D23</f>
        <v>136000</v>
      </c>
      <c r="BR23" s="61" t="n">
        <f aca="false">AIRAVG!E23</f>
        <v>76480</v>
      </c>
      <c r="BS23" s="61" t="n">
        <f aca="false">AIRAVG!F23</f>
        <v>42000</v>
      </c>
      <c r="BT23" s="61" t="n">
        <f aca="false">AIRAVG!G23</f>
        <v>144160</v>
      </c>
      <c r="BU23" s="61" t="n">
        <f aca="false">AIRAVG!H23</f>
        <v>80304</v>
      </c>
      <c r="BV23" s="61" t="n">
        <f aca="false">AIRAVG!I23</f>
        <v>28000</v>
      </c>
      <c r="BW23" s="61" t="n">
        <f aca="false">AIRAVG!J23</f>
        <v>108800</v>
      </c>
      <c r="BX23" s="61" t="n">
        <f aca="false">AIRAVG!K23</f>
        <v>61120</v>
      </c>
      <c r="BY23" s="61" t="n">
        <f aca="false">AIRAVG!L23</f>
        <v>40400</v>
      </c>
      <c r="BZ23" s="61" t="n">
        <f aca="false">AIRAVG!M23</f>
        <v>137400</v>
      </c>
      <c r="CA23" s="61" t="n">
        <f aca="false">AIRAVG!N23</f>
        <v>78300</v>
      </c>
      <c r="CB23" s="3" t="n">
        <f aca="false">AWHW!C23</f>
        <v>38.2</v>
      </c>
      <c r="CC23" s="3" t="n">
        <f aca="false">AWHW!D23</f>
        <v>38.8</v>
      </c>
      <c r="CD23" s="3" t="n">
        <f aca="false">AWHW!E23</f>
        <v>37</v>
      </c>
      <c r="CE23" s="3" t="n">
        <f aca="false">AWHW!F23</f>
        <v>38.3</v>
      </c>
      <c r="CF23" s="3" t="n">
        <f aca="false">FTER!C23</f>
        <v>0.85</v>
      </c>
      <c r="CG23" s="3" t="n">
        <f aca="false">FTER!D23</f>
        <v>0.87</v>
      </c>
      <c r="CH23" s="3" t="n">
        <f aca="false">FTER!E23</f>
        <v>0.81</v>
      </c>
      <c r="CI23" s="3" t="n">
        <f aca="false">FTER!F23</f>
        <v>0.85</v>
      </c>
      <c r="CJ23" s="3" t="n">
        <f aca="false">PTER!C23</f>
        <v>0.15</v>
      </c>
      <c r="CK23" s="3" t="n">
        <f aca="false">PTER!D23</f>
        <v>0.13</v>
      </c>
      <c r="CL23" s="3" t="n">
        <f aca="false">PTER!E23</f>
        <v>0.19</v>
      </c>
      <c r="CM23" s="3" t="n">
        <f aca="false">PTER!F23</f>
        <v>0.15</v>
      </c>
      <c r="CN23" s="3"/>
      <c r="CO23" s="3"/>
      <c r="CP23" s="3"/>
      <c r="CQ23" s="3"/>
      <c r="CR23" s="3"/>
      <c r="CS23" s="3"/>
      <c r="CT23" s="3"/>
      <c r="CU23" s="3"/>
      <c r="CV23" s="3"/>
      <c r="CW23" s="3"/>
      <c r="CX23" s="3"/>
      <c r="CY23" s="3"/>
      <c r="CZ23" s="3"/>
      <c r="DA23" s="3"/>
      <c r="DB23" s="3"/>
      <c r="DC23" s="3"/>
      <c r="DD23" s="3"/>
      <c r="DE23" s="3"/>
      <c r="DJ23" s="39"/>
      <c r="DK23" s="3"/>
      <c r="DL23" s="3"/>
      <c r="DM23" s="3"/>
      <c r="DN23" s="3"/>
      <c r="DZ23" s="3"/>
      <c r="EA23" s="3"/>
      <c r="EB23" s="3"/>
      <c r="EC23" s="3"/>
      <c r="ED23" s="3"/>
      <c r="EE23" s="3"/>
      <c r="EF23" s="3"/>
      <c r="EG23" s="3"/>
      <c r="EH23" s="3"/>
      <c r="EI23" s="3"/>
      <c r="EJ23" s="3"/>
      <c r="EK23" s="3"/>
    </row>
    <row r="24" customFormat="false" ht="23.85" hidden="false" customHeight="false" outlineLevel="0" collapsed="false">
      <c r="A24" s="50" t="n">
        <v>20</v>
      </c>
      <c r="B24" s="39" t="n">
        <v>71</v>
      </c>
      <c r="C24" s="40" t="s">
        <v>1583</v>
      </c>
      <c r="D24" s="42" t="n">
        <f aca="false">LFP!C24</f>
        <v>30400</v>
      </c>
      <c r="E24" s="42" t="n">
        <f aca="false">LFP!D24</f>
        <v>669</v>
      </c>
      <c r="F24" s="42" t="n">
        <f aca="false">LFP!E24</f>
        <v>1094</v>
      </c>
      <c r="G24" s="42" t="n">
        <f aca="false">LFP!F24</f>
        <v>28637</v>
      </c>
      <c r="H24" s="42" t="n">
        <f aca="false">TNPE!C24</f>
        <v>24176</v>
      </c>
      <c r="I24" s="42" t="n">
        <f aca="false">TNPE!D24</f>
        <v>532</v>
      </c>
      <c r="J24" s="42" t="n">
        <f aca="false">TNPE!E24</f>
        <v>870</v>
      </c>
      <c r="K24" s="42" t="n">
        <f aca="false">TNPE!F24</f>
        <v>22774</v>
      </c>
      <c r="L24" s="39" t="n">
        <f aca="false">EP!C24</f>
        <v>24176</v>
      </c>
      <c r="M24" s="39" t="n">
        <f aca="false">EP!D24</f>
        <v>532</v>
      </c>
      <c r="N24" s="39" t="n">
        <f aca="false">EP!E24</f>
        <v>870</v>
      </c>
      <c r="O24" s="39" t="n">
        <f aca="false">EP!F24</f>
        <v>22774</v>
      </c>
      <c r="P24" s="39" t="n">
        <f aca="false">U3P!C24</f>
        <v>5894</v>
      </c>
      <c r="Q24" s="39" t="n">
        <f aca="false">U3P!D24</f>
        <v>137</v>
      </c>
      <c r="R24" s="39" t="n">
        <f aca="false">U3P!E24</f>
        <v>224</v>
      </c>
      <c r="S24" s="39" t="n">
        <f aca="false">U3P!F24</f>
        <v>5533</v>
      </c>
      <c r="T24" s="39" t="n">
        <f aca="false">U6P!C24</f>
        <v>11000</v>
      </c>
      <c r="U24" s="39" t="n">
        <f aca="false">U6P!D24</f>
        <v>56</v>
      </c>
      <c r="V24" s="39" t="n">
        <f aca="false">U6P!E24</f>
        <v>0</v>
      </c>
      <c r="W24" s="39" t="n">
        <f aca="false">U6P!F24</f>
        <v>10944</v>
      </c>
      <c r="X24" s="39" t="n">
        <f aca="false">ETPR!C24</f>
        <v>0.8</v>
      </c>
      <c r="Y24" s="39" t="n">
        <f aca="false">ETPR!D24</f>
        <v>0.77</v>
      </c>
      <c r="Z24" s="39" t="n">
        <f aca="false">ETPR!E24</f>
        <v>0.84</v>
      </c>
      <c r="AA24" s="39" t="n">
        <f aca="false">ETPR!F24</f>
        <v>0.8</v>
      </c>
      <c r="AB24" s="39" t="n">
        <f aca="false">U3TPR!C24</f>
        <v>0.0014</v>
      </c>
      <c r="AC24" s="39" t="n">
        <f aca="false">U3TPR!D24</f>
        <v>0.0012</v>
      </c>
      <c r="AD24" s="39" t="n">
        <f aca="false">U3TPR!E24</f>
        <v>0.0259</v>
      </c>
      <c r="AE24" s="39" t="n">
        <f aca="false">U3TPR!F24</f>
        <v>0.0014</v>
      </c>
      <c r="AF24" s="39" t="n">
        <f aca="false">U6TPR!C24</f>
        <v>0.0032</v>
      </c>
      <c r="AG24" s="39" t="n">
        <f aca="false">U6TPR!D24</f>
        <v>0.0026</v>
      </c>
      <c r="AH24" s="39" t="n">
        <f aca="false">U6TPR!E24</f>
        <v>0.0788</v>
      </c>
      <c r="AI24" s="39" t="n">
        <f aca="false">U6TPR!F24</f>
        <v>0.0031</v>
      </c>
      <c r="AJ24" s="39" t="n">
        <f aca="false">LFPR!C24</f>
        <v>0.58</v>
      </c>
      <c r="AK24" s="39" t="n">
        <f aca="false">LFPR!D24</f>
        <v>0.415</v>
      </c>
      <c r="AL24" s="39" t="n">
        <f aca="false">LFPR!E24</f>
        <v>0.68</v>
      </c>
      <c r="AM24" s="39" t="n">
        <f aca="false">LFPR!F24</f>
        <v>0.58</v>
      </c>
      <c r="AN24" s="39" t="n">
        <f aca="false">U3R!C24</f>
        <v>0.018</v>
      </c>
      <c r="AO24" s="39" t="n">
        <f aca="false">U3R!D24</f>
        <v>0.019</v>
      </c>
      <c r="AP24" s="39" t="n">
        <f aca="false">U3R!E24</f>
        <v>0.022</v>
      </c>
      <c r="AQ24" s="39" t="n">
        <f aca="false">U3R!F24</f>
        <v>0.018</v>
      </c>
      <c r="AR24" s="39" t="n">
        <f aca="false">U6R!C24</f>
        <v>0.038</v>
      </c>
      <c r="AS24" s="39" t="n">
        <f aca="false">U6R!D24</f>
        <v>0.031</v>
      </c>
      <c r="AT24" s="39" t="n">
        <f aca="false">U6R!E24</f>
        <v>0.079</v>
      </c>
      <c r="AU24" s="39" t="n">
        <f aca="false">U6R!F24</f>
        <v>0.036</v>
      </c>
      <c r="AV24" s="39" t="n">
        <f aca="false">WAVG!C24</f>
        <v>24.5</v>
      </c>
      <c r="AW24" s="39" t="n">
        <f aca="false">WAVG!D24</f>
        <v>25.73</v>
      </c>
      <c r="AX24" s="39" t="n">
        <f aca="false">WAVG!E24</f>
        <v>19.6</v>
      </c>
      <c r="AY24" s="39" t="n">
        <f aca="false">WAVG!F24</f>
        <v>24.75</v>
      </c>
      <c r="AZ24" s="52" t="n">
        <f aca="false">WRAVG!C24</f>
        <v>13</v>
      </c>
      <c r="BA24" s="52" t="n">
        <f aca="false">WRAVG!D24</f>
        <v>42</v>
      </c>
      <c r="BB24" s="52" t="n">
        <f aca="false">WRAVG!E24</f>
        <v>24.5</v>
      </c>
      <c r="BC24" s="52" t="n">
        <f aca="false">WRAVG!F24</f>
        <v>13.65</v>
      </c>
      <c r="BD24" s="52" t="n">
        <f aca="false">WRAVG!G24</f>
        <v>44.52</v>
      </c>
      <c r="BE24" s="52" t="n">
        <f aca="false">WRAVG!H24</f>
        <v>25.73</v>
      </c>
      <c r="BF24" s="52" t="n">
        <f aca="false">WRAVG!I24</f>
        <v>9.1</v>
      </c>
      <c r="BG24" s="52" t="n">
        <f aca="false">WRAVG!J24</f>
        <v>33.6</v>
      </c>
      <c r="BH24" s="52" t="n">
        <f aca="false">WRAVG!K24</f>
        <v>19.6</v>
      </c>
      <c r="BI24" s="52" t="n">
        <f aca="false">WRAVG!L24</f>
        <v>13.13</v>
      </c>
      <c r="BJ24" s="52" t="n">
        <f aca="false">WRAVG!M24</f>
        <v>42.4</v>
      </c>
      <c r="BK24" s="52" t="n">
        <f aca="false">WRAVG!N24</f>
        <v>24.75</v>
      </c>
      <c r="BL24" s="61" t="n">
        <f aca="false">AIAVG!C24</f>
        <v>34000</v>
      </c>
      <c r="BM24" s="61" t="n">
        <f aca="false">AIAVG!D24</f>
        <v>35020</v>
      </c>
      <c r="BN24" s="61" t="n">
        <f aca="false">AIAVG!E24</f>
        <v>23120</v>
      </c>
      <c r="BO24" s="61" t="n">
        <f aca="false">AIAVG!F24</f>
        <v>34134</v>
      </c>
      <c r="BP24" s="61" t="n">
        <f aca="false">AIRAVG!C24</f>
        <v>26000</v>
      </c>
      <c r="BQ24" s="61" t="n">
        <f aca="false">AIRAVG!D24</f>
        <v>84000</v>
      </c>
      <c r="BR24" s="61" t="n">
        <f aca="false">AIRAVG!E24</f>
        <v>50720</v>
      </c>
      <c r="BS24" s="61" t="n">
        <f aca="false">AIRAVG!F24</f>
        <v>27300</v>
      </c>
      <c r="BT24" s="61" t="n">
        <f aca="false">AIRAVG!G24</f>
        <v>89040</v>
      </c>
      <c r="BU24" s="61" t="n">
        <f aca="false">AIRAVG!H24</f>
        <v>53376</v>
      </c>
      <c r="BV24" s="61" t="n">
        <f aca="false">AIRAVG!I24</f>
        <v>18200</v>
      </c>
      <c r="BW24" s="61" t="n">
        <f aca="false">AIRAVG!J24</f>
        <v>67200</v>
      </c>
      <c r="BX24" s="61" t="n">
        <f aca="false">AIRAVG!K24</f>
        <v>40640</v>
      </c>
      <c r="BY24" s="61" t="n">
        <f aca="false">AIRAVG!L24</f>
        <v>26260</v>
      </c>
      <c r="BZ24" s="61" t="n">
        <f aca="false">AIRAVG!M24</f>
        <v>84800</v>
      </c>
      <c r="CA24" s="61" t="n">
        <f aca="false">AIRAVG!N24</f>
        <v>51200</v>
      </c>
      <c r="CB24" s="3" t="n">
        <f aca="false">AWHW!C24</f>
        <v>34</v>
      </c>
      <c r="CC24" s="3" t="n">
        <f aca="false">AWHW!D24</f>
        <v>34.5</v>
      </c>
      <c r="CD24" s="3" t="n">
        <f aca="false">AWHW!E24</f>
        <v>33</v>
      </c>
      <c r="CE24" s="3" t="n">
        <f aca="false">AWHW!F24</f>
        <v>34.1</v>
      </c>
      <c r="CF24" s="3" t="n">
        <f aca="false">FTER!C24</f>
        <v>0.7</v>
      </c>
      <c r="CG24" s="3" t="n">
        <f aca="false">FTER!D24</f>
        <v>0.72</v>
      </c>
      <c r="CH24" s="3" t="n">
        <f aca="false">FTER!E24</f>
        <v>0.66</v>
      </c>
      <c r="CI24" s="3" t="n">
        <f aca="false">FTER!F24</f>
        <v>0.7</v>
      </c>
      <c r="CJ24" s="3" t="n">
        <f aca="false">PTER!C24</f>
        <v>0.3</v>
      </c>
      <c r="CK24" s="3" t="n">
        <f aca="false">PTER!D24</f>
        <v>0.28</v>
      </c>
      <c r="CL24" s="3" t="n">
        <f aca="false">PTER!E24</f>
        <v>0.34</v>
      </c>
      <c r="CM24" s="3" t="n">
        <f aca="false">PTER!F24</f>
        <v>0.3</v>
      </c>
      <c r="CN24" s="3"/>
      <c r="CO24" s="3"/>
      <c r="CP24" s="3"/>
      <c r="CQ24" s="3"/>
      <c r="CR24" s="3"/>
      <c r="CS24" s="3"/>
      <c r="CT24" s="3"/>
      <c r="CU24" s="3"/>
      <c r="CV24" s="3"/>
      <c r="CW24" s="3"/>
      <c r="CX24" s="3"/>
      <c r="CY24" s="3"/>
      <c r="CZ24" s="3"/>
      <c r="DA24" s="3"/>
      <c r="DB24" s="3"/>
      <c r="DC24" s="3"/>
      <c r="DD24" s="3"/>
      <c r="DE24" s="3"/>
      <c r="DJ24" s="39"/>
      <c r="DK24" s="3"/>
      <c r="DL24" s="3"/>
      <c r="DM24" s="3"/>
      <c r="DN24" s="3"/>
      <c r="DZ24" s="3"/>
      <c r="EA24" s="3"/>
      <c r="EB24" s="3"/>
      <c r="EC24" s="3"/>
      <c r="ED24" s="3"/>
      <c r="EE24" s="3"/>
      <c r="EF24" s="3"/>
      <c r="EG24" s="3"/>
      <c r="EH24" s="3"/>
      <c r="EI24" s="3"/>
      <c r="EJ24" s="3"/>
      <c r="EK24" s="3"/>
    </row>
    <row r="25" customFormat="false" ht="23.85" hidden="false" customHeight="false" outlineLevel="0" collapsed="false">
      <c r="A25" s="50" t="n">
        <v>21</v>
      </c>
      <c r="B25" s="39" t="n">
        <v>72</v>
      </c>
      <c r="C25" s="40" t="s">
        <v>1584</v>
      </c>
      <c r="D25" s="42" t="n">
        <f aca="false">LFP!C25</f>
        <v>124500</v>
      </c>
      <c r="E25" s="42" t="n">
        <f aca="false">LFP!D25</f>
        <v>2739</v>
      </c>
      <c r="F25" s="42" t="n">
        <f aca="false">LFP!E25</f>
        <v>9950</v>
      </c>
      <c r="G25" s="42" t="n">
        <f aca="false">LFP!F25</f>
        <v>111811</v>
      </c>
      <c r="H25" s="42" t="n">
        <f aca="false">TNPE!C25</f>
        <v>98046</v>
      </c>
      <c r="I25" s="42" t="n">
        <f aca="false">TNPE!D25</f>
        <v>2157</v>
      </c>
      <c r="J25" s="42" t="n">
        <f aca="false">TNPE!E25</f>
        <v>7844</v>
      </c>
      <c r="K25" s="42" t="n">
        <f aca="false">TNPE!F25</f>
        <v>88045</v>
      </c>
      <c r="L25" s="39" t="n">
        <f aca="false">EP!C25</f>
        <v>98046</v>
      </c>
      <c r="M25" s="39" t="n">
        <f aca="false">EP!D25</f>
        <v>2157</v>
      </c>
      <c r="N25" s="39" t="n">
        <f aca="false">EP!E25</f>
        <v>7844</v>
      </c>
      <c r="O25" s="39" t="n">
        <f aca="false">EP!F25</f>
        <v>88045</v>
      </c>
      <c r="P25" s="39" t="n">
        <f aca="false">U3P!C25</f>
        <v>46454</v>
      </c>
      <c r="Q25" s="39" t="n">
        <f aca="false">U3P!D25</f>
        <v>582</v>
      </c>
      <c r="R25" s="39" t="n">
        <f aca="false">U3P!E25</f>
        <v>2106</v>
      </c>
      <c r="S25" s="39" t="n">
        <f aca="false">U3P!F25</f>
        <v>43766</v>
      </c>
      <c r="T25" s="39" t="n">
        <f aca="false">U6P!C25</f>
        <v>87000</v>
      </c>
      <c r="U25" s="39" t="n">
        <f aca="false">U6P!D25</f>
        <v>486</v>
      </c>
      <c r="V25" s="39" t="n">
        <f aca="false">U6P!E25</f>
        <v>10314</v>
      </c>
      <c r="W25" s="39" t="n">
        <f aca="false">U6P!F25</f>
        <v>76200</v>
      </c>
      <c r="X25" s="39" t="n">
        <f aca="false">ETPR!C25</f>
        <v>0.79</v>
      </c>
      <c r="Y25" s="39" t="n">
        <f aca="false">ETPR!D25</f>
        <v>0.76</v>
      </c>
      <c r="Z25" s="39" t="n">
        <f aca="false">ETPR!E25</f>
        <v>0.83</v>
      </c>
      <c r="AA25" s="39" t="n">
        <f aca="false">ETPR!F25</f>
        <v>0.79</v>
      </c>
      <c r="AB25" s="39" t="n">
        <f aca="false">U3TPR!C25</f>
        <v>0.0113</v>
      </c>
      <c r="AC25" s="39" t="n">
        <f aca="false">U3TPR!D25</f>
        <v>0.0094</v>
      </c>
      <c r="AD25" s="39" t="n">
        <f aca="false">U3TPR!E25</f>
        <v>0.0621</v>
      </c>
      <c r="AE25" s="39" t="n">
        <f aca="false">U3TPR!F25</f>
        <v>0.011</v>
      </c>
      <c r="AF25" s="39" t="n">
        <f aca="false">U6TPR!C25</f>
        <v>0.0251</v>
      </c>
      <c r="AG25" s="39" t="n">
        <f aca="false">U6TPR!D25</f>
        <v>0.0207</v>
      </c>
      <c r="AH25" s="39" t="n">
        <f aca="false">U6TPR!E25</f>
        <v>0.1882</v>
      </c>
      <c r="AI25" s="39" t="n">
        <f aca="false">U6TPR!F25</f>
        <v>0.0244</v>
      </c>
      <c r="AJ25" s="39" t="n">
        <f aca="false">LFPR!C25</f>
        <v>0.57</v>
      </c>
      <c r="AK25" s="39" t="n">
        <f aca="false">LFPR!D25</f>
        <v>0.41</v>
      </c>
      <c r="AL25" s="39" t="n">
        <f aca="false">LFPR!E25</f>
        <v>0.67</v>
      </c>
      <c r="AM25" s="39" t="n">
        <f aca="false">LFPR!F25</f>
        <v>0.57</v>
      </c>
      <c r="AN25" s="39" t="n">
        <f aca="false">U3R!C25</f>
        <v>0.045</v>
      </c>
      <c r="AO25" s="39" t="n">
        <f aca="false">U3R!D25</f>
        <v>0.048</v>
      </c>
      <c r="AP25" s="39" t="n">
        <f aca="false">U3R!E25</f>
        <v>0.062</v>
      </c>
      <c r="AQ25" s="39" t="n">
        <f aca="false">U3R!F25</f>
        <v>0.042</v>
      </c>
      <c r="AR25" s="39" t="n">
        <f aca="false">U6R!C25</f>
        <v>0.095</v>
      </c>
      <c r="AS25" s="39" t="n">
        <f aca="false">U6R!D25</f>
        <v>0.078</v>
      </c>
      <c r="AT25" s="39" t="n">
        <f aca="false">U6R!E25</f>
        <v>0.188</v>
      </c>
      <c r="AU25" s="39" t="n">
        <f aca="false">U6R!F25</f>
        <v>0.091</v>
      </c>
      <c r="AV25" s="39" t="n">
        <f aca="false">WAVG!C25</f>
        <v>16.8</v>
      </c>
      <c r="AW25" s="39" t="n">
        <f aca="false">WAVG!D25</f>
        <v>17.64</v>
      </c>
      <c r="AX25" s="39" t="n">
        <f aca="false">WAVG!E25</f>
        <v>13.44</v>
      </c>
      <c r="AY25" s="39" t="n">
        <f aca="false">WAVG!F25</f>
        <v>17</v>
      </c>
      <c r="AZ25" s="52" t="n">
        <f aca="false">WRAVG!C25</f>
        <v>9.5</v>
      </c>
      <c r="BA25" s="52" t="n">
        <f aca="false">WRAVG!D25</f>
        <v>32</v>
      </c>
      <c r="BB25" s="52" t="n">
        <f aca="false">WRAVG!E25</f>
        <v>16.8</v>
      </c>
      <c r="BC25" s="52" t="n">
        <f aca="false">WRAVG!F25</f>
        <v>9.98</v>
      </c>
      <c r="BD25" s="52" t="n">
        <f aca="false">WRAVG!G25</f>
        <v>33.92</v>
      </c>
      <c r="BE25" s="52" t="n">
        <f aca="false">WRAVG!H25</f>
        <v>17.64</v>
      </c>
      <c r="BF25" s="52" t="n">
        <f aca="false">WRAVG!I25</f>
        <v>6.65</v>
      </c>
      <c r="BG25" s="52" t="n">
        <f aca="false">WRAVG!J25</f>
        <v>25.6</v>
      </c>
      <c r="BH25" s="52" t="n">
        <f aca="false">WRAVG!K25</f>
        <v>13.44</v>
      </c>
      <c r="BI25" s="52" t="n">
        <f aca="false">WRAVG!L25</f>
        <v>9.6</v>
      </c>
      <c r="BJ25" s="52" t="n">
        <f aca="false">WRAVG!M25</f>
        <v>32.3</v>
      </c>
      <c r="BK25" s="52" t="n">
        <f aca="false">WRAVG!N25</f>
        <v>17</v>
      </c>
      <c r="BL25" s="61" t="n">
        <f aca="false">AIAVG!C25</f>
        <v>25600</v>
      </c>
      <c r="BM25" s="61" t="n">
        <f aca="false">AIAVG!D25</f>
        <v>26496</v>
      </c>
      <c r="BN25" s="61" t="n">
        <f aca="false">AIAVG!E25</f>
        <v>16640</v>
      </c>
      <c r="BO25" s="61" t="n">
        <f aca="false">AIAVG!F25</f>
        <v>25664</v>
      </c>
      <c r="BP25" s="61" t="n">
        <f aca="false">AIRAVG!C25</f>
        <v>19000</v>
      </c>
      <c r="BQ25" s="61" t="n">
        <f aca="false">AIRAVG!D25</f>
        <v>64000</v>
      </c>
      <c r="BR25" s="61" t="n">
        <f aca="false">AIRAVG!E25</f>
        <v>34960</v>
      </c>
      <c r="BS25" s="61" t="n">
        <f aca="false">AIRAVG!F25</f>
        <v>19950</v>
      </c>
      <c r="BT25" s="61" t="n">
        <f aca="false">AIRAVG!G25</f>
        <v>67840</v>
      </c>
      <c r="BU25" s="61" t="n">
        <f aca="false">AIRAVG!H25</f>
        <v>37152</v>
      </c>
      <c r="BV25" s="61" t="n">
        <f aca="false">AIRAVG!I25</f>
        <v>13300</v>
      </c>
      <c r="BW25" s="61" t="n">
        <f aca="false">AIRAVG!J25</f>
        <v>51200</v>
      </c>
      <c r="BX25" s="61" t="n">
        <f aca="false">AIRAVG!K25</f>
        <v>27968</v>
      </c>
      <c r="BY25" s="61" t="n">
        <f aca="false">AIRAVG!L25</f>
        <v>19200</v>
      </c>
      <c r="BZ25" s="61" t="n">
        <f aca="false">AIRAVG!M25</f>
        <v>64600</v>
      </c>
      <c r="CA25" s="61" t="n">
        <f aca="false">AIRAVG!N25</f>
        <v>35300</v>
      </c>
      <c r="CB25" s="3" t="n">
        <f aca="false">AWHW!C25</f>
        <v>33.5</v>
      </c>
      <c r="CC25" s="3" t="n">
        <f aca="false">AWHW!D25</f>
        <v>34</v>
      </c>
      <c r="CD25" s="3" t="n">
        <f aca="false">AWHW!E25</f>
        <v>32.5</v>
      </c>
      <c r="CE25" s="3" t="n">
        <f aca="false">AWHW!F25</f>
        <v>33.6</v>
      </c>
      <c r="CF25" s="3" t="n">
        <f aca="false">FTER!C25</f>
        <v>0.68</v>
      </c>
      <c r="CG25" s="3" t="n">
        <f aca="false">FTER!D25</f>
        <v>0.7</v>
      </c>
      <c r="CH25" s="3" t="n">
        <f aca="false">FTER!E25</f>
        <v>0.64</v>
      </c>
      <c r="CI25" s="3" t="n">
        <f aca="false">FTER!F25</f>
        <v>0.68</v>
      </c>
      <c r="CJ25" s="3" t="n">
        <f aca="false">PTER!C25</f>
        <v>0.32</v>
      </c>
      <c r="CK25" s="3" t="n">
        <f aca="false">PTER!D25</f>
        <v>0.3</v>
      </c>
      <c r="CL25" s="3" t="n">
        <f aca="false">PTER!E25</f>
        <v>0.36</v>
      </c>
      <c r="CM25" s="3" t="n">
        <f aca="false">PTER!F25</f>
        <v>0.32</v>
      </c>
      <c r="CN25" s="3"/>
      <c r="CO25" s="3"/>
      <c r="CP25" s="3"/>
      <c r="CQ25" s="3"/>
      <c r="CR25" s="3"/>
      <c r="CS25" s="3"/>
      <c r="CT25" s="3"/>
      <c r="CU25" s="3"/>
      <c r="CV25" s="3"/>
      <c r="CW25" s="3"/>
      <c r="CX25" s="3"/>
      <c r="CY25" s="3"/>
      <c r="CZ25" s="3"/>
      <c r="DA25" s="3"/>
      <c r="DB25" s="3"/>
      <c r="DC25" s="3"/>
      <c r="DD25" s="3"/>
      <c r="DE25" s="3"/>
      <c r="DJ25" s="39"/>
      <c r="DK25" s="3"/>
      <c r="DL25" s="3"/>
      <c r="DM25" s="3"/>
      <c r="DN25" s="3"/>
      <c r="DZ25" s="3"/>
      <c r="EA25" s="3"/>
      <c r="EB25" s="3"/>
      <c r="EC25" s="3"/>
      <c r="ED25" s="3"/>
      <c r="EE25" s="3"/>
      <c r="EF25" s="3"/>
      <c r="EG25" s="3"/>
      <c r="EH25" s="3"/>
      <c r="EI25" s="3"/>
      <c r="EJ25" s="3"/>
      <c r="EK25" s="3"/>
    </row>
    <row r="26" customFormat="false" ht="23.85" hidden="false" customHeight="false" outlineLevel="0" collapsed="false">
      <c r="A26" s="50" t="n">
        <v>22</v>
      </c>
      <c r="B26" s="39" t="n">
        <v>81</v>
      </c>
      <c r="C26" s="40" t="s">
        <v>1585</v>
      </c>
      <c r="D26" s="42" t="n">
        <f aca="false">LFP!C26</f>
        <v>66500</v>
      </c>
      <c r="E26" s="42" t="n">
        <f aca="false">LFP!D26</f>
        <v>1463</v>
      </c>
      <c r="F26" s="42" t="n">
        <f aca="false">LFP!E26</f>
        <v>5320</v>
      </c>
      <c r="G26" s="42" t="n">
        <f aca="false">LFP!F26</f>
        <v>59717</v>
      </c>
      <c r="H26" s="42" t="n">
        <f aca="false">TNPE!C26</f>
        <v>52381</v>
      </c>
      <c r="I26" s="42" t="n">
        <f aca="false">TNPE!D26</f>
        <v>1152</v>
      </c>
      <c r="J26" s="42" t="n">
        <f aca="false">TNPE!E26</f>
        <v>4190</v>
      </c>
      <c r="K26" s="42" t="n">
        <f aca="false">TNPE!F26</f>
        <v>47039</v>
      </c>
      <c r="L26" s="39" t="n">
        <f aca="false">EP!C26</f>
        <v>52381</v>
      </c>
      <c r="M26" s="39" t="n">
        <f aca="false">EP!D26</f>
        <v>1152</v>
      </c>
      <c r="N26" s="39" t="n">
        <f aca="false">EP!E26</f>
        <v>4190</v>
      </c>
      <c r="O26" s="39" t="n">
        <f aca="false">EP!F26</f>
        <v>47039</v>
      </c>
      <c r="P26" s="39" t="n">
        <f aca="false">U3P!C26</f>
        <v>12719</v>
      </c>
      <c r="Q26" s="39" t="n">
        <f aca="false">U3P!D26</f>
        <v>311</v>
      </c>
      <c r="R26" s="39" t="n">
        <f aca="false">U3P!E26</f>
        <v>1130</v>
      </c>
      <c r="S26" s="39" t="n">
        <f aca="false">U3P!F26</f>
        <v>11278</v>
      </c>
      <c r="T26" s="39" t="n">
        <f aca="false">U6P!C26</f>
        <v>23800</v>
      </c>
      <c r="U26" s="39" t="n">
        <f aca="false">U6P!D26</f>
        <v>496</v>
      </c>
      <c r="V26" s="39" t="n">
        <f aca="false">U6P!E26</f>
        <v>3620</v>
      </c>
      <c r="W26" s="39" t="n">
        <f aca="false">U6P!F26</f>
        <v>19684</v>
      </c>
      <c r="X26" s="39" t="n">
        <f aca="false">ETPR!C26</f>
        <v>0.79</v>
      </c>
      <c r="Y26" s="39" t="n">
        <f aca="false">ETPR!D26</f>
        <v>0.76</v>
      </c>
      <c r="Z26" s="39" t="n">
        <f aca="false">ETPR!E26</f>
        <v>0.83</v>
      </c>
      <c r="AA26" s="39" t="n">
        <f aca="false">ETPR!F26</f>
        <v>0.79</v>
      </c>
      <c r="AB26" s="39" t="n">
        <f aca="false">U3TPR!C26</f>
        <v>0.0031</v>
      </c>
      <c r="AC26" s="39" t="n">
        <f aca="false">U3TPR!D26</f>
        <v>0.0026</v>
      </c>
      <c r="AD26" s="39" t="n">
        <f aca="false">U3TPR!E26</f>
        <v>0.0345</v>
      </c>
      <c r="AE26" s="39" t="n">
        <f aca="false">U3TPR!F26</f>
        <v>0.003</v>
      </c>
      <c r="AF26" s="39" t="n">
        <f aca="false">U6TPR!C26</f>
        <v>0.0069</v>
      </c>
      <c r="AG26" s="39" t="n">
        <f aca="false">U6TPR!D26</f>
        <v>0.0057</v>
      </c>
      <c r="AH26" s="39" t="n">
        <f aca="false">U6TPR!E26</f>
        <v>0.1046</v>
      </c>
      <c r="AI26" s="39" t="n">
        <f aca="false">U6TPR!F26</f>
        <v>0.0067</v>
      </c>
      <c r="AJ26" s="39" t="n">
        <f aca="false">LFPR!C26</f>
        <v>0.56</v>
      </c>
      <c r="AK26" s="39" t="n">
        <f aca="false">LFPR!D26</f>
        <v>0.4</v>
      </c>
      <c r="AL26" s="39" t="n">
        <f aca="false">LFPR!E26</f>
        <v>0.66</v>
      </c>
      <c r="AM26" s="39" t="n">
        <f aca="false">LFPR!F26</f>
        <v>0.56</v>
      </c>
      <c r="AN26" s="39" t="n">
        <f aca="false">U3R!C26</f>
        <v>0.028</v>
      </c>
      <c r="AO26" s="39" t="n">
        <f aca="false">U3R!D26</f>
        <v>0.03</v>
      </c>
      <c r="AP26" s="39" t="n">
        <f aca="false">U3R!E26</f>
        <v>0.04</v>
      </c>
      <c r="AQ26" s="39" t="n">
        <f aca="false">U3R!F26</f>
        <v>0.027</v>
      </c>
      <c r="AR26" s="39" t="n">
        <f aca="false">U6R!C26</f>
        <v>0.055</v>
      </c>
      <c r="AS26" s="39" t="n">
        <f aca="false">U6R!D26</f>
        <v>0.045</v>
      </c>
      <c r="AT26" s="39" t="n">
        <f aca="false">U6R!E26</f>
        <v>0.105</v>
      </c>
      <c r="AU26" s="39" t="n">
        <f aca="false">U6R!F26</f>
        <v>0.053</v>
      </c>
      <c r="AV26" s="39" t="n">
        <f aca="false">WAVG!C26</f>
        <v>26.1</v>
      </c>
      <c r="AW26" s="39" t="n">
        <f aca="false">WAVG!D26</f>
        <v>27.41</v>
      </c>
      <c r="AX26" s="39" t="n">
        <f aca="false">WAVG!E26</f>
        <v>20.88</v>
      </c>
      <c r="AY26" s="39" t="n">
        <f aca="false">WAVG!F26</f>
        <v>26.35</v>
      </c>
      <c r="AZ26" s="52" t="n">
        <f aca="false">WRAVG!C26</f>
        <v>14</v>
      </c>
      <c r="BA26" s="52" t="n">
        <f aca="false">WRAVG!D26</f>
        <v>48</v>
      </c>
      <c r="BB26" s="52" t="n">
        <f aca="false">WRAVG!E26</f>
        <v>26.1</v>
      </c>
      <c r="BC26" s="52" t="n">
        <f aca="false">WRAVG!F26</f>
        <v>14.7</v>
      </c>
      <c r="BD26" s="52" t="n">
        <f aca="false">WRAVG!G26</f>
        <v>50.88</v>
      </c>
      <c r="BE26" s="52" t="n">
        <f aca="false">WRAVG!H26</f>
        <v>27.41</v>
      </c>
      <c r="BF26" s="52" t="n">
        <f aca="false">WRAVG!I26</f>
        <v>9.8</v>
      </c>
      <c r="BG26" s="52" t="n">
        <f aca="false">WRAVG!J26</f>
        <v>38.4</v>
      </c>
      <c r="BH26" s="52" t="n">
        <f aca="false">WRAVG!K26</f>
        <v>20.88</v>
      </c>
      <c r="BI26" s="52" t="n">
        <f aca="false">WRAVG!L26</f>
        <v>14.14</v>
      </c>
      <c r="BJ26" s="52" t="n">
        <f aca="false">WRAVG!M26</f>
        <v>48.5</v>
      </c>
      <c r="BK26" s="52" t="n">
        <f aca="false">WRAVG!N26</f>
        <v>26.35</v>
      </c>
      <c r="BL26" s="61" t="n">
        <f aca="false">AIAVG!C26</f>
        <v>46250</v>
      </c>
      <c r="BM26" s="61" t="n">
        <f aca="false">AIAVG!D26</f>
        <v>47638</v>
      </c>
      <c r="BN26" s="61" t="n">
        <f aca="false">AIAVG!E26</f>
        <v>32375</v>
      </c>
      <c r="BO26" s="61" t="n">
        <f aca="false">AIAVG!F26</f>
        <v>46431</v>
      </c>
      <c r="BP26" s="61" t="n">
        <f aca="false">AIRAVG!C26</f>
        <v>28000</v>
      </c>
      <c r="BQ26" s="61" t="n">
        <f aca="false">AIRAVG!D26</f>
        <v>96000</v>
      </c>
      <c r="BR26" s="61" t="n">
        <f aca="false">AIRAVG!E26</f>
        <v>52200</v>
      </c>
      <c r="BS26" s="61" t="n">
        <f aca="false">AIRAVG!F26</f>
        <v>29400</v>
      </c>
      <c r="BT26" s="61" t="n">
        <f aca="false">AIRAVG!G26</f>
        <v>101760</v>
      </c>
      <c r="BU26" s="61" t="n">
        <f aca="false">AIRAVG!H26</f>
        <v>54810</v>
      </c>
      <c r="BV26" s="61" t="n">
        <f aca="false">AIRAVG!I26</f>
        <v>19600</v>
      </c>
      <c r="BW26" s="61" t="n">
        <f aca="false">AIRAVG!J26</f>
        <v>76800</v>
      </c>
      <c r="BX26" s="61" t="n">
        <f aca="false">AIRAVG!K26</f>
        <v>41760</v>
      </c>
      <c r="BY26" s="61" t="n">
        <f aca="false">AIRAVG!L26</f>
        <v>28280</v>
      </c>
      <c r="BZ26" s="61" t="n">
        <f aca="false">AIRAVG!M26</f>
        <v>97000</v>
      </c>
      <c r="CA26" s="61" t="n">
        <f aca="false">AIRAVG!N26</f>
        <v>52600</v>
      </c>
      <c r="CB26" s="3" t="n">
        <f aca="false">AWHW!C26</f>
        <v>36</v>
      </c>
      <c r="CC26" s="3" t="n">
        <f aca="false">AWHW!D26</f>
        <v>36.5</v>
      </c>
      <c r="CD26" s="3" t="n">
        <f aca="false">AWHW!E26</f>
        <v>35</v>
      </c>
      <c r="CE26" s="3" t="n">
        <f aca="false">AWHW!F26</f>
        <v>36.1</v>
      </c>
      <c r="CF26" s="3" t="n">
        <f aca="false">FTER!C26</f>
        <v>0.78</v>
      </c>
      <c r="CG26" s="3" t="n">
        <f aca="false">FTER!D26</f>
        <v>0.8</v>
      </c>
      <c r="CH26" s="3" t="n">
        <f aca="false">FTER!E26</f>
        <v>0.74</v>
      </c>
      <c r="CI26" s="3" t="n">
        <f aca="false">FTER!F26</f>
        <v>0.78</v>
      </c>
      <c r="CJ26" s="3" t="n">
        <f aca="false">PTER!C26</f>
        <v>0.22</v>
      </c>
      <c r="CK26" s="3" t="n">
        <f aca="false">PTER!D26</f>
        <v>0.2</v>
      </c>
      <c r="CL26" s="3" t="n">
        <f aca="false">PTER!E26</f>
        <v>0.26</v>
      </c>
      <c r="CM26" s="3" t="n">
        <f aca="false">PTER!F26</f>
        <v>0.22</v>
      </c>
      <c r="CN26" s="3"/>
      <c r="CO26" s="3"/>
      <c r="CP26" s="3"/>
      <c r="CQ26" s="3"/>
      <c r="CR26" s="3"/>
      <c r="CS26" s="3"/>
      <c r="CT26" s="3"/>
      <c r="CU26" s="3"/>
      <c r="CV26" s="3"/>
      <c r="CW26" s="3"/>
      <c r="CX26" s="3"/>
      <c r="CY26" s="3"/>
      <c r="CZ26" s="3"/>
      <c r="DA26" s="3"/>
      <c r="DB26" s="3"/>
      <c r="DC26" s="3"/>
      <c r="DD26" s="3"/>
      <c r="DE26" s="3"/>
      <c r="DJ26" s="39"/>
      <c r="DK26" s="3"/>
      <c r="DL26" s="3"/>
      <c r="DM26" s="3"/>
      <c r="DN26" s="3"/>
      <c r="DZ26" s="3"/>
      <c r="EA26" s="3"/>
      <c r="EB26" s="3"/>
      <c r="EC26" s="3"/>
      <c r="ED26" s="3"/>
      <c r="EE26" s="3"/>
      <c r="EF26" s="3"/>
      <c r="EG26" s="3"/>
      <c r="EH26" s="3"/>
      <c r="EI26" s="3"/>
      <c r="EJ26" s="3"/>
      <c r="EK26" s="3"/>
    </row>
    <row r="27" customFormat="false" ht="12.8" hidden="false" customHeight="false" outlineLevel="0" collapsed="false">
      <c r="A27" s="50" t="n">
        <v>23</v>
      </c>
      <c r="B27" s="39" t="n">
        <v>92</v>
      </c>
      <c r="C27" s="39" t="s">
        <v>1586</v>
      </c>
      <c r="D27" s="42" t="n">
        <f aca="false">LFP!C27</f>
        <v>95000</v>
      </c>
      <c r="E27" s="42" t="n">
        <f aca="false">LFP!D27</f>
        <v>2090</v>
      </c>
      <c r="F27" s="42" t="n">
        <f aca="false">LFP!E27</f>
        <v>3420</v>
      </c>
      <c r="G27" s="42" t="n">
        <f aca="false">LFP!F27</f>
        <v>89490</v>
      </c>
      <c r="H27" s="42" t="n">
        <f aca="false">TNPE!C27</f>
        <v>76557</v>
      </c>
      <c r="I27" s="42" t="n">
        <f aca="false">TNPE!D27</f>
        <v>1684</v>
      </c>
      <c r="J27" s="42" t="n">
        <f aca="false">TNPE!E27</f>
        <v>2756</v>
      </c>
      <c r="K27" s="42" t="n">
        <f aca="false">TNPE!F27</f>
        <v>72117</v>
      </c>
      <c r="L27" s="39" t="n">
        <f aca="false">EP!C27</f>
        <v>76557</v>
      </c>
      <c r="M27" s="39" t="n">
        <f aca="false">EP!D27</f>
        <v>1684</v>
      </c>
      <c r="N27" s="39" t="n">
        <f aca="false">EP!E27</f>
        <v>2756</v>
      </c>
      <c r="O27" s="39" t="n">
        <f aca="false">EP!F27</f>
        <v>72117</v>
      </c>
      <c r="P27" s="39" t="n">
        <f aca="false">U3P!C27</f>
        <v>24443</v>
      </c>
      <c r="Q27" s="39" t="n">
        <f aca="false">U3P!D27</f>
        <v>406</v>
      </c>
      <c r="R27" s="39" t="n">
        <f aca="false">U3P!E27</f>
        <v>664</v>
      </c>
      <c r="S27" s="39" t="n">
        <f aca="false">U3P!F27</f>
        <v>23373</v>
      </c>
      <c r="T27" s="39" t="n">
        <f aca="false">U6P!C27</f>
        <v>45800</v>
      </c>
      <c r="U27" s="39" t="n">
        <f aca="false">U6P!D27</f>
        <v>632</v>
      </c>
      <c r="V27" s="39" t="n">
        <f aca="false">U6P!E27</f>
        <v>1772</v>
      </c>
      <c r="W27" s="39" t="n">
        <f aca="false">U6P!F27</f>
        <v>43396</v>
      </c>
      <c r="X27" s="39" t="n">
        <f aca="false">ETPR!C27</f>
        <v>0.81</v>
      </c>
      <c r="Y27" s="39" t="n">
        <f aca="false">ETPR!D27</f>
        <v>0.78</v>
      </c>
      <c r="Z27" s="39" t="n">
        <f aca="false">ETPR!E27</f>
        <v>0.85</v>
      </c>
      <c r="AA27" s="39" t="n">
        <f aca="false">ETPR!F27</f>
        <v>0.81</v>
      </c>
      <c r="AB27" s="39" t="n">
        <f aca="false">U3TPR!C27</f>
        <v>0.0059</v>
      </c>
      <c r="AC27" s="39" t="n">
        <f aca="false">U3TPR!D27</f>
        <v>0.0049</v>
      </c>
      <c r="AD27" s="39" t="n">
        <f aca="false">U3TPR!E27</f>
        <v>0.0386</v>
      </c>
      <c r="AE27" s="39" t="n">
        <f aca="false">U3TPR!F27</f>
        <v>0.0057</v>
      </c>
      <c r="AF27" s="39" t="n">
        <f aca="false">U6TPR!C27</f>
        <v>0.0131</v>
      </c>
      <c r="AG27" s="39" t="n">
        <f aca="false">U6TPR!D27</f>
        <v>0.0108</v>
      </c>
      <c r="AH27" s="39" t="n">
        <f aca="false">U6TPR!E27</f>
        <v>0.117</v>
      </c>
      <c r="AI27" s="39" t="n">
        <f aca="false">U6TPR!F27</f>
        <v>0.0128</v>
      </c>
      <c r="AJ27" s="39" t="n">
        <f aca="false">LFPR!C27</f>
        <v>0.62</v>
      </c>
      <c r="AK27" s="39" t="n">
        <f aca="false">LFPR!D27</f>
        <v>0.44</v>
      </c>
      <c r="AL27" s="39" t="n">
        <f aca="false">LFPR!E27</f>
        <v>0.72</v>
      </c>
      <c r="AM27" s="39" t="n">
        <f aca="false">LFPR!F27</f>
        <v>0.62</v>
      </c>
      <c r="AN27" s="39" t="n">
        <f aca="false">U3R!C27</f>
        <v>0.018</v>
      </c>
      <c r="AO27" s="39" t="n">
        <f aca="false">U3R!D27</f>
        <v>0.019</v>
      </c>
      <c r="AP27" s="39" t="n">
        <f aca="false">U3R!E27</f>
        <v>0.022</v>
      </c>
      <c r="AQ27" s="39" t="n">
        <f aca="false">U3R!F27</f>
        <v>0.018</v>
      </c>
      <c r="AR27" s="39" t="n">
        <f aca="false">U6R!C27</f>
        <v>0.038</v>
      </c>
      <c r="AS27" s="39" t="n">
        <f aca="false">U6R!D27</f>
        <v>0.031</v>
      </c>
      <c r="AT27" s="39" t="n">
        <f aca="false">U6R!E27</f>
        <v>0.117</v>
      </c>
      <c r="AU27" s="39" t="n">
        <f aca="false">U6R!F27</f>
        <v>0.036</v>
      </c>
      <c r="AV27" s="39" t="n">
        <f aca="false">WAVG!C27</f>
        <v>38.9</v>
      </c>
      <c r="AW27" s="39" t="n">
        <f aca="false">WAVG!D27</f>
        <v>40.85</v>
      </c>
      <c r="AX27" s="39" t="n">
        <f aca="false">WAVG!E27</f>
        <v>33.07</v>
      </c>
      <c r="AY27" s="39" t="n">
        <f aca="false">WAVG!F27</f>
        <v>39.29</v>
      </c>
      <c r="AZ27" s="52" t="n">
        <f aca="false">WRAVG!C27</f>
        <v>22</v>
      </c>
      <c r="BA27" s="52" t="n">
        <f aca="false">WRAVG!D27</f>
        <v>72</v>
      </c>
      <c r="BB27" s="52" t="n">
        <f aca="false">WRAVG!E27</f>
        <v>38.9</v>
      </c>
      <c r="BC27" s="52" t="n">
        <f aca="false">WRAVG!F27</f>
        <v>23.1</v>
      </c>
      <c r="BD27" s="52" t="n">
        <f aca="false">WRAVG!G27</f>
        <v>76.32</v>
      </c>
      <c r="BE27" s="52" t="n">
        <f aca="false">WRAVG!H27</f>
        <v>40.85</v>
      </c>
      <c r="BF27" s="52" t="n">
        <f aca="false">WRAVG!I27</f>
        <v>15.4</v>
      </c>
      <c r="BG27" s="52" t="n">
        <f aca="false">WRAVG!J27</f>
        <v>57.6</v>
      </c>
      <c r="BH27" s="52" t="n">
        <f aca="false">WRAVG!K27</f>
        <v>33.07</v>
      </c>
      <c r="BI27" s="52" t="n">
        <f aca="false">WRAVG!L27</f>
        <v>22.2</v>
      </c>
      <c r="BJ27" s="52" t="n">
        <f aca="false">WRAVG!M27</f>
        <v>72.7</v>
      </c>
      <c r="BK27" s="52" t="n">
        <f aca="false">WRAVG!N27</f>
        <v>39.29</v>
      </c>
      <c r="BL27" s="61" t="n">
        <f aca="false">AIAVG!C27</f>
        <v>72800</v>
      </c>
      <c r="BM27" s="61" t="n">
        <f aca="false">AIAVG!D27</f>
        <v>73992</v>
      </c>
      <c r="BN27" s="61" t="n">
        <f aca="false">AIAVG!E27</f>
        <v>58240</v>
      </c>
      <c r="BO27" s="61" t="n">
        <f aca="false">AIAVG!F27</f>
        <v>72984</v>
      </c>
      <c r="BP27" s="61" t="n">
        <f aca="false">AIRAVG!C27</f>
        <v>44000</v>
      </c>
      <c r="BQ27" s="61" t="n">
        <f aca="false">AIRAVG!D27</f>
        <v>144000</v>
      </c>
      <c r="BR27" s="61" t="n">
        <f aca="false">AIRAVG!E27</f>
        <v>80800</v>
      </c>
      <c r="BS27" s="61" t="n">
        <f aca="false">AIRAVG!F27</f>
        <v>46200</v>
      </c>
      <c r="BT27" s="61" t="n">
        <f aca="false">AIRAVG!G27</f>
        <v>152640</v>
      </c>
      <c r="BU27" s="61" t="n">
        <f aca="false">AIRAVG!H27</f>
        <v>84840</v>
      </c>
      <c r="BV27" s="61" t="n">
        <f aca="false">AIRAVG!I27</f>
        <v>30800</v>
      </c>
      <c r="BW27" s="61" t="n">
        <f aca="false">AIRAVG!J27</f>
        <v>115200</v>
      </c>
      <c r="BX27" s="61" t="n">
        <f aca="false">AIRAVG!K27</f>
        <v>64640</v>
      </c>
      <c r="BY27" s="61" t="n">
        <f aca="false">AIRAVG!L27</f>
        <v>44400</v>
      </c>
      <c r="BZ27" s="61" t="n">
        <f aca="false">AIRAVG!M27</f>
        <v>145400</v>
      </c>
      <c r="CA27" s="61" t="n">
        <f aca="false">AIRAVG!N27</f>
        <v>81800</v>
      </c>
      <c r="CB27" s="3" t="n">
        <f aca="false">AWHW!C27</f>
        <v>39.5</v>
      </c>
      <c r="CC27" s="3" t="n">
        <f aca="false">AWHW!D27</f>
        <v>40</v>
      </c>
      <c r="CD27" s="3" t="n">
        <f aca="false">AWHW!E27</f>
        <v>38</v>
      </c>
      <c r="CE27" s="3" t="n">
        <f aca="false">AWHW!F27</f>
        <v>39.6</v>
      </c>
      <c r="CF27" s="3" t="n">
        <f aca="false">FTER!C27</f>
        <v>0.88</v>
      </c>
      <c r="CG27" s="3" t="n">
        <f aca="false">FTER!D27</f>
        <v>0.89</v>
      </c>
      <c r="CH27" s="3" t="n">
        <f aca="false">FTER!E27</f>
        <v>0.85</v>
      </c>
      <c r="CI27" s="3" t="n">
        <f aca="false">FTER!F27</f>
        <v>0.88</v>
      </c>
      <c r="CJ27" s="3" t="n">
        <f aca="false">PTER!C27</f>
        <v>0.12</v>
      </c>
      <c r="CK27" s="3" t="n">
        <f aca="false">PTER!D27</f>
        <v>0.11</v>
      </c>
      <c r="CL27" s="3" t="n">
        <f aca="false">PTER!E27</f>
        <v>0.15</v>
      </c>
      <c r="CM27" s="3" t="n">
        <f aca="false">PTER!F27</f>
        <v>0.12</v>
      </c>
      <c r="CN27" s="3"/>
      <c r="CO27" s="3"/>
      <c r="CP27" s="3"/>
      <c r="CQ27" s="3"/>
      <c r="CR27" s="3"/>
      <c r="CS27" s="3"/>
      <c r="CT27" s="3"/>
      <c r="CU27" s="3"/>
      <c r="CV27" s="3"/>
      <c r="CW27" s="3"/>
      <c r="CX27" s="3"/>
      <c r="CY27" s="3"/>
      <c r="CZ27" s="3"/>
      <c r="DA27" s="3"/>
      <c r="DB27" s="3"/>
      <c r="DC27" s="3"/>
      <c r="DD27" s="3"/>
      <c r="DE27" s="3"/>
      <c r="DJ27" s="39"/>
      <c r="DK27" s="3"/>
      <c r="DL27" s="3"/>
      <c r="DM27" s="3"/>
      <c r="DN27" s="3"/>
      <c r="DZ27" s="3"/>
      <c r="EA27" s="3"/>
      <c r="EB27" s="3"/>
      <c r="EC27" s="3"/>
      <c r="ED27" s="3"/>
      <c r="EE27" s="3"/>
      <c r="EF27" s="3"/>
      <c r="EG27" s="3"/>
      <c r="EH27" s="3"/>
      <c r="EI27" s="3"/>
      <c r="EJ27" s="3"/>
      <c r="EK27" s="3"/>
    </row>
  </sheetData>
  <mergeCells count="37">
    <mergeCell ref="A2:C2"/>
    <mergeCell ref="D2:G2"/>
    <mergeCell ref="H2:K2"/>
    <mergeCell ref="L2:O2"/>
    <mergeCell ref="P2:S2"/>
    <mergeCell ref="T2:W2"/>
    <mergeCell ref="X2:AA2"/>
    <mergeCell ref="AB2:AE2"/>
    <mergeCell ref="AF2:AI2"/>
    <mergeCell ref="AJ2:AM2"/>
    <mergeCell ref="AN2:AQ2"/>
    <mergeCell ref="AR2:AU2"/>
    <mergeCell ref="AV2:AY2"/>
    <mergeCell ref="AZ2:BB2"/>
    <mergeCell ref="BC2:BE2"/>
    <mergeCell ref="BF2:BH2"/>
    <mergeCell ref="BI2:BK2"/>
    <mergeCell ref="BL2:BO2"/>
    <mergeCell ref="BP2:BR2"/>
    <mergeCell ref="BS2:BU2"/>
    <mergeCell ref="BV2:BX2"/>
    <mergeCell ref="BY2:CA2"/>
    <mergeCell ref="CB2:CE2"/>
    <mergeCell ref="CF2:CI2"/>
    <mergeCell ref="CJ2:CM2"/>
    <mergeCell ref="CN2:CS2"/>
    <mergeCell ref="CT2:CW2"/>
    <mergeCell ref="CX2:DA2"/>
    <mergeCell ref="DB2:DE2"/>
    <mergeCell ref="DF2:DI2"/>
    <mergeCell ref="DJ2:DM2"/>
    <mergeCell ref="DN2:DQ2"/>
    <mergeCell ref="DR2:DU2"/>
    <mergeCell ref="DV2:DY2"/>
    <mergeCell ref="DZ2:EC2"/>
    <mergeCell ref="ED2:EG2"/>
    <mergeCell ref="EH2:EK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H201"/>
  <sheetViews>
    <sheetView showFormulas="false" showGridLines="true" showRowColHeaders="true" showZeros="true" rightToLeft="false" tabSelected="false" showOutlineSymbols="true" defaultGridColor="true" view="normal" topLeftCell="A106" colorId="64" zoomScale="65" zoomScaleNormal="65" zoomScalePageLayoutView="100" workbookViewId="0">
      <selection pane="topLeft" activeCell="A137" activeCellId="0" sqref="A137"/>
    </sheetView>
  </sheetViews>
  <sheetFormatPr defaultColWidth="11.53515625" defaultRowHeight="12.8" customHeight="false" zeroHeight="false" outlineLevelRow="0" outlineLevelCol="0"/>
  <cols>
    <col collapsed="false" customWidth="true" hidden="false" outlineLevel="0" max="1" min="1" style="62" width="27.68"/>
    <col collapsed="false" customWidth="true" hidden="false" outlineLevel="0" max="2" min="2" style="63" width="29.97"/>
    <col collapsed="false" customWidth="true" hidden="false" outlineLevel="0" max="3" min="3" style="63" width="16.84"/>
    <col collapsed="false" customWidth="true" hidden="false" outlineLevel="0" max="8" min="4" style="64" width="16.84"/>
  </cols>
  <sheetData>
    <row r="1" customFormat="false" ht="12.9" hidden="false" customHeight="false" outlineLevel="0" collapsed="false">
      <c r="A1" s="65" t="s">
        <v>1587</v>
      </c>
      <c r="B1" s="66" t="s">
        <v>1588</v>
      </c>
      <c r="C1" s="56" t="s">
        <v>2</v>
      </c>
      <c r="D1" s="67" t="s">
        <v>1589</v>
      </c>
    </row>
    <row r="2" customFormat="false" ht="12.8" hidden="false" customHeight="false" outlineLevel="0" collapsed="false">
      <c r="A2" s="65" t="str">
        <f aca="false">_xlfn.CONCAT($A$1, ".", "CALC")</f>
        <v>LSD.RID.0.AL.TNPE.CALC</v>
      </c>
      <c r="B2" s="66" t="str">
        <f aca="false">_xlfn.CONCAT($B$1, " ", "Calculations")</f>
        <v>Alabama Labor Force Population Calculations</v>
      </c>
      <c r="C2" s="56" t="str">
        <f aca="false">CALC!H2</f>
        <v>Total Nonfarm Payroll Employment (TNPE)</v>
      </c>
      <c r="D2" s="56"/>
      <c r="E2" s="56"/>
      <c r="F2" s="56"/>
    </row>
    <row r="3" customFormat="false" ht="12.8" hidden="false" customHeight="false" outlineLevel="0" collapsed="false">
      <c r="A3" s="65" t="str">
        <f aca="false">CALC!A3</f>
        <v>LSID</v>
      </c>
      <c r="B3" s="42" t="str">
        <f aca="false">CALC!C3</f>
        <v>Labor Sector</v>
      </c>
      <c r="C3" s="59" t="str">
        <f aca="false">CALC!H3</f>
        <v>Overall TNPE</v>
      </c>
      <c r="D3" s="59" t="str">
        <f aca="false">CALC!I3</f>
        <v>Authorized TNPE</v>
      </c>
      <c r="E3" s="59" t="str">
        <f aca="false">CALC!J3</f>
        <v>Unauthorized TNPE</v>
      </c>
      <c r="F3" s="59" t="str">
        <f aca="false">CALC!K3</f>
        <v>American TNPE</v>
      </c>
      <c r="H3" s="49"/>
    </row>
    <row r="4" customFormat="false" ht="12.8" hidden="false" customHeight="false" outlineLevel="0" collapsed="false">
      <c r="A4" s="65" t="str">
        <f aca="false">_xlfn.CONCAT($A$1, ".", CALC!A4)</f>
        <v>LSD.RID.0.AL.TNPE.0</v>
      </c>
      <c r="B4" s="42" t="str">
        <f aca="false">CALC!C4</f>
        <v>All Industries</v>
      </c>
      <c r="C4" s="39" t="n">
        <v>2211200</v>
      </c>
      <c r="D4" s="39" t="n">
        <v>81814</v>
      </c>
      <c r="E4" s="39" t="n">
        <v>48646</v>
      </c>
      <c r="F4" s="39" t="n">
        <v>2080740</v>
      </c>
      <c r="G4" s="39"/>
      <c r="H4" s="39"/>
    </row>
    <row r="5" customFormat="false" ht="23.85" hidden="false" customHeight="false" outlineLevel="0" collapsed="false">
      <c r="A5" s="65" t="str">
        <f aca="false">_xlfn.CONCAT($A$1, ".", CALC!A5)</f>
        <v>LSD.RID.0.AL.TNPE.1</v>
      </c>
      <c r="B5" s="68" t="str">
        <f aca="false">CALC!C5</f>
        <v>Agriculture, Forestry, 
Fishing and Hunting</v>
      </c>
      <c r="C5" s="39" t="n">
        <v>33500</v>
      </c>
      <c r="D5" s="39" t="n">
        <v>1240</v>
      </c>
      <c r="E5" s="39" t="n">
        <v>884</v>
      </c>
      <c r="F5" s="39" t="n">
        <v>31376</v>
      </c>
      <c r="G5" s="39"/>
      <c r="H5" s="39"/>
    </row>
    <row r="6" customFormat="false" ht="23.85" hidden="false" customHeight="false" outlineLevel="0" collapsed="false">
      <c r="A6" s="65" t="str">
        <f aca="false">_xlfn.CONCAT($A$1, ".", CALC!A6)</f>
        <v>LSD.RID.0.AL.TNPE.2</v>
      </c>
      <c r="B6" s="68" t="str">
        <f aca="false">CALC!C6</f>
        <v>Mining, Quarrying, and
Oil and Gas Extraction</v>
      </c>
      <c r="C6" s="39" t="n">
        <v>4800</v>
      </c>
      <c r="D6" s="39" t="n">
        <v>178</v>
      </c>
      <c r="E6" s="39" t="n">
        <v>106</v>
      </c>
      <c r="F6" s="39" t="n">
        <v>4516</v>
      </c>
      <c r="G6" s="39"/>
      <c r="H6" s="39"/>
    </row>
    <row r="7" customFormat="false" ht="12.8" hidden="false" customHeight="false" outlineLevel="0" collapsed="false">
      <c r="A7" s="65" t="str">
        <f aca="false">_xlfn.CONCAT($A$1, ".", CALC!A7)</f>
        <v>LSD.RID.0.AL.TNPE.3</v>
      </c>
      <c r="B7" s="42" t="str">
        <f aca="false">CALC!C7</f>
        <v>Utilities</v>
      </c>
      <c r="C7" s="39" t="n">
        <v>7100</v>
      </c>
      <c r="D7" s="39" t="n">
        <v>263</v>
      </c>
      <c r="E7" s="39" t="n">
        <v>156</v>
      </c>
      <c r="F7" s="39" t="n">
        <v>6681</v>
      </c>
      <c r="G7" s="39"/>
      <c r="H7" s="39"/>
    </row>
    <row r="8" customFormat="false" ht="12.8" hidden="false" customHeight="false" outlineLevel="0" collapsed="false">
      <c r="A8" s="65" t="str">
        <f aca="false">_xlfn.CONCAT($A$1, ".", CALC!A8)</f>
        <v>LSD.RID.0.AL.TNPE.4</v>
      </c>
      <c r="B8" s="42" t="str">
        <f aca="false">CALC!C8</f>
        <v>Construction</v>
      </c>
      <c r="C8" s="39" t="n">
        <v>56600</v>
      </c>
      <c r="D8" s="39" t="n">
        <v>2094</v>
      </c>
      <c r="E8" s="39" t="n">
        <v>1681</v>
      </c>
      <c r="F8" s="39" t="n">
        <v>52825</v>
      </c>
      <c r="G8" s="39"/>
      <c r="H8" s="39"/>
    </row>
    <row r="9" customFormat="false" ht="23.85" hidden="false" customHeight="false" outlineLevel="0" collapsed="false">
      <c r="A9" s="65" t="str">
        <f aca="false">_xlfn.CONCAT($A$1, ".", CALC!A9)</f>
        <v>LSD.RID.0.AL.TNPE.5</v>
      </c>
      <c r="B9" s="68" t="str">
        <f aca="false">CALC!C9</f>
        <v>Manufacturing
(Food,Textile, etc.)</v>
      </c>
      <c r="C9" s="39" t="n">
        <v>47009</v>
      </c>
      <c r="D9" s="39" t="n">
        <v>1034</v>
      </c>
      <c r="E9" s="39" t="n">
        <v>3761</v>
      </c>
      <c r="F9" s="39" t="n">
        <v>42214</v>
      </c>
      <c r="G9" s="39"/>
      <c r="H9" s="39"/>
    </row>
    <row r="10" customFormat="false" ht="23.85" hidden="false" customHeight="false" outlineLevel="0" collapsed="false">
      <c r="A10" s="65" t="str">
        <f aca="false">_xlfn.CONCAT($A$1, ".", CALC!A10)</f>
        <v>LSD.RID.0.AL.TNPE.6</v>
      </c>
      <c r="B10" s="68" t="str">
        <f aca="false">CALC!C10</f>
        <v>Manufacturing (Wood,
Paper, Printing, etc.)</v>
      </c>
      <c r="C10" s="39" t="n">
        <v>41636</v>
      </c>
      <c r="D10" s="39" t="n">
        <v>916</v>
      </c>
      <c r="E10" s="39" t="n">
        <v>1499</v>
      </c>
      <c r="F10" s="39" t="n">
        <v>39221</v>
      </c>
      <c r="G10" s="39"/>
      <c r="H10" s="39"/>
    </row>
    <row r="11" customFormat="false" ht="23.85" hidden="false" customHeight="false" outlineLevel="0" collapsed="false">
      <c r="A11" s="65" t="str">
        <f aca="false">_xlfn.CONCAT($A$1, ".", CALC!A11)</f>
        <v>LSD.RID.0.AL.TNPE.7</v>
      </c>
      <c r="B11" s="68" t="str">
        <f aca="false">CALC!C11</f>
        <v>Manufacturing
(Machinery, Transport)</v>
      </c>
      <c r="C11" s="39" t="n">
        <v>85958</v>
      </c>
      <c r="D11" s="39" t="n">
        <v>1891</v>
      </c>
      <c r="E11" s="39" t="n">
        <v>3094</v>
      </c>
      <c r="F11" s="39" t="n">
        <v>80973</v>
      </c>
      <c r="G11" s="39"/>
      <c r="H11" s="39"/>
    </row>
    <row r="12" customFormat="false" ht="12.8" hidden="false" customHeight="false" outlineLevel="0" collapsed="false">
      <c r="A12" s="65" t="str">
        <f aca="false">_xlfn.CONCAT($A$1, ".", CALC!A12)</f>
        <v>LSD.RID.0.AL.TNPE.8</v>
      </c>
      <c r="B12" s="42" t="str">
        <f aca="false">CALC!C12</f>
        <v>Wholesale Trade</v>
      </c>
      <c r="C12" s="39" t="n">
        <v>37607</v>
      </c>
      <c r="D12" s="39" t="n">
        <v>827</v>
      </c>
      <c r="E12" s="39" t="n">
        <v>1354</v>
      </c>
      <c r="F12" s="39" t="n">
        <v>35426</v>
      </c>
      <c r="G12" s="39"/>
      <c r="H12" s="39"/>
    </row>
    <row r="13" customFormat="false" ht="23.85" hidden="false" customHeight="false" outlineLevel="0" collapsed="false">
      <c r="A13" s="65" t="str">
        <f aca="false">_xlfn.CONCAT($A$1, ".", CALC!A13)</f>
        <v>LSD.RID.0.AL.TNPE.9</v>
      </c>
      <c r="B13" s="68" t="str">
        <f aca="false">CALC!C13</f>
        <v>Retail Trade (Motor
Vehicle, Electronics)</v>
      </c>
      <c r="C13" s="39" t="n">
        <v>32234</v>
      </c>
      <c r="D13" s="39" t="n">
        <v>709</v>
      </c>
      <c r="E13" s="39" t="n">
        <v>1160</v>
      </c>
      <c r="F13" s="39" t="n">
        <v>30365</v>
      </c>
      <c r="G13" s="39"/>
      <c r="H13" s="39"/>
    </row>
    <row r="14" customFormat="false" ht="23.85" hidden="false" customHeight="false" outlineLevel="0" collapsed="false">
      <c r="A14" s="65" t="str">
        <f aca="false">_xlfn.CONCAT($A$1, ".", CALC!A14)</f>
        <v>LSD.RID.0.AL.TNPE.10</v>
      </c>
      <c r="B14" s="68" t="str">
        <f aca="false">CALC!C14</f>
        <v>Retail Trade (Food, Clothing,
General Merchandise, etc.)</v>
      </c>
      <c r="C14" s="39" t="n">
        <v>104762</v>
      </c>
      <c r="D14" s="39" t="n">
        <v>2305</v>
      </c>
      <c r="E14" s="39" t="n">
        <v>8381</v>
      </c>
      <c r="F14" s="39" t="n">
        <v>94076</v>
      </c>
      <c r="G14" s="39"/>
      <c r="H14" s="39"/>
    </row>
    <row r="15" customFormat="false" ht="12.8" hidden="false" customHeight="false" outlineLevel="0" collapsed="false">
      <c r="A15" s="65" t="str">
        <f aca="false">_xlfn.CONCAT($A$1, ".", CALC!A15)</f>
        <v>LSD.RID.0.AL.TNPE.11</v>
      </c>
      <c r="B15" s="42" t="str">
        <f aca="false">CALC!C15</f>
        <v>Transportation</v>
      </c>
      <c r="C15" s="39" t="n">
        <v>57753</v>
      </c>
      <c r="D15" s="39" t="n">
        <v>1271</v>
      </c>
      <c r="E15" s="39" t="n">
        <v>2079</v>
      </c>
      <c r="F15" s="39" t="n">
        <v>54403</v>
      </c>
      <c r="G15" s="39"/>
      <c r="H15" s="39"/>
    </row>
    <row r="16" customFormat="false" ht="12.8" hidden="false" customHeight="false" outlineLevel="0" collapsed="false">
      <c r="A16" s="65" t="str">
        <f aca="false">_xlfn.CONCAT($A$1, ".", CALC!A16)</f>
        <v>LSD.RID.0.AL.TNPE.12</v>
      </c>
      <c r="B16" s="42" t="str">
        <f aca="false">CALC!C16</f>
        <v>Warehousing and Storage</v>
      </c>
      <c r="C16" s="39" t="n">
        <v>34921</v>
      </c>
      <c r="D16" s="39" t="n">
        <v>768</v>
      </c>
      <c r="E16" s="39" t="n">
        <v>1257</v>
      </c>
      <c r="F16" s="39" t="n">
        <v>32896</v>
      </c>
      <c r="G16" s="39"/>
      <c r="H16" s="39"/>
    </row>
    <row r="17" customFormat="false" ht="12.8" hidden="false" customHeight="false" outlineLevel="0" collapsed="false">
      <c r="A17" s="65" t="str">
        <f aca="false">_xlfn.CONCAT($A$1, ".", CALC!A17)</f>
        <v>LSD.RID.0.AL.TNPE.13</v>
      </c>
      <c r="B17" s="42" t="str">
        <f aca="false">CALC!C17</f>
        <v>Information</v>
      </c>
      <c r="C17" s="39" t="n">
        <v>20147</v>
      </c>
      <c r="D17" s="39" t="n">
        <v>443</v>
      </c>
      <c r="E17" s="39" t="n">
        <v>726</v>
      </c>
      <c r="F17" s="39" t="n">
        <v>18978</v>
      </c>
      <c r="G17" s="39"/>
      <c r="H17" s="39"/>
    </row>
    <row r="18" customFormat="false" ht="12.8" hidden="false" customHeight="false" outlineLevel="0" collapsed="false">
      <c r="A18" s="65" t="str">
        <f aca="false">_xlfn.CONCAT($A$1, ".", CALC!A18)</f>
        <v>LSD.RID.0.AL.TNPE.14</v>
      </c>
      <c r="B18" s="42" t="str">
        <f aca="false">CALC!C18</f>
        <v>Finance and Insurance</v>
      </c>
      <c r="C18" s="39" t="n">
        <v>48352</v>
      </c>
      <c r="D18" s="39" t="n">
        <v>1064</v>
      </c>
      <c r="E18" s="39" t="n">
        <v>1741</v>
      </c>
      <c r="F18" s="39" t="n">
        <v>45547</v>
      </c>
      <c r="G18" s="39"/>
      <c r="H18" s="39"/>
    </row>
    <row r="19" customFormat="false" ht="23.85" hidden="false" customHeight="false" outlineLevel="0" collapsed="false">
      <c r="A19" s="65" t="str">
        <f aca="false">_xlfn.CONCAT($A$1, ".", CALC!A19)</f>
        <v>LSD.RID.0.AL.TNPE.15</v>
      </c>
      <c r="B19" s="68" t="str">
        <f aca="false">CALC!C19</f>
        <v>Real Estate and
Rental and Leasing</v>
      </c>
      <c r="C19" s="39" t="n">
        <v>24176</v>
      </c>
      <c r="D19" s="39" t="n">
        <v>532</v>
      </c>
      <c r="E19" s="39" t="n">
        <v>870</v>
      </c>
      <c r="F19" s="39" t="n">
        <v>22774</v>
      </c>
      <c r="G19" s="39"/>
      <c r="H19" s="39"/>
    </row>
    <row r="20" customFormat="false" ht="23.85" hidden="false" customHeight="false" outlineLevel="0" collapsed="false">
      <c r="A20" s="65" t="str">
        <f aca="false">_xlfn.CONCAT($A$1, ".", CALC!A20)</f>
        <v>LSD.RID.0.AL.TNPE.16</v>
      </c>
      <c r="B20" s="68" t="str">
        <f aca="false">CALC!C20</f>
        <v>Professional, Scientific,
and Technical Services</v>
      </c>
      <c r="C20" s="39" t="n">
        <v>72527</v>
      </c>
      <c r="D20" s="39" t="n">
        <v>1596</v>
      </c>
      <c r="E20" s="39" t="n">
        <v>2611</v>
      </c>
      <c r="F20" s="39" t="n">
        <v>68320</v>
      </c>
      <c r="G20" s="39"/>
      <c r="H20" s="39"/>
    </row>
    <row r="21" customFormat="false" ht="34.8" hidden="false" customHeight="false" outlineLevel="0" collapsed="false">
      <c r="A21" s="65" t="str">
        <f aca="false">_xlfn.CONCAT($A$1, ".", CALC!A21)</f>
        <v>LSD.RID.0.AL.TNPE.17</v>
      </c>
      <c r="B21" s="68" t="str">
        <f aca="false">CALC!C21</f>
        <v>Administrative and Support
and Waste Management
and Remediation Services</v>
      </c>
      <c r="C21" s="39" t="n">
        <v>81929</v>
      </c>
      <c r="D21" s="39" t="n">
        <v>1802</v>
      </c>
      <c r="E21" s="39" t="n">
        <v>6554</v>
      </c>
      <c r="F21" s="39" t="n">
        <v>73573</v>
      </c>
      <c r="G21" s="39"/>
      <c r="H21" s="39"/>
    </row>
    <row r="22" customFormat="false" ht="12.8" hidden="false" customHeight="false" outlineLevel="0" collapsed="false">
      <c r="A22" s="65" t="str">
        <f aca="false">_xlfn.CONCAT($A$1, ".", CALC!A22)</f>
        <v>LSD.RID.0.AL.TNPE.18</v>
      </c>
      <c r="B22" s="42" t="str">
        <f aca="false">CALC!C22</f>
        <v>Educational Services</v>
      </c>
      <c r="C22" s="39" t="n">
        <v>122222</v>
      </c>
      <c r="D22" s="39" t="n">
        <v>2689</v>
      </c>
      <c r="E22" s="39" t="n">
        <v>4400</v>
      </c>
      <c r="F22" s="39" t="n">
        <v>115133</v>
      </c>
      <c r="G22" s="39"/>
      <c r="H22" s="39"/>
    </row>
    <row r="23" customFormat="false" ht="23.85" hidden="false" customHeight="false" outlineLevel="0" collapsed="false">
      <c r="A23" s="65" t="str">
        <f aca="false">_xlfn.CONCAT($A$1, ".", CALC!A23)</f>
        <v>LSD.RID.0.AL.TNPE.19</v>
      </c>
      <c r="B23" s="68" t="str">
        <f aca="false">CALC!C23</f>
        <v>Health Care and
Social Assistance</v>
      </c>
      <c r="C23" s="39" t="n">
        <v>171917</v>
      </c>
      <c r="D23" s="39" t="n">
        <v>3782</v>
      </c>
      <c r="E23" s="39" t="n">
        <v>6189</v>
      </c>
      <c r="F23" s="39" t="n">
        <v>161946</v>
      </c>
      <c r="G23" s="39"/>
      <c r="H23" s="39"/>
    </row>
    <row r="24" customFormat="false" ht="23.85" hidden="false" customHeight="false" outlineLevel="0" collapsed="false">
      <c r="A24" s="65" t="str">
        <f aca="false">_xlfn.CONCAT($A$1, ".", CALC!A24)</f>
        <v>LSD.RID.0.AL.TNPE.20</v>
      </c>
      <c r="B24" s="68" t="str">
        <f aca="false">CALC!C24</f>
        <v>Arts, Entertainment,
and Recreation</v>
      </c>
      <c r="C24" s="39" t="n">
        <v>24176</v>
      </c>
      <c r="D24" s="39" t="n">
        <v>532</v>
      </c>
      <c r="E24" s="39" t="n">
        <v>870</v>
      </c>
      <c r="F24" s="39" t="n">
        <v>22774</v>
      </c>
      <c r="G24" s="39"/>
      <c r="H24" s="39"/>
    </row>
    <row r="25" customFormat="false" ht="23.85" hidden="false" customHeight="false" outlineLevel="0" collapsed="false">
      <c r="A25" s="65" t="str">
        <f aca="false">_xlfn.CONCAT($A$1, ".", CALC!A25)</f>
        <v>LSD.RID.0.AL.TNPE.21</v>
      </c>
      <c r="B25" s="68" t="str">
        <f aca="false">CALC!C25</f>
        <v>Accommodation
and Food Services</v>
      </c>
      <c r="C25" s="39" t="n">
        <v>98046</v>
      </c>
      <c r="D25" s="39" t="n">
        <v>2157</v>
      </c>
      <c r="E25" s="39" t="n">
        <v>7844</v>
      </c>
      <c r="F25" s="39" t="n">
        <v>88045</v>
      </c>
      <c r="G25" s="39"/>
      <c r="H25" s="39"/>
    </row>
    <row r="26" customFormat="false" ht="23.85" hidden="false" customHeight="false" outlineLevel="0" collapsed="false">
      <c r="A26" s="65" t="str">
        <f aca="false">_xlfn.CONCAT($A$1, ".", CALC!A26)</f>
        <v>LSD.RID.0.AL.TNPE.22</v>
      </c>
      <c r="B26" s="68" t="str">
        <f aca="false">CALC!C26</f>
        <v>Other Services (except
Public Administration)</v>
      </c>
      <c r="C26" s="39" t="n">
        <v>52381</v>
      </c>
      <c r="D26" s="39" t="n">
        <v>1152</v>
      </c>
      <c r="E26" s="39" t="n">
        <v>4190</v>
      </c>
      <c r="F26" s="39" t="n">
        <v>47039</v>
      </c>
      <c r="G26" s="39"/>
      <c r="H26" s="39"/>
    </row>
    <row r="27" customFormat="false" ht="12.8" hidden="false" customHeight="false" outlineLevel="0" collapsed="false">
      <c r="A27" s="65" t="str">
        <f aca="false">_xlfn.CONCAT($A$1, ".", CALC!A27)</f>
        <v>LSD.RID.0.AL.TNPE.23</v>
      </c>
      <c r="B27" s="42" t="str">
        <f aca="false">CALC!C27</f>
        <v>Public Administration</v>
      </c>
      <c r="C27" s="39" t="n">
        <v>76557</v>
      </c>
      <c r="D27" s="39" t="n">
        <v>1684</v>
      </c>
      <c r="E27" s="39" t="n">
        <v>2756</v>
      </c>
      <c r="F27" s="39" t="n">
        <v>72117</v>
      </c>
      <c r="G27" s="39"/>
      <c r="H27" s="39"/>
    </row>
    <row r="28" customFormat="false" ht="12.8" hidden="false" customHeight="false" outlineLevel="0" collapsed="false">
      <c r="A28" s="65"/>
      <c r="B28" s="42"/>
      <c r="C28" s="64"/>
    </row>
    <row r="29" customFormat="false" ht="12.8" hidden="false" customHeight="false" outlineLevel="0" collapsed="false">
      <c r="B29" s="39"/>
      <c r="C29" s="39"/>
    </row>
    <row r="130" customFormat="false" ht="12.8" hidden="false" customHeight="false" outlineLevel="0" collapsed="false">
      <c r="A130" s="65" t="str">
        <f aca="false">_xlfn.CONCAT($A$1, ".", "FORM")</f>
        <v>LSD.RID.0.AL.TNPE.FORM</v>
      </c>
      <c r="B130" s="66" t="str">
        <f aca="false">_xlfn.CONCAT($B$1, " ", "Formulae")</f>
        <v>Alabama Labor Force Population Formulae</v>
      </c>
      <c r="C130" s="66"/>
    </row>
    <row r="131" customFormat="false" ht="12.8" hidden="false" customHeight="false" outlineLevel="0" collapsed="false">
      <c r="A131" s="11" t="s">
        <v>182</v>
      </c>
      <c r="B131" s="49" t="s">
        <v>183</v>
      </c>
      <c r="C131" s="49" t="s">
        <v>184</v>
      </c>
      <c r="D131" s="49" t="s">
        <v>1590</v>
      </c>
      <c r="E131" s="49" t="s">
        <v>186</v>
      </c>
      <c r="F131" s="49" t="s">
        <v>187</v>
      </c>
      <c r="G131" s="49" t="s">
        <v>187</v>
      </c>
    </row>
    <row r="132" customFormat="false" ht="12.8" hidden="false" customHeight="false" outlineLevel="0" collapsed="false">
      <c r="A132" s="50" t="s">
        <v>1591</v>
      </c>
      <c r="B132" s="39" t="s">
        <v>1592</v>
      </c>
      <c r="C132" s="39" t="s">
        <v>1593</v>
      </c>
      <c r="D132" s="39" t="s">
        <v>1594</v>
      </c>
      <c r="E132" s="39" t="s">
        <v>1595</v>
      </c>
      <c r="F132" s="39" t="s">
        <v>1596</v>
      </c>
      <c r="G132" s="39" t="s">
        <v>1597</v>
      </c>
    </row>
    <row r="133" customFormat="false" ht="12.8" hidden="false" customHeight="false" outlineLevel="0" collapsed="false">
      <c r="A133" s="50" t="s">
        <v>1598</v>
      </c>
      <c r="B133" s="39" t="s">
        <v>1599</v>
      </c>
      <c r="C133" s="39" t="s">
        <v>1600</v>
      </c>
      <c r="D133" s="39" t="s">
        <v>1601</v>
      </c>
      <c r="E133" s="39" t="s">
        <v>1602</v>
      </c>
      <c r="F133" s="39" t="s">
        <v>1603</v>
      </c>
      <c r="G133" s="39" t="s">
        <v>1604</v>
      </c>
    </row>
    <row r="134" customFormat="false" ht="12.8" hidden="false" customHeight="false" outlineLevel="0" collapsed="false">
      <c r="A134" s="50" t="s">
        <v>1605</v>
      </c>
      <c r="B134" s="39" t="s">
        <v>1606</v>
      </c>
      <c r="C134" s="39" t="s">
        <v>1607</v>
      </c>
      <c r="D134" s="39" t="s">
        <v>1608</v>
      </c>
      <c r="E134" s="39" t="s">
        <v>1609</v>
      </c>
      <c r="F134" s="39" t="s">
        <v>1610</v>
      </c>
      <c r="G134" s="39" t="s">
        <v>1611</v>
      </c>
    </row>
    <row r="135" customFormat="false" ht="12.8" hidden="false" customHeight="false" outlineLevel="0" collapsed="false">
      <c r="A135" s="50" t="s">
        <v>1612</v>
      </c>
      <c r="B135" s="39" t="s">
        <v>1613</v>
      </c>
      <c r="C135" s="39" t="s">
        <v>1614</v>
      </c>
      <c r="D135" s="39" t="s">
        <v>1615</v>
      </c>
      <c r="E135" s="39" t="s">
        <v>1616</v>
      </c>
      <c r="F135" s="39" t="s">
        <v>1617</v>
      </c>
      <c r="G135" s="39" t="s">
        <v>1618</v>
      </c>
    </row>
    <row r="136" customFormat="false" ht="12.8" hidden="false" customHeight="false" outlineLevel="0" collapsed="false">
      <c r="A136" s="50"/>
      <c r="B136" s="69"/>
      <c r="C136" s="69"/>
      <c r="D136" s="39"/>
      <c r="E136" s="39"/>
      <c r="F136" s="39"/>
      <c r="G136" s="39"/>
    </row>
    <row r="137" customFormat="false" ht="12.8" hidden="false" customHeight="false" outlineLevel="0" collapsed="false">
      <c r="A137" s="65" t="str">
        <f aca="false">_xlfn.CONCAT($A$1, ".", "PARAM")</f>
        <v>LSD.RID.0.AL.TNPE.PARAM</v>
      </c>
      <c r="B137" s="66" t="str">
        <f aca="false">_xlfn.CONCAT($B$1, " ", "Parameters")</f>
        <v>Alabama Labor Force Population Parameters</v>
      </c>
      <c r="C137" s="66"/>
    </row>
    <row r="138" customFormat="false" ht="12.8" hidden="false" customHeight="false" outlineLevel="0" collapsed="false">
      <c r="A138" s="11" t="s">
        <v>182</v>
      </c>
      <c r="B138" s="49" t="s">
        <v>184</v>
      </c>
      <c r="C138" s="49" t="s">
        <v>677</v>
      </c>
      <c r="D138" s="49" t="s">
        <v>186</v>
      </c>
      <c r="E138" s="49" t="s">
        <v>678</v>
      </c>
      <c r="F138" s="49" t="s">
        <v>679</v>
      </c>
      <c r="G138" s="49" t="s">
        <v>680</v>
      </c>
      <c r="H138" s="49" t="s">
        <v>187</v>
      </c>
    </row>
    <row r="139" customFormat="false" ht="12.8" hidden="false" customHeight="false" outlineLevel="0" collapsed="false">
      <c r="A139" s="50" t="s">
        <v>1619</v>
      </c>
      <c r="B139" s="39" t="s">
        <v>1620</v>
      </c>
      <c r="C139" s="39" t="s">
        <v>689</v>
      </c>
      <c r="D139" s="39" t="s">
        <v>1621</v>
      </c>
      <c r="E139" s="39" t="s">
        <v>689</v>
      </c>
      <c r="F139" s="39" t="s">
        <v>1622</v>
      </c>
      <c r="G139" s="51" t="s">
        <v>691</v>
      </c>
      <c r="H139" s="39" t="s">
        <v>1623</v>
      </c>
    </row>
    <row r="140" customFormat="false" ht="12.8" hidden="false" customHeight="false" outlineLevel="0" collapsed="false">
      <c r="A140" s="50" t="s">
        <v>1624</v>
      </c>
      <c r="B140" s="39" t="s">
        <v>1625</v>
      </c>
      <c r="C140" s="39" t="s">
        <v>689</v>
      </c>
      <c r="D140" s="39" t="s">
        <v>1626</v>
      </c>
      <c r="E140" s="39" t="s">
        <v>689</v>
      </c>
      <c r="F140" s="39" t="s">
        <v>1622</v>
      </c>
      <c r="G140" s="51" t="s">
        <v>691</v>
      </c>
      <c r="H140" s="39"/>
    </row>
    <row r="141" customFormat="false" ht="12.8" hidden="false" customHeight="false" outlineLevel="0" collapsed="false">
      <c r="A141" s="50" t="s">
        <v>1627</v>
      </c>
      <c r="B141" s="39" t="s">
        <v>1628</v>
      </c>
      <c r="C141" s="39" t="s">
        <v>1629</v>
      </c>
      <c r="D141" s="39" t="s">
        <v>1630</v>
      </c>
      <c r="E141" s="39" t="s">
        <v>1629</v>
      </c>
      <c r="F141" s="39" t="s">
        <v>1622</v>
      </c>
      <c r="G141" s="51" t="s">
        <v>691</v>
      </c>
      <c r="H141" s="39"/>
    </row>
    <row r="142" customFormat="false" ht="12.8" hidden="false" customHeight="false" outlineLevel="0" collapsed="false">
      <c r="A142" s="50" t="s">
        <v>1631</v>
      </c>
      <c r="B142" s="39" t="s">
        <v>1632</v>
      </c>
      <c r="C142" s="39" t="s">
        <v>689</v>
      </c>
      <c r="D142" s="39" t="s">
        <v>1633</v>
      </c>
      <c r="E142" s="39" t="s">
        <v>689</v>
      </c>
      <c r="F142" s="39" t="s">
        <v>1622</v>
      </c>
      <c r="G142" s="51" t="s">
        <v>691</v>
      </c>
      <c r="H142" s="39"/>
    </row>
    <row r="143" customFormat="false" ht="12.8" hidden="false" customHeight="false" outlineLevel="0" collapsed="false">
      <c r="A143" s="50" t="s">
        <v>1634</v>
      </c>
      <c r="B143" s="39" t="s">
        <v>1635</v>
      </c>
      <c r="C143" s="39" t="s">
        <v>689</v>
      </c>
      <c r="D143" s="39" t="s">
        <v>1636</v>
      </c>
      <c r="E143" s="39" t="s">
        <v>689</v>
      </c>
      <c r="F143" s="39" t="s">
        <v>1622</v>
      </c>
      <c r="G143" s="51" t="s">
        <v>691</v>
      </c>
      <c r="H143" s="39"/>
    </row>
    <row r="144" customFormat="false" ht="12.8" hidden="false" customHeight="false" outlineLevel="0" collapsed="false">
      <c r="A144" s="50" t="s">
        <v>1637</v>
      </c>
      <c r="B144" s="39" t="s">
        <v>1638</v>
      </c>
      <c r="C144" s="39" t="s">
        <v>689</v>
      </c>
      <c r="D144" s="39" t="s">
        <v>1639</v>
      </c>
      <c r="E144" s="39" t="s">
        <v>689</v>
      </c>
      <c r="F144" s="39" t="s">
        <v>1622</v>
      </c>
      <c r="G144" s="51" t="s">
        <v>691</v>
      </c>
      <c r="H144" s="39"/>
    </row>
    <row r="145" customFormat="false" ht="12.8" hidden="false" customHeight="false" outlineLevel="0" collapsed="false">
      <c r="A145" s="50" t="s">
        <v>1640</v>
      </c>
      <c r="B145" s="39" t="s">
        <v>1641</v>
      </c>
      <c r="C145" s="39" t="s">
        <v>689</v>
      </c>
      <c r="D145" s="39" t="s">
        <v>1642</v>
      </c>
      <c r="E145" s="39" t="s">
        <v>689</v>
      </c>
      <c r="F145" s="39" t="s">
        <v>1622</v>
      </c>
      <c r="G145" s="51" t="s">
        <v>691</v>
      </c>
      <c r="H145" s="39"/>
    </row>
    <row r="146" customFormat="false" ht="12.8" hidden="false" customHeight="false" outlineLevel="0" collapsed="false">
      <c r="A146" s="50" t="s">
        <v>1643</v>
      </c>
      <c r="B146" s="39" t="s">
        <v>1644</v>
      </c>
      <c r="C146" s="39" t="s">
        <v>689</v>
      </c>
      <c r="D146" s="39" t="s">
        <v>1645</v>
      </c>
      <c r="E146" s="39" t="s">
        <v>689</v>
      </c>
      <c r="F146" s="39" t="s">
        <v>1622</v>
      </c>
      <c r="G146" s="51" t="s">
        <v>691</v>
      </c>
      <c r="H146" s="39"/>
    </row>
    <row r="147" customFormat="false" ht="12.8" hidden="false" customHeight="false" outlineLevel="0" collapsed="false">
      <c r="A147" s="50" t="s">
        <v>1646</v>
      </c>
      <c r="B147" s="39" t="s">
        <v>1647</v>
      </c>
      <c r="C147" s="39" t="s">
        <v>689</v>
      </c>
      <c r="D147" s="39" t="s">
        <v>1648</v>
      </c>
      <c r="E147" s="39" t="s">
        <v>689</v>
      </c>
      <c r="F147" s="39" t="s">
        <v>1622</v>
      </c>
      <c r="G147" s="51" t="s">
        <v>691</v>
      </c>
      <c r="H147" s="39"/>
    </row>
    <row r="148" customFormat="false" ht="12.8" hidden="false" customHeight="false" outlineLevel="0" collapsed="false">
      <c r="A148" s="50" t="s">
        <v>1649</v>
      </c>
      <c r="B148" s="39" t="s">
        <v>1650</v>
      </c>
      <c r="C148" s="39" t="s">
        <v>689</v>
      </c>
      <c r="D148" s="39" t="s">
        <v>1651</v>
      </c>
      <c r="E148" s="39" t="s">
        <v>689</v>
      </c>
      <c r="F148" s="39" t="s">
        <v>1622</v>
      </c>
      <c r="G148" s="51" t="s">
        <v>691</v>
      </c>
      <c r="H148" s="39"/>
    </row>
    <row r="149" customFormat="false" ht="12.8" hidden="false" customHeight="false" outlineLevel="0" collapsed="false">
      <c r="A149" s="50" t="s">
        <v>1652</v>
      </c>
      <c r="B149" s="39" t="s">
        <v>1653</v>
      </c>
      <c r="C149" s="39" t="s">
        <v>1629</v>
      </c>
      <c r="D149" s="39" t="s">
        <v>1654</v>
      </c>
      <c r="E149" s="39" t="s">
        <v>1629</v>
      </c>
      <c r="F149" s="39" t="s">
        <v>1622</v>
      </c>
      <c r="G149" s="51" t="s">
        <v>691</v>
      </c>
      <c r="H149" s="39"/>
    </row>
    <row r="150" customFormat="false" ht="12.8" hidden="false" customHeight="false" outlineLevel="0" collapsed="false">
      <c r="A150" s="50" t="s">
        <v>1655</v>
      </c>
      <c r="B150" s="39" t="s">
        <v>1656</v>
      </c>
      <c r="C150" s="39" t="s">
        <v>689</v>
      </c>
      <c r="D150" s="39" t="s">
        <v>1657</v>
      </c>
      <c r="E150" s="39" t="s">
        <v>689</v>
      </c>
      <c r="F150" s="39" t="s">
        <v>1622</v>
      </c>
      <c r="G150" s="51" t="s">
        <v>691</v>
      </c>
      <c r="H150" s="39"/>
    </row>
    <row r="151" customFormat="false" ht="12.8" hidden="false" customHeight="false" outlineLevel="0" collapsed="false">
      <c r="A151" s="50" t="s">
        <v>1658</v>
      </c>
      <c r="B151" s="39" t="s">
        <v>1659</v>
      </c>
      <c r="C151" s="39" t="s">
        <v>689</v>
      </c>
      <c r="D151" s="39" t="s">
        <v>1660</v>
      </c>
      <c r="E151" s="39" t="s">
        <v>689</v>
      </c>
      <c r="F151" s="39" t="s">
        <v>1622</v>
      </c>
      <c r="G151" s="51" t="s">
        <v>691</v>
      </c>
      <c r="H151" s="39"/>
    </row>
    <row r="152" customFormat="false" ht="12.8" hidden="false" customHeight="false" outlineLevel="0" collapsed="false">
      <c r="A152" s="50" t="s">
        <v>1661</v>
      </c>
      <c r="B152" s="39" t="s">
        <v>1662</v>
      </c>
      <c r="C152" s="39" t="s">
        <v>689</v>
      </c>
      <c r="D152" s="39" t="s">
        <v>1663</v>
      </c>
      <c r="E152" s="39" t="s">
        <v>689</v>
      </c>
      <c r="F152" s="39" t="s">
        <v>1622</v>
      </c>
      <c r="G152" s="51" t="s">
        <v>691</v>
      </c>
      <c r="H152" s="39"/>
    </row>
    <row r="153" customFormat="false" ht="12.8" hidden="false" customHeight="false" outlineLevel="0" collapsed="false">
      <c r="A153" s="50" t="s">
        <v>1664</v>
      </c>
      <c r="B153" s="39" t="s">
        <v>1665</v>
      </c>
      <c r="C153" s="39" t="s">
        <v>689</v>
      </c>
      <c r="D153" s="39" t="s">
        <v>1666</v>
      </c>
      <c r="E153" s="39" t="s">
        <v>689</v>
      </c>
      <c r="F153" s="39" t="s">
        <v>1622</v>
      </c>
      <c r="G153" s="51" t="s">
        <v>691</v>
      </c>
      <c r="H153" s="39"/>
    </row>
    <row r="154" customFormat="false" ht="12.8" hidden="false" customHeight="false" outlineLevel="0" collapsed="false">
      <c r="A154" s="50" t="s">
        <v>1667</v>
      </c>
      <c r="B154" s="39" t="s">
        <v>1668</v>
      </c>
      <c r="C154" s="39" t="s">
        <v>1629</v>
      </c>
      <c r="D154" s="39" t="s">
        <v>1669</v>
      </c>
      <c r="E154" s="39" t="s">
        <v>1629</v>
      </c>
      <c r="F154" s="39" t="s">
        <v>1622</v>
      </c>
      <c r="G154" s="51" t="s">
        <v>691</v>
      </c>
      <c r="H154" s="39"/>
    </row>
    <row r="155" customFormat="false" ht="12.8" hidden="false" customHeight="false" outlineLevel="0" collapsed="false">
      <c r="A155" s="50" t="s">
        <v>1670</v>
      </c>
      <c r="B155" s="39" t="s">
        <v>1671</v>
      </c>
      <c r="C155" s="39" t="s">
        <v>689</v>
      </c>
      <c r="D155" s="39" t="s">
        <v>1672</v>
      </c>
      <c r="E155" s="39" t="s">
        <v>689</v>
      </c>
      <c r="F155" s="39" t="s">
        <v>1622</v>
      </c>
      <c r="G155" s="51" t="s">
        <v>691</v>
      </c>
      <c r="H155" s="39"/>
    </row>
    <row r="156" customFormat="false" ht="12.8" hidden="false" customHeight="false" outlineLevel="0" collapsed="false">
      <c r="A156" s="50" t="s">
        <v>1673</v>
      </c>
      <c r="B156" s="39" t="s">
        <v>1674</v>
      </c>
      <c r="C156" s="39" t="s">
        <v>689</v>
      </c>
      <c r="D156" s="39" t="s">
        <v>1675</v>
      </c>
      <c r="E156" s="39" t="s">
        <v>689</v>
      </c>
      <c r="F156" s="39" t="s">
        <v>1622</v>
      </c>
      <c r="G156" s="51" t="s">
        <v>691</v>
      </c>
      <c r="H156" s="39"/>
    </row>
    <row r="157" customFormat="false" ht="12.8" hidden="false" customHeight="false" outlineLevel="0" collapsed="false">
      <c r="A157" s="50" t="s">
        <v>1676</v>
      </c>
      <c r="B157" s="39" t="s">
        <v>1677</v>
      </c>
      <c r="C157" s="39" t="s">
        <v>769</v>
      </c>
      <c r="D157" s="39" t="s">
        <v>1678</v>
      </c>
      <c r="E157" s="39" t="s">
        <v>769</v>
      </c>
      <c r="F157" s="39" t="s">
        <v>1622</v>
      </c>
      <c r="G157" s="51" t="s">
        <v>691</v>
      </c>
      <c r="H157" s="39"/>
    </row>
    <row r="158" customFormat="false" ht="12.8" hidden="false" customHeight="false" outlineLevel="0" collapsed="false">
      <c r="A158" s="50" t="s">
        <v>1679</v>
      </c>
      <c r="B158" s="39" t="s">
        <v>1680</v>
      </c>
      <c r="C158" s="39" t="s">
        <v>1629</v>
      </c>
      <c r="D158" s="39" t="s">
        <v>1681</v>
      </c>
      <c r="E158" s="39" t="s">
        <v>1629</v>
      </c>
      <c r="F158" s="39" t="s">
        <v>1622</v>
      </c>
      <c r="G158" s="51" t="s">
        <v>691</v>
      </c>
      <c r="H158" s="39"/>
    </row>
    <row r="159" customFormat="false" ht="12.8" hidden="false" customHeight="false" outlineLevel="0" collapsed="false">
      <c r="A159" s="50" t="s">
        <v>1682</v>
      </c>
      <c r="B159" s="39" t="s">
        <v>1683</v>
      </c>
      <c r="C159" s="39" t="s">
        <v>689</v>
      </c>
      <c r="D159" s="39" t="s">
        <v>1684</v>
      </c>
      <c r="E159" s="39" t="s">
        <v>689</v>
      </c>
      <c r="F159" s="39" t="s">
        <v>1622</v>
      </c>
      <c r="G159" s="51" t="s">
        <v>691</v>
      </c>
      <c r="H159" s="39"/>
    </row>
    <row r="160" customFormat="false" ht="12.8" hidden="false" customHeight="false" outlineLevel="0" collapsed="false">
      <c r="A160" s="50" t="s">
        <v>1685</v>
      </c>
      <c r="B160" s="39" t="s">
        <v>1686</v>
      </c>
      <c r="C160" s="39" t="s">
        <v>689</v>
      </c>
      <c r="D160" s="39" t="s">
        <v>1687</v>
      </c>
      <c r="E160" s="39" t="s">
        <v>689</v>
      </c>
      <c r="F160" s="39" t="s">
        <v>1622</v>
      </c>
      <c r="G160" s="51" t="s">
        <v>691</v>
      </c>
      <c r="H160" s="39"/>
    </row>
    <row r="161" customFormat="false" ht="12.8" hidden="false" customHeight="false" outlineLevel="0" collapsed="false">
      <c r="A161" s="50" t="s">
        <v>1688</v>
      </c>
      <c r="B161" s="39" t="s">
        <v>1689</v>
      </c>
      <c r="C161" s="39" t="s">
        <v>769</v>
      </c>
      <c r="D161" s="39" t="s">
        <v>1690</v>
      </c>
      <c r="E161" s="39" t="s">
        <v>769</v>
      </c>
      <c r="F161" s="39" t="s">
        <v>1691</v>
      </c>
      <c r="G161" s="51" t="s">
        <v>691</v>
      </c>
      <c r="H161" s="39" t="s">
        <v>1692</v>
      </c>
    </row>
    <row r="162" customFormat="false" ht="12.8" hidden="false" customHeight="false" outlineLevel="0" collapsed="false">
      <c r="A162" s="50" t="s">
        <v>1693</v>
      </c>
      <c r="B162" s="39" t="s">
        <v>1694</v>
      </c>
      <c r="C162" s="39" t="n">
        <v>0.008</v>
      </c>
      <c r="D162" s="39" t="s">
        <v>1695</v>
      </c>
      <c r="E162" s="39" t="s">
        <v>689</v>
      </c>
      <c r="F162" s="39" t="s">
        <v>713</v>
      </c>
      <c r="G162" s="51" t="s">
        <v>691</v>
      </c>
      <c r="H162" s="39" t="s">
        <v>1696</v>
      </c>
    </row>
    <row r="163" customFormat="false" ht="12.8" hidden="false" customHeight="false" outlineLevel="0" collapsed="false">
      <c r="A163" s="50" t="s">
        <v>1697</v>
      </c>
      <c r="B163" s="39" t="s">
        <v>1698</v>
      </c>
      <c r="C163" s="39" t="n">
        <v>0.005</v>
      </c>
      <c r="D163" s="39" t="s">
        <v>1699</v>
      </c>
      <c r="E163" s="39" t="s">
        <v>689</v>
      </c>
      <c r="F163" s="39" t="s">
        <v>713</v>
      </c>
      <c r="G163" s="51" t="s">
        <v>691</v>
      </c>
      <c r="H163" s="39" t="s">
        <v>1623</v>
      </c>
    </row>
    <row r="164" customFormat="false" ht="12.8" hidden="false" customHeight="false" outlineLevel="0" collapsed="false">
      <c r="A164" s="50" t="s">
        <v>1700</v>
      </c>
      <c r="B164" s="39" t="s">
        <v>1701</v>
      </c>
      <c r="C164" s="39" t="n">
        <v>0.004</v>
      </c>
      <c r="D164" s="39" t="s">
        <v>1702</v>
      </c>
      <c r="E164" s="39" t="s">
        <v>689</v>
      </c>
      <c r="F164" s="39" t="s">
        <v>713</v>
      </c>
      <c r="G164" s="51" t="s">
        <v>691</v>
      </c>
      <c r="H164" s="39"/>
    </row>
    <row r="165" customFormat="false" ht="12.8" hidden="false" customHeight="false" outlineLevel="0" collapsed="false">
      <c r="A165" s="50" t="s">
        <v>1703</v>
      </c>
      <c r="B165" s="39" t="s">
        <v>1704</v>
      </c>
      <c r="C165" s="39" t="n">
        <v>0.006</v>
      </c>
      <c r="D165" s="39" t="s">
        <v>1705</v>
      </c>
      <c r="E165" s="39" t="s">
        <v>1629</v>
      </c>
      <c r="F165" s="39" t="s">
        <v>713</v>
      </c>
      <c r="G165" s="51" t="s">
        <v>691</v>
      </c>
      <c r="H165" s="39"/>
    </row>
    <row r="166" customFormat="false" ht="12.8" hidden="false" customHeight="false" outlineLevel="0" collapsed="false">
      <c r="A166" s="50" t="s">
        <v>1706</v>
      </c>
      <c r="B166" s="39" t="s">
        <v>1707</v>
      </c>
      <c r="C166" s="39" t="n">
        <v>0.004</v>
      </c>
      <c r="D166" s="39" t="s">
        <v>1708</v>
      </c>
      <c r="E166" s="39" t="s">
        <v>689</v>
      </c>
      <c r="F166" s="39" t="s">
        <v>713</v>
      </c>
      <c r="G166" s="51" t="s">
        <v>691</v>
      </c>
      <c r="H166" s="39"/>
    </row>
    <row r="167" customFormat="false" ht="12.8" hidden="false" customHeight="false" outlineLevel="0" collapsed="false">
      <c r="A167" s="50" t="s">
        <v>1709</v>
      </c>
      <c r="B167" s="39" t="s">
        <v>1710</v>
      </c>
      <c r="C167" s="39" t="n">
        <v>0.004</v>
      </c>
      <c r="D167" s="39" t="s">
        <v>1711</v>
      </c>
      <c r="E167" s="39" t="s">
        <v>689</v>
      </c>
      <c r="F167" s="39" t="s">
        <v>713</v>
      </c>
      <c r="G167" s="51" t="s">
        <v>691</v>
      </c>
      <c r="H167" s="39"/>
    </row>
    <row r="168" customFormat="false" ht="12.8" hidden="false" customHeight="false" outlineLevel="0" collapsed="false">
      <c r="A168" s="50" t="s">
        <v>1712</v>
      </c>
      <c r="B168" s="39" t="s">
        <v>1713</v>
      </c>
      <c r="C168" s="39" t="n">
        <v>0.003</v>
      </c>
      <c r="D168" s="39" t="s">
        <v>1714</v>
      </c>
      <c r="E168" s="39" t="s">
        <v>689</v>
      </c>
      <c r="F168" s="39" t="s">
        <v>713</v>
      </c>
      <c r="G168" s="51" t="s">
        <v>691</v>
      </c>
      <c r="H168" s="39"/>
    </row>
    <row r="169" customFormat="false" ht="12.8" hidden="false" customHeight="false" outlineLevel="0" collapsed="false">
      <c r="A169" s="50" t="s">
        <v>1715</v>
      </c>
      <c r="B169" s="39" t="s">
        <v>1716</v>
      </c>
      <c r="C169" s="39" t="n">
        <v>0.003</v>
      </c>
      <c r="D169" s="39" t="s">
        <v>1717</v>
      </c>
      <c r="E169" s="39" t="s">
        <v>689</v>
      </c>
      <c r="F169" s="39" t="s">
        <v>713</v>
      </c>
      <c r="G169" s="51" t="s">
        <v>691</v>
      </c>
      <c r="H169" s="39"/>
    </row>
    <row r="170" customFormat="false" ht="12.8" hidden="false" customHeight="false" outlineLevel="0" collapsed="false">
      <c r="A170" s="50" t="s">
        <v>1718</v>
      </c>
      <c r="B170" s="39" t="s">
        <v>1719</v>
      </c>
      <c r="C170" s="39" t="n">
        <v>0.005</v>
      </c>
      <c r="D170" s="39" t="s">
        <v>1720</v>
      </c>
      <c r="E170" s="39" t="s">
        <v>1629</v>
      </c>
      <c r="F170" s="39" t="s">
        <v>713</v>
      </c>
      <c r="G170" s="51" t="s">
        <v>691</v>
      </c>
      <c r="H170" s="39"/>
    </row>
    <row r="171" customFormat="false" ht="12.8" hidden="false" customHeight="false" outlineLevel="0" collapsed="false">
      <c r="A171" s="50" t="s">
        <v>1721</v>
      </c>
      <c r="B171" s="39" t="s">
        <v>1722</v>
      </c>
      <c r="C171" s="39" t="n">
        <v>0.005</v>
      </c>
      <c r="D171" s="39" t="s">
        <v>1723</v>
      </c>
      <c r="E171" s="39" t="s">
        <v>1629</v>
      </c>
      <c r="F171" s="39" t="s">
        <v>713</v>
      </c>
      <c r="G171" s="51" t="s">
        <v>691</v>
      </c>
      <c r="H171" s="39"/>
    </row>
    <row r="172" customFormat="false" ht="12.8" hidden="false" customHeight="false" outlineLevel="0" collapsed="false">
      <c r="A172" s="50" t="s">
        <v>1724</v>
      </c>
      <c r="B172" s="39" t="s">
        <v>1725</v>
      </c>
      <c r="C172" s="39" t="n">
        <v>0.004</v>
      </c>
      <c r="D172" s="39" t="s">
        <v>1726</v>
      </c>
      <c r="E172" s="39" t="s">
        <v>689</v>
      </c>
      <c r="F172" s="39" t="s">
        <v>713</v>
      </c>
      <c r="G172" s="51" t="s">
        <v>691</v>
      </c>
      <c r="H172" s="39"/>
    </row>
    <row r="173" customFormat="false" ht="12.8" hidden="false" customHeight="false" outlineLevel="0" collapsed="false">
      <c r="A173" s="50" t="s">
        <v>1727</v>
      </c>
      <c r="B173" s="39" t="s">
        <v>1728</v>
      </c>
      <c r="C173" s="39" t="n">
        <v>0.005</v>
      </c>
      <c r="D173" s="39" t="s">
        <v>1729</v>
      </c>
      <c r="E173" s="39" t="s">
        <v>1629</v>
      </c>
      <c r="F173" s="39" t="s">
        <v>713</v>
      </c>
      <c r="G173" s="51" t="s">
        <v>691</v>
      </c>
      <c r="H173" s="39"/>
    </row>
    <row r="174" customFormat="false" ht="12.8" hidden="false" customHeight="false" outlineLevel="0" collapsed="false">
      <c r="A174" s="50" t="s">
        <v>1730</v>
      </c>
      <c r="B174" s="39" t="s">
        <v>1731</v>
      </c>
      <c r="C174" s="39" t="n">
        <v>0.003</v>
      </c>
      <c r="D174" s="39" t="s">
        <v>1732</v>
      </c>
      <c r="E174" s="39" t="s">
        <v>689</v>
      </c>
      <c r="F174" s="39" t="s">
        <v>713</v>
      </c>
      <c r="G174" s="51" t="s">
        <v>691</v>
      </c>
      <c r="H174" s="39"/>
    </row>
    <row r="175" customFormat="false" ht="12.8" hidden="false" customHeight="false" outlineLevel="0" collapsed="false">
      <c r="A175" s="50" t="s">
        <v>1733</v>
      </c>
      <c r="B175" s="39" t="s">
        <v>1734</v>
      </c>
      <c r="C175" s="39" t="n">
        <v>0.002</v>
      </c>
      <c r="D175" s="39" t="s">
        <v>1735</v>
      </c>
      <c r="E175" s="39" t="s">
        <v>689</v>
      </c>
      <c r="F175" s="39" t="s">
        <v>713</v>
      </c>
      <c r="G175" s="51" t="s">
        <v>691</v>
      </c>
      <c r="H175" s="39"/>
    </row>
    <row r="176" customFormat="false" ht="12.8" hidden="false" customHeight="false" outlineLevel="0" collapsed="false">
      <c r="A176" s="50" t="s">
        <v>1736</v>
      </c>
      <c r="B176" s="39" t="s">
        <v>1737</v>
      </c>
      <c r="C176" s="39" t="n">
        <v>0.003</v>
      </c>
      <c r="D176" s="39" t="s">
        <v>1738</v>
      </c>
      <c r="E176" s="39" t="s">
        <v>689</v>
      </c>
      <c r="F176" s="39" t="s">
        <v>713</v>
      </c>
      <c r="G176" s="51" t="s">
        <v>691</v>
      </c>
      <c r="H176" s="39"/>
    </row>
    <row r="177" customFormat="false" ht="12.8" hidden="false" customHeight="false" outlineLevel="0" collapsed="false">
      <c r="A177" s="50" t="s">
        <v>1739</v>
      </c>
      <c r="B177" s="39" t="s">
        <v>1740</v>
      </c>
      <c r="C177" s="39" t="n">
        <v>0.002</v>
      </c>
      <c r="D177" s="39" t="s">
        <v>1741</v>
      </c>
      <c r="E177" s="39" t="s">
        <v>689</v>
      </c>
      <c r="F177" s="39" t="s">
        <v>713</v>
      </c>
      <c r="G177" s="51" t="s">
        <v>691</v>
      </c>
      <c r="H177" s="39"/>
    </row>
    <row r="178" customFormat="false" ht="12.8" hidden="false" customHeight="false" outlineLevel="0" collapsed="false">
      <c r="A178" s="50" t="s">
        <v>1742</v>
      </c>
      <c r="B178" s="39" t="s">
        <v>1743</v>
      </c>
      <c r="C178" s="39" t="n">
        <v>0.005</v>
      </c>
      <c r="D178" s="39" t="s">
        <v>1744</v>
      </c>
      <c r="E178" s="39" t="s">
        <v>1629</v>
      </c>
      <c r="F178" s="39" t="s">
        <v>713</v>
      </c>
      <c r="G178" s="51" t="s">
        <v>691</v>
      </c>
      <c r="H178" s="39"/>
    </row>
    <row r="179" customFormat="false" ht="12.8" hidden="false" customHeight="false" outlineLevel="0" collapsed="false">
      <c r="A179" s="50" t="s">
        <v>1745</v>
      </c>
      <c r="B179" s="39" t="s">
        <v>1746</v>
      </c>
      <c r="C179" s="39" t="n">
        <v>0.002</v>
      </c>
      <c r="D179" s="39" t="s">
        <v>1747</v>
      </c>
      <c r="E179" s="39" t="s">
        <v>689</v>
      </c>
      <c r="F179" s="39" t="s">
        <v>713</v>
      </c>
      <c r="G179" s="51" t="s">
        <v>691</v>
      </c>
      <c r="H179" s="39"/>
    </row>
    <row r="180" customFormat="false" ht="12.8" hidden="false" customHeight="false" outlineLevel="0" collapsed="false">
      <c r="A180" s="50" t="s">
        <v>1748</v>
      </c>
      <c r="B180" s="39" t="s">
        <v>1749</v>
      </c>
      <c r="C180" s="39" t="n">
        <v>0.002</v>
      </c>
      <c r="D180" s="39" t="s">
        <v>1750</v>
      </c>
      <c r="E180" s="39" t="s">
        <v>689</v>
      </c>
      <c r="F180" s="39" t="s">
        <v>713</v>
      </c>
      <c r="G180" s="51" t="s">
        <v>691</v>
      </c>
      <c r="H180" s="39"/>
    </row>
    <row r="181" customFormat="false" ht="12.8" hidden="false" customHeight="false" outlineLevel="0" collapsed="false">
      <c r="A181" s="50" t="s">
        <v>1751</v>
      </c>
      <c r="B181" s="39" t="s">
        <v>1752</v>
      </c>
      <c r="C181" s="39" t="n">
        <v>0.006</v>
      </c>
      <c r="D181" s="39" t="s">
        <v>1753</v>
      </c>
      <c r="E181" s="39" t="s">
        <v>769</v>
      </c>
      <c r="F181" s="39" t="s">
        <v>713</v>
      </c>
      <c r="G181" s="51" t="s">
        <v>691</v>
      </c>
      <c r="H181" s="39"/>
    </row>
    <row r="182" customFormat="false" ht="12.8" hidden="false" customHeight="false" outlineLevel="0" collapsed="false">
      <c r="A182" s="50" t="s">
        <v>1754</v>
      </c>
      <c r="B182" s="39" t="s">
        <v>1755</v>
      </c>
      <c r="C182" s="39" t="n">
        <v>0.006</v>
      </c>
      <c r="D182" s="39" t="s">
        <v>1756</v>
      </c>
      <c r="E182" s="39" t="s">
        <v>769</v>
      </c>
      <c r="F182" s="39" t="s">
        <v>713</v>
      </c>
      <c r="G182" s="51" t="s">
        <v>691</v>
      </c>
      <c r="H182" s="39"/>
    </row>
    <row r="183" customFormat="false" ht="12.8" hidden="false" customHeight="false" outlineLevel="0" collapsed="false">
      <c r="A183" s="50" t="s">
        <v>1757</v>
      </c>
      <c r="B183" s="39" t="s">
        <v>1758</v>
      </c>
      <c r="C183" s="39" t="n">
        <v>0.004</v>
      </c>
      <c r="D183" s="39" t="s">
        <v>1759</v>
      </c>
      <c r="E183" s="39" t="s">
        <v>1629</v>
      </c>
      <c r="F183" s="39" t="s">
        <v>713</v>
      </c>
      <c r="G183" s="51" t="s">
        <v>691</v>
      </c>
      <c r="H183" s="39"/>
    </row>
    <row r="184" customFormat="false" ht="12.8" hidden="false" customHeight="false" outlineLevel="0" collapsed="false">
      <c r="A184" s="50" t="s">
        <v>1760</v>
      </c>
      <c r="B184" s="39" t="s">
        <v>1761</v>
      </c>
      <c r="C184" s="39" t="n">
        <v>0.002</v>
      </c>
      <c r="D184" s="39" t="s">
        <v>1762</v>
      </c>
      <c r="E184" s="39" t="s">
        <v>689</v>
      </c>
      <c r="F184" s="39" t="s">
        <v>713</v>
      </c>
      <c r="G184" s="51" t="s">
        <v>691</v>
      </c>
      <c r="H184" s="39"/>
    </row>
    <row r="185" customFormat="false" ht="12.8" hidden="false" customHeight="false" outlineLevel="0" collapsed="false">
      <c r="A185" s="50" t="s">
        <v>1763</v>
      </c>
      <c r="B185" s="39" t="s">
        <v>1764</v>
      </c>
      <c r="C185" s="39" t="n">
        <v>1.04</v>
      </c>
      <c r="D185" s="39" t="s">
        <v>1765</v>
      </c>
      <c r="E185" s="39" t="s">
        <v>1629</v>
      </c>
      <c r="F185" s="39" t="s">
        <v>1766</v>
      </c>
      <c r="G185" s="51" t="s">
        <v>691</v>
      </c>
      <c r="H185" s="39" t="s">
        <v>1696</v>
      </c>
    </row>
    <row r="186" customFormat="false" ht="12.8" hidden="false" customHeight="false" outlineLevel="0" collapsed="false">
      <c r="A186" s="50" t="s">
        <v>1767</v>
      </c>
      <c r="B186" s="39" t="s">
        <v>1768</v>
      </c>
      <c r="C186" s="39" t="s">
        <v>1769</v>
      </c>
      <c r="D186" s="39" t="s">
        <v>1770</v>
      </c>
      <c r="E186" s="39" t="s">
        <v>689</v>
      </c>
      <c r="F186" s="39" t="s">
        <v>1771</v>
      </c>
      <c r="G186" s="51" t="s">
        <v>691</v>
      </c>
      <c r="H186" s="39" t="s">
        <v>1617</v>
      </c>
    </row>
    <row r="187" customFormat="false" ht="12.8" hidden="false" customHeight="false" outlineLevel="0" collapsed="false">
      <c r="A187" s="50" t="s">
        <v>1772</v>
      </c>
      <c r="B187" s="39" t="s">
        <v>1773</v>
      </c>
      <c r="C187" s="39" t="n">
        <v>2211200</v>
      </c>
      <c r="D187" s="39" t="s">
        <v>1774</v>
      </c>
      <c r="E187" s="39" t="s">
        <v>689</v>
      </c>
      <c r="F187" s="39" t="s">
        <v>1775</v>
      </c>
      <c r="G187" s="51" t="s">
        <v>691</v>
      </c>
      <c r="H187" s="39" t="s">
        <v>1776</v>
      </c>
    </row>
    <row r="188" customFormat="false" ht="12.8" hidden="false" customHeight="false" outlineLevel="0" collapsed="false">
      <c r="A188" s="50" t="s">
        <v>1777</v>
      </c>
      <c r="B188" s="39" t="s">
        <v>1778</v>
      </c>
      <c r="C188" s="39" t="n">
        <v>0.9983</v>
      </c>
      <c r="D188" s="39" t="s">
        <v>1779</v>
      </c>
      <c r="E188" s="39" t="s">
        <v>689</v>
      </c>
      <c r="F188" s="39" t="s">
        <v>1780</v>
      </c>
      <c r="G188" s="51" t="s">
        <v>691</v>
      </c>
      <c r="H188" s="39" t="s">
        <v>1781</v>
      </c>
    </row>
    <row r="190" customFormat="false" ht="12.8" hidden="false" customHeight="false" outlineLevel="0" collapsed="false">
      <c r="A190" s="65" t="str">
        <f aca="false">_xlfn.CONCAT($A$1, ".", "VALID")</f>
        <v>LSD.RID.0.AL.TNPE.VALID</v>
      </c>
      <c r="B190" s="66" t="str">
        <f aca="false">_xlfn.CONCAT($B$1, " ", "Validation")</f>
        <v>Alabama Labor Force Population Validation</v>
      </c>
    </row>
    <row r="191" customFormat="false" ht="12.8" hidden="false" customHeight="false" outlineLevel="0" collapsed="false">
      <c r="A191" s="11" t="s">
        <v>182</v>
      </c>
      <c r="B191" s="49" t="s">
        <v>1782</v>
      </c>
      <c r="C191" s="49" t="s">
        <v>1783</v>
      </c>
      <c r="D191" s="49" t="s">
        <v>1784</v>
      </c>
      <c r="E191" s="49" t="s">
        <v>1785</v>
      </c>
      <c r="F191" s="49" t="s">
        <v>678</v>
      </c>
      <c r="G191" s="49" t="s">
        <v>1786</v>
      </c>
    </row>
    <row r="192" customFormat="false" ht="12.8" hidden="false" customHeight="false" outlineLevel="0" collapsed="false">
      <c r="A192" s="50" t="s">
        <v>1787</v>
      </c>
      <c r="B192" s="39" t="s">
        <v>1788</v>
      </c>
      <c r="C192" s="39" t="n">
        <v>2211200</v>
      </c>
      <c r="D192" s="39" t="n">
        <v>2211200</v>
      </c>
      <c r="E192" s="39" t="s">
        <v>1789</v>
      </c>
      <c r="F192" s="39" t="s">
        <v>689</v>
      </c>
      <c r="G192" s="39" t="s">
        <v>1790</v>
      </c>
    </row>
    <row r="193" customFormat="false" ht="12.8" hidden="false" customHeight="false" outlineLevel="0" collapsed="false">
      <c r="A193" s="50" t="s">
        <v>1791</v>
      </c>
      <c r="B193" s="39" t="s">
        <v>1792</v>
      </c>
      <c r="C193" s="39" t="n">
        <v>2211200</v>
      </c>
      <c r="D193" s="39" t="s">
        <v>1793</v>
      </c>
      <c r="E193" s="39" t="s">
        <v>1794</v>
      </c>
      <c r="F193" s="39" t="s">
        <v>689</v>
      </c>
      <c r="G193" s="39" t="s">
        <v>1795</v>
      </c>
    </row>
    <row r="194" customFormat="false" ht="12.8" hidden="false" customHeight="false" outlineLevel="0" collapsed="false">
      <c r="A194" s="50" t="s">
        <v>1796</v>
      </c>
      <c r="B194" s="39" t="s">
        <v>1797</v>
      </c>
      <c r="C194" s="39" t="s">
        <v>1798</v>
      </c>
      <c r="D194" s="39" t="s">
        <v>1799</v>
      </c>
      <c r="E194" s="39" t="s">
        <v>1800</v>
      </c>
      <c r="F194" s="39" t="s">
        <v>689</v>
      </c>
      <c r="G194" s="39" t="s">
        <v>1801</v>
      </c>
    </row>
    <row r="195" customFormat="false" ht="12.8" hidden="false" customHeight="false" outlineLevel="0" collapsed="false">
      <c r="A195" s="50" t="s">
        <v>1802</v>
      </c>
      <c r="B195" s="39" t="s">
        <v>1803</v>
      </c>
      <c r="C195" s="39" t="s">
        <v>1804</v>
      </c>
      <c r="D195" s="39" t="s">
        <v>1805</v>
      </c>
      <c r="E195" s="39" t="s">
        <v>1806</v>
      </c>
      <c r="F195" s="39" t="s">
        <v>1629</v>
      </c>
      <c r="G195" s="39" t="s">
        <v>1807</v>
      </c>
    </row>
    <row r="196" customFormat="false" ht="12.8" hidden="false" customHeight="false" outlineLevel="0" collapsed="false">
      <c r="A196" s="50" t="s">
        <v>1808</v>
      </c>
      <c r="B196" s="39" t="s">
        <v>1809</v>
      </c>
      <c r="C196" s="39" t="n">
        <v>0.9983</v>
      </c>
      <c r="D196" s="39" t="s">
        <v>1810</v>
      </c>
      <c r="E196" s="39" t="s">
        <v>1811</v>
      </c>
      <c r="F196" s="39" t="s">
        <v>689</v>
      </c>
      <c r="G196" s="39" t="s">
        <v>1812</v>
      </c>
    </row>
    <row r="197" customFormat="false" ht="12.8" hidden="false" customHeight="false" outlineLevel="0" collapsed="false">
      <c r="A197" s="50" t="s">
        <v>1813</v>
      </c>
      <c r="B197" s="39" t="s">
        <v>1814</v>
      </c>
      <c r="C197" s="39" t="s">
        <v>1815</v>
      </c>
      <c r="D197" s="39" t="s">
        <v>1816</v>
      </c>
      <c r="E197" s="39" t="s">
        <v>1817</v>
      </c>
      <c r="F197" s="39" t="s">
        <v>769</v>
      </c>
      <c r="G197" s="39" t="s">
        <v>1818</v>
      </c>
    </row>
    <row r="198" customFormat="false" ht="12.8" hidden="false" customHeight="false" outlineLevel="0" collapsed="false">
      <c r="A198" s="50" t="s">
        <v>1819</v>
      </c>
      <c r="B198" s="39" t="s">
        <v>1820</v>
      </c>
      <c r="C198" s="39" t="s">
        <v>1821</v>
      </c>
      <c r="D198" s="39" t="s">
        <v>1822</v>
      </c>
      <c r="E198" s="39" t="s">
        <v>1823</v>
      </c>
      <c r="F198" s="39" t="s">
        <v>689</v>
      </c>
      <c r="G198" s="39" t="s">
        <v>1824</v>
      </c>
    </row>
    <row r="199" customFormat="false" ht="12.8" hidden="false" customHeight="false" outlineLevel="0" collapsed="false">
      <c r="A199" s="50" t="s">
        <v>1825</v>
      </c>
      <c r="B199" s="39" t="s">
        <v>1826</v>
      </c>
      <c r="C199" s="39" t="n">
        <v>2211200</v>
      </c>
      <c r="D199" s="39" t="s">
        <v>803</v>
      </c>
      <c r="E199" s="39" t="s">
        <v>689</v>
      </c>
      <c r="F199" s="39" t="s">
        <v>1827</v>
      </c>
      <c r="G199" s="39" t="s">
        <v>1828</v>
      </c>
    </row>
    <row r="200" customFormat="false" ht="12.8" hidden="false" customHeight="false" outlineLevel="0" collapsed="false">
      <c r="A200" s="62" t="s">
        <v>1829</v>
      </c>
      <c r="B200" s="63" t="s">
        <v>1830</v>
      </c>
      <c r="C200" s="63" t="s">
        <v>1831</v>
      </c>
      <c r="D200" s="64" t="s">
        <v>1832</v>
      </c>
      <c r="E200" s="64" t="s">
        <v>689</v>
      </c>
      <c r="F200" s="64" t="s">
        <v>1833</v>
      </c>
    </row>
    <row r="201" customFormat="false" ht="12.8" hidden="false" customHeight="false" outlineLevel="0" collapsed="false">
      <c r="A201" s="62" t="s">
        <v>1834</v>
      </c>
      <c r="B201" s="63" t="s">
        <v>1835</v>
      </c>
      <c r="C201" s="63" t="s">
        <v>1836</v>
      </c>
      <c r="D201" s="64" t="s">
        <v>1837</v>
      </c>
      <c r="E201" s="64" t="s">
        <v>689</v>
      </c>
      <c r="F201" s="64" t="s">
        <v>1838</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154"/>
  <sheetViews>
    <sheetView showFormulas="false" showGridLines="true" showRowColHeaders="true" showZeros="true" rightToLeft="false" tabSelected="false" showOutlineSymbols="true" defaultGridColor="true" view="normal" topLeftCell="A96" colorId="64" zoomScale="65" zoomScaleNormal="65" zoomScalePageLayoutView="100" workbookViewId="0">
      <selection pane="topLeft" activeCell="A146" activeCellId="0" sqref="A146"/>
    </sheetView>
  </sheetViews>
  <sheetFormatPr defaultColWidth="11.53515625" defaultRowHeight="12.8" customHeight="false" zeroHeight="false" outlineLevelRow="0" outlineLevelCol="0"/>
  <cols>
    <col collapsed="false" customWidth="true" hidden="false" outlineLevel="0" max="1" min="1" style="62" width="23.07"/>
    <col collapsed="false" customWidth="true" hidden="false" outlineLevel="0" max="2" min="2" style="63" width="29.97"/>
    <col collapsed="false" customWidth="true" hidden="false" outlineLevel="0" max="3" min="3" style="63" width="16.84"/>
    <col collapsed="false" customWidth="true" hidden="false" outlineLevel="0" max="10" min="4" style="64" width="16.84"/>
    <col collapsed="false" customWidth="false" hidden="false" outlineLevel="0" max="16384" min="79" style="64" width="11.53"/>
  </cols>
  <sheetData>
    <row r="1" customFormat="false" ht="12.8" hidden="false" customHeight="false" outlineLevel="0" collapsed="false">
      <c r="A1" s="65" t="s">
        <v>1839</v>
      </c>
      <c r="B1" s="66" t="s">
        <v>1588</v>
      </c>
      <c r="C1" s="56" t="s">
        <v>2</v>
      </c>
      <c r="D1" s="67" t="s">
        <v>1589</v>
      </c>
    </row>
    <row r="2" customFormat="false" ht="12.8" hidden="false" customHeight="false" outlineLevel="0" collapsed="false">
      <c r="A2" s="65" t="str">
        <f aca="false">_xlfn.CONCAT($A$1, ".", "CALC")</f>
        <v>LSD.RID.0.AL.LFP.CALC</v>
      </c>
      <c r="B2" s="66" t="str">
        <f aca="false">_xlfn.CONCAT($B$1, " ", "Calculations")</f>
        <v>Alabama Labor Force Population Calculations</v>
      </c>
      <c r="C2" s="56" t="str">
        <f aca="false">CALC!D2</f>
        <v>Labor Force Population (LFP)</v>
      </c>
      <c r="D2" s="56"/>
      <c r="E2" s="56"/>
      <c r="F2" s="56"/>
    </row>
    <row r="3" customFormat="false" ht="12.8" hidden="false" customHeight="false" outlineLevel="0" collapsed="false">
      <c r="A3" s="65" t="str">
        <f aca="false">CALC!A3</f>
        <v>LSID</v>
      </c>
      <c r="B3" s="42" t="str">
        <f aca="false">CALC!C3</f>
        <v>Labor Sector</v>
      </c>
      <c r="C3" s="59" t="str">
        <f aca="false">CALC!D3</f>
        <v>Overall LFP</v>
      </c>
      <c r="D3" s="59" t="str">
        <f aca="false">CALC!E3</f>
        <v>Authorized LFP</v>
      </c>
      <c r="E3" s="59" t="str">
        <f aca="false">CALC!F3</f>
        <v>Unauthorized LFP</v>
      </c>
      <c r="F3" s="59" t="str">
        <f aca="false">CALC!G3</f>
        <v>American LFP</v>
      </c>
    </row>
    <row r="4" customFormat="false" ht="12.8" hidden="false" customHeight="false" outlineLevel="0" collapsed="false">
      <c r="A4" s="65" t="str">
        <f aca="false">_xlfn.CONCAT($A$1, ".", CALC!A4)</f>
        <v>LSD.RID.0.AL.LFP.0</v>
      </c>
      <c r="B4" s="42" t="str">
        <f aca="false">CALC!C4</f>
        <v>All Industries</v>
      </c>
      <c r="C4" s="3" t="n">
        <v>2381000</v>
      </c>
      <c r="D4" s="3" t="n">
        <v>62388</v>
      </c>
      <c r="E4" s="3" t="n">
        <v>50000</v>
      </c>
      <c r="F4" s="3" t="n">
        <v>2270612</v>
      </c>
    </row>
    <row r="5" customFormat="false" ht="23.85" hidden="false" customHeight="false" outlineLevel="0" collapsed="false">
      <c r="A5" s="65" t="str">
        <f aca="false">_xlfn.CONCAT($A$1, ".", CALC!A5)</f>
        <v>LSD.RID.0.AL.LFP.1</v>
      </c>
      <c r="B5" s="68" t="str">
        <f aca="false">CALC!C5</f>
        <v>Agriculture, Forestry, 
Fishing and Hunting</v>
      </c>
      <c r="C5" s="3" t="n">
        <v>38000</v>
      </c>
      <c r="D5" s="3" t="n">
        <v>152</v>
      </c>
      <c r="E5" s="3" t="n">
        <v>5320</v>
      </c>
      <c r="F5" s="3" t="n">
        <v>32528</v>
      </c>
    </row>
    <row r="6" customFormat="false" ht="23.85" hidden="false" customHeight="false" outlineLevel="0" collapsed="false">
      <c r="A6" s="65" t="str">
        <f aca="false">_xlfn.CONCAT($A$1, ".", CALC!A6)</f>
        <v>LSD.RID.0.AL.LFP.2</v>
      </c>
      <c r="B6" s="68" t="str">
        <f aca="false">CALC!C6</f>
        <v>Mining, Quarrying, and
Oil and Gas Extraction</v>
      </c>
      <c r="C6" s="3" t="n">
        <v>14000</v>
      </c>
      <c r="D6" s="3" t="n">
        <v>196</v>
      </c>
      <c r="E6" s="3" t="n">
        <v>560</v>
      </c>
      <c r="F6" s="3" t="n">
        <v>13244</v>
      </c>
    </row>
    <row r="7" customFormat="false" ht="12.8" hidden="false" customHeight="false" outlineLevel="0" collapsed="false">
      <c r="A7" s="65" t="str">
        <f aca="false">_xlfn.CONCAT($A$1, ".", CALC!A7)</f>
        <v>LSD.RID.0.AL.LFP.3</v>
      </c>
      <c r="B7" s="42" t="str">
        <f aca="false">CALC!C7</f>
        <v>Utilities</v>
      </c>
      <c r="C7" s="3" t="n">
        <v>28000</v>
      </c>
      <c r="D7" s="3" t="n">
        <v>560</v>
      </c>
      <c r="E7" s="3" t="n">
        <v>224</v>
      </c>
      <c r="F7" s="3" t="n">
        <v>27216</v>
      </c>
    </row>
    <row r="8" customFormat="false" ht="12.8" hidden="false" customHeight="false" outlineLevel="0" collapsed="false">
      <c r="A8" s="65" t="str">
        <f aca="false">_xlfn.CONCAT($A$1, ".", CALC!A8)</f>
        <v>LSD.RID.0.AL.LFP.4</v>
      </c>
      <c r="B8" s="42" t="str">
        <f aca="false">CALC!C8</f>
        <v>Construction</v>
      </c>
      <c r="C8" s="3" t="n">
        <v>135000</v>
      </c>
      <c r="D8" s="3" t="n">
        <v>4590</v>
      </c>
      <c r="E8" s="3" t="n">
        <v>13770</v>
      </c>
      <c r="F8" s="3" t="n">
        <v>116640</v>
      </c>
    </row>
    <row r="9" customFormat="false" ht="23.85" hidden="false" customHeight="false" outlineLevel="0" collapsed="false">
      <c r="A9" s="65" t="str">
        <f aca="false">_xlfn.CONCAT($A$1, ".", CALC!A9)</f>
        <v>LSD.RID.0.AL.LFP.5</v>
      </c>
      <c r="B9" s="68" t="str">
        <f aca="false">CALC!C9</f>
        <v>Manufacturing
(Food,Textile, etc.)</v>
      </c>
      <c r="C9" s="3" t="n">
        <v>70700</v>
      </c>
      <c r="D9" s="3" t="n">
        <v>1555</v>
      </c>
      <c r="E9" s="3" t="n">
        <v>5656</v>
      </c>
      <c r="F9" s="3" t="n">
        <v>63489</v>
      </c>
    </row>
    <row r="10" customFormat="false" ht="23.85" hidden="false" customHeight="false" outlineLevel="0" collapsed="false">
      <c r="A10" s="65" t="str">
        <f aca="false">_xlfn.CONCAT($A$1, ".", CALC!A10)</f>
        <v>LSD.RID.0.AL.LFP.6</v>
      </c>
      <c r="B10" s="68" t="str">
        <f aca="false">CALC!C10</f>
        <v>Manufacturing (Wood,
Paper, Printing, etc.)</v>
      </c>
      <c r="C10" s="3" t="n">
        <v>58000</v>
      </c>
      <c r="D10" s="3" t="n">
        <v>1276</v>
      </c>
      <c r="E10" s="3" t="n">
        <v>2088</v>
      </c>
      <c r="F10" s="3" t="n">
        <v>54636</v>
      </c>
    </row>
    <row r="11" customFormat="false" ht="23.85" hidden="false" customHeight="false" outlineLevel="0" collapsed="false">
      <c r="A11" s="65" t="str">
        <f aca="false">_xlfn.CONCAT($A$1, ".", CALC!A11)</f>
        <v>LSD.RID.0.AL.LFP.7</v>
      </c>
      <c r="B11" s="68" t="str">
        <f aca="false">CALC!C11</f>
        <v>Manufacturing
(Machinery, Transport)</v>
      </c>
      <c r="C11" s="3" t="n">
        <v>120000</v>
      </c>
      <c r="D11" s="3" t="n">
        <v>2640</v>
      </c>
      <c r="E11" s="3" t="n">
        <v>4320</v>
      </c>
      <c r="F11" s="3" t="n">
        <v>113040</v>
      </c>
    </row>
    <row r="12" customFormat="false" ht="12.8" hidden="false" customHeight="false" outlineLevel="0" collapsed="false">
      <c r="A12" s="65" t="str">
        <f aca="false">_xlfn.CONCAT($A$1, ".", CALC!A12)</f>
        <v>LSD.RID.0.AL.LFP.8</v>
      </c>
      <c r="B12" s="42" t="str">
        <f aca="false">CALC!C12</f>
        <v>Wholesale Trade</v>
      </c>
      <c r="C12" s="3" t="n">
        <v>49500</v>
      </c>
      <c r="D12" s="3" t="n">
        <v>1089</v>
      </c>
      <c r="E12" s="3" t="n">
        <v>1782</v>
      </c>
      <c r="F12" s="3" t="n">
        <v>46629</v>
      </c>
    </row>
    <row r="13" customFormat="false" ht="23.85" hidden="false" customHeight="false" outlineLevel="0" collapsed="false">
      <c r="A13" s="65" t="str">
        <f aca="false">_xlfn.CONCAT($A$1, ".", CALC!A13)</f>
        <v>LSD.RID.0.AL.LFP.9</v>
      </c>
      <c r="B13" s="68" t="str">
        <f aca="false">CALC!C13</f>
        <v>Retail Trade (Motor
Vehicle, Electronics)</v>
      </c>
      <c r="C13" s="3" t="n">
        <v>39900</v>
      </c>
      <c r="D13" s="3" t="n">
        <v>878</v>
      </c>
      <c r="E13" s="3" t="n">
        <v>1436</v>
      </c>
      <c r="F13" s="3" t="n">
        <v>37586</v>
      </c>
    </row>
    <row r="14" customFormat="false" ht="23.85" hidden="false" customHeight="false" outlineLevel="0" collapsed="false">
      <c r="A14" s="65" t="str">
        <f aca="false">_xlfn.CONCAT($A$1, ".", CALC!A14)</f>
        <v>LSD.RID.0.AL.LFP.10</v>
      </c>
      <c r="B14" s="68" t="str">
        <f aca="false">CALC!C14</f>
        <v>Retail Trade (Food, Clothing,
General Merchandise, etc.)</v>
      </c>
      <c r="C14" s="3" t="n">
        <v>129800</v>
      </c>
      <c r="D14" s="3" t="n">
        <v>2856</v>
      </c>
      <c r="E14" s="3" t="n">
        <v>10384</v>
      </c>
      <c r="F14" s="3" t="n">
        <v>116560</v>
      </c>
    </row>
    <row r="15" customFormat="false" ht="12.8" hidden="false" customHeight="false" outlineLevel="0" collapsed="false">
      <c r="A15" s="65" t="str">
        <f aca="false">_xlfn.CONCAT($A$1, ".", CALC!A15)</f>
        <v>LSD.RID.0.AL.LFP.11</v>
      </c>
      <c r="B15" s="42" t="str">
        <f aca="false">CALC!C15</f>
        <v>Transportation</v>
      </c>
      <c r="C15" s="3" t="n">
        <v>75500</v>
      </c>
      <c r="D15" s="3" t="n">
        <v>1661</v>
      </c>
      <c r="E15" s="3" t="n">
        <v>2719</v>
      </c>
      <c r="F15" s="3" t="n">
        <v>71120</v>
      </c>
    </row>
    <row r="16" customFormat="false" ht="12.8" hidden="false" customHeight="false" outlineLevel="0" collapsed="false">
      <c r="A16" s="65" t="str">
        <f aca="false">_xlfn.CONCAT($A$1, ".", CALC!A16)</f>
        <v>LSD.RID.0.AL.LFP.12</v>
      </c>
      <c r="B16" s="42" t="str">
        <f aca="false">CALC!C16</f>
        <v>Warehousing and Storage</v>
      </c>
      <c r="C16" s="3" t="n">
        <v>50000</v>
      </c>
      <c r="D16" s="3" t="n">
        <v>1100</v>
      </c>
      <c r="E16" s="3" t="n">
        <v>1800</v>
      </c>
      <c r="F16" s="3" t="n">
        <v>47100</v>
      </c>
    </row>
    <row r="17" customFormat="false" ht="12.8" hidden="false" customHeight="false" outlineLevel="0" collapsed="false">
      <c r="A17" s="65" t="str">
        <f aca="false">_xlfn.CONCAT($A$1, ".", CALC!A17)</f>
        <v>LSD.RID.0.AL.LFP.13</v>
      </c>
      <c r="B17" s="42" t="str">
        <f aca="false">CALC!C17</f>
        <v>Information</v>
      </c>
      <c r="C17" s="3" t="n">
        <v>28000</v>
      </c>
      <c r="D17" s="3" t="n">
        <v>616</v>
      </c>
      <c r="E17" s="3" t="n">
        <v>1008</v>
      </c>
      <c r="F17" s="3" t="n">
        <v>26376</v>
      </c>
    </row>
    <row r="18" customFormat="false" ht="12.8" hidden="false" customHeight="false" outlineLevel="0" collapsed="false">
      <c r="A18" s="65" t="str">
        <f aca="false">_xlfn.CONCAT($A$1, ".", CALC!A18)</f>
        <v>LSD.RID.0.AL.LFP.14</v>
      </c>
      <c r="B18" s="42" t="str">
        <f aca="false">CALC!C18</f>
        <v>Finance and Insurance</v>
      </c>
      <c r="C18" s="3" t="n">
        <v>60800</v>
      </c>
      <c r="D18" s="3" t="n">
        <v>1338</v>
      </c>
      <c r="E18" s="3" t="n">
        <v>2190</v>
      </c>
      <c r="F18" s="3" t="n">
        <v>57272</v>
      </c>
    </row>
    <row r="19" customFormat="false" ht="23.85" hidden="false" customHeight="false" outlineLevel="0" collapsed="false">
      <c r="A19" s="65" t="str">
        <f aca="false">_xlfn.CONCAT($A$1, ".", CALC!A19)</f>
        <v>LSD.RID.0.AL.LFP.15</v>
      </c>
      <c r="B19" s="68" t="str">
        <f aca="false">CALC!C19</f>
        <v>Real Estate and
Rental and Leasing</v>
      </c>
      <c r="C19" s="3" t="n">
        <v>30400</v>
      </c>
      <c r="D19" s="3" t="n">
        <v>669</v>
      </c>
      <c r="E19" s="3" t="n">
        <v>1094</v>
      </c>
      <c r="F19" s="3" t="n">
        <v>28637</v>
      </c>
    </row>
    <row r="20" customFormat="false" ht="23.85" hidden="false" customHeight="false" outlineLevel="0" collapsed="false">
      <c r="A20" s="65" t="str">
        <f aca="false">_xlfn.CONCAT($A$1, ".", CALC!A20)</f>
        <v>LSD.RID.0.AL.LFP.16</v>
      </c>
      <c r="B20" s="68" t="str">
        <f aca="false">CALC!C20</f>
        <v>Professional, Scientific,
and Technical Services</v>
      </c>
      <c r="C20" s="3" t="n">
        <v>91200</v>
      </c>
      <c r="D20" s="3" t="n">
        <v>2006</v>
      </c>
      <c r="E20" s="3" t="n">
        <v>3283</v>
      </c>
      <c r="F20" s="3" t="n">
        <v>85911</v>
      </c>
    </row>
    <row r="21" customFormat="false" ht="34.4" hidden="false" customHeight="false" outlineLevel="0" collapsed="false">
      <c r="A21" s="65" t="str">
        <f aca="false">_xlfn.CONCAT($A$1, ".", CALC!A21)</f>
        <v>LSD.RID.0.AL.LFP.17</v>
      </c>
      <c r="B21" s="68" t="str">
        <f aca="false">CALC!C21</f>
        <v>Administrative and Support
and Waste Management
and Remediation Services</v>
      </c>
      <c r="C21" s="3" t="n">
        <v>123000</v>
      </c>
      <c r="D21" s="3" t="n">
        <v>2706</v>
      </c>
      <c r="E21" s="3" t="n">
        <v>9846</v>
      </c>
      <c r="F21" s="3" t="n">
        <v>110448</v>
      </c>
    </row>
    <row r="22" customFormat="false" ht="12.8" hidden="false" customHeight="false" outlineLevel="0" collapsed="false">
      <c r="A22" s="65" t="str">
        <f aca="false">_xlfn.CONCAT($A$1, ".", CALC!A22)</f>
        <v>LSD.RID.0.AL.LFP.18</v>
      </c>
      <c r="B22" s="42" t="str">
        <f aca="false">CALC!C22</f>
        <v>Educational Services</v>
      </c>
      <c r="C22" s="3" t="n">
        <v>152000</v>
      </c>
      <c r="D22" s="3" t="n">
        <v>3344</v>
      </c>
      <c r="E22" s="3" t="n">
        <v>5472</v>
      </c>
      <c r="F22" s="3" t="n">
        <v>143184</v>
      </c>
    </row>
    <row r="23" customFormat="false" ht="23.85" hidden="false" customHeight="false" outlineLevel="0" collapsed="false">
      <c r="A23" s="65" t="str">
        <f aca="false">_xlfn.CONCAT($A$1, ".", CALC!A23)</f>
        <v>LSD.RID.0.AL.LFP.19</v>
      </c>
      <c r="B23" s="68" t="str">
        <f aca="false">CALC!C23</f>
        <v>Health Care and
Social Assistance</v>
      </c>
      <c r="C23" s="3" t="n">
        <v>213800</v>
      </c>
      <c r="D23" s="3" t="n">
        <v>4704</v>
      </c>
      <c r="E23" s="3" t="n">
        <v>7697</v>
      </c>
      <c r="F23" s="3" t="n">
        <v>201399</v>
      </c>
    </row>
    <row r="24" customFormat="false" ht="23.85" hidden="false" customHeight="false" outlineLevel="0" collapsed="false">
      <c r="A24" s="65" t="str">
        <f aca="false">_xlfn.CONCAT($A$1, ".", CALC!A24)</f>
        <v>LSD.RID.0.AL.LFP.20</v>
      </c>
      <c r="B24" s="68" t="str">
        <f aca="false">CALC!C24</f>
        <v>Arts, Entertainment,
and Recreation</v>
      </c>
      <c r="C24" s="3" t="n">
        <v>30400</v>
      </c>
      <c r="D24" s="3" t="n">
        <v>669</v>
      </c>
      <c r="E24" s="3" t="n">
        <v>1094</v>
      </c>
      <c r="F24" s="3" t="n">
        <v>28637</v>
      </c>
    </row>
    <row r="25" customFormat="false" ht="23.85" hidden="false" customHeight="false" outlineLevel="0" collapsed="false">
      <c r="A25" s="65" t="str">
        <f aca="false">_xlfn.CONCAT($A$1, ".", CALC!A25)</f>
        <v>LSD.RID.0.AL.LFP.21</v>
      </c>
      <c r="B25" s="68" t="str">
        <f aca="false">CALC!C25</f>
        <v>Accommodation
and Food Services</v>
      </c>
      <c r="C25" s="3" t="n">
        <v>124500</v>
      </c>
      <c r="D25" s="3" t="n">
        <v>2739</v>
      </c>
      <c r="E25" s="3" t="n">
        <v>9950</v>
      </c>
      <c r="F25" s="3" t="n">
        <v>111811</v>
      </c>
    </row>
    <row r="26" customFormat="false" ht="23.85" hidden="false" customHeight="false" outlineLevel="0" collapsed="false">
      <c r="A26" s="65" t="str">
        <f aca="false">_xlfn.CONCAT($A$1, ".", CALC!A26)</f>
        <v>LSD.RID.0.AL.LFP.22</v>
      </c>
      <c r="B26" s="68" t="str">
        <f aca="false">CALC!C26</f>
        <v>Other Services (except
Public Administration)</v>
      </c>
      <c r="C26" s="3" t="n">
        <v>66500</v>
      </c>
      <c r="D26" s="3" t="n">
        <v>1463</v>
      </c>
      <c r="E26" s="3" t="n">
        <v>5320</v>
      </c>
      <c r="F26" s="3" t="n">
        <v>59717</v>
      </c>
    </row>
    <row r="27" customFormat="false" ht="12.8" hidden="false" customHeight="false" outlineLevel="0" collapsed="false">
      <c r="A27" s="65" t="str">
        <f aca="false">_xlfn.CONCAT($A$1, ".", CALC!A27)</f>
        <v>LSD.RID.0.AL.LFP.23</v>
      </c>
      <c r="B27" s="42" t="str">
        <f aca="false">CALC!C27</f>
        <v>Public Administration</v>
      </c>
      <c r="C27" s="3" t="n">
        <v>95000</v>
      </c>
      <c r="D27" s="3" t="n">
        <v>2090</v>
      </c>
      <c r="E27" s="3" t="n">
        <v>3420</v>
      </c>
      <c r="F27" s="3" t="n">
        <v>89490</v>
      </c>
    </row>
    <row r="28" customFormat="false" ht="12.8" hidden="false" customHeight="false" outlineLevel="0" collapsed="false">
      <c r="A28" s="65"/>
      <c r="B28" s="42"/>
      <c r="C28" s="40"/>
      <c r="D28" s="40"/>
      <c r="E28" s="40"/>
      <c r="F28" s="40"/>
    </row>
    <row r="29" customFormat="false" ht="12.8" hidden="false" customHeight="false" outlineLevel="0" collapsed="false">
      <c r="A29" s="65"/>
      <c r="B29" s="42"/>
      <c r="C29" s="40"/>
      <c r="D29" s="40"/>
      <c r="E29" s="40"/>
      <c r="F29" s="40"/>
    </row>
    <row r="30" customFormat="false" ht="12.8" hidden="false" customHeight="false" outlineLevel="0" collapsed="false">
      <c r="A30" s="65"/>
      <c r="B30" s="42"/>
      <c r="C30" s="64"/>
    </row>
    <row r="31" customFormat="false" ht="12.8" hidden="false" customHeight="false" outlineLevel="0" collapsed="false">
      <c r="B31" s="39"/>
      <c r="C31" s="39"/>
    </row>
    <row r="132" customFormat="false" ht="12.8" hidden="false" customHeight="false" outlineLevel="0" collapsed="false">
      <c r="A132" s="65" t="s">
        <v>1840</v>
      </c>
      <c r="B132" s="66" t="s">
        <v>1841</v>
      </c>
      <c r="C132" s="66"/>
    </row>
    <row r="133" customFormat="false" ht="12.8" hidden="false" customHeight="false" outlineLevel="0" collapsed="false">
      <c r="A133" s="49" t="s">
        <v>1842</v>
      </c>
      <c r="B133" s="49" t="s">
        <v>183</v>
      </c>
      <c r="C133" s="49" t="s">
        <v>184</v>
      </c>
      <c r="D133" s="49" t="s">
        <v>1843</v>
      </c>
      <c r="E133" s="49" t="s">
        <v>186</v>
      </c>
      <c r="F133" s="49" t="s">
        <v>187</v>
      </c>
      <c r="G133" s="49" t="s">
        <v>187</v>
      </c>
    </row>
    <row r="134" customFormat="false" ht="12.8" hidden="false" customHeight="false" outlineLevel="0" collapsed="false">
      <c r="A134" s="49" t="s">
        <v>1844</v>
      </c>
      <c r="B134" s="49" t="s">
        <v>1845</v>
      </c>
      <c r="C134" s="49" t="s">
        <v>1846</v>
      </c>
      <c r="D134" s="49" t="s">
        <v>1847</v>
      </c>
      <c r="E134" s="49" t="s">
        <v>1848</v>
      </c>
      <c r="F134" s="49" t="s">
        <v>302</v>
      </c>
      <c r="G134" s="49"/>
    </row>
    <row r="135" customFormat="false" ht="12.8" hidden="false" customHeight="false" outlineLevel="0" collapsed="false">
      <c r="A135" s="49" t="s">
        <v>1849</v>
      </c>
      <c r="B135" s="49" t="s">
        <v>1845</v>
      </c>
      <c r="C135" s="49" t="s">
        <v>1850</v>
      </c>
      <c r="D135" s="49" t="s">
        <v>300</v>
      </c>
      <c r="E135" s="49" t="s">
        <v>1851</v>
      </c>
      <c r="F135" s="49" t="s">
        <v>302</v>
      </c>
      <c r="G135" s="49"/>
    </row>
    <row r="136" customFormat="false" ht="12.8" hidden="false" customHeight="false" outlineLevel="0" collapsed="false">
      <c r="A136" s="49" t="s">
        <v>1852</v>
      </c>
      <c r="B136" s="49" t="s">
        <v>1845</v>
      </c>
      <c r="C136" s="49" t="s">
        <v>1853</v>
      </c>
      <c r="D136" s="49" t="s">
        <v>1854</v>
      </c>
      <c r="E136" s="49" t="s">
        <v>1855</v>
      </c>
      <c r="F136" s="49" t="s">
        <v>302</v>
      </c>
      <c r="G136" s="49"/>
    </row>
    <row r="137" customFormat="false" ht="12.8" hidden="false" customHeight="false" outlineLevel="0" collapsed="false">
      <c r="A137" s="49" t="s">
        <v>1856</v>
      </c>
      <c r="B137" s="49" t="s">
        <v>1845</v>
      </c>
      <c r="C137" s="49" t="s">
        <v>1857</v>
      </c>
      <c r="D137" s="49" t="s">
        <v>305</v>
      </c>
      <c r="E137" s="49" t="s">
        <v>306</v>
      </c>
      <c r="F137" s="49" t="s">
        <v>302</v>
      </c>
      <c r="G137" s="49"/>
    </row>
    <row r="138" customFormat="false" ht="12.8" hidden="false" customHeight="false" outlineLevel="0" collapsed="false">
      <c r="A138" s="50"/>
      <c r="B138" s="69"/>
      <c r="C138" s="69"/>
      <c r="D138" s="39"/>
      <c r="E138" s="39"/>
      <c r="F138" s="39"/>
      <c r="G138" s="39"/>
    </row>
    <row r="139" customFormat="false" ht="12.8" hidden="false" customHeight="false" outlineLevel="0" collapsed="false">
      <c r="A139" s="65" t="s">
        <v>1858</v>
      </c>
      <c r="B139" s="66" t="s">
        <v>1859</v>
      </c>
      <c r="C139" s="66"/>
    </row>
    <row r="140" customFormat="false" ht="12.8" hidden="false" customHeight="false" outlineLevel="0" collapsed="false">
      <c r="A140" s="49" t="s">
        <v>683</v>
      </c>
      <c r="B140" s="49" t="s">
        <v>184</v>
      </c>
      <c r="C140" s="49" t="s">
        <v>684</v>
      </c>
      <c r="D140" s="49" t="s">
        <v>186</v>
      </c>
      <c r="E140" s="49" t="s">
        <v>678</v>
      </c>
      <c r="F140" s="49" t="s">
        <v>679</v>
      </c>
      <c r="G140" s="49" t="s">
        <v>680</v>
      </c>
      <c r="H140" s="49" t="s">
        <v>187</v>
      </c>
    </row>
    <row r="141" customFormat="false" ht="12.8" hidden="false" customHeight="false" outlineLevel="0" collapsed="false">
      <c r="A141" s="49" t="s">
        <v>1860</v>
      </c>
      <c r="B141" s="49" t="s">
        <v>1861</v>
      </c>
      <c r="C141" s="49" t="n">
        <v>2381000</v>
      </c>
      <c r="D141" s="49" t="s">
        <v>1862</v>
      </c>
      <c r="E141" s="49" t="s">
        <v>689</v>
      </c>
      <c r="F141" s="49" t="s">
        <v>690</v>
      </c>
      <c r="G141" s="70" t="s">
        <v>691</v>
      </c>
      <c r="H141" s="49" t="s">
        <v>302</v>
      </c>
    </row>
    <row r="142" customFormat="false" ht="12.8" hidden="false" customHeight="false" outlineLevel="0" collapsed="false">
      <c r="A142" s="49" t="s">
        <v>1863</v>
      </c>
      <c r="B142" s="49" t="s">
        <v>1864</v>
      </c>
      <c r="C142" s="49" t="s">
        <v>1865</v>
      </c>
      <c r="D142" s="49" t="s">
        <v>982</v>
      </c>
      <c r="E142" s="49" t="s">
        <v>983</v>
      </c>
      <c r="F142" s="49" t="s">
        <v>984</v>
      </c>
      <c r="G142" s="70" t="s">
        <v>691</v>
      </c>
      <c r="H142" s="49" t="s">
        <v>302</v>
      </c>
    </row>
    <row r="143" customFormat="false" ht="12.8" hidden="false" customHeight="false" outlineLevel="0" collapsed="false">
      <c r="A143" s="49" t="s">
        <v>1866</v>
      </c>
      <c r="B143" s="49" t="s">
        <v>1867</v>
      </c>
      <c r="C143" s="49" t="s">
        <v>1868</v>
      </c>
      <c r="D143" s="49" t="s">
        <v>1869</v>
      </c>
      <c r="E143" s="49" t="s">
        <v>983</v>
      </c>
      <c r="F143" s="49" t="s">
        <v>984</v>
      </c>
      <c r="G143" s="70" t="s">
        <v>691</v>
      </c>
      <c r="H143" s="49" t="s">
        <v>302</v>
      </c>
    </row>
    <row r="144" customFormat="false" ht="12.8" hidden="false" customHeight="false" outlineLevel="0" collapsed="false">
      <c r="A144" s="49" t="s">
        <v>1870</v>
      </c>
      <c r="B144" s="49" t="s">
        <v>1871</v>
      </c>
      <c r="C144" s="49" t="s">
        <v>1872</v>
      </c>
      <c r="D144" s="49" t="s">
        <v>993</v>
      </c>
      <c r="E144" s="49" t="s">
        <v>983</v>
      </c>
      <c r="F144" s="49" t="s">
        <v>984</v>
      </c>
      <c r="G144" s="70" t="s">
        <v>691</v>
      </c>
      <c r="H144" s="49" t="s">
        <v>974</v>
      </c>
      <c r="I144" s="64" t="s">
        <v>302</v>
      </c>
    </row>
    <row r="145" customFormat="false" ht="12.8" hidden="false" customHeight="false" outlineLevel="0" collapsed="false">
      <c r="A145" s="39"/>
      <c r="B145" s="39"/>
      <c r="C145" s="39"/>
      <c r="D145" s="39"/>
      <c r="E145" s="39"/>
      <c r="F145" s="39"/>
      <c r="G145" s="39"/>
      <c r="H145" s="49"/>
    </row>
    <row r="146" customFormat="false" ht="12.8" hidden="false" customHeight="false" outlineLevel="0" collapsed="false">
      <c r="A146" s="65" t="s">
        <v>1873</v>
      </c>
      <c r="B146" s="66" t="s">
        <v>1874</v>
      </c>
      <c r="C146" s="66"/>
    </row>
    <row r="147" customFormat="false" ht="12.8" hidden="false" customHeight="false" outlineLevel="0" collapsed="false">
      <c r="A147" s="49" t="s">
        <v>113</v>
      </c>
      <c r="B147" s="49" t="s">
        <v>186</v>
      </c>
      <c r="C147" s="49" t="s">
        <v>677</v>
      </c>
      <c r="D147" s="49" t="s">
        <v>1875</v>
      </c>
      <c r="E147" s="49" t="s">
        <v>678</v>
      </c>
      <c r="F147" s="49" t="s">
        <v>1876</v>
      </c>
      <c r="G147" s="49" t="s">
        <v>1876</v>
      </c>
      <c r="H147" s="49" t="s">
        <v>1877</v>
      </c>
    </row>
    <row r="148" customFormat="false" ht="12.8" hidden="false" customHeight="false" outlineLevel="0" collapsed="false">
      <c r="A148" s="62" t="s">
        <v>1878</v>
      </c>
      <c r="B148" s="63" t="s">
        <v>1427</v>
      </c>
      <c r="C148" s="63" t="n">
        <v>2381000</v>
      </c>
      <c r="D148" s="64" t="s">
        <v>690</v>
      </c>
      <c r="E148" s="64" t="s">
        <v>689</v>
      </c>
      <c r="F148" s="64" t="s">
        <v>1879</v>
      </c>
    </row>
    <row r="149" customFormat="false" ht="12.8" hidden="false" customHeight="false" outlineLevel="0" collapsed="false">
      <c r="A149" s="62" t="s">
        <v>1880</v>
      </c>
      <c r="B149" s="63" t="s">
        <v>1881</v>
      </c>
      <c r="C149" s="63" t="s">
        <v>1882</v>
      </c>
      <c r="D149" s="64" t="s">
        <v>1883</v>
      </c>
      <c r="E149" s="64" t="s">
        <v>689</v>
      </c>
      <c r="F149" s="64" t="s">
        <v>1884</v>
      </c>
    </row>
    <row r="150" customFormat="false" ht="12.8" hidden="false" customHeight="false" outlineLevel="0" collapsed="false">
      <c r="A150" s="62" t="s">
        <v>1885</v>
      </c>
      <c r="B150" s="63" t="s">
        <v>1886</v>
      </c>
      <c r="C150" s="63" t="s">
        <v>1887</v>
      </c>
      <c r="D150" s="64" t="s">
        <v>1888</v>
      </c>
      <c r="E150" s="64" t="s">
        <v>689</v>
      </c>
      <c r="F150" s="64" t="s">
        <v>1889</v>
      </c>
    </row>
    <row r="151" customFormat="false" ht="12.8" hidden="false" customHeight="false" outlineLevel="0" collapsed="false">
      <c r="A151" s="62" t="s">
        <v>1890</v>
      </c>
      <c r="B151" s="63" t="s">
        <v>1891</v>
      </c>
      <c r="C151" s="63" t="s">
        <v>1892</v>
      </c>
      <c r="D151" s="64" t="s">
        <v>1893</v>
      </c>
      <c r="E151" s="64" t="s">
        <v>689</v>
      </c>
      <c r="F151" s="64" t="s">
        <v>1894</v>
      </c>
    </row>
    <row r="152" customFormat="false" ht="12.8" hidden="false" customHeight="false" outlineLevel="0" collapsed="false">
      <c r="A152" s="62" t="s">
        <v>1895</v>
      </c>
      <c r="B152" s="63" t="s">
        <v>1896</v>
      </c>
      <c r="C152" s="63" t="s">
        <v>1897</v>
      </c>
      <c r="D152" s="64" t="s">
        <v>1898</v>
      </c>
      <c r="E152" s="64" t="s">
        <v>689</v>
      </c>
      <c r="F152" s="64" t="s">
        <v>1899</v>
      </c>
    </row>
    <row r="153" customFormat="false" ht="12.8" hidden="false" customHeight="false" outlineLevel="0" collapsed="false">
      <c r="A153" s="62" t="s">
        <v>1900</v>
      </c>
      <c r="B153" s="63" t="s">
        <v>1901</v>
      </c>
      <c r="C153" s="63" t="s">
        <v>1902</v>
      </c>
      <c r="D153" s="64" t="s">
        <v>1903</v>
      </c>
      <c r="E153" s="64" t="s">
        <v>689</v>
      </c>
      <c r="F153" s="64" t="s">
        <v>1904</v>
      </c>
    </row>
    <row r="154" customFormat="false" ht="12.8" hidden="false" customHeight="false" outlineLevel="0" collapsed="false">
      <c r="A154" s="62" t="s">
        <v>1905</v>
      </c>
      <c r="B154" s="63" t="s">
        <v>1906</v>
      </c>
      <c r="C154" s="63" t="s">
        <v>1907</v>
      </c>
      <c r="D154" s="64" t="s">
        <v>1908</v>
      </c>
      <c r="E154" s="64" t="s">
        <v>689</v>
      </c>
      <c r="F154" s="64" t="s">
        <v>1909</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49"/>
  <sheetViews>
    <sheetView showFormulas="false" showGridLines="true" showRowColHeaders="true" showZeros="true" rightToLeft="false" tabSelected="false" showOutlineSymbols="true" defaultGridColor="true" view="normal" topLeftCell="A72" colorId="64" zoomScale="65" zoomScaleNormal="65" zoomScalePageLayoutView="100" workbookViewId="0">
      <selection pane="topLeft" activeCell="A141" activeCellId="0" sqref="A141"/>
    </sheetView>
  </sheetViews>
  <sheetFormatPr defaultColWidth="11.53515625" defaultRowHeight="12.8" customHeight="false" zeroHeight="false" outlineLevelRow="0" outlineLevelCol="0"/>
  <cols>
    <col collapsed="false" customWidth="true" hidden="false" outlineLevel="0" max="1" min="1" style="50" width="23.07"/>
    <col collapsed="false" customWidth="true" hidden="false" outlineLevel="0" max="2" min="2" style="39" width="27.68"/>
    <col collapsed="false" customWidth="true" hidden="false" outlineLevel="0" max="3" min="3" style="39" width="21.47"/>
    <col collapsed="false" customWidth="true" hidden="false" outlineLevel="0" max="26" min="4" style="39" width="16.84"/>
    <col collapsed="false" customWidth="true" hidden="false" outlineLevel="0" max="40" min="27" style="39" width="17.78"/>
    <col collapsed="false" customWidth="true" hidden="false" outlineLevel="0" max="43" min="41" style="39" width="15.48"/>
    <col collapsed="false" customWidth="false" hidden="false" outlineLevel="0" max="47" min="44" style="3" width="11.53"/>
    <col collapsed="false" customWidth="true" hidden="false" outlineLevel="0" max="48" min="48" style="39" width="18.45"/>
    <col collapsed="false" customWidth="true" hidden="false" outlineLevel="0" max="51" min="49" style="39" width="16.14"/>
    <col collapsed="false" customWidth="true" hidden="false" outlineLevel="0" max="59" min="52" style="39" width="13.84"/>
    <col collapsed="false" customWidth="false" hidden="false" outlineLevel="0" max="16384" min="68" style="3" width="11.53"/>
  </cols>
  <sheetData>
    <row r="1" customFormat="false" ht="12.9" hidden="false" customHeight="false" outlineLevel="0" collapsed="false">
      <c r="A1" s="11" t="s">
        <v>1910</v>
      </c>
      <c r="B1" s="42" t="s">
        <v>1911</v>
      </c>
      <c r="C1" s="6" t="s">
        <v>2</v>
      </c>
      <c r="D1" s="42" t="s">
        <v>1912</v>
      </c>
      <c r="E1" s="67" t="s">
        <v>1913</v>
      </c>
      <c r="AR1" s="39"/>
      <c r="AS1" s="39"/>
      <c r="AT1" s="39"/>
      <c r="AU1" s="39"/>
    </row>
    <row r="2" customFormat="false" ht="12.8" hidden="false" customHeight="false" outlineLevel="0" collapsed="false">
      <c r="A2" s="65" t="str">
        <f aca="false">_xlfn.CONCAT($A$1, ".", "CALC")</f>
        <v>LSD.RID.0.AL.LFPR.CALC</v>
      </c>
      <c r="B2" s="66" t="str">
        <f aca="false">_xlfn.CONCAT($B$1, " ", "Calculations")</f>
        <v>Alabama Labor Force Participation Rate (LFPR) Calculations</v>
      </c>
      <c r="C2" s="3"/>
      <c r="D2" s="3"/>
      <c r="E2" s="3"/>
      <c r="F2" s="3"/>
    </row>
    <row r="3" s="3" customFormat="true" ht="12.8" hidden="false" customHeight="false" outlineLevel="0" collapsed="false">
      <c r="A3" s="65" t="str">
        <f aca="false">CALC!A3</f>
        <v>LSID</v>
      </c>
      <c r="B3" s="42" t="str">
        <f aca="false">CALC!C3</f>
        <v>Labor Sector</v>
      </c>
      <c r="C3" s="71" t="str">
        <f aca="false">CALC!AJ3</f>
        <v>Overall LFPR</v>
      </c>
      <c r="D3" s="71" t="str">
        <f aca="false">CALC!AK3</f>
        <v>Authorized LFPR</v>
      </c>
      <c r="E3" s="71" t="str">
        <f aca="false">CALC!AL3</f>
        <v>Unauthorized LFPR</v>
      </c>
      <c r="F3" s="71" t="str">
        <f aca="false">CALC!AM3</f>
        <v>American LFPR</v>
      </c>
      <c r="G3" s="39"/>
      <c r="H3" s="39"/>
    </row>
    <row r="4" s="3" customFormat="true" ht="12.8" hidden="false" customHeight="false" outlineLevel="0" collapsed="false">
      <c r="A4" s="65" t="str">
        <f aca="false">_xlfn.CONCAT($A$1, ".", CALC!A4)</f>
        <v>LSD.RID.0.AL.LFPR.0</v>
      </c>
      <c r="B4" s="42" t="str">
        <f aca="false">CALC!C4</f>
        <v>All Industries</v>
      </c>
      <c r="C4" s="39" t="n">
        <v>0.577</v>
      </c>
      <c r="D4" s="39" t="n">
        <v>0.41</v>
      </c>
      <c r="E4" s="39" t="n">
        <v>0.61</v>
      </c>
      <c r="F4" s="39" t="n">
        <v>0.583</v>
      </c>
      <c r="G4" s="39"/>
      <c r="H4" s="39"/>
    </row>
    <row r="5" s="3" customFormat="true" ht="23.85" hidden="false" customHeight="false" outlineLevel="0" collapsed="false">
      <c r="A5" s="65" t="str">
        <f aca="false">_xlfn.CONCAT($A$1, ".", CALC!A5)</f>
        <v>LSD.RID.0.AL.LFPR.1</v>
      </c>
      <c r="B5" s="68" t="str">
        <f aca="false">CALC!C5</f>
        <v>Agriculture, Forestry, 
Fishing and Hunting</v>
      </c>
      <c r="C5" s="39" t="n">
        <v>0.545</v>
      </c>
      <c r="D5" s="39" t="n">
        <v>0.4</v>
      </c>
      <c r="E5" s="39" t="n">
        <v>0.7</v>
      </c>
      <c r="F5" s="39" t="n">
        <v>0.545</v>
      </c>
      <c r="G5" s="39"/>
      <c r="H5" s="39"/>
    </row>
    <row r="6" s="3" customFormat="true" ht="23.85" hidden="false" customHeight="false" outlineLevel="0" collapsed="false">
      <c r="A6" s="65" t="str">
        <f aca="false">_xlfn.CONCAT($A$1, ".", CALC!A6)</f>
        <v>LSD.RID.0.AL.LFPR.2</v>
      </c>
      <c r="B6" s="68" t="str">
        <f aca="false">CALC!C6</f>
        <v>Mining, Quarrying, and
Oil and Gas Extraction</v>
      </c>
      <c r="C6" s="39" t="n">
        <v>0.585</v>
      </c>
      <c r="D6" s="39" t="n">
        <v>0.415</v>
      </c>
      <c r="E6" s="39" t="n">
        <v>0.65</v>
      </c>
      <c r="F6" s="39" t="n">
        <v>0.585</v>
      </c>
      <c r="G6" s="39"/>
      <c r="H6" s="39"/>
    </row>
    <row r="7" s="3" customFormat="true" ht="12.8" hidden="false" customHeight="false" outlineLevel="0" collapsed="false">
      <c r="A7" s="65" t="str">
        <f aca="false">_xlfn.CONCAT($A$1, ".", CALC!A7)</f>
        <v>LSD.RID.0.AL.LFPR.3</v>
      </c>
      <c r="B7" s="42" t="str">
        <f aca="false">CALC!C7</f>
        <v>Utilities</v>
      </c>
      <c r="C7" s="39" t="n">
        <v>0.575</v>
      </c>
      <c r="D7" s="39" t="n">
        <v>0.41</v>
      </c>
      <c r="E7" s="39" t="n">
        <v>0.62</v>
      </c>
      <c r="F7" s="39" t="n">
        <v>0.575</v>
      </c>
      <c r="G7" s="39"/>
      <c r="H7" s="39"/>
    </row>
    <row r="8" s="3" customFormat="true" ht="12.8" hidden="false" customHeight="false" outlineLevel="0" collapsed="false">
      <c r="A8" s="65" t="str">
        <f aca="false">_xlfn.CONCAT($A$1, ".", CALC!A8)</f>
        <v>LSD.RID.0.AL.LFPR.4</v>
      </c>
      <c r="B8" s="42" t="str">
        <f aca="false">CALC!C8</f>
        <v>Construction</v>
      </c>
      <c r="C8" s="39" t="n">
        <v>0.565</v>
      </c>
      <c r="D8" s="39" t="n">
        <v>0.405</v>
      </c>
      <c r="E8" s="39" t="n">
        <v>0.67</v>
      </c>
      <c r="F8" s="39" t="n">
        <v>0.565</v>
      </c>
      <c r="G8" s="39"/>
      <c r="H8" s="39"/>
    </row>
    <row r="9" s="3" customFormat="true" ht="23.85" hidden="false" customHeight="false" outlineLevel="0" collapsed="false">
      <c r="A9" s="65" t="str">
        <f aca="false">_xlfn.CONCAT($A$1, ".", CALC!A9)</f>
        <v>LSD.RID.0.AL.LFPR.5</v>
      </c>
      <c r="B9" s="68" t="str">
        <f aca="false">CALC!C9</f>
        <v>Manufacturing
(Food,Textile, etc.)</v>
      </c>
      <c r="C9" s="39" t="n">
        <v>0.57</v>
      </c>
      <c r="D9" s="39" t="n">
        <v>0.405</v>
      </c>
      <c r="E9" s="39" t="n">
        <v>0.66</v>
      </c>
      <c r="F9" s="39" t="n">
        <v>0.57</v>
      </c>
      <c r="G9" s="39"/>
      <c r="H9" s="39"/>
    </row>
    <row r="10" s="3" customFormat="true" ht="23.85" hidden="false" customHeight="false" outlineLevel="0" collapsed="false">
      <c r="A10" s="65" t="str">
        <f aca="false">_xlfn.CONCAT($A$1, ".", CALC!A10)</f>
        <v>LSD.RID.0.AL.LFPR.6</v>
      </c>
      <c r="B10" s="68" t="str">
        <f aca="false">CALC!C10</f>
        <v>Manufacturing (Wood,
Paper, Printing, etc.)</v>
      </c>
      <c r="C10" s="39" t="n">
        <v>0.56</v>
      </c>
      <c r="D10" s="39" t="n">
        <v>0.4</v>
      </c>
      <c r="E10" s="39" t="n">
        <v>0.65</v>
      </c>
      <c r="F10" s="39" t="n">
        <v>0.56</v>
      </c>
      <c r="G10" s="39"/>
      <c r="H10" s="39"/>
    </row>
    <row r="11" s="3" customFormat="true" ht="23.85" hidden="false" customHeight="false" outlineLevel="0" collapsed="false">
      <c r="A11" s="65" t="str">
        <f aca="false">_xlfn.CONCAT($A$1, ".", CALC!A11)</f>
        <v>LSD.RID.0.AL.LFPR.7</v>
      </c>
      <c r="B11" s="68" t="str">
        <f aca="false">CALC!C11</f>
        <v>Manufacturing
(Machinery, Transport)</v>
      </c>
      <c r="C11" s="39" t="n">
        <v>0.58</v>
      </c>
      <c r="D11" s="39" t="n">
        <v>0.415</v>
      </c>
      <c r="E11" s="39" t="n">
        <v>0.68</v>
      </c>
      <c r="F11" s="39" t="n">
        <v>0.58</v>
      </c>
      <c r="G11" s="39"/>
      <c r="H11" s="39"/>
    </row>
    <row r="12" s="3" customFormat="true" ht="12.8" hidden="false" customHeight="false" outlineLevel="0" collapsed="false">
      <c r="A12" s="65" t="str">
        <f aca="false">_xlfn.CONCAT($A$1, ".", CALC!A12)</f>
        <v>LSD.RID.0.AL.LFPR.8</v>
      </c>
      <c r="B12" s="42" t="str">
        <f aca="false">CALC!C12</f>
        <v>Wholesale Trade</v>
      </c>
      <c r="C12" s="39" t="n">
        <v>0.55</v>
      </c>
      <c r="D12" s="39" t="n">
        <v>0.395</v>
      </c>
      <c r="E12" s="39" t="n">
        <v>0.64</v>
      </c>
      <c r="F12" s="39" t="n">
        <v>0.55</v>
      </c>
      <c r="G12" s="39"/>
      <c r="H12" s="39"/>
    </row>
    <row r="13" s="3" customFormat="true" ht="23.85" hidden="false" customHeight="false" outlineLevel="0" collapsed="false">
      <c r="A13" s="65" t="str">
        <f aca="false">_xlfn.CONCAT($A$1, ".", CALC!A13)</f>
        <v>LSD.RID.0.AL.LFPR.9</v>
      </c>
      <c r="B13" s="68" t="str">
        <f aca="false">CALC!C13</f>
        <v>Retail Trade (Motor
Vehicle, Electronics)</v>
      </c>
      <c r="C13" s="39" t="n">
        <v>0.54</v>
      </c>
      <c r="D13" s="39" t="n">
        <v>0.39</v>
      </c>
      <c r="E13" s="39" t="n">
        <v>0.63</v>
      </c>
      <c r="F13" s="39" t="n">
        <v>0.54</v>
      </c>
      <c r="G13" s="39"/>
      <c r="H13" s="39"/>
    </row>
    <row r="14" s="3" customFormat="true" ht="23.85" hidden="false" customHeight="false" outlineLevel="0" collapsed="false">
      <c r="A14" s="65" t="str">
        <f aca="false">_xlfn.CONCAT($A$1, ".", CALC!A14)</f>
        <v>LSD.RID.0.AL.LFPR.10</v>
      </c>
      <c r="B14" s="68" t="str">
        <f aca="false">CALC!C14</f>
        <v>Retail Trade (Food, Clothing,
General Merchandise, etc.)</v>
      </c>
      <c r="C14" s="39" t="n">
        <v>0.58</v>
      </c>
      <c r="D14" s="39" t="n">
        <v>0.415</v>
      </c>
      <c r="E14" s="39" t="n">
        <v>0.68</v>
      </c>
      <c r="F14" s="39" t="n">
        <v>0.58</v>
      </c>
      <c r="G14" s="39"/>
      <c r="H14" s="39"/>
    </row>
    <row r="15" s="3" customFormat="true" ht="12.8" hidden="false" customHeight="false" outlineLevel="0" collapsed="false">
      <c r="A15" s="65" t="str">
        <f aca="false">_xlfn.CONCAT($A$1, ".", CALC!A15)</f>
        <v>LSD.RID.0.AL.LFPR.11</v>
      </c>
      <c r="B15" s="42" t="str">
        <f aca="false">CALC!C15</f>
        <v>Transportation</v>
      </c>
      <c r="C15" s="39" t="n">
        <v>0.57</v>
      </c>
      <c r="D15" s="39" t="n">
        <v>0.41</v>
      </c>
      <c r="E15" s="39" t="n">
        <v>0.67</v>
      </c>
      <c r="F15" s="39" t="n">
        <v>0.57</v>
      </c>
      <c r="G15" s="39"/>
      <c r="H15" s="39"/>
    </row>
    <row r="16" s="3" customFormat="true" ht="12.8" hidden="false" customHeight="false" outlineLevel="0" collapsed="false">
      <c r="A16" s="65" t="str">
        <f aca="false">_xlfn.CONCAT($A$1, ".", CALC!A16)</f>
        <v>LSD.RID.0.AL.LFPR.12</v>
      </c>
      <c r="B16" s="42" t="str">
        <f aca="false">CALC!C16</f>
        <v>Warehousing and Storage</v>
      </c>
      <c r="C16" s="39" t="n">
        <v>0.56</v>
      </c>
      <c r="D16" s="39" t="n">
        <v>0.4</v>
      </c>
      <c r="E16" s="39" t="n">
        <v>0.66</v>
      </c>
      <c r="F16" s="39" t="n">
        <v>0.56</v>
      </c>
      <c r="G16" s="39"/>
      <c r="H16" s="39"/>
    </row>
    <row r="17" s="3" customFormat="true" ht="12.8" hidden="false" customHeight="false" outlineLevel="0" collapsed="false">
      <c r="A17" s="65" t="str">
        <f aca="false">_xlfn.CONCAT($A$1, ".", CALC!A17)</f>
        <v>LSD.RID.0.AL.LFPR.13</v>
      </c>
      <c r="B17" s="42" t="str">
        <f aca="false">CALC!C17</f>
        <v>Information</v>
      </c>
      <c r="C17" s="39" t="n">
        <v>0.55</v>
      </c>
      <c r="D17" s="39" t="n">
        <v>0.395</v>
      </c>
      <c r="E17" s="39" t="n">
        <v>0.64</v>
      </c>
      <c r="F17" s="39" t="n">
        <v>0.55</v>
      </c>
      <c r="G17" s="39"/>
      <c r="H17" s="39"/>
    </row>
    <row r="18" s="3" customFormat="true" ht="12.8" hidden="false" customHeight="false" outlineLevel="0" collapsed="false">
      <c r="A18" s="65" t="str">
        <f aca="false">_xlfn.CONCAT($A$1, ".", CALC!A18)</f>
        <v>LSD.RID.0.AL.LFPR.14</v>
      </c>
      <c r="B18" s="42" t="str">
        <f aca="false">CALC!C18</f>
        <v>Finance and Insurance</v>
      </c>
      <c r="C18" s="39" t="n">
        <v>0.59</v>
      </c>
      <c r="D18" s="39" t="n">
        <v>0.42</v>
      </c>
      <c r="E18" s="39" t="n">
        <v>0.69</v>
      </c>
      <c r="F18" s="39" t="n">
        <v>0.59</v>
      </c>
      <c r="G18" s="39"/>
      <c r="H18" s="39"/>
    </row>
    <row r="19" s="3" customFormat="true" ht="23.85" hidden="false" customHeight="false" outlineLevel="0" collapsed="false">
      <c r="A19" s="65" t="str">
        <f aca="false">_xlfn.CONCAT($A$1, ".", CALC!A19)</f>
        <v>LSD.RID.0.AL.LFPR.15</v>
      </c>
      <c r="B19" s="68" t="str">
        <f aca="false">CALC!C19</f>
        <v>Real Estate and
Rental and Leasing</v>
      </c>
      <c r="C19" s="39" t="n">
        <v>0.58</v>
      </c>
      <c r="D19" s="39" t="n">
        <v>0.415</v>
      </c>
      <c r="E19" s="39" t="n">
        <v>0.68</v>
      </c>
      <c r="F19" s="39" t="n">
        <v>0.58</v>
      </c>
      <c r="G19" s="39"/>
      <c r="H19" s="39"/>
    </row>
    <row r="20" s="3" customFormat="true" ht="23.85" hidden="false" customHeight="false" outlineLevel="0" collapsed="false">
      <c r="A20" s="65" t="str">
        <f aca="false">_xlfn.CONCAT($A$1, ".", CALC!A20)</f>
        <v>LSD.RID.0.AL.LFPR.16</v>
      </c>
      <c r="B20" s="68" t="str">
        <f aca="false">CALC!C20</f>
        <v>Professional, Scientific,
and Technical Services</v>
      </c>
      <c r="C20" s="39" t="n">
        <v>0.6</v>
      </c>
      <c r="D20" s="39" t="n">
        <v>0.43</v>
      </c>
      <c r="E20" s="39" t="n">
        <v>0.7</v>
      </c>
      <c r="F20" s="39" t="n">
        <v>0.6</v>
      </c>
      <c r="G20" s="39"/>
      <c r="H20" s="39"/>
    </row>
    <row r="21" s="3" customFormat="true" ht="35.05" hidden="false" customHeight="false" outlineLevel="0" collapsed="false">
      <c r="A21" s="65" t="str">
        <f aca="false">_xlfn.CONCAT($A$1, ".", CALC!A21)</f>
        <v>LSD.RID.0.AL.LFPR.17</v>
      </c>
      <c r="B21" s="68" t="str">
        <f aca="false">CALC!C21</f>
        <v>Administrative and Support
and Waste Management
and Remediation Services</v>
      </c>
      <c r="C21" s="39" t="n">
        <v>0.56</v>
      </c>
      <c r="D21" s="39" t="n">
        <v>0.4</v>
      </c>
      <c r="E21" s="39" t="n">
        <v>0.66</v>
      </c>
      <c r="F21" s="39" t="n">
        <v>0.56</v>
      </c>
      <c r="G21" s="39"/>
      <c r="H21" s="39"/>
    </row>
    <row r="22" s="3" customFormat="true" ht="12.8" hidden="false" customHeight="false" outlineLevel="0" collapsed="false">
      <c r="A22" s="65" t="str">
        <f aca="false">_xlfn.CONCAT($A$1, ".", CALC!A22)</f>
        <v>LSD.RID.0.AL.LFPR.18</v>
      </c>
      <c r="B22" s="42" t="str">
        <f aca="false">CALC!C22</f>
        <v>Educational Services</v>
      </c>
      <c r="C22" s="39" t="n">
        <v>0.59</v>
      </c>
      <c r="D22" s="39" t="n">
        <v>0.42</v>
      </c>
      <c r="E22" s="39" t="n">
        <v>0.69</v>
      </c>
      <c r="F22" s="39" t="n">
        <v>0.59</v>
      </c>
      <c r="G22" s="39"/>
      <c r="H22" s="39"/>
    </row>
    <row r="23" s="3" customFormat="true" ht="23.85" hidden="false" customHeight="false" outlineLevel="0" collapsed="false">
      <c r="A23" s="65" t="str">
        <f aca="false">_xlfn.CONCAT($A$1, ".", CALC!A23)</f>
        <v>LSD.RID.0.AL.LFPR.19</v>
      </c>
      <c r="B23" s="68" t="str">
        <f aca="false">CALC!C23</f>
        <v>Health Care and
Social Assistance</v>
      </c>
      <c r="C23" s="39" t="n">
        <v>0.61</v>
      </c>
      <c r="D23" s="39" t="n">
        <v>0.435</v>
      </c>
      <c r="E23" s="39" t="n">
        <v>0.71</v>
      </c>
      <c r="F23" s="39" t="n">
        <v>0.61</v>
      </c>
      <c r="G23" s="39"/>
      <c r="H23" s="39"/>
    </row>
    <row r="24" s="3" customFormat="true" ht="23.85" hidden="false" customHeight="false" outlineLevel="0" collapsed="false">
      <c r="A24" s="65" t="str">
        <f aca="false">_xlfn.CONCAT($A$1, ".", CALC!A24)</f>
        <v>LSD.RID.0.AL.LFPR.20</v>
      </c>
      <c r="B24" s="68" t="str">
        <f aca="false">CALC!C24</f>
        <v>Arts, Entertainment,
and Recreation</v>
      </c>
      <c r="C24" s="39" t="n">
        <v>0.58</v>
      </c>
      <c r="D24" s="39" t="n">
        <v>0.415</v>
      </c>
      <c r="E24" s="39" t="n">
        <v>0.68</v>
      </c>
      <c r="F24" s="39" t="n">
        <v>0.58</v>
      </c>
      <c r="G24" s="39"/>
      <c r="H24" s="39"/>
    </row>
    <row r="25" s="3" customFormat="true" ht="23.85" hidden="false" customHeight="false" outlineLevel="0" collapsed="false">
      <c r="A25" s="65" t="str">
        <f aca="false">_xlfn.CONCAT($A$1, ".", CALC!A25)</f>
        <v>LSD.RID.0.AL.LFPR.21</v>
      </c>
      <c r="B25" s="68" t="str">
        <f aca="false">CALC!C25</f>
        <v>Accommodation
and Food Services</v>
      </c>
      <c r="C25" s="39" t="n">
        <v>0.57</v>
      </c>
      <c r="D25" s="39" t="n">
        <v>0.41</v>
      </c>
      <c r="E25" s="39" t="n">
        <v>0.67</v>
      </c>
      <c r="F25" s="39" t="n">
        <v>0.57</v>
      </c>
      <c r="G25" s="39"/>
      <c r="H25" s="39"/>
    </row>
    <row r="26" s="3" customFormat="true" ht="23.85" hidden="false" customHeight="false" outlineLevel="0" collapsed="false">
      <c r="A26" s="65" t="str">
        <f aca="false">_xlfn.CONCAT($A$1, ".", CALC!A26)</f>
        <v>LSD.RID.0.AL.LFPR.22</v>
      </c>
      <c r="B26" s="68" t="str">
        <f aca="false">CALC!C26</f>
        <v>Other Services (except
Public Administration)</v>
      </c>
      <c r="C26" s="39" t="n">
        <v>0.56</v>
      </c>
      <c r="D26" s="39" t="n">
        <v>0.4</v>
      </c>
      <c r="E26" s="39" t="n">
        <v>0.66</v>
      </c>
      <c r="F26" s="39" t="n">
        <v>0.56</v>
      </c>
      <c r="G26" s="39"/>
      <c r="H26" s="39"/>
    </row>
    <row r="27" s="3" customFormat="true" ht="12.8" hidden="false" customHeight="false" outlineLevel="0" collapsed="false">
      <c r="A27" s="65" t="str">
        <f aca="false">_xlfn.CONCAT($A$1, ".", CALC!A27)</f>
        <v>LSD.RID.0.AL.LFPR.23</v>
      </c>
      <c r="B27" s="42" t="str">
        <f aca="false">CALC!C27</f>
        <v>Public Administration</v>
      </c>
      <c r="C27" s="39" t="n">
        <v>0.62</v>
      </c>
      <c r="D27" s="39" t="n">
        <v>0.44</v>
      </c>
      <c r="E27" s="39" t="n">
        <v>0.72</v>
      </c>
      <c r="F27" s="39" t="n">
        <v>0.62</v>
      </c>
      <c r="G27" s="39"/>
      <c r="H27" s="39"/>
    </row>
    <row r="28" s="3" customFormat="true" ht="12.8" hidden="false" customHeight="false" outlineLevel="0" collapsed="false">
      <c r="A28" s="4"/>
      <c r="B28" s="49"/>
      <c r="C28" s="71"/>
      <c r="D28" s="71"/>
      <c r="E28" s="71"/>
      <c r="F28" s="71"/>
      <c r="G28" s="39"/>
      <c r="H28" s="39"/>
    </row>
    <row r="29" customFormat="false" ht="12.8" hidden="false" customHeight="false" outlineLevel="0" collapsed="false">
      <c r="A29" s="4"/>
      <c r="B29" s="49"/>
      <c r="C29" s="71"/>
      <c r="D29" s="71"/>
      <c r="E29" s="71"/>
      <c r="F29" s="71"/>
    </row>
    <row r="125" customFormat="false" ht="12.8" hidden="false" customHeight="false" outlineLevel="0" collapsed="false">
      <c r="A125" s="65" t="s">
        <v>1914</v>
      </c>
      <c r="B125" s="66" t="s">
        <v>1915</v>
      </c>
    </row>
    <row r="126" customFormat="false" ht="12.8" hidden="false" customHeight="false" outlineLevel="0" collapsed="false">
      <c r="A126" s="49" t="s">
        <v>1842</v>
      </c>
      <c r="B126" s="49" t="s">
        <v>183</v>
      </c>
      <c r="C126" s="49" t="s">
        <v>184</v>
      </c>
      <c r="D126" s="49" t="s">
        <v>1843</v>
      </c>
      <c r="E126" s="49" t="s">
        <v>186</v>
      </c>
      <c r="F126" s="49" t="s">
        <v>187</v>
      </c>
    </row>
    <row r="127" customFormat="false" ht="12.8" hidden="false" customHeight="false" outlineLevel="0" collapsed="false">
      <c r="A127" s="39" t="s">
        <v>1916</v>
      </c>
      <c r="B127" s="39" t="s">
        <v>310</v>
      </c>
      <c r="C127" s="39" t="s">
        <v>311</v>
      </c>
      <c r="D127" s="39" t="s">
        <v>1917</v>
      </c>
      <c r="E127" s="39" t="s">
        <v>312</v>
      </c>
      <c r="F127" s="39" t="s">
        <v>1918</v>
      </c>
    </row>
    <row r="128" customFormat="false" ht="12.8" hidden="false" customHeight="false" outlineLevel="0" collapsed="false">
      <c r="A128" s="39" t="s">
        <v>1919</v>
      </c>
      <c r="B128" s="39" t="s">
        <v>310</v>
      </c>
      <c r="C128" s="39" t="s">
        <v>316</v>
      </c>
      <c r="D128" s="39" t="s">
        <v>1920</v>
      </c>
      <c r="E128" s="39" t="s">
        <v>317</v>
      </c>
      <c r="F128" s="39" t="s">
        <v>1921</v>
      </c>
    </row>
    <row r="129" customFormat="false" ht="12.8" hidden="false" customHeight="false" outlineLevel="0" collapsed="false">
      <c r="A129" s="39" t="s">
        <v>1922</v>
      </c>
      <c r="B129" s="39" t="s">
        <v>310</v>
      </c>
      <c r="C129" s="39" t="s">
        <v>319</v>
      </c>
      <c r="D129" s="39" t="s">
        <v>320</v>
      </c>
      <c r="E129" s="39" t="s">
        <v>296</v>
      </c>
      <c r="F129" s="39" t="s">
        <v>297</v>
      </c>
    </row>
    <row r="130" customFormat="false" ht="12.8" hidden="false" customHeight="false" outlineLevel="0" collapsed="false">
      <c r="A130" s="50" t="s">
        <v>1923</v>
      </c>
      <c r="B130" s="39" t="s">
        <v>310</v>
      </c>
      <c r="C130" s="39" t="s">
        <v>1853</v>
      </c>
      <c r="D130" s="39" t="s">
        <v>300</v>
      </c>
      <c r="E130" s="39" t="s">
        <v>1924</v>
      </c>
      <c r="F130" s="39" t="s">
        <v>302</v>
      </c>
    </row>
    <row r="131" customFormat="false" ht="12.8" hidden="false" customHeight="false" outlineLevel="0" collapsed="false">
      <c r="A131" s="50" t="s">
        <v>1925</v>
      </c>
      <c r="B131" s="39" t="s">
        <v>310</v>
      </c>
      <c r="C131" s="39" t="s">
        <v>1926</v>
      </c>
      <c r="D131" s="39" t="s">
        <v>305</v>
      </c>
      <c r="E131" s="39" t="s">
        <v>306</v>
      </c>
      <c r="F131" s="39" t="s">
        <v>302</v>
      </c>
    </row>
    <row r="133" customFormat="false" ht="12.8" hidden="false" customHeight="false" outlineLevel="0" collapsed="false">
      <c r="A133" s="65" t="str">
        <f aca="false">_xlfn.CONCAT($A$1, ".", "PARAM")</f>
        <v>LSD.RID.0.AL.LFPR.PARAM</v>
      </c>
      <c r="B133" s="66" t="str">
        <f aca="false">_xlfn.CONCAT($B$1, " ", "Parameters")</f>
        <v>Alabama Labor Force Participation Rate (LFPR) Parameters</v>
      </c>
    </row>
    <row r="134" customFormat="false" ht="12.8" hidden="false" customHeight="false" outlineLevel="0" collapsed="false">
      <c r="A134" s="49" t="s">
        <v>182</v>
      </c>
      <c r="B134" s="49" t="s">
        <v>184</v>
      </c>
      <c r="C134" s="49" t="s">
        <v>684</v>
      </c>
      <c r="D134" s="49" t="s">
        <v>186</v>
      </c>
      <c r="E134" s="49" t="s">
        <v>678</v>
      </c>
      <c r="F134" s="49" t="s">
        <v>679</v>
      </c>
    </row>
    <row r="135" customFormat="false" ht="12.8" hidden="false" customHeight="false" outlineLevel="0" collapsed="false">
      <c r="A135" s="39" t="s">
        <v>1927</v>
      </c>
      <c r="B135" s="39" t="s">
        <v>1928</v>
      </c>
      <c r="C135" s="39" t="n">
        <v>0.577</v>
      </c>
      <c r="D135" s="39" t="s">
        <v>1929</v>
      </c>
      <c r="E135" s="39" t="s">
        <v>689</v>
      </c>
      <c r="F135" s="39" t="s">
        <v>690</v>
      </c>
    </row>
    <row r="136" customFormat="false" ht="12.8" hidden="false" customHeight="false" outlineLevel="0" collapsed="false">
      <c r="A136" s="39" t="s">
        <v>1930</v>
      </c>
      <c r="B136" s="39" t="s">
        <v>1931</v>
      </c>
      <c r="C136" s="39" t="s">
        <v>1932</v>
      </c>
      <c r="D136" s="39" t="s">
        <v>1933</v>
      </c>
      <c r="E136" s="39" t="s">
        <v>983</v>
      </c>
      <c r="F136" s="39" t="s">
        <v>984</v>
      </c>
    </row>
    <row r="137" customFormat="false" ht="12.8" hidden="false" customHeight="false" outlineLevel="0" collapsed="false">
      <c r="A137" s="39" t="s">
        <v>1934</v>
      </c>
      <c r="B137" s="39" t="s">
        <v>1935</v>
      </c>
      <c r="C137" s="39" t="s">
        <v>1936</v>
      </c>
      <c r="D137" s="39" t="s">
        <v>1937</v>
      </c>
      <c r="E137" s="39" t="s">
        <v>983</v>
      </c>
      <c r="F137" s="39" t="s">
        <v>984</v>
      </c>
    </row>
    <row r="138" customFormat="false" ht="12.8" hidden="false" customHeight="false" outlineLevel="0" collapsed="false">
      <c r="A138" s="39" t="s">
        <v>1938</v>
      </c>
      <c r="B138" s="39" t="s">
        <v>1939</v>
      </c>
      <c r="C138" s="39" t="s">
        <v>1940</v>
      </c>
      <c r="D138" s="39" t="s">
        <v>1941</v>
      </c>
      <c r="E138" s="39" t="s">
        <v>983</v>
      </c>
      <c r="F138" s="39" t="s">
        <v>984</v>
      </c>
    </row>
    <row r="139" customFormat="false" ht="12.8" hidden="false" customHeight="false" outlineLevel="0" collapsed="false">
      <c r="A139" s="39" t="s">
        <v>1942</v>
      </c>
      <c r="B139" s="39" t="s">
        <v>1943</v>
      </c>
      <c r="C139" s="39" t="s">
        <v>1944</v>
      </c>
      <c r="D139" s="39" t="s">
        <v>982</v>
      </c>
      <c r="E139" s="39" t="s">
        <v>983</v>
      </c>
      <c r="F139" s="39" t="s">
        <v>984</v>
      </c>
    </row>
    <row r="141" customFormat="false" ht="12.8" hidden="false" customHeight="false" outlineLevel="0" collapsed="false">
      <c r="A141" s="65" t="s">
        <v>1945</v>
      </c>
      <c r="B141" s="66" t="s">
        <v>1946</v>
      </c>
    </row>
    <row r="142" customFormat="false" ht="12.8" hidden="false" customHeight="false" outlineLevel="0" collapsed="false">
      <c r="A142" s="49" t="s">
        <v>113</v>
      </c>
      <c r="B142" s="49" t="s">
        <v>186</v>
      </c>
      <c r="C142" s="49" t="s">
        <v>677</v>
      </c>
      <c r="D142" s="49" t="s">
        <v>1875</v>
      </c>
      <c r="E142" s="49" t="s">
        <v>678</v>
      </c>
      <c r="F142" s="49" t="s">
        <v>1876</v>
      </c>
    </row>
    <row r="143" customFormat="false" ht="12.8" hidden="false" customHeight="false" outlineLevel="0" collapsed="false">
      <c r="A143" s="50" t="s">
        <v>1947</v>
      </c>
      <c r="B143" s="39" t="s">
        <v>1459</v>
      </c>
      <c r="C143" s="39" t="n">
        <v>0.577</v>
      </c>
      <c r="D143" s="39" t="s">
        <v>690</v>
      </c>
      <c r="E143" s="39" t="s">
        <v>689</v>
      </c>
      <c r="F143" s="39" t="s">
        <v>1879</v>
      </c>
    </row>
    <row r="144" customFormat="false" ht="12.8" hidden="false" customHeight="false" outlineLevel="0" collapsed="false">
      <c r="A144" s="50" t="s">
        <v>1948</v>
      </c>
      <c r="B144" s="39" t="s">
        <v>1881</v>
      </c>
      <c r="C144" s="39" t="s">
        <v>1949</v>
      </c>
      <c r="D144" s="39" t="s">
        <v>1950</v>
      </c>
      <c r="E144" s="39" t="s">
        <v>689</v>
      </c>
      <c r="F144" s="39" t="s">
        <v>1951</v>
      </c>
    </row>
    <row r="145" customFormat="false" ht="12.8" hidden="false" customHeight="false" outlineLevel="0" collapsed="false">
      <c r="A145" s="50" t="s">
        <v>1952</v>
      </c>
      <c r="B145" s="39" t="s">
        <v>1953</v>
      </c>
      <c r="C145" s="39" t="s">
        <v>1954</v>
      </c>
      <c r="D145" s="39" t="s">
        <v>1955</v>
      </c>
      <c r="E145" s="39" t="s">
        <v>689</v>
      </c>
      <c r="F145" s="39" t="s">
        <v>1956</v>
      </c>
      <c r="G145" s="39" t="s">
        <v>302</v>
      </c>
    </row>
    <row r="146" customFormat="false" ht="12.8" hidden="false" customHeight="false" outlineLevel="0" collapsed="false">
      <c r="A146" s="50" t="s">
        <v>1957</v>
      </c>
      <c r="B146" s="39" t="s">
        <v>1891</v>
      </c>
      <c r="C146" s="39" t="s">
        <v>1958</v>
      </c>
      <c r="D146" s="39" t="s">
        <v>1959</v>
      </c>
      <c r="E146" s="39" t="s">
        <v>689</v>
      </c>
      <c r="F146" s="39" t="s">
        <v>1960</v>
      </c>
      <c r="G146" s="39" t="s">
        <v>302</v>
      </c>
    </row>
    <row r="147" customFormat="false" ht="12.8" hidden="false" customHeight="false" outlineLevel="0" collapsed="false">
      <c r="A147" s="50" t="s">
        <v>1961</v>
      </c>
      <c r="B147" s="39" t="s">
        <v>1896</v>
      </c>
      <c r="C147" s="39" t="s">
        <v>1962</v>
      </c>
      <c r="D147" s="39" t="s">
        <v>1898</v>
      </c>
      <c r="E147" s="39" t="s">
        <v>689</v>
      </c>
      <c r="F147" s="39" t="s">
        <v>1899</v>
      </c>
    </row>
    <row r="148" customFormat="false" ht="12.8" hidden="false" customHeight="false" outlineLevel="0" collapsed="false">
      <c r="A148" s="50" t="s">
        <v>1963</v>
      </c>
      <c r="B148" s="39" t="s">
        <v>1901</v>
      </c>
      <c r="C148" s="39" t="s">
        <v>1902</v>
      </c>
      <c r="D148" s="39" t="s">
        <v>1964</v>
      </c>
      <c r="E148" s="39" t="s">
        <v>689</v>
      </c>
      <c r="F148" s="39" t="s">
        <v>1965</v>
      </c>
    </row>
    <row r="149" customFormat="false" ht="12.8" hidden="false" customHeight="false" outlineLevel="0" collapsed="false">
      <c r="A149" s="50" t="s">
        <v>1966</v>
      </c>
      <c r="B149" s="39" t="s">
        <v>1967</v>
      </c>
      <c r="C149" s="39" t="s">
        <v>1968</v>
      </c>
      <c r="D149" s="39" t="s">
        <v>1908</v>
      </c>
      <c r="E149" s="39" t="s">
        <v>689</v>
      </c>
      <c r="F149" s="39" t="s">
        <v>1909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F00"/>
    <pageSetUpPr fitToPage="false"/>
  </sheetPr>
  <dimension ref="A1:BE150"/>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22" min="4" style="39" width="16.84"/>
    <col collapsed="false" customWidth="true" hidden="false" outlineLevel="0" max="36" min="23" style="39" width="17.78"/>
    <col collapsed="false" customWidth="true" hidden="false" outlineLevel="0" max="39" min="37" style="39" width="15.48"/>
    <col collapsed="false" customWidth="true" hidden="false" outlineLevel="0" max="44" min="44" style="39" width="18.45"/>
    <col collapsed="false" customWidth="true" hidden="false" outlineLevel="0" max="47" min="45" style="39" width="16.14"/>
    <col collapsed="false" customWidth="true" hidden="false" outlineLevel="0" max="55" min="48" style="39" width="13.84"/>
  </cols>
  <sheetData>
    <row r="1" customFormat="false" ht="12.8" hidden="false" customHeight="false" outlineLevel="0" collapsed="false">
      <c r="A1" s="4" t="s">
        <v>1969</v>
      </c>
      <c r="B1" s="73" t="s">
        <v>1970</v>
      </c>
      <c r="C1" s="6" t="s">
        <v>2</v>
      </c>
      <c r="D1" s="39" t="s">
        <v>1971</v>
      </c>
      <c r="AN1" s="39"/>
      <c r="BD1" s="39"/>
    </row>
    <row r="2" customFormat="false" ht="12.8" hidden="false" customHeight="false" outlineLevel="0" collapsed="false">
      <c r="A2" s="65" t="str">
        <f aca="false">_xlfn.CONCAT($A$1, ".", "CALC")</f>
        <v>LSD.RID.0.AL.EP.CALC</v>
      </c>
      <c r="B2" s="66" t="str">
        <f aca="false">_xlfn.CONCAT($B$1, " ", "Calculations")</f>
        <v>Alabama Employed Population Calculations</v>
      </c>
      <c r="C2" s="56" t="str">
        <f aca="false">CALC!L2</f>
        <v>Employed Population (EP)</v>
      </c>
      <c r="D2" s="56"/>
      <c r="E2" s="56"/>
      <c r="F2" s="56"/>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3"/>
      <c r="AV2" s="3"/>
      <c r="AW2" s="3"/>
      <c r="AX2" s="3"/>
      <c r="AY2" s="3"/>
      <c r="AZ2" s="3"/>
      <c r="BA2" s="3"/>
      <c r="BB2" s="3"/>
      <c r="BC2" s="3"/>
      <c r="BD2" s="3"/>
      <c r="BE2" s="3"/>
    </row>
    <row r="3" customFormat="false" ht="12.8" hidden="false" customHeight="false" outlineLevel="0" collapsed="false">
      <c r="A3" s="65" t="str">
        <f aca="false">CALC!A3</f>
        <v>LSID</v>
      </c>
      <c r="B3" s="42" t="str">
        <f aca="false">CALC!C3</f>
        <v>Labor Sector</v>
      </c>
      <c r="C3" s="59" t="str">
        <f aca="false">CALC!L3</f>
        <v>Overall EP</v>
      </c>
      <c r="D3" s="59" t="str">
        <f aca="false">CALC!M3</f>
        <v>Authorized EP</v>
      </c>
      <c r="E3" s="59" t="str">
        <f aca="false">CALC!N3</f>
        <v>Unauthorized EP</v>
      </c>
      <c r="F3" s="59" t="str">
        <f aca="false">CALC!O3</f>
        <v>American EP</v>
      </c>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3"/>
      <c r="AP3" s="3"/>
      <c r="AQ3" s="3"/>
      <c r="AR3" s="3"/>
      <c r="AS3" s="3"/>
      <c r="AT3" s="3"/>
      <c r="AU3" s="3"/>
      <c r="AV3" s="3"/>
      <c r="AW3" s="3"/>
      <c r="AX3" s="3"/>
      <c r="AY3" s="3"/>
      <c r="AZ3" s="3"/>
      <c r="BA3" s="3"/>
      <c r="BB3" s="3"/>
      <c r="BC3" s="3"/>
      <c r="BD3" s="3"/>
      <c r="BE3" s="3"/>
    </row>
    <row r="4" customFormat="false" ht="12.8" hidden="false" customHeight="false" outlineLevel="0" collapsed="false">
      <c r="A4" s="65" t="str">
        <f aca="false">_xlfn.CONCAT($A$1, ".", CALC!A4)</f>
        <v>LSD.RID.0.AL.EP.0</v>
      </c>
      <c r="B4" s="42" t="str">
        <f aca="false">CALC!C4</f>
        <v>All Industries</v>
      </c>
      <c r="C4" s="3" t="n">
        <v>2317000</v>
      </c>
      <c r="D4" s="3" t="n">
        <v>61250</v>
      </c>
      <c r="E4" s="3" t="n">
        <v>54820</v>
      </c>
      <c r="F4" s="3" t="n">
        <v>2201930</v>
      </c>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R4" s="3"/>
      <c r="AS4" s="3"/>
      <c r="AT4" s="3"/>
      <c r="AU4" s="3"/>
      <c r="AV4" s="3"/>
      <c r="AW4" s="3"/>
      <c r="AX4" s="3"/>
      <c r="AY4" s="3"/>
      <c r="AZ4" s="3"/>
      <c r="BA4" s="3"/>
      <c r="BB4" s="3"/>
      <c r="BC4" s="3"/>
    </row>
    <row r="5" customFormat="false" ht="23.85" hidden="false" customHeight="false" outlineLevel="0" collapsed="false">
      <c r="A5" s="65" t="str">
        <f aca="false">_xlfn.CONCAT($A$1, ".", CALC!A5)</f>
        <v>LSD.RID.0.AL.EP.1</v>
      </c>
      <c r="B5" s="68" t="str">
        <f aca="false">CALC!C5</f>
        <v>Agriculture, Forestry, 
Fishing and Hunting</v>
      </c>
      <c r="C5" s="3" t="n">
        <v>26862</v>
      </c>
      <c r="D5" s="3" t="n">
        <v>520</v>
      </c>
      <c r="E5" s="3" t="n">
        <v>3120</v>
      </c>
      <c r="F5" s="3" t="n">
        <v>23222</v>
      </c>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R5" s="3"/>
      <c r="AS5" s="3"/>
      <c r="AT5" s="3"/>
      <c r="AU5" s="3"/>
      <c r="AV5" s="3"/>
      <c r="AW5" s="3"/>
      <c r="AX5" s="3"/>
      <c r="AY5" s="3"/>
      <c r="AZ5" s="3"/>
      <c r="BA5" s="3"/>
      <c r="BB5" s="3"/>
      <c r="BC5" s="3"/>
    </row>
    <row r="6" customFormat="false" ht="23.85" hidden="false" customHeight="false" outlineLevel="0" collapsed="false">
      <c r="A6" s="65" t="str">
        <f aca="false">_xlfn.CONCAT($A$1, ".", CALC!A6)</f>
        <v>LSD.RID.0.AL.EP.2</v>
      </c>
      <c r="B6" s="68" t="str">
        <f aca="false">CALC!C6</f>
        <v>Mining, Quarrying, and
Oil and Gas Extraction</v>
      </c>
      <c r="C6" s="3" t="n">
        <v>9402</v>
      </c>
      <c r="D6" s="3" t="n">
        <v>285</v>
      </c>
      <c r="E6" s="3" t="n">
        <v>420</v>
      </c>
      <c r="F6" s="3" t="n">
        <v>8697</v>
      </c>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R6" s="3"/>
      <c r="AS6" s="3"/>
      <c r="AT6" s="3"/>
      <c r="AU6" s="3"/>
      <c r="AV6" s="3"/>
      <c r="AW6" s="3"/>
      <c r="AX6" s="3"/>
      <c r="AY6" s="3"/>
      <c r="AZ6" s="3"/>
      <c r="BA6" s="3"/>
      <c r="BB6" s="3"/>
      <c r="BC6" s="3"/>
    </row>
    <row r="7" customFormat="false" ht="12.8" hidden="false" customHeight="false" outlineLevel="0" collapsed="false">
      <c r="A7" s="65" t="str">
        <f aca="false">_xlfn.CONCAT($A$1, ".", CALC!A7)</f>
        <v>LSD.RID.0.AL.EP.3</v>
      </c>
      <c r="B7" s="42" t="str">
        <f aca="false">CALC!C7</f>
        <v>Utilities</v>
      </c>
      <c r="C7" s="3" t="n">
        <v>13431</v>
      </c>
      <c r="D7" s="3" t="n">
        <v>385</v>
      </c>
      <c r="E7" s="3" t="n">
        <v>285</v>
      </c>
      <c r="F7" s="3" t="n">
        <v>12761</v>
      </c>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R7" s="3"/>
      <c r="AS7" s="3"/>
      <c r="AT7" s="3"/>
      <c r="AU7" s="3"/>
      <c r="AV7" s="3"/>
      <c r="AW7" s="3"/>
      <c r="AX7" s="3"/>
      <c r="AY7" s="3"/>
      <c r="AZ7" s="3"/>
      <c r="BA7" s="3"/>
      <c r="BB7" s="3"/>
      <c r="BC7" s="3"/>
    </row>
    <row r="8" customFormat="false" ht="12.8" hidden="false" customHeight="false" outlineLevel="0" collapsed="false">
      <c r="A8" s="65" t="str">
        <f aca="false">_xlfn.CONCAT($A$1, ".", CALC!A8)</f>
        <v>LSD.RID.0.AL.EP.4</v>
      </c>
      <c r="B8" s="42" t="str">
        <f aca="false">CALC!C8</f>
        <v>Construction</v>
      </c>
      <c r="C8" s="3" t="n">
        <v>84615</v>
      </c>
      <c r="D8" s="3" t="n">
        <v>1850</v>
      </c>
      <c r="E8" s="3" t="n">
        <v>9850</v>
      </c>
      <c r="F8" s="3" t="n">
        <v>72915</v>
      </c>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R8" s="3"/>
      <c r="AS8" s="3"/>
      <c r="AT8" s="3"/>
      <c r="AU8" s="3"/>
      <c r="AV8" s="3"/>
      <c r="AW8" s="3"/>
      <c r="AX8" s="3"/>
      <c r="AY8" s="3"/>
      <c r="AZ8" s="3"/>
      <c r="BA8" s="3"/>
      <c r="BB8" s="3"/>
      <c r="BC8" s="3"/>
    </row>
    <row r="9" customFormat="false" ht="23.85" hidden="false" customHeight="false" outlineLevel="0" collapsed="false">
      <c r="A9" s="65" t="str">
        <f aca="false">_xlfn.CONCAT($A$1, ".", CALC!A9)</f>
        <v>LSD.RID.0.AL.EP.5</v>
      </c>
      <c r="B9" s="68" t="str">
        <f aca="false">CALC!C9</f>
        <v>Manufacturing
(Food,Textile, etc.)</v>
      </c>
      <c r="C9" s="3" t="n">
        <v>47009</v>
      </c>
      <c r="D9" s="3" t="n">
        <v>980</v>
      </c>
      <c r="E9" s="3" t="n">
        <v>4520</v>
      </c>
      <c r="F9" s="3" t="n">
        <v>41509</v>
      </c>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R9" s="3"/>
      <c r="AS9" s="3"/>
      <c r="AT9" s="3"/>
      <c r="AU9" s="3"/>
      <c r="AV9" s="3"/>
      <c r="AW9" s="3"/>
      <c r="AX9" s="3"/>
      <c r="AY9" s="3"/>
      <c r="AZ9" s="3"/>
      <c r="BA9" s="3"/>
      <c r="BB9" s="3"/>
      <c r="BC9" s="3"/>
    </row>
    <row r="10" customFormat="false" ht="23.85" hidden="false" customHeight="false" outlineLevel="0" collapsed="false">
      <c r="A10" s="65" t="str">
        <f aca="false">_xlfn.CONCAT($A$1, ".", CALC!A10)</f>
        <v>LSD.RID.0.AL.EP.6</v>
      </c>
      <c r="B10" s="68" t="str">
        <f aca="false">CALC!C10</f>
        <v>Manufacturing (Wood,
Paper, Printing, etc.)</v>
      </c>
      <c r="C10" s="3" t="n">
        <v>41636</v>
      </c>
      <c r="D10" s="3" t="n">
        <v>916</v>
      </c>
      <c r="E10" s="3" t="n">
        <v>1499</v>
      </c>
      <c r="F10" s="3" t="n">
        <v>39221</v>
      </c>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R10" s="3"/>
      <c r="AS10" s="3"/>
      <c r="AT10" s="3"/>
      <c r="AU10" s="3"/>
      <c r="AV10" s="3"/>
      <c r="AW10" s="3"/>
      <c r="AX10" s="3"/>
      <c r="AY10" s="3"/>
      <c r="AZ10" s="3"/>
      <c r="BA10" s="3"/>
      <c r="BB10" s="3"/>
      <c r="BC10" s="3"/>
    </row>
    <row r="11" customFormat="false" ht="23.85" hidden="false" customHeight="false" outlineLevel="0" collapsed="false">
      <c r="A11" s="65" t="str">
        <f aca="false">_xlfn.CONCAT($A$1, ".", CALC!A11)</f>
        <v>LSD.RID.0.AL.EP.7</v>
      </c>
      <c r="B11" s="68" t="str">
        <f aca="false">CALC!C11</f>
        <v>Manufacturing
(Machinery, Transport)</v>
      </c>
      <c r="C11" s="3" t="n">
        <v>85958</v>
      </c>
      <c r="D11" s="3" t="n">
        <v>1891</v>
      </c>
      <c r="E11" s="3" t="n">
        <v>3094</v>
      </c>
      <c r="F11" s="3" t="n">
        <v>80973</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R11" s="3"/>
      <c r="AS11" s="3"/>
      <c r="AT11" s="3"/>
      <c r="AU11" s="3"/>
      <c r="AV11" s="3"/>
      <c r="AW11" s="3"/>
      <c r="AX11" s="3"/>
      <c r="AY11" s="3"/>
      <c r="AZ11" s="3"/>
      <c r="BA11" s="3"/>
      <c r="BB11" s="3"/>
      <c r="BC11" s="3"/>
    </row>
    <row r="12" customFormat="false" ht="12.8" hidden="false" customHeight="false" outlineLevel="0" collapsed="false">
      <c r="A12" s="65" t="str">
        <f aca="false">_xlfn.CONCAT($A$1, ".", CALC!A12)</f>
        <v>LSD.RID.0.AL.EP.8</v>
      </c>
      <c r="B12" s="42" t="str">
        <f aca="false">CALC!C12</f>
        <v>Wholesale Trade</v>
      </c>
      <c r="C12" s="3" t="n">
        <v>37607</v>
      </c>
      <c r="D12" s="3" t="n">
        <v>827</v>
      </c>
      <c r="E12" s="3" t="n">
        <v>1354</v>
      </c>
      <c r="F12" s="3" t="n">
        <v>35426</v>
      </c>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R12" s="3"/>
      <c r="AS12" s="3"/>
      <c r="AT12" s="3"/>
      <c r="AU12" s="3"/>
      <c r="AV12" s="3"/>
      <c r="AW12" s="3"/>
      <c r="AX12" s="3"/>
      <c r="AY12" s="3"/>
      <c r="AZ12" s="3"/>
      <c r="BA12" s="3"/>
      <c r="BB12" s="3"/>
      <c r="BC12" s="3"/>
    </row>
    <row r="13" customFormat="false" ht="23.85" hidden="false" customHeight="false" outlineLevel="0" collapsed="false">
      <c r="A13" s="65" t="str">
        <f aca="false">_xlfn.CONCAT($A$1, ".", CALC!A13)</f>
        <v>LSD.RID.0.AL.EP.9</v>
      </c>
      <c r="B13" s="68" t="str">
        <f aca="false">CALC!C13</f>
        <v>Retail Trade (Motor
Vehicle, Electronics)</v>
      </c>
      <c r="C13" s="3" t="n">
        <v>32234</v>
      </c>
      <c r="D13" s="3" t="n">
        <v>709</v>
      </c>
      <c r="E13" s="3" t="n">
        <v>1160</v>
      </c>
      <c r="F13" s="3" t="n">
        <v>30365</v>
      </c>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R13" s="3"/>
      <c r="AS13" s="3"/>
      <c r="AT13" s="3"/>
      <c r="AU13" s="3"/>
      <c r="AV13" s="3"/>
      <c r="AW13" s="3"/>
      <c r="AX13" s="3"/>
      <c r="AY13" s="3"/>
      <c r="AZ13" s="3"/>
      <c r="BA13" s="3"/>
      <c r="BB13" s="3"/>
      <c r="BC13" s="3"/>
    </row>
    <row r="14" customFormat="false" ht="23.85" hidden="false" customHeight="false" outlineLevel="0" collapsed="false">
      <c r="A14" s="65" t="str">
        <f aca="false">_xlfn.CONCAT($A$1, ".", CALC!A14)</f>
        <v>LSD.RID.0.AL.EP.10</v>
      </c>
      <c r="B14" s="68" t="str">
        <f aca="false">CALC!C14</f>
        <v>Retail Trade (Food, Clothing,
General Merchandise, etc.)</v>
      </c>
      <c r="C14" s="3" t="n">
        <v>104762</v>
      </c>
      <c r="D14" s="3" t="n">
        <v>2305</v>
      </c>
      <c r="E14" s="3" t="n">
        <v>8381</v>
      </c>
      <c r="F14" s="3" t="n">
        <v>94076</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R14" s="3"/>
      <c r="AS14" s="3"/>
      <c r="AT14" s="3"/>
      <c r="AU14" s="3"/>
      <c r="AV14" s="3"/>
      <c r="AW14" s="3"/>
      <c r="AX14" s="3"/>
      <c r="AY14" s="3"/>
      <c r="AZ14" s="3"/>
      <c r="BA14" s="3"/>
      <c r="BB14" s="3"/>
      <c r="BC14" s="3"/>
    </row>
    <row r="15" customFormat="false" ht="12.8" hidden="false" customHeight="false" outlineLevel="0" collapsed="false">
      <c r="A15" s="65" t="str">
        <f aca="false">_xlfn.CONCAT($A$1, ".", CALC!A15)</f>
        <v>LSD.RID.0.AL.EP.11</v>
      </c>
      <c r="B15" s="42" t="str">
        <f aca="false">CALC!C15</f>
        <v>Transportation</v>
      </c>
      <c r="C15" s="3" t="n">
        <v>57753</v>
      </c>
      <c r="D15" s="3" t="n">
        <v>1271</v>
      </c>
      <c r="E15" s="3" t="n">
        <v>2079</v>
      </c>
      <c r="F15" s="3" t="n">
        <v>54403</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R15" s="3"/>
      <c r="AS15" s="3"/>
      <c r="AT15" s="3"/>
      <c r="AU15" s="3"/>
      <c r="AV15" s="3"/>
      <c r="AW15" s="3"/>
      <c r="AX15" s="3"/>
      <c r="AY15" s="3"/>
      <c r="AZ15" s="3"/>
      <c r="BA15" s="3"/>
      <c r="BB15" s="3"/>
      <c r="BC15" s="3"/>
    </row>
    <row r="16" customFormat="false" ht="12.8" hidden="false" customHeight="false" outlineLevel="0" collapsed="false">
      <c r="A16" s="65" t="str">
        <f aca="false">_xlfn.CONCAT($A$1, ".", CALC!A16)</f>
        <v>LSD.RID.0.AL.EP.12</v>
      </c>
      <c r="B16" s="42" t="str">
        <f aca="false">CALC!C16</f>
        <v>Warehousing and Storage</v>
      </c>
      <c r="C16" s="3" t="n">
        <v>34921</v>
      </c>
      <c r="D16" s="3" t="n">
        <v>768</v>
      </c>
      <c r="E16" s="3" t="n">
        <v>1257</v>
      </c>
      <c r="F16" s="3" t="n">
        <v>32896</v>
      </c>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R16" s="3"/>
      <c r="AS16" s="3"/>
      <c r="AT16" s="3"/>
      <c r="AU16" s="3"/>
      <c r="AV16" s="3"/>
      <c r="AW16" s="3"/>
      <c r="AX16" s="3"/>
      <c r="AY16" s="3"/>
      <c r="AZ16" s="3"/>
      <c r="BA16" s="3"/>
      <c r="BB16" s="3"/>
      <c r="BC16" s="3"/>
    </row>
    <row r="17" customFormat="false" ht="12.8" hidden="false" customHeight="false" outlineLevel="0" collapsed="false">
      <c r="A17" s="65" t="str">
        <f aca="false">_xlfn.CONCAT($A$1, ".", CALC!A17)</f>
        <v>LSD.RID.0.AL.EP.13</v>
      </c>
      <c r="B17" s="42" t="str">
        <f aca="false">CALC!C17</f>
        <v>Information</v>
      </c>
      <c r="C17" s="3" t="n">
        <v>20147</v>
      </c>
      <c r="D17" s="3" t="n">
        <v>443</v>
      </c>
      <c r="E17" s="3" t="n">
        <v>726</v>
      </c>
      <c r="F17" s="3" t="n">
        <v>18978</v>
      </c>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R17" s="3"/>
      <c r="AS17" s="3"/>
      <c r="AT17" s="3"/>
      <c r="AU17" s="3"/>
      <c r="AV17" s="3"/>
      <c r="AW17" s="3"/>
      <c r="AX17" s="3"/>
      <c r="AY17" s="3"/>
      <c r="AZ17" s="3"/>
      <c r="BA17" s="3"/>
      <c r="BB17" s="3"/>
      <c r="BC17" s="3"/>
    </row>
    <row r="18" customFormat="false" ht="12.8" hidden="false" customHeight="false" outlineLevel="0" collapsed="false">
      <c r="A18" s="65" t="str">
        <f aca="false">_xlfn.CONCAT($A$1, ".", CALC!A18)</f>
        <v>LSD.RID.0.AL.EP.14</v>
      </c>
      <c r="B18" s="42" t="str">
        <f aca="false">CALC!C18</f>
        <v>Finance and Insurance</v>
      </c>
      <c r="C18" s="3" t="n">
        <v>48352</v>
      </c>
      <c r="D18" s="3" t="n">
        <v>1064</v>
      </c>
      <c r="E18" s="3" t="n">
        <v>1741</v>
      </c>
      <c r="F18" s="3" t="n">
        <v>45547</v>
      </c>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R18" s="3"/>
      <c r="AS18" s="3"/>
      <c r="AT18" s="3"/>
      <c r="AU18" s="3"/>
      <c r="AV18" s="3"/>
      <c r="AW18" s="3"/>
      <c r="AX18" s="3"/>
      <c r="AY18" s="3"/>
      <c r="AZ18" s="3"/>
      <c r="BA18" s="3"/>
      <c r="BB18" s="3"/>
      <c r="BC18" s="3"/>
    </row>
    <row r="19" customFormat="false" ht="23.85" hidden="false" customHeight="false" outlineLevel="0" collapsed="false">
      <c r="A19" s="65" t="str">
        <f aca="false">_xlfn.CONCAT($A$1, ".", CALC!A19)</f>
        <v>LSD.RID.0.AL.EP.15</v>
      </c>
      <c r="B19" s="68" t="str">
        <f aca="false">CALC!C19</f>
        <v>Real Estate and
Rental and Leasing</v>
      </c>
      <c r="C19" s="3" t="n">
        <v>24176</v>
      </c>
      <c r="D19" s="3" t="n">
        <v>532</v>
      </c>
      <c r="E19" s="3" t="n">
        <v>870</v>
      </c>
      <c r="F19" s="3" t="n">
        <v>22774</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R19" s="3"/>
      <c r="AS19" s="3"/>
      <c r="AT19" s="3"/>
      <c r="AU19" s="3"/>
      <c r="AV19" s="3"/>
      <c r="AW19" s="3"/>
      <c r="AX19" s="3"/>
      <c r="AY19" s="3"/>
      <c r="AZ19" s="3"/>
      <c r="BA19" s="3"/>
      <c r="BB19" s="3"/>
      <c r="BC19" s="3"/>
    </row>
    <row r="20" customFormat="false" ht="23.85" hidden="false" customHeight="false" outlineLevel="0" collapsed="false">
      <c r="A20" s="65" t="str">
        <f aca="false">_xlfn.CONCAT($A$1, ".", CALC!A20)</f>
        <v>LSD.RID.0.AL.EP.16</v>
      </c>
      <c r="B20" s="68" t="str">
        <f aca="false">CALC!C20</f>
        <v>Professional, Scientific,
and Technical Services</v>
      </c>
      <c r="C20" s="3" t="n">
        <v>72527</v>
      </c>
      <c r="D20" s="3" t="n">
        <v>1596</v>
      </c>
      <c r="E20" s="3" t="n">
        <v>2611</v>
      </c>
      <c r="F20" s="3" t="n">
        <v>68320</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R20" s="3"/>
      <c r="AS20" s="3"/>
      <c r="AT20" s="3"/>
      <c r="AU20" s="3"/>
      <c r="AV20" s="3"/>
      <c r="AW20" s="3"/>
      <c r="AX20" s="3"/>
      <c r="AY20" s="3"/>
      <c r="AZ20" s="3"/>
      <c r="BA20" s="3"/>
      <c r="BB20" s="3"/>
      <c r="BC20" s="3"/>
    </row>
    <row r="21" customFormat="false" ht="34.4" hidden="false" customHeight="false" outlineLevel="0" collapsed="false">
      <c r="A21" s="65" t="str">
        <f aca="false">_xlfn.CONCAT($A$1, ".", CALC!A21)</f>
        <v>LSD.RID.0.AL.EP.17</v>
      </c>
      <c r="B21" s="68" t="str">
        <f aca="false">CALC!C21</f>
        <v>Administrative and Support
and Waste Management
and Remediation Services</v>
      </c>
      <c r="C21" s="3" t="n">
        <v>81929</v>
      </c>
      <c r="D21" s="3" t="n">
        <v>1802</v>
      </c>
      <c r="E21" s="3" t="n">
        <v>6554</v>
      </c>
      <c r="F21" s="3" t="n">
        <v>73573</v>
      </c>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R21" s="3"/>
      <c r="AS21" s="3"/>
      <c r="AT21" s="3"/>
      <c r="AU21" s="3"/>
      <c r="AV21" s="3"/>
      <c r="AW21" s="3"/>
      <c r="AX21" s="3"/>
      <c r="AY21" s="3"/>
      <c r="AZ21" s="3"/>
      <c r="BA21" s="3"/>
      <c r="BB21" s="3"/>
      <c r="BC21" s="3"/>
    </row>
    <row r="22" customFormat="false" ht="12.8" hidden="false" customHeight="false" outlineLevel="0" collapsed="false">
      <c r="A22" s="65" t="str">
        <f aca="false">_xlfn.CONCAT($A$1, ".", CALC!A22)</f>
        <v>LSD.RID.0.AL.EP.18</v>
      </c>
      <c r="B22" s="42" t="str">
        <f aca="false">CALC!C22</f>
        <v>Educational Services</v>
      </c>
      <c r="C22" s="3" t="n">
        <v>122222</v>
      </c>
      <c r="D22" s="3" t="n">
        <v>2689</v>
      </c>
      <c r="E22" s="3" t="n">
        <v>4400</v>
      </c>
      <c r="F22" s="3" t="n">
        <v>115133</v>
      </c>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R22" s="3"/>
      <c r="AS22" s="3"/>
      <c r="AT22" s="3"/>
      <c r="AU22" s="3"/>
      <c r="AV22" s="3"/>
      <c r="AW22" s="3"/>
      <c r="AX22" s="3"/>
      <c r="AY22" s="3"/>
      <c r="AZ22" s="3"/>
      <c r="BA22" s="3"/>
      <c r="BB22" s="3"/>
      <c r="BC22" s="3"/>
    </row>
    <row r="23" customFormat="false" ht="23.85" hidden="false" customHeight="false" outlineLevel="0" collapsed="false">
      <c r="A23" s="65" t="str">
        <f aca="false">_xlfn.CONCAT($A$1, ".", CALC!A23)</f>
        <v>LSD.RID.0.AL.EP.19</v>
      </c>
      <c r="B23" s="68" t="str">
        <f aca="false">CALC!C23</f>
        <v>Health Care and
Social Assistance</v>
      </c>
      <c r="C23" s="3" t="n">
        <v>171917</v>
      </c>
      <c r="D23" s="3" t="n">
        <v>3782</v>
      </c>
      <c r="E23" s="3" t="n">
        <v>6189</v>
      </c>
      <c r="F23" s="3" t="n">
        <v>161946</v>
      </c>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R23" s="3"/>
      <c r="AS23" s="3"/>
      <c r="AT23" s="3"/>
      <c r="AU23" s="3"/>
      <c r="AV23" s="3"/>
      <c r="AW23" s="3"/>
      <c r="AX23" s="3"/>
      <c r="AY23" s="3"/>
      <c r="AZ23" s="3"/>
      <c r="BA23" s="3"/>
      <c r="BB23" s="3"/>
      <c r="BC23" s="3"/>
    </row>
    <row r="24" customFormat="false" ht="23.85" hidden="false" customHeight="false" outlineLevel="0" collapsed="false">
      <c r="A24" s="65" t="str">
        <f aca="false">_xlfn.CONCAT($A$1, ".", CALC!A24)</f>
        <v>LSD.RID.0.AL.EP.20</v>
      </c>
      <c r="B24" s="68" t="str">
        <f aca="false">CALC!C24</f>
        <v>Arts, Entertainment,
and Recreation</v>
      </c>
      <c r="C24" s="3" t="n">
        <v>24176</v>
      </c>
      <c r="D24" s="3" t="n">
        <v>532</v>
      </c>
      <c r="E24" s="3" t="n">
        <v>870</v>
      </c>
      <c r="F24" s="3" t="n">
        <v>22774</v>
      </c>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R24" s="3"/>
      <c r="AS24" s="3"/>
      <c r="AT24" s="3"/>
      <c r="AU24" s="3"/>
      <c r="AV24" s="3"/>
      <c r="AW24" s="3"/>
      <c r="AX24" s="3"/>
      <c r="AY24" s="3"/>
      <c r="AZ24" s="3"/>
      <c r="BA24" s="3"/>
      <c r="BB24" s="3"/>
      <c r="BC24" s="3"/>
    </row>
    <row r="25" customFormat="false" ht="23.85" hidden="false" customHeight="false" outlineLevel="0" collapsed="false">
      <c r="A25" s="65" t="str">
        <f aca="false">_xlfn.CONCAT($A$1, ".", CALC!A25)</f>
        <v>LSD.RID.0.AL.EP.21</v>
      </c>
      <c r="B25" s="68" t="str">
        <f aca="false">CALC!C25</f>
        <v>Accommodation
and Food Services</v>
      </c>
      <c r="C25" s="3" t="n">
        <v>98046</v>
      </c>
      <c r="D25" s="3" t="n">
        <v>2157</v>
      </c>
      <c r="E25" s="3" t="n">
        <v>7844</v>
      </c>
      <c r="F25" s="3" t="n">
        <v>88045</v>
      </c>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R25" s="3"/>
      <c r="AS25" s="3"/>
      <c r="AT25" s="3"/>
      <c r="AU25" s="3"/>
      <c r="AV25" s="3"/>
      <c r="AW25" s="3"/>
      <c r="AX25" s="3"/>
      <c r="AY25" s="3"/>
      <c r="AZ25" s="3"/>
      <c r="BA25" s="3"/>
      <c r="BB25" s="3"/>
      <c r="BC25" s="3"/>
    </row>
    <row r="26" customFormat="false" ht="23.85" hidden="false" customHeight="false" outlineLevel="0" collapsed="false">
      <c r="A26" s="65" t="str">
        <f aca="false">_xlfn.CONCAT($A$1, ".", CALC!A26)</f>
        <v>LSD.RID.0.AL.EP.22</v>
      </c>
      <c r="B26" s="68" t="str">
        <f aca="false">CALC!C26</f>
        <v>Other Services (except
Public Administration)</v>
      </c>
      <c r="C26" s="3" t="n">
        <v>52381</v>
      </c>
      <c r="D26" s="3" t="n">
        <v>1152</v>
      </c>
      <c r="E26" s="3" t="n">
        <v>4190</v>
      </c>
      <c r="F26" s="3" t="n">
        <v>47039</v>
      </c>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R26" s="3"/>
      <c r="AS26" s="3"/>
      <c r="AT26" s="3"/>
      <c r="AU26" s="3"/>
      <c r="AV26" s="3"/>
      <c r="AW26" s="3"/>
      <c r="AX26" s="3"/>
      <c r="AY26" s="3"/>
      <c r="AZ26" s="3"/>
      <c r="BA26" s="3"/>
      <c r="BB26" s="3"/>
      <c r="BC26" s="3"/>
    </row>
    <row r="27" customFormat="false" ht="12.8" hidden="false" customHeight="false" outlineLevel="0" collapsed="false">
      <c r="A27" s="65" t="str">
        <f aca="false">_xlfn.CONCAT($A$1, ".", CALC!A27)</f>
        <v>LSD.RID.0.AL.EP.23</v>
      </c>
      <c r="B27" s="42" t="str">
        <f aca="false">CALC!C27</f>
        <v>Public Administration</v>
      </c>
      <c r="C27" s="3" t="n">
        <v>76557</v>
      </c>
      <c r="D27" s="3" t="n">
        <v>1684</v>
      </c>
      <c r="E27" s="3" t="n">
        <v>2756</v>
      </c>
      <c r="F27" s="3" t="n">
        <v>72117</v>
      </c>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R27" s="3"/>
      <c r="AS27" s="3"/>
      <c r="AT27" s="3"/>
      <c r="AU27" s="3"/>
      <c r="AV27" s="3"/>
      <c r="AW27" s="3"/>
      <c r="AX27" s="3"/>
      <c r="AY27" s="3"/>
      <c r="AZ27" s="3"/>
      <c r="BA27" s="3"/>
      <c r="BB27" s="3"/>
      <c r="BC27" s="3"/>
    </row>
    <row r="28" customFormat="false" ht="12.8" hidden="false" customHeight="false" outlineLevel="0" collapsed="false">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R28" s="3"/>
      <c r="AS28" s="3"/>
      <c r="AT28" s="3"/>
      <c r="AU28" s="3"/>
      <c r="AV28" s="3"/>
      <c r="AW28" s="3"/>
      <c r="AX28" s="3"/>
      <c r="AY28" s="3"/>
      <c r="AZ28" s="3"/>
      <c r="BA28" s="3"/>
      <c r="BB28" s="3"/>
      <c r="BC28" s="3"/>
    </row>
    <row r="125" customFormat="false" ht="12.8" hidden="false" customHeight="false" outlineLevel="0" collapsed="false">
      <c r="A125" s="50" t="s">
        <v>1972</v>
      </c>
      <c r="B125" s="72" t="s">
        <v>1973</v>
      </c>
    </row>
    <row r="126" customFormat="false" ht="12.8" hidden="false" customHeight="false" outlineLevel="0" collapsed="false">
      <c r="A126" s="50" t="s">
        <v>1842</v>
      </c>
      <c r="B126" s="72" t="s">
        <v>183</v>
      </c>
      <c r="C126" s="39" t="s">
        <v>184</v>
      </c>
      <c r="D126" s="39" t="s">
        <v>1843</v>
      </c>
      <c r="E126" s="39" t="s">
        <v>186</v>
      </c>
      <c r="F126" s="39" t="s">
        <v>187</v>
      </c>
      <c r="G126" s="39" t="s">
        <v>1974</v>
      </c>
    </row>
    <row r="127" customFormat="false" ht="12.8" hidden="false" customHeight="false" outlineLevel="0" collapsed="false">
      <c r="A127" s="50" t="s">
        <v>1975</v>
      </c>
      <c r="B127" s="72" t="s">
        <v>428</v>
      </c>
      <c r="C127" s="39" t="s">
        <v>1976</v>
      </c>
      <c r="D127" s="39" t="s">
        <v>1977</v>
      </c>
      <c r="E127" s="39" t="s">
        <v>1978</v>
      </c>
      <c r="F127" s="39" t="s">
        <v>302</v>
      </c>
      <c r="G127" s="39" t="s">
        <v>1974</v>
      </c>
    </row>
    <row r="128" customFormat="false" ht="12.8" hidden="false" customHeight="false" outlineLevel="0" collapsed="false">
      <c r="A128" s="50" t="s">
        <v>1979</v>
      </c>
      <c r="B128" s="72" t="s">
        <v>428</v>
      </c>
      <c r="C128" s="39" t="s">
        <v>1850</v>
      </c>
      <c r="D128" s="39" t="s">
        <v>1980</v>
      </c>
      <c r="E128" s="39" t="s">
        <v>1851</v>
      </c>
      <c r="F128" s="39" t="s">
        <v>302</v>
      </c>
      <c r="G128" s="39" t="s">
        <v>1974</v>
      </c>
    </row>
    <row r="129" customFormat="false" ht="12.8" hidden="false" customHeight="false" outlineLevel="0" collapsed="false">
      <c r="A129" s="50" t="s">
        <v>1981</v>
      </c>
      <c r="B129" s="72" t="s">
        <v>428</v>
      </c>
      <c r="C129" s="39" t="s">
        <v>1853</v>
      </c>
      <c r="D129" s="39" t="s">
        <v>1982</v>
      </c>
      <c r="E129" s="39" t="s">
        <v>1983</v>
      </c>
      <c r="F129" s="39" t="s">
        <v>302</v>
      </c>
      <c r="G129" s="39" t="s">
        <v>1974</v>
      </c>
    </row>
    <row r="130" customFormat="false" ht="12.8" hidden="false" customHeight="false" outlineLevel="0" collapsed="false">
      <c r="A130" s="50" t="s">
        <v>1984</v>
      </c>
      <c r="B130" s="72" t="s">
        <v>428</v>
      </c>
      <c r="C130" s="39" t="s">
        <v>1985</v>
      </c>
      <c r="D130" s="39" t="s">
        <v>1986</v>
      </c>
      <c r="E130" s="39" t="s">
        <v>306</v>
      </c>
      <c r="F130" s="39" t="s">
        <v>302</v>
      </c>
      <c r="G130" s="39" t="s">
        <v>1974</v>
      </c>
    </row>
    <row r="132" customFormat="false" ht="12.8" hidden="false" customHeight="false" outlineLevel="0" collapsed="false">
      <c r="A132" s="50" t="s">
        <v>1987</v>
      </c>
      <c r="B132" s="72" t="s">
        <v>1988</v>
      </c>
    </row>
    <row r="133" customFormat="false" ht="12.8" hidden="false" customHeight="false" outlineLevel="0" collapsed="false">
      <c r="A133" s="50" t="s">
        <v>683</v>
      </c>
      <c r="B133" s="72" t="s">
        <v>184</v>
      </c>
      <c r="C133" s="39" t="s">
        <v>684</v>
      </c>
      <c r="D133" s="39" t="s">
        <v>186</v>
      </c>
      <c r="E133" s="39" t="s">
        <v>678</v>
      </c>
      <c r="F133" s="39" t="s">
        <v>679</v>
      </c>
      <c r="G133" s="39" t="s">
        <v>680</v>
      </c>
      <c r="H133" s="39" t="s">
        <v>187</v>
      </c>
    </row>
    <row r="134" customFormat="false" ht="12.8" hidden="false" customHeight="false" outlineLevel="0" collapsed="false">
      <c r="A134" s="50" t="s">
        <v>1989</v>
      </c>
      <c r="B134" s="72" t="s">
        <v>1990</v>
      </c>
      <c r="C134" s="39" t="n">
        <v>2317000</v>
      </c>
      <c r="D134" s="39" t="s">
        <v>1991</v>
      </c>
      <c r="E134" s="39" t="s">
        <v>689</v>
      </c>
      <c r="F134" s="39" t="s">
        <v>690</v>
      </c>
      <c r="G134" s="51" t="s">
        <v>691</v>
      </c>
      <c r="H134" s="39" t="s">
        <v>302</v>
      </c>
    </row>
    <row r="135" customFormat="false" ht="12.8" hidden="false" customHeight="false" outlineLevel="0" collapsed="false">
      <c r="A135" s="50" t="s">
        <v>1992</v>
      </c>
      <c r="B135" s="72" t="s">
        <v>1993</v>
      </c>
      <c r="C135" s="39" t="s">
        <v>1994</v>
      </c>
      <c r="D135" s="39" t="s">
        <v>982</v>
      </c>
      <c r="E135" s="39" t="s">
        <v>983</v>
      </c>
      <c r="F135" s="39" t="s">
        <v>984</v>
      </c>
      <c r="G135" s="51" t="s">
        <v>691</v>
      </c>
      <c r="H135" s="39" t="s">
        <v>302</v>
      </c>
    </row>
    <row r="136" customFormat="false" ht="12.8" hidden="false" customHeight="false" outlineLevel="0" collapsed="false">
      <c r="A136" s="50" t="s">
        <v>1995</v>
      </c>
      <c r="B136" s="72" t="s">
        <v>1996</v>
      </c>
      <c r="C136" s="39" t="s">
        <v>1997</v>
      </c>
      <c r="D136" s="39" t="s">
        <v>1998</v>
      </c>
      <c r="E136" s="39" t="s">
        <v>983</v>
      </c>
      <c r="F136" s="39" t="s">
        <v>984</v>
      </c>
      <c r="G136" s="51" t="s">
        <v>691</v>
      </c>
      <c r="H136" s="39" t="s">
        <v>989</v>
      </c>
      <c r="I136" s="39" t="s">
        <v>302</v>
      </c>
    </row>
    <row r="137" customFormat="false" ht="12.8" hidden="false" customHeight="false" outlineLevel="0" collapsed="false">
      <c r="A137" s="50" t="s">
        <v>1999</v>
      </c>
      <c r="B137" s="72" t="s">
        <v>1246</v>
      </c>
      <c r="C137" s="39" t="n">
        <v>0.75</v>
      </c>
      <c r="D137" s="39" t="s">
        <v>1247</v>
      </c>
      <c r="E137" s="39" t="s">
        <v>689</v>
      </c>
      <c r="F137" s="39" t="s">
        <v>2000</v>
      </c>
      <c r="G137" s="51" t="s">
        <v>691</v>
      </c>
      <c r="H137" s="39" t="s">
        <v>302</v>
      </c>
    </row>
    <row r="138" customFormat="false" ht="12.8" hidden="false" customHeight="false" outlineLevel="0" collapsed="false">
      <c r="A138" s="50" t="s">
        <v>2001</v>
      </c>
      <c r="B138" s="72" t="s">
        <v>1250</v>
      </c>
      <c r="C138" s="39" t="n">
        <v>0.78</v>
      </c>
      <c r="D138" s="39" t="s">
        <v>2002</v>
      </c>
      <c r="E138" s="39" t="s">
        <v>689</v>
      </c>
      <c r="F138" s="39" t="s">
        <v>2003</v>
      </c>
      <c r="G138" s="51" t="s">
        <v>691</v>
      </c>
      <c r="H138" s="39" t="s">
        <v>302</v>
      </c>
    </row>
    <row r="139" customFormat="false" ht="12.8" hidden="false" customHeight="false" outlineLevel="0" collapsed="false">
      <c r="A139" s="50" t="s">
        <v>2004</v>
      </c>
      <c r="B139" s="72" t="s">
        <v>1254</v>
      </c>
      <c r="C139" s="39" t="n">
        <v>4</v>
      </c>
      <c r="D139" s="39" t="s">
        <v>1000</v>
      </c>
      <c r="E139" s="39" t="s">
        <v>689</v>
      </c>
      <c r="F139" s="39" t="s">
        <v>2005</v>
      </c>
      <c r="G139" s="51" t="s">
        <v>691</v>
      </c>
      <c r="H139" s="39" t="s">
        <v>302</v>
      </c>
    </row>
    <row r="140" customFormat="false" ht="12.8" hidden="false" customHeight="false" outlineLevel="0" collapsed="false">
      <c r="A140" s="50" t="s">
        <v>2006</v>
      </c>
      <c r="B140" s="72" t="s">
        <v>2007</v>
      </c>
      <c r="C140" s="39" t="s">
        <v>2008</v>
      </c>
      <c r="D140" s="39" t="s">
        <v>993</v>
      </c>
      <c r="E140" s="39" t="s">
        <v>983</v>
      </c>
      <c r="F140" s="39" t="s">
        <v>984</v>
      </c>
      <c r="G140" s="51" t="s">
        <v>691</v>
      </c>
      <c r="H140" s="39" t="s">
        <v>974</v>
      </c>
      <c r="I140" s="39" t="s">
        <v>302</v>
      </c>
    </row>
    <row r="142" customFormat="false" ht="12.8" hidden="false" customHeight="false" outlineLevel="0" collapsed="false">
      <c r="A142" s="50" t="s">
        <v>2009</v>
      </c>
      <c r="B142" s="72" t="s">
        <v>2010</v>
      </c>
    </row>
    <row r="143" customFormat="false" ht="12.8" hidden="false" customHeight="false" outlineLevel="0" collapsed="false">
      <c r="A143" s="50" t="s">
        <v>113</v>
      </c>
      <c r="B143" s="72" t="s">
        <v>186</v>
      </c>
      <c r="C143" s="39" t="s">
        <v>677</v>
      </c>
      <c r="D143" s="39" t="s">
        <v>1875</v>
      </c>
      <c r="E143" s="39" t="s">
        <v>678</v>
      </c>
      <c r="F143" s="39" t="s">
        <v>1876</v>
      </c>
    </row>
    <row r="144" customFormat="false" ht="12.8" hidden="false" customHeight="false" outlineLevel="0" collapsed="false">
      <c r="A144" s="50" t="s">
        <v>2011</v>
      </c>
      <c r="B144" s="72" t="s">
        <v>1435</v>
      </c>
      <c r="C144" s="39" t="n">
        <v>2317000</v>
      </c>
      <c r="D144" s="39" t="s">
        <v>690</v>
      </c>
      <c r="E144" s="39" t="s">
        <v>689</v>
      </c>
      <c r="F144" s="39" t="s">
        <v>1879</v>
      </c>
    </row>
    <row r="145" customFormat="false" ht="12.8" hidden="false" customHeight="false" outlineLevel="0" collapsed="false">
      <c r="A145" s="50" t="s">
        <v>2012</v>
      </c>
      <c r="B145" s="72" t="s">
        <v>1881</v>
      </c>
      <c r="C145" s="39" t="s">
        <v>2013</v>
      </c>
      <c r="D145" s="39" t="s">
        <v>2014</v>
      </c>
      <c r="E145" s="39" t="s">
        <v>689</v>
      </c>
      <c r="F145" s="39" t="s">
        <v>2015</v>
      </c>
    </row>
    <row r="146" customFormat="false" ht="12.8" hidden="false" customHeight="false" outlineLevel="0" collapsed="false">
      <c r="A146" s="50" t="s">
        <v>2016</v>
      </c>
      <c r="B146" s="72" t="s">
        <v>2017</v>
      </c>
      <c r="C146" s="39" t="s">
        <v>1887</v>
      </c>
      <c r="D146" s="39" t="s">
        <v>2018</v>
      </c>
      <c r="E146" s="39" t="s">
        <v>689</v>
      </c>
      <c r="F146" s="39" t="s">
        <v>1889</v>
      </c>
    </row>
    <row r="147" customFormat="false" ht="12.8" hidden="false" customHeight="false" outlineLevel="0" collapsed="false">
      <c r="A147" s="50" t="s">
        <v>2019</v>
      </c>
      <c r="B147" s="72" t="s">
        <v>1891</v>
      </c>
      <c r="C147" s="39" t="s">
        <v>2020</v>
      </c>
      <c r="D147" s="39" t="s">
        <v>2021</v>
      </c>
      <c r="E147" s="39" t="s">
        <v>689</v>
      </c>
      <c r="F147" s="39" t="s">
        <v>1894</v>
      </c>
    </row>
    <row r="148" customFormat="false" ht="12.8" hidden="false" customHeight="false" outlineLevel="0" collapsed="false">
      <c r="A148" s="50" t="s">
        <v>2022</v>
      </c>
      <c r="B148" s="72" t="s">
        <v>1896</v>
      </c>
      <c r="C148" s="39" t="s">
        <v>1962</v>
      </c>
      <c r="D148" s="39" t="s">
        <v>2023</v>
      </c>
      <c r="E148" s="39" t="s">
        <v>689</v>
      </c>
      <c r="F148" s="39" t="s">
        <v>1899</v>
      </c>
    </row>
    <row r="149" customFormat="false" ht="12.8" hidden="false" customHeight="false" outlineLevel="0" collapsed="false">
      <c r="A149" s="50" t="s">
        <v>2024</v>
      </c>
      <c r="B149" s="72" t="s">
        <v>1901</v>
      </c>
      <c r="C149" s="39" t="s">
        <v>1902</v>
      </c>
      <c r="D149" s="39" t="s">
        <v>2025</v>
      </c>
      <c r="E149" s="39" t="s">
        <v>689</v>
      </c>
      <c r="F149" s="39" t="s">
        <v>1904</v>
      </c>
    </row>
    <row r="150" customFormat="false" ht="12.8" hidden="false" customHeight="false" outlineLevel="0" collapsed="false">
      <c r="A150" s="50" t="s">
        <v>2026</v>
      </c>
      <c r="B150" s="72" t="s">
        <v>2027</v>
      </c>
      <c r="C150" s="39" t="s">
        <v>2028</v>
      </c>
      <c r="D150" s="39" t="s">
        <v>1908</v>
      </c>
      <c r="E150" s="39" t="s">
        <v>689</v>
      </c>
      <c r="F150" s="39" t="s">
        <v>1909</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F00"/>
    <pageSetUpPr fitToPage="false"/>
  </sheetPr>
  <dimension ref="A1:BH153"/>
  <sheetViews>
    <sheetView showFormulas="false" showGridLines="true" showRowColHeaders="true" showZeros="true" rightToLeft="false" tabSelected="false" showOutlineSymbols="true" defaultGridColor="true" view="normal" topLeftCell="A15" colorId="64" zoomScale="65" zoomScaleNormal="65" zoomScalePageLayoutView="100" workbookViewId="0">
      <selection pane="topLeft" activeCell="A154" activeCellId="0" sqref="A154"/>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26" min="7" style="39" width="16.84"/>
    <col collapsed="false" customWidth="true" hidden="false" outlineLevel="0" max="40" min="27" style="39" width="17.78"/>
    <col collapsed="false" customWidth="true" hidden="false" outlineLevel="0" max="43" min="41" style="39" width="15.48"/>
    <col collapsed="false" customWidth="true" hidden="false" outlineLevel="0" max="48" min="48" style="39" width="18.45"/>
    <col collapsed="false" customWidth="true" hidden="false" outlineLevel="0" max="51" min="49" style="39" width="16.14"/>
    <col collapsed="false" customWidth="true" hidden="false" outlineLevel="0" max="59" min="52" style="39" width="13.84"/>
  </cols>
  <sheetData>
    <row r="1" customFormat="false" ht="12.9" hidden="false" customHeight="false" outlineLevel="0" collapsed="false">
      <c r="A1" s="4" t="s">
        <v>2029</v>
      </c>
      <c r="B1" s="42" t="s">
        <v>2030</v>
      </c>
      <c r="C1" s="6" t="s">
        <v>2</v>
      </c>
      <c r="D1" s="67" t="s">
        <v>2031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row>
    <row r="2" customFormat="false" ht="12.8" hidden="false" customHeight="false" outlineLevel="0" collapsed="false">
      <c r="A2" s="65" t="str">
        <f aca="false">_xlfn.CONCAT($A$1, ".", "CALC")</f>
        <v>LSD.RID.0.AL.ETPR.CALC</v>
      </c>
      <c r="B2" s="66" t="str">
        <f aca="false">_xlfn.CONCAT($B$1, " ", "Calculations")</f>
        <v>Alabama Employment-to-Population Ratio (ETPR) Calculations</v>
      </c>
      <c r="C2" s="56" t="str">
        <f aca="false">CALC!X2</f>
        <v>Employment-to-Population Ratio (ETPR)</v>
      </c>
      <c r="D2" s="56"/>
      <c r="E2" s="56"/>
      <c r="F2" s="56"/>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row>
    <row r="3" customFormat="false" ht="12.8" hidden="false" customHeight="false" outlineLevel="0" collapsed="false">
      <c r="A3" s="65" t="str">
        <f aca="false">CALC!A3</f>
        <v>LSID</v>
      </c>
      <c r="B3" s="42" t="str">
        <f aca="false">CALC!C3</f>
        <v>Labor Sector</v>
      </c>
      <c r="C3" s="60" t="str">
        <f aca="false">CALC!X3</f>
        <v>Overall ETPR</v>
      </c>
      <c r="D3" s="60" t="str">
        <f aca="false">CALC!Y3</f>
        <v>Authorized ETPR</v>
      </c>
      <c r="E3" s="60" t="str">
        <f aca="false">CALC!Z3</f>
        <v>Unauthorized ETPR</v>
      </c>
      <c r="F3" s="60" t="str">
        <f aca="false">CALC!AA3</f>
        <v>American ETPR</v>
      </c>
      <c r="AF3" s="3"/>
      <c r="AG3" s="3"/>
      <c r="AH3" s="3"/>
      <c r="AI3" s="3"/>
      <c r="AR3" s="39"/>
      <c r="AS3" s="39"/>
      <c r="AT3" s="39"/>
      <c r="AU3" s="39"/>
      <c r="AV3" s="3"/>
      <c r="AW3" s="3"/>
      <c r="AX3" s="3"/>
      <c r="AY3" s="3"/>
      <c r="AZ3" s="3"/>
      <c r="BA3" s="3"/>
      <c r="BB3" s="3"/>
      <c r="BC3" s="3"/>
      <c r="BD3" s="3"/>
      <c r="BE3" s="3"/>
      <c r="BF3" s="3"/>
      <c r="BG3" s="3"/>
    </row>
    <row r="4" customFormat="false" ht="12.8" hidden="false" customHeight="false" outlineLevel="0" collapsed="false">
      <c r="A4" s="65" t="str">
        <f aca="false">_xlfn.CONCAT($A$1, ".", CALC!A4)</f>
        <v>LSD.RID.0.AL.ETPR.0</v>
      </c>
      <c r="B4" s="42" t="str">
        <f aca="false">CALC!C4</f>
        <v>All Industries</v>
      </c>
      <c r="C4" s="39" t="n">
        <v>0.561</v>
      </c>
      <c r="D4" s="39" t="n">
        <v>0.538</v>
      </c>
      <c r="E4" s="39" t="n">
        <v>0.594</v>
      </c>
      <c r="F4" s="39" t="n">
        <v>0.564</v>
      </c>
      <c r="AF4" s="3"/>
      <c r="AG4" s="3"/>
      <c r="AH4" s="3"/>
      <c r="AI4" s="3"/>
      <c r="AR4" s="39"/>
      <c r="AS4" s="39"/>
      <c r="AT4" s="39"/>
      <c r="AU4" s="39"/>
      <c r="AV4" s="3"/>
      <c r="AW4" s="3"/>
      <c r="AX4" s="3"/>
      <c r="AY4" s="3"/>
      <c r="AZ4" s="3"/>
      <c r="BA4" s="3"/>
      <c r="BB4" s="3"/>
      <c r="BC4" s="3"/>
      <c r="BD4" s="3"/>
      <c r="BE4" s="3"/>
      <c r="BF4" s="3"/>
      <c r="BG4" s="3"/>
    </row>
    <row r="5" customFormat="false" ht="23.85" hidden="false" customHeight="false" outlineLevel="0" collapsed="false">
      <c r="A5" s="65" t="str">
        <f aca="false">_xlfn.CONCAT($A$1, ".", CALC!A5)</f>
        <v>LSD.RID.0.AL.ETPR.1</v>
      </c>
      <c r="B5" s="68" t="str">
        <f aca="false">CALC!C5</f>
        <v>Agriculture, Forestry, 
Fishing and Hunting</v>
      </c>
      <c r="C5" s="39" t="n">
        <v>0.61</v>
      </c>
      <c r="D5" s="39" t="n">
        <v>0.62</v>
      </c>
      <c r="E5" s="39" t="n">
        <v>0.68</v>
      </c>
      <c r="F5" s="39" t="n">
        <v>0.605</v>
      </c>
      <c r="AF5" s="3"/>
      <c r="AG5" s="3"/>
      <c r="AH5" s="3"/>
      <c r="AI5" s="3"/>
      <c r="AR5" s="39"/>
      <c r="AS5" s="39"/>
      <c r="AT5" s="39"/>
      <c r="AU5" s="39"/>
      <c r="AV5" s="3"/>
      <c r="AW5" s="3"/>
      <c r="AX5" s="3"/>
      <c r="AY5" s="3"/>
      <c r="AZ5" s="3"/>
      <c r="BA5" s="3"/>
      <c r="BB5" s="3"/>
      <c r="BC5" s="3"/>
      <c r="BD5" s="3"/>
      <c r="BE5" s="3"/>
      <c r="BF5" s="3"/>
      <c r="BG5" s="3"/>
    </row>
    <row r="6" customFormat="false" ht="23.85" hidden="false" customHeight="false" outlineLevel="0" collapsed="false">
      <c r="A6" s="65" t="str">
        <f aca="false">_xlfn.CONCAT($A$1, ".", CALC!A6)</f>
        <v>LSD.RID.0.AL.ETPR.2</v>
      </c>
      <c r="B6" s="68" t="str">
        <f aca="false">CALC!C6</f>
        <v>Mining, Quarrying, and
Oil and Gas Extraction</v>
      </c>
      <c r="C6" s="39" t="n">
        <v>0.68</v>
      </c>
      <c r="D6" s="39" t="n">
        <v>0.67</v>
      </c>
      <c r="E6" s="39" t="n">
        <v>0.71</v>
      </c>
      <c r="F6" s="39" t="n">
        <v>0.682</v>
      </c>
      <c r="AF6" s="3"/>
      <c r="AG6" s="3"/>
      <c r="AH6" s="3"/>
      <c r="AI6" s="3"/>
      <c r="AR6" s="39"/>
      <c r="AS6" s="39"/>
      <c r="AT6" s="39"/>
      <c r="AU6" s="39"/>
      <c r="AV6" s="3"/>
      <c r="AW6" s="3"/>
      <c r="AX6" s="3"/>
      <c r="AY6" s="3"/>
      <c r="AZ6" s="3"/>
      <c r="BA6" s="3"/>
      <c r="BB6" s="3"/>
      <c r="BC6" s="3"/>
      <c r="BD6" s="3"/>
      <c r="BE6" s="3"/>
      <c r="BF6" s="3"/>
      <c r="BG6" s="3"/>
    </row>
    <row r="7" customFormat="false" ht="12.8" hidden="false" customHeight="false" outlineLevel="0" collapsed="false">
      <c r="A7" s="65" t="str">
        <f aca="false">_xlfn.CONCAT($A$1, ".", CALC!A7)</f>
        <v>LSD.RID.0.AL.ETPR.3</v>
      </c>
      <c r="B7" s="42" t="str">
        <f aca="false">CALC!C7</f>
        <v>Utilities</v>
      </c>
      <c r="C7" s="39" t="n">
        <v>0.78</v>
      </c>
      <c r="D7" s="39" t="n">
        <v>0.77</v>
      </c>
      <c r="E7" s="39" t="n">
        <v>0.8</v>
      </c>
      <c r="F7" s="39" t="n">
        <v>0.781</v>
      </c>
      <c r="AF7" s="3"/>
      <c r="AG7" s="3"/>
      <c r="AH7" s="3"/>
      <c r="AI7" s="3"/>
      <c r="AR7" s="39"/>
      <c r="AS7" s="39"/>
      <c r="AT7" s="39"/>
      <c r="AU7" s="39"/>
      <c r="AV7" s="3"/>
      <c r="AW7" s="3"/>
      <c r="AX7" s="3"/>
      <c r="AY7" s="3"/>
      <c r="AZ7" s="3"/>
      <c r="BA7" s="3"/>
      <c r="BB7" s="3"/>
      <c r="BC7" s="3"/>
      <c r="BD7" s="3"/>
      <c r="BE7" s="3"/>
      <c r="BF7" s="3"/>
      <c r="BG7" s="3"/>
    </row>
    <row r="8" customFormat="false" ht="12.8" hidden="false" customHeight="false" outlineLevel="0" collapsed="false">
      <c r="A8" s="65" t="str">
        <f aca="false">_xlfn.CONCAT($A$1, ".", CALC!A8)</f>
        <v>LSD.RID.0.AL.ETPR.4</v>
      </c>
      <c r="B8" s="42" t="str">
        <f aca="false">CALC!C8</f>
        <v>Construction</v>
      </c>
      <c r="C8" s="39" t="n">
        <v>0.62</v>
      </c>
      <c r="D8" s="39" t="n">
        <v>0.59</v>
      </c>
      <c r="E8" s="39" t="n">
        <v>0.68</v>
      </c>
      <c r="F8" s="39" t="n">
        <v>0.62</v>
      </c>
      <c r="AF8" s="3"/>
      <c r="AG8" s="3"/>
      <c r="AH8" s="3"/>
      <c r="AI8" s="3"/>
      <c r="AR8" s="39"/>
      <c r="AS8" s="39"/>
      <c r="AT8" s="39"/>
      <c r="AU8" s="39"/>
      <c r="AV8" s="3"/>
      <c r="AW8" s="3"/>
      <c r="AX8" s="3"/>
      <c r="AY8" s="3"/>
      <c r="AZ8" s="3"/>
      <c r="BA8" s="3"/>
      <c r="BB8" s="3"/>
      <c r="BC8" s="3"/>
      <c r="BD8" s="3"/>
      <c r="BE8" s="3"/>
      <c r="BF8" s="3"/>
      <c r="BG8" s="3"/>
    </row>
    <row r="9" customFormat="false" ht="23.85" hidden="false" customHeight="false" outlineLevel="0" collapsed="false">
      <c r="A9" s="65" t="str">
        <f aca="false">_xlfn.CONCAT($A$1, ".", CALC!A9)</f>
        <v>LSD.RID.0.AL.ETPR.5</v>
      </c>
      <c r="B9" s="68" t="str">
        <f aca="false">CALC!C9</f>
        <v>Manufacturing
(Food,Textile, etc.)</v>
      </c>
      <c r="C9" s="39" t="n">
        <v>0.66</v>
      </c>
      <c r="D9" s="39" t="n">
        <v>0.63</v>
      </c>
      <c r="E9" s="39" t="n">
        <v>0.7</v>
      </c>
      <c r="F9" s="39" t="n">
        <v>0.66</v>
      </c>
      <c r="AF9" s="3"/>
      <c r="AG9" s="3"/>
      <c r="AH9" s="3"/>
      <c r="AI9" s="3"/>
      <c r="AR9" s="39"/>
      <c r="AS9" s="39"/>
      <c r="AT9" s="39"/>
      <c r="AU9" s="39"/>
      <c r="AV9" s="3"/>
      <c r="AW9" s="3"/>
      <c r="AX9" s="3"/>
      <c r="AY9" s="3"/>
      <c r="AZ9" s="3"/>
      <c r="BA9" s="3"/>
      <c r="BB9" s="3"/>
      <c r="BC9" s="3"/>
      <c r="BD9" s="3"/>
      <c r="BE9" s="3"/>
      <c r="BF9" s="3"/>
      <c r="BG9" s="3"/>
    </row>
    <row r="10" customFormat="false" ht="23.85" hidden="false" customHeight="false" outlineLevel="0" collapsed="false">
      <c r="A10" s="65" t="str">
        <f aca="false">_xlfn.CONCAT($A$1, ".", CALC!A10)</f>
        <v>LSD.RID.0.AL.ETPR.6</v>
      </c>
      <c r="B10" s="68" t="str">
        <f aca="false">CALC!C10</f>
        <v>Manufacturing (Wood,
Paper, Printing, etc.)</v>
      </c>
      <c r="C10" s="39" t="n">
        <v>0.72</v>
      </c>
      <c r="D10" s="39" t="n">
        <v>0.69</v>
      </c>
      <c r="E10" s="39" t="n">
        <v>0.76</v>
      </c>
      <c r="F10" s="39" t="n">
        <v>0.72</v>
      </c>
      <c r="AF10" s="3"/>
      <c r="AG10" s="3"/>
      <c r="AH10" s="3"/>
      <c r="AI10" s="3"/>
      <c r="AR10" s="39"/>
      <c r="AS10" s="39"/>
      <c r="AT10" s="39"/>
      <c r="AU10" s="39"/>
      <c r="AV10" s="3"/>
      <c r="AW10" s="3"/>
      <c r="AX10" s="3"/>
      <c r="AY10" s="3"/>
      <c r="AZ10" s="3"/>
      <c r="BA10" s="3"/>
      <c r="BB10" s="3"/>
      <c r="BC10" s="3"/>
      <c r="BD10" s="3"/>
      <c r="BE10" s="3"/>
      <c r="BF10" s="3"/>
      <c r="BG10" s="3"/>
    </row>
    <row r="11" customFormat="false" ht="23.85" hidden="false" customHeight="false" outlineLevel="0" collapsed="false">
      <c r="A11" s="65" t="str">
        <f aca="false">_xlfn.CONCAT($A$1, ".", CALC!A11)</f>
        <v>LSD.RID.0.AL.ETPR.7</v>
      </c>
      <c r="B11" s="68" t="str">
        <f aca="false">CALC!C11</f>
        <v>Manufacturing
(Machinery, Transport)</v>
      </c>
      <c r="C11" s="39" t="n">
        <v>0.72</v>
      </c>
      <c r="D11" s="39" t="n">
        <v>0.69</v>
      </c>
      <c r="E11" s="39" t="n">
        <v>0.76</v>
      </c>
      <c r="F11" s="39" t="n">
        <v>0.72</v>
      </c>
      <c r="AF11" s="3"/>
      <c r="AG11" s="3"/>
      <c r="AH11" s="3"/>
      <c r="AI11" s="3"/>
      <c r="AR11" s="39"/>
      <c r="AS11" s="39"/>
      <c r="AT11" s="39"/>
      <c r="AU11" s="39"/>
      <c r="AV11" s="3"/>
      <c r="AW11" s="3"/>
      <c r="AX11" s="3"/>
      <c r="AY11" s="3"/>
      <c r="AZ11" s="3"/>
      <c r="BA11" s="3"/>
      <c r="BB11" s="3"/>
      <c r="BC11" s="3"/>
      <c r="BD11" s="3"/>
      <c r="BE11" s="3"/>
      <c r="BF11" s="3"/>
      <c r="BG11" s="3"/>
    </row>
    <row r="12" customFormat="false" ht="12.8" hidden="false" customHeight="false" outlineLevel="0" collapsed="false">
      <c r="A12" s="65" t="str">
        <f aca="false">_xlfn.CONCAT($A$1, ".", CALC!A12)</f>
        <v>LSD.RID.0.AL.ETPR.8</v>
      </c>
      <c r="B12" s="42" t="str">
        <f aca="false">CALC!C12</f>
        <v>Wholesale Trade</v>
      </c>
      <c r="C12" s="39" t="n">
        <v>0.76</v>
      </c>
      <c r="D12" s="39" t="n">
        <v>0.73</v>
      </c>
      <c r="E12" s="39" t="n">
        <v>0.8</v>
      </c>
      <c r="F12" s="39" t="n">
        <v>0.76</v>
      </c>
      <c r="AF12" s="3"/>
      <c r="AG12" s="3"/>
      <c r="AH12" s="3"/>
      <c r="AI12" s="3"/>
      <c r="AR12" s="39"/>
      <c r="AS12" s="39"/>
      <c r="AT12" s="39"/>
      <c r="AU12" s="39"/>
      <c r="AV12" s="3"/>
      <c r="AW12" s="3"/>
      <c r="AX12" s="3"/>
      <c r="AY12" s="3"/>
      <c r="AZ12" s="3"/>
      <c r="BA12" s="3"/>
      <c r="BB12" s="3"/>
      <c r="BC12" s="3"/>
      <c r="BD12" s="3"/>
      <c r="BE12" s="3"/>
      <c r="BF12" s="3"/>
      <c r="BG12" s="3"/>
    </row>
    <row r="13" customFormat="false" ht="23.85" hidden="false" customHeight="false" outlineLevel="0" collapsed="false">
      <c r="A13" s="65" t="str">
        <f aca="false">_xlfn.CONCAT($A$1, ".", CALC!A13)</f>
        <v>LSD.RID.0.AL.ETPR.9</v>
      </c>
      <c r="B13" s="68" t="str">
        <f aca="false">CALC!C13</f>
        <v>Retail Trade (Motor
Vehicle, Electronics)</v>
      </c>
      <c r="C13" s="39" t="n">
        <v>0.81</v>
      </c>
      <c r="D13" s="39" t="n">
        <v>0.78</v>
      </c>
      <c r="E13" s="39" t="n">
        <v>0.85</v>
      </c>
      <c r="F13" s="39" t="n">
        <v>0.81</v>
      </c>
      <c r="AF13" s="3"/>
      <c r="AG13" s="3"/>
      <c r="AH13" s="3"/>
      <c r="AI13" s="3"/>
      <c r="AR13" s="39"/>
      <c r="AS13" s="39"/>
      <c r="AT13" s="39"/>
      <c r="AU13" s="39"/>
      <c r="AV13" s="3"/>
      <c r="AW13" s="3"/>
      <c r="AX13" s="3"/>
      <c r="AY13" s="3"/>
      <c r="AZ13" s="3"/>
      <c r="BA13" s="3"/>
      <c r="BB13" s="3"/>
      <c r="BC13" s="3"/>
      <c r="BD13" s="3"/>
      <c r="BE13" s="3"/>
      <c r="BF13" s="3"/>
      <c r="BG13" s="3"/>
    </row>
    <row r="14" customFormat="false" ht="23.85" hidden="false" customHeight="false" outlineLevel="0" collapsed="false">
      <c r="A14" s="65" t="str">
        <f aca="false">_xlfn.CONCAT($A$1, ".", CALC!A14)</f>
        <v>LSD.RID.0.AL.ETPR.10</v>
      </c>
      <c r="B14" s="68" t="str">
        <f aca="false">CALC!C14</f>
        <v>Retail Trade (Food, Clothing,
General Merchandise, etc.)</v>
      </c>
      <c r="C14" s="39" t="n">
        <v>0.81</v>
      </c>
      <c r="D14" s="39" t="n">
        <v>0.78</v>
      </c>
      <c r="E14" s="39" t="n">
        <v>0.85</v>
      </c>
      <c r="F14" s="39" t="n">
        <v>0.81</v>
      </c>
      <c r="AF14" s="3"/>
      <c r="AG14" s="3"/>
      <c r="AH14" s="3"/>
      <c r="AI14" s="3"/>
      <c r="AR14" s="39"/>
      <c r="AS14" s="39"/>
      <c r="AT14" s="39"/>
      <c r="AU14" s="39"/>
      <c r="AV14" s="3"/>
      <c r="AW14" s="3"/>
      <c r="AX14" s="3"/>
      <c r="AY14" s="3"/>
      <c r="AZ14" s="3"/>
      <c r="BA14" s="3"/>
      <c r="BB14" s="3"/>
      <c r="BC14" s="3"/>
      <c r="BD14" s="3"/>
      <c r="BE14" s="3"/>
      <c r="BF14" s="3"/>
      <c r="BG14" s="3"/>
    </row>
    <row r="15" customFormat="false" ht="12.8" hidden="false" customHeight="false" outlineLevel="0" collapsed="false">
      <c r="A15" s="65" t="str">
        <f aca="false">_xlfn.CONCAT($A$1, ".", CALC!A15)</f>
        <v>LSD.RID.0.AL.ETPR.11</v>
      </c>
      <c r="B15" s="42" t="str">
        <f aca="false">CALC!C15</f>
        <v>Transportation</v>
      </c>
      <c r="C15" s="39" t="n">
        <v>0.77</v>
      </c>
      <c r="D15" s="39" t="n">
        <v>0.74</v>
      </c>
      <c r="E15" s="39" t="n">
        <v>0.81</v>
      </c>
      <c r="F15" s="39" t="n">
        <v>0.77</v>
      </c>
      <c r="AF15" s="3"/>
      <c r="AG15" s="3"/>
      <c r="AH15" s="3"/>
      <c r="AI15" s="3"/>
      <c r="AR15" s="39"/>
      <c r="AS15" s="39"/>
      <c r="AT15" s="39"/>
      <c r="AU15" s="39"/>
      <c r="AV15" s="3"/>
      <c r="AW15" s="3"/>
      <c r="AX15" s="3"/>
      <c r="AY15" s="3"/>
      <c r="AZ15" s="3"/>
      <c r="BA15" s="3"/>
      <c r="BB15" s="3"/>
      <c r="BC15" s="3"/>
      <c r="BD15" s="3"/>
      <c r="BE15" s="3"/>
      <c r="BF15" s="3"/>
      <c r="BG15" s="3"/>
    </row>
    <row r="16" customFormat="false" ht="12.8" hidden="false" customHeight="false" outlineLevel="0" collapsed="false">
      <c r="A16" s="65" t="str">
        <f aca="false">_xlfn.CONCAT($A$1, ".", CALC!A16)</f>
        <v>LSD.RID.0.AL.ETPR.12</v>
      </c>
      <c r="B16" s="42" t="str">
        <f aca="false">CALC!C16</f>
        <v>Warehousing and Storage</v>
      </c>
      <c r="C16" s="39" t="n">
        <v>0.7</v>
      </c>
      <c r="D16" s="39" t="n">
        <v>0.67</v>
      </c>
      <c r="E16" s="39" t="n">
        <v>0.74</v>
      </c>
      <c r="F16" s="39" t="n">
        <v>0.7</v>
      </c>
      <c r="AF16" s="3"/>
      <c r="AG16" s="3"/>
      <c r="AH16" s="3"/>
      <c r="AI16" s="3"/>
      <c r="AR16" s="39"/>
      <c r="AS16" s="39"/>
      <c r="AT16" s="39"/>
      <c r="AU16" s="39"/>
      <c r="AV16" s="3"/>
      <c r="AW16" s="3"/>
      <c r="AX16" s="3"/>
      <c r="AY16" s="3"/>
      <c r="AZ16" s="3"/>
      <c r="BA16" s="3"/>
      <c r="BB16" s="3"/>
      <c r="BC16" s="3"/>
      <c r="BD16" s="3"/>
      <c r="BE16" s="3"/>
      <c r="BF16" s="3"/>
      <c r="BG16" s="3"/>
    </row>
    <row r="17" customFormat="false" ht="12.8" hidden="false" customHeight="false" outlineLevel="0" collapsed="false">
      <c r="A17" s="65" t="str">
        <f aca="false">_xlfn.CONCAT($A$1, ".", CALC!A17)</f>
        <v>LSD.RID.0.AL.ETPR.13</v>
      </c>
      <c r="B17" s="42" t="str">
        <f aca="false">CALC!C17</f>
        <v>Information</v>
      </c>
      <c r="C17" s="39" t="n">
        <v>0.72</v>
      </c>
      <c r="D17" s="39" t="n">
        <v>0.69</v>
      </c>
      <c r="E17" s="39" t="n">
        <v>0.76</v>
      </c>
      <c r="F17" s="39" t="n">
        <v>0.72</v>
      </c>
      <c r="AF17" s="3"/>
      <c r="AG17" s="3"/>
      <c r="AH17" s="3"/>
      <c r="AI17" s="3"/>
      <c r="AR17" s="39"/>
      <c r="AS17" s="39"/>
      <c r="AT17" s="39"/>
      <c r="AU17" s="39"/>
      <c r="AV17" s="3"/>
      <c r="AW17" s="3"/>
      <c r="AX17" s="3"/>
      <c r="AY17" s="3"/>
      <c r="AZ17" s="3"/>
      <c r="BA17" s="3"/>
      <c r="BB17" s="3"/>
      <c r="BC17" s="3"/>
      <c r="BD17" s="3"/>
      <c r="BE17" s="3"/>
      <c r="BF17" s="3"/>
      <c r="BG17" s="3"/>
    </row>
    <row r="18" customFormat="false" ht="12.8" hidden="false" customHeight="false" outlineLevel="0" collapsed="false">
      <c r="A18" s="65" t="str">
        <f aca="false">_xlfn.CONCAT($A$1, ".", CALC!A18)</f>
        <v>LSD.RID.0.AL.ETPR.14</v>
      </c>
      <c r="B18" s="42" t="str">
        <f aca="false">CALC!C18</f>
        <v>Finance and Insurance</v>
      </c>
      <c r="C18" s="39" t="n">
        <v>0.8</v>
      </c>
      <c r="D18" s="39" t="n">
        <v>0.77</v>
      </c>
      <c r="E18" s="39" t="n">
        <v>0.84</v>
      </c>
      <c r="F18" s="39" t="n">
        <v>0.8</v>
      </c>
      <c r="AF18" s="3"/>
      <c r="AG18" s="3"/>
      <c r="AH18" s="3"/>
      <c r="AI18" s="3"/>
      <c r="AR18" s="39"/>
      <c r="AS18" s="39"/>
      <c r="AT18" s="39"/>
      <c r="AU18" s="39"/>
      <c r="AV18" s="3"/>
      <c r="AW18" s="3"/>
      <c r="AX18" s="3"/>
      <c r="AY18" s="3"/>
      <c r="AZ18" s="3"/>
      <c r="BA18" s="3"/>
      <c r="BB18" s="3"/>
      <c r="BC18" s="3"/>
      <c r="BD18" s="3"/>
      <c r="BE18" s="3"/>
      <c r="BF18" s="3"/>
      <c r="BG18" s="3"/>
    </row>
    <row r="19" customFormat="false" ht="23.85" hidden="false" customHeight="false" outlineLevel="0" collapsed="false">
      <c r="A19" s="65" t="str">
        <f aca="false">_xlfn.CONCAT($A$1, ".", CALC!A19)</f>
        <v>LSD.RID.0.AL.ETPR.15</v>
      </c>
      <c r="B19" s="68" t="str">
        <f aca="false">CALC!C19</f>
        <v>Real Estate and
Rental and Leasing</v>
      </c>
      <c r="C19" s="39" t="n">
        <v>0.8</v>
      </c>
      <c r="D19" s="39" t="n">
        <v>0.77</v>
      </c>
      <c r="E19" s="39" t="n">
        <v>0.84</v>
      </c>
      <c r="F19" s="39" t="n">
        <v>0.8</v>
      </c>
      <c r="AF19" s="3"/>
      <c r="AG19" s="3"/>
      <c r="AH19" s="3"/>
      <c r="AI19" s="3"/>
      <c r="AR19" s="39"/>
      <c r="AS19" s="39"/>
      <c r="AT19" s="39"/>
      <c r="AU19" s="39"/>
      <c r="AV19" s="3"/>
      <c r="AW19" s="3"/>
      <c r="AX19" s="3"/>
      <c r="AY19" s="3"/>
      <c r="AZ19" s="3"/>
      <c r="BA19" s="3"/>
      <c r="BB19" s="3"/>
      <c r="BC19" s="3"/>
      <c r="BD19" s="3"/>
      <c r="BE19" s="3"/>
      <c r="BF19" s="3"/>
      <c r="BG19" s="3"/>
    </row>
    <row r="20" customFormat="false" ht="23.85" hidden="false" customHeight="false" outlineLevel="0" collapsed="false">
      <c r="A20" s="65" t="str">
        <f aca="false">_xlfn.CONCAT($A$1, ".", CALC!A20)</f>
        <v>LSD.RID.0.AL.ETPR.16</v>
      </c>
      <c r="B20" s="68" t="str">
        <f aca="false">CALC!C20</f>
        <v>Professional, Scientific,
and Technical Services</v>
      </c>
      <c r="C20" s="39" t="n">
        <v>0.8</v>
      </c>
      <c r="D20" s="39" t="n">
        <v>0.77</v>
      </c>
      <c r="E20" s="39" t="n">
        <v>0.84</v>
      </c>
      <c r="F20" s="39" t="n">
        <v>0.8</v>
      </c>
      <c r="AF20" s="3"/>
      <c r="AG20" s="3"/>
      <c r="AH20" s="3"/>
      <c r="AI20" s="3"/>
      <c r="AR20" s="39"/>
      <c r="AS20" s="39"/>
      <c r="AT20" s="39"/>
      <c r="AU20" s="39"/>
      <c r="AV20" s="3"/>
      <c r="AW20" s="3"/>
      <c r="AX20" s="3"/>
      <c r="AY20" s="3"/>
      <c r="AZ20" s="3"/>
      <c r="BA20" s="3"/>
      <c r="BB20" s="3"/>
      <c r="BC20" s="3"/>
      <c r="BD20" s="3"/>
      <c r="BE20" s="3"/>
      <c r="BF20" s="3"/>
      <c r="BG20" s="3"/>
    </row>
    <row r="21" customFormat="false" ht="34.8" hidden="false" customHeight="false" outlineLevel="0" collapsed="false">
      <c r="A21" s="65" t="str">
        <f aca="false">_xlfn.CONCAT($A$1, ".", CALC!A21)</f>
        <v>LSD.RID.0.AL.ETPR.17</v>
      </c>
      <c r="B21" s="68" t="str">
        <f aca="false">CALC!C21</f>
        <v>Administrative and Support
and Waste Management
and Remediation Services</v>
      </c>
      <c r="C21" s="39" t="n">
        <v>0.67</v>
      </c>
      <c r="D21" s="39" t="n">
        <v>0.64</v>
      </c>
      <c r="E21" s="39" t="n">
        <v>0.71</v>
      </c>
      <c r="F21" s="39" t="n">
        <v>0.67</v>
      </c>
      <c r="AF21" s="3"/>
      <c r="AG21" s="3"/>
      <c r="AH21" s="3"/>
      <c r="AI21" s="3"/>
      <c r="AR21" s="39"/>
      <c r="AS21" s="39"/>
      <c r="AT21" s="39"/>
      <c r="AU21" s="39"/>
      <c r="AV21" s="3"/>
      <c r="AW21" s="3"/>
      <c r="AX21" s="3"/>
      <c r="AY21" s="3"/>
      <c r="AZ21" s="3"/>
      <c r="BA21" s="3"/>
      <c r="BB21" s="3"/>
      <c r="BC21" s="3"/>
      <c r="BD21" s="3"/>
      <c r="BE21" s="3"/>
      <c r="BF21" s="3"/>
      <c r="BG21" s="3"/>
    </row>
    <row r="22" customFormat="false" ht="12.9" hidden="false" customHeight="false" outlineLevel="0" collapsed="false">
      <c r="A22" s="65" t="str">
        <f aca="false">_xlfn.CONCAT($A$1, ".", CALC!A22)</f>
        <v>LSD.RID.0.AL.ETPR.18</v>
      </c>
      <c r="B22" s="42" t="str">
        <f aca="false">CALC!C22</f>
        <v>Educational Services</v>
      </c>
      <c r="C22" s="39" t="n">
        <v>0.8</v>
      </c>
      <c r="D22" s="39" t="n">
        <v>0.77</v>
      </c>
      <c r="E22" s="39" t="n">
        <v>0.84</v>
      </c>
      <c r="F22" s="39" t="n">
        <v>0.8</v>
      </c>
      <c r="AF22" s="3"/>
      <c r="AG22" s="3"/>
      <c r="AH22" s="3"/>
      <c r="AI22" s="3"/>
      <c r="AR22" s="39"/>
      <c r="AS22" s="39"/>
      <c r="AT22" s="39"/>
      <c r="AU22" s="39"/>
      <c r="AV22" s="3"/>
      <c r="AW22" s="3"/>
      <c r="AX22" s="3"/>
      <c r="AY22" s="3"/>
      <c r="AZ22" s="3"/>
      <c r="BA22" s="3"/>
      <c r="BB22" s="3"/>
      <c r="BC22" s="3"/>
      <c r="BD22" s="3"/>
      <c r="BE22" s="3"/>
      <c r="BF22" s="3"/>
      <c r="BG22" s="3"/>
    </row>
    <row r="23" customFormat="false" ht="23.85" hidden="false" customHeight="false" outlineLevel="0" collapsed="false">
      <c r="A23" s="65" t="str">
        <f aca="false">_xlfn.CONCAT($A$1, ".", CALC!A23)</f>
        <v>LSD.RID.0.AL.ETPR.19</v>
      </c>
      <c r="B23" s="68" t="str">
        <f aca="false">CALC!C23</f>
        <v>Health Care and
Social Assistance</v>
      </c>
      <c r="C23" s="39" t="n">
        <v>0.8</v>
      </c>
      <c r="D23" s="39" t="n">
        <v>0.77</v>
      </c>
      <c r="E23" s="39" t="n">
        <v>0.84</v>
      </c>
      <c r="F23" s="39" t="n">
        <v>0.8</v>
      </c>
      <c r="AF23" s="3"/>
      <c r="AG23" s="3"/>
      <c r="AH23" s="3"/>
      <c r="AI23" s="3"/>
      <c r="AR23" s="39"/>
      <c r="AS23" s="39"/>
      <c r="AT23" s="39"/>
      <c r="AU23" s="39"/>
      <c r="AV23" s="3"/>
      <c r="AW23" s="3"/>
      <c r="AX23" s="3"/>
      <c r="AY23" s="3"/>
      <c r="AZ23" s="3"/>
      <c r="BA23" s="3"/>
      <c r="BB23" s="3"/>
      <c r="BC23" s="3"/>
      <c r="BD23" s="3"/>
      <c r="BE23" s="3"/>
      <c r="BF23" s="3"/>
      <c r="BG23" s="3"/>
    </row>
    <row r="24" customFormat="false" ht="23.85" hidden="false" customHeight="false" outlineLevel="0" collapsed="false">
      <c r="A24" s="65" t="str">
        <f aca="false">_xlfn.CONCAT($A$1, ".", CALC!A24)</f>
        <v>LSD.RID.0.AL.ETPR.20</v>
      </c>
      <c r="B24" s="68" t="str">
        <f aca="false">CALC!C24</f>
        <v>Arts, Entertainment,
and Recreation</v>
      </c>
      <c r="C24" s="39" t="n">
        <v>0.8</v>
      </c>
      <c r="D24" s="39" t="n">
        <v>0.77</v>
      </c>
      <c r="E24" s="39" t="n">
        <v>0.84</v>
      </c>
      <c r="F24" s="39" t="n">
        <v>0.8</v>
      </c>
      <c r="AF24" s="3"/>
      <c r="AG24" s="3"/>
      <c r="AH24" s="3"/>
      <c r="AI24" s="3"/>
      <c r="AR24" s="39"/>
      <c r="AS24" s="39"/>
      <c r="AT24" s="39"/>
      <c r="AU24" s="39"/>
      <c r="AV24" s="3"/>
      <c r="AW24" s="3"/>
      <c r="AX24" s="3"/>
      <c r="AY24" s="3"/>
      <c r="AZ24" s="3"/>
      <c r="BA24" s="3"/>
      <c r="BB24" s="3"/>
      <c r="BC24" s="3"/>
      <c r="BD24" s="3"/>
      <c r="BE24" s="3"/>
      <c r="BF24" s="3"/>
      <c r="BG24" s="3"/>
    </row>
    <row r="25" customFormat="false" ht="23.85" hidden="false" customHeight="false" outlineLevel="0" collapsed="false">
      <c r="A25" s="65" t="str">
        <f aca="false">_xlfn.CONCAT($A$1, ".", CALC!A25)</f>
        <v>LSD.RID.0.AL.ETPR.21</v>
      </c>
      <c r="B25" s="68" t="str">
        <f aca="false">CALC!C25</f>
        <v>Accommodation
and Food Services</v>
      </c>
      <c r="C25" s="39" t="n">
        <v>0.79</v>
      </c>
      <c r="D25" s="39" t="n">
        <v>0.76</v>
      </c>
      <c r="E25" s="39" t="n">
        <v>0.83</v>
      </c>
      <c r="F25" s="39" t="n">
        <v>0.79</v>
      </c>
      <c r="AF25" s="3"/>
      <c r="AG25" s="3"/>
      <c r="AH25" s="3"/>
      <c r="AI25" s="3"/>
      <c r="AR25" s="39"/>
      <c r="AS25" s="39"/>
      <c r="AT25" s="39"/>
      <c r="AU25" s="39"/>
      <c r="AV25" s="3"/>
      <c r="AW25" s="3"/>
      <c r="AX25" s="3"/>
      <c r="AY25" s="3"/>
      <c r="AZ25" s="3"/>
      <c r="BA25" s="3"/>
      <c r="BB25" s="3"/>
      <c r="BC25" s="3"/>
      <c r="BD25" s="3"/>
      <c r="BE25" s="3"/>
      <c r="BF25" s="3"/>
      <c r="BG25" s="3"/>
    </row>
    <row r="26" customFormat="false" ht="23.85" hidden="false" customHeight="false" outlineLevel="0" collapsed="false">
      <c r="A26" s="65" t="str">
        <f aca="false">_xlfn.CONCAT($A$1, ".", CALC!A26)</f>
        <v>LSD.RID.0.AL.ETPR.22</v>
      </c>
      <c r="B26" s="68" t="str">
        <f aca="false">CALC!C26</f>
        <v>Other Services (except
Public Administration)</v>
      </c>
      <c r="C26" s="39" t="n">
        <v>0.79</v>
      </c>
      <c r="D26" s="39" t="n">
        <v>0.76</v>
      </c>
      <c r="E26" s="39" t="n">
        <v>0.83</v>
      </c>
      <c r="F26" s="39" t="n">
        <v>0.79</v>
      </c>
      <c r="AF26" s="3"/>
      <c r="AG26" s="3"/>
      <c r="AH26" s="3"/>
      <c r="AI26" s="3"/>
      <c r="AR26" s="39"/>
      <c r="AS26" s="39"/>
      <c r="AT26" s="39"/>
      <c r="AU26" s="39"/>
      <c r="AV26" s="3"/>
      <c r="AW26" s="3"/>
      <c r="AX26" s="3"/>
      <c r="AY26" s="3"/>
      <c r="AZ26" s="3"/>
      <c r="BA26" s="3"/>
      <c r="BB26" s="3"/>
      <c r="BC26" s="3"/>
      <c r="BD26" s="3"/>
      <c r="BE26" s="3"/>
      <c r="BF26" s="3"/>
      <c r="BG26" s="3"/>
    </row>
    <row r="27" customFormat="false" ht="12.8" hidden="false" customHeight="false" outlineLevel="0" collapsed="false">
      <c r="A27" s="65" t="str">
        <f aca="false">_xlfn.CONCAT($A$1, ".", CALC!A27)</f>
        <v>LSD.RID.0.AL.ETPR.23</v>
      </c>
      <c r="B27" s="42" t="str">
        <f aca="false">CALC!C27</f>
        <v>Public Administration</v>
      </c>
      <c r="C27" s="39" t="n">
        <v>0.81</v>
      </c>
      <c r="D27" s="39" t="n">
        <v>0.78</v>
      </c>
      <c r="E27" s="39" t="n">
        <v>0.85</v>
      </c>
      <c r="F27" s="39" t="n">
        <v>0.81</v>
      </c>
      <c r="AF27" s="3"/>
      <c r="AG27" s="3"/>
      <c r="AH27" s="3"/>
      <c r="AI27" s="3"/>
      <c r="AR27" s="39"/>
      <c r="AS27" s="39"/>
      <c r="AT27" s="39"/>
      <c r="AU27" s="39"/>
      <c r="AV27" s="3"/>
      <c r="AW27" s="3"/>
      <c r="AX27" s="3"/>
      <c r="AY27" s="3"/>
      <c r="AZ27" s="3"/>
      <c r="BA27" s="3"/>
      <c r="BB27" s="3"/>
      <c r="BC27" s="3"/>
      <c r="BD27" s="3"/>
      <c r="BE27" s="3"/>
      <c r="BF27" s="3"/>
      <c r="BG27" s="3"/>
    </row>
    <row r="105" customFormat="false" ht="12.8" hidden="false" customHeight="false" outlineLevel="0" collapsed="false">
      <c r="AR105" s="3"/>
      <c r="AS105" s="3"/>
      <c r="AT105" s="3"/>
      <c r="AU105" s="3"/>
      <c r="BH105" s="3"/>
    </row>
    <row r="106" customFormat="false" ht="12.8" hidden="false" customHeight="false" outlineLevel="0" collapsed="false">
      <c r="AR106" s="3"/>
      <c r="AS106" s="3"/>
      <c r="AT106" s="3"/>
      <c r="AU106" s="3"/>
      <c r="BH106" s="3"/>
    </row>
    <row r="107" customFormat="false" ht="12.8" hidden="false" customHeight="false" outlineLevel="0" collapsed="false">
      <c r="AR107" s="3"/>
      <c r="AS107" s="3"/>
      <c r="AT107" s="3"/>
      <c r="AU107" s="3"/>
      <c r="BH107" s="3"/>
    </row>
    <row r="108" customFormat="false" ht="12.8" hidden="false" customHeight="false" outlineLevel="0" collapsed="false">
      <c r="AR108" s="3"/>
      <c r="AS108" s="3"/>
      <c r="AT108" s="3"/>
      <c r="AU108" s="3"/>
      <c r="BH108" s="3"/>
    </row>
    <row r="109" customFormat="false" ht="12.8" hidden="false" customHeight="false" outlineLevel="0" collapsed="false">
      <c r="AR109" s="3"/>
      <c r="AS109" s="3"/>
      <c r="AT109" s="3"/>
      <c r="AU109" s="3"/>
      <c r="BH109" s="3"/>
    </row>
    <row r="110" customFormat="false" ht="12.8" hidden="false" customHeight="false" outlineLevel="0" collapsed="false">
      <c r="AR110" s="3"/>
      <c r="AS110" s="3"/>
      <c r="AT110" s="3"/>
      <c r="AU110" s="3"/>
      <c r="BH110" s="3"/>
    </row>
    <row r="125" customFormat="false" ht="12.8" hidden="false" customHeight="false" outlineLevel="0" collapsed="false">
      <c r="A125" s="65" t="str">
        <f aca="false">_xlfn.CONCAT($A$1, ".", "FORM")</f>
        <v>LSD.RID.0.AL.ETPR.FORM</v>
      </c>
      <c r="B125" s="66" t="str">
        <f aca="false">_xlfn.CONCAT($B$1, " ", "Formulae")</f>
        <v>Alabama Employment-to-Population Ratio (ETPR) Formulae</v>
      </c>
    </row>
    <row r="126" customFormat="false" ht="12.8" hidden="false" customHeight="false" outlineLevel="0" collapsed="false">
      <c r="A126" s="49" t="s">
        <v>182</v>
      </c>
      <c r="B126" s="49" t="s">
        <v>183</v>
      </c>
      <c r="C126" s="49" t="s">
        <v>184</v>
      </c>
      <c r="D126" s="49" t="s">
        <v>185</v>
      </c>
      <c r="E126" s="49" t="s">
        <v>186</v>
      </c>
      <c r="F126" s="49" t="s">
        <v>187</v>
      </c>
      <c r="K126" s="49"/>
      <c r="L126" s="3"/>
      <c r="M126" s="3"/>
      <c r="N126" s="3"/>
      <c r="O126" s="3"/>
      <c r="P126" s="3"/>
    </row>
    <row r="127" customFormat="false" ht="12.8" hidden="false" customHeight="false" outlineLevel="0" collapsed="false">
      <c r="A127" s="39" t="s">
        <v>2032</v>
      </c>
      <c r="B127" s="39" t="s">
        <v>284</v>
      </c>
      <c r="C127" s="39" t="s">
        <v>2033</v>
      </c>
      <c r="D127" s="39" t="s">
        <v>2034</v>
      </c>
      <c r="E127" s="39" t="s">
        <v>2035</v>
      </c>
      <c r="F127" s="39" t="s">
        <v>302</v>
      </c>
      <c r="L127" s="3"/>
      <c r="M127" s="3"/>
      <c r="N127" s="3"/>
      <c r="O127" s="3"/>
      <c r="P127" s="3"/>
    </row>
    <row r="128" customFormat="false" ht="12.8" hidden="false" customHeight="false" outlineLevel="0" collapsed="false">
      <c r="A128" s="39" t="s">
        <v>2036</v>
      </c>
      <c r="B128" s="39" t="s">
        <v>284</v>
      </c>
      <c r="C128" s="39" t="s">
        <v>1850</v>
      </c>
      <c r="D128" s="39" t="s">
        <v>2037</v>
      </c>
      <c r="E128" s="39" t="s">
        <v>1851</v>
      </c>
      <c r="F128" s="39" t="s">
        <v>302</v>
      </c>
      <c r="L128" s="3"/>
      <c r="M128" s="3"/>
      <c r="N128" s="3"/>
      <c r="O128" s="3"/>
      <c r="P128" s="3"/>
    </row>
    <row r="129" customFormat="false" ht="12.8" hidden="false" customHeight="false" outlineLevel="0" collapsed="false">
      <c r="A129" s="39" t="s">
        <v>2038</v>
      </c>
      <c r="B129" s="39" t="s">
        <v>284</v>
      </c>
      <c r="C129" s="39" t="s">
        <v>1853</v>
      </c>
      <c r="D129" s="39" t="s">
        <v>2039</v>
      </c>
      <c r="E129" s="39" t="s">
        <v>301</v>
      </c>
      <c r="F129" s="39" t="s">
        <v>302</v>
      </c>
      <c r="L129" s="3"/>
      <c r="M129" s="3"/>
      <c r="N129" s="3"/>
      <c r="O129" s="3"/>
      <c r="P129" s="3"/>
    </row>
    <row r="130" customFormat="false" ht="12.8" hidden="false" customHeight="false" outlineLevel="0" collapsed="false">
      <c r="A130" s="39" t="s">
        <v>2040</v>
      </c>
      <c r="B130" s="39" t="s">
        <v>284</v>
      </c>
      <c r="C130" s="39" t="s">
        <v>304</v>
      </c>
      <c r="D130" s="39" t="s">
        <v>2041</v>
      </c>
      <c r="E130" s="39" t="s">
        <v>306</v>
      </c>
      <c r="F130" s="39" t="s">
        <v>302</v>
      </c>
      <c r="L130" s="3"/>
      <c r="M130" s="3"/>
      <c r="N130" s="3"/>
      <c r="O130" s="3"/>
      <c r="P130" s="3"/>
    </row>
    <row r="132" customFormat="false" ht="12.8" hidden="false" customHeight="false" outlineLevel="0" collapsed="false">
      <c r="A132" s="65" t="str">
        <f aca="false">_xlfn.CONCAT($A$1, ".", "PARAM")</f>
        <v>LSD.RID.0.AL.ETPR.PARAM</v>
      </c>
      <c r="B132" s="66" t="str">
        <f aca="false">_xlfn.CONCAT($B$1, " ", "Parameters")</f>
        <v>Alabama Employment-to-Population Ratio (ETPR) Parameters</v>
      </c>
    </row>
    <row r="133" customFormat="false" ht="12.8" hidden="false" customHeight="false" outlineLevel="0" collapsed="false">
      <c r="A133" s="49" t="s">
        <v>683</v>
      </c>
      <c r="B133" s="49" t="s">
        <v>184</v>
      </c>
      <c r="C133" s="49" t="s">
        <v>677</v>
      </c>
      <c r="D133" s="49" t="s">
        <v>186</v>
      </c>
      <c r="E133" s="49" t="s">
        <v>678</v>
      </c>
      <c r="F133" s="49" t="s">
        <v>679</v>
      </c>
      <c r="G133" s="49" t="s">
        <v>680</v>
      </c>
      <c r="H133" s="49" t="s">
        <v>187</v>
      </c>
    </row>
    <row r="134" customFormat="false" ht="12.8" hidden="false" customHeight="false" outlineLevel="0" collapsed="false">
      <c r="A134" s="74" t="s">
        <v>2042</v>
      </c>
      <c r="B134" s="74" t="s">
        <v>2043</v>
      </c>
      <c r="C134" s="74" t="n">
        <v>0.561</v>
      </c>
      <c r="D134" s="74" t="s">
        <v>2044</v>
      </c>
      <c r="E134" s="74" t="s">
        <v>689</v>
      </c>
      <c r="F134" s="74" t="s">
        <v>690</v>
      </c>
      <c r="G134" s="75" t="s">
        <v>691</v>
      </c>
      <c r="H134" s="74" t="s">
        <v>302</v>
      </c>
      <c r="AR134" s="39"/>
      <c r="AS134" s="39"/>
      <c r="AT134" s="39"/>
      <c r="AU134" s="39"/>
      <c r="BH134" s="39"/>
    </row>
    <row r="135" customFormat="false" ht="12.8" hidden="false" customHeight="false" outlineLevel="0" collapsed="false">
      <c r="A135" s="74" t="s">
        <v>2045</v>
      </c>
      <c r="B135" s="74" t="s">
        <v>2046</v>
      </c>
      <c r="C135" s="74" t="s">
        <v>2047</v>
      </c>
      <c r="D135" s="74" t="s">
        <v>982</v>
      </c>
      <c r="E135" s="74" t="s">
        <v>983</v>
      </c>
      <c r="F135" s="74" t="s">
        <v>984</v>
      </c>
      <c r="G135" s="75" t="s">
        <v>691</v>
      </c>
      <c r="H135" s="74" t="s">
        <v>302</v>
      </c>
      <c r="AR135" s="39"/>
      <c r="AS135" s="39"/>
      <c r="AT135" s="39"/>
      <c r="AU135" s="39"/>
      <c r="BH135" s="39"/>
    </row>
    <row r="136" customFormat="false" ht="12.8" hidden="false" customHeight="false" outlineLevel="0" collapsed="false">
      <c r="A136" s="74" t="s">
        <v>2048</v>
      </c>
      <c r="B136" s="74" t="s">
        <v>2049</v>
      </c>
      <c r="C136" s="74" t="s">
        <v>1243</v>
      </c>
      <c r="D136" s="74" t="s">
        <v>2050</v>
      </c>
      <c r="E136" s="74" t="s">
        <v>983</v>
      </c>
      <c r="F136" s="74" t="s">
        <v>984</v>
      </c>
      <c r="G136" s="75" t="s">
        <v>691</v>
      </c>
      <c r="H136" s="74" t="s">
        <v>989</v>
      </c>
      <c r="I136" s="39" t="s">
        <v>302</v>
      </c>
      <c r="AR136" s="39"/>
      <c r="AS136" s="39"/>
      <c r="AT136" s="39"/>
      <c r="AU136" s="39"/>
      <c r="BH136" s="39"/>
    </row>
    <row r="137" customFormat="false" ht="12.8" hidden="false" customHeight="false" outlineLevel="0" collapsed="false">
      <c r="A137" s="74" t="s">
        <v>2051</v>
      </c>
      <c r="B137" s="74" t="s">
        <v>2052</v>
      </c>
      <c r="C137" s="74" t="s">
        <v>1262</v>
      </c>
      <c r="D137" s="74" t="s">
        <v>993</v>
      </c>
      <c r="E137" s="74" t="s">
        <v>983</v>
      </c>
      <c r="F137" s="74" t="s">
        <v>984</v>
      </c>
      <c r="G137" s="75" t="s">
        <v>691</v>
      </c>
      <c r="H137" s="74" t="s">
        <v>974</v>
      </c>
      <c r="I137" s="39" t="s">
        <v>302</v>
      </c>
      <c r="AR137" s="39"/>
      <c r="AS137" s="39"/>
      <c r="AT137" s="39"/>
      <c r="AU137" s="39"/>
      <c r="BH137" s="39"/>
    </row>
    <row r="138" customFormat="false" ht="12.8" hidden="false" customHeight="false" outlineLevel="0" collapsed="false">
      <c r="A138" s="39" t="s">
        <v>2053</v>
      </c>
      <c r="B138" s="39" t="s">
        <v>956</v>
      </c>
      <c r="C138" s="39" t="n">
        <v>0.65</v>
      </c>
      <c r="D138" s="39" t="s">
        <v>996</v>
      </c>
      <c r="E138" s="39" t="s">
        <v>689</v>
      </c>
      <c r="F138" s="39" t="s">
        <v>2054</v>
      </c>
      <c r="G138" s="51" t="s">
        <v>691</v>
      </c>
      <c r="H138" s="39" t="s">
        <v>302</v>
      </c>
      <c r="AR138" s="39"/>
      <c r="AS138" s="39"/>
      <c r="AT138" s="39"/>
      <c r="AU138" s="39"/>
      <c r="BH138" s="39"/>
    </row>
    <row r="139" customFormat="false" ht="12.8" hidden="false" customHeight="false" outlineLevel="0" collapsed="false">
      <c r="A139" s="39" t="s">
        <v>2055</v>
      </c>
      <c r="B139" s="39" t="s">
        <v>932</v>
      </c>
      <c r="C139" s="39" t="n">
        <v>4</v>
      </c>
      <c r="D139" s="39" t="s">
        <v>1000</v>
      </c>
      <c r="E139" s="39" t="s">
        <v>689</v>
      </c>
      <c r="F139" s="39" t="s">
        <v>2056</v>
      </c>
      <c r="G139" s="51" t="s">
        <v>691</v>
      </c>
      <c r="H139" s="39" t="s">
        <v>302</v>
      </c>
      <c r="AR139" s="39"/>
      <c r="AS139" s="39"/>
      <c r="AT139" s="39"/>
      <c r="AU139" s="39"/>
      <c r="BH139" s="39"/>
    </row>
    <row r="140" customFormat="false" ht="12.8" hidden="false" customHeight="false" outlineLevel="0" collapsed="false">
      <c r="A140" s="39"/>
      <c r="G140" s="51"/>
    </row>
    <row r="141" customFormat="false" ht="12.8" hidden="false" customHeight="false" outlineLevel="0" collapsed="false">
      <c r="A141" s="39"/>
      <c r="G141" s="51"/>
    </row>
    <row r="142" customFormat="false" ht="12.8" hidden="false" customHeight="false" outlineLevel="0" collapsed="false">
      <c r="A142" s="39"/>
      <c r="G142" s="51"/>
    </row>
    <row r="143" customFormat="false" ht="12.8" hidden="false" customHeight="false" outlineLevel="0" collapsed="false">
      <c r="A143" s="39"/>
      <c r="G143" s="51"/>
    </row>
    <row r="145" customFormat="false" ht="12.8" hidden="false" customHeight="false" outlineLevel="0" collapsed="false">
      <c r="A145" s="65" t="s">
        <v>2057</v>
      </c>
      <c r="B145" s="66" t="s">
        <v>2058</v>
      </c>
    </row>
    <row r="146" customFormat="false" ht="12.8" hidden="false" customHeight="false" outlineLevel="0" collapsed="false">
      <c r="A146" s="49" t="s">
        <v>113</v>
      </c>
      <c r="B146" s="49" t="s">
        <v>186</v>
      </c>
      <c r="C146" s="49" t="s">
        <v>677</v>
      </c>
      <c r="D146" s="49" t="s">
        <v>1875</v>
      </c>
      <c r="E146" s="49" t="s">
        <v>678</v>
      </c>
      <c r="F146" s="49" t="s">
        <v>1876</v>
      </c>
      <c r="G146" s="49" t="s">
        <v>2059</v>
      </c>
      <c r="H146" s="49" t="s">
        <v>2059</v>
      </c>
    </row>
    <row r="147" customFormat="false" ht="12.8" hidden="false" customHeight="false" outlineLevel="0" collapsed="false">
      <c r="A147" s="39" t="s">
        <v>2060</v>
      </c>
      <c r="B147" s="39" t="s">
        <v>1447</v>
      </c>
      <c r="C147" s="39" t="n">
        <v>0.561</v>
      </c>
      <c r="D147" s="39" t="s">
        <v>690</v>
      </c>
      <c r="E147" s="39" t="s">
        <v>689</v>
      </c>
      <c r="F147" s="39" t="s">
        <v>1879</v>
      </c>
      <c r="G147" s="39" t="s">
        <v>2061</v>
      </c>
    </row>
    <row r="148" customFormat="false" ht="12.8" hidden="false" customHeight="false" outlineLevel="0" collapsed="false">
      <c r="A148" s="39" t="s">
        <v>2062</v>
      </c>
      <c r="B148" s="39" t="s">
        <v>1881</v>
      </c>
      <c r="C148" s="39" t="s">
        <v>2063</v>
      </c>
      <c r="D148" s="39" t="s">
        <v>2064</v>
      </c>
      <c r="E148" s="39" t="s">
        <v>689</v>
      </c>
      <c r="F148" s="39" t="s">
        <v>2015</v>
      </c>
      <c r="G148" s="39" t="s">
        <v>2065</v>
      </c>
    </row>
    <row r="149" customFormat="false" ht="12.8" hidden="false" customHeight="false" outlineLevel="0" collapsed="false">
      <c r="A149" s="39" t="s">
        <v>2066</v>
      </c>
      <c r="B149" s="39" t="s">
        <v>2067</v>
      </c>
      <c r="C149" s="39" t="s">
        <v>2068</v>
      </c>
      <c r="D149" s="39" t="s">
        <v>2069</v>
      </c>
      <c r="E149" s="39" t="s">
        <v>689</v>
      </c>
      <c r="F149" s="39" t="s">
        <v>1956</v>
      </c>
      <c r="G149" s="39" t="s">
        <v>2070</v>
      </c>
    </row>
    <row r="150" customFormat="false" ht="12.8" hidden="false" customHeight="false" outlineLevel="0" collapsed="false">
      <c r="A150" s="39" t="s">
        <v>2071</v>
      </c>
      <c r="B150" s="39" t="s">
        <v>1891</v>
      </c>
      <c r="C150" s="39" t="s">
        <v>2072</v>
      </c>
      <c r="D150" s="39" t="s">
        <v>2073</v>
      </c>
      <c r="E150" s="39" t="s">
        <v>689</v>
      </c>
      <c r="F150" s="39" t="s">
        <v>2074</v>
      </c>
      <c r="G150" s="39" t="s">
        <v>2075</v>
      </c>
    </row>
    <row r="151" customFormat="false" ht="12.8" hidden="false" customHeight="false" outlineLevel="0" collapsed="false">
      <c r="A151" s="39" t="s">
        <v>2076</v>
      </c>
      <c r="B151" s="39" t="s">
        <v>1896</v>
      </c>
      <c r="C151" s="39" t="s">
        <v>1962</v>
      </c>
      <c r="D151" s="39" t="s">
        <v>1898</v>
      </c>
      <c r="E151" s="39" t="s">
        <v>689</v>
      </c>
      <c r="F151" s="39" t="s">
        <v>1899</v>
      </c>
      <c r="G151" s="39" t="s">
        <v>2077</v>
      </c>
    </row>
    <row r="152" customFormat="false" ht="12.8" hidden="false" customHeight="false" outlineLevel="0" collapsed="false">
      <c r="A152" s="39" t="s">
        <v>2078</v>
      </c>
      <c r="B152" s="39" t="s">
        <v>1901</v>
      </c>
      <c r="C152" s="39" t="s">
        <v>1902</v>
      </c>
      <c r="D152" s="39" t="s">
        <v>2079</v>
      </c>
      <c r="E152" s="39" t="s">
        <v>689</v>
      </c>
      <c r="F152" s="39" t="s">
        <v>1965</v>
      </c>
      <c r="G152" s="39" t="s">
        <v>2080</v>
      </c>
    </row>
    <row r="153" customFormat="false" ht="12.8" hidden="false" customHeight="false" outlineLevel="0" collapsed="false">
      <c r="A153" s="39" t="s">
        <v>2081</v>
      </c>
      <c r="B153" s="39" t="s">
        <v>2082</v>
      </c>
      <c r="C153" s="39" t="s">
        <v>2083</v>
      </c>
      <c r="D153" s="39" t="s">
        <v>1908</v>
      </c>
      <c r="E153" s="39" t="s">
        <v>689</v>
      </c>
      <c r="F153" s="39" t="s">
        <v>1909</v>
      </c>
      <c r="G153" s="39" t="s">
        <v>2084</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BC154"/>
  <sheetViews>
    <sheetView showFormulas="false" showGridLines="true" showRowColHeaders="true" showZeros="true" rightToLeft="false" tabSelected="false" showOutlineSymbols="true" defaultGridColor="true" view="normal" topLeftCell="A99" colorId="64" zoomScale="65" zoomScaleNormal="65" zoomScalePageLayoutView="100" workbookViewId="0">
      <selection pane="topLeft" activeCell="A146" activeCellId="0" sqref="A146"/>
    </sheetView>
  </sheetViews>
  <sheetFormatPr defaultColWidth="11.53515625" defaultRowHeight="12.8" customHeight="false" zeroHeight="false" outlineLevelRow="0" outlineLevelCol="0"/>
  <cols>
    <col collapsed="false" customWidth="true" hidden="false" outlineLevel="0" max="1" min="1" style="50" width="20.76"/>
    <col collapsed="false" customWidth="true" hidden="false" outlineLevel="0" max="2" min="2" style="39" width="29.98"/>
    <col collapsed="false" customWidth="true" hidden="false" outlineLevel="0" max="3" min="3" style="39" width="21.47"/>
    <col collapsed="false" customWidth="true" hidden="false" outlineLevel="0" max="21" min="4" style="39" width="16.84"/>
    <col collapsed="false" customWidth="true" hidden="false" outlineLevel="0" max="35" min="22" style="39" width="17.78"/>
    <col collapsed="false" customWidth="true" hidden="false" outlineLevel="0" max="38" min="36" style="39" width="15.48"/>
    <col collapsed="false" customWidth="true" hidden="false" outlineLevel="0" max="43" min="43" style="39" width="18.45"/>
    <col collapsed="false" customWidth="true" hidden="false" outlineLevel="0" max="46" min="44" style="39" width="16.14"/>
    <col collapsed="false" customWidth="true" hidden="false" outlineLevel="0" max="54" min="47" style="39" width="13.84"/>
  </cols>
  <sheetData>
    <row r="1" customFormat="false" ht="12.9" hidden="false" customHeight="false" outlineLevel="0" collapsed="false">
      <c r="A1" s="11" t="s">
        <v>2085</v>
      </c>
      <c r="B1" s="42" t="s">
        <v>2086</v>
      </c>
      <c r="C1" s="6" t="s">
        <v>2</v>
      </c>
      <c r="D1" s="67" t="s">
        <v>2087</v>
      </c>
      <c r="AM1" s="39"/>
      <c r="BC1" s="39"/>
    </row>
    <row r="2" customFormat="false" ht="12.8" hidden="false" customHeight="false" outlineLevel="0" collapsed="false">
      <c r="A2" s="65" t="str">
        <f aca="false">_xlfn.CONCAT($A$1, ".", "CALC")</f>
        <v>LSD.RID.0.AL.U3R.CALC</v>
      </c>
      <c r="B2" s="66" t="str">
        <f aca="false">_xlfn.CONCAT($B$1, " ", "Calculations")</f>
        <v>Alabama Unemployment Rate (U3R) Calculations</v>
      </c>
      <c r="C2" s="3"/>
      <c r="D2" s="3"/>
      <c r="E2" s="3"/>
      <c r="F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Q2" s="3"/>
      <c r="AR2" s="3"/>
      <c r="AS2" s="3"/>
      <c r="AT2" s="3"/>
      <c r="AU2" s="3"/>
      <c r="AV2" s="3"/>
      <c r="AW2" s="3"/>
      <c r="AX2" s="3"/>
      <c r="AY2" s="3"/>
      <c r="AZ2" s="3"/>
      <c r="BA2" s="3"/>
      <c r="BB2" s="3"/>
    </row>
    <row r="3" customFormat="false" ht="12.8" hidden="false" customHeight="false" outlineLevel="0" collapsed="false">
      <c r="A3" s="65" t="str">
        <f aca="false">CALC!A3</f>
        <v>LSID</v>
      </c>
      <c r="B3" s="42" t="str">
        <f aca="false">CALC!C3</f>
        <v>Labor Sector</v>
      </c>
      <c r="C3" s="71" t="str">
        <f aca="false">CALC!AN3</f>
        <v>Overall U3R</v>
      </c>
      <c r="D3" s="71" t="str">
        <f aca="false">CALC!AO3</f>
        <v>Authorized U3R</v>
      </c>
      <c r="E3" s="71" t="str">
        <f aca="false">CALC!AP3</f>
        <v>Unauthorized U3R</v>
      </c>
      <c r="F3" s="71" t="str">
        <f aca="false">CALC!AQ3</f>
        <v>American U3R</v>
      </c>
      <c r="H3" s="76"/>
      <c r="J3" s="3"/>
      <c r="K3" s="3"/>
      <c r="L3" s="3"/>
      <c r="M3" s="3"/>
      <c r="N3" s="3"/>
      <c r="O3" s="3"/>
      <c r="P3" s="3"/>
      <c r="Q3" s="3"/>
      <c r="R3" s="3"/>
      <c r="S3" s="3"/>
      <c r="T3" s="3"/>
      <c r="U3" s="3"/>
      <c r="V3" s="3"/>
      <c r="W3" s="3"/>
      <c r="X3" s="3"/>
      <c r="Y3" s="3"/>
      <c r="Z3" s="3"/>
      <c r="AA3" s="3"/>
      <c r="AB3" s="3"/>
      <c r="AC3" s="3"/>
      <c r="AD3" s="3"/>
      <c r="AE3" s="3"/>
      <c r="AF3" s="3"/>
      <c r="AG3" s="3"/>
      <c r="AH3" s="3"/>
      <c r="AI3" s="3"/>
      <c r="AJ3" s="3"/>
      <c r="AK3" s="3"/>
      <c r="AL3" s="3"/>
      <c r="AQ3" s="3"/>
      <c r="AR3" s="3"/>
      <c r="AS3" s="3"/>
      <c r="AT3" s="3"/>
      <c r="AU3" s="3"/>
      <c r="AV3" s="3"/>
      <c r="AW3" s="3"/>
      <c r="AX3" s="3"/>
      <c r="AY3" s="3"/>
      <c r="AZ3" s="3"/>
      <c r="BA3" s="3"/>
      <c r="BB3" s="3"/>
    </row>
    <row r="4" customFormat="false" ht="12.8" hidden="false" customHeight="false" outlineLevel="0" collapsed="false">
      <c r="A4" s="65" t="str">
        <f aca="false">_xlfn.CONCAT($A$1, ".", CALC!A4)</f>
        <v>LSD.RID.0.AL.U3R.0</v>
      </c>
      <c r="B4" s="42" t="str">
        <f aca="false">CALC!C4</f>
        <v>All Industries</v>
      </c>
      <c r="C4" s="3" t="n">
        <v>0.027</v>
      </c>
      <c r="D4" s="3" t="n">
        <v>0.029</v>
      </c>
      <c r="E4" s="3" t="n">
        <v>0.033</v>
      </c>
      <c r="F4" s="3" t="n">
        <v>0.027</v>
      </c>
      <c r="G4" s="40"/>
      <c r="H4" s="40"/>
      <c r="J4" s="3"/>
      <c r="K4" s="3"/>
      <c r="L4" s="3"/>
      <c r="M4" s="3"/>
      <c r="N4" s="3"/>
      <c r="O4" s="3"/>
      <c r="P4" s="3"/>
      <c r="Q4" s="3"/>
      <c r="R4" s="3"/>
      <c r="S4" s="3"/>
      <c r="T4" s="3"/>
      <c r="U4" s="3"/>
      <c r="V4" s="3"/>
      <c r="W4" s="3"/>
      <c r="X4" s="3"/>
      <c r="Y4" s="3"/>
      <c r="Z4" s="3"/>
      <c r="AA4" s="3"/>
      <c r="AB4" s="3"/>
      <c r="AC4" s="3"/>
      <c r="AD4" s="3"/>
      <c r="AE4" s="3"/>
      <c r="AF4" s="3"/>
      <c r="AG4" s="3"/>
      <c r="AH4" s="3"/>
      <c r="AI4" s="3"/>
      <c r="AJ4" s="3"/>
      <c r="AK4" s="3"/>
      <c r="AL4" s="3"/>
      <c r="AQ4" s="3"/>
      <c r="AR4" s="3"/>
      <c r="AS4" s="3"/>
      <c r="AT4" s="3"/>
      <c r="AU4" s="3"/>
      <c r="AV4" s="3"/>
      <c r="AW4" s="3"/>
      <c r="AX4" s="3"/>
      <c r="AY4" s="3"/>
      <c r="AZ4" s="3"/>
      <c r="BA4" s="3"/>
      <c r="BB4" s="3"/>
    </row>
    <row r="5" customFormat="false" ht="23.85" hidden="false" customHeight="false" outlineLevel="0" collapsed="false">
      <c r="A5" s="62" t="str">
        <f aca="false">_xlfn.CONCAT($A$1, ".", CALC!A5)</f>
        <v>LSD.RID.0.AL.U3R.1</v>
      </c>
      <c r="B5" s="40" t="str">
        <f aca="false">CALC!C5</f>
        <v>Agriculture, Forestry, 
Fishing and Hunting</v>
      </c>
      <c r="C5" s="3" t="n">
        <v>0.045</v>
      </c>
      <c r="D5" s="3" t="n">
        <v>0.048</v>
      </c>
      <c r="E5" s="3" t="n">
        <v>0.062</v>
      </c>
      <c r="F5" s="3" t="n">
        <v>0.042</v>
      </c>
      <c r="G5" s="40"/>
      <c r="H5" s="40"/>
      <c r="J5" s="3"/>
      <c r="K5" s="3"/>
      <c r="L5" s="3"/>
      <c r="M5" s="3"/>
      <c r="N5" s="3"/>
      <c r="O5" s="3"/>
      <c r="P5" s="3"/>
      <c r="Q5" s="3"/>
      <c r="R5" s="3"/>
      <c r="S5" s="3"/>
      <c r="T5" s="3"/>
      <c r="U5" s="3"/>
      <c r="V5" s="3"/>
      <c r="W5" s="3"/>
      <c r="X5" s="3"/>
      <c r="Y5" s="3"/>
      <c r="Z5" s="3"/>
      <c r="AA5" s="3"/>
      <c r="AB5" s="3"/>
      <c r="AC5" s="3"/>
      <c r="AD5" s="3"/>
      <c r="AE5" s="3"/>
      <c r="AF5" s="3"/>
      <c r="AG5" s="3"/>
      <c r="AH5" s="3"/>
      <c r="AI5" s="3"/>
      <c r="AJ5" s="3"/>
      <c r="AK5" s="3"/>
      <c r="AL5" s="3"/>
      <c r="AQ5" s="3"/>
      <c r="AR5" s="3"/>
      <c r="AS5" s="3"/>
      <c r="AT5" s="3"/>
      <c r="AU5" s="3"/>
      <c r="AV5" s="3"/>
      <c r="AW5" s="3"/>
      <c r="AX5" s="3"/>
      <c r="AY5" s="3"/>
      <c r="AZ5" s="3"/>
      <c r="BA5" s="3"/>
      <c r="BB5" s="3"/>
    </row>
    <row r="6" customFormat="false" ht="23.85" hidden="false" customHeight="false" outlineLevel="0" collapsed="false">
      <c r="A6" s="62" t="str">
        <f aca="false">_xlfn.CONCAT($A$1, ".", CALC!A6)</f>
        <v>LSD.RID.0.AL.U3R.2</v>
      </c>
      <c r="B6" s="40" t="str">
        <f aca="false">CALC!C6</f>
        <v>Mining, Quarrying, and
Oil and Gas Extraction</v>
      </c>
      <c r="C6" s="3" t="n">
        <v>0.038</v>
      </c>
      <c r="D6" s="3" t="n">
        <v>0.04</v>
      </c>
      <c r="E6" s="3" t="n">
        <v>0.052</v>
      </c>
      <c r="F6" s="3" t="n">
        <v>0.036</v>
      </c>
      <c r="G6" s="40"/>
      <c r="H6" s="40"/>
      <c r="J6" s="3"/>
      <c r="K6" s="3"/>
      <c r="L6" s="3"/>
      <c r="M6" s="3"/>
      <c r="N6" s="3"/>
      <c r="O6" s="3"/>
      <c r="P6" s="3"/>
      <c r="Q6" s="3"/>
      <c r="R6" s="3"/>
      <c r="S6" s="3"/>
      <c r="T6" s="3"/>
      <c r="U6" s="3"/>
      <c r="V6" s="3"/>
      <c r="W6" s="3"/>
      <c r="X6" s="3"/>
      <c r="Y6" s="3"/>
      <c r="Z6" s="3"/>
      <c r="AA6" s="3"/>
      <c r="AB6" s="3"/>
      <c r="AC6" s="3"/>
      <c r="AD6" s="3"/>
      <c r="AE6" s="3"/>
      <c r="AF6" s="3"/>
      <c r="AG6" s="3"/>
      <c r="AH6" s="3"/>
      <c r="AI6" s="3"/>
      <c r="AJ6" s="3"/>
      <c r="AK6" s="3"/>
      <c r="AL6" s="3"/>
      <c r="AQ6" s="3"/>
      <c r="AR6" s="3"/>
      <c r="AS6" s="3"/>
      <c r="AT6" s="3"/>
      <c r="AU6" s="3"/>
      <c r="AV6" s="3"/>
      <c r="AW6" s="3"/>
      <c r="AX6" s="3"/>
      <c r="AY6" s="3"/>
      <c r="AZ6" s="3"/>
      <c r="BA6" s="3"/>
      <c r="BB6" s="3"/>
    </row>
    <row r="7" customFormat="false" ht="12.8" hidden="false" customHeight="false" outlineLevel="0" collapsed="false">
      <c r="A7" s="62" t="str">
        <f aca="false">_xlfn.CONCAT($A$1, ".", CALC!A7)</f>
        <v>LSD.RID.0.AL.U3R.3</v>
      </c>
      <c r="B7" s="39" t="str">
        <f aca="false">CALC!C7</f>
        <v>Utilities</v>
      </c>
      <c r="C7" s="3" t="n">
        <v>0.018</v>
      </c>
      <c r="D7" s="3" t="n">
        <v>0.019</v>
      </c>
      <c r="E7" s="3" t="n">
        <v>0.022</v>
      </c>
      <c r="F7" s="3" t="n">
        <v>0.018</v>
      </c>
      <c r="G7" s="40"/>
      <c r="H7" s="40"/>
      <c r="J7" s="3"/>
      <c r="K7" s="3"/>
      <c r="L7" s="3"/>
      <c r="M7" s="3"/>
      <c r="N7" s="3"/>
      <c r="O7" s="3"/>
      <c r="P7" s="3"/>
      <c r="Q7" s="3"/>
      <c r="R7" s="3"/>
      <c r="S7" s="3"/>
      <c r="T7" s="3"/>
      <c r="U7" s="3"/>
      <c r="V7" s="3"/>
      <c r="W7" s="3"/>
      <c r="X7" s="3"/>
      <c r="Y7" s="3"/>
      <c r="Z7" s="3"/>
      <c r="AA7" s="3"/>
      <c r="AB7" s="3"/>
      <c r="AC7" s="3"/>
      <c r="AD7" s="3"/>
      <c r="AE7" s="3"/>
      <c r="AF7" s="3"/>
      <c r="AG7" s="3"/>
      <c r="AH7" s="3"/>
      <c r="AI7" s="3"/>
      <c r="AJ7" s="3"/>
      <c r="AK7" s="3"/>
      <c r="AL7" s="3"/>
      <c r="AQ7" s="3"/>
      <c r="AR7" s="3"/>
      <c r="AS7" s="3"/>
      <c r="AT7" s="3"/>
      <c r="AU7" s="3"/>
      <c r="AV7" s="3"/>
      <c r="AW7" s="3"/>
      <c r="AX7" s="3"/>
      <c r="AY7" s="3"/>
      <c r="AZ7" s="3"/>
      <c r="BA7" s="3"/>
      <c r="BB7" s="3"/>
    </row>
    <row r="8" customFormat="false" ht="12.8" hidden="false" customHeight="false" outlineLevel="0" collapsed="false">
      <c r="A8" s="62" t="str">
        <f aca="false">_xlfn.CONCAT($A$1, ".", CALC!A8)</f>
        <v>LSD.RID.0.AL.U3R.4</v>
      </c>
      <c r="B8" s="39" t="str">
        <f aca="false">CALC!C8</f>
        <v>Construction</v>
      </c>
      <c r="C8" s="3" t="n">
        <v>0.052</v>
      </c>
      <c r="D8" s="3" t="n">
        <v>0.056</v>
      </c>
      <c r="E8" s="3" t="n">
        <v>0.075</v>
      </c>
      <c r="F8" s="3" t="n">
        <v>0.048</v>
      </c>
      <c r="G8" s="40"/>
      <c r="H8" s="40"/>
      <c r="J8" s="3"/>
      <c r="K8" s="3"/>
      <c r="L8" s="3"/>
      <c r="M8" s="3"/>
      <c r="N8" s="3"/>
      <c r="O8" s="3"/>
      <c r="P8" s="3"/>
      <c r="Q8" s="3"/>
      <c r="R8" s="3"/>
      <c r="S8" s="3"/>
      <c r="T8" s="3"/>
      <c r="U8" s="3"/>
      <c r="V8" s="3"/>
      <c r="W8" s="3"/>
      <c r="X8" s="3"/>
      <c r="Y8" s="3"/>
      <c r="Z8" s="3"/>
      <c r="AA8" s="3"/>
      <c r="AB8" s="3"/>
      <c r="AC8" s="3"/>
      <c r="AD8" s="3"/>
      <c r="AE8" s="3"/>
      <c r="AF8" s="3"/>
      <c r="AG8" s="3"/>
      <c r="AH8" s="3"/>
      <c r="AI8" s="3"/>
      <c r="AJ8" s="3"/>
      <c r="AK8" s="3"/>
      <c r="AL8" s="3"/>
      <c r="AQ8" s="3"/>
      <c r="AR8" s="3"/>
      <c r="AS8" s="3"/>
      <c r="AT8" s="3"/>
      <c r="AU8" s="3"/>
      <c r="AV8" s="3"/>
      <c r="AW8" s="3"/>
      <c r="AX8" s="3"/>
      <c r="AY8" s="3"/>
      <c r="AZ8" s="3"/>
      <c r="BA8" s="3"/>
      <c r="BB8" s="3"/>
    </row>
    <row r="9" customFormat="false" ht="23.85" hidden="false" customHeight="false" outlineLevel="0" collapsed="false">
      <c r="A9" s="62" t="str">
        <f aca="false">_xlfn.CONCAT($A$1, ".", CALC!A9)</f>
        <v>LSD.RID.0.AL.U3R.5</v>
      </c>
      <c r="B9" s="40" t="str">
        <f aca="false">CALC!C9</f>
        <v>Manufacturing
(Food,Textile, etc.)</v>
      </c>
      <c r="C9" s="3" t="n">
        <v>0.045</v>
      </c>
      <c r="D9" s="3" t="n">
        <v>0.048</v>
      </c>
      <c r="E9" s="3" t="n">
        <v>0.062</v>
      </c>
      <c r="F9" s="3" t="n">
        <v>0.042</v>
      </c>
      <c r="G9" s="40"/>
      <c r="H9" s="40"/>
      <c r="J9" s="3"/>
      <c r="K9" s="3"/>
      <c r="L9" s="3"/>
      <c r="M9" s="3"/>
      <c r="N9" s="3"/>
      <c r="O9" s="3"/>
      <c r="P9" s="3"/>
      <c r="Q9" s="3"/>
      <c r="R9" s="3"/>
      <c r="S9" s="3"/>
      <c r="T9" s="3"/>
      <c r="U9" s="3"/>
      <c r="V9" s="3"/>
      <c r="W9" s="3"/>
      <c r="X9" s="3"/>
      <c r="Y9" s="3"/>
      <c r="Z9" s="3"/>
      <c r="AA9" s="3"/>
      <c r="AB9" s="3"/>
      <c r="AC9" s="3"/>
      <c r="AD9" s="3"/>
      <c r="AE9" s="3"/>
      <c r="AF9" s="3"/>
      <c r="AG9" s="3"/>
      <c r="AH9" s="3"/>
      <c r="AI9" s="3"/>
      <c r="AJ9" s="3"/>
      <c r="AK9" s="3"/>
      <c r="AL9" s="3"/>
      <c r="AQ9" s="3"/>
      <c r="AR9" s="3"/>
      <c r="AS9" s="3"/>
      <c r="AT9" s="3"/>
      <c r="AU9" s="3"/>
      <c r="AV9" s="3"/>
      <c r="AW9" s="3"/>
      <c r="AX9" s="3"/>
      <c r="AY9" s="3"/>
      <c r="AZ9" s="3"/>
      <c r="BA9" s="3"/>
      <c r="BB9" s="3"/>
    </row>
    <row r="10" customFormat="false" ht="23.85" hidden="false" customHeight="false" outlineLevel="0" collapsed="false">
      <c r="A10" s="62" t="str">
        <f aca="false">_xlfn.CONCAT($A$1, ".", CALC!A10)</f>
        <v>LSD.RID.0.AL.U3R.6</v>
      </c>
      <c r="B10" s="40" t="str">
        <f aca="false">CALC!C10</f>
        <v>Manufacturing (Wood,
Paper, Printing, etc.)</v>
      </c>
      <c r="C10" s="3" t="n">
        <v>0.038</v>
      </c>
      <c r="D10" s="3" t="n">
        <v>0.04</v>
      </c>
      <c r="E10" s="3" t="n">
        <v>0.052</v>
      </c>
      <c r="F10" s="3" t="n">
        <v>0.036</v>
      </c>
      <c r="G10" s="40"/>
      <c r="H10" s="40"/>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Q10" s="3"/>
      <c r="AR10" s="3"/>
      <c r="AS10" s="3"/>
      <c r="AT10" s="3"/>
      <c r="AU10" s="3"/>
      <c r="AV10" s="3"/>
      <c r="AW10" s="3"/>
      <c r="AX10" s="3"/>
      <c r="AY10" s="3"/>
      <c r="AZ10" s="3"/>
      <c r="BA10" s="3"/>
      <c r="BB10" s="3"/>
    </row>
    <row r="11" customFormat="false" ht="23.85" hidden="false" customHeight="false" outlineLevel="0" collapsed="false">
      <c r="A11" s="62" t="str">
        <f aca="false">_xlfn.CONCAT($A$1, ".", CALC!A11)</f>
        <v>LSD.RID.0.AL.U3R.7</v>
      </c>
      <c r="B11" s="40" t="str">
        <f aca="false">CALC!C11</f>
        <v>Manufacturing
(Machinery, Transport)</v>
      </c>
      <c r="C11" s="3" t="n">
        <v>0.038</v>
      </c>
      <c r="D11" s="3" t="n">
        <v>0.04</v>
      </c>
      <c r="E11" s="3" t="n">
        <v>0.052</v>
      </c>
      <c r="F11" s="3" t="n">
        <v>0.036</v>
      </c>
      <c r="G11" s="40"/>
      <c r="H11" s="40"/>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Q11" s="3"/>
      <c r="AR11" s="3"/>
      <c r="AS11" s="3"/>
      <c r="AT11" s="3"/>
      <c r="AU11" s="3"/>
      <c r="AV11" s="3"/>
      <c r="AW11" s="3"/>
      <c r="AX11" s="3"/>
      <c r="AY11" s="3"/>
      <c r="AZ11" s="3"/>
      <c r="BA11" s="3"/>
      <c r="BB11" s="3"/>
    </row>
    <row r="12" customFormat="false" ht="12.9" hidden="false" customHeight="false" outlineLevel="0" collapsed="false">
      <c r="A12" s="62" t="str">
        <f aca="false">_xlfn.CONCAT($A$1, ".", CALC!A12)</f>
        <v>LSD.RID.0.AL.U3R.8</v>
      </c>
      <c r="B12" s="39" t="str">
        <f aca="false">CALC!C12</f>
        <v>Wholesale Trade</v>
      </c>
      <c r="C12" s="3" t="n">
        <v>0.028</v>
      </c>
      <c r="D12" s="3" t="n">
        <v>0.03</v>
      </c>
      <c r="E12" s="3" t="n">
        <v>0.04</v>
      </c>
      <c r="F12" s="3" t="n">
        <v>0.027</v>
      </c>
      <c r="G12" s="40"/>
      <c r="H12" s="40"/>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Q12" s="3"/>
      <c r="AR12" s="3"/>
      <c r="AS12" s="3"/>
      <c r="AT12" s="3"/>
      <c r="AU12" s="3"/>
      <c r="AV12" s="3"/>
      <c r="AW12" s="3"/>
      <c r="AX12" s="3"/>
      <c r="AY12" s="3"/>
      <c r="AZ12" s="3"/>
      <c r="BA12" s="3"/>
      <c r="BB12" s="3"/>
    </row>
    <row r="13" customFormat="false" ht="23.85" hidden="false" customHeight="false" outlineLevel="0" collapsed="false">
      <c r="A13" s="62" t="str">
        <f aca="false">_xlfn.CONCAT($A$1, ".", CALC!A13)</f>
        <v>LSD.RID.0.AL.U3R.9</v>
      </c>
      <c r="B13" s="40" t="str">
        <f aca="false">CALC!C13</f>
        <v>Retail Trade (Motor
Vehicle, Electronics)</v>
      </c>
      <c r="C13" s="3" t="n">
        <v>0.028</v>
      </c>
      <c r="D13" s="3" t="n">
        <v>0.03</v>
      </c>
      <c r="E13" s="3" t="n">
        <v>0.04</v>
      </c>
      <c r="F13" s="3" t="n">
        <v>0.027</v>
      </c>
      <c r="G13" s="40"/>
      <c r="H13" s="40"/>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Q13" s="3"/>
      <c r="AR13" s="3"/>
      <c r="AS13" s="3"/>
      <c r="AT13" s="3"/>
      <c r="AU13" s="3"/>
      <c r="AV13" s="3"/>
      <c r="AW13" s="3"/>
      <c r="AX13" s="3"/>
      <c r="AY13" s="3"/>
      <c r="AZ13" s="3"/>
      <c r="BA13" s="3"/>
      <c r="BB13" s="3"/>
    </row>
    <row r="14" customFormat="false" ht="23.85" hidden="false" customHeight="false" outlineLevel="0" collapsed="false">
      <c r="A14" s="62" t="str">
        <f aca="false">_xlfn.CONCAT($A$1, ".", CALC!A14)</f>
        <v>LSD.RID.0.AL.U3R.10</v>
      </c>
      <c r="B14" s="40" t="str">
        <f aca="false">CALC!C14</f>
        <v>Retail Trade (Food, Clothing,
General Merchandise, etc.)</v>
      </c>
      <c r="C14" s="3" t="n">
        <v>0.028</v>
      </c>
      <c r="D14" s="3" t="n">
        <v>0.03</v>
      </c>
      <c r="E14" s="3" t="n">
        <v>0.04</v>
      </c>
      <c r="F14" s="3" t="n">
        <v>0.027</v>
      </c>
      <c r="G14" s="40"/>
      <c r="H14" s="40"/>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Q14" s="3"/>
      <c r="AR14" s="3"/>
      <c r="AS14" s="3"/>
      <c r="AT14" s="3"/>
      <c r="AU14" s="3"/>
      <c r="AV14" s="3"/>
      <c r="AW14" s="3"/>
      <c r="AX14" s="3"/>
      <c r="AY14" s="3"/>
      <c r="AZ14" s="3"/>
      <c r="BA14" s="3"/>
      <c r="BB14" s="3"/>
    </row>
    <row r="15" customFormat="false" ht="12.8" hidden="false" customHeight="false" outlineLevel="0" collapsed="false">
      <c r="A15" s="62" t="str">
        <f aca="false">_xlfn.CONCAT($A$1, ".", CALC!A15)</f>
        <v>LSD.RID.0.AL.U3R.11</v>
      </c>
      <c r="B15" s="39" t="str">
        <f aca="false">CALC!C15</f>
        <v>Transportation</v>
      </c>
      <c r="C15" s="3" t="n">
        <v>0.028</v>
      </c>
      <c r="D15" s="3" t="n">
        <v>0.03</v>
      </c>
      <c r="E15" s="3" t="n">
        <v>0.04</v>
      </c>
      <c r="F15" s="3" t="n">
        <v>0.027</v>
      </c>
      <c r="G15" s="40"/>
      <c r="H15" s="40"/>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Q15" s="3"/>
      <c r="AR15" s="3"/>
      <c r="AS15" s="3"/>
      <c r="AT15" s="3"/>
      <c r="AU15" s="3"/>
      <c r="AV15" s="3"/>
      <c r="AW15" s="3"/>
      <c r="AX15" s="3"/>
      <c r="AY15" s="3"/>
      <c r="AZ15" s="3"/>
      <c r="BA15" s="3"/>
      <c r="BB15" s="3"/>
    </row>
    <row r="16" customFormat="false" ht="12.8" hidden="false" customHeight="false" outlineLevel="0" collapsed="false">
      <c r="A16" s="62" t="str">
        <f aca="false">_xlfn.CONCAT($A$1, ".", CALC!A16)</f>
        <v>LSD.RID.0.AL.U3R.12</v>
      </c>
      <c r="B16" s="39" t="str">
        <f aca="false">CALC!C16</f>
        <v>Warehousing and Storage</v>
      </c>
      <c r="C16" s="3" t="n">
        <v>0.028</v>
      </c>
      <c r="D16" s="3" t="n">
        <v>0.03</v>
      </c>
      <c r="E16" s="3" t="n">
        <v>0.04</v>
      </c>
      <c r="F16" s="3" t="n">
        <v>0.027</v>
      </c>
      <c r="G16" s="40"/>
      <c r="H16" s="40"/>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Q16" s="3"/>
      <c r="AR16" s="3"/>
      <c r="AS16" s="3"/>
      <c r="AT16" s="3"/>
      <c r="AU16" s="3"/>
      <c r="AV16" s="3"/>
      <c r="AW16" s="3"/>
      <c r="AX16" s="3"/>
      <c r="AY16" s="3"/>
      <c r="AZ16" s="3"/>
      <c r="BA16" s="3"/>
      <c r="BB16" s="3"/>
    </row>
    <row r="17" customFormat="false" ht="12.8" hidden="false" customHeight="false" outlineLevel="0" collapsed="false">
      <c r="A17" s="62" t="str">
        <f aca="false">_xlfn.CONCAT($A$1, ".", CALC!A17)</f>
        <v>LSD.RID.0.AL.U3R.13</v>
      </c>
      <c r="B17" s="39" t="str">
        <f aca="false">CALC!C17</f>
        <v>Information</v>
      </c>
      <c r="C17" s="3" t="n">
        <v>0.028</v>
      </c>
      <c r="D17" s="3" t="n">
        <v>0.03</v>
      </c>
      <c r="E17" s="3" t="n">
        <v>0.04</v>
      </c>
      <c r="F17" s="3" t="n">
        <v>0.027</v>
      </c>
      <c r="G17" s="40"/>
      <c r="H17" s="40"/>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Q17" s="3"/>
      <c r="AR17" s="3"/>
      <c r="AS17" s="3"/>
      <c r="AT17" s="3"/>
      <c r="AU17" s="3"/>
      <c r="AV17" s="3"/>
      <c r="AW17" s="3"/>
      <c r="AX17" s="3"/>
      <c r="AY17" s="3"/>
      <c r="AZ17" s="3"/>
      <c r="BA17" s="3"/>
      <c r="BB17" s="3"/>
    </row>
    <row r="18" customFormat="false" ht="12.8" hidden="false" customHeight="false" outlineLevel="0" collapsed="false">
      <c r="A18" s="62" t="str">
        <f aca="false">_xlfn.CONCAT($A$1, ".", CALC!A18)</f>
        <v>LSD.RID.0.AL.U3R.14</v>
      </c>
      <c r="B18" s="39" t="str">
        <f aca="false">CALC!C18</f>
        <v>Finance and Insurance</v>
      </c>
      <c r="C18" s="3" t="n">
        <v>0.018</v>
      </c>
      <c r="D18" s="3" t="n">
        <v>0.019</v>
      </c>
      <c r="E18" s="3" t="n">
        <v>0.022</v>
      </c>
      <c r="F18" s="3" t="n">
        <v>0.018</v>
      </c>
      <c r="G18" s="40"/>
      <c r="H18" s="40"/>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Q18" s="3"/>
      <c r="AR18" s="3"/>
      <c r="AS18" s="3"/>
      <c r="AT18" s="3"/>
      <c r="AU18" s="3"/>
      <c r="AV18" s="3"/>
      <c r="AW18" s="3"/>
      <c r="AX18" s="3"/>
      <c r="AY18" s="3"/>
      <c r="AZ18" s="3"/>
      <c r="BA18" s="3"/>
      <c r="BB18" s="3"/>
    </row>
    <row r="19" customFormat="false" ht="23.85" hidden="false" customHeight="false" outlineLevel="0" collapsed="false">
      <c r="A19" s="62" t="str">
        <f aca="false">_xlfn.CONCAT($A$1, ".", CALC!A19)</f>
        <v>LSD.RID.0.AL.U3R.15</v>
      </c>
      <c r="B19" s="40" t="str">
        <f aca="false">CALC!C19</f>
        <v>Real Estate and
Rental and Leasing</v>
      </c>
      <c r="C19" s="3" t="n">
        <v>0.018</v>
      </c>
      <c r="D19" s="3" t="n">
        <v>0.019</v>
      </c>
      <c r="E19" s="3" t="n">
        <v>0.022</v>
      </c>
      <c r="F19" s="3" t="n">
        <v>0.018</v>
      </c>
      <c r="G19" s="40"/>
      <c r="H19" s="40"/>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Q19" s="3"/>
      <c r="AR19" s="3"/>
      <c r="AS19" s="3"/>
      <c r="AT19" s="3"/>
      <c r="AU19" s="3"/>
      <c r="AV19" s="3"/>
      <c r="AW19" s="3"/>
      <c r="AX19" s="3"/>
      <c r="AY19" s="3"/>
      <c r="AZ19" s="3"/>
      <c r="BA19" s="3"/>
      <c r="BB19" s="3"/>
    </row>
    <row r="20" customFormat="false" ht="23.85" hidden="false" customHeight="false" outlineLevel="0" collapsed="false">
      <c r="A20" s="62" t="str">
        <f aca="false">_xlfn.CONCAT($A$1, ".", CALC!A20)</f>
        <v>LSD.RID.0.AL.U3R.16</v>
      </c>
      <c r="B20" s="40" t="str">
        <f aca="false">CALC!C20</f>
        <v>Professional, Scientific,
and Technical Services</v>
      </c>
      <c r="C20" s="3" t="n">
        <v>0.018</v>
      </c>
      <c r="D20" s="3" t="n">
        <v>0.019</v>
      </c>
      <c r="E20" s="3" t="n">
        <v>0.022</v>
      </c>
      <c r="F20" s="3" t="n">
        <v>0.018</v>
      </c>
      <c r="G20" s="40"/>
      <c r="H20" s="40"/>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Q20" s="3"/>
      <c r="AR20" s="3"/>
      <c r="AS20" s="3"/>
      <c r="AT20" s="3"/>
      <c r="AU20" s="3"/>
      <c r="AV20" s="3"/>
      <c r="AW20" s="3"/>
      <c r="AX20" s="3"/>
      <c r="AY20" s="3"/>
      <c r="AZ20" s="3"/>
      <c r="BA20" s="3"/>
      <c r="BB20" s="3"/>
    </row>
    <row r="21" customFormat="false" ht="34.8" hidden="false" customHeight="false" outlineLevel="0" collapsed="false">
      <c r="A21" s="62" t="str">
        <f aca="false">_xlfn.CONCAT($A$1, ".", CALC!A21)</f>
        <v>LSD.RID.0.AL.U3R.17</v>
      </c>
      <c r="B21" s="40" t="str">
        <f aca="false">CALC!C21</f>
        <v>Administrative and Support
and Waste Management
and Remediation Services</v>
      </c>
      <c r="C21" s="3" t="n">
        <v>0.045</v>
      </c>
      <c r="D21" s="3" t="n">
        <v>0.048</v>
      </c>
      <c r="E21" s="3" t="n">
        <v>0.062</v>
      </c>
      <c r="F21" s="3" t="n">
        <v>0.042</v>
      </c>
      <c r="G21" s="40"/>
      <c r="H21" s="40"/>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Q21" s="3"/>
      <c r="AR21" s="3"/>
      <c r="AS21" s="3"/>
      <c r="AT21" s="3"/>
      <c r="AU21" s="3"/>
      <c r="AV21" s="3"/>
      <c r="AW21" s="3"/>
      <c r="AX21" s="3"/>
      <c r="AY21" s="3"/>
      <c r="AZ21" s="3"/>
      <c r="BA21" s="3"/>
      <c r="BB21" s="3"/>
    </row>
    <row r="22" customFormat="false" ht="12.8" hidden="false" customHeight="false" outlineLevel="0" collapsed="false">
      <c r="A22" s="62" t="str">
        <f aca="false">_xlfn.CONCAT($A$1, ".", CALC!A22)</f>
        <v>LSD.RID.0.AL.U3R.18</v>
      </c>
      <c r="B22" s="39" t="str">
        <f aca="false">CALC!C22</f>
        <v>Educational Services</v>
      </c>
      <c r="C22" s="3" t="n">
        <v>0.018</v>
      </c>
      <c r="D22" s="3" t="n">
        <v>0.019</v>
      </c>
      <c r="E22" s="3" t="n">
        <v>0.022</v>
      </c>
      <c r="F22" s="3" t="n">
        <v>0.018</v>
      </c>
      <c r="G22" s="40"/>
      <c r="H22" s="40"/>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Q22" s="3"/>
      <c r="AR22" s="3"/>
      <c r="AS22" s="3"/>
      <c r="AT22" s="3"/>
      <c r="AU22" s="3"/>
      <c r="AV22" s="3"/>
      <c r="AW22" s="3"/>
      <c r="AX22" s="3"/>
      <c r="AY22" s="3"/>
      <c r="AZ22" s="3"/>
      <c r="BA22" s="3"/>
      <c r="BB22" s="3"/>
    </row>
    <row r="23" customFormat="false" ht="23.85" hidden="false" customHeight="false" outlineLevel="0" collapsed="false">
      <c r="A23" s="62" t="str">
        <f aca="false">_xlfn.CONCAT($A$1, ".", CALC!A23)</f>
        <v>LSD.RID.0.AL.U3R.19</v>
      </c>
      <c r="B23" s="40" t="str">
        <f aca="false">CALC!C23</f>
        <v>Health Care and
Social Assistance</v>
      </c>
      <c r="C23" s="3" t="n">
        <v>0.018</v>
      </c>
      <c r="D23" s="3" t="n">
        <v>0.019</v>
      </c>
      <c r="E23" s="3" t="n">
        <v>0.022</v>
      </c>
      <c r="F23" s="3" t="n">
        <v>0.018</v>
      </c>
      <c r="G23" s="40"/>
      <c r="H23" s="40"/>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Q23" s="3"/>
      <c r="AR23" s="3"/>
      <c r="AS23" s="3"/>
      <c r="AT23" s="3"/>
      <c r="AU23" s="3"/>
      <c r="AV23" s="3"/>
      <c r="AW23" s="3"/>
      <c r="AX23" s="3"/>
      <c r="AY23" s="3"/>
      <c r="AZ23" s="3"/>
      <c r="BA23" s="3"/>
      <c r="BB23" s="3"/>
    </row>
    <row r="24" customFormat="false" ht="23.85" hidden="false" customHeight="false" outlineLevel="0" collapsed="false">
      <c r="A24" s="62" t="str">
        <f aca="false">_xlfn.CONCAT($A$1, ".", CALC!A24)</f>
        <v>LSD.RID.0.AL.U3R.20</v>
      </c>
      <c r="B24" s="40" t="str">
        <f aca="false">CALC!C24</f>
        <v>Arts, Entertainment,
and Recreation</v>
      </c>
      <c r="C24" s="3" t="n">
        <v>0.018</v>
      </c>
      <c r="D24" s="3" t="n">
        <v>0.019</v>
      </c>
      <c r="E24" s="3" t="n">
        <v>0.022</v>
      </c>
      <c r="F24" s="3" t="n">
        <v>0.018</v>
      </c>
      <c r="G24" s="40"/>
      <c r="H24" s="40"/>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Q24" s="3"/>
      <c r="AR24" s="3"/>
      <c r="AS24" s="3"/>
      <c r="AT24" s="3"/>
      <c r="AU24" s="3"/>
      <c r="AV24" s="3"/>
      <c r="AW24" s="3"/>
      <c r="AX24" s="3"/>
      <c r="AY24" s="3"/>
      <c r="AZ24" s="3"/>
      <c r="BA24" s="3"/>
      <c r="BB24" s="3"/>
    </row>
    <row r="25" customFormat="false" ht="23.85" hidden="false" customHeight="false" outlineLevel="0" collapsed="false">
      <c r="A25" s="62" t="str">
        <f aca="false">_xlfn.CONCAT($A$1, ".", CALC!A25)</f>
        <v>LSD.RID.0.AL.U3R.21</v>
      </c>
      <c r="B25" s="40" t="str">
        <f aca="false">CALC!C25</f>
        <v>Accommodation
and Food Services</v>
      </c>
      <c r="C25" s="3" t="n">
        <v>0.045</v>
      </c>
      <c r="D25" s="3" t="n">
        <v>0.048</v>
      </c>
      <c r="E25" s="3" t="n">
        <v>0.062</v>
      </c>
      <c r="F25" s="3" t="n">
        <v>0.042</v>
      </c>
      <c r="G25" s="40"/>
      <c r="H25" s="40"/>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Q25" s="3"/>
      <c r="AR25" s="3"/>
      <c r="AS25" s="3"/>
      <c r="AT25" s="3"/>
      <c r="AU25" s="3"/>
      <c r="AV25" s="3"/>
      <c r="AW25" s="3"/>
      <c r="AX25" s="3"/>
      <c r="AY25" s="3"/>
      <c r="AZ25" s="3"/>
      <c r="BA25" s="3"/>
      <c r="BB25" s="3"/>
    </row>
    <row r="26" customFormat="false" ht="23.85" hidden="false" customHeight="false" outlineLevel="0" collapsed="false">
      <c r="A26" s="62" t="str">
        <f aca="false">_xlfn.CONCAT($A$1, ".", CALC!A26)</f>
        <v>LSD.RID.0.AL.U3R.22</v>
      </c>
      <c r="B26" s="40" t="str">
        <f aca="false">CALC!C26</f>
        <v>Other Services (except
Public Administration)</v>
      </c>
      <c r="C26" s="3" t="n">
        <v>0.028</v>
      </c>
      <c r="D26" s="3" t="n">
        <v>0.03</v>
      </c>
      <c r="E26" s="3" t="n">
        <v>0.04</v>
      </c>
      <c r="F26" s="3" t="n">
        <v>0.027</v>
      </c>
      <c r="G26" s="40"/>
      <c r="H26" s="40"/>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Q26" s="3"/>
      <c r="AR26" s="3"/>
      <c r="AS26" s="3"/>
      <c r="AT26" s="3"/>
      <c r="AU26" s="3"/>
      <c r="AV26" s="3"/>
      <c r="AW26" s="3"/>
      <c r="AX26" s="3"/>
      <c r="AY26" s="3"/>
      <c r="AZ26" s="3"/>
      <c r="BA26" s="3"/>
      <c r="BB26" s="3"/>
    </row>
    <row r="27" customFormat="false" ht="12.8" hidden="false" customHeight="false" outlineLevel="0" collapsed="false">
      <c r="A27" s="62" t="str">
        <f aca="false">_xlfn.CONCAT($A$1, ".", CALC!A27)</f>
        <v>LSD.RID.0.AL.U3R.23</v>
      </c>
      <c r="B27" s="39" t="str">
        <f aca="false">CALC!C27</f>
        <v>Public Administration</v>
      </c>
      <c r="C27" s="3" t="n">
        <v>0.018</v>
      </c>
      <c r="D27" s="3" t="n">
        <v>0.019</v>
      </c>
      <c r="E27" s="3" t="n">
        <v>0.022</v>
      </c>
      <c r="F27" s="3" t="n">
        <v>0.018</v>
      </c>
      <c r="H27" s="40"/>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Q27" s="3"/>
      <c r="AR27" s="3"/>
      <c r="AS27" s="3"/>
      <c r="AT27" s="3"/>
      <c r="AU27" s="3"/>
      <c r="AV27" s="3"/>
      <c r="AW27" s="3"/>
      <c r="AX27" s="3"/>
      <c r="AY27" s="3"/>
      <c r="AZ27" s="3"/>
      <c r="BA27" s="3"/>
      <c r="BB27" s="3"/>
    </row>
    <row r="130" customFormat="false" ht="12.8" hidden="false" customHeight="false" outlineLevel="0" collapsed="false">
      <c r="A130" s="65" t="s">
        <v>2088</v>
      </c>
      <c r="B130" s="66" t="s">
        <v>2089</v>
      </c>
    </row>
    <row r="131" customFormat="false" ht="12.8" hidden="false" customHeight="false" outlineLevel="0" collapsed="false">
      <c r="A131" s="49" t="s">
        <v>1842</v>
      </c>
      <c r="B131" s="49" t="s">
        <v>183</v>
      </c>
      <c r="C131" s="49" t="s">
        <v>184</v>
      </c>
      <c r="D131" s="49" t="s">
        <v>1843</v>
      </c>
      <c r="E131" s="49" t="s">
        <v>186</v>
      </c>
      <c r="F131" s="49" t="s">
        <v>187</v>
      </c>
    </row>
    <row r="132" customFormat="false" ht="12.8" hidden="false" customHeight="false" outlineLevel="0" collapsed="false">
      <c r="A132" s="39" t="s">
        <v>2090</v>
      </c>
      <c r="B132" s="39" t="s">
        <v>2091</v>
      </c>
      <c r="C132" s="39" t="s">
        <v>2092</v>
      </c>
      <c r="D132" s="39" t="s">
        <v>2093</v>
      </c>
      <c r="E132" s="39" t="s">
        <v>2094</v>
      </c>
      <c r="F132" s="39" t="s">
        <v>302</v>
      </c>
    </row>
    <row r="133" customFormat="false" ht="12.8" hidden="false" customHeight="false" outlineLevel="0" collapsed="false">
      <c r="A133" s="39" t="s">
        <v>2095</v>
      </c>
      <c r="B133" s="39" t="s">
        <v>2091</v>
      </c>
      <c r="C133" s="39" t="s">
        <v>1850</v>
      </c>
      <c r="D133" s="39" t="s">
        <v>2096</v>
      </c>
      <c r="E133" s="39" t="s">
        <v>1851</v>
      </c>
      <c r="F133" s="39" t="s">
        <v>302</v>
      </c>
    </row>
    <row r="134" customFormat="false" ht="12.8" hidden="false" customHeight="false" outlineLevel="0" collapsed="false">
      <c r="A134" s="39" t="s">
        <v>2097</v>
      </c>
      <c r="B134" s="39" t="s">
        <v>2091</v>
      </c>
      <c r="C134" s="39" t="s">
        <v>1853</v>
      </c>
      <c r="D134" s="39" t="s">
        <v>2098</v>
      </c>
      <c r="E134" s="39" t="s">
        <v>2099</v>
      </c>
      <c r="F134" s="39" t="s">
        <v>302</v>
      </c>
    </row>
    <row r="135" customFormat="false" ht="12.8" hidden="false" customHeight="false" outlineLevel="0" collapsed="false">
      <c r="A135" s="39" t="s">
        <v>2100</v>
      </c>
      <c r="B135" s="39" t="s">
        <v>2091</v>
      </c>
      <c r="C135" s="39" t="s">
        <v>2101</v>
      </c>
      <c r="D135" s="39" t="s">
        <v>2102</v>
      </c>
      <c r="E135" s="39" t="s">
        <v>306</v>
      </c>
      <c r="F135" s="39" t="s">
        <v>302</v>
      </c>
    </row>
    <row r="137" customFormat="false" ht="12.8" hidden="false" customHeight="false" outlineLevel="0" collapsed="false">
      <c r="A137" s="65" t="s">
        <v>2103</v>
      </c>
      <c r="B137" s="66" t="s">
        <v>2104</v>
      </c>
    </row>
    <row r="138" customFormat="false" ht="23.85" hidden="false" customHeight="false" outlineLevel="0" collapsed="false">
      <c r="A138" s="76" t="s">
        <v>683</v>
      </c>
      <c r="B138" s="76" t="s">
        <v>184</v>
      </c>
      <c r="C138" s="76" t="s">
        <v>684</v>
      </c>
      <c r="D138" s="76" t="s">
        <v>186</v>
      </c>
      <c r="E138" s="76" t="s">
        <v>678</v>
      </c>
      <c r="F138" s="76" t="s">
        <v>679</v>
      </c>
      <c r="G138" s="76" t="s">
        <v>680</v>
      </c>
      <c r="H138" s="76" t="s">
        <v>187</v>
      </c>
    </row>
    <row r="139" customFormat="false" ht="23.85" hidden="false" customHeight="false" outlineLevel="0" collapsed="false">
      <c r="A139" s="40" t="s">
        <v>2105</v>
      </c>
      <c r="B139" s="40" t="s">
        <v>2106</v>
      </c>
      <c r="C139" s="40" t="n">
        <v>0.027</v>
      </c>
      <c r="D139" s="40" t="s">
        <v>978</v>
      </c>
      <c r="E139" s="40" t="s">
        <v>689</v>
      </c>
      <c r="F139" s="40" t="s">
        <v>690</v>
      </c>
      <c r="G139" s="77" t="s">
        <v>691</v>
      </c>
      <c r="H139" s="40" t="s">
        <v>302</v>
      </c>
    </row>
    <row r="140" customFormat="false" ht="23.85" hidden="false" customHeight="false" outlineLevel="0" collapsed="false">
      <c r="A140" s="40" t="s">
        <v>2107</v>
      </c>
      <c r="B140" s="40" t="s">
        <v>980</v>
      </c>
      <c r="C140" s="40" t="s">
        <v>981</v>
      </c>
      <c r="D140" s="40" t="s">
        <v>982</v>
      </c>
      <c r="E140" s="40" t="s">
        <v>983</v>
      </c>
      <c r="F140" s="40" t="s">
        <v>984</v>
      </c>
      <c r="G140" s="77" t="s">
        <v>691</v>
      </c>
      <c r="H140" s="40" t="s">
        <v>302</v>
      </c>
    </row>
    <row r="141" customFormat="false" ht="35.05" hidden="false" customHeight="false" outlineLevel="0" collapsed="false">
      <c r="A141" s="40" t="s">
        <v>2108</v>
      </c>
      <c r="B141" s="40" t="s">
        <v>986</v>
      </c>
      <c r="C141" s="40" t="s">
        <v>987</v>
      </c>
      <c r="D141" s="40" t="s">
        <v>988</v>
      </c>
      <c r="E141" s="40" t="s">
        <v>983</v>
      </c>
      <c r="F141" s="40" t="s">
        <v>984</v>
      </c>
      <c r="G141" s="77" t="s">
        <v>691</v>
      </c>
      <c r="H141" s="40" t="s">
        <v>989</v>
      </c>
      <c r="I141" s="39" t="s">
        <v>302</v>
      </c>
    </row>
    <row r="142" customFormat="false" ht="35.05" hidden="false" customHeight="false" outlineLevel="0" collapsed="false">
      <c r="A142" s="40" t="s">
        <v>2109</v>
      </c>
      <c r="B142" s="40" t="s">
        <v>991</v>
      </c>
      <c r="C142" s="40" t="s">
        <v>992</v>
      </c>
      <c r="D142" s="40" t="s">
        <v>993</v>
      </c>
      <c r="E142" s="40" t="s">
        <v>983</v>
      </c>
      <c r="F142" s="40" t="s">
        <v>984</v>
      </c>
      <c r="G142" s="77" t="s">
        <v>691</v>
      </c>
      <c r="H142" s="40" t="s">
        <v>974</v>
      </c>
      <c r="I142" s="39" t="s">
        <v>302</v>
      </c>
    </row>
    <row r="143" customFormat="false" ht="23.85" hidden="false" customHeight="false" outlineLevel="0" collapsed="false">
      <c r="A143" s="40" t="s">
        <v>2110</v>
      </c>
      <c r="B143" s="40" t="s">
        <v>995</v>
      </c>
      <c r="C143" s="40" t="n">
        <v>0.72</v>
      </c>
      <c r="D143" s="40" t="s">
        <v>996</v>
      </c>
      <c r="E143" s="40" t="s">
        <v>689</v>
      </c>
      <c r="F143" s="40" t="s">
        <v>997</v>
      </c>
      <c r="G143" s="77" t="s">
        <v>691</v>
      </c>
      <c r="H143" s="40" t="s">
        <v>302</v>
      </c>
    </row>
    <row r="144" customFormat="false" ht="12.8" hidden="false" customHeight="false" outlineLevel="0" collapsed="false">
      <c r="A144" s="50" t="s">
        <v>2111</v>
      </c>
      <c r="B144" s="39" t="s">
        <v>999</v>
      </c>
      <c r="C144" s="39" t="n">
        <v>5</v>
      </c>
      <c r="D144" s="39" t="s">
        <v>1000</v>
      </c>
      <c r="E144" s="39" t="s">
        <v>689</v>
      </c>
      <c r="F144" s="39" t="s">
        <v>1001</v>
      </c>
      <c r="G144" s="51" t="s">
        <v>691</v>
      </c>
      <c r="H144" s="39" t="s">
        <v>302</v>
      </c>
    </row>
    <row r="146" customFormat="false" ht="12.8" hidden="false" customHeight="false" outlineLevel="0" collapsed="false">
      <c r="A146" s="65" t="s">
        <v>2112</v>
      </c>
      <c r="B146" s="66" t="s">
        <v>2113</v>
      </c>
    </row>
    <row r="147" customFormat="false" ht="12.8" hidden="false" customHeight="false" outlineLevel="0" collapsed="false">
      <c r="A147" s="49" t="s">
        <v>113</v>
      </c>
      <c r="B147" s="49" t="s">
        <v>186</v>
      </c>
      <c r="C147" s="49" t="s">
        <v>677</v>
      </c>
      <c r="D147" s="49" t="s">
        <v>1875</v>
      </c>
      <c r="E147" s="49" t="s">
        <v>678</v>
      </c>
      <c r="F147" s="49" t="s">
        <v>1876</v>
      </c>
      <c r="G147" s="49"/>
    </row>
    <row r="148" customFormat="false" ht="12.8" hidden="false" customHeight="false" outlineLevel="0" collapsed="false">
      <c r="A148" s="39" t="s">
        <v>2114</v>
      </c>
      <c r="B148" s="39" t="s">
        <v>1463</v>
      </c>
      <c r="C148" s="39" t="n">
        <v>0.027</v>
      </c>
      <c r="D148" s="39" t="s">
        <v>690</v>
      </c>
      <c r="E148" s="39" t="s">
        <v>689</v>
      </c>
      <c r="F148" s="39" t="s">
        <v>2115</v>
      </c>
    </row>
    <row r="149" customFormat="false" ht="12.8" hidden="false" customHeight="false" outlineLevel="0" collapsed="false">
      <c r="A149" s="39" t="s">
        <v>2116</v>
      </c>
      <c r="B149" s="39" t="s">
        <v>1881</v>
      </c>
      <c r="C149" s="39" t="s">
        <v>2117</v>
      </c>
      <c r="D149" s="39" t="s">
        <v>2118</v>
      </c>
      <c r="E149" s="39" t="s">
        <v>689</v>
      </c>
      <c r="F149" s="39" t="s">
        <v>2119</v>
      </c>
    </row>
    <row r="150" customFormat="false" ht="12.8" hidden="false" customHeight="false" outlineLevel="0" collapsed="false">
      <c r="A150" s="39" t="s">
        <v>2120</v>
      </c>
      <c r="B150" s="39" t="s">
        <v>2121</v>
      </c>
      <c r="C150" s="39" t="s">
        <v>2122</v>
      </c>
      <c r="D150" s="39" t="s">
        <v>2123</v>
      </c>
      <c r="E150" s="39" t="s">
        <v>689</v>
      </c>
      <c r="F150" s="39" t="s">
        <v>1956</v>
      </c>
    </row>
    <row r="151" customFormat="false" ht="12.8" hidden="false" customHeight="false" outlineLevel="0" collapsed="false">
      <c r="A151" s="39" t="s">
        <v>2124</v>
      </c>
      <c r="B151" s="39" t="s">
        <v>1891</v>
      </c>
      <c r="C151" s="39" t="s">
        <v>2125</v>
      </c>
      <c r="D151" s="39" t="s">
        <v>2126</v>
      </c>
      <c r="E151" s="39" t="s">
        <v>689</v>
      </c>
      <c r="F151" s="39" t="s">
        <v>2127</v>
      </c>
    </row>
    <row r="152" customFormat="false" ht="12.8" hidden="false" customHeight="false" outlineLevel="0" collapsed="false">
      <c r="A152" s="39" t="s">
        <v>2128</v>
      </c>
      <c r="B152" s="39" t="s">
        <v>1896</v>
      </c>
      <c r="C152" s="39" t="s">
        <v>1897</v>
      </c>
      <c r="D152" s="39" t="s">
        <v>2129</v>
      </c>
      <c r="E152" s="39" t="s">
        <v>689</v>
      </c>
      <c r="F152" s="39" t="s">
        <v>2130</v>
      </c>
      <c r="G152" s="39" t="s">
        <v>2131</v>
      </c>
    </row>
    <row r="153" customFormat="false" ht="12.8" hidden="false" customHeight="false" outlineLevel="0" collapsed="false">
      <c r="A153" s="39" t="s">
        <v>2132</v>
      </c>
      <c r="B153" s="39" t="s">
        <v>1901</v>
      </c>
      <c r="C153" s="39" t="s">
        <v>1902</v>
      </c>
      <c r="D153" s="39" t="s">
        <v>2079</v>
      </c>
      <c r="E153" s="39" t="s">
        <v>689</v>
      </c>
      <c r="F153" s="39" t="s">
        <v>1965</v>
      </c>
    </row>
    <row r="154" customFormat="false" ht="12.8" hidden="false" customHeight="false" outlineLevel="0" collapsed="false">
      <c r="A154" s="39" t="s">
        <v>2133</v>
      </c>
      <c r="B154" s="39" t="s">
        <v>2134</v>
      </c>
      <c r="C154" s="39" t="s">
        <v>2135</v>
      </c>
      <c r="D154" s="39" t="s">
        <v>1908</v>
      </c>
      <c r="E154" s="39" t="s">
        <v>689</v>
      </c>
      <c r="F154" s="39" t="s">
        <v>1909</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BJ150"/>
  <sheetViews>
    <sheetView showFormulas="false" showGridLines="true" showRowColHeaders="true" showZeros="true" rightToLeft="false" tabSelected="false" showOutlineSymbols="true" defaultGridColor="true" view="normal" topLeftCell="A89" colorId="64" zoomScale="65" zoomScaleNormal="65" zoomScalePageLayoutView="100" workbookViewId="0">
      <selection pane="topLeft" activeCell="A142" activeCellId="0" sqref="A142"/>
    </sheetView>
  </sheetViews>
  <sheetFormatPr defaultColWidth="11.53515625" defaultRowHeight="12.8" customHeight="false" zeroHeight="false" outlineLevelRow="0"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28" min="4" style="39" width="16.84"/>
    <col collapsed="false" customWidth="true" hidden="false" outlineLevel="0" max="42" min="29" style="39" width="17.78"/>
    <col collapsed="false" customWidth="true" hidden="false" outlineLevel="0" max="45" min="43" style="39" width="15.48"/>
    <col collapsed="false" customWidth="true" hidden="false" outlineLevel="0" max="50" min="50" style="39" width="18.45"/>
    <col collapsed="false" customWidth="true" hidden="false" outlineLevel="0" max="53" min="51" style="39" width="16.14"/>
    <col collapsed="false" customWidth="true" hidden="false" outlineLevel="0" max="61" min="54" style="39" width="13.84"/>
  </cols>
  <sheetData>
    <row r="1" customFormat="false" ht="12.8" hidden="false" customHeight="false" outlineLevel="0" collapsed="false">
      <c r="A1" s="4" t="s">
        <v>1969</v>
      </c>
      <c r="B1" s="73" t="s">
        <v>2136</v>
      </c>
      <c r="C1" s="6" t="s">
        <v>2</v>
      </c>
      <c r="D1" s="39" t="s">
        <v>2137</v>
      </c>
      <c r="AT1" s="39"/>
      <c r="BJ1" s="39"/>
    </row>
    <row r="2" customFormat="false" ht="12.8" hidden="false" customHeight="false" outlineLevel="0" collapsed="false">
      <c r="A2" s="65" t="str">
        <f aca="false">_xlfn.CONCAT($A$1, ".", "CALC")</f>
        <v>LSD.RID.0.AL.EP.CALC</v>
      </c>
      <c r="B2" s="66" t="str">
        <f aca="false">_xlfn.CONCAT($B$1, " ", "Calculations")</f>
        <v>Alabama Unemployed Population Calculations</v>
      </c>
      <c r="C2" s="56" t="str">
        <f aca="false">CALC!P2</f>
        <v>Unemployed Population (U3P)</v>
      </c>
      <c r="D2" s="56"/>
      <c r="E2" s="56"/>
      <c r="F2" s="56"/>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65" t="str">
        <f aca="false">CALC!A3</f>
        <v>LSID</v>
      </c>
      <c r="B3" s="42" t="str">
        <f aca="false">CALC!C3</f>
        <v>Labor Sector</v>
      </c>
      <c r="C3" s="59" t="str">
        <f aca="false">CALC!P3</f>
        <v>Overall U3P</v>
      </c>
      <c r="D3" s="59" t="str">
        <f aca="false">CALC!Q3</f>
        <v>Authorized U3P</v>
      </c>
      <c r="E3" s="59" t="str">
        <f aca="false">CALC!R3</f>
        <v>Unauthorized U3P</v>
      </c>
      <c r="F3" s="59" t="str">
        <f aca="false">CALC!S3</f>
        <v>American U3P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65" t="str">
        <f aca="false">_xlfn.CONCAT($A$1, ".", CALC!A4)</f>
        <v>LSD.RID.0.AL.EP.0</v>
      </c>
      <c r="B4" s="42" t="str">
        <f aca="false">CALC!C4</f>
        <v>All Industries</v>
      </c>
      <c r="C4" s="3" t="n">
        <v>64000</v>
      </c>
      <c r="D4" s="3" t="n">
        <v>1828</v>
      </c>
      <c r="E4" s="3" t="n">
        <v>1658</v>
      </c>
      <c r="F4" s="3" t="n">
        <v>60514</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23.85" hidden="false" customHeight="false" outlineLevel="0" collapsed="false">
      <c r="A5" s="65" t="str">
        <f aca="false">_xlfn.CONCAT($A$1, ".", CALC!A5)</f>
        <v>LSD.RID.0.AL.EP.1</v>
      </c>
      <c r="B5" s="68" t="str">
        <f aca="false">CALC!C5</f>
        <v>Agriculture, Forestry, 
Fishing and Hunting</v>
      </c>
      <c r="C5" s="3" t="n">
        <v>11138</v>
      </c>
      <c r="D5" s="3" t="n">
        <v>62</v>
      </c>
      <c r="E5" s="3" t="n">
        <v>2902</v>
      </c>
      <c r="F5" s="3" t="n">
        <v>8174</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65" t="str">
        <f aca="false">_xlfn.CONCAT($A$1, ".", CALC!A6)</f>
        <v>LSD.RID.0.AL.EP.2</v>
      </c>
      <c r="B6" s="68" t="str">
        <f aca="false">CALC!C6</f>
        <v>Mining, Quarrying, and
Oil and Gas Extraction</v>
      </c>
      <c r="C6" s="3" t="n">
        <v>4598</v>
      </c>
      <c r="D6" s="3" t="n">
        <v>49</v>
      </c>
      <c r="E6" s="3" t="n">
        <v>222</v>
      </c>
      <c r="F6" s="3" t="n">
        <v>4327</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9" hidden="false" customHeight="false" outlineLevel="0" collapsed="false">
      <c r="A7" s="65" t="str">
        <f aca="false">_xlfn.CONCAT($A$1, ".", CALC!A7)</f>
        <v>LSD.RID.0.AL.EP.3</v>
      </c>
      <c r="B7" s="42" t="str">
        <f aca="false">CALC!C7</f>
        <v>Utilities</v>
      </c>
      <c r="C7" s="3" t="n">
        <v>4589</v>
      </c>
      <c r="D7" s="3" t="n">
        <v>264</v>
      </c>
      <c r="E7" s="3" t="n">
        <v>141</v>
      </c>
      <c r="F7" s="3" t="n">
        <v>4184</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9" hidden="false" customHeight="false" outlineLevel="0" collapsed="false">
      <c r="A8" s="65" t="str">
        <f aca="false">_xlfn.CONCAT($A$1, ".", CALC!A8)</f>
        <v>LSD.RID.0.AL.EP.4</v>
      </c>
      <c r="B8" s="42" t="str">
        <f aca="false">CALC!C8</f>
        <v>Construction</v>
      </c>
      <c r="C8" s="3" t="n">
        <v>50385</v>
      </c>
      <c r="D8" s="3" t="n">
        <v>2728</v>
      </c>
      <c r="E8" s="3" t="n">
        <v>6999</v>
      </c>
      <c r="F8" s="3" t="n">
        <v>40658</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23.85" hidden="false" customHeight="false" outlineLevel="0" collapsed="false">
      <c r="A9" s="65" t="str">
        <f aca="false">_xlfn.CONCAT($A$1, ".", CALC!A9)</f>
        <v>LSD.RID.0.AL.EP.5</v>
      </c>
      <c r="B9" s="68" t="str">
        <f aca="false">CALC!C9</f>
        <v>Manufacturing
(Food,Textile, etc.)</v>
      </c>
      <c r="C9" s="3" t="n">
        <v>23691</v>
      </c>
      <c r="D9" s="3" t="n">
        <v>521</v>
      </c>
      <c r="E9" s="3" t="n">
        <v>1895</v>
      </c>
      <c r="F9" s="3" t="n">
        <v>21275</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65" t="str">
        <f aca="false">_xlfn.CONCAT($A$1, ".", CALC!A10)</f>
        <v>LSD.RID.0.AL.EP.6</v>
      </c>
      <c r="B10" s="68" t="str">
        <f aca="false">CALC!C10</f>
        <v>Manufacturing (Wood,
Paper, Printing, etc.)</v>
      </c>
      <c r="C10" s="3" t="n">
        <v>16364</v>
      </c>
      <c r="D10" s="3" t="n">
        <v>360</v>
      </c>
      <c r="E10" s="3" t="n">
        <v>589</v>
      </c>
      <c r="F10" s="3" t="n">
        <v>15415</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23.85" hidden="false" customHeight="false" outlineLevel="0" collapsed="false">
      <c r="A11" s="65" t="str">
        <f aca="false">_xlfn.CONCAT($A$1, ".", CALC!A11)</f>
        <v>LSD.RID.0.AL.EP.7</v>
      </c>
      <c r="B11" s="68" t="str">
        <f aca="false">CALC!C11</f>
        <v>Manufacturing
(Machinery, Transport)</v>
      </c>
      <c r="C11" s="3" t="n">
        <v>34042</v>
      </c>
      <c r="D11" s="3" t="n">
        <v>749</v>
      </c>
      <c r="E11" s="3" t="n">
        <v>1226</v>
      </c>
      <c r="F11" s="3" t="n">
        <v>32067</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9" hidden="false" customHeight="false" outlineLevel="0" collapsed="false">
      <c r="A12" s="65" t="str">
        <f aca="false">_xlfn.CONCAT($A$1, ".", CALC!A12)</f>
        <v>LSD.RID.0.AL.EP.8</v>
      </c>
      <c r="B12" s="42" t="str">
        <f aca="false">CALC!C12</f>
        <v>Wholesale Trade</v>
      </c>
      <c r="C12" s="3" t="n">
        <v>11893</v>
      </c>
      <c r="D12" s="3" t="n">
        <v>262</v>
      </c>
      <c r="E12" s="3" t="n">
        <v>428</v>
      </c>
      <c r="F12" s="3" t="n">
        <v>11203</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23.85" hidden="false" customHeight="false" outlineLevel="0" collapsed="false">
      <c r="A13" s="65" t="str">
        <f aca="false">_xlfn.CONCAT($A$1, ".", CALC!A13)</f>
        <v>LSD.RID.0.AL.EP.9</v>
      </c>
      <c r="B13" s="68" t="str">
        <f aca="false">CALC!C13</f>
        <v>Retail Trade (Motor
Vehicle, Electronics)</v>
      </c>
      <c r="C13" s="3" t="n">
        <v>7766</v>
      </c>
      <c r="D13" s="3" t="n">
        <v>169</v>
      </c>
      <c r="E13" s="3" t="n">
        <v>276</v>
      </c>
      <c r="F13" s="3" t="n">
        <v>7321</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65" t="str">
        <f aca="false">_xlfn.CONCAT($A$1, ".", CALC!A14)</f>
        <v>LSD.RID.0.AL.EP.10</v>
      </c>
      <c r="B14" s="68" t="str">
        <f aca="false">CALC!C14</f>
        <v>Retail Trade (Food, Clothing,
General Merchandise, etc.)</v>
      </c>
      <c r="C14" s="3" t="n">
        <v>24838</v>
      </c>
      <c r="D14" s="3" t="n">
        <v>551</v>
      </c>
      <c r="E14" s="3" t="n">
        <v>2003</v>
      </c>
      <c r="F14" s="3" t="n">
        <v>23284</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9" hidden="false" customHeight="false" outlineLevel="0" collapsed="false">
      <c r="A15" s="65" t="str">
        <f aca="false">_xlfn.CONCAT($A$1, ".", CALC!A15)</f>
        <v>LSD.RID.0.AL.EP.11</v>
      </c>
      <c r="B15" s="42" t="str">
        <f aca="false">CALC!C15</f>
        <v>Transportation</v>
      </c>
      <c r="C15" s="3" t="n">
        <v>17747</v>
      </c>
      <c r="D15" s="3" t="n">
        <v>390</v>
      </c>
      <c r="E15" s="3" t="n">
        <v>640</v>
      </c>
      <c r="F15" s="3" t="n">
        <v>16717</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9" hidden="false" customHeight="false" outlineLevel="0" collapsed="false">
      <c r="A16" s="65" t="str">
        <f aca="false">_xlfn.CONCAT($A$1, ".", CALC!A16)</f>
        <v>LSD.RID.0.AL.EP.12</v>
      </c>
      <c r="B16" s="42" t="str">
        <f aca="false">CALC!C16</f>
        <v>Warehousing and Storage</v>
      </c>
      <c r="C16" s="3" t="n">
        <v>15079</v>
      </c>
      <c r="D16" s="3" t="n">
        <v>332</v>
      </c>
      <c r="E16" s="3" t="n">
        <v>543</v>
      </c>
      <c r="F16" s="3" t="n">
        <v>14204</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9" hidden="false" customHeight="false" outlineLevel="0" collapsed="false">
      <c r="A17" s="65" t="str">
        <f aca="false">_xlfn.CONCAT($A$1, ".", CALC!A17)</f>
        <v>LSD.RID.0.AL.EP.13</v>
      </c>
      <c r="B17" s="42" t="str">
        <f aca="false">CALC!C17</f>
        <v>Information</v>
      </c>
      <c r="C17" s="3" t="n">
        <v>7853</v>
      </c>
      <c r="D17" s="3" t="n">
        <v>173</v>
      </c>
      <c r="E17" s="3" t="n">
        <v>282</v>
      </c>
      <c r="F17" s="3" t="n">
        <v>7398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9" hidden="false" customHeight="false" outlineLevel="0" collapsed="false">
      <c r="A18" s="65" t="str">
        <f aca="false">_xlfn.CONCAT($A$1, ".", CALC!A18)</f>
        <v>LSD.RID.0.AL.EP.14</v>
      </c>
      <c r="B18" s="42" t="str">
        <f aca="false">CALC!C18</f>
        <v>Finance and Insurance</v>
      </c>
      <c r="C18" s="3" t="n">
        <v>12448</v>
      </c>
      <c r="D18" s="3" t="n">
        <v>274</v>
      </c>
      <c r="E18" s="3" t="n">
        <v>449</v>
      </c>
      <c r="F18" s="3" t="n">
        <v>11725</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23.85" hidden="false" customHeight="false" outlineLevel="0" collapsed="false">
      <c r="A19" s="65" t="str">
        <f aca="false">_xlfn.CONCAT($A$1, ".", CALC!A19)</f>
        <v>LSD.RID.0.AL.EP.15</v>
      </c>
      <c r="B19" s="68" t="str">
        <f aca="false">CALC!C19</f>
        <v>Real Estate and
Rental and Leasing</v>
      </c>
      <c r="C19" s="3" t="n">
        <v>6238</v>
      </c>
      <c r="D19" s="3" t="n">
        <v>137</v>
      </c>
      <c r="E19" s="3" t="n">
        <v>224</v>
      </c>
      <c r="F19" s="3" t="n">
        <v>5877</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65" t="str">
        <f aca="false">_xlfn.CONCAT($A$1, ".", CALC!A20)</f>
        <v>LSD.RID.0.AL.EP.16</v>
      </c>
      <c r="B20" s="68" t="str">
        <f aca="false">CALC!C20</f>
        <v>Professional, Scientific,
and Technical Services</v>
      </c>
      <c r="C20" s="3" t="n">
        <v>18673</v>
      </c>
      <c r="D20" s="3" t="n">
        <v>410</v>
      </c>
      <c r="E20" s="3" t="n">
        <v>672</v>
      </c>
      <c r="F20" s="3" t="n">
        <v>17591</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34.4" hidden="false" customHeight="false" outlineLevel="0" collapsed="false">
      <c r="A21" s="65" t="str">
        <f aca="false">_xlfn.CONCAT($A$1, ".", CALC!A21)</f>
        <v>LSD.RID.0.AL.EP.17</v>
      </c>
      <c r="B21" s="68" t="str">
        <f aca="false">CALC!C21</f>
        <v>Administrative and Support
and Waste Management
and Remediation Services</v>
      </c>
      <c r="C21" s="3" t="n">
        <v>41071</v>
      </c>
      <c r="D21" s="3" t="n">
        <v>904</v>
      </c>
      <c r="E21" s="3" t="n">
        <v>3292</v>
      </c>
      <c r="F21" s="3" t="n">
        <v>36875</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9" hidden="false" customHeight="false" outlineLevel="0" collapsed="false">
      <c r="A22" s="65" t="str">
        <f aca="false">_xlfn.CONCAT($A$1, ".", CALC!A22)</f>
        <v>LSD.RID.0.AL.EP.18</v>
      </c>
      <c r="B22" s="42" t="str">
        <f aca="false">CALC!C22</f>
        <v>Educational Services</v>
      </c>
      <c r="C22" s="3" t="n">
        <v>29778</v>
      </c>
      <c r="D22" s="3" t="n">
        <v>655</v>
      </c>
      <c r="E22" s="3" t="n">
        <v>1072</v>
      </c>
      <c r="F22" s="3" t="n">
        <v>28051</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23.85" hidden="false" customHeight="false" outlineLevel="0" collapsed="false">
      <c r="A23" s="65" t="str">
        <f aca="false">_xlfn.CONCAT($A$1, ".", CALC!A23)</f>
        <v>LSD.RID.0.AL.EP.19</v>
      </c>
      <c r="B23" s="68" t="str">
        <f aca="false">CALC!C23</f>
        <v>Health Care and
Social Assistance</v>
      </c>
      <c r="C23" s="3" t="n">
        <v>41883</v>
      </c>
      <c r="D23" s="3" t="n">
        <v>922</v>
      </c>
      <c r="E23" s="3" t="n">
        <v>1508</v>
      </c>
      <c r="F23" s="3" t="n">
        <v>39453</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23.85" hidden="false" customHeight="false" outlineLevel="0" collapsed="false">
      <c r="A24" s="65" t="str">
        <f aca="false">_xlfn.CONCAT($A$1, ".", CALC!A24)</f>
        <v>LSD.RID.0.AL.EP.20</v>
      </c>
      <c r="B24" s="68" t="str">
        <f aca="false">CALC!C24</f>
        <v>Arts, Entertainment,
and Recreation</v>
      </c>
      <c r="C24" s="3" t="n">
        <v>5894</v>
      </c>
      <c r="D24" s="3" t="n">
        <v>137</v>
      </c>
      <c r="E24" s="3" t="n">
        <v>224</v>
      </c>
      <c r="F24" s="3" t="n">
        <v>5533</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23.85" hidden="false" customHeight="false" outlineLevel="0" collapsed="false">
      <c r="A25" s="65" t="str">
        <f aca="false">_xlfn.CONCAT($A$1, ".", CALC!A25)</f>
        <v>LSD.RID.0.AL.EP.21</v>
      </c>
      <c r="B25" s="68" t="str">
        <f aca="false">CALC!C25</f>
        <v>Accommodation
and Food Services</v>
      </c>
      <c r="C25" s="3" t="n">
        <v>46454</v>
      </c>
      <c r="D25" s="3" t="n">
        <v>582</v>
      </c>
      <c r="E25" s="3" t="n">
        <v>2106</v>
      </c>
      <c r="F25" s="3" t="n">
        <v>43766</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65" t="str">
        <f aca="false">_xlfn.CONCAT($A$1, ".", CALC!A26)</f>
        <v>LSD.RID.0.AL.EP.22</v>
      </c>
      <c r="B26" s="68" t="str">
        <f aca="false">CALC!C26</f>
        <v>Other Services (except
Public Administration)</v>
      </c>
      <c r="C26" s="3" t="n">
        <v>12719</v>
      </c>
      <c r="D26" s="3" t="n">
        <v>311</v>
      </c>
      <c r="E26" s="3" t="n">
        <v>1130</v>
      </c>
      <c r="F26" s="3" t="n">
        <v>11278</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65" t="str">
        <f aca="false">_xlfn.CONCAT($A$1, ".", CALC!A27)</f>
        <v>LSD.RID.0.AL.EP.23</v>
      </c>
      <c r="B27" s="42" t="str">
        <f aca="false">CALC!C27</f>
        <v>Public Administration</v>
      </c>
      <c r="C27" s="3" t="n">
        <v>24443</v>
      </c>
      <c r="D27" s="3" t="n">
        <v>406</v>
      </c>
      <c r="E27" s="3" t="n">
        <v>664</v>
      </c>
      <c r="F27" s="3" t="n">
        <v>23373</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8" customFormat="false" ht="12.8" hidden="false" customHeight="false" outlineLevel="0" collapsed="false">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X28" s="3"/>
      <c r="AY28" s="3"/>
      <c r="AZ28" s="3"/>
      <c r="BA28" s="3"/>
      <c r="BB28" s="3"/>
      <c r="BC28" s="3"/>
      <c r="BD28" s="3"/>
      <c r="BE28" s="3"/>
      <c r="BF28" s="3"/>
      <c r="BG28" s="3"/>
      <c r="BH28" s="3"/>
      <c r="BI28" s="3"/>
    </row>
    <row r="125" customFormat="false" ht="12.8" hidden="false" customHeight="false" outlineLevel="0" collapsed="false">
      <c r="A125" s="50" t="s">
        <v>2138</v>
      </c>
      <c r="B125" s="72" t="s">
        <v>2139</v>
      </c>
    </row>
    <row r="126" customFormat="false" ht="12.8" hidden="false" customHeight="false" outlineLevel="0" collapsed="false">
      <c r="A126" s="50" t="s">
        <v>1842</v>
      </c>
      <c r="B126" s="72" t="s">
        <v>183</v>
      </c>
      <c r="C126" s="39" t="s">
        <v>184</v>
      </c>
      <c r="D126" s="39" t="s">
        <v>1843</v>
      </c>
      <c r="E126" s="39" t="s">
        <v>186</v>
      </c>
      <c r="F126" s="39" t="s">
        <v>187</v>
      </c>
      <c r="G126" s="39" t="s">
        <v>1974</v>
      </c>
    </row>
    <row r="127" customFormat="false" ht="12.8" hidden="false" customHeight="false" outlineLevel="0" collapsed="false">
      <c r="A127" s="50" t="s">
        <v>2140</v>
      </c>
      <c r="B127" s="72" t="s">
        <v>453</v>
      </c>
      <c r="C127" s="39" t="s">
        <v>2141</v>
      </c>
      <c r="D127" s="39" t="s">
        <v>2142</v>
      </c>
      <c r="E127" s="39" t="s">
        <v>2143</v>
      </c>
      <c r="F127" s="39" t="s">
        <v>302</v>
      </c>
      <c r="G127" s="39" t="s">
        <v>1974</v>
      </c>
    </row>
    <row r="128" customFormat="false" ht="12.8" hidden="false" customHeight="false" outlineLevel="0" collapsed="false">
      <c r="A128" s="50" t="s">
        <v>2144</v>
      </c>
      <c r="B128" s="72" t="s">
        <v>453</v>
      </c>
      <c r="C128" s="39" t="s">
        <v>1850</v>
      </c>
      <c r="D128" s="39" t="s">
        <v>2145</v>
      </c>
      <c r="E128" s="39" t="s">
        <v>1851</v>
      </c>
      <c r="F128" s="39" t="s">
        <v>302</v>
      </c>
      <c r="G128" s="39" t="s">
        <v>1974</v>
      </c>
    </row>
    <row r="129" customFormat="false" ht="12.8" hidden="false" customHeight="false" outlineLevel="0" collapsed="false">
      <c r="A129" s="50" t="s">
        <v>2146</v>
      </c>
      <c r="B129" s="72" t="s">
        <v>453</v>
      </c>
      <c r="C129" s="39" t="s">
        <v>1853</v>
      </c>
      <c r="D129" s="39" t="s">
        <v>2147</v>
      </c>
      <c r="E129" s="39" t="s">
        <v>2148</v>
      </c>
      <c r="F129" s="39" t="s">
        <v>302</v>
      </c>
      <c r="G129" s="39" t="s">
        <v>1974</v>
      </c>
    </row>
    <row r="130" customFormat="false" ht="12.8" hidden="false" customHeight="false" outlineLevel="0" collapsed="false">
      <c r="A130" s="50" t="s">
        <v>2149</v>
      </c>
      <c r="B130" s="72" t="s">
        <v>453</v>
      </c>
      <c r="C130" s="39" t="s">
        <v>2150</v>
      </c>
      <c r="D130" s="39" t="s">
        <v>2151</v>
      </c>
      <c r="E130" s="39" t="s">
        <v>306</v>
      </c>
      <c r="F130" s="39" t="s">
        <v>302</v>
      </c>
      <c r="G130" s="39" t="s">
        <v>1974</v>
      </c>
    </row>
    <row r="132" customFormat="false" ht="12.8" hidden="false" customHeight="false" outlineLevel="0" collapsed="false">
      <c r="A132" s="50" t="s">
        <v>2152</v>
      </c>
      <c r="B132" s="72" t="s">
        <v>2153</v>
      </c>
    </row>
    <row r="133" customFormat="false" ht="12.8" hidden="false" customHeight="false" outlineLevel="0" collapsed="false">
      <c r="A133" s="50" t="s">
        <v>683</v>
      </c>
      <c r="B133" s="72" t="s">
        <v>184</v>
      </c>
      <c r="C133" s="39" t="s">
        <v>684</v>
      </c>
      <c r="D133" s="39" t="s">
        <v>186</v>
      </c>
      <c r="E133" s="39" t="s">
        <v>678</v>
      </c>
      <c r="F133" s="39" t="s">
        <v>679</v>
      </c>
      <c r="G133" s="39" t="s">
        <v>680</v>
      </c>
      <c r="H133" s="39" t="s">
        <v>187</v>
      </c>
    </row>
    <row r="134" customFormat="false" ht="12.8" hidden="false" customHeight="false" outlineLevel="0" collapsed="false">
      <c r="A134" s="50" t="s">
        <v>2154</v>
      </c>
      <c r="B134" s="72" t="s">
        <v>2155</v>
      </c>
      <c r="C134" s="39" t="n">
        <v>64000</v>
      </c>
      <c r="D134" s="39" t="s">
        <v>2156</v>
      </c>
      <c r="E134" s="39" t="s">
        <v>689</v>
      </c>
      <c r="F134" s="39" t="s">
        <v>690</v>
      </c>
      <c r="G134" s="51" t="s">
        <v>691</v>
      </c>
      <c r="H134" s="39" t="s">
        <v>302</v>
      </c>
    </row>
    <row r="135" customFormat="false" ht="12.8" hidden="false" customHeight="false" outlineLevel="0" collapsed="false">
      <c r="A135" s="50" t="s">
        <v>2157</v>
      </c>
      <c r="B135" s="72" t="s">
        <v>2158</v>
      </c>
      <c r="C135" s="39" t="s">
        <v>2159</v>
      </c>
      <c r="D135" s="39" t="s">
        <v>982</v>
      </c>
      <c r="E135" s="39" t="s">
        <v>983</v>
      </c>
      <c r="F135" s="39" t="s">
        <v>984</v>
      </c>
      <c r="G135" s="51" t="s">
        <v>691</v>
      </c>
      <c r="H135" s="39" t="s">
        <v>302</v>
      </c>
    </row>
    <row r="136" customFormat="false" ht="12.8" hidden="false" customHeight="false" outlineLevel="0" collapsed="false">
      <c r="A136" s="50" t="s">
        <v>2160</v>
      </c>
      <c r="B136" s="72" t="s">
        <v>2161</v>
      </c>
      <c r="C136" s="39" t="s">
        <v>2162</v>
      </c>
      <c r="D136" s="39" t="s">
        <v>2163</v>
      </c>
      <c r="E136" s="39" t="s">
        <v>983</v>
      </c>
      <c r="F136" s="39" t="s">
        <v>984</v>
      </c>
      <c r="G136" s="51" t="s">
        <v>691</v>
      </c>
      <c r="H136" s="39" t="s">
        <v>989</v>
      </c>
      <c r="I136" s="39" t="s">
        <v>302</v>
      </c>
    </row>
    <row r="137" customFormat="false" ht="12.8" hidden="false" customHeight="false" outlineLevel="0" collapsed="false">
      <c r="A137" s="50" t="s">
        <v>2164</v>
      </c>
      <c r="B137" s="72" t="s">
        <v>1277</v>
      </c>
      <c r="C137" s="39" t="n">
        <v>1.25</v>
      </c>
      <c r="D137" s="39" t="s">
        <v>2165</v>
      </c>
      <c r="E137" s="39" t="s">
        <v>689</v>
      </c>
      <c r="F137" s="39" t="s">
        <v>2166</v>
      </c>
      <c r="G137" s="51" t="s">
        <v>691</v>
      </c>
      <c r="H137" s="39" t="s">
        <v>302</v>
      </c>
    </row>
    <row r="138" customFormat="false" ht="12.8" hidden="false" customHeight="false" outlineLevel="0" collapsed="false">
      <c r="A138" s="50" t="s">
        <v>2167</v>
      </c>
      <c r="B138" s="72" t="s">
        <v>1281</v>
      </c>
      <c r="C138" s="39" t="n">
        <v>0.82</v>
      </c>
      <c r="D138" s="39" t="s">
        <v>2168</v>
      </c>
      <c r="E138" s="39" t="s">
        <v>689</v>
      </c>
      <c r="F138" s="39" t="s">
        <v>2169</v>
      </c>
      <c r="G138" s="51" t="s">
        <v>691</v>
      </c>
      <c r="H138" s="39" t="s">
        <v>302</v>
      </c>
    </row>
    <row r="139" customFormat="false" ht="12.8" hidden="false" customHeight="false" outlineLevel="0" collapsed="false">
      <c r="A139" s="50" t="s">
        <v>2170</v>
      </c>
      <c r="B139" s="72" t="s">
        <v>1285</v>
      </c>
      <c r="C139" s="39" t="n">
        <v>4</v>
      </c>
      <c r="D139" s="39" t="s">
        <v>1000</v>
      </c>
      <c r="E139" s="39" t="s">
        <v>689</v>
      </c>
      <c r="F139" s="39" t="s">
        <v>2171</v>
      </c>
      <c r="G139" s="51" t="s">
        <v>691</v>
      </c>
      <c r="H139" s="39" t="s">
        <v>302</v>
      </c>
    </row>
    <row r="140" customFormat="false" ht="12.8" hidden="false" customHeight="false" outlineLevel="0" collapsed="false">
      <c r="A140" s="50" t="s">
        <v>2172</v>
      </c>
      <c r="B140" s="72" t="s">
        <v>2173</v>
      </c>
      <c r="C140" s="39" t="s">
        <v>2174</v>
      </c>
      <c r="D140" s="39" t="s">
        <v>993</v>
      </c>
      <c r="E140" s="39" t="s">
        <v>983</v>
      </c>
      <c r="F140" s="39" t="s">
        <v>984</v>
      </c>
      <c r="G140" s="51" t="s">
        <v>691</v>
      </c>
      <c r="H140" s="39" t="s">
        <v>974</v>
      </c>
      <c r="I140" s="39" t="s">
        <v>302</v>
      </c>
    </row>
    <row r="142" customFormat="false" ht="12.8" hidden="false" customHeight="false" outlineLevel="0" collapsed="false">
      <c r="A142" s="50" t="s">
        <v>2175</v>
      </c>
      <c r="B142" s="72" t="s">
        <v>2176</v>
      </c>
    </row>
    <row r="143" customFormat="false" ht="12.8" hidden="false" customHeight="false" outlineLevel="0" collapsed="false">
      <c r="A143" s="50" t="s">
        <v>113</v>
      </c>
      <c r="B143" s="72" t="s">
        <v>186</v>
      </c>
      <c r="C143" s="39" t="s">
        <v>677</v>
      </c>
      <c r="D143" s="39" t="s">
        <v>1875</v>
      </c>
      <c r="E143" s="39" t="s">
        <v>678</v>
      </c>
      <c r="F143" s="39" t="s">
        <v>1876</v>
      </c>
    </row>
    <row r="144" customFormat="false" ht="12.8" hidden="false" customHeight="false" outlineLevel="0" collapsed="false">
      <c r="A144" s="50" t="s">
        <v>2177</v>
      </c>
      <c r="B144" s="72" t="s">
        <v>1439</v>
      </c>
      <c r="C144" s="39" t="n">
        <v>64000</v>
      </c>
      <c r="D144" s="39" t="s">
        <v>690</v>
      </c>
      <c r="E144" s="39" t="s">
        <v>689</v>
      </c>
      <c r="F144" s="39" t="s">
        <v>1879</v>
      </c>
    </row>
    <row r="145" customFormat="false" ht="12.8" hidden="false" customHeight="false" outlineLevel="0" collapsed="false">
      <c r="A145" s="50" t="s">
        <v>2178</v>
      </c>
      <c r="B145" s="72" t="s">
        <v>1881</v>
      </c>
      <c r="C145" s="39" t="s">
        <v>2179</v>
      </c>
      <c r="D145" s="39" t="s">
        <v>2180</v>
      </c>
      <c r="E145" s="39" t="s">
        <v>689</v>
      </c>
      <c r="F145" s="39" t="s">
        <v>2119</v>
      </c>
    </row>
    <row r="146" customFormat="false" ht="12.8" hidden="false" customHeight="false" outlineLevel="0" collapsed="false">
      <c r="A146" s="50" t="s">
        <v>2181</v>
      </c>
      <c r="B146" s="72" t="s">
        <v>2182</v>
      </c>
      <c r="C146" s="39" t="s">
        <v>1887</v>
      </c>
      <c r="D146" s="39" t="s">
        <v>2183</v>
      </c>
      <c r="E146" s="39" t="s">
        <v>689</v>
      </c>
      <c r="F146" s="39" t="s">
        <v>1889</v>
      </c>
    </row>
    <row r="147" customFormat="false" ht="12.8" hidden="false" customHeight="false" outlineLevel="0" collapsed="false">
      <c r="A147" s="50" t="s">
        <v>2184</v>
      </c>
      <c r="B147" s="72" t="s">
        <v>1891</v>
      </c>
      <c r="C147" s="39" t="s">
        <v>2185</v>
      </c>
      <c r="D147" s="39" t="s">
        <v>2186</v>
      </c>
      <c r="E147" s="39" t="s">
        <v>689</v>
      </c>
      <c r="F147" s="39" t="s">
        <v>2187</v>
      </c>
    </row>
    <row r="148" customFormat="false" ht="12.8" hidden="false" customHeight="false" outlineLevel="0" collapsed="false">
      <c r="A148" s="50" t="s">
        <v>2188</v>
      </c>
      <c r="B148" s="72" t="s">
        <v>1896</v>
      </c>
      <c r="C148" s="39" t="s">
        <v>1962</v>
      </c>
      <c r="D148" s="39" t="s">
        <v>2189</v>
      </c>
      <c r="E148" s="39" t="s">
        <v>689</v>
      </c>
      <c r="F148" s="39" t="s">
        <v>2130</v>
      </c>
    </row>
    <row r="149" customFormat="false" ht="12.8" hidden="false" customHeight="false" outlineLevel="0" collapsed="false">
      <c r="A149" s="50" t="s">
        <v>2190</v>
      </c>
      <c r="B149" s="72" t="s">
        <v>1901</v>
      </c>
      <c r="C149" s="39" t="s">
        <v>1902</v>
      </c>
      <c r="D149" s="39" t="s">
        <v>2191</v>
      </c>
      <c r="E149" s="39" t="s">
        <v>689</v>
      </c>
      <c r="F149" s="39" t="s">
        <v>1904</v>
      </c>
    </row>
    <row r="150" customFormat="false" ht="12.8" hidden="false" customHeight="false" outlineLevel="0" collapsed="false">
      <c r="A150" s="50" t="s">
        <v>2192</v>
      </c>
      <c r="B150" s="72" t="s">
        <v>2193</v>
      </c>
      <c r="C150" s="39" t="s">
        <v>2194</v>
      </c>
      <c r="D150" s="39" t="s">
        <v>1908</v>
      </c>
      <c r="E150" s="39" t="s">
        <v>689</v>
      </c>
      <c r="F150" s="39" t="s">
        <v>2195</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8000"/>
    <pageSetUpPr fitToPage="false"/>
  </sheetPr>
  <dimension ref="A1:BB156"/>
  <sheetViews>
    <sheetView showFormulas="false" showGridLines="true" showRowColHeaders="true" showZeros="true" rightToLeft="false" tabSelected="false" showOutlineSymbols="true" defaultGridColor="true" view="normal" topLeftCell="A12" colorId="64" zoomScale="65" zoomScaleNormal="65" zoomScalePageLayoutView="100" workbookViewId="0">
      <selection pane="topLeft" activeCell="A147" activeCellId="0" sqref="A147"/>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20" min="7" style="39" width="16.84"/>
    <col collapsed="false" customWidth="true" hidden="false" outlineLevel="0" max="34" min="21" style="39" width="17.78"/>
    <col collapsed="false" customWidth="true" hidden="false" outlineLevel="0" max="37" min="35" style="39" width="15.48"/>
    <col collapsed="false" customWidth="true" hidden="false" outlineLevel="0" max="42" min="42" style="39" width="18.45"/>
    <col collapsed="false" customWidth="true" hidden="false" outlineLevel="0" max="45" min="43" style="39" width="16.14"/>
    <col collapsed="false" customWidth="true" hidden="false" outlineLevel="0" max="53" min="46" style="39" width="13.84"/>
  </cols>
  <sheetData>
    <row r="1" customFormat="false" ht="12.9" hidden="false" customHeight="false" outlineLevel="0" collapsed="false">
      <c r="A1" s="4" t="s">
        <v>2196</v>
      </c>
      <c r="B1" s="42" t="s">
        <v>2197</v>
      </c>
      <c r="C1" s="6" t="s">
        <v>2</v>
      </c>
      <c r="D1" s="67" t="s">
        <v>2198</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row>
    <row r="2" customFormat="false" ht="12.8" hidden="false" customHeight="false" outlineLevel="0" collapsed="false">
      <c r="A2" s="65" t="str">
        <f aca="false">_xlfn.CONCAT($A$1, ".", "CALC")</f>
        <v>LSD.RID.0.AL.U3TPR.CALC</v>
      </c>
      <c r="B2" s="66" t="str">
        <f aca="false">_xlfn.CONCAT($B$1, " ", "Calculations")</f>
        <v>Alabama Unemployment-to-Population Ratio (U3TPR) Calculations</v>
      </c>
      <c r="C2" s="56" t="str">
        <f aca="false">CALC!AB2</f>
        <v>Unemployment-to-Population Ratio (U3TPR)</v>
      </c>
      <c r="D2" s="56"/>
      <c r="E2" s="56"/>
      <c r="F2" s="56"/>
      <c r="G2" s="64"/>
      <c r="H2" s="64"/>
      <c r="I2" s="64"/>
      <c r="J2" s="64"/>
      <c r="K2" s="64" t="s">
        <v>2199</v>
      </c>
      <c r="L2" s="64" t="s">
        <v>2200</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row>
    <row r="3" customFormat="false" ht="12.8" hidden="false" customHeight="false" outlineLevel="0" collapsed="false">
      <c r="A3" s="65" t="str">
        <f aca="false">CALC!A3</f>
        <v>LSID</v>
      </c>
      <c r="B3" s="42" t="str">
        <f aca="false">CALC!C3</f>
        <v>Labor Sector</v>
      </c>
      <c r="C3" s="60" t="str">
        <f aca="false">CALC!AB3</f>
        <v>Overall U3TPR</v>
      </c>
      <c r="D3" s="60" t="str">
        <f aca="false">CALC!AC3</f>
        <v>Authorized U3TPR</v>
      </c>
      <c r="E3" s="60" t="str">
        <f aca="false">CALC!AD3</f>
        <v>Unauthorized U3TPR</v>
      </c>
      <c r="F3" s="60" t="str">
        <f aca="false">CALC!AE3</f>
        <v>American U3TPR</v>
      </c>
      <c r="K3" s="39" t="s">
        <v>1424</v>
      </c>
      <c r="L3" s="39" t="s">
        <v>1426</v>
      </c>
      <c r="M3" s="39" t="s">
        <v>1451</v>
      </c>
      <c r="N3" s="39" t="s">
        <v>1452</v>
      </c>
      <c r="O3" s="39" t="s">
        <v>1453</v>
      </c>
      <c r="P3" s="39" t="s">
        <v>1454</v>
      </c>
      <c r="Z3" s="3"/>
      <c r="AA3" s="3"/>
      <c r="AB3" s="3"/>
      <c r="AC3" s="3"/>
      <c r="AL3" s="39"/>
      <c r="AM3" s="39"/>
      <c r="AN3" s="39"/>
      <c r="AO3" s="39"/>
      <c r="AP3" s="3"/>
      <c r="AQ3" s="3"/>
      <c r="AR3" s="3"/>
      <c r="AS3" s="3"/>
      <c r="AT3" s="3"/>
      <c r="AU3" s="3"/>
      <c r="AV3" s="3"/>
      <c r="AW3" s="3"/>
      <c r="AX3" s="3"/>
      <c r="AY3" s="3"/>
      <c r="AZ3" s="3"/>
      <c r="BA3" s="3"/>
    </row>
    <row r="4" customFormat="false" ht="12.8" hidden="false" customHeight="false" outlineLevel="0" collapsed="false">
      <c r="A4" s="65" t="str">
        <f aca="false">_xlfn.CONCAT($A$1, ".", CALC!A4)</f>
        <v>LSD.RID.0.AL.U3TPR.0</v>
      </c>
      <c r="B4" s="42" t="str">
        <f aca="false">CALC!C4</f>
        <v>All Industries</v>
      </c>
      <c r="C4" s="39" t="n">
        <v>0.0155</v>
      </c>
      <c r="D4" s="39" t="n">
        <v>0.0128</v>
      </c>
      <c r="E4" s="39" t="n">
        <v>0.0482</v>
      </c>
      <c r="F4" s="39" t="n">
        <v>0.0151</v>
      </c>
      <c r="K4" s="39" t="s">
        <v>2201</v>
      </c>
      <c r="L4" s="39" t="s">
        <v>1563</v>
      </c>
      <c r="M4" s="39" t="n">
        <v>0.0155</v>
      </c>
      <c r="N4" s="39" t="n">
        <v>0.0128</v>
      </c>
      <c r="O4" s="39" t="n">
        <v>0.0482</v>
      </c>
      <c r="P4" s="39" t="n">
        <v>0.0151</v>
      </c>
      <c r="Z4" s="3"/>
      <c r="AA4" s="3"/>
      <c r="AB4" s="3"/>
      <c r="AC4" s="3"/>
      <c r="AL4" s="39"/>
      <c r="AM4" s="39"/>
      <c r="AN4" s="39"/>
      <c r="AO4" s="39"/>
      <c r="AP4" s="3"/>
      <c r="AQ4" s="3"/>
      <c r="AR4" s="3"/>
      <c r="AS4" s="3"/>
      <c r="AT4" s="3"/>
      <c r="AU4" s="3"/>
      <c r="AV4" s="3"/>
      <c r="AW4" s="3"/>
      <c r="AX4" s="3"/>
      <c r="AY4" s="3"/>
      <c r="AZ4" s="3"/>
      <c r="BA4" s="3"/>
    </row>
    <row r="5" customFormat="false" ht="23.85" hidden="false" customHeight="false" outlineLevel="0" collapsed="false">
      <c r="A5" s="65" t="str">
        <f aca="false">_xlfn.CONCAT($A$1, ".", CALC!A5)</f>
        <v>LSD.RID.0.AL.U3TPR.1</v>
      </c>
      <c r="B5" s="68" t="str">
        <f aca="false">CALC!C5</f>
        <v>Agriculture, Forestry, 
Fishing and Hunting</v>
      </c>
      <c r="C5" s="39" t="n">
        <v>0.0293</v>
      </c>
      <c r="D5" s="39" t="n">
        <v>0.0185</v>
      </c>
      <c r="E5" s="39" t="n">
        <v>0.0921</v>
      </c>
      <c r="F5" s="39" t="n">
        <v>0.0284</v>
      </c>
      <c r="K5" s="39" t="s">
        <v>2202</v>
      </c>
      <c r="L5" s="39" t="s">
        <v>2203</v>
      </c>
      <c r="M5" s="39" t="n">
        <v>0.0293</v>
      </c>
      <c r="N5" s="39" t="n">
        <v>0.0185</v>
      </c>
      <c r="O5" s="39" t="n">
        <v>0.0921</v>
      </c>
      <c r="P5" s="39" t="n">
        <v>0.0284</v>
      </c>
      <c r="Z5" s="3"/>
      <c r="AA5" s="3"/>
      <c r="AB5" s="3"/>
      <c r="AC5" s="3"/>
      <c r="AL5" s="39"/>
      <c r="AM5" s="39"/>
      <c r="AN5" s="39"/>
      <c r="AO5" s="39"/>
      <c r="AP5" s="3"/>
      <c r="AQ5" s="3"/>
      <c r="AR5" s="3"/>
      <c r="AS5" s="3"/>
      <c r="AT5" s="3"/>
      <c r="AU5" s="3"/>
      <c r="AV5" s="3"/>
      <c r="AW5" s="3"/>
      <c r="AX5" s="3"/>
      <c r="AY5" s="3"/>
      <c r="AZ5" s="3"/>
      <c r="BA5" s="3"/>
    </row>
    <row r="6" customFormat="false" ht="23.85" hidden="false" customHeight="false" outlineLevel="0" collapsed="false">
      <c r="A6" s="65" t="str">
        <f aca="false">_xlfn.CONCAT($A$1, ".", CALC!A6)</f>
        <v>LSD.RID.0.AL.U3TPR.2</v>
      </c>
      <c r="B6" s="68" t="str">
        <f aca="false">CALC!C6</f>
        <v>Mining, Quarrying, and
Oil and Gas Extraction</v>
      </c>
      <c r="C6" s="39" t="n">
        <v>0.0111</v>
      </c>
      <c r="D6" s="39" t="n">
        <v>0.0092</v>
      </c>
      <c r="E6" s="39" t="n">
        <v>0.0584</v>
      </c>
      <c r="F6" s="39" t="n">
        <v>0.0108</v>
      </c>
      <c r="K6" s="39" t="s">
        <v>2204</v>
      </c>
      <c r="L6" s="39" t="s">
        <v>2205</v>
      </c>
      <c r="M6" s="39" t="n">
        <v>0.0111</v>
      </c>
      <c r="N6" s="39" t="n">
        <v>0.0092</v>
      </c>
      <c r="O6" s="39" t="n">
        <v>0.0584</v>
      </c>
      <c r="P6" s="39" t="n">
        <v>0.0108</v>
      </c>
      <c r="Z6" s="3"/>
      <c r="AA6" s="3"/>
      <c r="AB6" s="3"/>
      <c r="AC6" s="3"/>
      <c r="AL6" s="39"/>
      <c r="AM6" s="39"/>
      <c r="AN6" s="39"/>
      <c r="AO6" s="39"/>
      <c r="AP6" s="3"/>
      <c r="AQ6" s="3"/>
      <c r="AR6" s="3"/>
      <c r="AS6" s="3"/>
      <c r="AT6" s="3"/>
      <c r="AU6" s="3"/>
      <c r="AV6" s="3"/>
      <c r="AW6" s="3"/>
      <c r="AX6" s="3"/>
      <c r="AY6" s="3"/>
      <c r="AZ6" s="3"/>
      <c r="BA6" s="3"/>
    </row>
    <row r="7" customFormat="false" ht="12.8" hidden="false" customHeight="false" outlineLevel="0" collapsed="false">
      <c r="A7" s="65" t="str">
        <f aca="false">_xlfn.CONCAT($A$1, ".", CALC!A7)</f>
        <v>LSD.RID.0.AL.U3TPR.3</v>
      </c>
      <c r="B7" s="42" t="str">
        <f aca="false">CALC!C7</f>
        <v>Utilities</v>
      </c>
      <c r="C7" s="39" t="n">
        <v>0.0111</v>
      </c>
      <c r="D7" s="39" t="n">
        <v>0.0098</v>
      </c>
      <c r="E7" s="39" t="n">
        <v>0.0742</v>
      </c>
      <c r="F7" s="39" t="n">
        <v>0.0107</v>
      </c>
      <c r="K7" s="39" t="s">
        <v>2206</v>
      </c>
      <c r="L7" s="39" t="s">
        <v>1566</v>
      </c>
      <c r="M7" s="39" t="n">
        <v>0.0111</v>
      </c>
      <c r="N7" s="39" t="n">
        <v>0.0098</v>
      </c>
      <c r="O7" s="39" t="n">
        <v>0.0742</v>
      </c>
      <c r="P7" s="39" t="n">
        <v>0.0107</v>
      </c>
      <c r="Z7" s="3"/>
      <c r="AA7" s="3"/>
      <c r="AB7" s="3"/>
      <c r="AC7" s="3"/>
      <c r="AL7" s="39"/>
      <c r="AM7" s="39"/>
      <c r="AN7" s="39"/>
      <c r="AO7" s="39"/>
      <c r="AP7" s="3"/>
      <c r="AQ7" s="3"/>
      <c r="AR7" s="3"/>
      <c r="AS7" s="3"/>
      <c r="AT7" s="3"/>
      <c r="AU7" s="3"/>
      <c r="AV7" s="3"/>
      <c r="AW7" s="3"/>
      <c r="AX7" s="3"/>
      <c r="AY7" s="3"/>
      <c r="AZ7" s="3"/>
      <c r="BA7" s="3"/>
    </row>
    <row r="8" customFormat="false" ht="12.8" hidden="false" customHeight="false" outlineLevel="0" collapsed="false">
      <c r="A8" s="65" t="str">
        <f aca="false">_xlfn.CONCAT($A$1, ".", CALC!A8)</f>
        <v>LSD.RID.0.AL.U3TPR.4</v>
      </c>
      <c r="B8" s="42" t="str">
        <f aca="false">CALC!C8</f>
        <v>Construction</v>
      </c>
      <c r="C8" s="39" t="n">
        <v>0.0122</v>
      </c>
      <c r="D8" s="39" t="n">
        <v>0.0101</v>
      </c>
      <c r="E8" s="39" t="n">
        <v>0.0789</v>
      </c>
      <c r="F8" s="39" t="n">
        <v>0.0119</v>
      </c>
      <c r="K8" s="39" t="s">
        <v>2207</v>
      </c>
      <c r="L8" s="39" t="s">
        <v>1567</v>
      </c>
      <c r="M8" s="39" t="n">
        <v>0.0122</v>
      </c>
      <c r="N8" s="39" t="n">
        <v>0.0101</v>
      </c>
      <c r="O8" s="39" t="n">
        <v>0.0789</v>
      </c>
      <c r="P8" s="39" t="n">
        <v>0.0119</v>
      </c>
      <c r="Z8" s="3"/>
      <c r="AA8" s="3"/>
      <c r="AB8" s="3"/>
      <c r="AC8" s="3"/>
      <c r="AL8" s="39"/>
      <c r="AM8" s="39"/>
      <c r="AN8" s="39"/>
      <c r="AO8" s="39"/>
      <c r="AP8" s="3"/>
      <c r="AQ8" s="3"/>
      <c r="AR8" s="3"/>
      <c r="AS8" s="3"/>
      <c r="AT8" s="3"/>
      <c r="AU8" s="3"/>
      <c r="AV8" s="3"/>
      <c r="AW8" s="3"/>
      <c r="AX8" s="3"/>
      <c r="AY8" s="3"/>
      <c r="AZ8" s="3"/>
      <c r="BA8" s="3"/>
    </row>
    <row r="9" customFormat="false" ht="23.85" hidden="false" customHeight="false" outlineLevel="0" collapsed="false">
      <c r="A9" s="65" t="str">
        <f aca="false">_xlfn.CONCAT($A$1, ".", CALC!A9)</f>
        <v>LSD.RID.0.AL.U3TPR.5</v>
      </c>
      <c r="B9" s="68" t="str">
        <f aca="false">CALC!C9</f>
        <v>Manufacturing
(Food,Textile, etc.)</v>
      </c>
      <c r="C9" s="39" t="n">
        <v>0.0057</v>
      </c>
      <c r="D9" s="39" t="n">
        <v>0.0047</v>
      </c>
      <c r="E9" s="39" t="n">
        <v>0.0468</v>
      </c>
      <c r="F9" s="39" t="n">
        <v>0.0055</v>
      </c>
      <c r="K9" s="39" t="s">
        <v>2208</v>
      </c>
      <c r="L9" s="39" t="s">
        <v>2209</v>
      </c>
      <c r="M9" s="39" t="n">
        <v>0.0057</v>
      </c>
      <c r="N9" s="39" t="n">
        <v>0.0047</v>
      </c>
      <c r="O9" s="39" t="n">
        <v>0.0468</v>
      </c>
      <c r="P9" s="39" t="n">
        <v>0.0055</v>
      </c>
      <c r="Z9" s="3"/>
      <c r="AA9" s="3"/>
      <c r="AB9" s="3"/>
      <c r="AC9" s="3"/>
      <c r="AL9" s="39"/>
      <c r="AM9" s="39"/>
      <c r="AN9" s="39"/>
      <c r="AO9" s="39"/>
      <c r="AP9" s="3"/>
      <c r="AQ9" s="3"/>
      <c r="AR9" s="3"/>
      <c r="AS9" s="3"/>
      <c r="AT9" s="3"/>
      <c r="AU9" s="3"/>
      <c r="AV9" s="3"/>
      <c r="AW9" s="3"/>
      <c r="AX9" s="3"/>
      <c r="AY9" s="3"/>
      <c r="AZ9" s="3"/>
      <c r="BA9" s="3"/>
    </row>
    <row r="10" customFormat="false" ht="23.85" hidden="false" customHeight="false" outlineLevel="0" collapsed="false">
      <c r="A10" s="65" t="str">
        <f aca="false">_xlfn.CONCAT($A$1, ".", CALC!A10)</f>
        <v>LSD.RID.0.AL.U3TPR.6</v>
      </c>
      <c r="B10" s="68" t="str">
        <f aca="false">CALC!C10</f>
        <v>Manufacturing (Wood,
Paper, Printing, etc.)</v>
      </c>
      <c r="C10" s="39" t="n">
        <v>0.004</v>
      </c>
      <c r="D10" s="39" t="n">
        <v>0.0033</v>
      </c>
      <c r="E10" s="39" t="n">
        <v>0.0395</v>
      </c>
      <c r="F10" s="39" t="n">
        <v>0.0039</v>
      </c>
      <c r="K10" s="39" t="s">
        <v>2210</v>
      </c>
      <c r="L10" s="39" t="s">
        <v>2211</v>
      </c>
      <c r="M10" s="39" t="n">
        <v>0.004</v>
      </c>
      <c r="N10" s="39" t="n">
        <v>0.0033</v>
      </c>
      <c r="O10" s="39" t="n">
        <v>0.0395</v>
      </c>
      <c r="P10" s="39" t="n">
        <v>0.0039</v>
      </c>
      <c r="Z10" s="3"/>
      <c r="AA10" s="3"/>
      <c r="AB10" s="3"/>
      <c r="AC10" s="3"/>
      <c r="AL10" s="39"/>
      <c r="AM10" s="39"/>
      <c r="AN10" s="39"/>
      <c r="AO10" s="39"/>
      <c r="AP10" s="3"/>
      <c r="AQ10" s="3"/>
      <c r="AR10" s="3"/>
      <c r="AS10" s="3"/>
      <c r="AT10" s="3"/>
      <c r="AU10" s="3"/>
      <c r="AV10" s="3"/>
      <c r="AW10" s="3"/>
      <c r="AX10" s="3"/>
      <c r="AY10" s="3"/>
      <c r="AZ10" s="3"/>
      <c r="BA10" s="3"/>
    </row>
    <row r="11" customFormat="false" ht="23.85" hidden="false" customHeight="false" outlineLevel="0" collapsed="false">
      <c r="A11" s="65" t="str">
        <f aca="false">_xlfn.CONCAT($A$1, ".", CALC!A11)</f>
        <v>LSD.RID.0.AL.U3TPR.7</v>
      </c>
      <c r="B11" s="68" t="str">
        <f aca="false">CALC!C11</f>
        <v>Manufacturing
(Machinery, Transport)</v>
      </c>
      <c r="C11" s="39" t="n">
        <v>0.0082</v>
      </c>
      <c r="D11" s="39" t="n">
        <v>0.0068</v>
      </c>
      <c r="E11" s="39" t="n">
        <v>0.0512</v>
      </c>
      <c r="F11" s="39" t="n">
        <v>0.008</v>
      </c>
      <c r="K11" s="39" t="s">
        <v>2212</v>
      </c>
      <c r="L11" s="39" t="s">
        <v>2213</v>
      </c>
      <c r="M11" s="39" t="n">
        <v>0.0082</v>
      </c>
      <c r="N11" s="39" t="n">
        <v>0.0068</v>
      </c>
      <c r="O11" s="39" t="n">
        <v>0.0512</v>
      </c>
      <c r="P11" s="39" t="n">
        <v>0.008</v>
      </c>
      <c r="Z11" s="3"/>
      <c r="AA11" s="3"/>
      <c r="AB11" s="3"/>
      <c r="AC11" s="3"/>
      <c r="AL11" s="39"/>
      <c r="AM11" s="39"/>
      <c r="AN11" s="39"/>
      <c r="AO11" s="39"/>
      <c r="AP11" s="3"/>
      <c r="AQ11" s="3"/>
      <c r="AR11" s="3"/>
      <c r="AS11" s="3"/>
      <c r="AT11" s="3"/>
      <c r="AU11" s="3"/>
      <c r="AV11" s="3"/>
      <c r="AW11" s="3"/>
      <c r="AX11" s="3"/>
      <c r="AY11" s="3"/>
      <c r="AZ11" s="3"/>
      <c r="BA11" s="3"/>
    </row>
    <row r="12" customFormat="false" ht="12.8" hidden="false" customHeight="false" outlineLevel="0" collapsed="false">
      <c r="A12" s="65" t="str">
        <f aca="false">_xlfn.CONCAT($A$1, ".", CALC!A12)</f>
        <v>LSD.RID.0.AL.U3TPR.8</v>
      </c>
      <c r="B12" s="42" t="str">
        <f aca="false">CALC!C12</f>
        <v>Wholesale Trade</v>
      </c>
      <c r="C12" s="39" t="n">
        <v>0.0029</v>
      </c>
      <c r="D12" s="39" t="n">
        <v>0.0024</v>
      </c>
      <c r="E12" s="39" t="n">
        <v>0.0321</v>
      </c>
      <c r="F12" s="39" t="n">
        <v>0.0028</v>
      </c>
      <c r="K12" s="39" t="s">
        <v>2214</v>
      </c>
      <c r="L12" s="39" t="s">
        <v>1571</v>
      </c>
      <c r="M12" s="39" t="n">
        <v>0.0029</v>
      </c>
      <c r="N12" s="39" t="n">
        <v>0.0024</v>
      </c>
      <c r="O12" s="39" t="n">
        <v>0.0321</v>
      </c>
      <c r="P12" s="39" t="n">
        <v>0.0028</v>
      </c>
      <c r="Z12" s="3"/>
      <c r="AA12" s="3"/>
      <c r="AB12" s="3"/>
      <c r="AC12" s="3"/>
      <c r="AL12" s="39"/>
      <c r="AM12" s="39"/>
      <c r="AN12" s="39"/>
      <c r="AO12" s="39"/>
      <c r="AP12" s="3"/>
      <c r="AQ12" s="3"/>
      <c r="AR12" s="3"/>
      <c r="AS12" s="3"/>
      <c r="AT12" s="3"/>
      <c r="AU12" s="3"/>
      <c r="AV12" s="3"/>
      <c r="AW12" s="3"/>
      <c r="AX12" s="3"/>
      <c r="AY12" s="3"/>
      <c r="AZ12" s="3"/>
      <c r="BA12" s="3"/>
    </row>
    <row r="13" customFormat="false" ht="23.85" hidden="false" customHeight="false" outlineLevel="0" collapsed="false">
      <c r="A13" s="65" t="str">
        <f aca="false">_xlfn.CONCAT($A$1, ".", CALC!A13)</f>
        <v>LSD.RID.0.AL.U3TPR.9</v>
      </c>
      <c r="B13" s="68" t="str">
        <f aca="false">CALC!C13</f>
        <v>Retail Trade (Motor
Vehicle, Electronics)</v>
      </c>
      <c r="C13" s="39" t="n">
        <v>0.0019</v>
      </c>
      <c r="D13" s="39" t="n">
        <v>0.0016</v>
      </c>
      <c r="E13" s="39" t="n">
        <v>0.0284</v>
      </c>
      <c r="F13" s="39" t="n">
        <v>0.0018</v>
      </c>
      <c r="K13" s="39" t="s">
        <v>2215</v>
      </c>
      <c r="L13" s="39" t="s">
        <v>2216</v>
      </c>
      <c r="M13" s="39" t="n">
        <v>0.0019</v>
      </c>
      <c r="N13" s="39" t="n">
        <v>0.0016</v>
      </c>
      <c r="O13" s="39" t="n">
        <v>0.0284</v>
      </c>
      <c r="P13" s="39" t="n">
        <v>0.0018</v>
      </c>
      <c r="Z13" s="3"/>
      <c r="AA13" s="3"/>
      <c r="AB13" s="3"/>
      <c r="AC13" s="3"/>
      <c r="AL13" s="39"/>
      <c r="AM13" s="39"/>
      <c r="AN13" s="39"/>
      <c r="AO13" s="39"/>
      <c r="AP13" s="3"/>
      <c r="AQ13" s="3"/>
      <c r="AR13" s="3"/>
      <c r="AS13" s="3"/>
      <c r="AT13" s="3"/>
      <c r="AU13" s="3"/>
      <c r="AV13" s="3"/>
      <c r="AW13" s="3"/>
      <c r="AX13" s="3"/>
      <c r="AY13" s="3"/>
      <c r="AZ13" s="3"/>
      <c r="BA13" s="3"/>
    </row>
    <row r="14" customFormat="false" ht="23.85" hidden="false" customHeight="false" outlineLevel="0" collapsed="false">
      <c r="A14" s="65" t="str">
        <f aca="false">_xlfn.CONCAT($A$1, ".", CALC!A14)</f>
        <v>LSD.RID.0.AL.U3TPR.10</v>
      </c>
      <c r="B14" s="68" t="str">
        <f aca="false">CALC!C14</f>
        <v>Retail Trade (Food, Clothing,
General Merchandise, etc.)</v>
      </c>
      <c r="C14" s="39" t="n">
        <v>0.006</v>
      </c>
      <c r="D14" s="39" t="n">
        <v>0.005</v>
      </c>
      <c r="E14" s="39" t="n">
        <v>0.0453</v>
      </c>
      <c r="F14" s="39" t="n">
        <v>0.0058</v>
      </c>
      <c r="K14" s="39" t="s">
        <v>2217</v>
      </c>
      <c r="L14" s="39" t="s">
        <v>2218</v>
      </c>
      <c r="M14" s="39" t="n">
        <v>0.006</v>
      </c>
      <c r="N14" s="39" t="n">
        <v>0.005</v>
      </c>
      <c r="O14" s="39" t="n">
        <v>0.0453</v>
      </c>
      <c r="P14" s="39" t="n">
        <v>0.0058</v>
      </c>
      <c r="Z14" s="3"/>
      <c r="AA14" s="3"/>
      <c r="AB14" s="3"/>
      <c r="AC14" s="3"/>
      <c r="AL14" s="39"/>
      <c r="AM14" s="39"/>
      <c r="AN14" s="39"/>
      <c r="AO14" s="39"/>
      <c r="AP14" s="3"/>
      <c r="AQ14" s="3"/>
      <c r="AR14" s="3"/>
      <c r="AS14" s="3"/>
      <c r="AT14" s="3"/>
      <c r="AU14" s="3"/>
      <c r="AV14" s="3"/>
      <c r="AW14" s="3"/>
      <c r="AX14" s="3"/>
      <c r="AY14" s="3"/>
      <c r="AZ14" s="3"/>
      <c r="BA14" s="3"/>
    </row>
    <row r="15" customFormat="false" ht="12.8" hidden="false" customHeight="false" outlineLevel="0" collapsed="false">
      <c r="A15" s="65" t="str">
        <f aca="false">_xlfn.CONCAT($A$1, ".", CALC!A15)</f>
        <v>LSD.RID.0.AL.U3TPR.11</v>
      </c>
      <c r="B15" s="42" t="str">
        <f aca="false">CALC!C15</f>
        <v>Transportation</v>
      </c>
      <c r="C15" s="39" t="n">
        <v>0.0043</v>
      </c>
      <c r="D15" s="39" t="n">
        <v>0.0036</v>
      </c>
      <c r="E15" s="39" t="n">
        <v>0.0402</v>
      </c>
      <c r="F15" s="39" t="n">
        <v>0.0042</v>
      </c>
      <c r="K15" s="39" t="s">
        <v>2219</v>
      </c>
      <c r="L15" s="39" t="s">
        <v>1574</v>
      </c>
      <c r="M15" s="39" t="n">
        <v>0.0043</v>
      </c>
      <c r="N15" s="39" t="n">
        <v>0.0036</v>
      </c>
      <c r="O15" s="39" t="n">
        <v>0.0402</v>
      </c>
      <c r="P15" s="39" t="n">
        <v>0.0042</v>
      </c>
      <c r="Z15" s="3"/>
      <c r="AA15" s="3"/>
      <c r="AB15" s="3"/>
      <c r="AC15" s="3"/>
      <c r="AL15" s="39"/>
      <c r="AM15" s="39"/>
      <c r="AN15" s="39"/>
      <c r="AO15" s="39"/>
      <c r="AP15" s="3"/>
      <c r="AQ15" s="3"/>
      <c r="AR15" s="3"/>
      <c r="AS15" s="3"/>
      <c r="AT15" s="3"/>
      <c r="AU15" s="3"/>
      <c r="AV15" s="3"/>
      <c r="AW15" s="3"/>
      <c r="AX15" s="3"/>
      <c r="AY15" s="3"/>
      <c r="AZ15" s="3"/>
      <c r="BA15" s="3"/>
    </row>
    <row r="16" customFormat="false" ht="12.8" hidden="false" customHeight="false" outlineLevel="0" collapsed="false">
      <c r="A16" s="65" t="str">
        <f aca="false">_xlfn.CONCAT($A$1, ".", CALC!A16)</f>
        <v>LSD.RID.0.AL.U3TPR.12</v>
      </c>
      <c r="B16" s="42" t="str">
        <f aca="false">CALC!C16</f>
        <v>Warehousing and Storage</v>
      </c>
      <c r="C16" s="39" t="n">
        <v>0.0037</v>
      </c>
      <c r="D16" s="39" t="n">
        <v>0.0031</v>
      </c>
      <c r="E16" s="39" t="n">
        <v>0.0378</v>
      </c>
      <c r="F16" s="39" t="n">
        <v>0.0036</v>
      </c>
      <c r="K16" s="39" t="s">
        <v>2220</v>
      </c>
      <c r="L16" s="39" t="s">
        <v>1575</v>
      </c>
      <c r="M16" s="39" t="n">
        <v>0.0037</v>
      </c>
      <c r="N16" s="39" t="n">
        <v>0.0031</v>
      </c>
      <c r="O16" s="39" t="n">
        <v>0.0378</v>
      </c>
      <c r="P16" s="39" t="n">
        <v>0.0036</v>
      </c>
      <c r="Z16" s="3"/>
      <c r="AA16" s="3"/>
      <c r="AB16" s="3"/>
      <c r="AC16" s="3"/>
      <c r="AL16" s="39"/>
      <c r="AM16" s="39"/>
      <c r="AN16" s="39"/>
      <c r="AO16" s="39"/>
      <c r="AP16" s="3"/>
      <c r="AQ16" s="3"/>
      <c r="AR16" s="3"/>
      <c r="AS16" s="3"/>
      <c r="AT16" s="3"/>
      <c r="AU16" s="3"/>
      <c r="AV16" s="3"/>
      <c r="AW16" s="3"/>
      <c r="AX16" s="3"/>
      <c r="AY16" s="3"/>
      <c r="AZ16" s="3"/>
      <c r="BA16" s="3"/>
    </row>
    <row r="17" customFormat="false" ht="12.8" hidden="false" customHeight="false" outlineLevel="0" collapsed="false">
      <c r="A17" s="65" t="str">
        <f aca="false">_xlfn.CONCAT($A$1, ".", CALC!A17)</f>
        <v>LSD.RID.0.AL.U3TPR.13</v>
      </c>
      <c r="B17" s="42" t="str">
        <f aca="false">CALC!C17</f>
        <v>Information</v>
      </c>
      <c r="C17" s="39" t="n">
        <v>0.0019</v>
      </c>
      <c r="D17" s="39" t="n">
        <v>0.0016</v>
      </c>
      <c r="E17" s="39" t="n">
        <v>0.0305</v>
      </c>
      <c r="F17" s="39" t="n">
        <v>0.0018</v>
      </c>
      <c r="K17" s="39" t="s">
        <v>2221</v>
      </c>
      <c r="L17" s="39" t="s">
        <v>1576</v>
      </c>
      <c r="M17" s="39" t="n">
        <v>0.0019</v>
      </c>
      <c r="N17" s="39" t="n">
        <v>0.0016</v>
      </c>
      <c r="O17" s="39" t="n">
        <v>0.0305</v>
      </c>
      <c r="P17" s="39" t="n">
        <v>0.0018</v>
      </c>
      <c r="Z17" s="3"/>
      <c r="AA17" s="3"/>
      <c r="AB17" s="3"/>
      <c r="AC17" s="3"/>
      <c r="AL17" s="39"/>
      <c r="AM17" s="39"/>
      <c r="AN17" s="39"/>
      <c r="AO17" s="39"/>
      <c r="AP17" s="3"/>
      <c r="AQ17" s="3"/>
      <c r="AR17" s="3"/>
      <c r="AS17" s="3"/>
      <c r="AT17" s="3"/>
      <c r="AU17" s="3"/>
      <c r="AV17" s="3"/>
      <c r="AW17" s="3"/>
      <c r="AX17" s="3"/>
      <c r="AY17" s="3"/>
      <c r="AZ17" s="3"/>
      <c r="BA17" s="3"/>
    </row>
    <row r="18" customFormat="false" ht="12.8" hidden="false" customHeight="false" outlineLevel="0" collapsed="false">
      <c r="A18" s="65" t="str">
        <f aca="false">_xlfn.CONCAT($A$1, ".", CALC!A18)</f>
        <v>LSD.RID.0.AL.U3TPR.14</v>
      </c>
      <c r="B18" s="42" t="str">
        <f aca="false">CALC!C18</f>
        <v>Finance and Insurance</v>
      </c>
      <c r="C18" s="39" t="n">
        <v>0.003</v>
      </c>
      <c r="D18" s="39" t="n">
        <v>0.0025</v>
      </c>
      <c r="E18" s="39" t="n">
        <v>0.0289</v>
      </c>
      <c r="F18" s="39" t="n">
        <v>0.0029</v>
      </c>
      <c r="K18" s="39" t="s">
        <v>2222</v>
      </c>
      <c r="L18" s="39" t="s">
        <v>1577</v>
      </c>
      <c r="M18" s="39" t="n">
        <v>0.003</v>
      </c>
      <c r="N18" s="39" t="n">
        <v>0.0025</v>
      </c>
      <c r="O18" s="39" t="n">
        <v>0.0289</v>
      </c>
      <c r="P18" s="39" t="n">
        <v>0.0029</v>
      </c>
      <c r="Z18" s="3"/>
      <c r="AA18" s="3"/>
      <c r="AB18" s="3"/>
      <c r="AC18" s="3"/>
      <c r="AL18" s="39"/>
      <c r="AM18" s="39"/>
      <c r="AN18" s="39"/>
      <c r="AO18" s="39"/>
      <c r="AP18" s="3"/>
      <c r="AQ18" s="3"/>
      <c r="AR18" s="3"/>
      <c r="AS18" s="3"/>
      <c r="AT18" s="3"/>
      <c r="AU18" s="3"/>
      <c r="AV18" s="3"/>
      <c r="AW18" s="3"/>
      <c r="AX18" s="3"/>
      <c r="AY18" s="3"/>
      <c r="AZ18" s="3"/>
      <c r="BA18" s="3"/>
    </row>
    <row r="19" customFormat="false" ht="23.85" hidden="false" customHeight="false" outlineLevel="0" collapsed="false">
      <c r="A19" s="65" t="str">
        <f aca="false">_xlfn.CONCAT($A$1, ".", CALC!A19)</f>
        <v>LSD.RID.0.AL.U3TPR.15</v>
      </c>
      <c r="B19" s="68" t="str">
        <f aca="false">CALC!C19</f>
        <v>Real Estate and
Rental and Leasing</v>
      </c>
      <c r="C19" s="39" t="n">
        <v>0.0015</v>
      </c>
      <c r="D19" s="39" t="n">
        <v>0.0013</v>
      </c>
      <c r="E19" s="39" t="n">
        <v>0.0267</v>
      </c>
      <c r="F19" s="39" t="n">
        <v>0.0015</v>
      </c>
      <c r="K19" s="39" t="s">
        <v>2223</v>
      </c>
      <c r="L19" s="39" t="s">
        <v>2224</v>
      </c>
      <c r="M19" s="39" t="n">
        <v>0.0015</v>
      </c>
      <c r="N19" s="39" t="n">
        <v>0.0013</v>
      </c>
      <c r="O19" s="39" t="n">
        <v>0.0267</v>
      </c>
      <c r="P19" s="39" t="n">
        <v>0.0015</v>
      </c>
      <c r="Z19" s="3"/>
      <c r="AA19" s="3"/>
      <c r="AB19" s="3"/>
      <c r="AC19" s="3"/>
      <c r="AL19" s="39"/>
      <c r="AM19" s="39"/>
      <c r="AN19" s="39"/>
      <c r="AO19" s="39"/>
      <c r="AP19" s="3"/>
      <c r="AQ19" s="3"/>
      <c r="AR19" s="3"/>
      <c r="AS19" s="3"/>
      <c r="AT19" s="3"/>
      <c r="AU19" s="3"/>
      <c r="AV19" s="3"/>
      <c r="AW19" s="3"/>
      <c r="AX19" s="3"/>
      <c r="AY19" s="3"/>
      <c r="AZ19" s="3"/>
      <c r="BA19" s="3"/>
    </row>
    <row r="20" customFormat="false" ht="23.85" hidden="false" customHeight="false" outlineLevel="0" collapsed="false">
      <c r="A20" s="65" t="str">
        <f aca="false">_xlfn.CONCAT($A$1, ".", CALC!A20)</f>
        <v>LSD.RID.0.AL.U3TPR.16</v>
      </c>
      <c r="B20" s="68" t="str">
        <f aca="false">CALC!C20</f>
        <v>Professional, Scientific,
and Technical Services</v>
      </c>
      <c r="C20" s="39" t="n">
        <v>0.0045</v>
      </c>
      <c r="D20" s="39" t="n">
        <v>0.0037</v>
      </c>
      <c r="E20" s="39" t="n">
        <v>0.0324</v>
      </c>
      <c r="F20" s="39" t="n">
        <v>0.0044</v>
      </c>
      <c r="K20" s="39" t="s">
        <v>2225</v>
      </c>
      <c r="L20" s="39" t="s">
        <v>2226</v>
      </c>
      <c r="M20" s="39" t="n">
        <v>0.0045</v>
      </c>
      <c r="N20" s="39" t="n">
        <v>0.0037</v>
      </c>
      <c r="O20" s="39" t="n">
        <v>0.0324</v>
      </c>
      <c r="P20" s="39" t="n">
        <v>0.0044</v>
      </c>
      <c r="Z20" s="3"/>
      <c r="AA20" s="3"/>
      <c r="AB20" s="3"/>
      <c r="AC20" s="3"/>
      <c r="AL20" s="39"/>
      <c r="AM20" s="39"/>
      <c r="AN20" s="39"/>
      <c r="AO20" s="39"/>
      <c r="AP20" s="3"/>
      <c r="AQ20" s="3"/>
      <c r="AR20" s="3"/>
      <c r="AS20" s="3"/>
      <c r="AT20" s="3"/>
      <c r="AU20" s="3"/>
      <c r="AV20" s="3"/>
      <c r="AW20" s="3"/>
      <c r="AX20" s="3"/>
      <c r="AY20" s="3"/>
      <c r="AZ20" s="3"/>
      <c r="BA20" s="3"/>
    </row>
    <row r="21" customFormat="false" ht="34.4" hidden="false" customHeight="false" outlineLevel="0" collapsed="false">
      <c r="A21" s="65" t="str">
        <f aca="false">_xlfn.CONCAT($A$1, ".", CALC!A21)</f>
        <v>LSD.RID.0.AL.U3TPR.17</v>
      </c>
      <c r="B21" s="68" t="str">
        <f aca="false">CALC!C21</f>
        <v>Administrative and Support
and Waste Management
and Remediation Services</v>
      </c>
      <c r="C21" s="39" t="n">
        <v>0.01</v>
      </c>
      <c r="D21" s="39" t="n">
        <v>0.0083</v>
      </c>
      <c r="E21" s="39" t="n">
        <v>0.0587</v>
      </c>
      <c r="F21" s="39" t="n">
        <v>0.0097</v>
      </c>
      <c r="K21" s="39" t="s">
        <v>2227</v>
      </c>
      <c r="L21" s="39" t="s">
        <v>2228</v>
      </c>
      <c r="M21" s="39" t="n">
        <v>0.01</v>
      </c>
      <c r="N21" s="39" t="n">
        <v>0.0083</v>
      </c>
      <c r="O21" s="39" t="n">
        <v>0.0587</v>
      </c>
      <c r="P21" s="39" t="n">
        <v>0.0097</v>
      </c>
      <c r="Z21" s="3"/>
      <c r="AA21" s="3"/>
      <c r="AB21" s="3"/>
      <c r="AC21" s="3"/>
      <c r="AL21" s="39"/>
      <c r="AM21" s="39"/>
      <c r="AN21" s="39"/>
      <c r="AO21" s="39"/>
      <c r="AP21" s="3"/>
      <c r="AQ21" s="3"/>
      <c r="AR21" s="3"/>
      <c r="AS21" s="3"/>
      <c r="AT21" s="3"/>
      <c r="AU21" s="3"/>
      <c r="AV21" s="3"/>
      <c r="AW21" s="3"/>
      <c r="AX21" s="3"/>
      <c r="AY21" s="3"/>
      <c r="AZ21" s="3"/>
      <c r="BA21" s="3"/>
    </row>
    <row r="22" customFormat="false" ht="12.9" hidden="false" customHeight="false" outlineLevel="0" collapsed="false">
      <c r="A22" s="65" t="str">
        <f aca="false">_xlfn.CONCAT($A$1, ".", CALC!A22)</f>
        <v>LSD.RID.0.AL.U3TPR.18</v>
      </c>
      <c r="B22" s="42" t="str">
        <f aca="false">CALC!C22</f>
        <v>Educational Services</v>
      </c>
      <c r="C22" s="39" t="n">
        <v>0.0072</v>
      </c>
      <c r="D22" s="39" t="n">
        <v>0.006</v>
      </c>
      <c r="E22" s="39" t="n">
        <v>0.0418</v>
      </c>
      <c r="F22" s="39" t="n">
        <v>0.007</v>
      </c>
      <c r="K22" s="39" t="s">
        <v>2229</v>
      </c>
      <c r="L22" s="39" t="s">
        <v>1581</v>
      </c>
      <c r="M22" s="39" t="n">
        <v>0.0072</v>
      </c>
      <c r="N22" s="39" t="n">
        <v>0.006</v>
      </c>
      <c r="O22" s="39" t="n">
        <v>0.0418</v>
      </c>
      <c r="P22" s="39" t="n">
        <v>0.007</v>
      </c>
      <c r="Z22" s="3"/>
      <c r="AA22" s="3"/>
      <c r="AB22" s="3"/>
      <c r="AC22" s="3"/>
      <c r="AL22" s="39"/>
      <c r="AM22" s="39"/>
      <c r="AN22" s="39"/>
      <c r="AO22" s="39"/>
      <c r="AP22" s="3"/>
      <c r="AQ22" s="3"/>
      <c r="AR22" s="3"/>
      <c r="AS22" s="3"/>
      <c r="AT22" s="3"/>
      <c r="AU22" s="3"/>
      <c r="AV22" s="3"/>
      <c r="AW22" s="3"/>
      <c r="AX22" s="3"/>
      <c r="AY22" s="3"/>
      <c r="AZ22" s="3"/>
      <c r="BA22" s="3"/>
    </row>
    <row r="23" customFormat="false" ht="23.85" hidden="false" customHeight="false" outlineLevel="0" collapsed="false">
      <c r="A23" s="65" t="str">
        <f aca="false">_xlfn.CONCAT($A$1, ".", CALC!A23)</f>
        <v>LSD.RID.0.AL.U3TPR.19</v>
      </c>
      <c r="B23" s="68" t="str">
        <f aca="false">CALC!C23</f>
        <v>Health Care and
Social Assistance</v>
      </c>
      <c r="C23" s="39" t="n">
        <v>0.0101</v>
      </c>
      <c r="D23" s="39" t="n">
        <v>0.0084</v>
      </c>
      <c r="E23" s="39" t="n">
        <v>0.0442</v>
      </c>
      <c r="F23" s="39" t="n">
        <v>0.0098</v>
      </c>
      <c r="K23" s="39" t="s">
        <v>2230</v>
      </c>
      <c r="L23" s="39" t="s">
        <v>2231</v>
      </c>
      <c r="M23" s="39" t="n">
        <v>0.0101</v>
      </c>
      <c r="N23" s="39" t="n">
        <v>0.0084</v>
      </c>
      <c r="O23" s="39" t="n">
        <v>0.0442</v>
      </c>
      <c r="P23" s="39" t="n">
        <v>0.0098</v>
      </c>
      <c r="Z23" s="3"/>
      <c r="AA23" s="3"/>
      <c r="AB23" s="3"/>
      <c r="AC23" s="3"/>
      <c r="AL23" s="39"/>
      <c r="AM23" s="39"/>
      <c r="AN23" s="39"/>
      <c r="AO23" s="39"/>
      <c r="AP23" s="3"/>
      <c r="AQ23" s="3"/>
      <c r="AR23" s="3"/>
      <c r="AS23" s="3"/>
      <c r="AT23" s="3"/>
      <c r="AU23" s="3"/>
      <c r="AV23" s="3"/>
      <c r="AW23" s="3"/>
      <c r="AX23" s="3"/>
      <c r="AY23" s="3"/>
      <c r="AZ23" s="3"/>
      <c r="BA23" s="3"/>
    </row>
    <row r="24" customFormat="false" ht="23.85" hidden="false" customHeight="false" outlineLevel="0" collapsed="false">
      <c r="A24" s="65" t="str">
        <f aca="false">_xlfn.CONCAT($A$1, ".", CALC!A24)</f>
        <v>LSD.RID.0.AL.U3TPR.20</v>
      </c>
      <c r="B24" s="68" t="str">
        <f aca="false">CALC!C24</f>
        <v>Arts, Entertainment,
and Recreation</v>
      </c>
      <c r="C24" s="39" t="n">
        <v>0.0014</v>
      </c>
      <c r="D24" s="39" t="n">
        <v>0.0012</v>
      </c>
      <c r="E24" s="39" t="n">
        <v>0.0259</v>
      </c>
      <c r="F24" s="39" t="n">
        <v>0.0014</v>
      </c>
      <c r="K24" s="39" t="s">
        <v>2232</v>
      </c>
      <c r="L24" s="39" t="s">
        <v>2233</v>
      </c>
      <c r="M24" s="39" t="n">
        <v>0.0014</v>
      </c>
      <c r="N24" s="39" t="n">
        <v>0.0012</v>
      </c>
      <c r="O24" s="39" t="n">
        <v>0.0259</v>
      </c>
      <c r="P24" s="39" t="n">
        <v>0.0014</v>
      </c>
      <c r="Z24" s="3"/>
      <c r="AA24" s="3"/>
      <c r="AB24" s="3"/>
      <c r="AC24" s="3"/>
      <c r="AL24" s="39"/>
      <c r="AM24" s="39"/>
      <c r="AN24" s="39"/>
      <c r="AO24" s="39"/>
      <c r="AP24" s="3"/>
      <c r="AQ24" s="3"/>
      <c r="AR24" s="3"/>
      <c r="AS24" s="3"/>
      <c r="AT24" s="3"/>
      <c r="AU24" s="3"/>
      <c r="AV24" s="3"/>
      <c r="AW24" s="3"/>
      <c r="AX24" s="3"/>
      <c r="AY24" s="3"/>
      <c r="AZ24" s="3"/>
      <c r="BA24" s="3"/>
    </row>
    <row r="25" customFormat="false" ht="23.85" hidden="false" customHeight="false" outlineLevel="0" collapsed="false">
      <c r="A25" s="65" t="str">
        <f aca="false">_xlfn.CONCAT($A$1, ".", CALC!A25)</f>
        <v>LSD.RID.0.AL.U3TPR.21</v>
      </c>
      <c r="B25" s="68" t="str">
        <f aca="false">CALC!C25</f>
        <v>Accommodation
and Food Services</v>
      </c>
      <c r="C25" s="39" t="n">
        <v>0.0113</v>
      </c>
      <c r="D25" s="39" t="n">
        <v>0.0094</v>
      </c>
      <c r="E25" s="39" t="n">
        <v>0.0621</v>
      </c>
      <c r="F25" s="39" t="n">
        <v>0.011</v>
      </c>
      <c r="K25" s="39" t="s">
        <v>2234</v>
      </c>
      <c r="L25" s="39" t="s">
        <v>2235</v>
      </c>
      <c r="M25" s="39" t="n">
        <v>0.0113</v>
      </c>
      <c r="N25" s="39" t="n">
        <v>0.0094</v>
      </c>
      <c r="O25" s="39" t="n">
        <v>0.0621</v>
      </c>
      <c r="P25" s="39" t="n">
        <v>0.011</v>
      </c>
      <c r="Z25" s="3"/>
      <c r="AA25" s="3"/>
      <c r="AB25" s="3"/>
      <c r="AC25" s="3"/>
      <c r="AL25" s="39"/>
      <c r="AM25" s="39"/>
      <c r="AN25" s="39"/>
      <c r="AO25" s="39"/>
      <c r="AP25" s="3"/>
      <c r="AQ25" s="3"/>
      <c r="AR25" s="3"/>
      <c r="AS25" s="3"/>
      <c r="AT25" s="3"/>
      <c r="AU25" s="3"/>
      <c r="AV25" s="3"/>
      <c r="AW25" s="3"/>
      <c r="AX25" s="3"/>
      <c r="AY25" s="3"/>
      <c r="AZ25" s="3"/>
      <c r="BA25" s="3"/>
    </row>
    <row r="26" customFormat="false" ht="23.85" hidden="false" customHeight="false" outlineLevel="0" collapsed="false">
      <c r="A26" s="65" t="str">
        <f aca="false">_xlfn.CONCAT($A$1, ".", CALC!A26)</f>
        <v>LSD.RID.0.AL.U3TPR.22</v>
      </c>
      <c r="B26" s="68" t="str">
        <f aca="false">CALC!C26</f>
        <v>Other Services (except
Public Administration)</v>
      </c>
      <c r="C26" s="39" t="n">
        <v>0.0031</v>
      </c>
      <c r="D26" s="39" t="n">
        <v>0.0026</v>
      </c>
      <c r="E26" s="39" t="n">
        <v>0.0345</v>
      </c>
      <c r="F26" s="39" t="n">
        <v>0.003</v>
      </c>
      <c r="K26" s="39" t="s">
        <v>2236</v>
      </c>
      <c r="L26" s="39" t="s">
        <v>2237</v>
      </c>
      <c r="M26" s="39" t="n">
        <v>0.0031</v>
      </c>
      <c r="N26" s="39" t="n">
        <v>0.0026</v>
      </c>
      <c r="O26" s="39" t="n">
        <v>0.0345</v>
      </c>
      <c r="P26" s="39" t="n">
        <v>0.003</v>
      </c>
      <c r="Z26" s="3"/>
      <c r="AA26" s="3"/>
      <c r="AB26" s="3"/>
      <c r="AC26" s="3"/>
      <c r="AL26" s="39"/>
      <c r="AM26" s="39"/>
      <c r="AN26" s="39"/>
      <c r="AO26" s="39"/>
      <c r="AP26" s="3"/>
      <c r="AQ26" s="3"/>
      <c r="AR26" s="3"/>
      <c r="AS26" s="3"/>
      <c r="AT26" s="3"/>
      <c r="AU26" s="3"/>
      <c r="AV26" s="3"/>
      <c r="AW26" s="3"/>
      <c r="AX26" s="3"/>
      <c r="AY26" s="3"/>
      <c r="AZ26" s="3"/>
      <c r="BA26" s="3"/>
    </row>
    <row r="27" customFormat="false" ht="12.8" hidden="false" customHeight="false" outlineLevel="0" collapsed="false">
      <c r="A27" s="65" t="str">
        <f aca="false">_xlfn.CONCAT($A$1, ".", CALC!A27)</f>
        <v>LSD.RID.0.AL.U3TPR.23</v>
      </c>
      <c r="B27" s="42" t="str">
        <f aca="false">CALC!C27</f>
        <v>Public Administration</v>
      </c>
      <c r="C27" s="39" t="n">
        <v>0.0059</v>
      </c>
      <c r="D27" s="39" t="n">
        <v>0.0049</v>
      </c>
      <c r="E27" s="39" t="n">
        <v>0.0386</v>
      </c>
      <c r="F27" s="39" t="n">
        <v>0.0057</v>
      </c>
      <c r="K27" s="39" t="s">
        <v>2238</v>
      </c>
      <c r="L27" s="39" t="s">
        <v>1586</v>
      </c>
      <c r="M27" s="39" t="n">
        <v>0.0059</v>
      </c>
      <c r="N27" s="39" t="n">
        <v>0.0049</v>
      </c>
      <c r="O27" s="39" t="n">
        <v>0.0386</v>
      </c>
      <c r="P27" s="39" t="n">
        <v>0.0057</v>
      </c>
      <c r="Z27" s="3"/>
      <c r="AA27" s="3"/>
      <c r="AB27" s="3"/>
      <c r="AC27" s="3"/>
      <c r="AL27" s="39"/>
      <c r="AM27" s="39"/>
      <c r="AN27" s="39"/>
      <c r="AO27" s="39"/>
      <c r="AP27" s="3"/>
      <c r="AQ27" s="3"/>
      <c r="AR27" s="3"/>
      <c r="AS27" s="3"/>
      <c r="AT27" s="3"/>
      <c r="AU27" s="3"/>
      <c r="AV27" s="3"/>
      <c r="AW27" s="3"/>
      <c r="AX27" s="3"/>
      <c r="AY27" s="3"/>
      <c r="AZ27" s="3"/>
      <c r="BA27" s="3"/>
    </row>
    <row r="28" customFormat="false" ht="12.8" hidden="false" customHeight="false" outlineLevel="0" collapsed="false">
      <c r="A28" s="65"/>
      <c r="B28" s="42"/>
      <c r="Z28" s="3"/>
      <c r="AA28" s="3"/>
      <c r="AB28" s="3"/>
      <c r="AC28" s="3"/>
      <c r="AL28" s="39"/>
      <c r="AM28" s="39"/>
      <c r="AN28" s="39"/>
      <c r="AO28" s="39"/>
      <c r="AP28" s="3"/>
      <c r="AQ28" s="3"/>
      <c r="AR28" s="3"/>
      <c r="AS28" s="3"/>
      <c r="AT28" s="3"/>
      <c r="AU28" s="3"/>
      <c r="AV28" s="3"/>
      <c r="AW28" s="3"/>
      <c r="AX28" s="3"/>
      <c r="AY28" s="3"/>
      <c r="AZ28" s="3"/>
      <c r="BA28" s="3"/>
    </row>
    <row r="29" customFormat="false" ht="12.8" hidden="false" customHeight="false" outlineLevel="0" collapsed="false">
      <c r="A29" s="65"/>
      <c r="B29" s="42"/>
      <c r="Z29" s="3"/>
      <c r="AA29" s="3"/>
      <c r="AB29" s="3"/>
      <c r="AC29" s="3"/>
      <c r="AL29" s="39"/>
      <c r="AM29" s="39"/>
      <c r="AN29" s="39"/>
      <c r="AO29" s="39"/>
      <c r="AP29" s="3"/>
      <c r="AQ29" s="3"/>
      <c r="AR29" s="3"/>
      <c r="AS29" s="3"/>
      <c r="AT29" s="3"/>
      <c r="AU29" s="3"/>
      <c r="AV29" s="3"/>
      <c r="AW29" s="3"/>
      <c r="AX29" s="3"/>
      <c r="AY29" s="3"/>
      <c r="AZ29" s="3"/>
      <c r="BA29" s="3"/>
    </row>
    <row r="30" customFormat="false" ht="12.8" hidden="false" customHeight="false" outlineLevel="0" collapsed="false">
      <c r="A30" s="65"/>
      <c r="B30" s="42"/>
      <c r="Z30" s="3"/>
      <c r="AA30" s="3"/>
      <c r="AB30" s="3"/>
      <c r="AC30" s="3"/>
      <c r="AL30" s="39"/>
      <c r="AM30" s="39"/>
      <c r="AN30" s="39"/>
      <c r="AO30" s="39"/>
      <c r="AP30" s="3"/>
      <c r="AQ30" s="3"/>
      <c r="AR30" s="3"/>
      <c r="AS30" s="3"/>
      <c r="AT30" s="3"/>
      <c r="AU30" s="3"/>
      <c r="AV30" s="3"/>
      <c r="AW30" s="3"/>
      <c r="AX30" s="3"/>
      <c r="AY30" s="3"/>
      <c r="AZ30" s="3"/>
      <c r="BA30" s="3"/>
    </row>
    <row r="128" customFormat="false" ht="12.8" hidden="false" customHeight="false" outlineLevel="0" collapsed="false">
      <c r="A128" s="65" t="s">
        <v>2239</v>
      </c>
      <c r="B128" s="66" t="s">
        <v>2240</v>
      </c>
    </row>
    <row r="129" customFormat="false" ht="12.8" hidden="false" customHeight="false" outlineLevel="0" collapsed="false">
      <c r="A129" s="49" t="s">
        <v>1842</v>
      </c>
      <c r="B129" s="49" t="s">
        <v>183</v>
      </c>
      <c r="C129" s="49" t="s">
        <v>184</v>
      </c>
      <c r="D129" s="49" t="s">
        <v>1843</v>
      </c>
      <c r="E129" s="49" t="s">
        <v>186</v>
      </c>
      <c r="F129" s="49" t="s">
        <v>187</v>
      </c>
      <c r="K129" s="49"/>
      <c r="L129" s="3"/>
    </row>
    <row r="130" customFormat="false" ht="12.8" hidden="false" customHeight="false" outlineLevel="0" collapsed="false">
      <c r="A130" s="39" t="s">
        <v>2241</v>
      </c>
      <c r="B130" s="39" t="s">
        <v>503</v>
      </c>
      <c r="C130" s="39" t="s">
        <v>2242</v>
      </c>
      <c r="D130" s="39" t="s">
        <v>2243</v>
      </c>
      <c r="E130" s="39" t="s">
        <v>2244</v>
      </c>
      <c r="F130" s="39" t="s">
        <v>302</v>
      </c>
      <c r="L130" s="3"/>
    </row>
    <row r="131" customFormat="false" ht="12.8" hidden="false" customHeight="false" outlineLevel="0" collapsed="false">
      <c r="A131" s="39" t="s">
        <v>2245</v>
      </c>
      <c r="B131" s="39" t="s">
        <v>503</v>
      </c>
      <c r="C131" s="39" t="s">
        <v>1850</v>
      </c>
      <c r="D131" s="39" t="s">
        <v>2246</v>
      </c>
      <c r="E131" s="39" t="s">
        <v>2247</v>
      </c>
      <c r="F131" s="39" t="s">
        <v>302</v>
      </c>
      <c r="L131" s="3"/>
    </row>
    <row r="132" customFormat="false" ht="12.8" hidden="false" customHeight="false" outlineLevel="0" collapsed="false">
      <c r="A132" s="39" t="s">
        <v>2248</v>
      </c>
      <c r="B132" s="39" t="s">
        <v>503</v>
      </c>
      <c r="C132" s="39" t="s">
        <v>1853</v>
      </c>
      <c r="D132" s="39" t="s">
        <v>2249</v>
      </c>
      <c r="E132" s="39" t="s">
        <v>2250</v>
      </c>
      <c r="F132" s="39" t="s">
        <v>302</v>
      </c>
      <c r="L132" s="3"/>
    </row>
    <row r="133" customFormat="false" ht="12.8" hidden="false" customHeight="false" outlineLevel="0" collapsed="false">
      <c r="A133" s="39" t="s">
        <v>2251</v>
      </c>
      <c r="B133" s="39" t="s">
        <v>503</v>
      </c>
      <c r="C133" s="39" t="s">
        <v>2252</v>
      </c>
      <c r="D133" s="39" t="s">
        <v>2253</v>
      </c>
      <c r="E133" s="39" t="s">
        <v>306</v>
      </c>
      <c r="F133" s="39" t="s">
        <v>302</v>
      </c>
      <c r="L133" s="3"/>
    </row>
    <row r="134" customFormat="false" ht="12.8" hidden="false" customHeight="false" outlineLevel="0" collapsed="false">
      <c r="A134" s="39"/>
      <c r="L134" s="3"/>
    </row>
    <row r="135" customFormat="false" ht="12.8" hidden="false" customHeight="false" outlineLevel="0" collapsed="false">
      <c r="A135" s="39"/>
    </row>
    <row r="137" customFormat="false" ht="12.8" hidden="false" customHeight="false" outlineLevel="0" collapsed="false">
      <c r="A137" s="65" t="s">
        <v>2254</v>
      </c>
      <c r="B137" s="66" t="s">
        <v>2255</v>
      </c>
    </row>
    <row r="138" customFormat="false" ht="12.8" hidden="false" customHeight="false" outlineLevel="0" collapsed="false">
      <c r="A138" s="49" t="s">
        <v>683</v>
      </c>
      <c r="B138" s="49" t="s">
        <v>184</v>
      </c>
      <c r="C138" s="49" t="s">
        <v>684</v>
      </c>
      <c r="D138" s="49" t="s">
        <v>186</v>
      </c>
      <c r="E138" s="49" t="s">
        <v>678</v>
      </c>
      <c r="F138" s="49" t="s">
        <v>679</v>
      </c>
      <c r="G138" s="49" t="s">
        <v>680</v>
      </c>
      <c r="H138" s="49" t="s">
        <v>187</v>
      </c>
    </row>
    <row r="139" customFormat="false" ht="12.8" hidden="false" customHeight="false" outlineLevel="0" collapsed="false">
      <c r="A139" s="39" t="s">
        <v>2256</v>
      </c>
      <c r="B139" s="39" t="s">
        <v>2257</v>
      </c>
      <c r="C139" s="39" t="n">
        <v>0.0155</v>
      </c>
      <c r="D139" s="39" t="s">
        <v>2258</v>
      </c>
      <c r="E139" s="39" t="s">
        <v>689</v>
      </c>
      <c r="F139" s="39" t="s">
        <v>690</v>
      </c>
      <c r="G139" s="51" t="s">
        <v>691</v>
      </c>
      <c r="H139" s="39" t="s">
        <v>302</v>
      </c>
    </row>
    <row r="140" customFormat="false" ht="12.8" hidden="false" customHeight="false" outlineLevel="0" collapsed="false">
      <c r="A140" s="39" t="s">
        <v>2259</v>
      </c>
      <c r="B140" s="39" t="s">
        <v>2260</v>
      </c>
      <c r="C140" s="39" t="s">
        <v>2261</v>
      </c>
      <c r="D140" s="39" t="s">
        <v>982</v>
      </c>
      <c r="E140" s="39" t="s">
        <v>983</v>
      </c>
      <c r="F140" s="39" t="s">
        <v>984</v>
      </c>
      <c r="G140" s="51" t="s">
        <v>691</v>
      </c>
      <c r="H140" s="39" t="s">
        <v>302</v>
      </c>
    </row>
    <row r="141" customFormat="false" ht="12.8" hidden="false" customHeight="false" outlineLevel="0" collapsed="false">
      <c r="A141" s="39" t="s">
        <v>2262</v>
      </c>
      <c r="B141" s="39" t="s">
        <v>2263</v>
      </c>
      <c r="C141" s="39" t="s">
        <v>2264</v>
      </c>
      <c r="D141" s="39" t="s">
        <v>2265</v>
      </c>
      <c r="E141" s="39" t="s">
        <v>983</v>
      </c>
      <c r="F141" s="39" t="s">
        <v>984</v>
      </c>
      <c r="G141" s="51" t="s">
        <v>691</v>
      </c>
      <c r="H141" s="39" t="s">
        <v>302</v>
      </c>
    </row>
    <row r="142" customFormat="false" ht="12.8" hidden="false" customHeight="false" outlineLevel="0" collapsed="false">
      <c r="A142" s="39" t="s">
        <v>2266</v>
      </c>
      <c r="B142" s="39" t="s">
        <v>1345</v>
      </c>
      <c r="C142" s="39" t="n">
        <v>0.85</v>
      </c>
      <c r="D142" s="39" t="s">
        <v>996</v>
      </c>
      <c r="E142" s="39" t="s">
        <v>689</v>
      </c>
      <c r="F142" s="39" t="s">
        <v>2267</v>
      </c>
      <c r="G142" s="51" t="s">
        <v>691</v>
      </c>
      <c r="H142" s="39" t="s">
        <v>302</v>
      </c>
    </row>
    <row r="143" customFormat="false" ht="12.8" hidden="false" customHeight="false" outlineLevel="0" collapsed="false">
      <c r="A143" s="39" t="s">
        <v>2268</v>
      </c>
      <c r="B143" s="39" t="s">
        <v>1349</v>
      </c>
      <c r="C143" s="39" t="n">
        <v>4</v>
      </c>
      <c r="D143" s="39" t="s">
        <v>1000</v>
      </c>
      <c r="E143" s="39" t="s">
        <v>689</v>
      </c>
      <c r="F143" s="39" t="s">
        <v>2269</v>
      </c>
      <c r="G143" s="51" t="s">
        <v>691</v>
      </c>
      <c r="H143" s="39" t="s">
        <v>302</v>
      </c>
    </row>
    <row r="144" customFormat="false" ht="12.8" hidden="false" customHeight="false" outlineLevel="0" collapsed="false">
      <c r="A144" s="39"/>
      <c r="G144" s="51"/>
    </row>
    <row r="145" customFormat="false" ht="12.8" hidden="false" customHeight="false" outlineLevel="0" collapsed="false">
      <c r="A145" s="39"/>
      <c r="G145" s="51"/>
    </row>
    <row r="147" customFormat="false" ht="12.8" hidden="false" customHeight="false" outlineLevel="0" collapsed="false">
      <c r="A147" s="65" t="s">
        <v>2270</v>
      </c>
      <c r="B147" s="66" t="s">
        <v>2271</v>
      </c>
    </row>
    <row r="148" customFormat="false" ht="12.8" hidden="false" customHeight="false" outlineLevel="0" collapsed="false">
      <c r="A148" s="49" t="s">
        <v>113</v>
      </c>
      <c r="B148" s="49" t="s">
        <v>186</v>
      </c>
      <c r="C148" s="49" t="s">
        <v>677</v>
      </c>
      <c r="D148" s="49" t="s">
        <v>1875</v>
      </c>
      <c r="E148" s="49" t="s">
        <v>678</v>
      </c>
      <c r="F148" s="49" t="s">
        <v>1876</v>
      </c>
      <c r="G148" s="49" t="s">
        <v>2059</v>
      </c>
      <c r="H148" s="49" t="s">
        <v>2059</v>
      </c>
    </row>
    <row r="149" customFormat="false" ht="12.8" hidden="false" customHeight="false" outlineLevel="0" collapsed="false">
      <c r="A149" s="39" t="s">
        <v>2272</v>
      </c>
      <c r="B149" s="39" t="s">
        <v>1451</v>
      </c>
      <c r="C149" s="39" t="n">
        <v>0.0155</v>
      </c>
      <c r="D149" s="39" t="s">
        <v>1335</v>
      </c>
      <c r="E149" s="39" t="s">
        <v>689</v>
      </c>
      <c r="F149" s="39" t="s">
        <v>2273</v>
      </c>
    </row>
    <row r="150" customFormat="false" ht="12.8" hidden="false" customHeight="false" outlineLevel="0" collapsed="false">
      <c r="A150" s="39" t="s">
        <v>2274</v>
      </c>
      <c r="B150" s="39" t="s">
        <v>1881</v>
      </c>
      <c r="C150" s="39" t="s">
        <v>2275</v>
      </c>
      <c r="D150" s="39" t="s">
        <v>2276</v>
      </c>
      <c r="E150" s="39" t="s">
        <v>689</v>
      </c>
      <c r="F150" s="39" t="s">
        <v>2277</v>
      </c>
    </row>
    <row r="151" customFormat="false" ht="12.8" hidden="false" customHeight="false" outlineLevel="0" collapsed="false">
      <c r="A151" s="39" t="s">
        <v>2278</v>
      </c>
      <c r="B151" s="39" t="s">
        <v>2279</v>
      </c>
      <c r="C151" s="39" t="s">
        <v>2280</v>
      </c>
      <c r="D151" s="39" t="s">
        <v>2281</v>
      </c>
      <c r="E151" s="39" t="s">
        <v>689</v>
      </c>
      <c r="F151" s="39" t="s">
        <v>2282</v>
      </c>
    </row>
    <row r="152" customFormat="false" ht="12.8" hidden="false" customHeight="false" outlineLevel="0" collapsed="false">
      <c r="A152" s="39" t="s">
        <v>2283</v>
      </c>
      <c r="B152" s="39" t="s">
        <v>2284</v>
      </c>
      <c r="C152" s="39" t="s">
        <v>2285</v>
      </c>
      <c r="D152" s="39" t="s">
        <v>2286</v>
      </c>
      <c r="E152" s="39" t="s">
        <v>689</v>
      </c>
      <c r="F152" s="39" t="s">
        <v>2287</v>
      </c>
    </row>
    <row r="153" customFormat="false" ht="12.8" hidden="false" customHeight="false" outlineLevel="0" collapsed="false">
      <c r="A153" s="39" t="s">
        <v>2288</v>
      </c>
      <c r="B153" s="39" t="s">
        <v>1896</v>
      </c>
      <c r="C153" s="39" t="s">
        <v>1962</v>
      </c>
      <c r="D153" s="39" t="s">
        <v>2289</v>
      </c>
      <c r="E153" s="39" t="s">
        <v>689</v>
      </c>
      <c r="F153" s="39" t="s">
        <v>2290</v>
      </c>
    </row>
    <row r="154" customFormat="false" ht="12.8" hidden="false" customHeight="false" outlineLevel="0" collapsed="false">
      <c r="A154" s="39" t="s">
        <v>2291</v>
      </c>
      <c r="B154" s="39" t="s">
        <v>1901</v>
      </c>
      <c r="C154" s="39" t="s">
        <v>1902</v>
      </c>
      <c r="D154" s="39" t="s">
        <v>2292</v>
      </c>
      <c r="E154" s="39" t="s">
        <v>689</v>
      </c>
      <c r="F154" s="39" t="s">
        <v>2293</v>
      </c>
    </row>
    <row r="155" customFormat="false" ht="12.8" hidden="false" customHeight="false" outlineLevel="0" collapsed="false">
      <c r="A155" s="39" t="s">
        <v>2294</v>
      </c>
      <c r="B155" s="39" t="s">
        <v>2295</v>
      </c>
      <c r="C155" s="39" t="s">
        <v>2296</v>
      </c>
      <c r="D155" s="39" t="s">
        <v>1908</v>
      </c>
      <c r="E155" s="39" t="s">
        <v>689</v>
      </c>
      <c r="F155" s="39" t="s">
        <v>2297</v>
      </c>
    </row>
    <row r="156" customFormat="false" ht="12.8" hidden="false" customHeight="false" outlineLevel="0" collapsed="false">
      <c r="A156" s="39"/>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4000"/>
    <pageSetUpPr fitToPage="false"/>
  </sheetPr>
  <dimension ref="A1:BP154"/>
  <sheetViews>
    <sheetView showFormulas="false" showGridLines="true" showRowColHeaders="true" showZeros="true" rightToLeft="false" tabSelected="false" showOutlineSymbols="true" defaultGridColor="true" view="normal" topLeftCell="A63" colorId="64" zoomScale="65" zoomScaleNormal="65" zoomScalePageLayoutView="100" workbookViewId="0">
      <selection pane="topLeft" activeCell="A146" activeCellId="0" sqref="A146"/>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9" hidden="false" customHeight="false" outlineLevel="0" collapsed="false">
      <c r="A1" s="4" t="s">
        <v>2298</v>
      </c>
      <c r="B1" s="42" t="s">
        <v>2299</v>
      </c>
      <c r="C1" s="6" t="s">
        <v>2</v>
      </c>
      <c r="D1" s="67" t="s">
        <v>2300</v>
      </c>
      <c r="AZ1" s="39"/>
      <c r="BP1" s="39"/>
    </row>
    <row r="2" customFormat="false" ht="12.8" hidden="false" customHeight="false" outlineLevel="0" collapsed="false">
      <c r="A2" s="65" t="str">
        <f aca="false">_xlfn.CONCAT($A$1, ".", "CALC")</f>
        <v>LSD.RID.0.AL.U6R.CALC</v>
      </c>
      <c r="B2" s="66" t="str">
        <f aca="false">_xlfn.CONCAT($B$1, " ", "Calculations")</f>
        <v>Alabama Underemployment Rate (U6R) Calculations</v>
      </c>
      <c r="C2" s="3"/>
      <c r="D2" s="3"/>
      <c r="E2" s="3"/>
      <c r="F2" s="3"/>
      <c r="AZ2" s="3"/>
      <c r="BA2" s="3"/>
      <c r="BB2" s="3"/>
      <c r="BC2" s="3"/>
    </row>
    <row r="3" customFormat="false" ht="12.8" hidden="false" customHeight="false" outlineLevel="0" collapsed="false">
      <c r="A3" s="65" t="str">
        <f aca="false">CALC!A3</f>
        <v>LSID</v>
      </c>
      <c r="B3" s="42" t="str">
        <f aca="false">CALC!C3</f>
        <v>Labor Sector</v>
      </c>
      <c r="C3" s="71" t="str">
        <f aca="false">CALC!AR3</f>
        <v>Overall U6R</v>
      </c>
      <c r="D3" s="71" t="str">
        <f aca="false">CALC!AS3</f>
        <v>Authorized U6R</v>
      </c>
      <c r="E3" s="71" t="str">
        <f aca="false">CALC!AT3</f>
        <v>Unauthorized U6R</v>
      </c>
      <c r="F3" s="71" t="str">
        <f aca="false">CALC!AU3</f>
        <v>American U6R</v>
      </c>
      <c r="H3" s="76"/>
      <c r="I3" s="76"/>
      <c r="J3" s="76"/>
      <c r="K3" s="76"/>
      <c r="L3" s="76"/>
      <c r="M3" s="76"/>
      <c r="N3" s="76"/>
    </row>
    <row r="4" customFormat="false" ht="12.8" hidden="false" customHeight="false" outlineLevel="0" collapsed="false">
      <c r="A4" s="65" t="str">
        <f aca="false">_xlfn.CONCAT($A$1, ".", CALC!A4)</f>
        <v>LSD.RID.0.AL.U6R.0</v>
      </c>
      <c r="B4" s="42" t="str">
        <f aca="false">CALC!C4</f>
        <v>All Industries</v>
      </c>
      <c r="C4" s="39" t="n">
        <v>0.062</v>
      </c>
      <c r="D4" s="39" t="n">
        <v>0.048</v>
      </c>
      <c r="E4" s="39" t="n">
        <v>0.198</v>
      </c>
      <c r="F4" s="39" t="n">
        <v>0.059</v>
      </c>
      <c r="G4" s="40"/>
      <c r="H4" s="40"/>
      <c r="I4" s="40"/>
      <c r="J4" s="40"/>
      <c r="K4" s="40"/>
      <c r="L4" s="40"/>
      <c r="M4" s="40"/>
      <c r="N4" s="40"/>
    </row>
    <row r="5" customFormat="false" ht="23.85" hidden="false" customHeight="false" outlineLevel="0" collapsed="false">
      <c r="A5" s="65" t="str">
        <f aca="false">_xlfn.CONCAT($A$1, ".", CALC!A5)</f>
        <v>LSD.RID.0.AL.U6R.1</v>
      </c>
      <c r="B5" s="68" t="str">
        <f aca="false">CALC!C5</f>
        <v>Agriculture, Forestry, 
Fishing and Hunting</v>
      </c>
      <c r="C5" s="39" t="n">
        <v>0.072</v>
      </c>
      <c r="D5" s="39" t="n">
        <v>0.059</v>
      </c>
      <c r="E5" s="39" t="n">
        <v>0.318</v>
      </c>
      <c r="F5" s="39" t="n">
        <v>0.069</v>
      </c>
      <c r="G5" s="40"/>
      <c r="H5" s="40"/>
      <c r="I5" s="40"/>
      <c r="J5" s="40"/>
      <c r="K5" s="40"/>
      <c r="L5" s="40"/>
      <c r="M5" s="40"/>
      <c r="N5" s="40"/>
    </row>
    <row r="6" customFormat="false" ht="23.85" hidden="false" customHeight="false" outlineLevel="0" collapsed="false">
      <c r="A6" s="65" t="str">
        <f aca="false">_xlfn.CONCAT($A$1, ".", CALC!A6)</f>
        <v>LSD.RID.0.AL.U6R.2</v>
      </c>
      <c r="B6" s="68" t="str">
        <f aca="false">CALC!C6</f>
        <v>Mining, Quarrying, and
Oil and Gas Extraction</v>
      </c>
      <c r="C6" s="39" t="n">
        <v>0.055</v>
      </c>
      <c r="D6" s="39" t="n">
        <v>0.045</v>
      </c>
      <c r="E6" s="39" t="n">
        <v>0.19</v>
      </c>
      <c r="F6" s="39" t="n">
        <v>0.053</v>
      </c>
      <c r="G6" s="40"/>
      <c r="H6" s="40"/>
      <c r="I6" s="40"/>
      <c r="J6" s="40"/>
      <c r="K6" s="40"/>
      <c r="L6" s="40"/>
      <c r="M6" s="40"/>
      <c r="N6" s="40"/>
    </row>
    <row r="7" customFormat="false" ht="12.8" hidden="false" customHeight="false" outlineLevel="0" collapsed="false">
      <c r="A7" s="65" t="str">
        <f aca="false">_xlfn.CONCAT($A$1, ".", CALC!A7)</f>
        <v>LSD.RID.0.AL.U6R.3</v>
      </c>
      <c r="B7" s="42" t="str">
        <f aca="false">CALC!C7</f>
        <v>Utilities</v>
      </c>
      <c r="C7" s="39" t="n">
        <v>0.055</v>
      </c>
      <c r="D7" s="39" t="n">
        <v>0.045</v>
      </c>
      <c r="E7" s="39" t="n">
        <v>0.225</v>
      </c>
      <c r="F7" s="39" t="n">
        <v>0.053</v>
      </c>
      <c r="G7" s="40"/>
      <c r="H7" s="40"/>
      <c r="I7" s="40"/>
      <c r="J7" s="40"/>
      <c r="K7" s="40"/>
      <c r="L7" s="40"/>
      <c r="M7" s="40"/>
      <c r="N7" s="40"/>
    </row>
    <row r="8" customFormat="false" ht="12.8" hidden="false" customHeight="false" outlineLevel="0" collapsed="false">
      <c r="A8" s="65" t="str">
        <f aca="false">_xlfn.CONCAT($A$1, ".", CALC!A8)</f>
        <v>LSD.RID.0.AL.U6R.4</v>
      </c>
      <c r="B8" s="42" t="str">
        <f aca="false">CALC!C8</f>
        <v>Construction</v>
      </c>
      <c r="C8" s="39" t="n">
        <v>0.088</v>
      </c>
      <c r="D8" s="39" t="n">
        <v>0.072</v>
      </c>
      <c r="E8" s="39" t="n">
        <v>0.232</v>
      </c>
      <c r="F8" s="39" t="n">
        <v>0.085</v>
      </c>
      <c r="G8" s="40"/>
      <c r="H8" s="40"/>
      <c r="I8" s="40"/>
      <c r="J8" s="40"/>
      <c r="K8" s="40"/>
      <c r="L8" s="40"/>
      <c r="M8" s="40"/>
      <c r="N8" s="40"/>
    </row>
    <row r="9" customFormat="false" ht="23.85" hidden="false" customHeight="false" outlineLevel="0" collapsed="false">
      <c r="A9" s="65" t="str">
        <f aca="false">_xlfn.CONCAT($A$1, ".", CALC!A9)</f>
        <v>LSD.RID.0.AL.U6R.5</v>
      </c>
      <c r="B9" s="68" t="str">
        <f aca="false">CALC!C9</f>
        <v>Manufacturing
(Food,Textile, etc.)</v>
      </c>
      <c r="C9" s="39" t="n">
        <v>0.072</v>
      </c>
      <c r="D9" s="39" t="n">
        <v>0.059</v>
      </c>
      <c r="E9" s="39" t="n">
        <v>0.142</v>
      </c>
      <c r="F9" s="39" t="n">
        <v>0.069</v>
      </c>
      <c r="G9" s="40"/>
      <c r="H9" s="40"/>
      <c r="I9" s="40"/>
      <c r="J9" s="40"/>
      <c r="K9" s="40"/>
      <c r="L9" s="40"/>
      <c r="M9" s="40"/>
      <c r="N9" s="40"/>
    </row>
    <row r="10" customFormat="false" ht="23.85" hidden="false" customHeight="false" outlineLevel="0" collapsed="false">
      <c r="A10" s="65" t="str">
        <f aca="false">_xlfn.CONCAT($A$1, ".", CALC!A10)</f>
        <v>LSD.RID.0.AL.U6R.6</v>
      </c>
      <c r="B10" s="68" t="str">
        <f aca="false">CALC!C10</f>
        <v>Manufacturing (Wood,
Paper, Printing, etc.)</v>
      </c>
      <c r="C10" s="39" t="n">
        <v>0.062</v>
      </c>
      <c r="D10" s="39" t="n">
        <v>0.051</v>
      </c>
      <c r="E10" s="39" t="n">
        <v>0.12</v>
      </c>
      <c r="F10" s="39" t="n">
        <v>0.059</v>
      </c>
      <c r="G10" s="40"/>
      <c r="H10" s="40"/>
      <c r="I10" s="40"/>
      <c r="J10" s="40"/>
      <c r="K10" s="40"/>
      <c r="L10" s="40"/>
      <c r="M10" s="40"/>
      <c r="N10" s="40"/>
    </row>
    <row r="11" customFormat="false" ht="23.85" hidden="false" customHeight="false" outlineLevel="0" collapsed="false">
      <c r="A11" s="65" t="str">
        <f aca="false">_xlfn.CONCAT($A$1, ".", CALC!A11)</f>
        <v>LSD.RID.0.AL.U6R.7</v>
      </c>
      <c r="B11" s="68" t="str">
        <f aca="false">CALC!C11</f>
        <v>Manufacturing
(Machinery, Transport)</v>
      </c>
      <c r="C11" s="39" t="n">
        <v>0.072</v>
      </c>
      <c r="D11" s="39" t="n">
        <v>0.059</v>
      </c>
      <c r="E11" s="39" t="n">
        <v>0.155</v>
      </c>
      <c r="F11" s="39" t="n">
        <v>0.069</v>
      </c>
      <c r="G11" s="40"/>
      <c r="H11" s="40"/>
      <c r="I11" s="40"/>
      <c r="J11" s="40"/>
      <c r="K11" s="40"/>
      <c r="L11" s="40"/>
      <c r="M11" s="40"/>
      <c r="N11" s="40"/>
    </row>
    <row r="12" customFormat="false" ht="12.8" hidden="false" customHeight="false" outlineLevel="0" collapsed="false">
      <c r="A12" s="65" t="str">
        <f aca="false">_xlfn.CONCAT($A$1, ".", CALC!A12)</f>
        <v>LSD.RID.0.AL.U6R.8</v>
      </c>
      <c r="B12" s="42" t="str">
        <f aca="false">CALC!C12</f>
        <v>Wholesale Trade</v>
      </c>
      <c r="C12" s="39" t="n">
        <v>0.055</v>
      </c>
      <c r="D12" s="39" t="n">
        <v>0.045</v>
      </c>
      <c r="E12" s="39" t="n">
        <v>0.098</v>
      </c>
      <c r="F12" s="39" t="n">
        <v>0.053</v>
      </c>
      <c r="G12" s="40"/>
      <c r="H12" s="40"/>
      <c r="I12" s="40"/>
      <c r="J12" s="40"/>
      <c r="K12" s="40"/>
      <c r="L12" s="40"/>
      <c r="M12" s="40"/>
      <c r="N12" s="40"/>
    </row>
    <row r="13" customFormat="false" ht="23.85" hidden="false" customHeight="false" outlineLevel="0" collapsed="false">
      <c r="A13" s="65" t="str">
        <f aca="false">_xlfn.CONCAT($A$1, ".", CALC!A13)</f>
        <v>LSD.RID.0.AL.U6R.9</v>
      </c>
      <c r="B13" s="68" t="str">
        <f aca="false">CALC!C13</f>
        <v>Retail Trade (Motor
Vehicle, Electronics)</v>
      </c>
      <c r="C13" s="39" t="n">
        <v>0.048</v>
      </c>
      <c r="D13" s="39" t="n">
        <v>0.039</v>
      </c>
      <c r="E13" s="39" t="n">
        <v>0.087</v>
      </c>
      <c r="F13" s="39" t="n">
        <v>0.046</v>
      </c>
      <c r="G13" s="40"/>
      <c r="H13" s="40"/>
      <c r="I13" s="40"/>
      <c r="J13" s="40"/>
      <c r="K13" s="40"/>
      <c r="L13" s="40"/>
      <c r="M13" s="40"/>
      <c r="N13" s="40"/>
    </row>
    <row r="14" customFormat="false" ht="23.85" hidden="false" customHeight="false" outlineLevel="0" collapsed="false">
      <c r="A14" s="65" t="str">
        <f aca="false">_xlfn.CONCAT($A$1, ".", CALC!A14)</f>
        <v>LSD.RID.0.AL.U6R.10</v>
      </c>
      <c r="B14" s="68" t="str">
        <f aca="false">CALC!C14</f>
        <v>Retail Trade (Food, Clothing,
General Merchandise, etc.)</v>
      </c>
      <c r="C14" s="39" t="n">
        <v>0.072</v>
      </c>
      <c r="D14" s="39" t="n">
        <v>0.059</v>
      </c>
      <c r="E14" s="39" t="n">
        <v>0.138</v>
      </c>
      <c r="F14" s="39" t="n">
        <v>0.069</v>
      </c>
      <c r="G14" s="40"/>
      <c r="H14" s="40"/>
      <c r="I14" s="40"/>
      <c r="J14" s="40"/>
      <c r="K14" s="40"/>
      <c r="L14" s="40"/>
      <c r="M14" s="40"/>
      <c r="N14" s="40"/>
    </row>
    <row r="15" customFormat="false" ht="12.8" hidden="false" customHeight="false" outlineLevel="0" collapsed="false">
      <c r="A15" s="65" t="str">
        <f aca="false">_xlfn.CONCAT($A$1, ".", CALC!A15)</f>
        <v>LSD.RID.0.AL.U6R.11</v>
      </c>
      <c r="B15" s="42" t="str">
        <f aca="false">CALC!C15</f>
        <v>Transportation</v>
      </c>
      <c r="C15" s="39" t="n">
        <v>0.062</v>
      </c>
      <c r="D15" s="39" t="n">
        <v>0.051</v>
      </c>
      <c r="E15" s="39" t="n">
        <v>0.122</v>
      </c>
      <c r="F15" s="39" t="n">
        <v>0.059</v>
      </c>
      <c r="G15" s="40"/>
      <c r="H15" s="40"/>
      <c r="I15" s="40"/>
      <c r="J15" s="40"/>
      <c r="K15" s="40"/>
      <c r="L15" s="40"/>
      <c r="M15" s="40"/>
      <c r="N15" s="40"/>
    </row>
    <row r="16" customFormat="false" ht="12.8" hidden="false" customHeight="false" outlineLevel="0" collapsed="false">
      <c r="A16" s="65" t="str">
        <f aca="false">_xlfn.CONCAT($A$1, ".", CALC!A16)</f>
        <v>LSD.RID.0.AL.U6R.12</v>
      </c>
      <c r="B16" s="42" t="str">
        <f aca="false">CALC!C16</f>
        <v>Warehousing and Storage</v>
      </c>
      <c r="C16" s="39" t="n">
        <v>0.055</v>
      </c>
      <c r="D16" s="39" t="n">
        <v>0.045</v>
      </c>
      <c r="E16" s="39" t="n">
        <v>0.115</v>
      </c>
      <c r="F16" s="39" t="n">
        <v>0.053</v>
      </c>
      <c r="G16" s="40"/>
      <c r="H16" s="40"/>
      <c r="I16" s="40"/>
      <c r="J16" s="40"/>
      <c r="K16" s="40"/>
      <c r="L16" s="40"/>
      <c r="M16" s="40"/>
      <c r="N16" s="40"/>
    </row>
    <row r="17" customFormat="false" ht="12.8" hidden="false" customHeight="false" outlineLevel="0" collapsed="false">
      <c r="A17" s="65" t="str">
        <f aca="false">_xlfn.CONCAT($A$1, ".", CALC!A17)</f>
        <v>LSD.RID.0.AL.U6R.13</v>
      </c>
      <c r="B17" s="42" t="str">
        <f aca="false">CALC!C17</f>
        <v>Information</v>
      </c>
      <c r="C17" s="39" t="n">
        <v>0.048</v>
      </c>
      <c r="D17" s="39" t="n">
        <v>0.039</v>
      </c>
      <c r="E17" s="39" t="n">
        <v>0.093</v>
      </c>
      <c r="F17" s="39" t="n">
        <v>0.046</v>
      </c>
      <c r="G17" s="40"/>
      <c r="H17" s="40"/>
      <c r="I17" s="40"/>
      <c r="J17" s="40"/>
      <c r="K17" s="40"/>
      <c r="L17" s="40"/>
      <c r="M17" s="40"/>
      <c r="N17" s="40"/>
    </row>
    <row r="18" customFormat="false" ht="12.8" hidden="false" customHeight="false" outlineLevel="0" collapsed="false">
      <c r="A18" s="65" t="str">
        <f aca="false">_xlfn.CONCAT($A$1, ".", CALC!A18)</f>
        <v>LSD.RID.0.AL.U6R.14</v>
      </c>
      <c r="B18" s="42" t="str">
        <f aca="false">CALC!C18</f>
        <v>Finance and Insurance</v>
      </c>
      <c r="C18" s="39" t="n">
        <v>0.038</v>
      </c>
      <c r="D18" s="39" t="n">
        <v>0.031</v>
      </c>
      <c r="E18" s="39" t="n">
        <v>0.088</v>
      </c>
      <c r="F18" s="39" t="n">
        <v>0.036</v>
      </c>
      <c r="G18" s="40"/>
      <c r="H18" s="40"/>
      <c r="I18" s="40"/>
      <c r="J18" s="40"/>
      <c r="K18" s="40"/>
      <c r="L18" s="40"/>
      <c r="M18" s="40"/>
      <c r="N18" s="40"/>
    </row>
    <row r="19" customFormat="false" ht="23.85" hidden="false" customHeight="false" outlineLevel="0" collapsed="false">
      <c r="A19" s="65" t="str">
        <f aca="false">_xlfn.CONCAT($A$1, ".", CALC!A19)</f>
        <v>LSD.RID.0.AL.U6R.15</v>
      </c>
      <c r="B19" s="68" t="str">
        <f aca="false">CALC!C19</f>
        <v>Real Estate and
Rental and Leasing</v>
      </c>
      <c r="C19" s="39" t="n">
        <v>0.038</v>
      </c>
      <c r="D19" s="39" t="n">
        <v>0.031</v>
      </c>
      <c r="E19" s="39" t="n">
        <v>0.081</v>
      </c>
      <c r="F19" s="39" t="n">
        <v>0.036</v>
      </c>
      <c r="G19" s="40"/>
      <c r="H19" s="40"/>
      <c r="I19" s="40"/>
      <c r="J19" s="40"/>
      <c r="K19" s="40"/>
      <c r="L19" s="40"/>
      <c r="M19" s="40"/>
      <c r="N19" s="40"/>
    </row>
    <row r="20" customFormat="false" ht="23.85" hidden="false" customHeight="false" outlineLevel="0" collapsed="false">
      <c r="A20" s="65" t="str">
        <f aca="false">_xlfn.CONCAT($A$1, ".", CALC!A20)</f>
        <v>LSD.RID.0.AL.U6R.16</v>
      </c>
      <c r="B20" s="68" t="str">
        <f aca="false">CALC!C20</f>
        <v>Professional, Scientific,
and Technical Services</v>
      </c>
      <c r="C20" s="39" t="n">
        <v>0.045</v>
      </c>
      <c r="D20" s="39" t="n">
        <v>0.037</v>
      </c>
      <c r="E20" s="39" t="n">
        <v>0.098</v>
      </c>
      <c r="F20" s="39" t="n">
        <v>0.043</v>
      </c>
      <c r="G20" s="40"/>
      <c r="H20" s="40"/>
      <c r="I20" s="40"/>
      <c r="J20" s="40"/>
      <c r="K20" s="40"/>
      <c r="L20" s="40"/>
      <c r="M20" s="40"/>
      <c r="N20" s="40"/>
    </row>
    <row r="21" customFormat="false" ht="35.05" hidden="false" customHeight="false" outlineLevel="0" collapsed="false">
      <c r="A21" s="65" t="str">
        <f aca="false">_xlfn.CONCAT($A$1, ".", CALC!A21)</f>
        <v>LSD.RID.0.AL.U6R.17</v>
      </c>
      <c r="B21" s="68" t="str">
        <f aca="false">CALC!C21</f>
        <v>Administrative and Support
and Waste Management
and Remediation Services</v>
      </c>
      <c r="C21" s="39" t="n">
        <v>0.095</v>
      </c>
      <c r="D21" s="39" t="n">
        <v>0.078</v>
      </c>
      <c r="E21" s="39" t="n">
        <v>0.178</v>
      </c>
      <c r="F21" s="39" t="n">
        <v>0.091</v>
      </c>
      <c r="G21" s="40"/>
      <c r="H21" s="40"/>
      <c r="I21" s="40"/>
      <c r="J21" s="40"/>
      <c r="K21" s="40"/>
      <c r="L21" s="40"/>
      <c r="M21" s="40"/>
      <c r="N21" s="40"/>
    </row>
    <row r="22" customFormat="false" ht="12.8" hidden="false" customHeight="false" outlineLevel="0" collapsed="false">
      <c r="A22" s="65" t="str">
        <f aca="false">_xlfn.CONCAT($A$1, ".", CALC!A22)</f>
        <v>LSD.RID.0.AL.U6R.18</v>
      </c>
      <c r="B22" s="42" t="str">
        <f aca="false">CALC!C22</f>
        <v>Educational Services</v>
      </c>
      <c r="C22" s="39" t="n">
        <v>0.055</v>
      </c>
      <c r="D22" s="39" t="n">
        <v>0.045</v>
      </c>
      <c r="E22" s="39" t="n">
        <v>0.127</v>
      </c>
      <c r="F22" s="39" t="n">
        <v>0.053</v>
      </c>
      <c r="G22" s="40"/>
      <c r="H22" s="40"/>
      <c r="I22" s="40"/>
      <c r="J22" s="40"/>
      <c r="K22" s="40"/>
      <c r="L22" s="40"/>
      <c r="M22" s="40"/>
      <c r="N22" s="40"/>
    </row>
    <row r="23" customFormat="false" ht="23.85" hidden="false" customHeight="false" outlineLevel="0" collapsed="false">
      <c r="A23" s="65" t="str">
        <f aca="false">_xlfn.CONCAT($A$1, ".", CALC!A23)</f>
        <v>LSD.RID.0.AL.U6R.19</v>
      </c>
      <c r="B23" s="68" t="str">
        <f aca="false">CALC!C23</f>
        <v>Health Care and
Social Assistance</v>
      </c>
      <c r="C23" s="39" t="n">
        <v>0.055</v>
      </c>
      <c r="D23" s="39" t="n">
        <v>0.045</v>
      </c>
      <c r="E23" s="39" t="n">
        <v>0.134</v>
      </c>
      <c r="F23" s="39" t="n">
        <v>0.053</v>
      </c>
      <c r="G23" s="40"/>
      <c r="H23" s="40"/>
      <c r="I23" s="40"/>
      <c r="J23" s="40"/>
      <c r="K23" s="40"/>
      <c r="L23" s="40"/>
      <c r="M23" s="40"/>
      <c r="N23" s="40"/>
    </row>
    <row r="24" customFormat="false" ht="23.85" hidden="false" customHeight="false" outlineLevel="0" collapsed="false">
      <c r="A24" s="65" t="str">
        <f aca="false">_xlfn.CONCAT($A$1, ".", CALC!A24)</f>
        <v>LSD.RID.0.AL.U6R.20</v>
      </c>
      <c r="B24" s="68" t="str">
        <f aca="false">CALC!C24</f>
        <v>Arts, Entertainment,
and Recreation</v>
      </c>
      <c r="C24" s="39" t="n">
        <v>0.038</v>
      </c>
      <c r="D24" s="39" t="n">
        <v>0.031</v>
      </c>
      <c r="E24" s="39" t="n">
        <v>0.079</v>
      </c>
      <c r="F24" s="39" t="n">
        <v>0.036</v>
      </c>
      <c r="G24" s="40"/>
      <c r="H24" s="40"/>
      <c r="I24" s="40"/>
      <c r="J24" s="40"/>
      <c r="K24" s="40"/>
      <c r="L24" s="40"/>
      <c r="M24" s="40"/>
      <c r="N24" s="40"/>
    </row>
    <row r="25" customFormat="false" ht="23.85" hidden="false" customHeight="false" outlineLevel="0" collapsed="false">
      <c r="A25" s="65" t="str">
        <f aca="false">_xlfn.CONCAT($A$1, ".", CALC!A25)</f>
        <v>LSD.RID.0.AL.U6R.21</v>
      </c>
      <c r="B25" s="68" t="str">
        <f aca="false">CALC!C25</f>
        <v>Accommodation
and Food Services</v>
      </c>
      <c r="C25" s="39" t="n">
        <v>0.095</v>
      </c>
      <c r="D25" s="39" t="n">
        <v>0.078</v>
      </c>
      <c r="E25" s="39" t="n">
        <v>0.188</v>
      </c>
      <c r="F25" s="39" t="n">
        <v>0.091</v>
      </c>
      <c r="G25" s="40"/>
      <c r="H25" s="40"/>
      <c r="I25" s="40"/>
      <c r="J25" s="40"/>
      <c r="K25" s="40"/>
      <c r="L25" s="40"/>
      <c r="M25" s="40"/>
      <c r="N25" s="40"/>
    </row>
    <row r="26" customFormat="false" ht="23.85" hidden="false" customHeight="false" outlineLevel="0" collapsed="false">
      <c r="A26" s="65" t="str">
        <f aca="false">_xlfn.CONCAT($A$1, ".", CALC!A26)</f>
        <v>LSD.RID.0.AL.U6R.22</v>
      </c>
      <c r="B26" s="68" t="str">
        <f aca="false">CALC!C26</f>
        <v>Other Services (except
Public Administration)</v>
      </c>
      <c r="C26" s="39" t="n">
        <v>0.055</v>
      </c>
      <c r="D26" s="39" t="n">
        <v>0.045</v>
      </c>
      <c r="E26" s="39" t="n">
        <v>0.105</v>
      </c>
      <c r="F26" s="39" t="n">
        <v>0.053</v>
      </c>
      <c r="G26" s="40"/>
      <c r="H26" s="40"/>
      <c r="I26" s="40"/>
      <c r="J26" s="40"/>
      <c r="K26" s="40"/>
      <c r="L26" s="40"/>
      <c r="M26" s="40"/>
      <c r="N26" s="40"/>
    </row>
    <row r="27" customFormat="false" ht="12.8" hidden="false" customHeight="false" outlineLevel="0" collapsed="false">
      <c r="A27" s="65" t="str">
        <f aca="false">_xlfn.CONCAT($A$1, ".", CALC!A27)</f>
        <v>LSD.RID.0.AL.U6R.23</v>
      </c>
      <c r="B27" s="42" t="str">
        <f aca="false">CALC!C27</f>
        <v>Public Administration</v>
      </c>
      <c r="C27" s="39" t="n">
        <v>0.038</v>
      </c>
      <c r="D27" s="39" t="n">
        <v>0.031</v>
      </c>
      <c r="E27" s="39" t="n">
        <v>0.117</v>
      </c>
      <c r="F27" s="39" t="n">
        <v>0.036</v>
      </c>
      <c r="G27" s="40"/>
      <c r="H27" s="40"/>
      <c r="I27" s="40"/>
      <c r="J27" s="40"/>
      <c r="K27" s="40"/>
      <c r="L27" s="40"/>
      <c r="M27" s="40"/>
      <c r="N27" s="40"/>
    </row>
    <row r="28" customFormat="false" ht="12.8" hidden="false" customHeight="false" outlineLevel="0" collapsed="false">
      <c r="A28" s="65"/>
      <c r="B28" s="42"/>
      <c r="C28" s="40"/>
      <c r="D28" s="40"/>
      <c r="E28" s="40"/>
      <c r="F28" s="40"/>
      <c r="G28" s="40"/>
      <c r="H28" s="40"/>
      <c r="I28" s="40"/>
      <c r="J28" s="40"/>
      <c r="K28" s="40"/>
      <c r="L28" s="40"/>
      <c r="M28" s="40"/>
      <c r="N28" s="40"/>
    </row>
    <row r="130" customFormat="false" ht="12.8" hidden="false" customHeight="false" outlineLevel="0" collapsed="false">
      <c r="A130" s="65" t="s">
        <v>2301</v>
      </c>
      <c r="B130" s="65" t="s">
        <v>2302</v>
      </c>
      <c r="C130" s="66" t="str">
        <f aca="false">_xlfn.CONCAT($B$1, " ", "Formulae")</f>
        <v>Alabama Underemployment Rate (U6R) Formulae</v>
      </c>
    </row>
    <row r="131" customFormat="false" ht="12.8" hidden="false" customHeight="false" outlineLevel="0" collapsed="false">
      <c r="A131" s="48" t="s">
        <v>1842</v>
      </c>
      <c r="B131" s="3" t="s">
        <v>183</v>
      </c>
      <c r="C131" s="3" t="s">
        <v>184</v>
      </c>
      <c r="D131" s="3" t="s">
        <v>1843</v>
      </c>
      <c r="E131" s="3" t="s">
        <v>186</v>
      </c>
      <c r="F131" s="3" t="s">
        <v>187</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BD131" s="3"/>
      <c r="BE131" s="3"/>
      <c r="BF131" s="3"/>
      <c r="BG131" s="3"/>
      <c r="BH131" s="3"/>
      <c r="BI131" s="3"/>
      <c r="BJ131" s="3"/>
      <c r="BK131" s="3"/>
      <c r="BL131" s="3"/>
      <c r="BM131" s="3"/>
      <c r="BN131" s="3"/>
      <c r="BO131" s="3"/>
    </row>
    <row r="132" customFormat="false" ht="12.8" hidden="false" customHeight="false" outlineLevel="0" collapsed="false">
      <c r="A132" s="48" t="s">
        <v>2303</v>
      </c>
      <c r="B132" s="3" t="s">
        <v>2304</v>
      </c>
      <c r="C132" s="3" t="s">
        <v>2305</v>
      </c>
      <c r="D132" s="3" t="s">
        <v>2093</v>
      </c>
      <c r="E132" s="3" t="s">
        <v>2306</v>
      </c>
      <c r="F132" s="3" t="s">
        <v>302</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BD132" s="3"/>
      <c r="BE132" s="3"/>
      <c r="BF132" s="3"/>
      <c r="BG132" s="3"/>
      <c r="BH132" s="3"/>
      <c r="BI132" s="3"/>
      <c r="BJ132" s="3"/>
      <c r="BK132" s="3"/>
      <c r="BL132" s="3"/>
      <c r="BM132" s="3"/>
      <c r="BN132" s="3"/>
      <c r="BO132" s="3"/>
    </row>
    <row r="133" customFormat="false" ht="12.8" hidden="false" customHeight="false" outlineLevel="0" collapsed="false">
      <c r="A133" s="48" t="s">
        <v>2307</v>
      </c>
      <c r="B133" s="3" t="s">
        <v>2304</v>
      </c>
      <c r="C133" s="3" t="s">
        <v>1850</v>
      </c>
      <c r="D133" s="3" t="s">
        <v>2096</v>
      </c>
      <c r="E133" s="3" t="s">
        <v>1851</v>
      </c>
      <c r="F133" s="3" t="s">
        <v>302</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BD133" s="3"/>
      <c r="BE133" s="3"/>
      <c r="BF133" s="3"/>
      <c r="BG133" s="3"/>
      <c r="BH133" s="3"/>
      <c r="BI133" s="3"/>
      <c r="BJ133" s="3"/>
      <c r="BK133" s="3"/>
      <c r="BL133" s="3"/>
      <c r="BM133" s="3"/>
      <c r="BN133" s="3"/>
      <c r="BO133" s="3"/>
    </row>
    <row r="134" customFormat="false" ht="12.8" hidden="false" customHeight="false" outlineLevel="0" collapsed="false">
      <c r="A134" s="48" t="s">
        <v>2308</v>
      </c>
      <c r="B134" s="3" t="s">
        <v>2304</v>
      </c>
      <c r="C134" s="3" t="s">
        <v>1853</v>
      </c>
      <c r="D134" s="3" t="s">
        <v>2098</v>
      </c>
      <c r="E134" s="3" t="s">
        <v>2309</v>
      </c>
      <c r="F134" s="3" t="s">
        <v>302</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row>
    <row r="135" customFormat="false" ht="12.8" hidden="false" customHeight="false" outlineLevel="0" collapsed="false">
      <c r="A135" s="50" t="s">
        <v>2310</v>
      </c>
      <c r="B135" s="39" t="s">
        <v>2304</v>
      </c>
      <c r="C135" s="39" t="s">
        <v>2311</v>
      </c>
      <c r="D135" s="39" t="s">
        <v>2102</v>
      </c>
      <c r="E135" s="39" t="s">
        <v>306</v>
      </c>
      <c r="F135" s="39" t="s">
        <v>302</v>
      </c>
    </row>
    <row r="137" customFormat="false" ht="12.8" hidden="false" customHeight="false" outlineLevel="0" collapsed="false">
      <c r="A137" s="65" t="s">
        <v>2312</v>
      </c>
      <c r="B137" s="65" t="s">
        <v>2313</v>
      </c>
      <c r="C137" s="66" t="str">
        <f aca="false">_xlfn.CONCAT($B$1, " ", "Parameters")</f>
        <v>Alabama Underemployment Rate (U6R) Parameters</v>
      </c>
    </row>
    <row r="138" customFormat="false" ht="12.8" hidden="false" customHeight="false" outlineLevel="0" collapsed="false">
      <c r="A138" s="49" t="s">
        <v>683</v>
      </c>
      <c r="B138" s="49" t="s">
        <v>184</v>
      </c>
      <c r="C138" s="49" t="s">
        <v>684</v>
      </c>
      <c r="D138" s="49" t="s">
        <v>186</v>
      </c>
      <c r="E138" s="49" t="s">
        <v>678</v>
      </c>
      <c r="F138" s="49" t="s">
        <v>679</v>
      </c>
      <c r="G138" s="49" t="s">
        <v>680</v>
      </c>
      <c r="H138" s="49" t="s">
        <v>187</v>
      </c>
      <c r="AY138" s="3"/>
      <c r="BC138" s="39"/>
      <c r="BO138" s="3"/>
    </row>
    <row r="139" customFormat="false" ht="12.8" hidden="false" customHeight="false" outlineLevel="0" collapsed="false">
      <c r="A139" s="48" t="s">
        <v>2314</v>
      </c>
      <c r="B139" s="3" t="s">
        <v>2315</v>
      </c>
      <c r="C139" s="3" t="n">
        <v>0.062</v>
      </c>
      <c r="D139" s="3" t="s">
        <v>1006</v>
      </c>
      <c r="E139" s="3" t="s">
        <v>689</v>
      </c>
      <c r="F139" s="3" t="s">
        <v>1007</v>
      </c>
      <c r="G139" s="51" t="s">
        <v>691</v>
      </c>
      <c r="H139" s="3" t="s">
        <v>302</v>
      </c>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BD139" s="3"/>
      <c r="BE139" s="3"/>
      <c r="BF139" s="3"/>
      <c r="BG139" s="3"/>
      <c r="BH139" s="3"/>
      <c r="BI139" s="3"/>
      <c r="BJ139" s="3"/>
      <c r="BK139" s="3"/>
      <c r="BL139" s="3"/>
      <c r="BM139" s="3"/>
      <c r="BN139" s="3"/>
      <c r="BO139" s="3"/>
    </row>
    <row r="140" customFormat="false" ht="12.8" hidden="false" customHeight="false" outlineLevel="0" collapsed="false">
      <c r="A140" s="48" t="s">
        <v>2316</v>
      </c>
      <c r="B140" s="3" t="s">
        <v>1009</v>
      </c>
      <c r="C140" s="3" t="s">
        <v>1010</v>
      </c>
      <c r="D140" s="3" t="s">
        <v>982</v>
      </c>
      <c r="E140" s="3" t="s">
        <v>983</v>
      </c>
      <c r="F140" s="3" t="s">
        <v>984</v>
      </c>
      <c r="G140" s="51" t="s">
        <v>691</v>
      </c>
      <c r="H140" s="3" t="s">
        <v>302</v>
      </c>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BD140" s="3"/>
      <c r="BE140" s="3"/>
      <c r="BF140" s="3"/>
      <c r="BG140" s="3"/>
      <c r="BH140" s="3"/>
      <c r="BI140" s="3"/>
      <c r="BJ140" s="3"/>
      <c r="BK140" s="3"/>
      <c r="BL140" s="3"/>
      <c r="BM140" s="3"/>
      <c r="BN140" s="3"/>
      <c r="BO140" s="3"/>
    </row>
    <row r="141" customFormat="false" ht="12.8" hidden="false" customHeight="false" outlineLevel="0" collapsed="false">
      <c r="A141" s="48" t="s">
        <v>2317</v>
      </c>
      <c r="B141" s="3" t="s">
        <v>1012</v>
      </c>
      <c r="C141" s="3" t="s">
        <v>987</v>
      </c>
      <c r="D141" s="3" t="s">
        <v>1013</v>
      </c>
      <c r="E141" s="3" t="s">
        <v>983</v>
      </c>
      <c r="F141" s="3" t="s">
        <v>984</v>
      </c>
      <c r="G141" s="51" t="s">
        <v>691</v>
      </c>
      <c r="H141" s="3" t="s">
        <v>989</v>
      </c>
      <c r="I141" s="3" t="s">
        <v>302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BD141" s="3"/>
      <c r="BE141" s="3"/>
      <c r="BF141" s="3"/>
      <c r="BG141" s="3"/>
      <c r="BH141" s="3"/>
      <c r="BI141" s="3"/>
      <c r="BJ141" s="3"/>
      <c r="BK141" s="3"/>
      <c r="BL141" s="3"/>
      <c r="BM141" s="3"/>
      <c r="BN141" s="3"/>
      <c r="BO141" s="3"/>
    </row>
    <row r="142" customFormat="false" ht="12.8" hidden="false" customHeight="false" outlineLevel="0" collapsed="false">
      <c r="A142" s="48" t="s">
        <v>2318</v>
      </c>
      <c r="B142" s="3" t="s">
        <v>1015</v>
      </c>
      <c r="C142" s="3" t="s">
        <v>992</v>
      </c>
      <c r="D142" s="3" t="s">
        <v>993</v>
      </c>
      <c r="E142" s="3" t="s">
        <v>983</v>
      </c>
      <c r="F142" s="3" t="s">
        <v>984</v>
      </c>
      <c r="G142" s="51" t="s">
        <v>691</v>
      </c>
      <c r="H142" s="3" t="s">
        <v>974</v>
      </c>
      <c r="I142" s="3" t="s">
        <v>302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BD142" s="3"/>
      <c r="BE142" s="3"/>
      <c r="BF142" s="3"/>
      <c r="BG142" s="3"/>
      <c r="BH142" s="3"/>
      <c r="BI142" s="3"/>
      <c r="BJ142" s="3"/>
      <c r="BK142" s="3"/>
      <c r="BL142" s="3"/>
      <c r="BM142" s="3"/>
      <c r="BN142" s="3"/>
      <c r="BO142" s="3"/>
    </row>
    <row r="143" customFormat="false" ht="12.8" hidden="false" customHeight="false" outlineLevel="0" collapsed="false">
      <c r="A143" s="48" t="s">
        <v>2319</v>
      </c>
      <c r="B143" s="3" t="s">
        <v>1017</v>
      </c>
      <c r="C143" s="3" t="n">
        <v>0.7</v>
      </c>
      <c r="D143" s="3" t="s">
        <v>1018</v>
      </c>
      <c r="E143" s="3" t="s">
        <v>689</v>
      </c>
      <c r="F143" s="3" t="s">
        <v>997</v>
      </c>
      <c r="G143" s="51" t="s">
        <v>691</v>
      </c>
      <c r="H143" s="3" t="s">
        <v>302</v>
      </c>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BD143" s="3"/>
      <c r="BE143" s="3"/>
      <c r="BF143" s="3"/>
      <c r="BG143" s="3"/>
      <c r="BH143" s="3"/>
      <c r="BI143" s="3"/>
      <c r="BJ143" s="3"/>
      <c r="BK143" s="3"/>
      <c r="BL143" s="3"/>
      <c r="BM143" s="3"/>
      <c r="BN143" s="3"/>
      <c r="BO143" s="3"/>
    </row>
    <row r="144" customFormat="false" ht="12.8" hidden="false" customHeight="false" outlineLevel="0" collapsed="false">
      <c r="A144" s="62" t="s">
        <v>2320</v>
      </c>
      <c r="B144" s="63" t="s">
        <v>1020</v>
      </c>
      <c r="C144" s="39" t="n">
        <v>5</v>
      </c>
      <c r="D144" s="39" t="s">
        <v>1000</v>
      </c>
      <c r="E144" s="39" t="s">
        <v>689</v>
      </c>
      <c r="F144" s="39" t="s">
        <v>1001</v>
      </c>
      <c r="G144" s="51" t="s">
        <v>691</v>
      </c>
      <c r="H144" s="39" t="s">
        <v>302</v>
      </c>
      <c r="AZ144" s="39"/>
      <c r="BA144" s="39"/>
      <c r="BB144" s="39"/>
      <c r="BC144" s="39"/>
      <c r="BP144" s="39"/>
    </row>
    <row r="145" customFormat="false" ht="12.8" hidden="false" customHeight="false" outlineLevel="0" collapsed="false">
      <c r="A145" s="65"/>
      <c r="B145" s="66"/>
      <c r="G145" s="51"/>
    </row>
    <row r="146" customFormat="false" ht="12.8" hidden="false" customHeight="false" outlineLevel="0" collapsed="false">
      <c r="A146" s="65" t="s">
        <v>2321</v>
      </c>
      <c r="B146" s="66" t="s">
        <v>2322</v>
      </c>
    </row>
    <row r="147" customFormat="false" ht="12.8" hidden="false" customHeight="false" outlineLevel="0" collapsed="false">
      <c r="A147" s="49" t="s">
        <v>113</v>
      </c>
      <c r="B147" s="49" t="s">
        <v>186</v>
      </c>
      <c r="C147" s="49" t="s">
        <v>677</v>
      </c>
      <c r="D147" s="49" t="s">
        <v>1875</v>
      </c>
      <c r="E147" s="49" t="s">
        <v>678</v>
      </c>
      <c r="F147" s="49" t="s">
        <v>1876</v>
      </c>
      <c r="G147" s="49" t="s">
        <v>1786</v>
      </c>
    </row>
    <row r="148" customFormat="false" ht="12.8" hidden="false" customHeight="false" outlineLevel="0" collapsed="false">
      <c r="A148" s="48" t="s">
        <v>2323</v>
      </c>
      <c r="B148" s="3" t="s">
        <v>1467</v>
      </c>
      <c r="C148" s="3" t="n">
        <v>0.062</v>
      </c>
      <c r="D148" s="3" t="s">
        <v>2324</v>
      </c>
      <c r="E148" s="3" t="s">
        <v>689</v>
      </c>
      <c r="F148" s="3" t="s">
        <v>2325</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BD148" s="3"/>
      <c r="BE148" s="3"/>
      <c r="BF148" s="3"/>
      <c r="BG148" s="3"/>
      <c r="BH148" s="3"/>
      <c r="BI148" s="3"/>
      <c r="BJ148" s="3"/>
      <c r="BK148" s="3"/>
      <c r="BL148" s="3"/>
      <c r="BM148" s="3"/>
      <c r="BN148" s="3"/>
      <c r="BO148" s="3"/>
    </row>
    <row r="149" customFormat="false" ht="12.8" hidden="false" customHeight="false" outlineLevel="0" collapsed="false">
      <c r="A149" s="48" t="s">
        <v>2326</v>
      </c>
      <c r="B149" s="3" t="s">
        <v>1881</v>
      </c>
      <c r="C149" s="3" t="s">
        <v>2327</v>
      </c>
      <c r="D149" s="3" t="s">
        <v>2328</v>
      </c>
      <c r="E149" s="3" t="s">
        <v>689</v>
      </c>
      <c r="F149" s="3" t="s">
        <v>2329</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BD149" s="3"/>
      <c r="BE149" s="3"/>
      <c r="BF149" s="3"/>
      <c r="BG149" s="3"/>
      <c r="BH149" s="3"/>
      <c r="BI149" s="3"/>
      <c r="BJ149" s="3"/>
      <c r="BK149" s="3"/>
      <c r="BL149" s="3"/>
      <c r="BM149" s="3"/>
      <c r="BN149" s="3"/>
      <c r="BO149" s="3"/>
    </row>
    <row r="150" customFormat="false" ht="12.8" hidden="false" customHeight="false" outlineLevel="0" collapsed="false">
      <c r="A150" s="48" t="s">
        <v>2330</v>
      </c>
      <c r="B150" s="3" t="s">
        <v>2279</v>
      </c>
      <c r="C150" s="3" t="s">
        <v>2331</v>
      </c>
      <c r="D150" s="3" t="s">
        <v>2332</v>
      </c>
      <c r="E150" s="3" t="s">
        <v>689</v>
      </c>
      <c r="F150" s="3" t="s">
        <v>1956</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BD150" s="3"/>
      <c r="BE150" s="3"/>
      <c r="BF150" s="3"/>
      <c r="BG150" s="3"/>
      <c r="BH150" s="3"/>
      <c r="BI150" s="3"/>
      <c r="BJ150" s="3"/>
      <c r="BK150" s="3"/>
      <c r="BL150" s="3"/>
      <c r="BM150" s="3"/>
      <c r="BN150" s="3"/>
      <c r="BO150" s="3"/>
    </row>
    <row r="151" customFormat="false" ht="12.8" hidden="false" customHeight="false" outlineLevel="0" collapsed="false">
      <c r="A151" s="48" t="s">
        <v>2333</v>
      </c>
      <c r="B151" s="3" t="s">
        <v>1891</v>
      </c>
      <c r="C151" s="3" t="s">
        <v>2334</v>
      </c>
      <c r="D151" s="3" t="s">
        <v>2335</v>
      </c>
      <c r="E151" s="3" t="s">
        <v>689</v>
      </c>
      <c r="F151" s="3" t="s">
        <v>2336</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BD151" s="3"/>
      <c r="BE151" s="3"/>
      <c r="BF151" s="3"/>
      <c r="BG151" s="3"/>
      <c r="BH151" s="3"/>
      <c r="BI151" s="3"/>
      <c r="BJ151" s="3"/>
      <c r="BK151" s="3"/>
      <c r="BL151" s="3"/>
      <c r="BM151" s="3"/>
      <c r="BN151" s="3"/>
      <c r="BO151" s="3"/>
    </row>
    <row r="152" customFormat="false" ht="12.8" hidden="false" customHeight="false" outlineLevel="0" collapsed="false">
      <c r="A152" s="48" t="s">
        <v>2337</v>
      </c>
      <c r="B152" s="3" t="s">
        <v>1896</v>
      </c>
      <c r="C152" s="3" t="s">
        <v>1897</v>
      </c>
      <c r="D152" s="3" t="s">
        <v>2338</v>
      </c>
      <c r="E152" s="3" t="s">
        <v>689</v>
      </c>
      <c r="F152" s="3" t="s">
        <v>2130</v>
      </c>
      <c r="G152" s="3" t="s">
        <v>2339</v>
      </c>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BD152" s="3"/>
      <c r="BE152" s="3"/>
      <c r="BF152" s="3"/>
      <c r="BG152" s="3"/>
      <c r="BH152" s="3"/>
      <c r="BI152" s="3"/>
      <c r="BJ152" s="3"/>
      <c r="BK152" s="3"/>
      <c r="BL152" s="3"/>
      <c r="BM152" s="3"/>
      <c r="BN152" s="3"/>
      <c r="BO152" s="3"/>
    </row>
    <row r="153" customFormat="false" ht="12.8" hidden="false" customHeight="false" outlineLevel="0" collapsed="false">
      <c r="A153" s="48" t="s">
        <v>2340</v>
      </c>
      <c r="B153" s="3" t="s">
        <v>1901</v>
      </c>
      <c r="C153" s="3" t="s">
        <v>1902</v>
      </c>
      <c r="D153" s="3" t="s">
        <v>2341</v>
      </c>
      <c r="E153" s="3" t="s">
        <v>689</v>
      </c>
      <c r="F153" s="3" t="s">
        <v>1965</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BD153" s="3"/>
      <c r="BE153" s="3"/>
      <c r="BF153" s="3"/>
      <c r="BG153" s="3"/>
      <c r="BH153" s="3"/>
      <c r="BI153" s="3"/>
      <c r="BJ153" s="3"/>
      <c r="BK153" s="3"/>
      <c r="BL153" s="3"/>
      <c r="BM153" s="3"/>
      <c r="BN153" s="3"/>
      <c r="BO153" s="3"/>
    </row>
    <row r="154" customFormat="false" ht="12.8" hidden="false" customHeight="false" outlineLevel="0" collapsed="false">
      <c r="A154" s="48" t="s">
        <v>2342</v>
      </c>
      <c r="B154" s="3" t="s">
        <v>2343</v>
      </c>
      <c r="C154" s="3" t="s">
        <v>2344</v>
      </c>
      <c r="D154" s="3" t="s">
        <v>2345</v>
      </c>
      <c r="E154" s="3" t="s">
        <v>689</v>
      </c>
      <c r="F154" s="3" t="s">
        <v>2346</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BD154" s="3"/>
      <c r="BE154" s="3"/>
      <c r="BF154" s="3"/>
      <c r="BG154" s="3"/>
      <c r="BH154" s="3"/>
      <c r="BI154" s="3"/>
      <c r="BJ154" s="3"/>
      <c r="BK154" s="3"/>
      <c r="BL154" s="3"/>
      <c r="BM154" s="3"/>
      <c r="BN154" s="3"/>
      <c r="BO154"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4000"/>
    <pageSetUpPr fitToPage="false"/>
  </sheetPr>
  <dimension ref="A1:BJ153"/>
  <sheetViews>
    <sheetView showFormulas="false" showGridLines="true" showRowColHeaders="true" showZeros="true" rightToLeft="false" tabSelected="false" showOutlineSymbols="true" defaultGridColor="true" view="normal" topLeftCell="A91" colorId="64" zoomScale="65" zoomScaleNormal="65" zoomScalePageLayoutView="100" workbookViewId="0">
      <selection pane="topLeft" activeCell="A145" activeCellId="0" sqref="A145"/>
    </sheetView>
  </sheetViews>
  <sheetFormatPr defaultColWidth="11.53515625" defaultRowHeight="12.8" customHeight="false" zeroHeight="false" outlineLevelRow="0"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28" min="4" style="39" width="16.84"/>
    <col collapsed="false" customWidth="true" hidden="false" outlineLevel="0" max="42" min="29" style="39" width="17.78"/>
    <col collapsed="false" customWidth="true" hidden="false" outlineLevel="0" max="45" min="43" style="39" width="15.48"/>
    <col collapsed="false" customWidth="true" hidden="false" outlineLevel="0" max="50" min="50" style="39" width="18.45"/>
    <col collapsed="false" customWidth="true" hidden="false" outlineLevel="0" max="53" min="51" style="39" width="16.14"/>
    <col collapsed="false" customWidth="true" hidden="false" outlineLevel="0" max="61" min="54" style="39" width="13.84"/>
  </cols>
  <sheetData>
    <row r="1" customFormat="false" ht="12.8" hidden="false" customHeight="false" outlineLevel="0" collapsed="false">
      <c r="A1" s="4" t="s">
        <v>1969</v>
      </c>
      <c r="B1" s="41" t="s">
        <v>2347</v>
      </c>
      <c r="C1" s="6" t="s">
        <v>2</v>
      </c>
      <c r="D1" s="39" t="s">
        <v>2348</v>
      </c>
      <c r="AT1" s="39"/>
      <c r="BJ1" s="39"/>
    </row>
    <row r="2" customFormat="false" ht="12.8" hidden="false" customHeight="false" outlineLevel="0" collapsed="false">
      <c r="A2" s="65" t="str">
        <f aca="false">_xlfn.CONCAT($A$1, ".", "CALC")</f>
        <v>LSD.RID.0.AL.EP.CALC</v>
      </c>
      <c r="B2" s="66" t="str">
        <f aca="false">_xlfn.CONCAT($B$1, " ", "Calculations")</f>
        <v>Alabama Underemployed Population Calculations</v>
      </c>
      <c r="C2" s="56" t="str">
        <f aca="false">CALC!T2</f>
        <v>Underemployed Population (U6P)</v>
      </c>
      <c r="D2" s="56"/>
      <c r="E2" s="56"/>
      <c r="F2" s="56"/>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X2" s="3"/>
      <c r="AY2" s="3"/>
      <c r="AZ2" s="3"/>
      <c r="BA2" s="3"/>
      <c r="BB2" s="3"/>
      <c r="BC2" s="3"/>
      <c r="BD2" s="3"/>
      <c r="BE2" s="3"/>
      <c r="BF2" s="3"/>
      <c r="BG2" s="3"/>
      <c r="BH2" s="3"/>
      <c r="BI2" s="3"/>
    </row>
    <row r="3" customFormat="false" ht="12.8" hidden="false" customHeight="false" outlineLevel="0" collapsed="false">
      <c r="A3" s="65" t="str">
        <f aca="false">CALC!A3</f>
        <v>LSID</v>
      </c>
      <c r="B3" s="42" t="str">
        <f aca="false">CALC!C3</f>
        <v>Labor Sector</v>
      </c>
      <c r="C3" s="59" t="str">
        <f aca="false">CALC!T3</f>
        <v>Overall U6P</v>
      </c>
      <c r="D3" s="59" t="str">
        <f aca="false">CALC!U3</f>
        <v>Authorized U6P</v>
      </c>
      <c r="E3" s="59" t="str">
        <f aca="false">CALC!V3</f>
        <v>Unauthorized U6P</v>
      </c>
      <c r="F3" s="59" t="str">
        <f aca="false">CALC!W3</f>
        <v>American U6P</v>
      </c>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X3" s="3"/>
      <c r="AY3" s="3"/>
      <c r="AZ3" s="3"/>
      <c r="BA3" s="3"/>
      <c r="BB3" s="3"/>
      <c r="BC3" s="3"/>
      <c r="BD3" s="3"/>
      <c r="BE3" s="3"/>
      <c r="BF3" s="3"/>
      <c r="BG3" s="3"/>
      <c r="BH3" s="3"/>
      <c r="BI3" s="3"/>
    </row>
    <row r="4" customFormat="false" ht="12.8" hidden="false" customHeight="false" outlineLevel="0" collapsed="false">
      <c r="A4" s="65" t="str">
        <f aca="false">_xlfn.CONCAT($A$1, ".", CALC!A4)</f>
        <v>LSD.RID.0.AL.EP.0</v>
      </c>
      <c r="B4" s="42" t="str">
        <f aca="false">CALC!C4</f>
        <v>All Industries</v>
      </c>
      <c r="C4" s="3" t="n">
        <v>148000</v>
      </c>
      <c r="D4" s="3" t="n">
        <v>2985</v>
      </c>
      <c r="E4" s="3" t="n">
        <v>12845</v>
      </c>
      <c r="F4" s="3" t="n">
        <v>132170</v>
      </c>
      <c r="G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X4" s="3"/>
      <c r="AY4" s="3"/>
      <c r="AZ4" s="3"/>
      <c r="BA4" s="3"/>
      <c r="BB4" s="3"/>
      <c r="BC4" s="3"/>
      <c r="BD4" s="3"/>
      <c r="BE4" s="3"/>
      <c r="BF4" s="3"/>
      <c r="BG4" s="3"/>
      <c r="BH4" s="3"/>
      <c r="BI4" s="3"/>
    </row>
    <row r="5" customFormat="false" ht="23.85" hidden="false" customHeight="false" outlineLevel="0" collapsed="false">
      <c r="A5" s="65" t="str">
        <f aca="false">_xlfn.CONCAT($A$1, ".", CALC!A5)</f>
        <v>LSD.RID.0.AL.EP.1</v>
      </c>
      <c r="B5" s="68" t="str">
        <f aca="false">CALC!C5</f>
        <v>Agriculture, Forestry, 
Fishing and Hunting</v>
      </c>
      <c r="C5" s="3" t="n">
        <v>21000</v>
      </c>
      <c r="D5" s="3" t="n">
        <v>142</v>
      </c>
      <c r="E5" s="3" t="n">
        <v>5480</v>
      </c>
      <c r="F5" s="3" t="n">
        <v>15378</v>
      </c>
      <c r="G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X5" s="3"/>
      <c r="AY5" s="3"/>
      <c r="AZ5" s="3"/>
      <c r="BA5" s="3"/>
      <c r="BB5" s="3"/>
      <c r="BC5" s="3"/>
      <c r="BD5" s="3"/>
      <c r="BE5" s="3"/>
      <c r="BF5" s="3"/>
      <c r="BG5" s="3"/>
      <c r="BH5" s="3"/>
      <c r="BI5" s="3"/>
    </row>
    <row r="6" customFormat="false" ht="23.85" hidden="false" customHeight="false" outlineLevel="0" collapsed="false">
      <c r="A6" s="65" t="str">
        <f aca="false">_xlfn.CONCAT($A$1, ".", CALC!A6)</f>
        <v>LSD.RID.0.AL.EP.2</v>
      </c>
      <c r="B6" s="68" t="str">
        <f aca="false">CALC!C6</f>
        <v>Mining, Quarrying, and
Oil and Gas Extraction</v>
      </c>
      <c r="C6" s="3" t="n">
        <v>8700</v>
      </c>
      <c r="D6" s="3" t="n">
        <v>89</v>
      </c>
      <c r="E6" s="3" t="n">
        <v>892</v>
      </c>
      <c r="F6" s="3" t="n">
        <v>7719</v>
      </c>
      <c r="G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X6" s="3"/>
      <c r="AY6" s="3"/>
      <c r="AZ6" s="3"/>
      <c r="BA6" s="3"/>
      <c r="BB6" s="3"/>
      <c r="BC6" s="3"/>
      <c r="BD6" s="3"/>
      <c r="BE6" s="3"/>
      <c r="BF6" s="3"/>
      <c r="BG6" s="3"/>
      <c r="BH6" s="3"/>
      <c r="BI6" s="3"/>
    </row>
    <row r="7" customFormat="false" ht="12.8" hidden="false" customHeight="false" outlineLevel="0" collapsed="false">
      <c r="A7" s="65" t="str">
        <f aca="false">_xlfn.CONCAT($A$1, ".", CALC!A7)</f>
        <v>LSD.RID.0.AL.EP.3</v>
      </c>
      <c r="B7" s="42" t="str">
        <f aca="false">CALC!C7</f>
        <v>Utilities</v>
      </c>
      <c r="C7" s="3" t="n">
        <v>8700</v>
      </c>
      <c r="D7" s="3" t="n">
        <v>528</v>
      </c>
      <c r="E7" s="3" t="n">
        <v>672</v>
      </c>
      <c r="F7" s="3" t="n">
        <v>7500</v>
      </c>
      <c r="G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X7" s="3"/>
      <c r="AY7" s="3"/>
      <c r="AZ7" s="3"/>
      <c r="BA7" s="3"/>
      <c r="BB7" s="3"/>
      <c r="BC7" s="3"/>
      <c r="BD7" s="3"/>
      <c r="BE7" s="3"/>
      <c r="BF7" s="3"/>
      <c r="BG7" s="3"/>
      <c r="BH7" s="3"/>
      <c r="BI7" s="3"/>
    </row>
    <row r="8" customFormat="false" ht="12.8" hidden="false" customHeight="false" outlineLevel="0" collapsed="false">
      <c r="A8" s="65" t="str">
        <f aca="false">_xlfn.CONCAT($A$1, ".", CALC!A8)</f>
        <v>LSD.RID.0.AL.EP.4</v>
      </c>
      <c r="B8" s="42" t="str">
        <f aca="false">CALC!C8</f>
        <v>Construction</v>
      </c>
      <c r="C8" s="3" t="n">
        <v>94000</v>
      </c>
      <c r="D8" s="3" t="n">
        <v>5480</v>
      </c>
      <c r="E8" s="3" t="n">
        <v>14800</v>
      </c>
      <c r="F8" s="3" t="n">
        <v>73720</v>
      </c>
      <c r="G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X8" s="3"/>
      <c r="AY8" s="3"/>
      <c r="AZ8" s="3"/>
      <c r="BA8" s="3"/>
      <c r="BB8" s="3"/>
      <c r="BC8" s="3"/>
      <c r="BD8" s="3"/>
      <c r="BE8" s="3"/>
      <c r="BF8" s="3"/>
      <c r="BG8" s="3"/>
      <c r="BH8" s="3"/>
      <c r="BI8" s="3"/>
    </row>
    <row r="9" customFormat="false" ht="23.85" hidden="false" customHeight="false" outlineLevel="0" collapsed="false">
      <c r="A9" s="65" t="str">
        <f aca="false">_xlfn.CONCAT($A$1, ".", CALC!A9)</f>
        <v>LSD.RID.0.AL.EP.5</v>
      </c>
      <c r="B9" s="68" t="str">
        <f aca="false">CALC!C9</f>
        <v>Manufacturing
(Food,Textile, etc.)</v>
      </c>
      <c r="C9" s="3" t="n">
        <v>44400</v>
      </c>
      <c r="D9" s="3" t="n">
        <v>1198</v>
      </c>
      <c r="E9" s="3" t="n">
        <v>4800</v>
      </c>
      <c r="F9" s="3" t="n">
        <v>38402</v>
      </c>
      <c r="G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X9" s="3"/>
      <c r="AY9" s="3"/>
      <c r="AZ9" s="3"/>
      <c r="BA9" s="3"/>
      <c r="BB9" s="3"/>
      <c r="BC9" s="3"/>
      <c r="BD9" s="3"/>
      <c r="BE9" s="3"/>
      <c r="BF9" s="3"/>
      <c r="BG9" s="3"/>
      <c r="BH9" s="3"/>
      <c r="BI9" s="3"/>
    </row>
    <row r="10" customFormat="false" ht="23.85" hidden="false" customHeight="false" outlineLevel="0" collapsed="false">
      <c r="A10" s="65" t="str">
        <f aca="false">_xlfn.CONCAT($A$1, ".", CALC!A10)</f>
        <v>LSD.RID.0.AL.EP.6</v>
      </c>
      <c r="B10" s="68" t="str">
        <f aca="false">CALC!C10</f>
        <v>Manufacturing (Wood,
Paper, Printing, etc.)</v>
      </c>
      <c r="C10" s="3" t="n">
        <v>30700</v>
      </c>
      <c r="D10" s="3" t="n">
        <v>1288</v>
      </c>
      <c r="E10" s="3" t="n">
        <v>1840</v>
      </c>
      <c r="F10" s="3" t="n">
        <v>27572</v>
      </c>
      <c r="G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X10" s="3"/>
      <c r="AY10" s="3"/>
      <c r="AZ10" s="3"/>
      <c r="BA10" s="3"/>
      <c r="BB10" s="3"/>
      <c r="BC10" s="3"/>
      <c r="BD10" s="3"/>
      <c r="BE10" s="3"/>
      <c r="BF10" s="3"/>
      <c r="BG10" s="3"/>
      <c r="BH10" s="3"/>
      <c r="BI10" s="3"/>
    </row>
    <row r="11" customFormat="false" ht="23.85" hidden="false" customHeight="false" outlineLevel="0" collapsed="false">
      <c r="A11" s="65" t="str">
        <f aca="false">_xlfn.CONCAT($A$1, ".", CALC!A11)</f>
        <v>LSD.RID.0.AL.EP.7</v>
      </c>
      <c r="B11" s="68" t="str">
        <f aca="false">CALC!C11</f>
        <v>Manufacturing
(Machinery, Transport)</v>
      </c>
      <c r="C11" s="3" t="n">
        <v>63800</v>
      </c>
      <c r="D11" s="3" t="n">
        <v>3398</v>
      </c>
      <c r="E11" s="3" t="n">
        <v>3692</v>
      </c>
      <c r="F11" s="3" t="n">
        <v>56710</v>
      </c>
      <c r="G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X11" s="3"/>
      <c r="AY11" s="3"/>
      <c r="AZ11" s="3"/>
      <c r="BA11" s="3"/>
      <c r="BB11" s="3"/>
      <c r="BC11" s="3"/>
      <c r="BD11" s="3"/>
      <c r="BE11" s="3"/>
      <c r="BF11" s="3"/>
      <c r="BG11" s="3"/>
      <c r="BH11" s="3"/>
      <c r="BI11" s="3"/>
    </row>
    <row r="12" customFormat="false" ht="12.8" hidden="false" customHeight="false" outlineLevel="0" collapsed="false">
      <c r="A12" s="65" t="str">
        <f aca="false">_xlfn.CONCAT($A$1, ".", CALC!A12)</f>
        <v>LSD.RID.0.AL.EP.8</v>
      </c>
      <c r="B12" s="42" t="str">
        <f aca="false">CALC!C12</f>
        <v>Wholesale Trade</v>
      </c>
      <c r="C12" s="3" t="n">
        <v>22300</v>
      </c>
      <c r="D12" s="3" t="n">
        <v>1466</v>
      </c>
      <c r="E12" s="3" t="n">
        <v>1652</v>
      </c>
      <c r="F12" s="3" t="n">
        <v>19182</v>
      </c>
      <c r="G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X12" s="3"/>
      <c r="AY12" s="3"/>
      <c r="AZ12" s="3"/>
      <c r="BA12" s="3"/>
      <c r="BB12" s="3"/>
      <c r="BC12" s="3"/>
      <c r="BD12" s="3"/>
      <c r="BE12" s="3"/>
      <c r="BF12" s="3"/>
      <c r="BG12" s="3"/>
      <c r="BH12" s="3"/>
      <c r="BI12" s="3"/>
    </row>
    <row r="13" customFormat="false" ht="23.85" hidden="false" customHeight="false" outlineLevel="0" collapsed="false">
      <c r="A13" s="65" t="str">
        <f aca="false">_xlfn.CONCAT($A$1, ".", CALC!A13)</f>
        <v>LSD.RID.0.AL.EP.9</v>
      </c>
      <c r="B13" s="68" t="str">
        <f aca="false">CALC!C13</f>
        <v>Retail Trade (Motor
Vehicle, Electronics)</v>
      </c>
      <c r="C13" s="3" t="n">
        <v>14500</v>
      </c>
      <c r="D13" s="3" t="n">
        <v>1702</v>
      </c>
      <c r="E13" s="3" t="n">
        <v>2044</v>
      </c>
      <c r="F13" s="3" t="n">
        <v>10754</v>
      </c>
      <c r="G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X13" s="3"/>
      <c r="AY13" s="3"/>
      <c r="AZ13" s="3"/>
      <c r="BA13" s="3"/>
      <c r="BB13" s="3"/>
      <c r="BC13" s="3"/>
      <c r="BD13" s="3"/>
      <c r="BE13" s="3"/>
      <c r="BF13" s="3"/>
      <c r="BG13" s="3"/>
      <c r="BH13" s="3"/>
      <c r="BI13" s="3"/>
    </row>
    <row r="14" customFormat="false" ht="23.85" hidden="false" customHeight="false" outlineLevel="0" collapsed="false">
      <c r="A14" s="65" t="str">
        <f aca="false">_xlfn.CONCAT($A$1, ".", CALC!A14)</f>
        <v>LSD.RID.0.AL.EP.10</v>
      </c>
      <c r="B14" s="68" t="str">
        <f aca="false">CALC!C14</f>
        <v>Retail Trade (Food, Clothing,
General Merchandise, etc.)</v>
      </c>
      <c r="C14" s="3" t="n">
        <v>46500</v>
      </c>
      <c r="D14" s="3" t="n">
        <v>4570</v>
      </c>
      <c r="E14" s="3" t="n">
        <v>7198</v>
      </c>
      <c r="F14" s="3" t="n">
        <v>34732</v>
      </c>
      <c r="G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X14" s="3"/>
      <c r="AY14" s="3"/>
      <c r="AZ14" s="3"/>
      <c r="BA14" s="3"/>
      <c r="BB14" s="3"/>
      <c r="BC14" s="3"/>
      <c r="BD14" s="3"/>
      <c r="BE14" s="3"/>
      <c r="BF14" s="3"/>
      <c r="BG14" s="3"/>
      <c r="BH14" s="3"/>
      <c r="BI14" s="3"/>
    </row>
    <row r="15" customFormat="false" ht="12.8" hidden="false" customHeight="false" outlineLevel="0" collapsed="false">
      <c r="A15" s="65" t="str">
        <f aca="false">_xlfn.CONCAT($A$1, ".", CALC!A15)</f>
        <v>LSD.RID.0.AL.EP.11</v>
      </c>
      <c r="B15" s="42" t="str">
        <f aca="false">CALC!C15</f>
        <v>Transportation</v>
      </c>
      <c r="C15" s="3" t="n">
        <v>33300</v>
      </c>
      <c r="D15" s="3" t="n">
        <v>578</v>
      </c>
      <c r="E15" s="3" t="n">
        <v>2402</v>
      </c>
      <c r="F15" s="3" t="n">
        <v>30320</v>
      </c>
      <c r="G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X15" s="3"/>
      <c r="AY15" s="3"/>
      <c r="AZ15" s="3"/>
      <c r="BA15" s="3"/>
      <c r="BB15" s="3"/>
      <c r="BC15" s="3"/>
      <c r="BD15" s="3"/>
      <c r="BE15" s="3"/>
      <c r="BF15" s="3"/>
      <c r="BG15" s="3"/>
      <c r="BH15" s="3"/>
      <c r="BI15" s="3"/>
    </row>
    <row r="16" customFormat="false" ht="12.8" hidden="false" customHeight="false" outlineLevel="0" collapsed="false">
      <c r="A16" s="65" t="str">
        <f aca="false">_xlfn.CONCAT($A$1, ".", CALC!A16)</f>
        <v>LSD.RID.0.AL.EP.12</v>
      </c>
      <c r="B16" s="42" t="str">
        <f aca="false">CALC!C16</f>
        <v>Warehousing and Storage</v>
      </c>
      <c r="C16" s="3" t="n">
        <v>28200</v>
      </c>
      <c r="D16" s="3" t="n">
        <v>464</v>
      </c>
      <c r="E16" s="3" t="n">
        <v>1856</v>
      </c>
      <c r="F16" s="3" t="n">
        <v>25880</v>
      </c>
      <c r="G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X16" s="3"/>
      <c r="AY16" s="3"/>
      <c r="AZ16" s="3"/>
      <c r="BA16" s="3"/>
      <c r="BB16" s="3"/>
      <c r="BC16" s="3"/>
      <c r="BD16" s="3"/>
      <c r="BE16" s="3"/>
      <c r="BF16" s="3"/>
      <c r="BG16" s="3"/>
      <c r="BH16" s="3"/>
      <c r="BI16" s="3"/>
    </row>
    <row r="17" customFormat="false" ht="12.8" hidden="false" customHeight="false" outlineLevel="0" collapsed="false">
      <c r="A17" s="65" t="str">
        <f aca="false">_xlfn.CONCAT($A$1, ".", CALC!A17)</f>
        <v>LSD.RID.0.AL.EP.13</v>
      </c>
      <c r="B17" s="42" t="str">
        <f aca="false">CALC!C17</f>
        <v>Information</v>
      </c>
      <c r="C17" s="3" t="n">
        <v>14700</v>
      </c>
      <c r="D17" s="3" t="n">
        <v>234</v>
      </c>
      <c r="E17" s="3" t="n">
        <v>998</v>
      </c>
      <c r="F17" s="3" t="n">
        <v>13468</v>
      </c>
      <c r="G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X17" s="3"/>
      <c r="AY17" s="3"/>
      <c r="AZ17" s="3"/>
      <c r="BA17" s="3"/>
      <c r="BB17" s="3"/>
      <c r="BC17" s="3"/>
      <c r="BD17" s="3"/>
      <c r="BE17" s="3"/>
      <c r="BF17" s="3"/>
      <c r="BG17" s="3"/>
      <c r="BH17" s="3"/>
      <c r="BI17" s="3"/>
    </row>
    <row r="18" customFormat="false" ht="12.8" hidden="false" customHeight="false" outlineLevel="0" collapsed="false">
      <c r="A18" s="65" t="str">
        <f aca="false">_xlfn.CONCAT($A$1, ".", CALC!A18)</f>
        <v>LSD.RID.0.AL.EP.14</v>
      </c>
      <c r="B18" s="42" t="str">
        <f aca="false">CALC!C18</f>
        <v>Finance and Insurance</v>
      </c>
      <c r="C18" s="3" t="n">
        <v>23300</v>
      </c>
      <c r="D18" s="3" t="n">
        <v>0</v>
      </c>
      <c r="E18" s="3" t="n">
        <v>0</v>
      </c>
      <c r="F18" s="3" t="n">
        <v>23300</v>
      </c>
      <c r="G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X18" s="3"/>
      <c r="AY18" s="3"/>
      <c r="AZ18" s="3"/>
      <c r="BA18" s="3"/>
      <c r="BB18" s="3"/>
      <c r="BC18" s="3"/>
      <c r="BD18" s="3"/>
      <c r="BE18" s="3"/>
      <c r="BF18" s="3"/>
      <c r="BG18" s="3"/>
      <c r="BH18" s="3"/>
      <c r="BI18" s="3"/>
    </row>
    <row r="19" customFormat="false" ht="23.85" hidden="false" customHeight="false" outlineLevel="0" collapsed="false">
      <c r="A19" s="65" t="str">
        <f aca="false">_xlfn.CONCAT($A$1, ".", CALC!A19)</f>
        <v>LSD.RID.0.AL.EP.15</v>
      </c>
      <c r="B19" s="68" t="str">
        <f aca="false">CALC!C19</f>
        <v>Real Estate and
Rental and Leasing</v>
      </c>
      <c r="C19" s="3" t="n">
        <v>11700</v>
      </c>
      <c r="D19" s="3" t="n">
        <v>56</v>
      </c>
      <c r="E19" s="3" t="n">
        <v>0</v>
      </c>
      <c r="F19" s="3" t="n">
        <v>11644</v>
      </c>
      <c r="G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X19" s="3"/>
      <c r="AY19" s="3"/>
      <c r="AZ19" s="3"/>
      <c r="BA19" s="3"/>
      <c r="BB19" s="3"/>
      <c r="BC19" s="3"/>
      <c r="BD19" s="3"/>
      <c r="BE19" s="3"/>
      <c r="BF19" s="3"/>
      <c r="BG19" s="3"/>
      <c r="BH19" s="3"/>
      <c r="BI19" s="3"/>
    </row>
    <row r="20" customFormat="false" ht="23.85" hidden="false" customHeight="false" outlineLevel="0" collapsed="false">
      <c r="A20" s="65" t="str">
        <f aca="false">_xlfn.CONCAT($A$1, ".", CALC!A20)</f>
        <v>LSD.RID.0.AL.EP.16</v>
      </c>
      <c r="B20" s="68" t="str">
        <f aca="false">CALC!C20</f>
        <v>Professional, Scientific,
and Technical Services</v>
      </c>
      <c r="C20" s="3" t="n">
        <v>35000</v>
      </c>
      <c r="D20" s="3" t="n">
        <v>0</v>
      </c>
      <c r="E20" s="3" t="n">
        <v>0</v>
      </c>
      <c r="F20" s="3" t="n">
        <v>35000</v>
      </c>
      <c r="G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X20" s="3"/>
      <c r="AY20" s="3"/>
      <c r="AZ20" s="3"/>
      <c r="BA20" s="3"/>
      <c r="BB20" s="3"/>
      <c r="BC20" s="3"/>
      <c r="BD20" s="3"/>
      <c r="BE20" s="3"/>
      <c r="BF20" s="3"/>
      <c r="BG20" s="3"/>
      <c r="BH20" s="3"/>
      <c r="BI20" s="3"/>
    </row>
    <row r="21" customFormat="false" ht="34.4" hidden="false" customHeight="false" outlineLevel="0" collapsed="false">
      <c r="A21" s="65" t="str">
        <f aca="false">_xlfn.CONCAT($A$1, ".", CALC!A21)</f>
        <v>LSD.RID.0.AL.EP.17</v>
      </c>
      <c r="B21" s="68" t="str">
        <f aca="false">CALC!C21</f>
        <v>Administrative and Support
and Waste Management
and Remediation Services</v>
      </c>
      <c r="C21" s="3" t="n">
        <v>77000</v>
      </c>
      <c r="D21" s="3" t="n">
        <v>5576</v>
      </c>
      <c r="E21" s="3" t="n">
        <v>13640</v>
      </c>
      <c r="F21" s="3" t="n">
        <v>57784</v>
      </c>
      <c r="G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X21" s="3"/>
      <c r="AY21" s="3"/>
      <c r="AZ21" s="3"/>
      <c r="BA21" s="3"/>
      <c r="BB21" s="3"/>
      <c r="BC21" s="3"/>
      <c r="BD21" s="3"/>
      <c r="BE21" s="3"/>
      <c r="BF21" s="3"/>
      <c r="BG21" s="3"/>
      <c r="BH21" s="3"/>
      <c r="BI21" s="3"/>
    </row>
    <row r="22" customFormat="false" ht="12.8" hidden="false" customHeight="false" outlineLevel="0" collapsed="false">
      <c r="A22" s="65" t="str">
        <f aca="false">_xlfn.CONCAT($A$1, ".", CALC!A22)</f>
        <v>LSD.RID.0.AL.EP.18</v>
      </c>
      <c r="B22" s="42" t="str">
        <f aca="false">CALC!C22</f>
        <v>Educational Services</v>
      </c>
      <c r="C22" s="3" t="n">
        <v>55800</v>
      </c>
      <c r="D22" s="3" t="n">
        <v>602</v>
      </c>
      <c r="E22" s="3" t="n">
        <v>3200</v>
      </c>
      <c r="F22" s="3" t="n">
        <v>51998</v>
      </c>
      <c r="G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X22" s="3"/>
      <c r="AY22" s="3"/>
      <c r="AZ22" s="3"/>
      <c r="BA22" s="3"/>
      <c r="BB22" s="3"/>
      <c r="BC22" s="3"/>
      <c r="BD22" s="3"/>
      <c r="BE22" s="3"/>
      <c r="BF22" s="3"/>
      <c r="BG22" s="3"/>
      <c r="BH22" s="3"/>
      <c r="BI22" s="3"/>
    </row>
    <row r="23" customFormat="false" ht="23.85" hidden="false" customHeight="false" outlineLevel="0" collapsed="false">
      <c r="A23" s="65" t="str">
        <f aca="false">_xlfn.CONCAT($A$1, ".", CALC!A23)</f>
        <v>LSD.RID.0.AL.EP.19</v>
      </c>
      <c r="B23" s="68" t="str">
        <f aca="false">CALC!C23</f>
        <v>Health Care and
Social Assistance</v>
      </c>
      <c r="C23" s="3" t="n">
        <v>78500</v>
      </c>
      <c r="D23" s="3" t="n">
        <v>2016</v>
      </c>
      <c r="E23" s="3" t="n">
        <v>3296</v>
      </c>
      <c r="F23" s="3" t="n">
        <v>73288</v>
      </c>
      <c r="G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X23" s="3"/>
      <c r="AY23" s="3"/>
      <c r="AZ23" s="3"/>
      <c r="BA23" s="3"/>
      <c r="BB23" s="3"/>
      <c r="BC23" s="3"/>
      <c r="BD23" s="3"/>
      <c r="BE23" s="3"/>
      <c r="BF23" s="3"/>
      <c r="BG23" s="3"/>
      <c r="BH23" s="3"/>
      <c r="BI23" s="3"/>
    </row>
    <row r="24" customFormat="false" ht="23.85" hidden="false" customHeight="false" outlineLevel="0" collapsed="false">
      <c r="A24" s="65" t="str">
        <f aca="false">_xlfn.CONCAT($A$1, ".", CALC!A24)</f>
        <v>LSD.RID.0.AL.EP.20</v>
      </c>
      <c r="B24" s="68" t="str">
        <f aca="false">CALC!C24</f>
        <v>Arts, Entertainment,
and Recreation</v>
      </c>
      <c r="C24" s="3" t="n">
        <v>11000</v>
      </c>
      <c r="D24" s="3" t="n">
        <v>56</v>
      </c>
      <c r="E24" s="3" t="n">
        <v>0</v>
      </c>
      <c r="F24" s="3" t="n">
        <v>10944</v>
      </c>
      <c r="G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X24" s="3"/>
      <c r="AY24" s="3"/>
      <c r="AZ24" s="3"/>
      <c r="BA24" s="3"/>
      <c r="BB24" s="3"/>
      <c r="BC24" s="3"/>
      <c r="BD24" s="3"/>
      <c r="BE24" s="3"/>
      <c r="BF24" s="3"/>
      <c r="BG24" s="3"/>
      <c r="BH24" s="3"/>
      <c r="BI24" s="3"/>
    </row>
    <row r="25" customFormat="false" ht="23.85" hidden="false" customHeight="false" outlineLevel="0" collapsed="false">
      <c r="A25" s="65" t="str">
        <f aca="false">_xlfn.CONCAT($A$1, ".", CALC!A25)</f>
        <v>LSD.RID.0.AL.EP.21</v>
      </c>
      <c r="B25" s="68" t="str">
        <f aca="false">CALC!C25</f>
        <v>Accommodation
and Food Services</v>
      </c>
      <c r="C25" s="3" t="n">
        <v>87000</v>
      </c>
      <c r="D25" s="3" t="n">
        <v>486</v>
      </c>
      <c r="E25" s="3" t="n">
        <v>10314</v>
      </c>
      <c r="F25" s="3" t="n">
        <v>76200</v>
      </c>
      <c r="G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X25" s="3"/>
      <c r="AY25" s="3"/>
      <c r="AZ25" s="3"/>
      <c r="BA25" s="3"/>
      <c r="BB25" s="3"/>
      <c r="BC25" s="3"/>
      <c r="BD25" s="3"/>
      <c r="BE25" s="3"/>
      <c r="BF25" s="3"/>
      <c r="BG25" s="3"/>
      <c r="BH25" s="3"/>
      <c r="BI25" s="3"/>
    </row>
    <row r="26" customFormat="false" ht="23.85" hidden="false" customHeight="false" outlineLevel="0" collapsed="false">
      <c r="A26" s="65" t="str">
        <f aca="false">_xlfn.CONCAT($A$1, ".", CALC!A26)</f>
        <v>LSD.RID.0.AL.EP.22</v>
      </c>
      <c r="B26" s="68" t="str">
        <f aca="false">CALC!C26</f>
        <v>Other Services (except
Public Administration)</v>
      </c>
      <c r="C26" s="3" t="n">
        <v>23800</v>
      </c>
      <c r="D26" s="3" t="n">
        <v>496</v>
      </c>
      <c r="E26" s="3" t="n">
        <v>3620</v>
      </c>
      <c r="F26" s="3" t="n">
        <v>19684</v>
      </c>
      <c r="G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X26" s="3"/>
      <c r="AY26" s="3"/>
      <c r="AZ26" s="3"/>
      <c r="BA26" s="3"/>
      <c r="BB26" s="3"/>
      <c r="BC26" s="3"/>
      <c r="BD26" s="3"/>
      <c r="BE26" s="3"/>
      <c r="BF26" s="3"/>
      <c r="BG26" s="3"/>
      <c r="BH26" s="3"/>
      <c r="BI26" s="3"/>
    </row>
    <row r="27" customFormat="false" ht="12.8" hidden="false" customHeight="false" outlineLevel="0" collapsed="false">
      <c r="A27" s="65" t="str">
        <f aca="false">_xlfn.CONCAT($A$1, ".", CALC!A27)</f>
        <v>LSD.RID.0.AL.EP.23</v>
      </c>
      <c r="B27" s="42" t="str">
        <f aca="false">CALC!C27</f>
        <v>Public Administration</v>
      </c>
      <c r="C27" s="3" t="n">
        <v>45800</v>
      </c>
      <c r="D27" s="3" t="n">
        <v>632</v>
      </c>
      <c r="E27" s="3" t="n">
        <v>1772</v>
      </c>
      <c r="F27" s="3" t="n">
        <v>43396</v>
      </c>
      <c r="G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X27" s="3"/>
      <c r="AY27" s="3"/>
      <c r="AZ27" s="3"/>
      <c r="BA27" s="3"/>
      <c r="BB27" s="3"/>
      <c r="BC27" s="3"/>
      <c r="BD27" s="3"/>
      <c r="BE27" s="3"/>
      <c r="BF27" s="3"/>
      <c r="BG27" s="3"/>
      <c r="BH27" s="3"/>
      <c r="BI27" s="3"/>
    </row>
    <row r="28" customFormat="false" ht="12.8" hidden="false" customHeight="false" outlineLevel="0" collapsed="false">
      <c r="A28" s="65"/>
      <c r="B28" s="42"/>
      <c r="C28" s="3"/>
      <c r="D28" s="3"/>
      <c r="E28" s="3"/>
      <c r="F28" s="3"/>
      <c r="G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X28" s="3"/>
      <c r="AY28" s="3"/>
      <c r="AZ28" s="3"/>
      <c r="BA28" s="3"/>
      <c r="BB28" s="3"/>
      <c r="BC28" s="3"/>
      <c r="BD28" s="3"/>
      <c r="BE28" s="3"/>
      <c r="BF28" s="3"/>
      <c r="BG28" s="3"/>
      <c r="BH28" s="3"/>
      <c r="BI28" s="3"/>
    </row>
    <row r="29" customFormat="false" ht="12.8" hidden="false" customHeight="false" outlineLevel="0" collapsed="false">
      <c r="A29" s="65"/>
      <c r="B29" s="42"/>
      <c r="C29" s="3"/>
      <c r="D29" s="3"/>
      <c r="E29" s="3"/>
      <c r="F29" s="3"/>
      <c r="G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X29" s="3"/>
      <c r="AY29" s="3"/>
      <c r="AZ29" s="3"/>
      <c r="BA29" s="3"/>
      <c r="BB29" s="3"/>
      <c r="BC29" s="3"/>
      <c r="BD29" s="3"/>
      <c r="BE29" s="3"/>
      <c r="BF29" s="3"/>
      <c r="BG29" s="3"/>
      <c r="BH29" s="3"/>
      <c r="BI29" s="3"/>
    </row>
    <row r="30" customFormat="false" ht="12.8" hidden="false" customHeight="false" outlineLevel="0" collapsed="false">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X30" s="3"/>
      <c r="AY30" s="3"/>
      <c r="AZ30" s="3"/>
      <c r="BA30" s="3"/>
      <c r="BB30" s="3"/>
      <c r="BC30" s="3"/>
      <c r="BD30" s="3"/>
      <c r="BE30" s="3"/>
      <c r="BF30" s="3"/>
      <c r="BG30" s="3"/>
      <c r="BH30" s="3"/>
      <c r="BI30" s="3"/>
    </row>
    <row r="31" customFormat="false" ht="12.8" hidden="false" customHeight="false" outlineLevel="0" collapsed="false">
      <c r="AN31" s="3"/>
      <c r="AO31" s="3"/>
      <c r="AP31" s="3"/>
      <c r="AQ31" s="3"/>
      <c r="AT31" s="39"/>
      <c r="AU31" s="39"/>
      <c r="AV31" s="39"/>
      <c r="AW31" s="39"/>
      <c r="BD31" s="3"/>
      <c r="BE31" s="3"/>
      <c r="BF31" s="3"/>
      <c r="BG31" s="3"/>
      <c r="BH31" s="3"/>
      <c r="BI31" s="3"/>
    </row>
    <row r="127" customFormat="false" ht="12.8" hidden="false" customHeight="false" outlineLevel="0" collapsed="false">
      <c r="A127" s="50" t="s">
        <v>2349</v>
      </c>
      <c r="B127" s="72" t="s">
        <v>2350</v>
      </c>
    </row>
    <row r="128" customFormat="false" ht="12.8" hidden="false" customHeight="false" outlineLevel="0" collapsed="false">
      <c r="A128" s="50" t="s">
        <v>1842</v>
      </c>
      <c r="B128" s="72" t="s">
        <v>183</v>
      </c>
      <c r="C128" s="39" t="s">
        <v>184</v>
      </c>
      <c r="D128" s="39" t="s">
        <v>1843</v>
      </c>
      <c r="E128" s="39" t="s">
        <v>186</v>
      </c>
      <c r="F128" s="39" t="s">
        <v>187</v>
      </c>
    </row>
    <row r="129" customFormat="false" ht="12.8" hidden="false" customHeight="false" outlineLevel="0" collapsed="false">
      <c r="A129" s="50" t="s">
        <v>2351</v>
      </c>
      <c r="B129" s="72" t="s">
        <v>480</v>
      </c>
      <c r="C129" s="39" t="s">
        <v>2352</v>
      </c>
      <c r="D129" s="39" t="s">
        <v>2353</v>
      </c>
      <c r="E129" s="39" t="s">
        <v>2354</v>
      </c>
      <c r="F129" s="39" t="s">
        <v>302</v>
      </c>
    </row>
    <row r="130" customFormat="false" ht="12.8" hidden="false" customHeight="false" outlineLevel="0" collapsed="false">
      <c r="A130" s="50" t="s">
        <v>2355</v>
      </c>
      <c r="B130" s="72" t="s">
        <v>480</v>
      </c>
      <c r="C130" s="39" t="s">
        <v>1850</v>
      </c>
      <c r="D130" s="39" t="s">
        <v>2356</v>
      </c>
      <c r="E130" s="39" t="s">
        <v>1851</v>
      </c>
      <c r="F130" s="39" t="s">
        <v>302</v>
      </c>
    </row>
    <row r="131" customFormat="false" ht="12.8" hidden="false" customHeight="false" outlineLevel="0" collapsed="false">
      <c r="A131" s="50" t="s">
        <v>2357</v>
      </c>
      <c r="B131" s="72" t="s">
        <v>480</v>
      </c>
      <c r="C131" s="39" t="s">
        <v>1853</v>
      </c>
      <c r="D131" s="39" t="s">
        <v>2358</v>
      </c>
      <c r="E131" s="39" t="s">
        <v>2359</v>
      </c>
      <c r="F131" s="39" t="s">
        <v>302</v>
      </c>
    </row>
    <row r="132" customFormat="false" ht="12.8" hidden="false" customHeight="false" outlineLevel="0" collapsed="false">
      <c r="A132" s="50" t="s">
        <v>2360</v>
      </c>
      <c r="B132" s="72" t="s">
        <v>480</v>
      </c>
      <c r="C132" s="39" t="s">
        <v>2361</v>
      </c>
      <c r="D132" s="39" t="s">
        <v>2362</v>
      </c>
      <c r="E132" s="39" t="s">
        <v>306</v>
      </c>
      <c r="F132" s="39" t="s">
        <v>302</v>
      </c>
    </row>
    <row r="134" customFormat="false" ht="12.8" hidden="false" customHeight="false" outlineLevel="0" collapsed="false">
      <c r="A134" s="50" t="s">
        <v>2363</v>
      </c>
      <c r="B134" s="72" t="s">
        <v>2364</v>
      </c>
    </row>
    <row r="135" customFormat="false" ht="12.8" hidden="false" customHeight="false" outlineLevel="0" collapsed="false">
      <c r="A135" s="50" t="s">
        <v>683</v>
      </c>
      <c r="B135" s="72" t="s">
        <v>184</v>
      </c>
      <c r="C135" s="39" t="s">
        <v>684</v>
      </c>
      <c r="D135" s="39" t="s">
        <v>186</v>
      </c>
      <c r="E135" s="39" t="s">
        <v>678</v>
      </c>
      <c r="F135" s="39" t="s">
        <v>679</v>
      </c>
      <c r="G135" s="39" t="s">
        <v>680</v>
      </c>
      <c r="H135" s="39" t="s">
        <v>187</v>
      </c>
    </row>
    <row r="136" customFormat="false" ht="12.8" hidden="false" customHeight="false" outlineLevel="0" collapsed="false">
      <c r="A136" s="50" t="s">
        <v>2365</v>
      </c>
      <c r="B136" s="72" t="s">
        <v>2366</v>
      </c>
      <c r="C136" s="39" t="n">
        <v>148000</v>
      </c>
      <c r="D136" s="39" t="s">
        <v>2367</v>
      </c>
      <c r="E136" s="39" t="s">
        <v>689</v>
      </c>
      <c r="F136" s="39" t="s">
        <v>2368</v>
      </c>
      <c r="G136" s="51" t="s">
        <v>691</v>
      </c>
      <c r="H136" s="39" t="s">
        <v>302</v>
      </c>
    </row>
    <row r="137" customFormat="false" ht="12.8" hidden="false" customHeight="false" outlineLevel="0" collapsed="false">
      <c r="A137" s="50" t="s">
        <v>2369</v>
      </c>
      <c r="B137" s="72" t="s">
        <v>2370</v>
      </c>
      <c r="C137" s="39" t="s">
        <v>2371</v>
      </c>
      <c r="D137" s="39" t="s">
        <v>2372</v>
      </c>
      <c r="E137" s="39" t="s">
        <v>983</v>
      </c>
      <c r="F137" s="39" t="s">
        <v>984</v>
      </c>
      <c r="G137" s="51" t="s">
        <v>691</v>
      </c>
      <c r="H137" s="39" t="s">
        <v>302</v>
      </c>
    </row>
    <row r="138" customFormat="false" ht="12.8" hidden="false" customHeight="false" outlineLevel="0" collapsed="false">
      <c r="A138" s="50" t="s">
        <v>2373</v>
      </c>
      <c r="B138" s="72" t="s">
        <v>2374</v>
      </c>
      <c r="C138" s="39" t="s">
        <v>2375</v>
      </c>
      <c r="D138" s="39" t="s">
        <v>2376</v>
      </c>
      <c r="E138" s="39" t="s">
        <v>983</v>
      </c>
      <c r="F138" s="39" t="s">
        <v>984</v>
      </c>
      <c r="G138" s="51" t="s">
        <v>691</v>
      </c>
      <c r="H138" s="39" t="s">
        <v>302</v>
      </c>
    </row>
    <row r="139" customFormat="false" ht="12.8" hidden="false" customHeight="false" outlineLevel="0" collapsed="false">
      <c r="A139" s="50" t="s">
        <v>2377</v>
      </c>
      <c r="B139" s="72" t="s">
        <v>1310</v>
      </c>
      <c r="C139" s="39" t="n">
        <v>1.15</v>
      </c>
      <c r="D139" s="39" t="s">
        <v>2378</v>
      </c>
      <c r="E139" s="39" t="s">
        <v>689</v>
      </c>
      <c r="F139" s="39" t="s">
        <v>2379</v>
      </c>
      <c r="G139" s="51" t="s">
        <v>691</v>
      </c>
      <c r="H139" s="39" t="s">
        <v>302</v>
      </c>
    </row>
    <row r="140" customFormat="false" ht="12.8" hidden="false" customHeight="false" outlineLevel="0" collapsed="false">
      <c r="A140" s="50" t="s">
        <v>2380</v>
      </c>
      <c r="B140" s="72" t="s">
        <v>1314</v>
      </c>
      <c r="C140" s="39" t="n">
        <v>0.8</v>
      </c>
      <c r="D140" s="39" t="s">
        <v>996</v>
      </c>
      <c r="E140" s="39" t="s">
        <v>689</v>
      </c>
      <c r="F140" s="39" t="s">
        <v>2381</v>
      </c>
      <c r="G140" s="51" t="s">
        <v>691</v>
      </c>
      <c r="H140" s="39" t="s">
        <v>302</v>
      </c>
    </row>
    <row r="141" customFormat="false" ht="12.8" hidden="false" customHeight="false" outlineLevel="0" collapsed="false">
      <c r="A141" s="50" t="s">
        <v>2382</v>
      </c>
      <c r="B141" s="72" t="s">
        <v>1318</v>
      </c>
      <c r="C141" s="39" t="n">
        <v>5</v>
      </c>
      <c r="D141" s="39" t="s">
        <v>2383</v>
      </c>
      <c r="E141" s="39" t="s">
        <v>689</v>
      </c>
      <c r="F141" s="39" t="s">
        <v>2384</v>
      </c>
      <c r="G141" s="51" t="s">
        <v>691</v>
      </c>
      <c r="H141" s="39" t="s">
        <v>302</v>
      </c>
    </row>
    <row r="142" customFormat="false" ht="12.8" hidden="false" customHeight="false" outlineLevel="0" collapsed="false">
      <c r="A142" s="50" t="s">
        <v>2385</v>
      </c>
      <c r="B142" s="72" t="s">
        <v>2386</v>
      </c>
      <c r="C142" s="39" t="s">
        <v>2387</v>
      </c>
      <c r="D142" s="39" t="s">
        <v>2388</v>
      </c>
      <c r="E142" s="39" t="s">
        <v>983</v>
      </c>
      <c r="F142" s="39" t="s">
        <v>984</v>
      </c>
      <c r="G142" s="51" t="s">
        <v>691</v>
      </c>
      <c r="H142" s="39" t="s">
        <v>989</v>
      </c>
      <c r="I142" s="39" t="s">
        <v>302</v>
      </c>
    </row>
    <row r="143" customFormat="false" ht="12.8" hidden="false" customHeight="false" outlineLevel="0" collapsed="false">
      <c r="A143" s="50" t="s">
        <v>2389</v>
      </c>
      <c r="B143" s="72" t="s">
        <v>2390</v>
      </c>
      <c r="C143" s="39" t="s">
        <v>2391</v>
      </c>
      <c r="D143" s="39" t="s">
        <v>993</v>
      </c>
      <c r="E143" s="39" t="s">
        <v>983</v>
      </c>
      <c r="F143" s="39" t="s">
        <v>984</v>
      </c>
      <c r="G143" s="51" t="s">
        <v>691</v>
      </c>
      <c r="H143" s="39" t="s">
        <v>974</v>
      </c>
      <c r="I143" s="39" t="s">
        <v>302</v>
      </c>
    </row>
    <row r="145" customFormat="false" ht="12.8" hidden="false" customHeight="false" outlineLevel="0" collapsed="false">
      <c r="A145" s="50" t="s">
        <v>2392</v>
      </c>
      <c r="B145" s="72" t="s">
        <v>2393</v>
      </c>
    </row>
    <row r="146" customFormat="false" ht="12.8" hidden="false" customHeight="false" outlineLevel="0" collapsed="false">
      <c r="A146" s="50" t="s">
        <v>113</v>
      </c>
      <c r="B146" s="72" t="s">
        <v>186</v>
      </c>
      <c r="C146" s="39" t="s">
        <v>677</v>
      </c>
      <c r="D146" s="39" t="s">
        <v>1875</v>
      </c>
      <c r="E146" s="39" t="s">
        <v>678</v>
      </c>
      <c r="F146" s="39" t="s">
        <v>1876</v>
      </c>
    </row>
    <row r="147" customFormat="false" ht="12.8" hidden="false" customHeight="false" outlineLevel="0" collapsed="false">
      <c r="A147" s="50" t="s">
        <v>2394</v>
      </c>
      <c r="B147" s="72" t="s">
        <v>1443</v>
      </c>
      <c r="C147" s="39" t="n">
        <v>148000</v>
      </c>
      <c r="D147" s="39" t="s">
        <v>1298</v>
      </c>
      <c r="E147" s="39" t="s">
        <v>689</v>
      </c>
      <c r="F147" s="39" t="s">
        <v>2395</v>
      </c>
    </row>
    <row r="148" customFormat="false" ht="12.8" hidden="false" customHeight="false" outlineLevel="0" collapsed="false">
      <c r="A148" s="50" t="s">
        <v>2396</v>
      </c>
      <c r="B148" s="72" t="s">
        <v>1881</v>
      </c>
      <c r="C148" s="39" t="s">
        <v>2397</v>
      </c>
      <c r="D148" s="39" t="s">
        <v>2398</v>
      </c>
      <c r="E148" s="39" t="s">
        <v>689</v>
      </c>
      <c r="F148" s="39" t="s">
        <v>2399</v>
      </c>
    </row>
    <row r="149" customFormat="false" ht="12.8" hidden="false" customHeight="false" outlineLevel="0" collapsed="false">
      <c r="A149" s="50" t="s">
        <v>2400</v>
      </c>
      <c r="B149" s="72" t="s">
        <v>2401</v>
      </c>
      <c r="C149" s="39" t="s">
        <v>2402</v>
      </c>
      <c r="D149" s="39" t="s">
        <v>2403</v>
      </c>
      <c r="E149" s="39" t="s">
        <v>689</v>
      </c>
      <c r="F149" s="39" t="s">
        <v>1889</v>
      </c>
    </row>
    <row r="150" customFormat="false" ht="12.8" hidden="false" customHeight="false" outlineLevel="0" collapsed="false">
      <c r="A150" s="50" t="s">
        <v>2404</v>
      </c>
      <c r="B150" s="72" t="s">
        <v>1891</v>
      </c>
      <c r="C150" s="39" t="s">
        <v>2405</v>
      </c>
      <c r="D150" s="39" t="s">
        <v>2406</v>
      </c>
      <c r="E150" s="39" t="s">
        <v>689</v>
      </c>
      <c r="F150" s="39" t="s">
        <v>2187</v>
      </c>
    </row>
    <row r="151" customFormat="false" ht="12.8" hidden="false" customHeight="false" outlineLevel="0" collapsed="false">
      <c r="A151" s="50" t="s">
        <v>2407</v>
      </c>
      <c r="B151" s="72" t="s">
        <v>1896</v>
      </c>
      <c r="C151" s="39" t="s">
        <v>1897</v>
      </c>
      <c r="D151" s="39" t="s">
        <v>2408</v>
      </c>
      <c r="E151" s="39" t="s">
        <v>689</v>
      </c>
      <c r="F151" s="39" t="s">
        <v>2130</v>
      </c>
    </row>
    <row r="152" customFormat="false" ht="12.8" hidden="false" customHeight="false" outlineLevel="0" collapsed="false">
      <c r="A152" s="50" t="s">
        <v>2409</v>
      </c>
      <c r="B152" s="72" t="s">
        <v>1901</v>
      </c>
      <c r="C152" s="39" t="s">
        <v>1902</v>
      </c>
      <c r="D152" s="39" t="s">
        <v>2410</v>
      </c>
      <c r="E152" s="39" t="s">
        <v>689</v>
      </c>
      <c r="F152" s="39" t="s">
        <v>1904</v>
      </c>
    </row>
    <row r="153" customFormat="false" ht="12.8" hidden="false" customHeight="false" outlineLevel="0" collapsed="false">
      <c r="A153" s="50" t="s">
        <v>2411</v>
      </c>
      <c r="B153" s="72" t="s">
        <v>2412</v>
      </c>
      <c r="C153" s="39" t="s">
        <v>2413</v>
      </c>
      <c r="D153" s="39" t="s">
        <v>2345</v>
      </c>
      <c r="E153" s="39" t="s">
        <v>689</v>
      </c>
      <c r="F153" s="39" t="s">
        <v>2195</v>
      </c>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4000"/>
    <pageSetUpPr fitToPage="false"/>
  </sheetPr>
  <dimension ref="A1:AP156"/>
  <sheetViews>
    <sheetView showFormulas="false" showGridLines="true" showRowColHeaders="true" showZeros="true" rightToLeft="false" tabSelected="false" showOutlineSymbols="true" defaultGridColor="true" view="normal" topLeftCell="A13" colorId="64" zoomScale="65" zoomScaleNormal="65" zoomScalePageLayoutView="100" workbookViewId="0">
      <selection pane="topLeft" activeCell="A147" activeCellId="0" sqref="A147"/>
    </sheetView>
  </sheetViews>
  <sheetFormatPr defaultColWidth="11.53515625" defaultRowHeight="12.8" customHeight="false" zeroHeight="false" outlineLevelRow="0" outlineLevelCol="0"/>
  <cols>
    <col collapsed="false" customWidth="true" hidden="false" outlineLevel="0" max="1" min="1" style="50" width="27.68"/>
    <col collapsed="false" customWidth="true" hidden="false" outlineLevel="0" max="2" min="2" style="39" width="27.68"/>
    <col collapsed="false" customWidth="true" hidden="false" outlineLevel="0" max="3" min="3" style="39" width="21.47"/>
    <col collapsed="false" customWidth="true" hidden="false" outlineLevel="0" max="6" min="4" style="39" width="19.14"/>
    <col collapsed="false" customWidth="true" hidden="false" outlineLevel="0" max="9" min="7" style="39" width="16.84"/>
    <col collapsed="false" customWidth="true" hidden="false" outlineLevel="0" max="22" min="10" style="39" width="17.78"/>
    <col collapsed="false" customWidth="true" hidden="false" outlineLevel="0" max="25" min="23" style="39" width="15.48"/>
    <col collapsed="false" customWidth="true" hidden="false" outlineLevel="0" max="30" min="30" style="39" width="18.45"/>
    <col collapsed="false" customWidth="true" hidden="false" outlineLevel="0" max="33" min="31" style="39" width="16.14"/>
    <col collapsed="false" customWidth="true" hidden="false" outlineLevel="0" max="41" min="34" style="39" width="13.84"/>
  </cols>
  <sheetData>
    <row r="1" customFormat="false" ht="12.9" hidden="false" customHeight="false" outlineLevel="0" collapsed="false">
      <c r="A1" s="4" t="s">
        <v>2414</v>
      </c>
      <c r="B1" s="42" t="s">
        <v>2415</v>
      </c>
      <c r="C1" s="6" t="s">
        <v>2</v>
      </c>
      <c r="D1" s="67" t="s">
        <v>2416</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row>
    <row r="2" customFormat="false" ht="12.8" hidden="false" customHeight="false" outlineLevel="0" collapsed="false">
      <c r="A2" s="65" t="str">
        <f aca="false">_xlfn.CONCAT($A$1, ".", "CALC")</f>
        <v>LSD.RID.0.AL.U6TPR.CALC</v>
      </c>
      <c r="B2" s="66" t="str">
        <f aca="false">_xlfn.CONCAT($B$1, " ", "Calculations")</f>
        <v>Alabama Underemployment-to-Population Ratio (U6TPR) Calculations</v>
      </c>
      <c r="C2" s="56" t="str">
        <f aca="false">CALC!AB2</f>
        <v>Unemployment-to-Population Ratio (U3TPR)</v>
      </c>
      <c r="D2" s="56"/>
      <c r="E2" s="56"/>
      <c r="F2" s="56"/>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row>
    <row r="3" customFormat="false" ht="12.8" hidden="false" customHeight="false" outlineLevel="0" collapsed="false">
      <c r="A3" s="65" t="str">
        <f aca="false">CALC!A3</f>
        <v>LSID</v>
      </c>
      <c r="B3" s="42" t="str">
        <f aca="false">CALC!C3</f>
        <v>Labor Sector</v>
      </c>
      <c r="C3" s="60" t="str">
        <f aca="false">CALC!AB3</f>
        <v>Overall U3TPR</v>
      </c>
      <c r="D3" s="60" t="str">
        <f aca="false">CALC!AC3</f>
        <v>Authorized U3TPR</v>
      </c>
      <c r="E3" s="60" t="str">
        <f aca="false">CALC!AD3</f>
        <v>Unauthorized U3TPR</v>
      </c>
      <c r="F3" s="60" t="str">
        <f aca="false">CALC!AE3</f>
        <v>American U3TPR</v>
      </c>
      <c r="N3" s="3"/>
      <c r="O3" s="3"/>
      <c r="P3" s="3"/>
      <c r="Q3" s="3"/>
      <c r="Z3" s="39"/>
      <c r="AA3" s="39"/>
      <c r="AB3" s="39"/>
      <c r="AC3" s="39"/>
      <c r="AD3" s="3"/>
      <c r="AE3" s="3"/>
      <c r="AF3" s="3"/>
      <c r="AG3" s="3"/>
      <c r="AH3" s="3"/>
      <c r="AI3" s="3"/>
      <c r="AJ3" s="3"/>
      <c r="AK3" s="3"/>
      <c r="AL3" s="3"/>
      <c r="AM3" s="3"/>
      <c r="AN3" s="3"/>
      <c r="AO3" s="3"/>
    </row>
    <row r="4" customFormat="false" ht="12.8" hidden="false" customHeight="false" outlineLevel="0" collapsed="false">
      <c r="A4" s="65" t="str">
        <f aca="false">_xlfn.CONCAT($A$1, ".", CALC!A4)</f>
        <v>LSD.RID.0.AL.U6TPR.0</v>
      </c>
      <c r="B4" s="42" t="str">
        <f aca="false">CALC!C4</f>
        <v>All Industries</v>
      </c>
      <c r="C4" s="39" t="n">
        <v>0.0358</v>
      </c>
      <c r="D4" s="39" t="n">
        <v>0.0295</v>
      </c>
      <c r="E4" s="39" t="n">
        <v>0.1984</v>
      </c>
      <c r="F4" s="39" t="n">
        <v>0.035</v>
      </c>
      <c r="N4" s="3"/>
      <c r="O4" s="3"/>
      <c r="P4" s="3"/>
      <c r="Q4" s="3"/>
      <c r="Z4" s="39"/>
      <c r="AA4" s="39"/>
      <c r="AB4" s="39"/>
      <c r="AC4" s="39"/>
      <c r="AD4" s="3"/>
      <c r="AE4" s="3"/>
      <c r="AF4" s="3"/>
      <c r="AG4" s="3"/>
      <c r="AH4" s="3"/>
      <c r="AI4" s="3"/>
      <c r="AJ4" s="3"/>
      <c r="AK4" s="3"/>
      <c r="AL4" s="3"/>
      <c r="AM4" s="3"/>
      <c r="AN4" s="3"/>
      <c r="AO4" s="3"/>
    </row>
    <row r="5" customFormat="false" ht="23.85" hidden="false" customHeight="false" outlineLevel="0" collapsed="false">
      <c r="A5" s="65" t="str">
        <f aca="false">_xlfn.CONCAT($A$1, ".", CALC!A5)</f>
        <v>LSD.RID.0.AL.U6TPR.1</v>
      </c>
      <c r="B5" s="68" t="str">
        <f aca="false">CALC!C5</f>
        <v>Agriculture, Forestry, 
Fishing and Hunting</v>
      </c>
      <c r="C5" s="39" t="n">
        <v>0.0647</v>
      </c>
      <c r="D5" s="39" t="n">
        <v>0.0532</v>
      </c>
      <c r="E5" s="39" t="n">
        <v>0.3185</v>
      </c>
      <c r="F5" s="39" t="n">
        <v>0.0628</v>
      </c>
      <c r="N5" s="3"/>
      <c r="O5" s="3"/>
      <c r="P5" s="3"/>
      <c r="Q5" s="3"/>
      <c r="Z5" s="39"/>
      <c r="AA5" s="39"/>
      <c r="AB5" s="39"/>
      <c r="AC5" s="39"/>
      <c r="AD5" s="3"/>
      <c r="AE5" s="3"/>
      <c r="AF5" s="3"/>
      <c r="AG5" s="3"/>
      <c r="AH5" s="3"/>
      <c r="AI5" s="3"/>
      <c r="AJ5" s="3"/>
      <c r="AK5" s="3"/>
      <c r="AL5" s="3"/>
      <c r="AM5" s="3"/>
      <c r="AN5" s="3"/>
      <c r="AO5" s="3"/>
    </row>
    <row r="6" customFormat="false" ht="23.85" hidden="false" customHeight="false" outlineLevel="0" collapsed="false">
      <c r="A6" s="65" t="str">
        <f aca="false">_xlfn.CONCAT($A$1, ".", CALC!A6)</f>
        <v>LSD.RID.0.AL.U6TPR.2</v>
      </c>
      <c r="B6" s="68" t="str">
        <f aca="false">CALC!C6</f>
        <v>Mining, Quarrying, and
Oil and Gas Extraction</v>
      </c>
      <c r="C6" s="39" t="n">
        <v>0.0211</v>
      </c>
      <c r="D6" s="39" t="n">
        <v>0.0174</v>
      </c>
      <c r="E6" s="39" t="n">
        <v>0.1897</v>
      </c>
      <c r="F6" s="39" t="n">
        <v>0.0205</v>
      </c>
      <c r="N6" s="3"/>
      <c r="O6" s="3"/>
      <c r="P6" s="3"/>
      <c r="Q6" s="3"/>
      <c r="Z6" s="39"/>
      <c r="AA6" s="39"/>
      <c r="AB6" s="39"/>
      <c r="AC6" s="39"/>
      <c r="AD6" s="3"/>
      <c r="AE6" s="3"/>
      <c r="AF6" s="3"/>
      <c r="AG6" s="3"/>
      <c r="AH6" s="3"/>
      <c r="AI6" s="3"/>
      <c r="AJ6" s="3"/>
      <c r="AK6" s="3"/>
      <c r="AL6" s="3"/>
      <c r="AM6" s="3"/>
      <c r="AN6" s="3"/>
      <c r="AO6" s="3"/>
    </row>
    <row r="7" customFormat="false" ht="12.8" hidden="false" customHeight="false" outlineLevel="0" collapsed="false">
      <c r="A7" s="65" t="str">
        <f aca="false">_xlfn.CONCAT($A$1, ".", CALC!A7)</f>
        <v>LSD.RID.0.AL.U6TPR.3</v>
      </c>
      <c r="B7" s="42" t="str">
        <f aca="false">CALC!C7</f>
        <v>Utilities</v>
      </c>
      <c r="C7" s="39" t="n">
        <v>0.0211</v>
      </c>
      <c r="D7" s="39" t="n">
        <v>0.0178</v>
      </c>
      <c r="E7" s="39" t="n">
        <v>0.225</v>
      </c>
      <c r="F7" s="39" t="n">
        <v>0.0203</v>
      </c>
      <c r="N7" s="3"/>
      <c r="O7" s="3"/>
      <c r="P7" s="3"/>
      <c r="Q7" s="3"/>
      <c r="Z7" s="39"/>
      <c r="AA7" s="39"/>
      <c r="AB7" s="39"/>
      <c r="AC7" s="39"/>
      <c r="AD7" s="3"/>
      <c r="AE7" s="3"/>
      <c r="AF7" s="3"/>
      <c r="AG7" s="3"/>
      <c r="AH7" s="3"/>
      <c r="AI7" s="3"/>
      <c r="AJ7" s="3"/>
      <c r="AK7" s="3"/>
      <c r="AL7" s="3"/>
      <c r="AM7" s="3"/>
      <c r="AN7" s="3"/>
      <c r="AO7" s="3"/>
    </row>
    <row r="8" customFormat="false" ht="12.8" hidden="false" customHeight="false" outlineLevel="0" collapsed="false">
      <c r="A8" s="65" t="str">
        <f aca="false">_xlfn.CONCAT($A$1, ".", CALC!A8)</f>
        <v>LSD.RID.0.AL.U6TPR.4</v>
      </c>
      <c r="B8" s="42" t="str">
        <f aca="false">CALC!C8</f>
        <v>Construction</v>
      </c>
      <c r="C8" s="39" t="n">
        <v>0.0266</v>
      </c>
      <c r="D8" s="39" t="n">
        <v>0.0219</v>
      </c>
      <c r="E8" s="39" t="n">
        <v>0.2321</v>
      </c>
      <c r="F8" s="39" t="n">
        <v>0.0259</v>
      </c>
      <c r="N8" s="3"/>
      <c r="O8" s="3"/>
      <c r="P8" s="3"/>
      <c r="Q8" s="3"/>
      <c r="Z8" s="39"/>
      <c r="AA8" s="39"/>
      <c r="AB8" s="39"/>
      <c r="AC8" s="39"/>
      <c r="AD8" s="3"/>
      <c r="AE8" s="3"/>
      <c r="AF8" s="3"/>
      <c r="AG8" s="3"/>
      <c r="AH8" s="3"/>
      <c r="AI8" s="3"/>
      <c r="AJ8" s="3"/>
      <c r="AK8" s="3"/>
      <c r="AL8" s="3"/>
      <c r="AM8" s="3"/>
      <c r="AN8" s="3"/>
      <c r="AO8" s="3"/>
    </row>
    <row r="9" customFormat="false" ht="23.85" hidden="false" customHeight="false" outlineLevel="0" collapsed="false">
      <c r="A9" s="65" t="str">
        <f aca="false">_xlfn.CONCAT($A$1, ".", CALC!A9)</f>
        <v>LSD.RID.0.AL.U6TPR.5</v>
      </c>
      <c r="B9" s="68" t="str">
        <f aca="false">CALC!C9</f>
        <v>Manufacturing
(Food,Textile, etc.)</v>
      </c>
      <c r="C9" s="39" t="n">
        <v>0.0108</v>
      </c>
      <c r="D9" s="39" t="n">
        <v>0.0089</v>
      </c>
      <c r="E9" s="39" t="n">
        <v>0.1423</v>
      </c>
      <c r="F9" s="39" t="n">
        <v>0.0105</v>
      </c>
      <c r="N9" s="3"/>
      <c r="O9" s="3"/>
      <c r="P9" s="3"/>
      <c r="Q9" s="3"/>
      <c r="Z9" s="39"/>
      <c r="AA9" s="39"/>
      <c r="AB9" s="39"/>
      <c r="AC9" s="39"/>
      <c r="AD9" s="3"/>
      <c r="AE9" s="3"/>
      <c r="AF9" s="3"/>
      <c r="AG9" s="3"/>
      <c r="AH9" s="3"/>
      <c r="AI9" s="3"/>
      <c r="AJ9" s="3"/>
      <c r="AK9" s="3"/>
      <c r="AL9" s="3"/>
      <c r="AM9" s="3"/>
      <c r="AN9" s="3"/>
      <c r="AO9" s="3"/>
    </row>
    <row r="10" customFormat="false" ht="23.85" hidden="false" customHeight="false" outlineLevel="0" collapsed="false">
      <c r="A10" s="65" t="str">
        <f aca="false">_xlfn.CONCAT($A$1, ".", CALC!A10)</f>
        <v>LSD.RID.0.AL.U6TPR.6</v>
      </c>
      <c r="B10" s="68" t="str">
        <f aca="false">CALC!C10</f>
        <v>Manufacturing (Wood,
Paper, Printing, etc.)</v>
      </c>
      <c r="C10" s="39" t="n">
        <v>0.0074</v>
      </c>
      <c r="D10" s="39" t="n">
        <v>0.0061</v>
      </c>
      <c r="E10" s="39" t="n">
        <v>0.1198</v>
      </c>
      <c r="F10" s="39" t="n">
        <v>0.0072</v>
      </c>
      <c r="N10" s="3"/>
      <c r="O10" s="3"/>
      <c r="P10" s="3"/>
      <c r="Q10" s="3"/>
      <c r="Z10" s="39"/>
      <c r="AA10" s="39"/>
      <c r="AB10" s="39"/>
      <c r="AC10" s="39"/>
      <c r="AD10" s="3"/>
      <c r="AE10" s="3"/>
      <c r="AF10" s="3"/>
      <c r="AG10" s="3"/>
      <c r="AH10" s="3"/>
      <c r="AI10" s="3"/>
      <c r="AJ10" s="3"/>
      <c r="AK10" s="3"/>
      <c r="AL10" s="3"/>
      <c r="AM10" s="3"/>
      <c r="AN10" s="3"/>
      <c r="AO10" s="3"/>
    </row>
    <row r="11" customFormat="false" ht="23.85" hidden="false" customHeight="false" outlineLevel="0" collapsed="false">
      <c r="A11" s="65" t="str">
        <f aca="false">_xlfn.CONCAT($A$1, ".", CALC!A11)</f>
        <v>LSD.RID.0.AL.U6TPR.7</v>
      </c>
      <c r="B11" s="68" t="str">
        <f aca="false">CALC!C11</f>
        <v>Manufacturing
(Machinery, Transport)</v>
      </c>
      <c r="C11" s="39" t="n">
        <v>0.0183</v>
      </c>
      <c r="D11" s="39" t="n">
        <v>0.0151</v>
      </c>
      <c r="E11" s="39" t="n">
        <v>0.1554</v>
      </c>
      <c r="F11" s="39" t="n">
        <v>0.0178</v>
      </c>
      <c r="N11" s="3"/>
      <c r="O11" s="3"/>
      <c r="P11" s="3"/>
      <c r="Q11" s="3"/>
      <c r="Z11" s="39"/>
      <c r="AA11" s="39"/>
      <c r="AB11" s="39"/>
      <c r="AC11" s="39"/>
      <c r="AD11" s="3"/>
      <c r="AE11" s="3"/>
      <c r="AF11" s="3"/>
      <c r="AG11" s="3"/>
      <c r="AH11" s="3"/>
      <c r="AI11" s="3"/>
      <c r="AJ11" s="3"/>
      <c r="AK11" s="3"/>
      <c r="AL11" s="3"/>
      <c r="AM11" s="3"/>
      <c r="AN11" s="3"/>
      <c r="AO11" s="3"/>
    </row>
    <row r="12" customFormat="false" ht="12.8" hidden="false" customHeight="false" outlineLevel="0" collapsed="false">
      <c r="A12" s="65" t="str">
        <f aca="false">_xlfn.CONCAT($A$1, ".", CALC!A12)</f>
        <v>LSD.RID.0.AL.U6TPR.8</v>
      </c>
      <c r="B12" s="42" t="str">
        <f aca="false">CALC!C12</f>
        <v>Wholesale Trade</v>
      </c>
      <c r="C12" s="39" t="n">
        <v>0.0054</v>
      </c>
      <c r="D12" s="39" t="n">
        <v>0.0045</v>
      </c>
      <c r="E12" s="39" t="n">
        <v>0.0976</v>
      </c>
      <c r="F12" s="39" t="n">
        <v>0.0053</v>
      </c>
      <c r="N12" s="3"/>
      <c r="O12" s="3"/>
      <c r="P12" s="3"/>
      <c r="Q12" s="3"/>
      <c r="Z12" s="39"/>
      <c r="AA12" s="39"/>
      <c r="AB12" s="39"/>
      <c r="AC12" s="39"/>
      <c r="AD12" s="3"/>
      <c r="AE12" s="3"/>
      <c r="AF12" s="3"/>
      <c r="AG12" s="3"/>
      <c r="AH12" s="3"/>
      <c r="AI12" s="3"/>
      <c r="AJ12" s="3"/>
      <c r="AK12" s="3"/>
      <c r="AL12" s="3"/>
      <c r="AM12" s="3"/>
      <c r="AN12" s="3"/>
      <c r="AO12" s="3"/>
    </row>
    <row r="13" customFormat="false" ht="23.85" hidden="false" customHeight="false" outlineLevel="0" collapsed="false">
      <c r="A13" s="65" t="str">
        <f aca="false">_xlfn.CONCAT($A$1, ".", CALC!A13)</f>
        <v>LSD.RID.0.AL.U6TPR.9</v>
      </c>
      <c r="B13" s="68" t="str">
        <f aca="false">CALC!C13</f>
        <v>Retail Trade (Motor
Vehicle, Electronics)</v>
      </c>
      <c r="C13" s="39" t="n">
        <v>0.0035</v>
      </c>
      <c r="D13" s="39" t="n">
        <v>0.0029</v>
      </c>
      <c r="E13" s="39" t="n">
        <v>0.0865</v>
      </c>
      <c r="F13" s="39" t="n">
        <v>0.0034</v>
      </c>
      <c r="N13" s="3"/>
      <c r="O13" s="3"/>
      <c r="P13" s="3"/>
      <c r="Q13" s="3"/>
      <c r="Z13" s="39"/>
      <c r="AA13" s="39"/>
      <c r="AB13" s="39"/>
      <c r="AC13" s="39"/>
      <c r="AD13" s="3"/>
      <c r="AE13" s="3"/>
      <c r="AF13" s="3"/>
      <c r="AG13" s="3"/>
      <c r="AH13" s="3"/>
      <c r="AI13" s="3"/>
      <c r="AJ13" s="3"/>
      <c r="AK13" s="3"/>
      <c r="AL13" s="3"/>
      <c r="AM13" s="3"/>
      <c r="AN13" s="3"/>
      <c r="AO13" s="3"/>
    </row>
    <row r="14" customFormat="false" ht="23.85" hidden="false" customHeight="false" outlineLevel="0" collapsed="false">
      <c r="A14" s="65" t="str">
        <f aca="false">_xlfn.CONCAT($A$1, ".", CALC!A14)</f>
        <v>LSD.RID.0.AL.U6TPR.10</v>
      </c>
      <c r="B14" s="68" t="str">
        <f aca="false">CALC!C14</f>
        <v>Retail Trade (Food, Clothing,
General Merchandise, etc.)</v>
      </c>
      <c r="C14" s="39" t="n">
        <v>0.0133</v>
      </c>
      <c r="D14" s="39" t="n">
        <v>0.011</v>
      </c>
      <c r="E14" s="39" t="n">
        <v>0.1378</v>
      </c>
      <c r="F14" s="39" t="n">
        <v>0.013</v>
      </c>
      <c r="N14" s="3"/>
      <c r="O14" s="3"/>
      <c r="P14" s="3"/>
      <c r="Q14" s="3"/>
      <c r="Z14" s="39"/>
      <c r="AA14" s="39"/>
      <c r="AB14" s="39"/>
      <c r="AC14" s="39"/>
      <c r="AD14" s="3"/>
      <c r="AE14" s="3"/>
      <c r="AF14" s="3"/>
      <c r="AG14" s="3"/>
      <c r="AH14" s="3"/>
      <c r="AI14" s="3"/>
      <c r="AJ14" s="3"/>
      <c r="AK14" s="3"/>
      <c r="AL14" s="3"/>
      <c r="AM14" s="3"/>
      <c r="AN14" s="3"/>
      <c r="AO14" s="3"/>
    </row>
    <row r="15" customFormat="false" ht="12.8" hidden="false" customHeight="false" outlineLevel="0" collapsed="false">
      <c r="A15" s="65" t="str">
        <f aca="false">_xlfn.CONCAT($A$1, ".", CALC!A15)</f>
        <v>LSD.RID.0.AL.U6TPR.11</v>
      </c>
      <c r="B15" s="42" t="str">
        <f aca="false">CALC!C15</f>
        <v>Transportation</v>
      </c>
      <c r="C15" s="39" t="n">
        <v>0.0095</v>
      </c>
      <c r="D15" s="39" t="n">
        <v>0.0078</v>
      </c>
      <c r="E15" s="39" t="n">
        <v>0.1221</v>
      </c>
      <c r="F15" s="39" t="n">
        <v>0.0093</v>
      </c>
      <c r="N15" s="3"/>
      <c r="O15" s="3"/>
      <c r="P15" s="3"/>
      <c r="Q15" s="3"/>
      <c r="Z15" s="39"/>
      <c r="AA15" s="39"/>
      <c r="AB15" s="39"/>
      <c r="AC15" s="39"/>
      <c r="AD15" s="3"/>
      <c r="AE15" s="3"/>
      <c r="AF15" s="3"/>
      <c r="AG15" s="3"/>
      <c r="AH15" s="3"/>
      <c r="AI15" s="3"/>
      <c r="AJ15" s="3"/>
      <c r="AK15" s="3"/>
      <c r="AL15" s="3"/>
      <c r="AM15" s="3"/>
      <c r="AN15" s="3"/>
      <c r="AO15" s="3"/>
    </row>
    <row r="16" customFormat="false" ht="12.8" hidden="false" customHeight="false" outlineLevel="0" collapsed="false">
      <c r="A16" s="65" t="str">
        <f aca="false">_xlfn.CONCAT($A$1, ".", CALC!A16)</f>
        <v>LSD.RID.0.AL.U6TPR.12</v>
      </c>
      <c r="B16" s="42" t="str">
        <f aca="false">CALC!C16</f>
        <v>Warehousing and Storage</v>
      </c>
      <c r="C16" s="39" t="n">
        <v>0.0081</v>
      </c>
      <c r="D16" s="39" t="n">
        <v>0.0067</v>
      </c>
      <c r="E16" s="39" t="n">
        <v>0.1148</v>
      </c>
      <c r="F16" s="39" t="n">
        <v>0.0079</v>
      </c>
      <c r="N16" s="3"/>
      <c r="O16" s="3"/>
      <c r="P16" s="3"/>
      <c r="Q16" s="3"/>
      <c r="Z16" s="39"/>
      <c r="AA16" s="39"/>
      <c r="AB16" s="39"/>
      <c r="AC16" s="39"/>
      <c r="AD16" s="3"/>
      <c r="AE16" s="3"/>
      <c r="AF16" s="3"/>
      <c r="AG16" s="3"/>
      <c r="AH16" s="3"/>
      <c r="AI16" s="3"/>
      <c r="AJ16" s="3"/>
      <c r="AK16" s="3"/>
      <c r="AL16" s="3"/>
      <c r="AM16" s="3"/>
      <c r="AN16" s="3"/>
      <c r="AO16" s="3"/>
    </row>
    <row r="17" customFormat="false" ht="12.8" hidden="false" customHeight="false" outlineLevel="0" collapsed="false">
      <c r="A17" s="65" t="str">
        <f aca="false">_xlfn.CONCAT($A$1, ".", CALC!A17)</f>
        <v>LSD.RID.0.AL.U6TPR.13</v>
      </c>
      <c r="B17" s="42" t="str">
        <f aca="false">CALC!C17</f>
        <v>Information</v>
      </c>
      <c r="C17" s="39" t="n">
        <v>0.0042</v>
      </c>
      <c r="D17" s="39" t="n">
        <v>0.0035</v>
      </c>
      <c r="E17" s="39" t="n">
        <v>0.0927</v>
      </c>
      <c r="F17" s="39" t="n">
        <v>0.0041</v>
      </c>
      <c r="N17" s="3"/>
      <c r="O17" s="3"/>
      <c r="P17" s="3"/>
      <c r="Q17" s="3"/>
      <c r="Z17" s="39"/>
      <c r="AA17" s="39"/>
      <c r="AB17" s="39"/>
      <c r="AC17" s="39"/>
      <c r="AD17" s="3"/>
      <c r="AE17" s="3"/>
      <c r="AF17" s="3"/>
      <c r="AG17" s="3"/>
      <c r="AH17" s="3"/>
      <c r="AI17" s="3"/>
      <c r="AJ17" s="3"/>
      <c r="AK17" s="3"/>
      <c r="AL17" s="3"/>
      <c r="AM17" s="3"/>
      <c r="AN17" s="3"/>
      <c r="AO17" s="3"/>
    </row>
    <row r="18" customFormat="false" ht="12.8" hidden="false" customHeight="false" outlineLevel="0" collapsed="false">
      <c r="A18" s="65" t="str">
        <f aca="false">_xlfn.CONCAT($A$1, ".", CALC!A18)</f>
        <v>LSD.RID.0.AL.U6TPR.14</v>
      </c>
      <c r="B18" s="42" t="str">
        <f aca="false">CALC!C18</f>
        <v>Finance and Insurance</v>
      </c>
      <c r="C18" s="39" t="n">
        <v>0.0067</v>
      </c>
      <c r="D18" s="39" t="n">
        <v>0.0055</v>
      </c>
      <c r="E18" s="39" t="n">
        <v>0.0879</v>
      </c>
      <c r="F18" s="39" t="n">
        <v>0.0065</v>
      </c>
      <c r="N18" s="3"/>
      <c r="O18" s="3"/>
      <c r="P18" s="3"/>
      <c r="Q18" s="3"/>
      <c r="Z18" s="39"/>
      <c r="AA18" s="39"/>
      <c r="AB18" s="39"/>
      <c r="AC18" s="39"/>
      <c r="AD18" s="3"/>
      <c r="AE18" s="3"/>
      <c r="AF18" s="3"/>
      <c r="AG18" s="3"/>
      <c r="AH18" s="3"/>
      <c r="AI18" s="3"/>
      <c r="AJ18" s="3"/>
      <c r="AK18" s="3"/>
      <c r="AL18" s="3"/>
      <c r="AM18" s="3"/>
      <c r="AN18" s="3"/>
      <c r="AO18" s="3"/>
    </row>
    <row r="19" customFormat="false" ht="23.85" hidden="false" customHeight="false" outlineLevel="0" collapsed="false">
      <c r="A19" s="65" t="str">
        <f aca="false">_xlfn.CONCAT($A$1, ".", CALC!A19)</f>
        <v>LSD.RID.0.AL.U6TPR.15</v>
      </c>
      <c r="B19" s="68" t="str">
        <f aca="false">CALC!C19</f>
        <v>Real Estate and
Rental and Leasing</v>
      </c>
      <c r="C19" s="39" t="n">
        <v>0.0034</v>
      </c>
      <c r="D19" s="39" t="n">
        <v>0.0028</v>
      </c>
      <c r="E19" s="39" t="n">
        <v>0.0812</v>
      </c>
      <c r="F19" s="39" t="n">
        <v>0.0033</v>
      </c>
      <c r="N19" s="3"/>
      <c r="O19" s="3"/>
      <c r="P19" s="3"/>
      <c r="Q19" s="3"/>
      <c r="Z19" s="39"/>
      <c r="AA19" s="39"/>
      <c r="AB19" s="39"/>
      <c r="AC19" s="39"/>
      <c r="AD19" s="3"/>
      <c r="AE19" s="3"/>
      <c r="AF19" s="3"/>
      <c r="AG19" s="3"/>
      <c r="AH19" s="3"/>
      <c r="AI19" s="3"/>
      <c r="AJ19" s="3"/>
      <c r="AK19" s="3"/>
      <c r="AL19" s="3"/>
      <c r="AM19" s="3"/>
      <c r="AN19" s="3"/>
      <c r="AO19" s="3"/>
    </row>
    <row r="20" customFormat="false" ht="23.85" hidden="false" customHeight="false" outlineLevel="0" collapsed="false">
      <c r="A20" s="65" t="str">
        <f aca="false">_xlfn.CONCAT($A$1, ".", CALC!A20)</f>
        <v>LSD.RID.0.AL.U6TPR.16</v>
      </c>
      <c r="B20" s="68" t="str">
        <f aca="false">CALC!C20</f>
        <v>Professional, Scientific,
and Technical Services</v>
      </c>
      <c r="C20" s="39" t="n">
        <v>0.0101</v>
      </c>
      <c r="D20" s="39" t="n">
        <v>0.0083</v>
      </c>
      <c r="E20" s="39" t="n">
        <v>0.0983</v>
      </c>
      <c r="F20" s="39" t="n">
        <v>0.0098</v>
      </c>
      <c r="N20" s="3"/>
      <c r="O20" s="3"/>
      <c r="P20" s="3"/>
      <c r="Q20" s="3"/>
      <c r="Z20" s="39"/>
      <c r="AA20" s="39"/>
      <c r="AB20" s="39"/>
      <c r="AC20" s="39"/>
      <c r="AD20" s="3"/>
      <c r="AE20" s="3"/>
      <c r="AF20" s="3"/>
      <c r="AG20" s="3"/>
      <c r="AH20" s="3"/>
      <c r="AI20" s="3"/>
      <c r="AJ20" s="3"/>
      <c r="AK20" s="3"/>
      <c r="AL20" s="3"/>
      <c r="AM20" s="3"/>
      <c r="AN20" s="3"/>
      <c r="AO20" s="3"/>
    </row>
    <row r="21" customFormat="false" ht="34.4" hidden="false" customHeight="false" outlineLevel="0" collapsed="false">
      <c r="A21" s="65" t="str">
        <f aca="false">_xlfn.CONCAT($A$1, ".", CALC!A21)</f>
        <v>LSD.RID.0.AL.U6TPR.17</v>
      </c>
      <c r="B21" s="68" t="str">
        <f aca="false">CALC!C21</f>
        <v>Administrative and Support
and Waste Management
and Remediation Services</v>
      </c>
      <c r="C21" s="39" t="n">
        <v>0.0221</v>
      </c>
      <c r="D21" s="39" t="n">
        <v>0.0182</v>
      </c>
      <c r="E21" s="39" t="n">
        <v>0.1779</v>
      </c>
      <c r="F21" s="39" t="n">
        <v>0.0215</v>
      </c>
      <c r="N21" s="3"/>
      <c r="O21" s="3"/>
      <c r="P21" s="3"/>
      <c r="Q21" s="3"/>
      <c r="Z21" s="39"/>
      <c r="AA21" s="39"/>
      <c r="AB21" s="39"/>
      <c r="AC21" s="39"/>
      <c r="AD21" s="3"/>
      <c r="AE21" s="3"/>
      <c r="AF21" s="3"/>
      <c r="AG21" s="3"/>
      <c r="AH21" s="3"/>
      <c r="AI21" s="3"/>
      <c r="AJ21" s="3"/>
      <c r="AK21" s="3"/>
      <c r="AL21" s="3"/>
      <c r="AM21" s="3"/>
      <c r="AN21" s="3"/>
      <c r="AO21" s="3"/>
    </row>
    <row r="22" customFormat="false" ht="12.9" hidden="false" customHeight="false" outlineLevel="0" collapsed="false">
      <c r="A22" s="65" t="str">
        <f aca="false">_xlfn.CONCAT($A$1, ".", CALC!A22)</f>
        <v>LSD.RID.0.AL.U6TPR.18</v>
      </c>
      <c r="B22" s="42" t="str">
        <f aca="false">CALC!C22</f>
        <v>Educational Services</v>
      </c>
      <c r="C22" s="39" t="n">
        <v>0.0159</v>
      </c>
      <c r="D22" s="39" t="n">
        <v>0.0131</v>
      </c>
      <c r="E22" s="39" t="n">
        <v>0.1267</v>
      </c>
      <c r="F22" s="39" t="n">
        <v>0.0155</v>
      </c>
      <c r="N22" s="3"/>
      <c r="O22" s="3"/>
      <c r="P22" s="3"/>
      <c r="Q22" s="3"/>
      <c r="Z22" s="39"/>
      <c r="AA22" s="39"/>
      <c r="AB22" s="39"/>
      <c r="AC22" s="39"/>
      <c r="AD22" s="3"/>
      <c r="AE22" s="3"/>
      <c r="AF22" s="3"/>
      <c r="AG22" s="3"/>
      <c r="AH22" s="3"/>
      <c r="AI22" s="3"/>
      <c r="AJ22" s="3"/>
      <c r="AK22" s="3"/>
      <c r="AL22" s="3"/>
      <c r="AM22" s="3"/>
      <c r="AN22" s="3"/>
      <c r="AO22" s="3"/>
    </row>
    <row r="23" customFormat="false" ht="23.85" hidden="false" customHeight="false" outlineLevel="0" collapsed="false">
      <c r="A23" s="65" t="str">
        <f aca="false">_xlfn.CONCAT($A$1, ".", CALC!A23)</f>
        <v>LSD.RID.0.AL.U6TPR.19</v>
      </c>
      <c r="B23" s="68" t="str">
        <f aca="false">CALC!C23</f>
        <v>Health Care and
Social Assistance</v>
      </c>
      <c r="C23" s="39" t="n">
        <v>0.0223</v>
      </c>
      <c r="D23" s="39" t="n">
        <v>0.0184</v>
      </c>
      <c r="E23" s="39" t="n">
        <v>0.1338</v>
      </c>
      <c r="F23" s="39" t="n">
        <v>0.0217</v>
      </c>
      <c r="N23" s="3"/>
      <c r="O23" s="3"/>
      <c r="P23" s="3"/>
      <c r="Q23" s="3"/>
      <c r="Z23" s="39"/>
      <c r="AA23" s="39"/>
      <c r="AB23" s="39"/>
      <c r="AC23" s="39"/>
      <c r="AD23" s="3"/>
      <c r="AE23" s="3"/>
      <c r="AF23" s="3"/>
      <c r="AG23" s="3"/>
      <c r="AH23" s="3"/>
      <c r="AI23" s="3"/>
      <c r="AJ23" s="3"/>
      <c r="AK23" s="3"/>
      <c r="AL23" s="3"/>
      <c r="AM23" s="3"/>
      <c r="AN23" s="3"/>
      <c r="AO23" s="3"/>
    </row>
    <row r="24" customFormat="false" ht="23.85" hidden="false" customHeight="false" outlineLevel="0" collapsed="false">
      <c r="A24" s="65" t="str">
        <f aca="false">_xlfn.CONCAT($A$1, ".", CALC!A24)</f>
        <v>LSD.RID.0.AL.U6TPR.20</v>
      </c>
      <c r="B24" s="68" t="str">
        <f aca="false">CALC!C24</f>
        <v>Arts, Entertainment,
and Recreation</v>
      </c>
      <c r="C24" s="39" t="n">
        <v>0.0032</v>
      </c>
      <c r="D24" s="39" t="n">
        <v>0.0026</v>
      </c>
      <c r="E24" s="39" t="n">
        <v>0.0788</v>
      </c>
      <c r="F24" s="39" t="n">
        <v>0.0031</v>
      </c>
      <c r="N24" s="3"/>
      <c r="O24" s="3"/>
      <c r="P24" s="3"/>
      <c r="Q24" s="3"/>
      <c r="Z24" s="39"/>
      <c r="AA24" s="39"/>
      <c r="AB24" s="39"/>
      <c r="AC24" s="39"/>
      <c r="AD24" s="3"/>
      <c r="AE24" s="3"/>
      <c r="AF24" s="3"/>
      <c r="AG24" s="3"/>
      <c r="AH24" s="3"/>
      <c r="AI24" s="3"/>
      <c r="AJ24" s="3"/>
      <c r="AK24" s="3"/>
      <c r="AL24" s="3"/>
      <c r="AM24" s="3"/>
      <c r="AN24" s="3"/>
      <c r="AO24" s="3"/>
    </row>
    <row r="25" customFormat="false" ht="23.85" hidden="false" customHeight="false" outlineLevel="0" collapsed="false">
      <c r="A25" s="65" t="str">
        <f aca="false">_xlfn.CONCAT($A$1, ".", CALC!A25)</f>
        <v>LSD.RID.0.AL.U6TPR.21</v>
      </c>
      <c r="B25" s="68" t="str">
        <f aca="false">CALC!C25</f>
        <v>Accommodation
and Food Services</v>
      </c>
      <c r="C25" s="39" t="n">
        <v>0.0251</v>
      </c>
      <c r="D25" s="39" t="n">
        <v>0.0207</v>
      </c>
      <c r="E25" s="39" t="n">
        <v>0.1882</v>
      </c>
      <c r="F25" s="39" t="n">
        <v>0.0244</v>
      </c>
      <c r="N25" s="3"/>
      <c r="O25" s="3"/>
      <c r="P25" s="3"/>
      <c r="Q25" s="3"/>
      <c r="Z25" s="39"/>
      <c r="AA25" s="39"/>
      <c r="AB25" s="39"/>
      <c r="AC25" s="39"/>
      <c r="AD25" s="3"/>
      <c r="AE25" s="3"/>
      <c r="AF25" s="3"/>
      <c r="AG25" s="3"/>
      <c r="AH25" s="3"/>
      <c r="AI25" s="3"/>
      <c r="AJ25" s="3"/>
      <c r="AK25" s="3"/>
      <c r="AL25" s="3"/>
      <c r="AM25" s="3"/>
      <c r="AN25" s="3"/>
      <c r="AO25" s="3"/>
    </row>
    <row r="26" customFormat="false" ht="23.85" hidden="false" customHeight="false" outlineLevel="0" collapsed="false">
      <c r="A26" s="65" t="str">
        <f aca="false">_xlfn.CONCAT($A$1, ".", CALC!A26)</f>
        <v>LSD.RID.0.AL.U6TPR.22</v>
      </c>
      <c r="B26" s="68" t="str">
        <f aca="false">CALC!C26</f>
        <v>Other Services (except
Public Administration)</v>
      </c>
      <c r="C26" s="39" t="n">
        <v>0.0069</v>
      </c>
      <c r="D26" s="39" t="n">
        <v>0.0057</v>
      </c>
      <c r="E26" s="39" t="n">
        <v>0.1046</v>
      </c>
      <c r="F26" s="39" t="n">
        <v>0.0067</v>
      </c>
      <c r="N26" s="3"/>
      <c r="O26" s="3"/>
      <c r="P26" s="3"/>
      <c r="Q26" s="3"/>
      <c r="Z26" s="39"/>
      <c r="AA26" s="39"/>
      <c r="AB26" s="39"/>
      <c r="AC26" s="39"/>
      <c r="AD26" s="3"/>
      <c r="AE26" s="3"/>
      <c r="AF26" s="3"/>
      <c r="AG26" s="3"/>
      <c r="AH26" s="3"/>
      <c r="AI26" s="3"/>
      <c r="AJ26" s="3"/>
      <c r="AK26" s="3"/>
      <c r="AL26" s="3"/>
      <c r="AM26" s="3"/>
      <c r="AN26" s="3"/>
      <c r="AO26" s="3"/>
    </row>
    <row r="27" customFormat="false" ht="12.8" hidden="false" customHeight="false" outlineLevel="0" collapsed="false">
      <c r="A27" s="65" t="str">
        <f aca="false">_xlfn.CONCAT($A$1, ".", CALC!A27)</f>
        <v>LSD.RID.0.AL.U6TPR.23</v>
      </c>
      <c r="B27" s="42" t="str">
        <f aca="false">CALC!C27</f>
        <v>Public Administration</v>
      </c>
      <c r="C27" s="39" t="n">
        <v>0.0131</v>
      </c>
      <c r="D27" s="39" t="n">
        <v>0.0108</v>
      </c>
      <c r="E27" s="39" t="n">
        <v>0.117</v>
      </c>
      <c r="F27" s="39" t="n">
        <v>0.0128</v>
      </c>
      <c r="N27" s="3"/>
      <c r="O27" s="3"/>
      <c r="P27" s="3"/>
      <c r="Q27" s="3"/>
      <c r="Z27" s="39"/>
      <c r="AA27" s="39"/>
      <c r="AB27" s="39"/>
      <c r="AC27" s="39"/>
      <c r="AD27" s="3"/>
      <c r="AE27" s="3"/>
      <c r="AF27" s="3"/>
      <c r="AG27" s="3"/>
      <c r="AH27" s="3"/>
      <c r="AI27" s="3"/>
      <c r="AJ27" s="3"/>
      <c r="AK27" s="3"/>
      <c r="AL27" s="3"/>
      <c r="AM27" s="3"/>
      <c r="AN27" s="3"/>
      <c r="AO27" s="3"/>
    </row>
    <row r="28" customFormat="false" ht="12.8" hidden="false" customHeight="false" outlineLevel="0" collapsed="false">
      <c r="A28" s="65"/>
      <c r="B28" s="42"/>
      <c r="N28" s="3"/>
      <c r="O28" s="3"/>
      <c r="P28" s="3"/>
      <c r="Q28" s="3"/>
      <c r="Z28" s="39"/>
      <c r="AA28" s="39"/>
      <c r="AB28" s="39"/>
      <c r="AC28" s="39"/>
      <c r="AD28" s="3"/>
      <c r="AE28" s="3"/>
      <c r="AF28" s="3"/>
      <c r="AG28" s="3"/>
      <c r="AH28" s="3"/>
      <c r="AI28" s="3"/>
      <c r="AJ28" s="3"/>
      <c r="AK28" s="3"/>
      <c r="AL28" s="3"/>
      <c r="AM28" s="3"/>
      <c r="AN28" s="3"/>
      <c r="AO28" s="3"/>
    </row>
    <row r="29" customFormat="false" ht="12.8" hidden="false" customHeight="false" outlineLevel="0" collapsed="false">
      <c r="A29" s="65"/>
      <c r="B29" s="42"/>
      <c r="N29" s="3"/>
      <c r="O29" s="3"/>
      <c r="P29" s="3"/>
      <c r="Q29" s="3"/>
      <c r="Z29" s="39"/>
      <c r="AA29" s="39"/>
      <c r="AB29" s="39"/>
      <c r="AC29" s="39"/>
      <c r="AD29" s="3"/>
      <c r="AE29" s="3"/>
      <c r="AF29" s="3"/>
      <c r="AG29" s="3"/>
      <c r="AH29" s="3"/>
      <c r="AI29" s="3"/>
      <c r="AJ29" s="3"/>
      <c r="AK29" s="3"/>
      <c r="AL29" s="3"/>
      <c r="AM29" s="3"/>
      <c r="AN29" s="3"/>
      <c r="AO29" s="3"/>
    </row>
    <row r="30" customFormat="false" ht="12.8" hidden="false" customHeight="false" outlineLevel="0" collapsed="false">
      <c r="A30" s="65"/>
      <c r="B30" s="42"/>
      <c r="N30" s="3"/>
      <c r="O30" s="3"/>
      <c r="P30" s="3"/>
      <c r="Q30" s="3"/>
      <c r="Z30" s="39"/>
      <c r="AA30" s="39"/>
      <c r="AB30" s="39"/>
      <c r="AC30" s="39"/>
      <c r="AD30" s="3"/>
      <c r="AE30" s="3"/>
      <c r="AF30" s="3"/>
      <c r="AG30" s="3"/>
      <c r="AH30" s="3"/>
      <c r="AI30" s="3"/>
      <c r="AJ30" s="3"/>
      <c r="AK30" s="3"/>
      <c r="AL30" s="3"/>
      <c r="AM30" s="3"/>
      <c r="AN30" s="3"/>
      <c r="AO30" s="3"/>
    </row>
    <row r="128" customFormat="false" ht="12.8" hidden="false" customHeight="false" outlineLevel="0" collapsed="false">
      <c r="A128" s="65" t="s">
        <v>2417</v>
      </c>
      <c r="B128" s="66" t="s">
        <v>2418</v>
      </c>
    </row>
    <row r="129" customFormat="false" ht="12.8" hidden="false" customHeight="false" outlineLevel="0" collapsed="false">
      <c r="A129" s="49" t="s">
        <v>1842</v>
      </c>
      <c r="B129" s="49" t="s">
        <v>183</v>
      </c>
      <c r="C129" s="49" t="s">
        <v>184</v>
      </c>
      <c r="D129" s="49" t="s">
        <v>1843</v>
      </c>
      <c r="E129" s="49" t="s">
        <v>186</v>
      </c>
      <c r="F129" s="49" t="s">
        <v>187</v>
      </c>
    </row>
    <row r="130" customFormat="false" ht="12.8" hidden="false" customHeight="false" outlineLevel="0" collapsed="false">
      <c r="A130" s="39" t="s">
        <v>2419</v>
      </c>
      <c r="B130" s="39" t="s">
        <v>531</v>
      </c>
      <c r="C130" s="39" t="s">
        <v>2420</v>
      </c>
      <c r="D130" s="39" t="s">
        <v>2421</v>
      </c>
      <c r="E130" s="39" t="s">
        <v>2422</v>
      </c>
      <c r="F130" s="39" t="s">
        <v>302</v>
      </c>
    </row>
    <row r="131" customFormat="false" ht="12.8" hidden="false" customHeight="false" outlineLevel="0" collapsed="false">
      <c r="A131" s="39" t="s">
        <v>2423</v>
      </c>
      <c r="B131" s="39" t="s">
        <v>531</v>
      </c>
      <c r="C131" s="39" t="s">
        <v>1850</v>
      </c>
      <c r="D131" s="39" t="s">
        <v>2424</v>
      </c>
      <c r="E131" s="39" t="s">
        <v>2247</v>
      </c>
      <c r="F131" s="39" t="s">
        <v>302</v>
      </c>
    </row>
    <row r="132" customFormat="false" ht="12.8" hidden="false" customHeight="false" outlineLevel="0" collapsed="false">
      <c r="A132" s="39" t="s">
        <v>2425</v>
      </c>
      <c r="B132" s="39" t="s">
        <v>531</v>
      </c>
      <c r="C132" s="39" t="s">
        <v>1853</v>
      </c>
      <c r="D132" s="39" t="s">
        <v>2426</v>
      </c>
      <c r="E132" s="39" t="s">
        <v>2427</v>
      </c>
      <c r="F132" s="39" t="s">
        <v>302</v>
      </c>
    </row>
    <row r="133" customFormat="false" ht="12.8" hidden="false" customHeight="false" outlineLevel="0" collapsed="false">
      <c r="A133" s="39" t="s">
        <v>2428</v>
      </c>
      <c r="B133" s="39" t="s">
        <v>531</v>
      </c>
      <c r="C133" s="39" t="s">
        <v>2429</v>
      </c>
      <c r="D133" s="39" t="s">
        <v>2430</v>
      </c>
      <c r="E133" s="39" t="s">
        <v>306</v>
      </c>
      <c r="F133" s="39" t="s">
        <v>302</v>
      </c>
    </row>
    <row r="134" customFormat="false" ht="12.8" hidden="false" customHeight="false" outlineLevel="0" collapsed="false">
      <c r="A134" s="39"/>
    </row>
    <row r="135" customFormat="false" ht="12.8" hidden="false" customHeight="false" outlineLevel="0" collapsed="false">
      <c r="A135" s="39"/>
    </row>
    <row r="137" customFormat="false" ht="12.8" hidden="false" customHeight="false" outlineLevel="0" collapsed="false">
      <c r="A137" s="65" t="s">
        <v>2431</v>
      </c>
      <c r="B137" s="66" t="s">
        <v>2432</v>
      </c>
    </row>
    <row r="138" customFormat="false" ht="12.8" hidden="false" customHeight="false" outlineLevel="0" collapsed="false">
      <c r="A138" s="49" t="s">
        <v>683</v>
      </c>
      <c r="B138" s="49" t="s">
        <v>184</v>
      </c>
      <c r="C138" s="49" t="s">
        <v>684</v>
      </c>
      <c r="D138" s="49" t="s">
        <v>186</v>
      </c>
      <c r="E138" s="49" t="s">
        <v>678</v>
      </c>
      <c r="F138" s="49" t="s">
        <v>679</v>
      </c>
      <c r="G138" s="49" t="s">
        <v>680</v>
      </c>
      <c r="H138" s="49" t="s">
        <v>187</v>
      </c>
    </row>
    <row r="139" customFormat="false" ht="12.8" hidden="false" customHeight="false" outlineLevel="0" collapsed="false">
      <c r="A139" s="39" t="s">
        <v>2433</v>
      </c>
      <c r="B139" s="39" t="s">
        <v>2434</v>
      </c>
      <c r="C139" s="39" t="n">
        <v>0.0358</v>
      </c>
      <c r="D139" s="39" t="s">
        <v>2435</v>
      </c>
      <c r="E139" s="39" t="s">
        <v>689</v>
      </c>
      <c r="F139" s="39" t="s">
        <v>2436</v>
      </c>
      <c r="G139" s="51" t="s">
        <v>691</v>
      </c>
      <c r="H139" s="39" t="s">
        <v>302</v>
      </c>
    </row>
    <row r="140" customFormat="false" ht="12.8" hidden="false" customHeight="false" outlineLevel="0" collapsed="false">
      <c r="A140" s="39" t="s">
        <v>2437</v>
      </c>
      <c r="B140" s="39" t="s">
        <v>2438</v>
      </c>
      <c r="C140" s="39" t="s">
        <v>2439</v>
      </c>
      <c r="D140" s="39" t="s">
        <v>982</v>
      </c>
      <c r="E140" s="39" t="s">
        <v>983</v>
      </c>
      <c r="F140" s="39" t="s">
        <v>984</v>
      </c>
      <c r="G140" s="51" t="s">
        <v>691</v>
      </c>
      <c r="H140" s="39" t="s">
        <v>302</v>
      </c>
    </row>
    <row r="141" customFormat="false" ht="12.8" hidden="false" customHeight="false" outlineLevel="0" collapsed="false">
      <c r="A141" s="39" t="s">
        <v>2440</v>
      </c>
      <c r="B141" s="39" t="s">
        <v>2441</v>
      </c>
      <c r="C141" s="39" t="s">
        <v>2442</v>
      </c>
      <c r="D141" s="39" t="s">
        <v>2443</v>
      </c>
      <c r="E141" s="39" t="s">
        <v>983</v>
      </c>
      <c r="F141" s="39" t="s">
        <v>984</v>
      </c>
      <c r="G141" s="51" t="s">
        <v>691</v>
      </c>
      <c r="H141" s="39" t="s">
        <v>302</v>
      </c>
    </row>
    <row r="142" customFormat="false" ht="12.8" hidden="false" customHeight="false" outlineLevel="0" collapsed="false">
      <c r="A142" s="39" t="s">
        <v>2444</v>
      </c>
      <c r="B142" s="39" t="s">
        <v>1374</v>
      </c>
      <c r="C142" s="39" t="n">
        <v>0.82</v>
      </c>
      <c r="D142" s="39" t="s">
        <v>996</v>
      </c>
      <c r="E142" s="39" t="s">
        <v>689</v>
      </c>
      <c r="F142" s="39" t="s">
        <v>2445</v>
      </c>
      <c r="G142" s="51" t="s">
        <v>691</v>
      </c>
      <c r="H142" s="39" t="s">
        <v>302</v>
      </c>
    </row>
    <row r="143" customFormat="false" ht="12.8" hidden="false" customHeight="false" outlineLevel="0" collapsed="false">
      <c r="A143" s="39" t="s">
        <v>2446</v>
      </c>
      <c r="B143" s="39" t="s">
        <v>1378</v>
      </c>
      <c r="C143" s="39" t="n">
        <v>4</v>
      </c>
      <c r="D143" s="39" t="s">
        <v>1000</v>
      </c>
      <c r="E143" s="39" t="s">
        <v>689</v>
      </c>
      <c r="F143" s="39" t="s">
        <v>2447</v>
      </c>
      <c r="G143" s="51" t="s">
        <v>691</v>
      </c>
      <c r="H143" s="39" t="s">
        <v>302</v>
      </c>
    </row>
    <row r="144" customFormat="false" ht="12.8" hidden="false" customHeight="false" outlineLevel="0" collapsed="false">
      <c r="A144" s="39"/>
      <c r="G144" s="51"/>
    </row>
    <row r="145" customFormat="false" ht="12.8" hidden="false" customHeight="false" outlineLevel="0" collapsed="false">
      <c r="A145" s="39"/>
      <c r="G145" s="51"/>
    </row>
    <row r="147" customFormat="false" ht="12.8" hidden="false" customHeight="false" outlineLevel="0" collapsed="false">
      <c r="A147" s="65" t="s">
        <v>2448</v>
      </c>
      <c r="B147" s="66" t="s">
        <v>2449</v>
      </c>
    </row>
    <row r="148" customFormat="false" ht="12.8" hidden="false" customHeight="false" outlineLevel="0" collapsed="false">
      <c r="A148" s="49" t="s">
        <v>113</v>
      </c>
      <c r="B148" s="49" t="s">
        <v>186</v>
      </c>
      <c r="C148" s="49" t="s">
        <v>677</v>
      </c>
      <c r="D148" s="49" t="s">
        <v>1875</v>
      </c>
      <c r="E148" s="49" t="s">
        <v>678</v>
      </c>
      <c r="F148" s="49" t="s">
        <v>1876</v>
      </c>
      <c r="G148" s="49" t="s">
        <v>2059</v>
      </c>
      <c r="H148" s="49" t="s">
        <v>2059</v>
      </c>
    </row>
    <row r="149" customFormat="false" ht="12.8" hidden="false" customHeight="false" outlineLevel="0" collapsed="false">
      <c r="A149" s="39" t="s">
        <v>2450</v>
      </c>
      <c r="B149" s="39" t="s">
        <v>1455</v>
      </c>
      <c r="C149" s="39" t="n">
        <v>0.0358</v>
      </c>
      <c r="D149" s="39" t="s">
        <v>1363</v>
      </c>
      <c r="E149" s="39" t="s">
        <v>689</v>
      </c>
      <c r="F149" s="39" t="s">
        <v>2451</v>
      </c>
    </row>
    <row r="150" customFormat="false" ht="12.8" hidden="false" customHeight="false" outlineLevel="0" collapsed="false">
      <c r="A150" s="39" t="s">
        <v>2452</v>
      </c>
      <c r="B150" s="39" t="s">
        <v>1881</v>
      </c>
      <c r="C150" s="39" t="s">
        <v>2453</v>
      </c>
      <c r="D150" s="39" t="s">
        <v>2454</v>
      </c>
      <c r="E150" s="39" t="s">
        <v>689</v>
      </c>
      <c r="F150" s="39" t="s">
        <v>2455</v>
      </c>
    </row>
    <row r="151" customFormat="false" ht="12.8" hidden="false" customHeight="false" outlineLevel="0" collapsed="false">
      <c r="A151" s="39" t="s">
        <v>2456</v>
      </c>
      <c r="B151" s="39" t="s">
        <v>2457</v>
      </c>
      <c r="C151" s="39" t="s">
        <v>2458</v>
      </c>
      <c r="D151" s="39" t="s">
        <v>2459</v>
      </c>
      <c r="E151" s="39" t="s">
        <v>689</v>
      </c>
      <c r="F151" s="39" t="s">
        <v>2460</v>
      </c>
    </row>
    <row r="152" customFormat="false" ht="12.8" hidden="false" customHeight="false" outlineLevel="0" collapsed="false">
      <c r="A152" s="39" t="s">
        <v>2461</v>
      </c>
      <c r="B152" s="39" t="s">
        <v>2462</v>
      </c>
      <c r="C152" s="39" t="s">
        <v>2463</v>
      </c>
      <c r="D152" s="39" t="s">
        <v>2464</v>
      </c>
      <c r="E152" s="39" t="s">
        <v>689</v>
      </c>
      <c r="F152" s="39" t="s">
        <v>2287</v>
      </c>
    </row>
    <row r="153" customFormat="false" ht="12.8" hidden="false" customHeight="false" outlineLevel="0" collapsed="false">
      <c r="A153" s="39" t="s">
        <v>2465</v>
      </c>
      <c r="B153" s="39" t="s">
        <v>1896</v>
      </c>
      <c r="C153" s="39" t="s">
        <v>1962</v>
      </c>
      <c r="D153" s="39" t="s">
        <v>2466</v>
      </c>
      <c r="E153" s="39" t="s">
        <v>689</v>
      </c>
      <c r="F153" s="39" t="s">
        <v>2290</v>
      </c>
    </row>
    <row r="154" customFormat="false" ht="12.8" hidden="false" customHeight="false" outlineLevel="0" collapsed="false">
      <c r="A154" s="39" t="s">
        <v>2467</v>
      </c>
      <c r="B154" s="39" t="s">
        <v>1901</v>
      </c>
      <c r="C154" s="39" t="s">
        <v>1902</v>
      </c>
      <c r="D154" s="39" t="s">
        <v>2468</v>
      </c>
      <c r="E154" s="39" t="s">
        <v>689</v>
      </c>
      <c r="F154" s="39" t="s">
        <v>1965</v>
      </c>
    </row>
    <row r="155" customFormat="false" ht="12.8" hidden="false" customHeight="false" outlineLevel="0" collapsed="false">
      <c r="A155" s="39" t="s">
        <v>2469</v>
      </c>
      <c r="B155" s="39" t="s">
        <v>2470</v>
      </c>
      <c r="C155" s="39" t="s">
        <v>2471</v>
      </c>
      <c r="D155" s="39" t="s">
        <v>2345</v>
      </c>
      <c r="E155" s="39" t="s">
        <v>689</v>
      </c>
      <c r="F155" s="39" t="s">
        <v>2472</v>
      </c>
    </row>
    <row r="156" customFormat="false" ht="12.8" hidden="false" customHeight="false" outlineLevel="0" collapsed="false">
      <c r="A156" s="39"/>
    </row>
  </sheetData>
  <mergeCells count="1">
    <mergeCell ref="C2:F2"/>
  </mergeCell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BP16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20" activeCellId="0" sqref="C20"/>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9.98"/>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2473</v>
      </c>
      <c r="B1" s="68" t="s">
        <v>2474</v>
      </c>
      <c r="C1" s="6" t="s">
        <v>2</v>
      </c>
      <c r="D1" s="67" t="s">
        <v>2475</v>
      </c>
      <c r="AZ1" s="39"/>
      <c r="BP1" s="39"/>
    </row>
    <row r="2" customFormat="false" ht="12.8" hidden="false" customHeight="false" outlineLevel="0" collapsed="false">
      <c r="A2" s="65" t="str">
        <f aca="false">_xlfn.CONCAT($A$1, ".", "CALC")</f>
        <v>LSD.RID.0.AL.WAVG.CALC</v>
      </c>
      <c r="B2" s="66" t="str">
        <f aca="false">_xlfn.CONCAT($B$1, " ", "Calculations")</f>
        <v>Alabama Wage Average (WAVG) Calculations</v>
      </c>
      <c r="C2" s="3"/>
      <c r="D2" s="3"/>
      <c r="E2" s="3"/>
      <c r="F2" s="3"/>
      <c r="AT2" s="3"/>
      <c r="AU2" s="3"/>
      <c r="AV2" s="3"/>
      <c r="AW2" s="3"/>
      <c r="AZ2" s="39"/>
      <c r="BA2" s="39"/>
      <c r="BB2" s="39"/>
      <c r="BC2" s="39"/>
      <c r="BJ2" s="3"/>
      <c r="BK2" s="3"/>
      <c r="BL2" s="3"/>
      <c r="BM2" s="3"/>
      <c r="BN2" s="3"/>
      <c r="BO2" s="3"/>
    </row>
    <row r="3" customFormat="false" ht="23.85" hidden="false" customHeight="false" outlineLevel="0" collapsed="false">
      <c r="A3" s="65" t="str">
        <f aca="false">CALC!A3</f>
        <v>LSID</v>
      </c>
      <c r="B3" s="42" t="str">
        <f aca="false">CALC!C3</f>
        <v>Labor Sector</v>
      </c>
      <c r="C3" s="78" t="str">
        <f aca="false">CALC!AV3</f>
        <v>Overall WAVG</v>
      </c>
      <c r="D3" s="78" t="str">
        <f aca="false">CALC!AW3</f>
        <v>Authorized WAVG</v>
      </c>
      <c r="E3" s="78" t="str">
        <f aca="false">CALC!AX3</f>
        <v>Unauthorized WAVG</v>
      </c>
      <c r="F3" s="78" t="str">
        <f aca="false">CALC!AY3</f>
        <v>American WAVG</v>
      </c>
      <c r="AG3" s="3"/>
      <c r="AH3" s="3"/>
      <c r="AI3" s="3"/>
      <c r="AJ3" s="3"/>
      <c r="AW3" s="3"/>
      <c r="AX3" s="3"/>
      <c r="AY3" s="3"/>
      <c r="AZ3" s="3"/>
      <c r="BA3" s="3"/>
      <c r="BB3" s="3"/>
      <c r="BC3" s="3"/>
      <c r="BD3" s="3"/>
      <c r="BE3" s="3"/>
      <c r="BF3" s="3"/>
      <c r="BG3" s="3"/>
      <c r="BH3" s="3"/>
      <c r="BI3" s="3"/>
      <c r="BJ3" s="3"/>
      <c r="BK3" s="3"/>
      <c r="BL3" s="3"/>
      <c r="BM3" s="3"/>
      <c r="BN3" s="3"/>
      <c r="BO3" s="3"/>
    </row>
    <row r="4" customFormat="false" ht="12.8" hidden="false" customHeight="false" outlineLevel="0" collapsed="false">
      <c r="A4" s="65" t="str">
        <f aca="false">_xlfn.CONCAT($A$1, ".", CALC!A4)</f>
        <v>LSD.RID.0.AL.WAVG.0</v>
      </c>
      <c r="B4" s="42" t="str">
        <f aca="false">CALC!C4</f>
        <v>All Industries</v>
      </c>
      <c r="C4" s="39" t="n">
        <v>31.96</v>
      </c>
      <c r="D4" s="39" t="n">
        <v>32.68</v>
      </c>
      <c r="E4" s="39" t="n">
        <v>25.57</v>
      </c>
      <c r="F4" s="39" t="n">
        <v>32.12</v>
      </c>
      <c r="AG4" s="3"/>
      <c r="AH4" s="3"/>
      <c r="AI4" s="3"/>
      <c r="AJ4" s="3"/>
      <c r="AW4" s="3"/>
      <c r="AX4" s="3"/>
      <c r="AY4" s="3"/>
      <c r="AZ4" s="3"/>
      <c r="BA4" s="3"/>
      <c r="BB4" s="3"/>
      <c r="BC4" s="3"/>
      <c r="BD4" s="3"/>
      <c r="BE4" s="3"/>
      <c r="BF4" s="3"/>
      <c r="BG4" s="3"/>
      <c r="BH4" s="3"/>
      <c r="BI4" s="3"/>
      <c r="BJ4" s="3"/>
      <c r="BK4" s="3"/>
      <c r="BL4" s="3"/>
      <c r="BM4" s="3"/>
      <c r="BN4" s="3"/>
      <c r="BO4" s="3"/>
    </row>
    <row r="5" customFormat="false" ht="23.85" hidden="false" customHeight="false" outlineLevel="0" collapsed="false">
      <c r="A5" s="65" t="str">
        <f aca="false">_xlfn.CONCAT($A$1, ".", CALC!A5)</f>
        <v>LSD.RID.0.AL.WAVG.1</v>
      </c>
      <c r="B5" s="68" t="str">
        <f aca="false">CALC!C5</f>
        <v>Agriculture, Forestry, 
Fishing and Hunting</v>
      </c>
      <c r="C5" s="39" t="n">
        <v>18.5</v>
      </c>
      <c r="D5" s="39" t="n">
        <v>19.42</v>
      </c>
      <c r="E5" s="39" t="n">
        <v>14.8</v>
      </c>
      <c r="F5" s="39" t="n">
        <v>18.72</v>
      </c>
      <c r="AG5" s="3"/>
      <c r="AH5" s="3"/>
      <c r="AI5" s="3"/>
      <c r="AJ5" s="3"/>
      <c r="AW5" s="3"/>
      <c r="AX5" s="3"/>
      <c r="AY5" s="3"/>
      <c r="AZ5" s="3"/>
      <c r="BA5" s="3"/>
      <c r="BB5" s="3"/>
      <c r="BC5" s="3"/>
      <c r="BD5" s="3"/>
      <c r="BE5" s="3"/>
      <c r="BF5" s="3"/>
      <c r="BG5" s="3"/>
      <c r="BH5" s="3"/>
      <c r="BI5" s="3"/>
      <c r="BJ5" s="3"/>
      <c r="BK5" s="3"/>
      <c r="BL5" s="3"/>
      <c r="BM5" s="3"/>
      <c r="BN5" s="3"/>
      <c r="BO5" s="3"/>
    </row>
    <row r="6" customFormat="false" ht="23.85" hidden="false" customHeight="false" outlineLevel="0" collapsed="false">
      <c r="A6" s="65" t="str">
        <f aca="false">_xlfn.CONCAT($A$1, ".", CALC!A6)</f>
        <v>LSD.RID.0.AL.WAVG.2</v>
      </c>
      <c r="B6" s="68" t="str">
        <f aca="false">CALC!C6</f>
        <v>Mining, Quarrying, and
Oil and Gas Extraction</v>
      </c>
      <c r="C6" s="39" t="n">
        <v>35.2</v>
      </c>
      <c r="D6" s="39" t="n">
        <v>36.01</v>
      </c>
      <c r="E6" s="39" t="n">
        <v>29.92</v>
      </c>
      <c r="F6" s="39" t="n">
        <v>35.45</v>
      </c>
      <c r="AG6" s="3"/>
      <c r="AH6" s="3"/>
      <c r="AI6" s="3"/>
      <c r="AJ6" s="3"/>
      <c r="AW6" s="3"/>
      <c r="AX6" s="3"/>
      <c r="AY6" s="3"/>
      <c r="AZ6" s="3"/>
      <c r="BA6" s="3"/>
      <c r="BB6" s="3"/>
      <c r="BC6" s="3"/>
      <c r="BD6" s="3"/>
      <c r="BE6" s="3"/>
      <c r="BF6" s="3"/>
      <c r="BG6" s="3"/>
      <c r="BH6" s="3"/>
      <c r="BI6" s="3"/>
      <c r="BJ6" s="3"/>
      <c r="BK6" s="3"/>
      <c r="BL6" s="3"/>
      <c r="BM6" s="3"/>
      <c r="BN6" s="3"/>
      <c r="BO6" s="3"/>
    </row>
    <row r="7" customFormat="false" ht="12.8" hidden="false" customHeight="false" outlineLevel="0" collapsed="false">
      <c r="A7" s="65" t="str">
        <f aca="false">_xlfn.CONCAT($A$1, ".", CALC!A7)</f>
        <v>LSD.RID.0.AL.WAVG.3</v>
      </c>
      <c r="B7" s="42" t="str">
        <f aca="false">CALC!C7</f>
        <v>Utilities</v>
      </c>
      <c r="C7" s="39" t="n">
        <v>42.8</v>
      </c>
      <c r="D7" s="39" t="n">
        <v>43.66</v>
      </c>
      <c r="E7" s="39" t="n">
        <v>36.38</v>
      </c>
      <c r="F7" s="39" t="n">
        <v>43.12</v>
      </c>
      <c r="AG7" s="3"/>
      <c r="AH7" s="3"/>
      <c r="AI7" s="3"/>
      <c r="AJ7" s="3"/>
      <c r="AW7" s="3"/>
      <c r="AX7" s="3"/>
      <c r="AY7" s="3"/>
      <c r="AZ7" s="3"/>
      <c r="BA7" s="3"/>
      <c r="BB7" s="3"/>
      <c r="BC7" s="3"/>
      <c r="BD7" s="3"/>
      <c r="BE7" s="3"/>
      <c r="BF7" s="3"/>
      <c r="BG7" s="3"/>
      <c r="BH7" s="3"/>
      <c r="BI7" s="3"/>
      <c r="BJ7" s="3"/>
      <c r="BK7" s="3"/>
      <c r="BL7" s="3"/>
      <c r="BM7" s="3"/>
      <c r="BN7" s="3"/>
      <c r="BO7" s="3"/>
    </row>
    <row r="8" customFormat="false" ht="12.8" hidden="false" customHeight="false" outlineLevel="0" collapsed="false">
      <c r="A8" s="65" t="str">
        <f aca="false">_xlfn.CONCAT($A$1, ".", CALC!A8)</f>
        <v>LSD.RID.0.AL.WAVG.4</v>
      </c>
      <c r="B8" s="42" t="str">
        <f aca="false">CALC!C8</f>
        <v>Construction</v>
      </c>
      <c r="C8" s="39" t="n">
        <v>28.4</v>
      </c>
      <c r="D8" s="39" t="n">
        <v>29.79</v>
      </c>
      <c r="E8" s="39" t="n">
        <v>22.72</v>
      </c>
      <c r="F8" s="39" t="n">
        <v>28.65</v>
      </c>
      <c r="AG8" s="3"/>
      <c r="AH8" s="3"/>
      <c r="AI8" s="3"/>
      <c r="AJ8" s="3"/>
      <c r="AW8" s="3"/>
      <c r="AX8" s="3"/>
      <c r="AY8" s="3"/>
      <c r="AZ8" s="3"/>
      <c r="BA8" s="3"/>
      <c r="BB8" s="3"/>
      <c r="BC8" s="3"/>
      <c r="BD8" s="3"/>
      <c r="BE8" s="3"/>
      <c r="BF8" s="3"/>
      <c r="BG8" s="3"/>
      <c r="BH8" s="3"/>
      <c r="BI8" s="3"/>
      <c r="BJ8" s="3"/>
      <c r="BK8" s="3"/>
      <c r="BL8" s="3"/>
      <c r="BM8" s="3"/>
      <c r="BN8" s="3"/>
      <c r="BO8" s="3"/>
    </row>
    <row r="9" customFormat="false" ht="23.85" hidden="false" customHeight="false" outlineLevel="0" collapsed="false">
      <c r="A9" s="65" t="str">
        <f aca="false">_xlfn.CONCAT($A$1, ".", CALC!A9)</f>
        <v>LSD.RID.0.AL.WAVG.5</v>
      </c>
      <c r="B9" s="68" t="str">
        <f aca="false">CALC!C9</f>
        <v>Manufacturing
(Food,Textile, etc.)</v>
      </c>
      <c r="C9" s="39" t="n">
        <v>24.1</v>
      </c>
      <c r="D9" s="39" t="n">
        <v>25.3</v>
      </c>
      <c r="E9" s="39" t="n">
        <v>19.28</v>
      </c>
      <c r="F9" s="39" t="n">
        <v>24.35</v>
      </c>
      <c r="AG9" s="3"/>
      <c r="AH9" s="3"/>
      <c r="AI9" s="3"/>
      <c r="AJ9" s="3"/>
      <c r="AW9" s="3"/>
      <c r="AX9" s="3"/>
      <c r="AY9" s="3"/>
      <c r="AZ9" s="3"/>
      <c r="BA9" s="3"/>
      <c r="BB9" s="3"/>
      <c r="BC9" s="3"/>
      <c r="BD9" s="3"/>
      <c r="BE9" s="3"/>
      <c r="BF9" s="3"/>
      <c r="BG9" s="3"/>
      <c r="BH9" s="3"/>
      <c r="BI9" s="3"/>
      <c r="BJ9" s="3"/>
      <c r="BK9" s="3"/>
      <c r="BL9" s="3"/>
      <c r="BM9" s="3"/>
      <c r="BN9" s="3"/>
      <c r="BO9" s="3"/>
    </row>
    <row r="10" customFormat="false" ht="23.85" hidden="false" customHeight="false" outlineLevel="0" collapsed="false">
      <c r="A10" s="65" t="str">
        <f aca="false">_xlfn.CONCAT($A$1, ".", CALC!A10)</f>
        <v>LSD.RID.0.AL.WAVG.6</v>
      </c>
      <c r="B10" s="68" t="str">
        <f aca="false">CALC!C10</f>
        <v>Manufacturing (Wood,
Paper, Printing, etc.)</v>
      </c>
      <c r="C10" s="39" t="n">
        <v>26.5</v>
      </c>
      <c r="D10" s="39" t="n">
        <v>27.83</v>
      </c>
      <c r="E10" s="39" t="n">
        <v>21.2</v>
      </c>
      <c r="F10" s="39" t="n">
        <v>26.78</v>
      </c>
      <c r="AG10" s="3"/>
      <c r="AH10" s="3"/>
      <c r="AI10" s="3"/>
      <c r="AJ10" s="3"/>
      <c r="AW10" s="3"/>
      <c r="AX10" s="3"/>
      <c r="AY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65" t="str">
        <f aca="false">_xlfn.CONCAT($A$1, ".", CALC!A11)</f>
        <v>LSD.RID.0.AL.WAVG.7</v>
      </c>
      <c r="B11" s="68" t="str">
        <f aca="false">CALC!C11</f>
        <v>Manufacturing
(Machinery, Transport)</v>
      </c>
      <c r="C11" s="39" t="n">
        <v>32.9</v>
      </c>
      <c r="D11" s="39" t="n">
        <v>34.55</v>
      </c>
      <c r="E11" s="39" t="n">
        <v>26.32</v>
      </c>
      <c r="F11" s="39" t="n">
        <v>33.23</v>
      </c>
      <c r="AG11" s="3"/>
      <c r="AH11" s="3"/>
      <c r="AI11" s="3"/>
      <c r="AJ11" s="3"/>
      <c r="AW11" s="3"/>
      <c r="AX11" s="3"/>
      <c r="AY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65" t="str">
        <f aca="false">_xlfn.CONCAT($A$1, ".", CALC!A12)</f>
        <v>LSD.RID.0.AL.WAVG.8</v>
      </c>
      <c r="B12" s="42" t="str">
        <f aca="false">CALC!C12</f>
        <v>Wholesale Trade</v>
      </c>
      <c r="C12" s="39" t="n">
        <v>30.2</v>
      </c>
      <c r="D12" s="39" t="n">
        <v>31.71</v>
      </c>
      <c r="E12" s="39" t="n">
        <v>24.16</v>
      </c>
      <c r="F12" s="39" t="n">
        <v>30.5</v>
      </c>
      <c r="AG12" s="3"/>
      <c r="AH12" s="3"/>
      <c r="AI12" s="3"/>
      <c r="AJ12" s="3"/>
      <c r="AW12" s="3"/>
      <c r="AX12" s="3"/>
      <c r="AY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65" t="str">
        <f aca="false">_xlfn.CONCAT($A$1, ".", CALC!A13)</f>
        <v>LSD.RID.0.AL.WAVG.9</v>
      </c>
      <c r="B13" s="68" t="str">
        <f aca="false">CALC!C13</f>
        <v>Retail Trade (Motor
Vehicle, Electronics)</v>
      </c>
      <c r="C13" s="39" t="n">
        <v>28.1</v>
      </c>
      <c r="D13" s="39" t="n">
        <v>29.51</v>
      </c>
      <c r="E13" s="39" t="n">
        <v>22.48</v>
      </c>
      <c r="F13" s="39" t="n">
        <v>28.35</v>
      </c>
      <c r="AG13" s="3"/>
      <c r="AH13" s="3"/>
      <c r="AI13" s="3"/>
      <c r="AJ13" s="3"/>
      <c r="AW13" s="3"/>
      <c r="AX13" s="3"/>
      <c r="AY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65" t="str">
        <f aca="false">_xlfn.CONCAT($A$1, ".", CALC!A14)</f>
        <v>LSD.RID.0.AL.WAVG.10</v>
      </c>
      <c r="B14" s="68" t="str">
        <f aca="false">CALC!C14</f>
        <v>Retail Trade (Food, Clothing,
General Merchandise, etc.)</v>
      </c>
      <c r="C14" s="39" t="n">
        <v>20.8</v>
      </c>
      <c r="D14" s="39" t="n">
        <v>21.84</v>
      </c>
      <c r="E14" s="39" t="n">
        <v>16.64</v>
      </c>
      <c r="F14" s="39" t="n">
        <v>21</v>
      </c>
      <c r="AG14" s="3"/>
      <c r="AH14" s="3"/>
      <c r="AI14" s="3"/>
      <c r="AJ14" s="3"/>
      <c r="AW14" s="3"/>
      <c r="AX14" s="3"/>
      <c r="AY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65" t="str">
        <f aca="false">_xlfn.CONCAT($A$1, ".", CALC!A15)</f>
        <v>LSD.RID.0.AL.WAVG.11</v>
      </c>
      <c r="B15" s="42" t="str">
        <f aca="false">CALC!C15</f>
        <v>Transportation</v>
      </c>
      <c r="C15" s="39" t="n">
        <v>31.7</v>
      </c>
      <c r="D15" s="39" t="n">
        <v>33.29</v>
      </c>
      <c r="E15" s="39" t="n">
        <v>25.36</v>
      </c>
      <c r="F15" s="39" t="n">
        <v>32.02</v>
      </c>
      <c r="AG15" s="3"/>
      <c r="AH15" s="3"/>
      <c r="AI15" s="3"/>
      <c r="AJ15" s="3"/>
      <c r="AW15" s="3"/>
      <c r="AX15" s="3"/>
      <c r="AY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65" t="str">
        <f aca="false">_xlfn.CONCAT($A$1, ".", CALC!A16)</f>
        <v>LSD.RID.0.AL.WAVG.12</v>
      </c>
      <c r="B16" s="42" t="str">
        <f aca="false">CALC!C16</f>
        <v>Warehousing and Storage</v>
      </c>
      <c r="C16" s="39" t="n">
        <v>25.9</v>
      </c>
      <c r="D16" s="39" t="n">
        <v>27.2</v>
      </c>
      <c r="E16" s="39" t="n">
        <v>20.72</v>
      </c>
      <c r="F16" s="39" t="n">
        <v>26.15</v>
      </c>
      <c r="AG16" s="3"/>
      <c r="AH16" s="3"/>
      <c r="AI16" s="3"/>
      <c r="AJ16" s="3"/>
      <c r="AW16" s="3"/>
      <c r="AX16" s="3"/>
      <c r="AY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65" t="str">
        <f aca="false">_xlfn.CONCAT($A$1, ".", CALC!A17)</f>
        <v>LSD.RID.0.AL.WAVG.13</v>
      </c>
      <c r="B17" s="42" t="str">
        <f aca="false">CALC!C17</f>
        <v>Information</v>
      </c>
      <c r="C17" s="39" t="n">
        <v>38.5</v>
      </c>
      <c r="D17" s="39" t="n">
        <v>40.43</v>
      </c>
      <c r="E17" s="39" t="n">
        <v>32.73</v>
      </c>
      <c r="F17" s="39" t="n">
        <v>38.88</v>
      </c>
      <c r="AG17" s="3"/>
      <c r="AH17" s="3"/>
      <c r="AI17" s="3"/>
      <c r="AJ17" s="3"/>
      <c r="AW17" s="3"/>
      <c r="AX17" s="3"/>
      <c r="AY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65" t="str">
        <f aca="false">_xlfn.CONCAT($A$1, ".", CALC!A18)</f>
        <v>LSD.RID.0.AL.WAVG.14</v>
      </c>
      <c r="B18" s="42" t="str">
        <f aca="false">CALC!C18</f>
        <v>Finance and Insurance</v>
      </c>
      <c r="C18" s="39" t="n">
        <v>40.1</v>
      </c>
      <c r="D18" s="39" t="n">
        <v>42.11</v>
      </c>
      <c r="E18" s="39" t="n">
        <v>34.09</v>
      </c>
      <c r="F18" s="39" t="n">
        <v>40.5</v>
      </c>
      <c r="AG18" s="3"/>
      <c r="AH18" s="3"/>
      <c r="AI18" s="3"/>
      <c r="AJ18" s="3"/>
      <c r="AW18" s="3"/>
      <c r="AX18" s="3"/>
      <c r="AY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65" t="str">
        <f aca="false">_xlfn.CONCAT($A$1, ".", CALC!A19)</f>
        <v>LSD.RID.0.AL.WAVG.15</v>
      </c>
      <c r="B19" s="68" t="str">
        <f aca="false">CALC!C19</f>
        <v>Real Estate and
Rental and Leasing</v>
      </c>
      <c r="C19" s="39" t="n">
        <v>32.4</v>
      </c>
      <c r="D19" s="39" t="n">
        <v>34.02</v>
      </c>
      <c r="E19" s="39" t="n">
        <v>27.54</v>
      </c>
      <c r="F19" s="39" t="n">
        <v>32.73</v>
      </c>
      <c r="AG19" s="3"/>
      <c r="AH19" s="3"/>
      <c r="AI19" s="3"/>
      <c r="AJ19" s="3"/>
      <c r="AW19" s="3"/>
      <c r="AX19" s="3"/>
      <c r="AY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65" t="str">
        <f aca="false">_xlfn.CONCAT($A$1, ".", CALC!A20)</f>
        <v>LSD.RID.0.AL.WAVG.16</v>
      </c>
      <c r="B20" s="68" t="str">
        <f aca="false">CALC!C20</f>
        <v>Professional, Scientific,
and Technical Services</v>
      </c>
      <c r="C20" s="39" t="n">
        <v>45.8</v>
      </c>
      <c r="D20" s="39" t="n">
        <v>48.09</v>
      </c>
      <c r="E20" s="39" t="n">
        <v>38.93</v>
      </c>
      <c r="F20" s="39" t="n">
        <v>46.26</v>
      </c>
      <c r="AG20" s="3"/>
      <c r="AH20" s="3"/>
      <c r="AI20" s="3"/>
      <c r="AJ20" s="3"/>
      <c r="AW20" s="3"/>
      <c r="AX20" s="3"/>
      <c r="AY20" s="3"/>
      <c r="AZ20" s="3"/>
      <c r="BA20" s="3"/>
      <c r="BB20" s="3"/>
      <c r="BC20" s="3"/>
      <c r="BD20" s="3"/>
      <c r="BE20" s="3"/>
      <c r="BF20" s="3"/>
      <c r="BG20" s="3"/>
      <c r="BH20" s="3"/>
      <c r="BI20" s="3"/>
      <c r="BJ20" s="3"/>
      <c r="BK20" s="3"/>
      <c r="BL20" s="3"/>
      <c r="BM20" s="3"/>
      <c r="BN20" s="3"/>
      <c r="BO20" s="3"/>
    </row>
    <row r="21" customFormat="false" ht="34.8" hidden="false" customHeight="false" outlineLevel="0" collapsed="false">
      <c r="A21" s="65" t="str">
        <f aca="false">_xlfn.CONCAT($A$1, ".", CALC!A21)</f>
        <v>LSD.RID.0.AL.WAVG.17</v>
      </c>
      <c r="B21" s="68" t="str">
        <f aca="false">CALC!C21</f>
        <v>Administrative and Support
and Waste Management
and Remediation Services</v>
      </c>
      <c r="C21" s="39" t="n">
        <v>22.3</v>
      </c>
      <c r="D21" s="39" t="n">
        <v>23.42</v>
      </c>
      <c r="E21" s="39" t="n">
        <v>17.84</v>
      </c>
      <c r="F21" s="39" t="n">
        <v>22.55</v>
      </c>
      <c r="AG21" s="3"/>
      <c r="AH21" s="3"/>
      <c r="AI21" s="3"/>
      <c r="AJ21" s="3"/>
      <c r="AW21" s="3"/>
      <c r="AX21" s="3"/>
      <c r="AY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65" t="str">
        <f aca="false">_xlfn.CONCAT($A$1, ".", CALC!A22)</f>
        <v>LSD.RID.0.AL.WAVG.18</v>
      </c>
      <c r="B22" s="42" t="str">
        <f aca="false">CALC!C22</f>
        <v>Educational Services</v>
      </c>
      <c r="C22" s="39" t="n">
        <v>34.2</v>
      </c>
      <c r="D22" s="39" t="n">
        <v>35.91</v>
      </c>
      <c r="E22" s="39" t="n">
        <v>29.07</v>
      </c>
      <c r="F22" s="39" t="n">
        <v>34.55</v>
      </c>
      <c r="AG22" s="3"/>
      <c r="AH22" s="3"/>
      <c r="AI22" s="3"/>
      <c r="AJ22" s="3"/>
      <c r="AW22" s="3"/>
      <c r="AX22" s="3"/>
      <c r="AY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65" t="str">
        <f aca="false">_xlfn.CONCAT($A$1, ".", CALC!A23)</f>
        <v>LSD.RID.0.AL.WAVG.19</v>
      </c>
      <c r="B23" s="68" t="str">
        <f aca="false">CALC!C23</f>
        <v>Health Care and
Social Assistance</v>
      </c>
      <c r="C23" s="39" t="n">
        <v>36.7</v>
      </c>
      <c r="D23" s="39" t="n">
        <v>38.54</v>
      </c>
      <c r="E23" s="39" t="n">
        <v>31.2</v>
      </c>
      <c r="F23" s="39" t="n">
        <v>37.07</v>
      </c>
      <c r="AG23" s="3"/>
      <c r="AH23" s="3"/>
      <c r="AI23" s="3"/>
      <c r="AJ23" s="3"/>
      <c r="AW23" s="3"/>
      <c r="AX23" s="3"/>
      <c r="AY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65" t="str">
        <f aca="false">_xlfn.CONCAT($A$1, ".", CALC!A24)</f>
        <v>LSD.RID.0.AL.WAVG.20</v>
      </c>
      <c r="B24" s="68" t="str">
        <f aca="false">CALC!C24</f>
        <v>Arts, Entertainment,
and Recreation</v>
      </c>
      <c r="C24" s="39" t="n">
        <v>24.5</v>
      </c>
      <c r="D24" s="39" t="n">
        <v>25.73</v>
      </c>
      <c r="E24" s="39" t="n">
        <v>19.6</v>
      </c>
      <c r="F24" s="39" t="n">
        <v>24.75</v>
      </c>
      <c r="AG24" s="3"/>
      <c r="AH24" s="3"/>
      <c r="AI24" s="3"/>
      <c r="AJ24" s="3"/>
      <c r="AW24" s="3"/>
      <c r="AX24" s="3"/>
      <c r="AY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65" t="str">
        <f aca="false">_xlfn.CONCAT($A$1, ".", CALC!A25)</f>
        <v>LSD.RID.0.AL.WAVG.21</v>
      </c>
      <c r="B25" s="68" t="str">
        <f aca="false">CALC!C25</f>
        <v>Accommodation
and Food Services</v>
      </c>
      <c r="C25" s="39" t="n">
        <v>16.8</v>
      </c>
      <c r="D25" s="39" t="n">
        <v>17.64</v>
      </c>
      <c r="E25" s="39" t="n">
        <v>13.44</v>
      </c>
      <c r="F25" s="39" t="n">
        <v>17</v>
      </c>
      <c r="AG25" s="3"/>
      <c r="AH25" s="3"/>
      <c r="AI25" s="3"/>
      <c r="AJ25" s="3"/>
      <c r="AW25" s="3"/>
      <c r="AX25" s="3"/>
      <c r="AY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65" t="str">
        <f aca="false">_xlfn.CONCAT($A$1, ".", CALC!A26)</f>
        <v>LSD.RID.0.AL.WAVG.22</v>
      </c>
      <c r="B26" s="68" t="str">
        <f aca="false">CALC!C26</f>
        <v>Other Services (except
Public Administration)</v>
      </c>
      <c r="C26" s="39" t="n">
        <v>26.1</v>
      </c>
      <c r="D26" s="39" t="n">
        <v>27.41</v>
      </c>
      <c r="E26" s="39" t="n">
        <v>20.88</v>
      </c>
      <c r="F26" s="39" t="n">
        <v>26.35</v>
      </c>
      <c r="AG26" s="3"/>
      <c r="AH26" s="3"/>
      <c r="AI26" s="3"/>
      <c r="AJ26" s="3"/>
      <c r="AW26" s="3"/>
      <c r="AX26" s="3"/>
      <c r="AY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65" t="str">
        <f aca="false">_xlfn.CONCAT($A$1, ".", CALC!A27)</f>
        <v>LSD.RID.0.AL.WAVG.23</v>
      </c>
      <c r="B27" s="42" t="str">
        <f aca="false">CALC!C27</f>
        <v>Public Administration</v>
      </c>
      <c r="C27" s="39" t="n">
        <v>38.9</v>
      </c>
      <c r="D27" s="39" t="n">
        <v>40.85</v>
      </c>
      <c r="E27" s="39" t="n">
        <v>33.07</v>
      </c>
      <c r="F27" s="39" t="n">
        <v>39.29</v>
      </c>
      <c r="AG27" s="3"/>
      <c r="AH27" s="3"/>
      <c r="AI27" s="3"/>
      <c r="AJ27" s="3"/>
      <c r="AW27" s="3"/>
      <c r="AX27" s="3"/>
      <c r="AY27" s="3"/>
      <c r="AZ27" s="3"/>
      <c r="BA27" s="3"/>
      <c r="BB27" s="3"/>
      <c r="BC27" s="3"/>
      <c r="BD27" s="3"/>
      <c r="BE27" s="3"/>
      <c r="BF27" s="3"/>
      <c r="BG27" s="3"/>
      <c r="BH27" s="3"/>
      <c r="BI27" s="3"/>
      <c r="BJ27" s="3"/>
      <c r="BK27" s="3"/>
      <c r="BL27" s="3"/>
      <c r="BM27" s="3"/>
      <c r="BN27" s="3"/>
      <c r="BO27" s="3"/>
    </row>
    <row r="130" customFormat="false" ht="12.8" hidden="false" customHeight="false" outlineLevel="0" collapsed="false">
      <c r="A130" s="65" t="str">
        <f aca="false">_xlfn.CONCAT($A$1, ".", "FORM")</f>
        <v>LSD.RID.0.AL.WAVG.FORM</v>
      </c>
      <c r="B130" s="66" t="str">
        <f aca="false">_xlfn.CONCAT($B$1, " ", "Formulae")</f>
        <v>Alabama Wage Average (WAVG) Formulae</v>
      </c>
      <c r="C130" s="66"/>
    </row>
    <row r="131" customFormat="false" ht="12.8" hidden="false" customHeight="false" outlineLevel="0" collapsed="false">
      <c r="A131" s="49" t="s">
        <v>1842</v>
      </c>
      <c r="B131" s="49" t="s">
        <v>183</v>
      </c>
      <c r="C131" s="49" t="s">
        <v>184</v>
      </c>
      <c r="D131" s="49" t="s">
        <v>1590</v>
      </c>
      <c r="E131" s="49" t="s">
        <v>186</v>
      </c>
      <c r="F131" s="49" t="s">
        <v>187</v>
      </c>
    </row>
    <row r="132" customFormat="false" ht="12.8" hidden="false" customHeight="false" outlineLevel="0" collapsed="false">
      <c r="A132" s="39" t="s">
        <v>2476</v>
      </c>
      <c r="B132" s="39" t="s">
        <v>2477</v>
      </c>
      <c r="C132" s="39" t="s">
        <v>2478</v>
      </c>
      <c r="D132" s="39" t="s">
        <v>2479</v>
      </c>
      <c r="E132" s="39" t="s">
        <v>2480</v>
      </c>
      <c r="F132" s="39" t="s">
        <v>2481</v>
      </c>
    </row>
    <row r="133" customFormat="false" ht="12.8" hidden="false" customHeight="false" outlineLevel="0" collapsed="false">
      <c r="A133" s="39" t="s">
        <v>2482</v>
      </c>
      <c r="B133" s="39" t="s">
        <v>2483</v>
      </c>
      <c r="C133" s="39" t="s">
        <v>2484</v>
      </c>
      <c r="D133" s="39" t="s">
        <v>2485</v>
      </c>
      <c r="E133" s="39" t="s">
        <v>2486</v>
      </c>
      <c r="F133" s="39" t="s">
        <v>2481</v>
      </c>
    </row>
    <row r="134" customFormat="false" ht="12.8" hidden="false" customHeight="false" outlineLevel="0" collapsed="false">
      <c r="A134" s="39" t="s">
        <v>2487</v>
      </c>
      <c r="B134" s="39" t="s">
        <v>2488</v>
      </c>
      <c r="C134" s="39" t="s">
        <v>2489</v>
      </c>
      <c r="D134" s="39" t="s">
        <v>2490</v>
      </c>
      <c r="E134" s="39" t="s">
        <v>2491</v>
      </c>
      <c r="F134" s="39" t="s">
        <v>2481</v>
      </c>
    </row>
    <row r="135" customFormat="false" ht="12.8" hidden="false" customHeight="false" outlineLevel="0" collapsed="false">
      <c r="A135" s="39" t="s">
        <v>2492</v>
      </c>
      <c r="B135" s="39" t="s">
        <v>2493</v>
      </c>
      <c r="C135" s="39" t="s">
        <v>2494</v>
      </c>
      <c r="D135" s="39" t="s">
        <v>2495</v>
      </c>
      <c r="E135" s="39" t="s">
        <v>2496</v>
      </c>
      <c r="F135" s="39" t="s">
        <v>2481</v>
      </c>
    </row>
    <row r="140" customFormat="false" ht="12.8" hidden="false" customHeight="false" outlineLevel="0" collapsed="false">
      <c r="A140" s="65" t="s">
        <v>2497</v>
      </c>
      <c r="B140" s="66" t="s">
        <v>2498</v>
      </c>
      <c r="C140" s="66"/>
    </row>
    <row r="141" customFormat="false" ht="12.8" hidden="false" customHeight="false" outlineLevel="0" collapsed="false">
      <c r="A141" s="49" t="s">
        <v>683</v>
      </c>
      <c r="B141" s="49" t="s">
        <v>184</v>
      </c>
      <c r="C141" s="49" t="s">
        <v>684</v>
      </c>
      <c r="D141" s="49" t="s">
        <v>186</v>
      </c>
      <c r="E141" s="49" t="s">
        <v>678</v>
      </c>
      <c r="F141" s="49" t="s">
        <v>679</v>
      </c>
      <c r="G141" s="49" t="s">
        <v>680</v>
      </c>
      <c r="H141" s="49" t="s">
        <v>187</v>
      </c>
    </row>
    <row r="142" customFormat="false" ht="12.8" hidden="false" customHeight="false" outlineLevel="0" collapsed="false">
      <c r="A142" s="39" t="s">
        <v>2499</v>
      </c>
      <c r="B142" s="39" t="s">
        <v>2500</v>
      </c>
      <c r="C142" s="39" t="n">
        <v>31.96</v>
      </c>
      <c r="D142" s="39" t="s">
        <v>2501</v>
      </c>
      <c r="E142" s="39" t="s">
        <v>689</v>
      </c>
      <c r="F142" s="39" t="s">
        <v>2502</v>
      </c>
      <c r="G142" s="51" t="s">
        <v>691</v>
      </c>
      <c r="H142" s="39" t="s">
        <v>302</v>
      </c>
    </row>
    <row r="143" customFormat="false" ht="12.8" hidden="false" customHeight="false" outlineLevel="0" collapsed="false">
      <c r="A143" s="39" t="s">
        <v>2503</v>
      </c>
      <c r="B143" s="39" t="s">
        <v>2504</v>
      </c>
      <c r="C143" s="39" t="s">
        <v>2505</v>
      </c>
      <c r="D143" s="39" t="s">
        <v>2506</v>
      </c>
      <c r="E143" s="39" t="s">
        <v>689</v>
      </c>
      <c r="F143" s="39" t="s">
        <v>2507</v>
      </c>
      <c r="G143" s="51" t="s">
        <v>691</v>
      </c>
      <c r="H143" s="39" t="s">
        <v>968</v>
      </c>
    </row>
    <row r="144" customFormat="false" ht="12.8" hidden="false" customHeight="false" outlineLevel="0" collapsed="false">
      <c r="A144" s="39" t="s">
        <v>2508</v>
      </c>
      <c r="B144" s="39" t="s">
        <v>2509</v>
      </c>
      <c r="C144" s="39" t="s">
        <v>2510</v>
      </c>
      <c r="D144" s="39" t="s">
        <v>2511</v>
      </c>
      <c r="E144" s="39" t="s">
        <v>689</v>
      </c>
      <c r="F144" s="39" t="s">
        <v>2512</v>
      </c>
      <c r="G144" s="51" t="s">
        <v>691</v>
      </c>
      <c r="H144" s="39" t="s">
        <v>2513</v>
      </c>
    </row>
    <row r="145" customFormat="false" ht="12.8" hidden="false" customHeight="false" outlineLevel="0" collapsed="false">
      <c r="A145" s="39" t="s">
        <v>2514</v>
      </c>
      <c r="B145" s="39" t="s">
        <v>2515</v>
      </c>
      <c r="C145" s="39" t="s">
        <v>2516</v>
      </c>
      <c r="D145" s="39" t="s">
        <v>2517</v>
      </c>
      <c r="E145" s="39" t="s">
        <v>689</v>
      </c>
      <c r="F145" s="39" t="s">
        <v>2518</v>
      </c>
      <c r="G145" s="51" t="s">
        <v>691</v>
      </c>
      <c r="H145" s="39" t="s">
        <v>2519</v>
      </c>
    </row>
    <row r="146" customFormat="false" ht="12.8" hidden="false" customHeight="false" outlineLevel="0" collapsed="false">
      <c r="A146" s="39" t="s">
        <v>2520</v>
      </c>
      <c r="B146" s="39" t="s">
        <v>2521</v>
      </c>
      <c r="C146" s="39" t="s">
        <v>1292</v>
      </c>
      <c r="D146" s="39" t="s">
        <v>2522</v>
      </c>
      <c r="E146" s="39" t="s">
        <v>689</v>
      </c>
      <c r="F146" s="39" t="s">
        <v>2523</v>
      </c>
      <c r="G146" s="51" t="s">
        <v>691</v>
      </c>
      <c r="H146" s="39" t="s">
        <v>2524</v>
      </c>
    </row>
    <row r="147" customFormat="false" ht="12.8" hidden="false" customHeight="false" outlineLevel="0" collapsed="false">
      <c r="A147" s="39" t="s">
        <v>2525</v>
      </c>
      <c r="B147" s="39" t="s">
        <v>2526</v>
      </c>
      <c r="C147" s="39" t="s">
        <v>2527</v>
      </c>
      <c r="D147" s="39" t="s">
        <v>2528</v>
      </c>
      <c r="E147" s="39" t="s">
        <v>689</v>
      </c>
      <c r="F147" s="39" t="s">
        <v>1066</v>
      </c>
      <c r="G147" s="51" t="s">
        <v>691</v>
      </c>
      <c r="H147" s="39" t="s">
        <v>258</v>
      </c>
    </row>
    <row r="148" customFormat="false" ht="12.8" hidden="false" customHeight="false" outlineLevel="0" collapsed="false">
      <c r="A148" s="39" t="s">
        <v>2529</v>
      </c>
      <c r="B148" s="39" t="s">
        <v>2530</v>
      </c>
      <c r="C148" s="39" t="s">
        <v>2531</v>
      </c>
      <c r="D148" s="39" t="s">
        <v>2532</v>
      </c>
      <c r="E148" s="39" t="s">
        <v>689</v>
      </c>
      <c r="F148" s="39" t="s">
        <v>2533</v>
      </c>
      <c r="G148" s="51" t="s">
        <v>691</v>
      </c>
      <c r="H148" s="39" t="s">
        <v>258</v>
      </c>
    </row>
    <row r="149" customFormat="false" ht="12.8" hidden="false" customHeight="false" outlineLevel="0" collapsed="false">
      <c r="A149" s="39" t="s">
        <v>2534</v>
      </c>
      <c r="B149" s="39" t="s">
        <v>2535</v>
      </c>
      <c r="C149" s="39" t="n">
        <v>0.85</v>
      </c>
      <c r="D149" s="39" t="s">
        <v>2536</v>
      </c>
      <c r="E149" s="39" t="s">
        <v>689</v>
      </c>
      <c r="F149" s="39" t="s">
        <v>2537</v>
      </c>
      <c r="G149" s="51" t="s">
        <v>691</v>
      </c>
      <c r="H149" s="39" t="s">
        <v>258</v>
      </c>
    </row>
    <row r="150" customFormat="false" ht="12.8" hidden="false" customHeight="false" outlineLevel="0" collapsed="false">
      <c r="A150" s="39" t="s">
        <v>2538</v>
      </c>
      <c r="B150" s="39" t="s">
        <v>1080</v>
      </c>
      <c r="C150" s="39" t="n">
        <v>4</v>
      </c>
      <c r="D150" s="39" t="s">
        <v>1000</v>
      </c>
      <c r="E150" s="39" t="s">
        <v>689</v>
      </c>
      <c r="F150" s="39" t="s">
        <v>1256</v>
      </c>
      <c r="G150" s="51" t="s">
        <v>691</v>
      </c>
      <c r="H150" s="39" t="s">
        <v>258</v>
      </c>
    </row>
    <row r="155" customFormat="false" ht="12.8" hidden="false" customHeight="false" outlineLevel="0" collapsed="false">
      <c r="A155" s="65" t="s">
        <v>2539</v>
      </c>
      <c r="B155" s="66" t="s">
        <v>2540</v>
      </c>
    </row>
    <row r="156" customFormat="false" ht="12.8" hidden="false" customHeight="false" outlineLevel="0" collapsed="false">
      <c r="A156" s="49" t="s">
        <v>113</v>
      </c>
      <c r="B156" s="49" t="s">
        <v>186</v>
      </c>
      <c r="C156" s="49" t="s">
        <v>677</v>
      </c>
      <c r="D156" s="49" t="s">
        <v>1875</v>
      </c>
      <c r="E156" s="49" t="s">
        <v>678</v>
      </c>
      <c r="F156" s="49" t="s">
        <v>1876</v>
      </c>
      <c r="G156" s="49" t="s">
        <v>1786</v>
      </c>
    </row>
    <row r="157" customFormat="false" ht="12.8" hidden="false" customHeight="false" outlineLevel="0" collapsed="false">
      <c r="A157" s="50" t="s">
        <v>2541</v>
      </c>
      <c r="B157" s="39" t="s">
        <v>1471</v>
      </c>
      <c r="C157" s="39" t="n">
        <v>31.96</v>
      </c>
      <c r="D157" s="39" t="s">
        <v>2502</v>
      </c>
      <c r="E157" s="39" t="s">
        <v>689</v>
      </c>
      <c r="F157" s="39" t="s">
        <v>2542</v>
      </c>
    </row>
    <row r="158" customFormat="false" ht="12.8" hidden="false" customHeight="false" outlineLevel="0" collapsed="false">
      <c r="A158" s="50" t="s">
        <v>2543</v>
      </c>
      <c r="B158" s="39" t="s">
        <v>1881</v>
      </c>
      <c r="C158" s="39" t="s">
        <v>2544</v>
      </c>
      <c r="D158" s="39" t="s">
        <v>2545</v>
      </c>
      <c r="E158" s="39" t="s">
        <v>689</v>
      </c>
      <c r="F158" s="39" t="s">
        <v>2329</v>
      </c>
    </row>
    <row r="159" customFormat="false" ht="12.8" hidden="false" customHeight="false" outlineLevel="0" collapsed="false">
      <c r="A159" s="50" t="s">
        <v>2546</v>
      </c>
      <c r="B159" s="39" t="s">
        <v>2547</v>
      </c>
      <c r="C159" s="39" t="s">
        <v>2548</v>
      </c>
      <c r="D159" s="39" t="s">
        <v>2549</v>
      </c>
      <c r="E159" s="39" t="s">
        <v>689</v>
      </c>
      <c r="F159" s="39" t="s">
        <v>2550</v>
      </c>
    </row>
    <row r="160" customFormat="false" ht="12.8" hidden="false" customHeight="false" outlineLevel="0" collapsed="false">
      <c r="A160" s="50" t="s">
        <v>2551</v>
      </c>
      <c r="B160" s="39" t="s">
        <v>1891</v>
      </c>
      <c r="C160" s="39" t="s">
        <v>2552</v>
      </c>
      <c r="D160" s="39" t="s">
        <v>2553</v>
      </c>
      <c r="E160" s="39" t="s">
        <v>689</v>
      </c>
      <c r="F160" s="39" t="s">
        <v>2554</v>
      </c>
    </row>
    <row r="161" customFormat="false" ht="12.8" hidden="false" customHeight="false" outlineLevel="0" collapsed="false">
      <c r="A161" s="50" t="s">
        <v>2555</v>
      </c>
      <c r="B161" s="39" t="s">
        <v>1896</v>
      </c>
      <c r="C161" s="39" t="s">
        <v>1962</v>
      </c>
      <c r="D161" s="39" t="s">
        <v>2556</v>
      </c>
      <c r="E161" s="39" t="s">
        <v>689</v>
      </c>
      <c r="F161" s="39" t="s">
        <v>2130</v>
      </c>
      <c r="G161" s="39" t="s">
        <v>2557</v>
      </c>
    </row>
    <row r="162" customFormat="false" ht="12.8" hidden="false" customHeight="false" outlineLevel="0" collapsed="false">
      <c r="A162" s="50" t="s">
        <v>2558</v>
      </c>
      <c r="B162" s="39" t="s">
        <v>1901</v>
      </c>
      <c r="C162" s="39" t="s">
        <v>1902</v>
      </c>
      <c r="D162" s="39" t="s">
        <v>2559</v>
      </c>
      <c r="E162" s="39" t="s">
        <v>689</v>
      </c>
      <c r="F162" s="39" t="s">
        <v>1965</v>
      </c>
    </row>
    <row r="163" customFormat="false" ht="12.8" hidden="false" customHeight="false" outlineLevel="0" collapsed="false">
      <c r="A163" s="50" t="s">
        <v>2560</v>
      </c>
      <c r="B163" s="39" t="s">
        <v>2561</v>
      </c>
      <c r="C163" s="39" t="s">
        <v>2562</v>
      </c>
      <c r="D163" s="39" t="s">
        <v>2563</v>
      </c>
      <c r="E163" s="39" t="s">
        <v>689</v>
      </c>
      <c r="F163" s="39" t="s">
        <v>2346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BP119"/>
  <sheetViews>
    <sheetView showFormulas="false" showGridLines="true" showRowColHeaders="true" showZeros="true" rightToLeft="false" tabSelected="true" showOutlineSymbols="true" defaultGridColor="true" view="normal" topLeftCell="A17" colorId="64" zoomScale="65" zoomScaleNormal="65" zoomScalePageLayoutView="100" workbookViewId="0">
      <selection pane="topLeft" activeCell="E21" activeCellId="0" sqref="E21"/>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9.98"/>
    <col collapsed="false" customWidth="true" hidden="false" outlineLevel="0" max="34" min="3"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2564</v>
      </c>
      <c r="B1" s="68" t="s">
        <v>2565</v>
      </c>
      <c r="C1" s="6" t="s">
        <v>2</v>
      </c>
      <c r="D1" s="67" t="s">
        <v>2566</v>
      </c>
      <c r="AZ1" s="39"/>
      <c r="BP1" s="39"/>
    </row>
    <row r="2" customFormat="false" ht="12.8" hidden="false" customHeight="false" outlineLevel="0" collapsed="false">
      <c r="A2" s="65" t="str">
        <f aca="false">_xlfn.CONCAT($A$1, ".", "CALC")</f>
        <v>LSD.RID.0.AL.WRAVG.CALC</v>
      </c>
      <c r="B2" s="66" t="str">
        <f aca="false">_xlfn.CONCAT($B$1, " ", "Calculations")</f>
        <v>Alabama Wage Range Average () Calculations</v>
      </c>
      <c r="C2" s="3"/>
      <c r="D2" s="3"/>
      <c r="E2" s="3"/>
      <c r="F2" s="3"/>
      <c r="AT2" s="3"/>
      <c r="AU2" s="3"/>
      <c r="AV2" s="3"/>
      <c r="AW2" s="3"/>
      <c r="AZ2" s="39"/>
      <c r="BA2" s="39"/>
      <c r="BB2" s="39"/>
      <c r="BC2" s="39"/>
      <c r="BJ2" s="3"/>
      <c r="BK2" s="3"/>
      <c r="BL2" s="3"/>
      <c r="BM2" s="3"/>
      <c r="BN2" s="3"/>
      <c r="BO2" s="3"/>
    </row>
    <row r="3" customFormat="false" ht="23.85" hidden="false" customHeight="false" outlineLevel="0" collapsed="false">
      <c r="A3" s="65" t="str">
        <f aca="false">CALC!A3</f>
        <v>LSID</v>
      </c>
      <c r="B3" s="42" t="str">
        <f aca="false">CALC!C3</f>
        <v>Labor Sector</v>
      </c>
      <c r="C3" s="76" t="str">
        <f aca="false">CALC!AZ3</f>
        <v>Overall WRAVG Min</v>
      </c>
      <c r="D3" s="76" t="str">
        <f aca="false">CALC!BA3</f>
        <v>Overall WRAVG Max</v>
      </c>
      <c r="E3" s="76" t="str">
        <f aca="false">CALC!BB3</f>
        <v>Overall WRAVG</v>
      </c>
      <c r="F3" s="76" t="str">
        <f aca="false">CALC!BC3</f>
        <v>Authorized WRAVG Min</v>
      </c>
      <c r="G3" s="76" t="str">
        <f aca="false">CALC!BD3</f>
        <v>Authorized WRAVG Max</v>
      </c>
      <c r="H3" s="76" t="str">
        <f aca="false">CALC!BE3</f>
        <v>Authorized WRAVG</v>
      </c>
      <c r="I3" s="76" t="str">
        <f aca="false">CALC!BF3</f>
        <v>Unauthorized WRAVG Min</v>
      </c>
      <c r="J3" s="76" t="str">
        <f aca="false">CALC!BG3</f>
        <v>Unauthorized WRAVG Max</v>
      </c>
      <c r="K3" s="76" t="str">
        <f aca="false">CALC!BH3</f>
        <v>Unauthorized WRAVG</v>
      </c>
      <c r="L3" s="76" t="str">
        <f aca="false">CALC!BI3</f>
        <v>American WRAVG Min</v>
      </c>
      <c r="M3" s="76" t="str">
        <f aca="false">CALC!BJ3</f>
        <v>American WRAVG Max</v>
      </c>
      <c r="N3" s="76" t="str">
        <f aca="false">CALC!BK3</f>
        <v>American WRAVG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65" t="str">
        <f aca="false">_xlfn.CONCAT($A$1, ".", CALC!A4)</f>
        <v>LSD.RID.0.AL.WRAVG.0</v>
      </c>
      <c r="B4" s="42" t="str">
        <f aca="false">CALC!C4</f>
        <v>All Industries</v>
      </c>
      <c r="C4" s="39" t="n">
        <v>15</v>
      </c>
      <c r="D4" s="39" t="n">
        <v>55</v>
      </c>
      <c r="E4" s="39" t="n">
        <v>31.96</v>
      </c>
      <c r="F4" s="39" t="n">
        <v>15.75</v>
      </c>
      <c r="G4" s="39" t="n">
        <v>58.3</v>
      </c>
      <c r="H4" s="39" t="n">
        <v>32.68</v>
      </c>
      <c r="I4" s="39" t="n">
        <v>10.5</v>
      </c>
      <c r="J4" s="39" t="n">
        <v>44</v>
      </c>
      <c r="K4" s="39" t="n">
        <v>25.57</v>
      </c>
      <c r="L4" s="39" t="n">
        <v>15.2</v>
      </c>
      <c r="M4" s="39" t="n">
        <v>55.6</v>
      </c>
      <c r="N4" s="39" t="n">
        <v>32.12</v>
      </c>
      <c r="AJ4" s="3"/>
      <c r="AK4" s="3"/>
      <c r="AL4" s="3"/>
      <c r="AM4" s="3"/>
      <c r="AZ4" s="3"/>
      <c r="BA4" s="3"/>
      <c r="BB4" s="3"/>
      <c r="BC4" s="3"/>
      <c r="BD4" s="3"/>
      <c r="BE4" s="3"/>
      <c r="BF4" s="3"/>
      <c r="BG4" s="3"/>
      <c r="BH4" s="3"/>
      <c r="BI4" s="3"/>
      <c r="BJ4" s="3"/>
      <c r="BK4" s="3"/>
      <c r="BL4" s="3"/>
      <c r="BM4" s="3"/>
      <c r="BN4" s="3"/>
      <c r="BO4" s="3"/>
    </row>
    <row r="5" customFormat="false" ht="23.85" hidden="false" customHeight="false" outlineLevel="0" collapsed="false">
      <c r="A5" s="65" t="str">
        <f aca="false">_xlfn.CONCAT($A$1, ".", CALC!A5)</f>
        <v>LSD.RID.0.AL.WRAVG.1</v>
      </c>
      <c r="B5" s="68" t="str">
        <f aca="false">CALC!C5</f>
        <v>Agriculture, Forestry, 
Fishing and Hunting</v>
      </c>
      <c r="C5" s="39" t="n">
        <v>10.2</v>
      </c>
      <c r="D5" s="39" t="n">
        <v>28.5</v>
      </c>
      <c r="E5" s="39" t="n">
        <v>18.5</v>
      </c>
      <c r="F5" s="39" t="n">
        <v>10.71</v>
      </c>
      <c r="G5" s="39" t="n">
        <v>30.02</v>
      </c>
      <c r="H5" s="39" t="n">
        <v>19.42</v>
      </c>
      <c r="I5" s="39" t="n">
        <v>7.14</v>
      </c>
      <c r="J5" s="39" t="n">
        <v>22.8</v>
      </c>
      <c r="K5" s="39" t="n">
        <v>14.8</v>
      </c>
      <c r="L5" s="39" t="n">
        <v>10.3</v>
      </c>
      <c r="M5" s="39" t="n">
        <v>28.8</v>
      </c>
      <c r="N5" s="39" t="n">
        <v>18.72</v>
      </c>
      <c r="AJ5" s="3"/>
      <c r="AK5" s="3"/>
      <c r="AL5" s="3"/>
      <c r="AM5" s="3"/>
      <c r="AZ5" s="3"/>
      <c r="BA5" s="3"/>
      <c r="BB5" s="3"/>
      <c r="BC5" s="3"/>
      <c r="BD5" s="3"/>
      <c r="BE5" s="3"/>
      <c r="BF5" s="3"/>
      <c r="BG5" s="3"/>
      <c r="BH5" s="3"/>
      <c r="BI5" s="3"/>
      <c r="BJ5" s="3"/>
      <c r="BK5" s="3"/>
      <c r="BL5" s="3"/>
      <c r="BM5" s="3"/>
      <c r="BN5" s="3"/>
      <c r="BO5" s="3"/>
    </row>
    <row r="6" customFormat="false" ht="23.85" hidden="false" customHeight="false" outlineLevel="0" collapsed="false">
      <c r="A6" s="65" t="str">
        <f aca="false">_xlfn.CONCAT($A$1, ".", CALC!A6)</f>
        <v>LSD.RID.0.AL.WRAVG.2</v>
      </c>
      <c r="B6" s="68" t="str">
        <f aca="false">CALC!C6</f>
        <v>Mining, Quarrying, and
Oil and Gas Extraction</v>
      </c>
      <c r="C6" s="39" t="n">
        <v>18.5</v>
      </c>
      <c r="D6" s="39" t="n">
        <v>65</v>
      </c>
      <c r="E6" s="39" t="n">
        <v>35.2</v>
      </c>
      <c r="F6" s="39" t="n">
        <v>19.43</v>
      </c>
      <c r="G6" s="39" t="n">
        <v>68.9</v>
      </c>
      <c r="H6" s="39" t="n">
        <v>36.01</v>
      </c>
      <c r="I6" s="39" t="n">
        <v>12.95</v>
      </c>
      <c r="J6" s="39" t="n">
        <v>52</v>
      </c>
      <c r="K6" s="39" t="n">
        <v>29.92</v>
      </c>
      <c r="L6" s="39" t="n">
        <v>18.7</v>
      </c>
      <c r="M6" s="39" t="n">
        <v>65.7</v>
      </c>
      <c r="N6" s="39" t="n">
        <v>35.45</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65" t="str">
        <f aca="false">_xlfn.CONCAT($A$1, ".", CALC!A7)</f>
        <v>LSD.RID.0.AL.WRAVG.3</v>
      </c>
      <c r="B7" s="42" t="str">
        <f aca="false">CALC!C7</f>
        <v>Utilities</v>
      </c>
      <c r="C7" s="39" t="n">
        <v>22</v>
      </c>
      <c r="D7" s="39" t="n">
        <v>78</v>
      </c>
      <c r="E7" s="39" t="n">
        <v>42.8</v>
      </c>
      <c r="F7" s="39" t="n">
        <v>23.1</v>
      </c>
      <c r="G7" s="39" t="n">
        <v>82.68</v>
      </c>
      <c r="H7" s="39" t="n">
        <v>43.66</v>
      </c>
      <c r="I7" s="39" t="n">
        <v>15.4</v>
      </c>
      <c r="J7" s="39" t="n">
        <v>62.4</v>
      </c>
      <c r="K7" s="39" t="n">
        <v>36.38</v>
      </c>
      <c r="L7" s="39" t="n">
        <v>22.2</v>
      </c>
      <c r="M7" s="39" t="n">
        <v>78.8</v>
      </c>
      <c r="N7" s="39" t="n">
        <v>43.12</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65" t="str">
        <f aca="false">_xlfn.CONCAT($A$1, ".", CALC!A8)</f>
        <v>LSD.RID.0.AL.WRAVG.4</v>
      </c>
      <c r="B8" s="42" t="str">
        <f aca="false">CALC!C8</f>
        <v>Construction</v>
      </c>
      <c r="C8" s="39" t="n">
        <v>14.8</v>
      </c>
      <c r="D8" s="39" t="n">
        <v>52</v>
      </c>
      <c r="E8" s="39" t="n">
        <v>28.4</v>
      </c>
      <c r="F8" s="39" t="n">
        <v>15.54</v>
      </c>
      <c r="G8" s="39" t="n">
        <v>55.12</v>
      </c>
      <c r="H8" s="39" t="n">
        <v>29.79</v>
      </c>
      <c r="I8" s="39" t="n">
        <v>10.36</v>
      </c>
      <c r="J8" s="39" t="n">
        <v>41.6</v>
      </c>
      <c r="K8" s="39" t="n">
        <v>22.72</v>
      </c>
      <c r="L8" s="39" t="n">
        <v>14.95</v>
      </c>
      <c r="M8" s="39" t="n">
        <v>52.6</v>
      </c>
      <c r="N8" s="39" t="n">
        <v>28.65</v>
      </c>
      <c r="AJ8" s="3"/>
      <c r="AK8" s="3"/>
      <c r="AL8" s="3"/>
      <c r="AM8" s="3"/>
      <c r="AZ8" s="3"/>
      <c r="BA8" s="3"/>
      <c r="BB8" s="3"/>
      <c r="BC8" s="3"/>
      <c r="BD8" s="3"/>
      <c r="BE8" s="3"/>
      <c r="BF8" s="3"/>
      <c r="BG8" s="3"/>
      <c r="BH8" s="3"/>
      <c r="BI8" s="3"/>
      <c r="BJ8" s="3"/>
      <c r="BK8" s="3"/>
      <c r="BL8" s="3"/>
      <c r="BM8" s="3"/>
      <c r="BN8" s="3"/>
      <c r="BO8" s="3"/>
    </row>
    <row r="9" customFormat="false" ht="23.85" hidden="false" customHeight="false" outlineLevel="0" collapsed="false">
      <c r="A9" s="65" t="str">
        <f aca="false">_xlfn.CONCAT($A$1, ".", CALC!A9)</f>
        <v>LSD.RID.0.AL.WRAVG.5</v>
      </c>
      <c r="B9" s="68" t="str">
        <f aca="false">CALC!C9</f>
        <v>Manufacturing
(Food,Textile, etc.)</v>
      </c>
      <c r="C9" s="39" t="n">
        <v>13.5</v>
      </c>
      <c r="D9" s="39" t="n">
        <v>42</v>
      </c>
      <c r="E9" s="39" t="n">
        <v>24.1</v>
      </c>
      <c r="F9" s="39" t="n">
        <v>14.18</v>
      </c>
      <c r="G9" s="39" t="n">
        <v>44.52</v>
      </c>
      <c r="H9" s="39" t="n">
        <v>25.3</v>
      </c>
      <c r="I9" s="39" t="n">
        <v>9.45</v>
      </c>
      <c r="J9" s="39" t="n">
        <v>33.6</v>
      </c>
      <c r="K9" s="39" t="n">
        <v>19.28</v>
      </c>
      <c r="L9" s="39" t="n">
        <v>13.65</v>
      </c>
      <c r="M9" s="39" t="n">
        <v>42.4</v>
      </c>
      <c r="N9" s="39" t="n">
        <v>24.35</v>
      </c>
      <c r="AJ9" s="3"/>
      <c r="AK9" s="3"/>
      <c r="AL9" s="3"/>
      <c r="AM9" s="3"/>
      <c r="AZ9" s="3"/>
      <c r="BA9" s="3"/>
      <c r="BB9" s="3"/>
      <c r="BC9" s="3"/>
      <c r="BD9" s="3"/>
      <c r="BE9" s="3"/>
      <c r="BF9" s="3"/>
      <c r="BG9" s="3"/>
      <c r="BH9" s="3"/>
      <c r="BI9" s="3"/>
      <c r="BJ9" s="3"/>
      <c r="BK9" s="3"/>
      <c r="BL9" s="3"/>
      <c r="BM9" s="3"/>
      <c r="BN9" s="3"/>
      <c r="BO9" s="3"/>
    </row>
    <row r="10" customFormat="false" ht="23.85" hidden="false" customHeight="false" outlineLevel="0" collapsed="false">
      <c r="A10" s="65" t="str">
        <f aca="false">_xlfn.CONCAT($A$1, ".", CALC!A10)</f>
        <v>LSD.RID.0.AL.WRAVG.6</v>
      </c>
      <c r="B10" s="68" t="str">
        <f aca="false">CALC!C10</f>
        <v>Manufacturing (Wood,
Paper, Printing, etc.)</v>
      </c>
      <c r="C10" s="39" t="n">
        <v>15</v>
      </c>
      <c r="D10" s="39" t="n">
        <v>48</v>
      </c>
      <c r="E10" s="39" t="n">
        <v>26.5</v>
      </c>
      <c r="F10" s="39" t="n">
        <v>15.75</v>
      </c>
      <c r="G10" s="39" t="n">
        <v>50.88</v>
      </c>
      <c r="H10" s="39" t="n">
        <v>27.83</v>
      </c>
      <c r="I10" s="39" t="n">
        <v>10.5</v>
      </c>
      <c r="J10" s="39" t="n">
        <v>38.4</v>
      </c>
      <c r="K10" s="39" t="n">
        <v>21.2</v>
      </c>
      <c r="L10" s="39" t="n">
        <v>15.15</v>
      </c>
      <c r="M10" s="39" t="n">
        <v>48.5</v>
      </c>
      <c r="N10" s="39" t="n">
        <v>26.78</v>
      </c>
      <c r="AJ10" s="3"/>
      <c r="AK10" s="3"/>
      <c r="AL10" s="3"/>
      <c r="AM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65" t="str">
        <f aca="false">_xlfn.CONCAT($A$1, ".", CALC!A11)</f>
        <v>LSD.RID.0.AL.WRAVG.7</v>
      </c>
      <c r="B11" s="68" t="str">
        <f aca="false">CALC!C11</f>
        <v>Manufacturing
(Machinery, Transport)</v>
      </c>
      <c r="C11" s="39" t="n">
        <v>18</v>
      </c>
      <c r="D11" s="39" t="n">
        <v>58</v>
      </c>
      <c r="E11" s="39" t="n">
        <v>32.9</v>
      </c>
      <c r="F11" s="39" t="n">
        <v>18.9</v>
      </c>
      <c r="G11" s="39" t="n">
        <v>61.48</v>
      </c>
      <c r="H11" s="39" t="n">
        <v>34.55</v>
      </c>
      <c r="I11" s="39" t="n">
        <v>12.6</v>
      </c>
      <c r="J11" s="39" t="n">
        <v>46.4</v>
      </c>
      <c r="K11" s="39" t="n">
        <v>26.32</v>
      </c>
      <c r="L11" s="39" t="n">
        <v>18.2</v>
      </c>
      <c r="M11" s="39" t="n">
        <v>58.6</v>
      </c>
      <c r="N11" s="39" t="n">
        <v>33.23</v>
      </c>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65" t="str">
        <f aca="false">_xlfn.CONCAT($A$1, ".", CALC!A12)</f>
        <v>LSD.RID.0.AL.WRAVG.8</v>
      </c>
      <c r="B12" s="42" t="str">
        <f aca="false">CALC!C12</f>
        <v>Wholesale Trade</v>
      </c>
      <c r="C12" s="39" t="n">
        <v>16.8</v>
      </c>
      <c r="D12" s="39" t="n">
        <v>55</v>
      </c>
      <c r="E12" s="39" t="n">
        <v>30.2</v>
      </c>
      <c r="F12" s="39" t="n">
        <v>17.64</v>
      </c>
      <c r="G12" s="39" t="n">
        <v>58.3</v>
      </c>
      <c r="H12" s="39" t="n">
        <v>31.71</v>
      </c>
      <c r="I12" s="39" t="n">
        <v>11.76</v>
      </c>
      <c r="J12" s="39" t="n">
        <v>44</v>
      </c>
      <c r="K12" s="39" t="n">
        <v>24.16</v>
      </c>
      <c r="L12" s="39" t="n">
        <v>17</v>
      </c>
      <c r="M12" s="39" t="n">
        <v>55.6</v>
      </c>
      <c r="N12" s="39" t="n">
        <v>30.5</v>
      </c>
      <c r="AJ12" s="3"/>
      <c r="AK12" s="3"/>
      <c r="AL12" s="3"/>
      <c r="AM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65" t="str">
        <f aca="false">_xlfn.CONCAT($A$1, ".", CALC!A13)</f>
        <v>LSD.RID.0.AL.WRAVG.9</v>
      </c>
      <c r="B13" s="68" t="str">
        <f aca="false">CALC!C13</f>
        <v>Retail Trade (Motor
Vehicle, Electronics)</v>
      </c>
      <c r="C13" s="39" t="n">
        <v>15.2</v>
      </c>
      <c r="D13" s="39" t="n">
        <v>50</v>
      </c>
      <c r="E13" s="39" t="n">
        <v>28.1</v>
      </c>
      <c r="F13" s="39" t="n">
        <v>15.96</v>
      </c>
      <c r="G13" s="39" t="n">
        <v>53</v>
      </c>
      <c r="H13" s="39" t="n">
        <v>29.51</v>
      </c>
      <c r="I13" s="39" t="n">
        <v>10.64</v>
      </c>
      <c r="J13" s="39" t="n">
        <v>40</v>
      </c>
      <c r="K13" s="39" t="n">
        <v>22.48</v>
      </c>
      <c r="L13" s="39" t="n">
        <v>15.35</v>
      </c>
      <c r="M13" s="39" t="n">
        <v>50.5</v>
      </c>
      <c r="N13" s="39" t="n">
        <v>28.35</v>
      </c>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65" t="str">
        <f aca="false">_xlfn.CONCAT($A$1, ".", CALC!A14)</f>
        <v>LSD.RID.0.AL.WRAVG.10</v>
      </c>
      <c r="B14" s="68" t="str">
        <f aca="false">CALC!C14</f>
        <v>Retail Trade (Food, Clothing,
General Merchandise, etc.)</v>
      </c>
      <c r="C14" s="39" t="n">
        <v>11.5</v>
      </c>
      <c r="D14" s="39" t="n">
        <v>38</v>
      </c>
      <c r="E14" s="39" t="n">
        <v>20.8</v>
      </c>
      <c r="F14" s="39" t="n">
        <v>12.08</v>
      </c>
      <c r="G14" s="39" t="n">
        <v>40.28</v>
      </c>
      <c r="H14" s="39" t="n">
        <v>21.84</v>
      </c>
      <c r="I14" s="39" t="n">
        <v>8.05</v>
      </c>
      <c r="J14" s="39" t="n">
        <v>30.4</v>
      </c>
      <c r="K14" s="39" t="n">
        <v>16.64</v>
      </c>
      <c r="L14" s="39" t="n">
        <v>11.62</v>
      </c>
      <c r="M14" s="39" t="n">
        <v>38.4</v>
      </c>
      <c r="N14" s="39" t="n">
        <v>21</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65" t="str">
        <f aca="false">_xlfn.CONCAT($A$1, ".", CALC!A15)</f>
        <v>LSD.RID.0.AL.WRAVG.11</v>
      </c>
      <c r="B15" s="42" t="str">
        <f aca="false">CALC!C15</f>
        <v>Transportation</v>
      </c>
      <c r="C15" s="39" t="n">
        <v>17</v>
      </c>
      <c r="D15" s="39" t="n">
        <v>58</v>
      </c>
      <c r="E15" s="39" t="n">
        <v>31.7</v>
      </c>
      <c r="F15" s="39" t="n">
        <v>17.85</v>
      </c>
      <c r="G15" s="39" t="n">
        <v>61.48</v>
      </c>
      <c r="H15" s="39" t="n">
        <v>33.29</v>
      </c>
      <c r="I15" s="39" t="n">
        <v>11.9</v>
      </c>
      <c r="J15" s="39" t="n">
        <v>46.4</v>
      </c>
      <c r="K15" s="39" t="n">
        <v>25.36</v>
      </c>
      <c r="L15" s="39" t="n">
        <v>17.2</v>
      </c>
      <c r="M15" s="39" t="n">
        <v>58.6</v>
      </c>
      <c r="N15" s="39" t="n">
        <v>32.02</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65" t="str">
        <f aca="false">_xlfn.CONCAT($A$1, ".", CALC!A16)</f>
        <v>LSD.RID.0.AL.WRAVG.12</v>
      </c>
      <c r="B16" s="42" t="str">
        <f aca="false">CALC!C16</f>
        <v>Warehousing and Storage</v>
      </c>
      <c r="C16" s="39" t="n">
        <v>14</v>
      </c>
      <c r="D16" s="39" t="n">
        <v>45</v>
      </c>
      <c r="E16" s="39" t="n">
        <v>25.9</v>
      </c>
      <c r="F16" s="39" t="n">
        <v>14.7</v>
      </c>
      <c r="G16" s="39" t="n">
        <v>47.7</v>
      </c>
      <c r="H16" s="39" t="n">
        <v>27.2</v>
      </c>
      <c r="I16" s="39" t="n">
        <v>9.8</v>
      </c>
      <c r="J16" s="39" t="n">
        <v>36</v>
      </c>
      <c r="K16" s="39" t="n">
        <v>20.72</v>
      </c>
      <c r="L16" s="39" t="n">
        <v>14.14</v>
      </c>
      <c r="M16" s="39" t="n">
        <v>45.5</v>
      </c>
      <c r="N16" s="39" t="n">
        <v>26.15</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65" t="str">
        <f aca="false">_xlfn.CONCAT($A$1, ".", CALC!A17)</f>
        <v>LSD.RID.0.AL.WRAVG.13</v>
      </c>
      <c r="B17" s="42" t="str">
        <f aca="false">CALC!C17</f>
        <v>Information</v>
      </c>
      <c r="C17" s="39" t="n">
        <v>20</v>
      </c>
      <c r="D17" s="39" t="n">
        <v>70</v>
      </c>
      <c r="E17" s="39" t="n">
        <v>38.5</v>
      </c>
      <c r="F17" s="39" t="n">
        <v>21</v>
      </c>
      <c r="G17" s="39" t="n">
        <v>74.2</v>
      </c>
      <c r="H17" s="39" t="n">
        <v>40.43</v>
      </c>
      <c r="I17" s="39" t="n">
        <v>14</v>
      </c>
      <c r="J17" s="39" t="n">
        <v>56</v>
      </c>
      <c r="K17" s="39" t="n">
        <v>32.73</v>
      </c>
      <c r="L17" s="39" t="n">
        <v>20.2</v>
      </c>
      <c r="M17" s="39" t="n">
        <v>70.7</v>
      </c>
      <c r="N17" s="39" t="n">
        <v>38.88</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65" t="str">
        <f aca="false">_xlfn.CONCAT($A$1, ".", CALC!A18)</f>
        <v>LSD.RID.0.AL.WRAVG.14</v>
      </c>
      <c r="B18" s="42" t="str">
        <f aca="false">CALC!C18</f>
        <v>Finance and Insurance</v>
      </c>
      <c r="C18" s="39" t="n">
        <v>22</v>
      </c>
      <c r="D18" s="39" t="n">
        <v>75</v>
      </c>
      <c r="E18" s="39" t="n">
        <v>40.1</v>
      </c>
      <c r="F18" s="39" t="n">
        <v>23.1</v>
      </c>
      <c r="G18" s="39" t="n">
        <v>79.5</v>
      </c>
      <c r="H18" s="39" t="n">
        <v>42.11</v>
      </c>
      <c r="I18" s="39" t="n">
        <v>15.4</v>
      </c>
      <c r="J18" s="39" t="n">
        <v>60</v>
      </c>
      <c r="K18" s="39" t="n">
        <v>34.09</v>
      </c>
      <c r="L18" s="39" t="n">
        <v>22.2</v>
      </c>
      <c r="M18" s="39" t="n">
        <v>75.8</v>
      </c>
      <c r="N18" s="39" t="n">
        <v>40.5</v>
      </c>
      <c r="AJ18" s="3"/>
      <c r="AK18" s="3"/>
      <c r="AL18" s="3"/>
      <c r="AM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65" t="str">
        <f aca="false">_xlfn.CONCAT($A$1, ".", CALC!A19)</f>
        <v>LSD.RID.0.AL.WRAVG.15</v>
      </c>
      <c r="B19" s="68" t="str">
        <f aca="false">CALC!C19</f>
        <v>Real Estate and
Rental and Leasing</v>
      </c>
      <c r="C19" s="39" t="n">
        <v>17.5</v>
      </c>
      <c r="D19" s="39" t="n">
        <v>60</v>
      </c>
      <c r="E19" s="39" t="n">
        <v>32.4</v>
      </c>
      <c r="F19" s="39" t="n">
        <v>18.38</v>
      </c>
      <c r="G19" s="39" t="n">
        <v>63.6</v>
      </c>
      <c r="H19" s="39" t="n">
        <v>34.02</v>
      </c>
      <c r="I19" s="39" t="n">
        <v>12.25</v>
      </c>
      <c r="J19" s="39" t="n">
        <v>48</v>
      </c>
      <c r="K19" s="39" t="n">
        <v>27.54</v>
      </c>
      <c r="L19" s="39" t="n">
        <v>17.7</v>
      </c>
      <c r="M19" s="39" t="n">
        <v>60.6</v>
      </c>
      <c r="N19" s="39" t="n">
        <v>32.73</v>
      </c>
      <c r="AJ19" s="3"/>
      <c r="AK19" s="3"/>
      <c r="AL19" s="3"/>
      <c r="AM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65" t="str">
        <f aca="false">_xlfn.CONCAT($A$1, ".", CALC!A20)</f>
        <v>LSD.RID.0.AL.WRAVG.16</v>
      </c>
      <c r="B20" s="68" t="str">
        <f aca="false">CALC!C20</f>
        <v>Professional, Scientific,
and Technical Services</v>
      </c>
      <c r="C20" s="39" t="n">
        <v>25</v>
      </c>
      <c r="D20" s="39" t="n">
        <v>90</v>
      </c>
      <c r="E20" s="39" t="n">
        <v>45.8</v>
      </c>
      <c r="F20" s="39" t="n">
        <v>26.25</v>
      </c>
      <c r="G20" s="39" t="n">
        <v>95.4</v>
      </c>
      <c r="H20" s="39" t="n">
        <v>48.09</v>
      </c>
      <c r="I20" s="39" t="n">
        <v>17.5</v>
      </c>
      <c r="J20" s="39" t="n">
        <v>72</v>
      </c>
      <c r="K20" s="39" t="n">
        <v>38.93</v>
      </c>
      <c r="L20" s="39" t="n">
        <v>25.3</v>
      </c>
      <c r="M20" s="39" t="n">
        <v>90.9</v>
      </c>
      <c r="N20" s="39" t="n">
        <v>46.26</v>
      </c>
      <c r="AJ20" s="3"/>
      <c r="AK20" s="3"/>
      <c r="AL20" s="3"/>
      <c r="AM20" s="3"/>
      <c r="AZ20" s="3"/>
      <c r="BA20" s="3"/>
      <c r="BB20" s="3"/>
      <c r="BC20" s="3"/>
      <c r="BD20" s="3"/>
      <c r="BE20" s="3"/>
      <c r="BF20" s="3"/>
      <c r="BG20" s="3"/>
      <c r="BH20" s="3"/>
      <c r="BI20" s="3"/>
      <c r="BJ20" s="3"/>
      <c r="BK20" s="3"/>
      <c r="BL20" s="3"/>
      <c r="BM20" s="3"/>
      <c r="BN20" s="3"/>
      <c r="BO20" s="3"/>
    </row>
    <row r="21" customFormat="false" ht="34.4" hidden="false" customHeight="false" outlineLevel="0" collapsed="false">
      <c r="A21" s="65" t="str">
        <f aca="false">_xlfn.CONCAT($A$1, ".", CALC!A21)</f>
        <v>LSD.RID.0.AL.WRAVG.17</v>
      </c>
      <c r="B21" s="68" t="str">
        <f aca="false">CALC!C21</f>
        <v>Administrative and Support
and Waste Management
and Remediation Services</v>
      </c>
      <c r="C21" s="39" t="n">
        <v>12</v>
      </c>
      <c r="D21" s="39" t="n">
        <v>40</v>
      </c>
      <c r="E21" s="39" t="n">
        <v>22.3</v>
      </c>
      <c r="F21" s="39" t="n">
        <v>12.6</v>
      </c>
      <c r="G21" s="39" t="n">
        <v>42.4</v>
      </c>
      <c r="H21" s="39" t="n">
        <v>23.42</v>
      </c>
      <c r="I21" s="39" t="n">
        <v>8.4</v>
      </c>
      <c r="J21" s="39" t="n">
        <v>32</v>
      </c>
      <c r="K21" s="39" t="n">
        <v>17.84</v>
      </c>
      <c r="L21" s="39" t="n">
        <v>12.12</v>
      </c>
      <c r="M21" s="39" t="n">
        <v>40.4</v>
      </c>
      <c r="N21" s="39" t="n">
        <v>22.55</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65" t="str">
        <f aca="false">_xlfn.CONCAT($A$1, ".", CALC!A22)</f>
        <v>LSD.RID.0.AL.WRAVG.18</v>
      </c>
      <c r="B22" s="42" t="str">
        <f aca="false">CALC!C22</f>
        <v>Educational Services</v>
      </c>
      <c r="C22" s="39" t="n">
        <v>18.5</v>
      </c>
      <c r="D22" s="39" t="n">
        <v>62</v>
      </c>
      <c r="E22" s="39" t="n">
        <v>34.2</v>
      </c>
      <c r="F22" s="39" t="n">
        <v>19.43</v>
      </c>
      <c r="G22" s="39" t="n">
        <v>65.72</v>
      </c>
      <c r="H22" s="39" t="n">
        <v>35.91</v>
      </c>
      <c r="I22" s="39" t="n">
        <v>12.95</v>
      </c>
      <c r="J22" s="39" t="n">
        <v>49.6</v>
      </c>
      <c r="K22" s="39" t="n">
        <v>29.07</v>
      </c>
      <c r="L22" s="39" t="n">
        <v>18.7</v>
      </c>
      <c r="M22" s="39" t="n">
        <v>62.6</v>
      </c>
      <c r="N22" s="39" t="n">
        <v>34.55</v>
      </c>
      <c r="AJ22" s="3"/>
      <c r="AK22" s="3"/>
      <c r="AL22" s="3"/>
      <c r="AM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65" t="str">
        <f aca="false">_xlfn.CONCAT($A$1, ".", CALC!A23)</f>
        <v>LSD.RID.0.AL.WRAVG.19</v>
      </c>
      <c r="B23" s="68" t="str">
        <f aca="false">CALC!C23</f>
        <v>Health Care and
Social Assistance</v>
      </c>
      <c r="C23" s="39" t="n">
        <v>20</v>
      </c>
      <c r="D23" s="39" t="n">
        <v>68</v>
      </c>
      <c r="E23" s="39" t="n">
        <v>36.7</v>
      </c>
      <c r="F23" s="39" t="n">
        <v>21</v>
      </c>
      <c r="G23" s="39" t="n">
        <v>72.08</v>
      </c>
      <c r="H23" s="39" t="n">
        <v>38.54</v>
      </c>
      <c r="I23" s="39" t="n">
        <v>14</v>
      </c>
      <c r="J23" s="39" t="n">
        <v>54.4</v>
      </c>
      <c r="K23" s="39" t="n">
        <v>31.2</v>
      </c>
      <c r="L23" s="39" t="n">
        <v>20.2</v>
      </c>
      <c r="M23" s="39" t="n">
        <v>68.7</v>
      </c>
      <c r="N23" s="39" t="n">
        <v>37.07</v>
      </c>
      <c r="AJ23" s="3"/>
      <c r="AK23" s="3"/>
      <c r="AL23" s="3"/>
      <c r="AM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65" t="str">
        <f aca="false">_xlfn.CONCAT($A$1, ".", CALC!A24)</f>
        <v>LSD.RID.0.AL.WRAVG.20</v>
      </c>
      <c r="B24" s="68" t="str">
        <f aca="false">CALC!C24</f>
        <v>Arts, Entertainment,
and Recreation</v>
      </c>
      <c r="C24" s="39" t="n">
        <v>13</v>
      </c>
      <c r="D24" s="39" t="n">
        <v>42</v>
      </c>
      <c r="E24" s="39" t="n">
        <v>24.5</v>
      </c>
      <c r="F24" s="39" t="n">
        <v>13.65</v>
      </c>
      <c r="G24" s="39" t="n">
        <v>44.52</v>
      </c>
      <c r="H24" s="39" t="n">
        <v>25.73</v>
      </c>
      <c r="I24" s="39" t="n">
        <v>9.1</v>
      </c>
      <c r="J24" s="39" t="n">
        <v>33.6</v>
      </c>
      <c r="K24" s="39" t="n">
        <v>19.6</v>
      </c>
      <c r="L24" s="39" t="n">
        <v>13.13</v>
      </c>
      <c r="M24" s="39" t="n">
        <v>42.4</v>
      </c>
      <c r="N24" s="39" t="n">
        <v>24.75</v>
      </c>
      <c r="AJ24" s="3"/>
      <c r="AK24" s="3"/>
      <c r="AL24" s="3"/>
      <c r="AM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65" t="str">
        <f aca="false">_xlfn.CONCAT($A$1, ".", CALC!A25)</f>
        <v>LSD.RID.0.AL.WRAVG.21</v>
      </c>
      <c r="B25" s="68" t="str">
        <f aca="false">CALC!C25</f>
        <v>Accommodation
and Food Services</v>
      </c>
      <c r="C25" s="39" t="n">
        <v>9.5</v>
      </c>
      <c r="D25" s="39" t="n">
        <v>32</v>
      </c>
      <c r="E25" s="39" t="n">
        <v>16.8</v>
      </c>
      <c r="F25" s="39" t="n">
        <v>9.98</v>
      </c>
      <c r="G25" s="39" t="n">
        <v>33.92</v>
      </c>
      <c r="H25" s="39" t="n">
        <v>17.64</v>
      </c>
      <c r="I25" s="39" t="n">
        <v>6.65</v>
      </c>
      <c r="J25" s="39" t="n">
        <v>25.6</v>
      </c>
      <c r="K25" s="39" t="n">
        <v>13.44</v>
      </c>
      <c r="L25" s="39" t="n">
        <v>9.6</v>
      </c>
      <c r="M25" s="39" t="n">
        <v>32.3</v>
      </c>
      <c r="N25" s="39" t="n">
        <v>17</v>
      </c>
      <c r="AJ25" s="3"/>
      <c r="AK25" s="3"/>
      <c r="AL25" s="3"/>
      <c r="AM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65" t="str">
        <f aca="false">_xlfn.CONCAT($A$1, ".", CALC!A26)</f>
        <v>LSD.RID.0.AL.WRAVG.22</v>
      </c>
      <c r="B26" s="68" t="str">
        <f aca="false">CALC!C26</f>
        <v>Other Services (except
Public Administration)</v>
      </c>
      <c r="C26" s="39" t="n">
        <v>14</v>
      </c>
      <c r="D26" s="39" t="n">
        <v>48</v>
      </c>
      <c r="E26" s="39" t="n">
        <v>26.1</v>
      </c>
      <c r="F26" s="39" t="n">
        <v>14.7</v>
      </c>
      <c r="G26" s="39" t="n">
        <v>50.88</v>
      </c>
      <c r="H26" s="39" t="n">
        <v>27.41</v>
      </c>
      <c r="I26" s="39" t="n">
        <v>9.8</v>
      </c>
      <c r="J26" s="39" t="n">
        <v>38.4</v>
      </c>
      <c r="K26" s="39" t="n">
        <v>20.88</v>
      </c>
      <c r="L26" s="39" t="n">
        <v>14.14</v>
      </c>
      <c r="M26" s="39" t="n">
        <v>48.5</v>
      </c>
      <c r="N26" s="39" t="n">
        <v>26.35</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65" t="str">
        <f aca="false">_xlfn.CONCAT($A$1, ".", CALC!A27)</f>
        <v>LSD.RID.0.AL.WRAVG.23</v>
      </c>
      <c r="B27" s="42" t="str">
        <f aca="false">CALC!C27</f>
        <v>Public Administration</v>
      </c>
      <c r="C27" s="39" t="n">
        <v>22</v>
      </c>
      <c r="D27" s="39" t="n">
        <v>72</v>
      </c>
      <c r="E27" s="39" t="n">
        <v>38.9</v>
      </c>
      <c r="F27" s="39" t="n">
        <v>23.1</v>
      </c>
      <c r="G27" s="39" t="n">
        <v>76.32</v>
      </c>
      <c r="H27" s="39" t="n">
        <v>40.85</v>
      </c>
      <c r="I27" s="39" t="n">
        <v>15.4</v>
      </c>
      <c r="J27" s="39" t="n">
        <v>57.6</v>
      </c>
      <c r="K27" s="39" t="n">
        <v>33.07</v>
      </c>
      <c r="L27" s="39" t="n">
        <v>22.2</v>
      </c>
      <c r="M27" s="39" t="n">
        <v>72.7</v>
      </c>
      <c r="N27" s="39" t="n">
        <v>39.29</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65"/>
      <c r="B28" s="4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65"/>
      <c r="B29" s="42"/>
      <c r="AJ29" s="3"/>
      <c r="AK29" s="3"/>
      <c r="AL29" s="3"/>
      <c r="AM29" s="3"/>
      <c r="AZ29" s="3"/>
      <c r="BA29" s="3"/>
      <c r="BB29" s="3"/>
      <c r="BC29" s="3"/>
      <c r="BD29" s="3"/>
      <c r="BE29" s="3"/>
      <c r="BF29" s="3"/>
      <c r="BG29" s="3"/>
      <c r="BH29" s="3"/>
      <c r="BI29" s="3"/>
      <c r="BJ29" s="3"/>
      <c r="BK29" s="3"/>
      <c r="BL29" s="3"/>
      <c r="BM29" s="3"/>
      <c r="BN29" s="3"/>
      <c r="BO29" s="3"/>
    </row>
    <row r="30" customFormat="false" ht="12.8" hidden="false" customHeight="false" outlineLevel="0" collapsed="false">
      <c r="A30" s="65"/>
      <c r="B30" s="42"/>
      <c r="AJ30" s="3"/>
      <c r="AK30" s="3"/>
      <c r="AL30" s="3"/>
      <c r="AM30" s="3"/>
      <c r="AZ30" s="3"/>
      <c r="BA30" s="3"/>
      <c r="BB30" s="3"/>
      <c r="BC30" s="3"/>
      <c r="BD30" s="3"/>
      <c r="BE30" s="3"/>
      <c r="BF30" s="3"/>
      <c r="BG30" s="3"/>
      <c r="BH30" s="3"/>
      <c r="BI30" s="3"/>
      <c r="BJ30" s="3"/>
      <c r="BK30" s="3"/>
      <c r="BL30" s="3"/>
      <c r="BM30" s="3"/>
      <c r="BN30" s="3"/>
      <c r="BO30" s="3"/>
    </row>
    <row r="31" customFormat="false" ht="12.8" hidden="false" customHeight="false" outlineLevel="0" collapsed="false">
      <c r="A31" s="65"/>
      <c r="B31" s="42"/>
      <c r="AJ31" s="3"/>
      <c r="AK31" s="3"/>
      <c r="AL31" s="3"/>
      <c r="AM31" s="3"/>
      <c r="AZ31" s="3"/>
      <c r="BA31" s="3"/>
      <c r="BB31" s="3"/>
      <c r="BC31" s="3"/>
      <c r="BD31" s="3"/>
      <c r="BE31" s="3"/>
      <c r="BF31" s="3"/>
      <c r="BG31" s="3"/>
      <c r="BH31" s="3"/>
      <c r="BI31" s="3"/>
      <c r="BJ31" s="3"/>
      <c r="BK31" s="3"/>
      <c r="BL31" s="3"/>
      <c r="BM31" s="3"/>
      <c r="BN31" s="3"/>
      <c r="BO31" s="3"/>
    </row>
    <row r="32" customFormat="false" ht="12.8" hidden="false" customHeight="false" outlineLevel="0" collapsed="false">
      <c r="A32" s="65"/>
      <c r="B32" s="42"/>
      <c r="AJ32" s="3"/>
      <c r="AK32" s="3"/>
      <c r="AL32" s="3"/>
      <c r="AM32" s="3"/>
      <c r="AZ32" s="3"/>
      <c r="BA32" s="3"/>
      <c r="BB32" s="3"/>
      <c r="BC32" s="3"/>
      <c r="BD32" s="3"/>
      <c r="BE32" s="3"/>
      <c r="BF32" s="3"/>
      <c r="BG32" s="3"/>
      <c r="BH32" s="3"/>
      <c r="BI32" s="3"/>
      <c r="BJ32" s="3"/>
      <c r="BK32" s="3"/>
      <c r="BL32" s="3"/>
      <c r="BM32" s="3"/>
      <c r="BN32" s="3"/>
      <c r="BO32" s="3"/>
    </row>
    <row r="33" customFormat="false" ht="12.8" hidden="false" customHeight="false" outlineLevel="0" collapsed="false">
      <c r="A33" s="65"/>
      <c r="B33" s="42"/>
      <c r="AJ33" s="3"/>
      <c r="AK33" s="3"/>
      <c r="AL33" s="3"/>
      <c r="AM33" s="3"/>
      <c r="AZ33" s="3"/>
      <c r="BA33" s="3"/>
      <c r="BB33" s="3"/>
      <c r="BC33" s="3"/>
      <c r="BD33" s="3"/>
      <c r="BE33" s="3"/>
      <c r="BF33" s="3"/>
      <c r="BG33" s="3"/>
      <c r="BH33" s="3"/>
      <c r="BI33" s="3"/>
      <c r="BJ33" s="3"/>
      <c r="BK33" s="3"/>
      <c r="BL33" s="3"/>
      <c r="BM33" s="3"/>
      <c r="BN33" s="3"/>
      <c r="BO33" s="3"/>
    </row>
    <row r="90" customFormat="false" ht="12.8" hidden="false" customHeight="false" outlineLevel="0" collapsed="false">
      <c r="A90" s="65" t="s">
        <v>2567</v>
      </c>
      <c r="B90" s="66" t="s">
        <v>2568</v>
      </c>
      <c r="C90" s="66"/>
    </row>
    <row r="91" customFormat="false" ht="12.8" hidden="false" customHeight="false" outlineLevel="0" collapsed="false">
      <c r="A91" s="49" t="s">
        <v>1842</v>
      </c>
      <c r="B91" s="49" t="s">
        <v>183</v>
      </c>
      <c r="C91" s="49" t="s">
        <v>184</v>
      </c>
      <c r="D91" s="49" t="s">
        <v>1843</v>
      </c>
      <c r="E91" s="49" t="s">
        <v>186</v>
      </c>
      <c r="F91" s="49" t="s">
        <v>187</v>
      </c>
    </row>
    <row r="92" customFormat="false" ht="12.8" hidden="false" customHeight="false" outlineLevel="0" collapsed="false">
      <c r="A92" s="49" t="s">
        <v>2569</v>
      </c>
      <c r="B92" s="49" t="s">
        <v>556</v>
      </c>
      <c r="C92" s="49" t="s">
        <v>2570</v>
      </c>
      <c r="D92" s="49" t="s">
        <v>2571</v>
      </c>
      <c r="E92" s="49" t="s">
        <v>2572</v>
      </c>
      <c r="F92" s="49" t="s">
        <v>302</v>
      </c>
    </row>
    <row r="93" customFormat="false" ht="12.8" hidden="false" customHeight="false" outlineLevel="0" collapsed="false">
      <c r="A93" s="49" t="s">
        <v>2573</v>
      </c>
      <c r="B93" s="49" t="s">
        <v>556</v>
      </c>
      <c r="C93" s="49" t="s">
        <v>1850</v>
      </c>
      <c r="D93" s="49" t="s">
        <v>2574</v>
      </c>
      <c r="E93" s="49" t="s">
        <v>2575</v>
      </c>
      <c r="F93" s="49" t="s">
        <v>302</v>
      </c>
    </row>
    <row r="94" customFormat="false" ht="12.8" hidden="false" customHeight="false" outlineLevel="0" collapsed="false">
      <c r="A94" s="49" t="s">
        <v>2576</v>
      </c>
      <c r="B94" s="49" t="s">
        <v>556</v>
      </c>
      <c r="C94" s="49" t="s">
        <v>1853</v>
      </c>
      <c r="D94" s="49" t="s">
        <v>2577</v>
      </c>
      <c r="E94" s="49" t="s">
        <v>2578</v>
      </c>
      <c r="F94" s="49" t="s">
        <v>302</v>
      </c>
    </row>
    <row r="95" customFormat="false" ht="12.8" hidden="false" customHeight="false" outlineLevel="0" collapsed="false">
      <c r="A95" s="49" t="s">
        <v>2579</v>
      </c>
      <c r="B95" s="49" t="s">
        <v>556</v>
      </c>
      <c r="C95" s="49" t="s">
        <v>2580</v>
      </c>
      <c r="D95" s="49" t="s">
        <v>2581</v>
      </c>
      <c r="E95" s="49" t="s">
        <v>306</v>
      </c>
      <c r="F95" s="49" t="s">
        <v>302</v>
      </c>
    </row>
    <row r="96" customFormat="false" ht="12.8" hidden="false" customHeight="false" outlineLevel="0" collapsed="false">
      <c r="A96" s="49"/>
      <c r="B96" s="49"/>
      <c r="C96" s="49"/>
      <c r="D96" s="49"/>
      <c r="E96" s="49"/>
      <c r="F96" s="49"/>
    </row>
    <row r="97" customFormat="false" ht="12.8" hidden="false" customHeight="false" outlineLevel="0" collapsed="false">
      <c r="A97" s="65" t="s">
        <v>2582</v>
      </c>
      <c r="B97" s="66" t="s">
        <v>2583</v>
      </c>
      <c r="C97" s="66"/>
    </row>
    <row r="98" customFormat="false" ht="12.8" hidden="false" customHeight="false" outlineLevel="0" collapsed="false">
      <c r="A98" s="49" t="s">
        <v>683</v>
      </c>
      <c r="B98" s="49" t="s">
        <v>184</v>
      </c>
      <c r="C98" s="49" t="s">
        <v>684</v>
      </c>
      <c r="D98" s="49" t="s">
        <v>186</v>
      </c>
      <c r="E98" s="49" t="s">
        <v>678</v>
      </c>
      <c r="F98" s="49" t="s">
        <v>679</v>
      </c>
      <c r="G98" s="49" t="s">
        <v>680</v>
      </c>
      <c r="H98" s="49" t="s">
        <v>187</v>
      </c>
    </row>
    <row r="99" customFormat="false" ht="12.8" hidden="false" customHeight="false" outlineLevel="0" collapsed="false">
      <c r="A99" s="49" t="s">
        <v>2584</v>
      </c>
      <c r="B99" s="49" t="s">
        <v>2585</v>
      </c>
      <c r="C99" s="49" t="n">
        <v>15</v>
      </c>
      <c r="D99" s="49" t="s">
        <v>2586</v>
      </c>
      <c r="E99" s="49" t="s">
        <v>689</v>
      </c>
      <c r="F99" s="49" t="s">
        <v>2587</v>
      </c>
      <c r="G99" s="70" t="s">
        <v>691</v>
      </c>
      <c r="H99" s="49" t="s">
        <v>302</v>
      </c>
    </row>
    <row r="100" customFormat="false" ht="12.8" hidden="false" customHeight="false" outlineLevel="0" collapsed="false">
      <c r="A100" s="49" t="s">
        <v>2588</v>
      </c>
      <c r="B100" s="49" t="s">
        <v>2589</v>
      </c>
      <c r="C100" s="49" t="n">
        <v>55</v>
      </c>
      <c r="D100" s="49" t="s">
        <v>2590</v>
      </c>
      <c r="E100" s="49" t="s">
        <v>689</v>
      </c>
      <c r="F100" s="49" t="s">
        <v>2587</v>
      </c>
      <c r="G100" s="70" t="s">
        <v>691</v>
      </c>
      <c r="H100" s="49" t="s">
        <v>302</v>
      </c>
    </row>
    <row r="101" customFormat="false" ht="12.8" hidden="false" customHeight="false" outlineLevel="0" collapsed="false">
      <c r="A101" s="49" t="s">
        <v>2591</v>
      </c>
      <c r="B101" s="49" t="s">
        <v>2592</v>
      </c>
      <c r="C101" s="49" t="s">
        <v>2593</v>
      </c>
      <c r="D101" s="49" t="s">
        <v>2594</v>
      </c>
      <c r="E101" s="49" t="s">
        <v>689</v>
      </c>
      <c r="F101" s="49" t="s">
        <v>2595</v>
      </c>
      <c r="G101" s="70" t="s">
        <v>691</v>
      </c>
      <c r="H101" s="49" t="s">
        <v>989</v>
      </c>
    </row>
    <row r="102" customFormat="false" ht="12.8" hidden="false" customHeight="false" outlineLevel="0" collapsed="false">
      <c r="A102" s="49" t="s">
        <v>2596</v>
      </c>
      <c r="B102" s="49" t="s">
        <v>2597</v>
      </c>
      <c r="C102" s="49" t="s">
        <v>2598</v>
      </c>
      <c r="D102" s="49" t="s">
        <v>2599</v>
      </c>
      <c r="E102" s="49" t="s">
        <v>689</v>
      </c>
      <c r="F102" s="49" t="s">
        <v>2595</v>
      </c>
      <c r="G102" s="70" t="s">
        <v>691</v>
      </c>
      <c r="H102" s="49" t="s">
        <v>989</v>
      </c>
    </row>
    <row r="103" customFormat="false" ht="12.8" hidden="false" customHeight="false" outlineLevel="0" collapsed="false">
      <c r="A103" s="49" t="s">
        <v>2600</v>
      </c>
      <c r="B103" s="49" t="s">
        <v>2601</v>
      </c>
      <c r="C103" s="49" t="s">
        <v>2602</v>
      </c>
      <c r="D103" s="49" t="s">
        <v>2603</v>
      </c>
      <c r="E103" s="49" t="s">
        <v>689</v>
      </c>
      <c r="F103" s="49" t="s">
        <v>2604</v>
      </c>
      <c r="G103" s="70" t="s">
        <v>691</v>
      </c>
      <c r="H103" s="49" t="s">
        <v>2605</v>
      </c>
    </row>
    <row r="104" customFormat="false" ht="12.8" hidden="false" customHeight="false" outlineLevel="0" collapsed="false">
      <c r="A104" s="49" t="s">
        <v>2606</v>
      </c>
      <c r="B104" s="49" t="s">
        <v>2607</v>
      </c>
      <c r="C104" s="49" t="s">
        <v>2510</v>
      </c>
      <c r="D104" s="49" t="s">
        <v>2608</v>
      </c>
      <c r="E104" s="49" t="s">
        <v>689</v>
      </c>
      <c r="F104" s="49" t="s">
        <v>2604</v>
      </c>
      <c r="G104" s="70" t="s">
        <v>691</v>
      </c>
      <c r="H104" s="49" t="s">
        <v>2605</v>
      </c>
    </row>
    <row r="105" customFormat="false" ht="12.8" hidden="false" customHeight="false" outlineLevel="0" collapsed="false">
      <c r="A105" s="49" t="s">
        <v>2609</v>
      </c>
      <c r="B105" s="49" t="s">
        <v>2610</v>
      </c>
      <c r="C105" s="49" t="s">
        <v>2611</v>
      </c>
      <c r="D105" s="49" t="s">
        <v>2612</v>
      </c>
      <c r="E105" s="49" t="s">
        <v>689</v>
      </c>
      <c r="F105" s="49" t="s">
        <v>2613</v>
      </c>
      <c r="G105" s="70" t="s">
        <v>691</v>
      </c>
      <c r="H105" s="49" t="s">
        <v>2605</v>
      </c>
    </row>
    <row r="106" customFormat="false" ht="12.8" hidden="false" customHeight="false" outlineLevel="0" collapsed="false">
      <c r="A106" s="49" t="s">
        <v>2614</v>
      </c>
      <c r="B106" s="49" t="s">
        <v>2615</v>
      </c>
      <c r="C106" s="49" t="s">
        <v>2616</v>
      </c>
      <c r="D106" s="49" t="s">
        <v>2617</v>
      </c>
      <c r="E106" s="49" t="s">
        <v>689</v>
      </c>
      <c r="F106" s="49" t="s">
        <v>2613</v>
      </c>
      <c r="G106" s="70" t="s">
        <v>691</v>
      </c>
      <c r="H106" s="49" t="s">
        <v>2605</v>
      </c>
    </row>
    <row r="107" customFormat="false" ht="12.8" hidden="false" customHeight="false" outlineLevel="0" collapsed="false">
      <c r="A107" s="49" t="s">
        <v>2618</v>
      </c>
      <c r="B107" s="49" t="s">
        <v>2619</v>
      </c>
      <c r="C107" s="49" t="s">
        <v>1292</v>
      </c>
      <c r="D107" s="49" t="s">
        <v>2620</v>
      </c>
      <c r="E107" s="49" t="s">
        <v>689</v>
      </c>
      <c r="F107" s="49" t="s">
        <v>2621</v>
      </c>
      <c r="G107" s="70" t="s">
        <v>691</v>
      </c>
      <c r="H107" s="49" t="s">
        <v>2622</v>
      </c>
    </row>
    <row r="108" customFormat="false" ht="12.8" hidden="false" customHeight="false" outlineLevel="0" collapsed="false">
      <c r="A108" s="49" t="s">
        <v>2623</v>
      </c>
      <c r="B108" s="49" t="s">
        <v>2624</v>
      </c>
      <c r="C108" s="49" t="n">
        <v>0.88</v>
      </c>
      <c r="D108" s="49" t="s">
        <v>2625</v>
      </c>
      <c r="E108" s="49" t="s">
        <v>689</v>
      </c>
      <c r="F108" s="49" t="s">
        <v>2626</v>
      </c>
      <c r="G108" s="70" t="s">
        <v>691</v>
      </c>
      <c r="H108" s="49" t="s">
        <v>302</v>
      </c>
    </row>
    <row r="109" customFormat="false" ht="12.8" hidden="false" customHeight="false" outlineLevel="0" collapsed="false">
      <c r="A109" s="50" t="s">
        <v>2627</v>
      </c>
      <c r="B109" s="39" t="s">
        <v>2628</v>
      </c>
      <c r="C109" s="39" t="n">
        <v>4</v>
      </c>
      <c r="D109" s="39" t="s">
        <v>1000</v>
      </c>
      <c r="E109" s="39" t="s">
        <v>689</v>
      </c>
      <c r="F109" s="39" t="s">
        <v>1256</v>
      </c>
      <c r="G109" s="51" t="s">
        <v>691</v>
      </c>
      <c r="H109" s="39" t="s">
        <v>302</v>
      </c>
    </row>
    <row r="110" customFormat="false" ht="12.8" hidden="false" customHeight="false" outlineLevel="0" collapsed="false">
      <c r="G110" s="51"/>
    </row>
    <row r="111" customFormat="false" ht="12.8" hidden="false" customHeight="false" outlineLevel="0" collapsed="false">
      <c r="A111" s="50" t="s">
        <v>2629</v>
      </c>
      <c r="B111" s="39" t="s">
        <v>2630</v>
      </c>
    </row>
    <row r="112" customFormat="false" ht="12.8" hidden="false" customHeight="false" outlineLevel="0" collapsed="false">
      <c r="A112" s="50" t="s">
        <v>113</v>
      </c>
      <c r="B112" s="39" t="s">
        <v>186</v>
      </c>
      <c r="C112" s="39" t="s">
        <v>677</v>
      </c>
      <c r="D112" s="39" t="s">
        <v>1875</v>
      </c>
      <c r="E112" s="39" t="s">
        <v>678</v>
      </c>
      <c r="F112" s="39" t="s">
        <v>1876</v>
      </c>
    </row>
    <row r="113" customFormat="false" ht="12.8" hidden="false" customHeight="false" outlineLevel="0" collapsed="false">
      <c r="A113" s="50" t="s">
        <v>2631</v>
      </c>
      <c r="B113" s="39" t="s">
        <v>2632</v>
      </c>
      <c r="C113" s="39" t="s">
        <v>2633</v>
      </c>
      <c r="D113" s="39" t="s">
        <v>2634</v>
      </c>
      <c r="E113" s="39" t="s">
        <v>689</v>
      </c>
      <c r="F113" s="39" t="s">
        <v>2635</v>
      </c>
    </row>
    <row r="114" customFormat="false" ht="12.8" hidden="false" customHeight="false" outlineLevel="0" collapsed="false">
      <c r="A114" s="50" t="s">
        <v>2636</v>
      </c>
      <c r="B114" s="39" t="s">
        <v>1881</v>
      </c>
      <c r="C114" s="39" t="s">
        <v>2637</v>
      </c>
      <c r="D114" s="39" t="s">
        <v>689</v>
      </c>
      <c r="E114" s="39" t="s">
        <v>2638</v>
      </c>
    </row>
    <row r="115" customFormat="false" ht="12.8" hidden="false" customHeight="false" outlineLevel="0" collapsed="false">
      <c r="A115" s="50" t="s">
        <v>2639</v>
      </c>
      <c r="B115" s="39" t="s">
        <v>2640</v>
      </c>
      <c r="C115" s="39" t="s">
        <v>2641</v>
      </c>
      <c r="D115" s="39" t="s">
        <v>2642</v>
      </c>
      <c r="E115" s="39" t="s">
        <v>689</v>
      </c>
      <c r="F115" s="39" t="s">
        <v>2643</v>
      </c>
    </row>
    <row r="116" customFormat="false" ht="12.8" hidden="false" customHeight="false" outlineLevel="0" collapsed="false">
      <c r="A116" s="50" t="s">
        <v>2644</v>
      </c>
      <c r="B116" s="39" t="s">
        <v>1891</v>
      </c>
      <c r="C116" s="39" t="s">
        <v>2645</v>
      </c>
      <c r="D116" s="39" t="s">
        <v>2646</v>
      </c>
      <c r="E116" s="39" t="s">
        <v>689</v>
      </c>
      <c r="F116" s="39" t="s">
        <v>2647</v>
      </c>
    </row>
    <row r="117" customFormat="false" ht="12.8" hidden="false" customHeight="false" outlineLevel="0" collapsed="false">
      <c r="A117" s="50" t="s">
        <v>2648</v>
      </c>
      <c r="B117" s="39" t="s">
        <v>1896</v>
      </c>
      <c r="C117" s="39" t="s">
        <v>1962</v>
      </c>
      <c r="D117" s="39" t="s">
        <v>2649</v>
      </c>
      <c r="E117" s="39" t="s">
        <v>689</v>
      </c>
      <c r="F117" s="39" t="s">
        <v>2130</v>
      </c>
    </row>
    <row r="118" customFormat="false" ht="12.8" hidden="false" customHeight="false" outlineLevel="0" collapsed="false">
      <c r="A118" s="50" t="s">
        <v>2650</v>
      </c>
      <c r="B118" s="39" t="s">
        <v>1901</v>
      </c>
      <c r="C118" s="39" t="s">
        <v>1902</v>
      </c>
      <c r="D118" s="39" t="s">
        <v>2651</v>
      </c>
      <c r="E118" s="39" t="s">
        <v>689</v>
      </c>
      <c r="F118" s="39" t="s">
        <v>2652</v>
      </c>
    </row>
    <row r="119" customFormat="false" ht="12.8" hidden="false" customHeight="false" outlineLevel="0" collapsed="false">
      <c r="A119" s="50" t="s">
        <v>2653</v>
      </c>
      <c r="B119" s="39" t="s">
        <v>2654</v>
      </c>
      <c r="C119" s="39" t="s">
        <v>2655</v>
      </c>
      <c r="D119" s="39" t="s">
        <v>2656</v>
      </c>
      <c r="E119" s="39" t="s">
        <v>689</v>
      </c>
      <c r="F119" s="39" t="s">
        <v>2346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P154"/>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A27" activeCellId="0" sqref="A27"/>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2657</v>
      </c>
      <c r="B1" s="68" t="s">
        <v>2658</v>
      </c>
      <c r="C1" s="6" t="s">
        <v>2</v>
      </c>
      <c r="D1" s="67" t="s">
        <v>2659</v>
      </c>
      <c r="AZ1" s="39"/>
      <c r="BP1" s="39"/>
    </row>
    <row r="2" customFormat="false" ht="12.8" hidden="false" customHeight="false" outlineLevel="0" collapsed="false">
      <c r="A2" s="65" t="str">
        <f aca="false">_xlfn.CONCAT($A$1, ".", "CALC")</f>
        <v>LSD.RID.0.AL.AIAVG.CALC</v>
      </c>
      <c r="B2" s="66" t="str">
        <f aca="false">_xlfn.CONCAT($B$1, " ", "Calculations")</f>
        <v>Alabama Annual Income Average (AIAVG) Calculations</v>
      </c>
      <c r="C2" s="3"/>
      <c r="D2" s="3"/>
      <c r="E2" s="3"/>
      <c r="F2" s="3"/>
    </row>
    <row r="3" customFormat="false" ht="23.85" hidden="false" customHeight="false" outlineLevel="0" collapsed="false">
      <c r="A3" s="65" t="str">
        <f aca="false">CALC!A3</f>
        <v>LSID</v>
      </c>
      <c r="B3" s="42" t="str">
        <f aca="false">CALC!C3</f>
        <v>Labor Sector</v>
      </c>
      <c r="C3" s="79" t="str">
        <f aca="false">CALC!BL3</f>
        <v>Overall AIAVG</v>
      </c>
      <c r="D3" s="79" t="str">
        <f aca="false">CALC!BM3</f>
        <v>Authorized AIAVG</v>
      </c>
      <c r="E3" s="79" t="str">
        <f aca="false">CALC!BN3</f>
        <v>Unauthorized AIAVG</v>
      </c>
      <c r="F3" s="79" t="str">
        <f aca="false">CALC!BO3</f>
        <v>American AIAVG</v>
      </c>
      <c r="AT3" s="3"/>
      <c r="AU3" s="3"/>
      <c r="AV3" s="3"/>
      <c r="AW3" s="3"/>
      <c r="AZ3" s="39"/>
      <c r="BA3" s="39"/>
      <c r="BB3" s="39"/>
      <c r="BC3" s="39"/>
      <c r="BJ3" s="3"/>
      <c r="BK3" s="3"/>
      <c r="BL3" s="3"/>
      <c r="BM3" s="3"/>
      <c r="BN3" s="3"/>
      <c r="BO3" s="3"/>
    </row>
    <row r="4" customFormat="false" ht="12.9" hidden="false" customHeight="false" outlineLevel="0" collapsed="false">
      <c r="A4" s="65" t="str">
        <f aca="false">_xlfn.CONCAT($A$1, ".", CALC!A4)</f>
        <v>LSD.RID.0.AL.AIAVG.0</v>
      </c>
      <c r="B4" s="42" t="str">
        <f aca="false">CALC!C4</f>
        <v>All Industries</v>
      </c>
      <c r="C4" s="39" t="n">
        <v>66477</v>
      </c>
      <c r="D4" s="39" t="n">
        <v>68064</v>
      </c>
      <c r="E4" s="39" t="n">
        <v>46534</v>
      </c>
      <c r="F4" s="39" t="n">
        <v>66857</v>
      </c>
      <c r="AT4" s="3"/>
      <c r="AU4" s="3"/>
      <c r="AV4" s="3"/>
      <c r="AW4" s="3"/>
      <c r="AZ4" s="39"/>
      <c r="BA4" s="39"/>
      <c r="BB4" s="39"/>
      <c r="BC4" s="39"/>
      <c r="BJ4" s="3"/>
      <c r="BK4" s="3"/>
      <c r="BL4" s="3"/>
      <c r="BM4" s="3"/>
      <c r="BN4" s="3"/>
      <c r="BO4" s="3"/>
    </row>
    <row r="5" customFormat="false" ht="23.85" hidden="false" customHeight="false" outlineLevel="0" collapsed="false">
      <c r="A5" s="65" t="str">
        <f aca="false">_xlfn.CONCAT($A$1, ".", CALC!A5)</f>
        <v>LSD.RID.0.AL.AIAVG.1</v>
      </c>
      <c r="B5" s="68" t="str">
        <f aca="false">CALC!C5</f>
        <v>Agriculture, Forestry, 
Fishing and Hunting</v>
      </c>
      <c r="C5" s="39" t="n">
        <v>35150</v>
      </c>
      <c r="D5" s="39" t="n">
        <v>36105</v>
      </c>
      <c r="E5" s="39" t="n">
        <v>22848</v>
      </c>
      <c r="F5" s="39" t="n">
        <v>35301</v>
      </c>
      <c r="AT5" s="3"/>
      <c r="AU5" s="3"/>
      <c r="AV5" s="3"/>
      <c r="AW5" s="3"/>
      <c r="AZ5" s="39"/>
      <c r="BA5" s="39"/>
      <c r="BB5" s="39"/>
      <c r="BC5" s="39"/>
      <c r="BJ5" s="3"/>
      <c r="BK5" s="3"/>
      <c r="BL5" s="3"/>
      <c r="BM5" s="3"/>
      <c r="BN5" s="3"/>
      <c r="BO5" s="3"/>
    </row>
    <row r="6" customFormat="false" ht="23.85" hidden="false" customHeight="false" outlineLevel="0" collapsed="false">
      <c r="A6" s="65" t="str">
        <f aca="false">_xlfn.CONCAT($A$1, ".", CALC!A6)</f>
        <v>LSD.RID.0.AL.AIAVG.2</v>
      </c>
      <c r="B6" s="68" t="str">
        <f aca="false">CALC!C6</f>
        <v>Mining, Quarrying, and
Oil and Gas Extraction</v>
      </c>
      <c r="C6" s="39" t="n">
        <v>73500</v>
      </c>
      <c r="D6" s="39" t="n">
        <v>76440</v>
      </c>
      <c r="E6" s="39" t="n">
        <v>55125</v>
      </c>
      <c r="F6" s="39" t="n">
        <v>73926</v>
      </c>
      <c r="AT6" s="3"/>
      <c r="AU6" s="3"/>
      <c r="AV6" s="3"/>
      <c r="AW6" s="3"/>
      <c r="AZ6" s="39"/>
      <c r="BA6" s="39"/>
      <c r="BB6" s="39"/>
      <c r="BC6" s="39"/>
      <c r="BJ6" s="3"/>
      <c r="BK6" s="3"/>
      <c r="BL6" s="3"/>
      <c r="BM6" s="3"/>
      <c r="BN6" s="3"/>
      <c r="BO6" s="3"/>
    </row>
    <row r="7" customFormat="false" ht="12.9" hidden="false" customHeight="false" outlineLevel="0" collapsed="false">
      <c r="A7" s="65" t="str">
        <f aca="false">_xlfn.CONCAT($A$1, ".", CALC!A7)</f>
        <v>LSD.RID.0.AL.AIAVG.3</v>
      </c>
      <c r="B7" s="42" t="str">
        <f aca="false">CALC!C7</f>
        <v>Utilities</v>
      </c>
      <c r="C7" s="39" t="n">
        <v>83200</v>
      </c>
      <c r="D7" s="39" t="n">
        <v>84864</v>
      </c>
      <c r="E7" s="39" t="n">
        <v>66560</v>
      </c>
      <c r="F7" s="39" t="n">
        <v>83392</v>
      </c>
      <c r="AT7" s="3"/>
      <c r="AU7" s="3"/>
      <c r="AV7" s="3"/>
      <c r="AW7" s="3"/>
      <c r="AZ7" s="39"/>
      <c r="BA7" s="39"/>
      <c r="BB7" s="39"/>
      <c r="BC7" s="39"/>
      <c r="BJ7" s="3"/>
      <c r="BK7" s="3"/>
      <c r="BL7" s="3"/>
      <c r="BM7" s="3"/>
      <c r="BN7" s="3"/>
      <c r="BO7" s="3"/>
    </row>
    <row r="8" customFormat="false" ht="12.9" hidden="false" customHeight="false" outlineLevel="0" collapsed="false">
      <c r="A8" s="65" t="str">
        <f aca="false">_xlfn.CONCAT($A$1, ".", CALC!A8)</f>
        <v>LSD.RID.0.AL.AIAVG.4</v>
      </c>
      <c r="B8" s="42" t="str">
        <f aca="false">CALC!C8</f>
        <v>Construction</v>
      </c>
      <c r="C8" s="39" t="n">
        <v>57400</v>
      </c>
      <c r="D8" s="39" t="n">
        <v>59122</v>
      </c>
      <c r="E8" s="39" t="n">
        <v>40180</v>
      </c>
      <c r="F8" s="39" t="n">
        <v>57687</v>
      </c>
      <c r="AT8" s="3"/>
      <c r="AU8" s="3"/>
      <c r="AV8" s="3"/>
      <c r="AW8" s="3"/>
      <c r="AZ8" s="39"/>
      <c r="BA8" s="39"/>
      <c r="BB8" s="39"/>
      <c r="BC8" s="39"/>
      <c r="BJ8" s="3"/>
      <c r="BK8" s="3"/>
      <c r="BL8" s="3"/>
      <c r="BM8" s="3"/>
      <c r="BN8" s="3"/>
      <c r="BO8" s="3"/>
    </row>
    <row r="9" customFormat="false" ht="23.85" hidden="false" customHeight="false" outlineLevel="0" collapsed="false">
      <c r="A9" s="65" t="str">
        <f aca="false">_xlfn.CONCAT($A$1, ".", CALC!A9)</f>
        <v>LSD.RID.0.AL.AIAVG.5</v>
      </c>
      <c r="B9" s="68" t="str">
        <f aca="false">CALC!C9</f>
        <v>Manufacturing
(Food,Textile, etc.)</v>
      </c>
      <c r="C9" s="39" t="n">
        <v>64000</v>
      </c>
      <c r="D9" s="39" t="n">
        <v>65280</v>
      </c>
      <c r="E9" s="39" t="n">
        <v>46080</v>
      </c>
      <c r="F9" s="39" t="n">
        <v>64128</v>
      </c>
      <c r="AT9" s="3"/>
      <c r="AU9" s="3"/>
      <c r="AV9" s="3"/>
      <c r="AW9" s="3"/>
      <c r="AZ9" s="39"/>
      <c r="BA9" s="39"/>
      <c r="BB9" s="39"/>
      <c r="BC9" s="39"/>
      <c r="BJ9" s="3"/>
      <c r="BK9" s="3"/>
      <c r="BL9" s="3"/>
      <c r="BM9" s="3"/>
      <c r="BN9" s="3"/>
      <c r="BO9" s="3"/>
    </row>
    <row r="10" customFormat="false" ht="23.85" hidden="false" customHeight="false" outlineLevel="0" collapsed="false">
      <c r="A10" s="65" t="str">
        <f aca="false">_xlfn.CONCAT($A$1, ".", CALC!A10)</f>
        <v>LSD.RID.0.AL.AIAVG.6</v>
      </c>
      <c r="B10" s="68" t="str">
        <f aca="false">CALC!C10</f>
        <v>Manufacturing (Wood,
Paper, Printing, etc.)</v>
      </c>
      <c r="C10" s="39" t="n">
        <v>60000</v>
      </c>
      <c r="D10" s="39" t="n">
        <v>61200</v>
      </c>
      <c r="E10" s="39" t="n">
        <v>43200</v>
      </c>
      <c r="F10" s="39" t="n">
        <v>60120</v>
      </c>
      <c r="AT10" s="3"/>
      <c r="AU10" s="3"/>
      <c r="AV10" s="3"/>
      <c r="AW10" s="3"/>
      <c r="AZ10" s="39"/>
      <c r="BA10" s="39"/>
      <c r="BB10" s="39"/>
      <c r="BC10" s="39"/>
      <c r="BJ10" s="3"/>
      <c r="BK10" s="3"/>
      <c r="BL10" s="3"/>
      <c r="BM10" s="3"/>
      <c r="BN10" s="3"/>
      <c r="BO10" s="3"/>
    </row>
    <row r="11" customFormat="false" ht="23.85" hidden="false" customHeight="false" outlineLevel="0" collapsed="false">
      <c r="A11" s="65" t="str">
        <f aca="false">_xlfn.CONCAT($A$1, ".", CALC!A11)</f>
        <v>LSD.RID.0.AL.AIAVG.7</v>
      </c>
      <c r="B11" s="68" t="str">
        <f aca="false">CALC!C11</f>
        <v>Manufacturing
(Machinery, Transport)</v>
      </c>
      <c r="C11" s="39" t="n">
        <v>73500</v>
      </c>
      <c r="D11" s="39" t="n">
        <v>74970</v>
      </c>
      <c r="E11" s="39" t="n">
        <v>55125</v>
      </c>
      <c r="F11" s="39" t="n">
        <v>73755</v>
      </c>
      <c r="AT11" s="3"/>
      <c r="AU11" s="3"/>
      <c r="AV11" s="3"/>
      <c r="AW11" s="3"/>
      <c r="AZ11" s="39"/>
      <c r="BA11" s="39"/>
      <c r="BB11" s="39"/>
      <c r="BC11" s="39"/>
      <c r="BJ11" s="3"/>
      <c r="BK11" s="3"/>
      <c r="BL11" s="3"/>
      <c r="BM11" s="3"/>
      <c r="BN11" s="3"/>
      <c r="BO11" s="3"/>
    </row>
    <row r="12" customFormat="false" ht="12.9" hidden="false" customHeight="false" outlineLevel="0" collapsed="false">
      <c r="A12" s="65" t="str">
        <f aca="false">_xlfn.CONCAT($A$1, ".", CALC!A12)</f>
        <v>LSD.RID.0.AL.AIAVG.8</v>
      </c>
      <c r="B12" s="42" t="str">
        <f aca="false">CALC!C12</f>
        <v>Wholesale Trade</v>
      </c>
      <c r="C12" s="39" t="n">
        <v>65600</v>
      </c>
      <c r="D12" s="39" t="n">
        <v>66584</v>
      </c>
      <c r="E12" s="39" t="n">
        <v>51168</v>
      </c>
      <c r="F12" s="39" t="n">
        <v>65752</v>
      </c>
      <c r="AT12" s="3"/>
      <c r="AU12" s="3"/>
      <c r="AV12" s="3"/>
      <c r="AW12" s="3"/>
      <c r="AZ12" s="39"/>
      <c r="BA12" s="39"/>
      <c r="BB12" s="39"/>
      <c r="BC12" s="39"/>
      <c r="BJ12" s="3"/>
      <c r="BK12" s="3"/>
      <c r="BL12" s="3"/>
      <c r="BM12" s="3"/>
      <c r="BN12" s="3"/>
      <c r="BO12" s="3"/>
    </row>
    <row r="13" customFormat="false" ht="23.85" hidden="false" customHeight="false" outlineLevel="0" collapsed="false">
      <c r="A13" s="65" t="str">
        <f aca="false">_xlfn.CONCAT($A$1, ".", CALC!A13)</f>
        <v>LSD.RID.0.AL.AIAVG.9</v>
      </c>
      <c r="B13" s="68" t="str">
        <f aca="false">CALC!C13</f>
        <v>Retail Trade (Motor
Vehicle, Electronics)</v>
      </c>
      <c r="C13" s="39" t="n">
        <v>45000</v>
      </c>
      <c r="D13" s="39" t="n">
        <v>46350</v>
      </c>
      <c r="E13" s="39" t="n">
        <v>31500</v>
      </c>
      <c r="F13" s="39" t="n">
        <v>45135</v>
      </c>
      <c r="AT13" s="3"/>
      <c r="AU13" s="3"/>
      <c r="AV13" s="3"/>
      <c r="AW13" s="3"/>
      <c r="AZ13" s="39"/>
      <c r="BA13" s="39"/>
      <c r="BB13" s="39"/>
      <c r="BC13" s="39"/>
      <c r="BJ13" s="3"/>
      <c r="BK13" s="3"/>
      <c r="BL13" s="3"/>
      <c r="BM13" s="3"/>
      <c r="BN13" s="3"/>
      <c r="BO13" s="3"/>
    </row>
    <row r="14" customFormat="false" ht="23.85" hidden="false" customHeight="false" outlineLevel="0" collapsed="false">
      <c r="A14" s="65" t="str">
        <f aca="false">_xlfn.CONCAT($A$1, ".", CALC!A14)</f>
        <v>LSD.RID.0.AL.AIAVG.10</v>
      </c>
      <c r="B14" s="68" t="str">
        <f aca="false">CALC!C14</f>
        <v>Retail Trade (Food, Clothing,
General Merchandise, etc.)</v>
      </c>
      <c r="C14" s="39" t="n">
        <v>38500</v>
      </c>
      <c r="D14" s="39" t="n">
        <v>39655</v>
      </c>
      <c r="E14" s="39" t="n">
        <v>26180</v>
      </c>
      <c r="F14" s="39" t="n">
        <v>38611</v>
      </c>
      <c r="AT14" s="3"/>
      <c r="AU14" s="3"/>
      <c r="AV14" s="3"/>
      <c r="AW14" s="3"/>
      <c r="AZ14" s="39"/>
      <c r="BA14" s="39"/>
      <c r="BB14" s="39"/>
      <c r="BC14" s="39"/>
      <c r="BJ14" s="3"/>
      <c r="BK14" s="3"/>
      <c r="BL14" s="3"/>
      <c r="BM14" s="3"/>
      <c r="BN14" s="3"/>
      <c r="BO14" s="3"/>
    </row>
    <row r="15" customFormat="false" ht="12.9" hidden="false" customHeight="false" outlineLevel="0" collapsed="false">
      <c r="A15" s="65" t="str">
        <f aca="false">_xlfn.CONCAT($A$1, ".", CALC!A15)</f>
        <v>LSD.RID.0.AL.AIAVG.11</v>
      </c>
      <c r="B15" s="42" t="str">
        <f aca="false">CALC!C15</f>
        <v>Transportation</v>
      </c>
      <c r="C15" s="39" t="n">
        <v>60000</v>
      </c>
      <c r="D15" s="39" t="n">
        <v>61200</v>
      </c>
      <c r="E15" s="39" t="n">
        <v>43200</v>
      </c>
      <c r="F15" s="39" t="n">
        <v>60120</v>
      </c>
      <c r="AT15" s="3"/>
      <c r="AU15" s="3"/>
      <c r="AV15" s="3"/>
      <c r="AW15" s="3"/>
      <c r="AZ15" s="39"/>
      <c r="BA15" s="39"/>
      <c r="BB15" s="39"/>
      <c r="BC15" s="39"/>
      <c r="BJ15" s="3"/>
      <c r="BK15" s="3"/>
      <c r="BL15" s="3"/>
      <c r="BM15" s="3"/>
      <c r="BN15" s="3"/>
      <c r="BO15" s="3"/>
    </row>
    <row r="16" customFormat="false" ht="12.9" hidden="false" customHeight="false" outlineLevel="0" collapsed="false">
      <c r="A16" s="65" t="str">
        <f aca="false">_xlfn.CONCAT($A$1, ".", CALC!A16)</f>
        <v>LSD.RID.0.AL.AIAVG.12</v>
      </c>
      <c r="B16" s="42" t="str">
        <f aca="false">CALC!C16</f>
        <v>Warehousing and Storage</v>
      </c>
      <c r="C16" s="39" t="n">
        <v>54600</v>
      </c>
      <c r="D16" s="39" t="n">
        <v>55692</v>
      </c>
      <c r="E16" s="39" t="n">
        <v>39312</v>
      </c>
      <c r="F16" s="39" t="n">
        <v>54781</v>
      </c>
      <c r="AT16" s="3"/>
      <c r="AU16" s="3"/>
      <c r="AV16" s="3"/>
      <c r="AW16" s="3"/>
      <c r="AZ16" s="39"/>
      <c r="BA16" s="39"/>
      <c r="BB16" s="39"/>
      <c r="BC16" s="39"/>
      <c r="BJ16" s="3"/>
      <c r="BK16" s="3"/>
      <c r="BL16" s="3"/>
      <c r="BM16" s="3"/>
      <c r="BN16" s="3"/>
      <c r="BO16" s="3"/>
    </row>
    <row r="17" customFormat="false" ht="12.9" hidden="false" customHeight="false" outlineLevel="0" collapsed="false">
      <c r="A17" s="65" t="str">
        <f aca="false">_xlfn.CONCAT($A$1, ".", CALC!A17)</f>
        <v>LSD.RID.0.AL.AIAVG.13</v>
      </c>
      <c r="B17" s="42" t="str">
        <f aca="false">CALC!C17</f>
        <v>Information</v>
      </c>
      <c r="C17" s="39" t="n">
        <v>83200</v>
      </c>
      <c r="D17" s="39" t="n">
        <v>84864</v>
      </c>
      <c r="E17" s="39" t="n">
        <v>66560</v>
      </c>
      <c r="F17" s="39" t="n">
        <v>83392</v>
      </c>
      <c r="AT17" s="3"/>
      <c r="AU17" s="3"/>
      <c r="AV17" s="3"/>
      <c r="AW17" s="3"/>
      <c r="AZ17" s="39"/>
      <c r="BA17" s="39"/>
      <c r="BB17" s="39"/>
      <c r="BC17" s="39"/>
      <c r="BJ17" s="3"/>
      <c r="BK17" s="3"/>
      <c r="BL17" s="3"/>
      <c r="BM17" s="3"/>
      <c r="BN17" s="3"/>
      <c r="BO17" s="3"/>
    </row>
    <row r="18" customFormat="false" ht="12.9" hidden="false" customHeight="false" outlineLevel="0" collapsed="false">
      <c r="A18" s="65" t="str">
        <f aca="false">_xlfn.CONCAT($A$1, ".", CALC!A18)</f>
        <v>LSD.RID.0.AL.AIAVG.14</v>
      </c>
      <c r="B18" s="42" t="str">
        <f aca="false">CALC!C18</f>
        <v>Finance and Insurance</v>
      </c>
      <c r="C18" s="39" t="n">
        <v>114400</v>
      </c>
      <c r="D18" s="39" t="n">
        <v>115544</v>
      </c>
      <c r="E18" s="39" t="n">
        <v>97240</v>
      </c>
      <c r="F18" s="39" t="n">
        <v>114644</v>
      </c>
      <c r="AT18" s="3"/>
      <c r="AU18" s="3"/>
      <c r="AV18" s="3"/>
      <c r="AW18" s="3"/>
      <c r="AZ18" s="39"/>
      <c r="BA18" s="39"/>
      <c r="BB18" s="39"/>
      <c r="BC18" s="39"/>
      <c r="BJ18" s="3"/>
      <c r="BK18" s="3"/>
      <c r="BL18" s="3"/>
      <c r="BM18" s="3"/>
      <c r="BN18" s="3"/>
      <c r="BO18" s="3"/>
    </row>
    <row r="19" customFormat="false" ht="23.85" hidden="false" customHeight="false" outlineLevel="0" collapsed="false">
      <c r="A19" s="65" t="str">
        <f aca="false">_xlfn.CONCAT($A$1, ".", CALC!A19)</f>
        <v>LSD.RID.0.AL.AIAVG.15</v>
      </c>
      <c r="B19" s="68" t="str">
        <f aca="false">CALC!C19</f>
        <v>Real Estate and
Rental and Leasing</v>
      </c>
      <c r="C19" s="39" t="n">
        <v>64000</v>
      </c>
      <c r="D19" s="39" t="n">
        <v>65280</v>
      </c>
      <c r="E19" s="39" t="n">
        <v>49920</v>
      </c>
      <c r="F19" s="39" t="n">
        <v>64128</v>
      </c>
      <c r="AT19" s="3"/>
      <c r="AU19" s="3"/>
      <c r="AV19" s="3"/>
      <c r="AW19" s="3"/>
      <c r="AZ19" s="39"/>
      <c r="BA19" s="39"/>
      <c r="BB19" s="39"/>
      <c r="BC19" s="39"/>
      <c r="BJ19" s="3"/>
      <c r="BK19" s="3"/>
      <c r="BL19" s="3"/>
      <c r="BM19" s="3"/>
      <c r="BN19" s="3"/>
      <c r="BO19" s="3"/>
    </row>
    <row r="20" customFormat="false" ht="23.85" hidden="false" customHeight="false" outlineLevel="0" collapsed="false">
      <c r="A20" s="65" t="str">
        <f aca="false">_xlfn.CONCAT($A$1, ".", CALC!A20)</f>
        <v>LSD.RID.0.AL.AIAVG.16</v>
      </c>
      <c r="B20" s="68" t="str">
        <f aca="false">CALC!C20</f>
        <v>Professional, Scientific,
and Technical Services</v>
      </c>
      <c r="C20" s="39" t="n">
        <v>96750</v>
      </c>
      <c r="D20" s="39" t="n">
        <v>97718</v>
      </c>
      <c r="E20" s="39" t="n">
        <v>79335</v>
      </c>
      <c r="F20" s="39" t="n">
        <v>96891</v>
      </c>
      <c r="AT20" s="3"/>
      <c r="AU20" s="3"/>
      <c r="AV20" s="3"/>
      <c r="AW20" s="3"/>
      <c r="AZ20" s="39"/>
      <c r="BA20" s="39"/>
      <c r="BB20" s="39"/>
      <c r="BC20" s="39"/>
      <c r="BJ20" s="3"/>
      <c r="BK20" s="3"/>
      <c r="BL20" s="3"/>
      <c r="BM20" s="3"/>
      <c r="BN20" s="3"/>
      <c r="BO20" s="3"/>
    </row>
    <row r="21" customFormat="false" ht="34.8" hidden="false" customHeight="false" outlineLevel="0" collapsed="false">
      <c r="A21" s="65" t="str">
        <f aca="false">_xlfn.CONCAT($A$1, ".", CALC!A21)</f>
        <v>LSD.RID.0.AL.AIAVG.17</v>
      </c>
      <c r="B21" s="68" t="str">
        <f aca="false">CALC!C21</f>
        <v>Administrative and Support
and Waste Management
and Remediation Services</v>
      </c>
      <c r="C21" s="39" t="n">
        <v>45000</v>
      </c>
      <c r="D21" s="39" t="n">
        <v>46350</v>
      </c>
      <c r="E21" s="39" t="n">
        <v>31500</v>
      </c>
      <c r="F21" s="39" t="n">
        <v>45135</v>
      </c>
      <c r="AT21" s="3"/>
      <c r="AU21" s="3"/>
      <c r="AV21" s="3"/>
      <c r="AW21" s="3"/>
      <c r="AZ21" s="39"/>
      <c r="BA21" s="39"/>
      <c r="BB21" s="39"/>
      <c r="BC21" s="39"/>
      <c r="BJ21" s="3"/>
      <c r="BK21" s="3"/>
      <c r="BL21" s="3"/>
      <c r="BM21" s="3"/>
      <c r="BN21" s="3"/>
      <c r="BO21" s="3"/>
    </row>
    <row r="22" customFormat="false" ht="12.9" hidden="false" customHeight="false" outlineLevel="0" collapsed="false">
      <c r="A22" s="65" t="str">
        <f aca="false">_xlfn.CONCAT($A$1, ".", CALC!A22)</f>
        <v>LSD.RID.0.AL.AIAVG.18</v>
      </c>
      <c r="B22" s="42" t="str">
        <f aca="false">CALC!C22</f>
        <v>Educational Services</v>
      </c>
      <c r="C22" s="39" t="n">
        <v>68250</v>
      </c>
      <c r="D22" s="39" t="n">
        <v>69314</v>
      </c>
      <c r="E22" s="39" t="n">
        <v>54600</v>
      </c>
      <c r="F22" s="39" t="n">
        <v>68429</v>
      </c>
      <c r="AT22" s="3"/>
      <c r="AU22" s="3"/>
      <c r="AV22" s="3"/>
      <c r="AW22" s="3"/>
      <c r="AZ22" s="39"/>
      <c r="BA22" s="39"/>
      <c r="BB22" s="39"/>
      <c r="BC22" s="39"/>
      <c r="BJ22" s="3"/>
      <c r="BK22" s="3"/>
      <c r="BL22" s="3"/>
      <c r="BM22" s="3"/>
      <c r="BN22" s="3"/>
      <c r="BO22" s="3"/>
    </row>
    <row r="23" customFormat="false" ht="23.85" hidden="false" customHeight="false" outlineLevel="0" collapsed="false">
      <c r="A23" s="65" t="str">
        <f aca="false">_xlfn.CONCAT($A$1, ".", CALC!A23)</f>
        <v>LSD.RID.0.AL.AIAVG.19</v>
      </c>
      <c r="B23" s="68" t="str">
        <f aca="false">CALC!C23</f>
        <v>Health Care and
Social Assistance</v>
      </c>
      <c r="C23" s="39" t="n">
        <v>70000</v>
      </c>
      <c r="D23" s="39" t="n">
        <v>71050</v>
      </c>
      <c r="E23" s="39" t="n">
        <v>56000</v>
      </c>
      <c r="F23" s="39" t="n">
        <v>70175</v>
      </c>
      <c r="AT23" s="3"/>
      <c r="AU23" s="3"/>
      <c r="AV23" s="3"/>
      <c r="AW23" s="3"/>
      <c r="AZ23" s="39"/>
      <c r="BA23" s="39"/>
      <c r="BB23" s="39"/>
      <c r="BC23" s="39"/>
      <c r="BJ23" s="3"/>
      <c r="BK23" s="3"/>
      <c r="BL23" s="3"/>
      <c r="BM23" s="3"/>
      <c r="BN23" s="3"/>
      <c r="BO23" s="3"/>
    </row>
    <row r="24" customFormat="false" ht="23.85" hidden="false" customHeight="false" outlineLevel="0" collapsed="false">
      <c r="A24" s="65" t="str">
        <f aca="false">_xlfn.CONCAT($A$1, ".", CALC!A24)</f>
        <v>LSD.RID.0.AL.AIAVG.20</v>
      </c>
      <c r="B24" s="68" t="str">
        <f aca="false">CALC!C24</f>
        <v>Arts, Entertainment,
and Recreation</v>
      </c>
      <c r="C24" s="39" t="n">
        <v>34000</v>
      </c>
      <c r="D24" s="39" t="n">
        <v>35020</v>
      </c>
      <c r="E24" s="39" t="n">
        <v>23120</v>
      </c>
      <c r="F24" s="39" t="n">
        <v>34134</v>
      </c>
      <c r="AT24" s="3"/>
      <c r="AU24" s="3"/>
      <c r="AV24" s="3"/>
      <c r="AW24" s="3"/>
      <c r="AZ24" s="39"/>
      <c r="BA24" s="39"/>
      <c r="BB24" s="39"/>
      <c r="BC24" s="39"/>
      <c r="BJ24" s="3"/>
      <c r="BK24" s="3"/>
      <c r="BL24" s="3"/>
      <c r="BM24" s="3"/>
      <c r="BN24" s="3"/>
      <c r="BO24" s="3"/>
    </row>
    <row r="25" customFormat="false" ht="23.85" hidden="false" customHeight="false" outlineLevel="0" collapsed="false">
      <c r="A25" s="65" t="str">
        <f aca="false">_xlfn.CONCAT($A$1, ".", CALC!A25)</f>
        <v>LSD.RID.0.AL.AIAVG.21</v>
      </c>
      <c r="B25" s="68" t="str">
        <f aca="false">CALC!C25</f>
        <v>Accommodation
and Food Services</v>
      </c>
      <c r="C25" s="39" t="n">
        <v>25600</v>
      </c>
      <c r="D25" s="39" t="n">
        <v>26496</v>
      </c>
      <c r="E25" s="39" t="n">
        <v>16640</v>
      </c>
      <c r="F25" s="39" t="n">
        <v>25664</v>
      </c>
      <c r="AT25" s="3"/>
      <c r="AU25" s="3"/>
      <c r="AV25" s="3"/>
      <c r="AW25" s="3"/>
      <c r="AZ25" s="39"/>
      <c r="BA25" s="39"/>
      <c r="BB25" s="39"/>
      <c r="BC25" s="39"/>
      <c r="BJ25" s="3"/>
      <c r="BK25" s="3"/>
      <c r="BL25" s="3"/>
      <c r="BM25" s="3"/>
      <c r="BN25" s="3"/>
      <c r="BO25" s="3"/>
    </row>
    <row r="26" customFormat="false" ht="23.85" hidden="false" customHeight="false" outlineLevel="0" collapsed="false">
      <c r="A26" s="65" t="str">
        <f aca="false">_xlfn.CONCAT($A$1, ".", CALC!A26)</f>
        <v>LSD.RID.0.AL.AIAVG.22</v>
      </c>
      <c r="B26" s="68" t="str">
        <f aca="false">CALC!C26</f>
        <v>Other Services (except
Public Administration)</v>
      </c>
      <c r="C26" s="39" t="n">
        <v>46250</v>
      </c>
      <c r="D26" s="39" t="n">
        <v>47638</v>
      </c>
      <c r="E26" s="39" t="n">
        <v>32375</v>
      </c>
      <c r="F26" s="39" t="n">
        <v>46431</v>
      </c>
      <c r="AT26" s="3"/>
      <c r="AU26" s="3"/>
      <c r="AV26" s="3"/>
      <c r="AW26" s="3"/>
      <c r="AZ26" s="39"/>
      <c r="BA26" s="39"/>
      <c r="BB26" s="39"/>
      <c r="BC26" s="39"/>
      <c r="BJ26" s="3"/>
      <c r="BK26" s="3"/>
      <c r="BL26" s="3"/>
      <c r="BM26" s="3"/>
      <c r="BN26" s="3"/>
      <c r="BO26" s="3"/>
    </row>
    <row r="27" customFormat="false" ht="12.8" hidden="false" customHeight="false" outlineLevel="0" collapsed="false">
      <c r="A27" s="65" t="str">
        <f aca="false">_xlfn.CONCAT($A$1, ".", CALC!A27)</f>
        <v>LSD.RID.0.AL.AIAVG.23</v>
      </c>
      <c r="B27" s="42" t="str">
        <f aca="false">CALC!C27</f>
        <v>Public Administration</v>
      </c>
      <c r="C27" s="39" t="n">
        <v>72800</v>
      </c>
      <c r="D27" s="39" t="n">
        <v>73992</v>
      </c>
      <c r="E27" s="39" t="n">
        <v>58240</v>
      </c>
      <c r="F27" s="39" t="n">
        <v>72984</v>
      </c>
      <c r="AT27" s="3"/>
      <c r="AU27" s="3"/>
      <c r="AV27" s="3"/>
      <c r="AW27" s="3"/>
      <c r="AZ27" s="39"/>
      <c r="BA27" s="39"/>
      <c r="BB27" s="39"/>
      <c r="BC27" s="39"/>
      <c r="BJ27" s="3"/>
      <c r="BK27" s="3"/>
      <c r="BL27" s="3"/>
      <c r="BM27" s="3"/>
      <c r="BN27" s="3"/>
      <c r="BO27" s="3"/>
    </row>
    <row r="28" customFormat="false" ht="12.8" hidden="false" customHeight="false" outlineLevel="0" collapsed="false">
      <c r="C28" s="79"/>
      <c r="D28" s="79"/>
      <c r="E28" s="79"/>
      <c r="F28" s="79"/>
    </row>
    <row r="29" customFormat="false" ht="12.8" hidden="false" customHeight="false" outlineLevel="0" collapsed="false">
      <c r="C29" s="79"/>
      <c r="D29" s="79"/>
      <c r="E29" s="79"/>
      <c r="F29" s="79"/>
    </row>
    <row r="30" customFormat="false" ht="12.8" hidden="false" customHeight="false" outlineLevel="0" collapsed="false">
      <c r="C30" s="79"/>
      <c r="D30" s="79"/>
      <c r="E30" s="79"/>
      <c r="F30" s="79"/>
    </row>
    <row r="31" customFormat="false" ht="12.8" hidden="false" customHeight="false" outlineLevel="0" collapsed="false">
      <c r="C31" s="79"/>
      <c r="D31" s="79"/>
      <c r="E31" s="79"/>
      <c r="F31" s="79"/>
    </row>
    <row r="130" customFormat="false" ht="12.8" hidden="false" customHeight="false" outlineLevel="0" collapsed="false">
      <c r="A130" s="65" t="str">
        <f aca="false">_xlfn.CONCAT($A$1, ".", "FORM")</f>
        <v>LSD.RID.0.AL.AIAVG.FORM</v>
      </c>
      <c r="B130" s="66" t="str">
        <f aca="false">_xlfn.CONCAT($B$1, " ", "Formulae")</f>
        <v>Alabama Annual Income Average (AIAVG) Formulae</v>
      </c>
      <c r="C130" s="66"/>
    </row>
    <row r="131" customFormat="false" ht="12.8" hidden="false" customHeight="false" outlineLevel="0" collapsed="false">
      <c r="A131" s="49" t="s">
        <v>1842</v>
      </c>
      <c r="B131" s="49" t="s">
        <v>183</v>
      </c>
      <c r="C131" s="49" t="s">
        <v>184</v>
      </c>
      <c r="D131" s="49" t="s">
        <v>1843</v>
      </c>
      <c r="E131" s="49" t="s">
        <v>186</v>
      </c>
      <c r="F131" s="49" t="s">
        <v>187</v>
      </c>
    </row>
    <row r="132" customFormat="false" ht="12.8" hidden="false" customHeight="false" outlineLevel="0" collapsed="false">
      <c r="A132" s="39" t="s">
        <v>2660</v>
      </c>
      <c r="B132" s="39" t="s">
        <v>2661</v>
      </c>
      <c r="C132" s="39" t="s">
        <v>2662</v>
      </c>
      <c r="D132" s="39" t="s">
        <v>2663</v>
      </c>
      <c r="E132" s="39" t="s">
        <v>2664</v>
      </c>
      <c r="F132" s="39" t="s">
        <v>302</v>
      </c>
    </row>
    <row r="133" customFormat="false" ht="12.8" hidden="false" customHeight="false" outlineLevel="0" collapsed="false">
      <c r="A133" s="39" t="s">
        <v>2665</v>
      </c>
      <c r="B133" s="39" t="s">
        <v>2661</v>
      </c>
      <c r="C133" s="39" t="s">
        <v>1850</v>
      </c>
      <c r="D133" s="39" t="s">
        <v>2666</v>
      </c>
      <c r="E133" s="39" t="s">
        <v>2667</v>
      </c>
      <c r="F133" s="39" t="s">
        <v>302</v>
      </c>
    </row>
    <row r="134" customFormat="false" ht="12.8" hidden="false" customHeight="false" outlineLevel="0" collapsed="false">
      <c r="A134" s="39" t="s">
        <v>2668</v>
      </c>
      <c r="B134" s="39" t="s">
        <v>2661</v>
      </c>
      <c r="C134" s="39" t="s">
        <v>1853</v>
      </c>
      <c r="D134" s="39" t="s">
        <v>2669</v>
      </c>
      <c r="E134" s="39" t="s">
        <v>2670</v>
      </c>
      <c r="F134" s="39" t="s">
        <v>302</v>
      </c>
    </row>
    <row r="138" customFormat="false" ht="12.8" hidden="false" customHeight="false" outlineLevel="0" collapsed="false">
      <c r="A138" s="65" t="str">
        <f aca="false">_xlfn.CONCAT($A$1, ".", "PARAM")</f>
        <v>LSD.RID.0.AL.AIAVG.PARAM</v>
      </c>
      <c r="B138" s="66" t="str">
        <f aca="false">_xlfn.CONCAT($B$1, " ", "Parameters")</f>
        <v>Alabama Annual Income Average (AIAVG) Parameters</v>
      </c>
      <c r="C138" s="66"/>
    </row>
    <row r="139" customFormat="false" ht="23.85" hidden="false" customHeight="false" outlineLevel="0" collapsed="false">
      <c r="A139" s="76" t="s">
        <v>683</v>
      </c>
      <c r="B139" s="76" t="s">
        <v>184</v>
      </c>
      <c r="C139" s="76" t="s">
        <v>684</v>
      </c>
      <c r="D139" s="76" t="s">
        <v>186</v>
      </c>
      <c r="E139" s="76" t="s">
        <v>678</v>
      </c>
      <c r="F139" s="76" t="s">
        <v>679</v>
      </c>
      <c r="G139" s="76" t="s">
        <v>680</v>
      </c>
      <c r="H139" s="76" t="s">
        <v>187</v>
      </c>
    </row>
    <row r="140" customFormat="false" ht="35.05" hidden="false" customHeight="false" outlineLevel="0" collapsed="false">
      <c r="A140" s="40" t="s">
        <v>2671</v>
      </c>
      <c r="B140" s="40" t="s">
        <v>2672</v>
      </c>
      <c r="C140" s="40" t="n">
        <v>66477</v>
      </c>
      <c r="D140" s="40" t="s">
        <v>2673</v>
      </c>
      <c r="E140" s="40" t="s">
        <v>689</v>
      </c>
      <c r="F140" s="40" t="s">
        <v>893</v>
      </c>
      <c r="G140" s="77" t="s">
        <v>691</v>
      </c>
      <c r="H140" s="40" t="s">
        <v>302</v>
      </c>
    </row>
    <row r="141" customFormat="false" ht="35.05" hidden="false" customHeight="false" outlineLevel="0" collapsed="false">
      <c r="A141" s="40" t="s">
        <v>2674</v>
      </c>
      <c r="B141" s="40" t="s">
        <v>2526</v>
      </c>
      <c r="C141" s="40" t="s">
        <v>2675</v>
      </c>
      <c r="D141" s="40" t="s">
        <v>2676</v>
      </c>
      <c r="E141" s="40" t="s">
        <v>983</v>
      </c>
      <c r="F141" s="40" t="s">
        <v>984</v>
      </c>
      <c r="G141" s="77" t="s">
        <v>691</v>
      </c>
      <c r="H141" s="40" t="s">
        <v>302</v>
      </c>
    </row>
    <row r="142" customFormat="false" ht="35.05" hidden="false" customHeight="false" outlineLevel="0" collapsed="false">
      <c r="A142" s="40" t="s">
        <v>2677</v>
      </c>
      <c r="B142" s="40" t="s">
        <v>2678</v>
      </c>
      <c r="C142" s="40" t="s">
        <v>2679</v>
      </c>
      <c r="D142" s="40" t="s">
        <v>2680</v>
      </c>
      <c r="E142" s="40" t="s">
        <v>983</v>
      </c>
      <c r="F142" s="40" t="s">
        <v>984</v>
      </c>
      <c r="G142" s="77" t="s">
        <v>691</v>
      </c>
      <c r="H142" s="40" t="s">
        <v>302</v>
      </c>
    </row>
    <row r="143" customFormat="false" ht="35.05" hidden="false" customHeight="false" outlineLevel="0" collapsed="false">
      <c r="A143" s="40" t="s">
        <v>2681</v>
      </c>
      <c r="B143" s="40" t="s">
        <v>2682</v>
      </c>
      <c r="C143" s="40" t="s">
        <v>2683</v>
      </c>
      <c r="D143" s="40" t="s">
        <v>2684</v>
      </c>
      <c r="E143" s="40" t="s">
        <v>983</v>
      </c>
      <c r="F143" s="40" t="s">
        <v>984</v>
      </c>
      <c r="G143" s="77" t="s">
        <v>691</v>
      </c>
      <c r="H143" s="40" t="s">
        <v>302</v>
      </c>
    </row>
    <row r="144" customFormat="false" ht="35.05" hidden="false" customHeight="false" outlineLevel="0" collapsed="false">
      <c r="A144" s="40" t="s">
        <v>2685</v>
      </c>
      <c r="B144" s="40" t="s">
        <v>2686</v>
      </c>
      <c r="C144" s="40" t="s">
        <v>2687</v>
      </c>
      <c r="D144" s="40" t="s">
        <v>982</v>
      </c>
      <c r="E144" s="40" t="s">
        <v>983</v>
      </c>
      <c r="F144" s="40" t="s">
        <v>984</v>
      </c>
      <c r="G144" s="77" t="s">
        <v>691</v>
      </c>
      <c r="H144" s="40" t="s">
        <v>302</v>
      </c>
    </row>
    <row r="145" customFormat="false" ht="12.8" hidden="false" customHeight="false" outlineLevel="0" collapsed="false">
      <c r="A145" s="40"/>
      <c r="B145" s="40"/>
      <c r="C145" s="40"/>
      <c r="D145" s="40"/>
      <c r="E145" s="40"/>
      <c r="F145" s="40"/>
      <c r="G145" s="77"/>
      <c r="H145" s="40"/>
    </row>
    <row r="146" customFormat="false" ht="12.8" hidden="false" customHeight="false" outlineLevel="0" collapsed="false">
      <c r="A146" s="65" t="str">
        <f aca="false">_xlfn.CONCAT($A$1, ".", "VALID")</f>
        <v>LSD.RID.0.AL.AIAVG.VALID</v>
      </c>
      <c r="B146" s="66" t="str">
        <f aca="false">_xlfn.CONCAT($B$1, " ", "Validation")</f>
        <v>Alabama Annual Income Average (AIAVG) Validation</v>
      </c>
    </row>
    <row r="147" customFormat="false" ht="12.8" hidden="false" customHeight="false" outlineLevel="0" collapsed="false">
      <c r="A147" s="50" t="s">
        <v>113</v>
      </c>
      <c r="B147" s="39" t="s">
        <v>186</v>
      </c>
      <c r="C147" s="39" t="s">
        <v>677</v>
      </c>
      <c r="D147" s="39" t="s">
        <v>1875</v>
      </c>
      <c r="E147" s="39" t="s">
        <v>678</v>
      </c>
      <c r="F147" s="39" t="s">
        <v>1876</v>
      </c>
    </row>
    <row r="148" customFormat="false" ht="12.8" hidden="false" customHeight="false" outlineLevel="0" collapsed="false">
      <c r="A148" s="50" t="s">
        <v>2688</v>
      </c>
      <c r="B148" s="39" t="s">
        <v>1487</v>
      </c>
      <c r="C148" s="39" t="n">
        <v>66477</v>
      </c>
      <c r="D148" s="39" t="s">
        <v>2689</v>
      </c>
      <c r="E148" s="39" t="s">
        <v>689</v>
      </c>
      <c r="F148" s="39" t="s">
        <v>2690</v>
      </c>
    </row>
    <row r="149" customFormat="false" ht="12.8" hidden="false" customHeight="false" outlineLevel="0" collapsed="false">
      <c r="A149" s="50" t="s">
        <v>2691</v>
      </c>
      <c r="B149" s="39" t="s">
        <v>1881</v>
      </c>
      <c r="C149" s="39" t="s">
        <v>2692</v>
      </c>
      <c r="D149" s="39" t="s">
        <v>2693</v>
      </c>
      <c r="E149" s="39" t="s">
        <v>689</v>
      </c>
      <c r="F149" s="39" t="s">
        <v>2694</v>
      </c>
    </row>
    <row r="150" customFormat="false" ht="12.8" hidden="false" customHeight="false" outlineLevel="0" collapsed="false">
      <c r="A150" s="50" t="s">
        <v>2695</v>
      </c>
      <c r="B150" s="39" t="s">
        <v>2696</v>
      </c>
      <c r="C150" s="39" t="s">
        <v>2697</v>
      </c>
      <c r="D150" s="39" t="s">
        <v>2698</v>
      </c>
      <c r="E150" s="39" t="s">
        <v>689</v>
      </c>
      <c r="F150" s="39" t="s">
        <v>2699</v>
      </c>
    </row>
    <row r="151" customFormat="false" ht="12.8" hidden="false" customHeight="false" outlineLevel="0" collapsed="false">
      <c r="A151" s="50" t="s">
        <v>2700</v>
      </c>
      <c r="B151" s="39" t="s">
        <v>2701</v>
      </c>
      <c r="C151" s="39" t="s">
        <v>2702</v>
      </c>
      <c r="D151" s="39" t="s">
        <v>2703</v>
      </c>
      <c r="E151" s="39" t="s">
        <v>1629</v>
      </c>
      <c r="F151" s="39" t="s">
        <v>2704</v>
      </c>
    </row>
    <row r="152" customFormat="false" ht="12.8" hidden="false" customHeight="false" outlineLevel="0" collapsed="false">
      <c r="A152" s="50" t="s">
        <v>2705</v>
      </c>
      <c r="B152" s="39" t="s">
        <v>1896</v>
      </c>
      <c r="C152" s="39" t="s">
        <v>1962</v>
      </c>
      <c r="D152" s="39" t="s">
        <v>2706</v>
      </c>
      <c r="E152" s="39" t="s">
        <v>2707</v>
      </c>
      <c r="F152" s="39" t="s">
        <v>689</v>
      </c>
      <c r="G152" s="39" t="s">
        <v>2708</v>
      </c>
    </row>
    <row r="153" customFormat="false" ht="12.8" hidden="false" customHeight="false" outlineLevel="0" collapsed="false">
      <c r="A153" s="50" t="s">
        <v>2709</v>
      </c>
      <c r="B153" s="39" t="s">
        <v>1901</v>
      </c>
      <c r="C153" s="39" t="s">
        <v>1902</v>
      </c>
      <c r="D153" s="39" t="s">
        <v>2710</v>
      </c>
      <c r="E153" s="39" t="s">
        <v>689</v>
      </c>
      <c r="F153" s="39" t="s">
        <v>2711</v>
      </c>
    </row>
    <row r="154" customFormat="false" ht="12.8" hidden="false" customHeight="false" outlineLevel="0" collapsed="false">
      <c r="A154" s="50" t="s">
        <v>2712</v>
      </c>
      <c r="B154" s="39" t="s">
        <v>2713</v>
      </c>
      <c r="C154" s="39" t="s">
        <v>2714</v>
      </c>
      <c r="D154" s="39" t="s">
        <v>2715</v>
      </c>
      <c r="E154" s="39" t="s">
        <v>689</v>
      </c>
      <c r="F154" s="39" t="s">
        <v>2716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0041"/>
    <pageSetUpPr fitToPage="false"/>
  </sheetPr>
  <dimension ref="A1:BP121"/>
  <sheetViews>
    <sheetView showFormulas="false" showGridLines="true" showRowColHeaders="true" showZeros="true" rightToLeft="false" tabSelected="false" showOutlineSymbols="true" defaultGridColor="true" view="normal" topLeftCell="A29" colorId="64" zoomScale="65" zoomScaleNormal="65" zoomScalePageLayoutView="100" workbookViewId="0">
      <selection pane="topLeft" activeCell="B90" activeCellId="0" sqref="B90"/>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29.98"/>
    <col collapsed="false" customWidth="true" hidden="false" outlineLevel="0" max="34" min="3"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2564</v>
      </c>
      <c r="B1" s="68" t="s">
        <v>2565</v>
      </c>
      <c r="C1" s="6" t="s">
        <v>2</v>
      </c>
      <c r="D1" s="67" t="s">
        <v>2566</v>
      </c>
      <c r="AZ1" s="39"/>
      <c r="BP1" s="39"/>
    </row>
    <row r="2" customFormat="false" ht="12.8" hidden="false" customHeight="false" outlineLevel="0" collapsed="false">
      <c r="A2" s="65" t="str">
        <f aca="false">_xlfn.CONCAT($A$1, ".", "CALC")</f>
        <v>LSD.RID.0.AL.WRAVG.CALC</v>
      </c>
      <c r="B2" s="66" t="str">
        <f aca="false">_xlfn.CONCAT($B$1, " ", "Calculations")</f>
        <v>Alabama Wage Range Average () Calculations</v>
      </c>
      <c r="C2" s="3"/>
      <c r="D2" s="3"/>
      <c r="E2" s="3"/>
      <c r="F2" s="3"/>
      <c r="AT2" s="3"/>
      <c r="AU2" s="3"/>
      <c r="AV2" s="3"/>
      <c r="AW2" s="3"/>
      <c r="AZ2" s="39"/>
      <c r="BA2" s="39"/>
      <c r="BB2" s="39"/>
      <c r="BC2" s="39"/>
      <c r="BJ2" s="3"/>
      <c r="BK2" s="3"/>
      <c r="BL2" s="3"/>
      <c r="BM2" s="3"/>
      <c r="BN2" s="3"/>
      <c r="BO2" s="3"/>
    </row>
    <row r="3" customFormat="false" ht="23.85" hidden="false" customHeight="false" outlineLevel="0" collapsed="false">
      <c r="A3" s="65" t="str">
        <f aca="false">CALC!A3</f>
        <v>LSID</v>
      </c>
      <c r="B3" s="42" t="str">
        <f aca="false">CALC!C3</f>
        <v>Labor Sector</v>
      </c>
      <c r="C3" s="76" t="str">
        <f aca="false">CALC!BP3</f>
        <v>Overall AIRAVG Min</v>
      </c>
      <c r="D3" s="76" t="str">
        <f aca="false">CALC!BQ3</f>
        <v>Overall AIRAVG Max</v>
      </c>
      <c r="E3" s="76" t="str">
        <f aca="false">CALC!BR3</f>
        <v>Overall AIRAVG</v>
      </c>
      <c r="F3" s="76" t="str">
        <f aca="false">CALC!BS3</f>
        <v>Authorized AIRAVG Min</v>
      </c>
      <c r="G3" s="76" t="str">
        <f aca="false">CALC!BT3</f>
        <v>Authorized AIRAVG Max</v>
      </c>
      <c r="H3" s="76" t="str">
        <f aca="false">CALC!BU3</f>
        <v>Authorized AIRAVG</v>
      </c>
      <c r="I3" s="76" t="str">
        <f aca="false">CALC!BV3</f>
        <v>Unauthorized AIRAVG Min</v>
      </c>
      <c r="J3" s="76" t="str">
        <f aca="false">CALC!BW3</f>
        <v>Unauthorized AIRAVG Max</v>
      </c>
      <c r="K3" s="76" t="str">
        <f aca="false">CALC!BX3</f>
        <v>Unauthorized AIRAVG</v>
      </c>
      <c r="L3" s="76" t="str">
        <f aca="false">CALC!BY3</f>
        <v>American AIRAVG Min</v>
      </c>
      <c r="M3" s="76" t="str">
        <f aca="false">CALC!BZ3</f>
        <v>American AIRAVG Max</v>
      </c>
      <c r="N3" s="76" t="str">
        <f aca="false">CALC!CA3</f>
        <v>American AIRAVG</v>
      </c>
      <c r="AJ3" s="3"/>
      <c r="AK3" s="3"/>
      <c r="AL3" s="3"/>
      <c r="AM3" s="3"/>
      <c r="AZ3" s="3"/>
      <c r="BA3" s="3"/>
      <c r="BB3" s="3"/>
      <c r="BC3" s="3"/>
      <c r="BD3" s="3"/>
      <c r="BE3" s="3"/>
      <c r="BF3" s="3"/>
      <c r="BG3" s="3"/>
      <c r="BH3" s="3"/>
      <c r="BI3" s="3"/>
      <c r="BJ3" s="3"/>
      <c r="BK3" s="3"/>
      <c r="BL3" s="3"/>
      <c r="BM3" s="3"/>
      <c r="BN3" s="3"/>
      <c r="BO3" s="3"/>
    </row>
    <row r="4" customFormat="false" ht="12.8" hidden="false" customHeight="false" outlineLevel="0" collapsed="false">
      <c r="A4" s="65" t="str">
        <f aca="false">_xlfn.CONCAT($A$1, ".", CALC!A4)</f>
        <v>LSD.RID.0.AL.WRAVG.0</v>
      </c>
      <c r="B4" s="42" t="str">
        <f aca="false">CALC!C4</f>
        <v>All Industries</v>
      </c>
      <c r="C4" s="39" t="n">
        <v>31200</v>
      </c>
      <c r="D4" s="39" t="n">
        <v>114400</v>
      </c>
      <c r="E4" s="39" t="n">
        <v>66476</v>
      </c>
      <c r="F4" s="39" t="n">
        <v>32760</v>
      </c>
      <c r="G4" s="39" t="n">
        <v>121064</v>
      </c>
      <c r="H4" s="39" t="n">
        <v>69678</v>
      </c>
      <c r="I4" s="39" t="n">
        <v>21840</v>
      </c>
      <c r="J4" s="39" t="n">
        <v>91520</v>
      </c>
      <c r="K4" s="39" t="n">
        <v>53181</v>
      </c>
      <c r="L4" s="39" t="n">
        <v>31500</v>
      </c>
      <c r="M4" s="39" t="n">
        <v>115904</v>
      </c>
      <c r="N4" s="39" t="n">
        <v>67020</v>
      </c>
      <c r="AJ4" s="3"/>
      <c r="AK4" s="3"/>
      <c r="AL4" s="3"/>
      <c r="AM4" s="3"/>
      <c r="AZ4" s="3"/>
      <c r="BA4" s="3"/>
      <c r="BB4" s="3"/>
      <c r="BC4" s="3"/>
      <c r="BD4" s="3"/>
      <c r="BE4" s="3"/>
      <c r="BF4" s="3"/>
      <c r="BG4" s="3"/>
      <c r="BH4" s="3"/>
      <c r="BI4" s="3"/>
      <c r="BJ4" s="3"/>
      <c r="BK4" s="3"/>
      <c r="BL4" s="3"/>
      <c r="BM4" s="3"/>
      <c r="BN4" s="3"/>
      <c r="BO4" s="3"/>
    </row>
    <row r="5" customFormat="false" ht="23.85" hidden="false" customHeight="false" outlineLevel="0" collapsed="false">
      <c r="A5" s="65" t="str">
        <f aca="false">_xlfn.CONCAT($A$1, ".", CALC!A5)</f>
        <v>LSD.RID.0.AL.WRAVG.1</v>
      </c>
      <c r="B5" s="68" t="str">
        <f aca="false">CALC!C5</f>
        <v>Agriculture, Forestry, 
Fishing and Hunting</v>
      </c>
      <c r="C5" s="39" t="n">
        <v>20400</v>
      </c>
      <c r="D5" s="39" t="n">
        <v>57000</v>
      </c>
      <c r="E5" s="39" t="n">
        <v>38500</v>
      </c>
      <c r="F5" s="39" t="n">
        <v>21420</v>
      </c>
      <c r="G5" s="39" t="n">
        <v>60040</v>
      </c>
      <c r="H5" s="39" t="n">
        <v>40735</v>
      </c>
      <c r="I5" s="39" t="n">
        <v>14280</v>
      </c>
      <c r="J5" s="39" t="n">
        <v>45600</v>
      </c>
      <c r="K5" s="39" t="n">
        <v>29940</v>
      </c>
      <c r="L5" s="39" t="n">
        <v>20600</v>
      </c>
      <c r="M5" s="39" t="n">
        <v>57600</v>
      </c>
      <c r="N5" s="39" t="n">
        <v>38900</v>
      </c>
      <c r="AJ5" s="3"/>
      <c r="AK5" s="3"/>
      <c r="AL5" s="3"/>
      <c r="AM5" s="3"/>
      <c r="AZ5" s="3"/>
      <c r="BA5" s="3"/>
      <c r="BB5" s="3"/>
      <c r="BC5" s="3"/>
      <c r="BD5" s="3"/>
      <c r="BE5" s="3"/>
      <c r="BF5" s="3"/>
      <c r="BG5" s="3"/>
      <c r="BH5" s="3"/>
      <c r="BI5" s="3"/>
      <c r="BJ5" s="3"/>
      <c r="BK5" s="3"/>
      <c r="BL5" s="3"/>
      <c r="BM5" s="3"/>
      <c r="BN5" s="3"/>
      <c r="BO5" s="3"/>
    </row>
    <row r="6" customFormat="false" ht="23.85" hidden="false" customHeight="false" outlineLevel="0" collapsed="false">
      <c r="A6" s="65" t="str">
        <f aca="false">_xlfn.CONCAT($A$1, ".", CALC!A6)</f>
        <v>LSD.RID.0.AL.WRAVG.2</v>
      </c>
      <c r="B6" s="68" t="str">
        <f aca="false">CALC!C6</f>
        <v>Mining, Quarrying, and
Oil and Gas Extraction</v>
      </c>
      <c r="C6" s="39" t="n">
        <v>37000</v>
      </c>
      <c r="D6" s="39" t="n">
        <v>130000</v>
      </c>
      <c r="E6" s="39" t="n">
        <v>72800</v>
      </c>
      <c r="F6" s="39" t="n">
        <v>38860</v>
      </c>
      <c r="G6" s="39" t="n">
        <v>137800</v>
      </c>
      <c r="H6" s="39" t="n">
        <v>76440</v>
      </c>
      <c r="I6" s="39" t="n">
        <v>25900</v>
      </c>
      <c r="J6" s="39" t="n">
        <v>104000</v>
      </c>
      <c r="K6" s="39" t="n">
        <v>58120</v>
      </c>
      <c r="L6" s="39" t="n">
        <v>37400</v>
      </c>
      <c r="M6" s="39" t="n">
        <v>131400</v>
      </c>
      <c r="N6" s="39" t="n">
        <v>73300</v>
      </c>
      <c r="AJ6" s="3"/>
      <c r="AK6" s="3"/>
      <c r="AL6" s="3"/>
      <c r="AM6" s="3"/>
      <c r="AZ6" s="3"/>
      <c r="BA6" s="3"/>
      <c r="BB6" s="3"/>
      <c r="BC6" s="3"/>
      <c r="BD6" s="3"/>
      <c r="BE6" s="3"/>
      <c r="BF6" s="3"/>
      <c r="BG6" s="3"/>
      <c r="BH6" s="3"/>
      <c r="BI6" s="3"/>
      <c r="BJ6" s="3"/>
      <c r="BK6" s="3"/>
      <c r="BL6" s="3"/>
      <c r="BM6" s="3"/>
      <c r="BN6" s="3"/>
      <c r="BO6" s="3"/>
    </row>
    <row r="7" customFormat="false" ht="12.8" hidden="false" customHeight="false" outlineLevel="0" collapsed="false">
      <c r="A7" s="65" t="str">
        <f aca="false">_xlfn.CONCAT($A$1, ".", CALC!A7)</f>
        <v>LSD.RID.0.AL.WRAVG.3</v>
      </c>
      <c r="B7" s="42" t="str">
        <f aca="false">CALC!C7</f>
        <v>Utilities</v>
      </c>
      <c r="C7" s="39" t="n">
        <v>44000</v>
      </c>
      <c r="D7" s="39" t="n">
        <v>156000</v>
      </c>
      <c r="E7" s="39" t="n">
        <v>89024</v>
      </c>
      <c r="F7" s="39" t="n">
        <v>46200</v>
      </c>
      <c r="G7" s="39" t="n">
        <v>165360</v>
      </c>
      <c r="H7" s="39" t="n">
        <v>93475</v>
      </c>
      <c r="I7" s="39" t="n">
        <v>30800</v>
      </c>
      <c r="J7" s="39" t="n">
        <v>124800</v>
      </c>
      <c r="K7" s="39" t="n">
        <v>62300</v>
      </c>
      <c r="L7" s="39" t="n">
        <v>44400</v>
      </c>
      <c r="M7" s="39" t="n">
        <v>157600</v>
      </c>
      <c r="N7" s="39" t="n">
        <v>89600</v>
      </c>
      <c r="AJ7" s="3"/>
      <c r="AK7" s="3"/>
      <c r="AL7" s="3"/>
      <c r="AM7" s="3"/>
      <c r="AZ7" s="3"/>
      <c r="BA7" s="3"/>
      <c r="BB7" s="3"/>
      <c r="BC7" s="3"/>
      <c r="BD7" s="3"/>
      <c r="BE7" s="3"/>
      <c r="BF7" s="3"/>
      <c r="BG7" s="3"/>
      <c r="BH7" s="3"/>
      <c r="BI7" s="3"/>
      <c r="BJ7" s="3"/>
      <c r="BK7" s="3"/>
      <c r="BL7" s="3"/>
      <c r="BM7" s="3"/>
      <c r="BN7" s="3"/>
      <c r="BO7" s="3"/>
    </row>
    <row r="8" customFormat="false" ht="12.8" hidden="false" customHeight="false" outlineLevel="0" collapsed="false">
      <c r="A8" s="65" t="str">
        <f aca="false">_xlfn.CONCAT($A$1, ".", CALC!A8)</f>
        <v>LSD.RID.0.AL.WRAVG.4</v>
      </c>
      <c r="B8" s="42" t="str">
        <f aca="false">CALC!C8</f>
        <v>Construction</v>
      </c>
      <c r="C8" s="39" t="n">
        <v>29600</v>
      </c>
      <c r="D8" s="39" t="n">
        <v>104000</v>
      </c>
      <c r="E8" s="39" t="n">
        <v>56800</v>
      </c>
      <c r="F8" s="39" t="n">
        <v>31080</v>
      </c>
      <c r="G8" s="39" t="n">
        <v>110240</v>
      </c>
      <c r="H8" s="39" t="n">
        <v>59640</v>
      </c>
      <c r="I8" s="39" t="n">
        <v>20720</v>
      </c>
      <c r="J8" s="39" t="n">
        <v>83200</v>
      </c>
      <c r="K8" s="39" t="n">
        <v>41440</v>
      </c>
      <c r="L8" s="39" t="n">
        <v>29900</v>
      </c>
      <c r="M8" s="39" t="n">
        <v>105200</v>
      </c>
      <c r="N8" s="39" t="n">
        <v>57400</v>
      </c>
      <c r="AJ8" s="3"/>
      <c r="AK8" s="3"/>
      <c r="AL8" s="3"/>
      <c r="AM8" s="3"/>
      <c r="AZ8" s="3"/>
      <c r="BA8" s="3"/>
      <c r="BB8" s="3"/>
      <c r="BC8" s="3"/>
      <c r="BD8" s="3"/>
      <c r="BE8" s="3"/>
      <c r="BF8" s="3"/>
      <c r="BG8" s="3"/>
      <c r="BH8" s="3"/>
      <c r="BI8" s="3"/>
      <c r="BJ8" s="3"/>
      <c r="BK8" s="3"/>
      <c r="BL8" s="3"/>
      <c r="BM8" s="3"/>
      <c r="BN8" s="3"/>
      <c r="BO8" s="3"/>
    </row>
    <row r="9" customFormat="false" ht="23.85" hidden="false" customHeight="false" outlineLevel="0" collapsed="false">
      <c r="A9" s="65" t="str">
        <f aca="false">_xlfn.CONCAT($A$1, ".", CALC!A9)</f>
        <v>LSD.RID.0.AL.WRAVG.5</v>
      </c>
      <c r="B9" s="68" t="str">
        <f aca="false">CALC!C9</f>
        <v>Manufacturing
(Food,Textile, etc.)</v>
      </c>
      <c r="C9" s="39" t="n">
        <v>27000</v>
      </c>
      <c r="D9" s="39" t="n">
        <v>84000</v>
      </c>
      <c r="E9" s="39" t="n">
        <v>50080</v>
      </c>
      <c r="F9" s="39" t="n">
        <v>28360</v>
      </c>
      <c r="G9" s="39" t="n">
        <v>89040</v>
      </c>
      <c r="H9" s="39" t="n">
        <v>52684</v>
      </c>
      <c r="I9" s="39" t="n">
        <v>18900</v>
      </c>
      <c r="J9" s="39" t="n">
        <v>67200</v>
      </c>
      <c r="K9" s="39" t="n">
        <v>40064</v>
      </c>
      <c r="L9" s="39" t="n">
        <v>27300</v>
      </c>
      <c r="M9" s="39" t="n">
        <v>84800</v>
      </c>
      <c r="N9" s="39" t="n">
        <v>50500</v>
      </c>
      <c r="AJ9" s="3"/>
      <c r="AK9" s="3"/>
      <c r="AL9" s="3"/>
      <c r="AM9" s="3"/>
      <c r="AZ9" s="3"/>
      <c r="BA9" s="3"/>
      <c r="BB9" s="3"/>
      <c r="BC9" s="3"/>
      <c r="BD9" s="3"/>
      <c r="BE9" s="3"/>
      <c r="BF9" s="3"/>
      <c r="BG9" s="3"/>
      <c r="BH9" s="3"/>
      <c r="BI9" s="3"/>
      <c r="BJ9" s="3"/>
      <c r="BK9" s="3"/>
      <c r="BL9" s="3"/>
      <c r="BM9" s="3"/>
      <c r="BN9" s="3"/>
      <c r="BO9" s="3"/>
    </row>
    <row r="10" customFormat="false" ht="23.85" hidden="false" customHeight="false" outlineLevel="0" collapsed="false">
      <c r="A10" s="65" t="str">
        <f aca="false">_xlfn.CONCAT($A$1, ".", CALC!A10)</f>
        <v>LSD.RID.0.AL.WRAVG.6</v>
      </c>
      <c r="B10" s="68" t="str">
        <f aca="false">CALC!C10</f>
        <v>Manufacturing (Wood,
Paper, Printing, etc.)</v>
      </c>
      <c r="C10" s="39" t="n">
        <v>30000</v>
      </c>
      <c r="D10" s="39" t="n">
        <v>96000</v>
      </c>
      <c r="E10" s="39" t="n">
        <v>55120</v>
      </c>
      <c r="F10" s="39" t="n">
        <v>31500</v>
      </c>
      <c r="G10" s="39" t="n">
        <v>101760</v>
      </c>
      <c r="H10" s="39" t="n">
        <v>57976</v>
      </c>
      <c r="I10" s="39" t="n">
        <v>21000</v>
      </c>
      <c r="J10" s="39" t="n">
        <v>76800</v>
      </c>
      <c r="K10" s="39" t="n">
        <v>44096</v>
      </c>
      <c r="L10" s="39" t="n">
        <v>30300</v>
      </c>
      <c r="M10" s="39" t="n">
        <v>97000</v>
      </c>
      <c r="N10" s="39" t="n">
        <v>55600</v>
      </c>
      <c r="AJ10" s="3"/>
      <c r="AK10" s="3"/>
      <c r="AL10" s="3"/>
      <c r="AM10" s="3"/>
      <c r="AZ10" s="3"/>
      <c r="BA10" s="3"/>
      <c r="BB10" s="3"/>
      <c r="BC10" s="3"/>
      <c r="BD10" s="3"/>
      <c r="BE10" s="3"/>
      <c r="BF10" s="3"/>
      <c r="BG10" s="3"/>
      <c r="BH10" s="3"/>
      <c r="BI10" s="3"/>
      <c r="BJ10" s="3"/>
      <c r="BK10" s="3"/>
      <c r="BL10" s="3"/>
      <c r="BM10" s="3"/>
      <c r="BN10" s="3"/>
      <c r="BO10" s="3"/>
    </row>
    <row r="11" customFormat="false" ht="23.85" hidden="false" customHeight="false" outlineLevel="0" collapsed="false">
      <c r="A11" s="65" t="str">
        <f aca="false">_xlfn.CONCAT($A$1, ".", CALC!A11)</f>
        <v>LSD.RID.0.AL.WRAVG.7</v>
      </c>
      <c r="B11" s="68" t="str">
        <f aca="false">CALC!C11</f>
        <v>Manufacturing
(Machinery, Transport)</v>
      </c>
      <c r="C11" s="39" t="n">
        <v>36000</v>
      </c>
      <c r="D11" s="39" t="n">
        <v>116000</v>
      </c>
      <c r="E11" s="39" t="n">
        <v>68432</v>
      </c>
      <c r="F11" s="39" t="n">
        <v>37800</v>
      </c>
      <c r="G11" s="39" t="n">
        <v>122960</v>
      </c>
      <c r="H11" s="39" t="n">
        <v>71954</v>
      </c>
      <c r="I11" s="39" t="n">
        <v>25200</v>
      </c>
      <c r="J11" s="39" t="n">
        <v>92800</v>
      </c>
      <c r="K11" s="39" t="n">
        <v>54746</v>
      </c>
      <c r="L11" s="39" t="n">
        <v>36400</v>
      </c>
      <c r="M11" s="39" t="n">
        <v>117200</v>
      </c>
      <c r="N11" s="39" t="n">
        <v>69000</v>
      </c>
      <c r="AJ11" s="3"/>
      <c r="AK11" s="3"/>
      <c r="AL11" s="3"/>
      <c r="AM11" s="3"/>
      <c r="AZ11" s="3"/>
      <c r="BA11" s="3"/>
      <c r="BB11" s="3"/>
      <c r="BC11" s="3"/>
      <c r="BD11" s="3"/>
      <c r="BE11" s="3"/>
      <c r="BF11" s="3"/>
      <c r="BG11" s="3"/>
      <c r="BH11" s="3"/>
      <c r="BI11" s="3"/>
      <c r="BJ11" s="3"/>
      <c r="BK11" s="3"/>
      <c r="BL11" s="3"/>
      <c r="BM11" s="3"/>
      <c r="BN11" s="3"/>
      <c r="BO11" s="3"/>
    </row>
    <row r="12" customFormat="false" ht="12.9" hidden="false" customHeight="false" outlineLevel="0" collapsed="false">
      <c r="A12" s="65" t="str">
        <f aca="false">_xlfn.CONCAT($A$1, ".", CALC!A12)</f>
        <v>LSD.RID.0.AL.WRAVG.8</v>
      </c>
      <c r="B12" s="42" t="str">
        <f aca="false">CALC!C12</f>
        <v>Wholesale Trade</v>
      </c>
      <c r="C12" s="39" t="n">
        <v>33600</v>
      </c>
      <c r="D12" s="39" t="n">
        <v>110000</v>
      </c>
      <c r="E12" s="39" t="n">
        <v>60400</v>
      </c>
      <c r="F12" s="39" t="n">
        <v>35280</v>
      </c>
      <c r="G12" s="39" t="n">
        <v>116600</v>
      </c>
      <c r="H12" s="39" t="n">
        <v>63520</v>
      </c>
      <c r="I12" s="39" t="n">
        <v>23520</v>
      </c>
      <c r="J12" s="39" t="n">
        <v>88000</v>
      </c>
      <c r="K12" s="39" t="n">
        <v>47040</v>
      </c>
      <c r="L12" s="39" t="n">
        <v>34000</v>
      </c>
      <c r="M12" s="39" t="n">
        <v>111200</v>
      </c>
      <c r="N12" s="39" t="n">
        <v>60800</v>
      </c>
      <c r="AJ12" s="3"/>
      <c r="AK12" s="3"/>
      <c r="AL12" s="3"/>
      <c r="AM12" s="3"/>
      <c r="AZ12" s="3"/>
      <c r="BA12" s="3"/>
      <c r="BB12" s="3"/>
      <c r="BC12" s="3"/>
      <c r="BD12" s="3"/>
      <c r="BE12" s="3"/>
      <c r="BF12" s="3"/>
      <c r="BG12" s="3"/>
      <c r="BH12" s="3"/>
      <c r="BI12" s="3"/>
      <c r="BJ12" s="3"/>
      <c r="BK12" s="3"/>
      <c r="BL12" s="3"/>
      <c r="BM12" s="3"/>
      <c r="BN12" s="3"/>
      <c r="BO12" s="3"/>
    </row>
    <row r="13" customFormat="false" ht="23.85" hidden="false" customHeight="false" outlineLevel="0" collapsed="false">
      <c r="A13" s="65" t="str">
        <f aca="false">_xlfn.CONCAT($A$1, ".", CALC!A13)</f>
        <v>LSD.RID.0.AL.WRAVG.9</v>
      </c>
      <c r="B13" s="68" t="str">
        <f aca="false">CALC!C13</f>
        <v>Retail Trade (Motor
Vehicle, Electronics)</v>
      </c>
      <c r="C13" s="39" t="n">
        <v>30400</v>
      </c>
      <c r="D13" s="39" t="n">
        <v>100000</v>
      </c>
      <c r="E13" s="39" t="n">
        <v>56200</v>
      </c>
      <c r="F13" s="39" t="n">
        <v>31920</v>
      </c>
      <c r="G13" s="39" t="n">
        <v>106000</v>
      </c>
      <c r="H13" s="39" t="n">
        <v>59100</v>
      </c>
      <c r="I13" s="39" t="n">
        <v>21280</v>
      </c>
      <c r="J13" s="39" t="n">
        <v>80000</v>
      </c>
      <c r="K13" s="39" t="n">
        <v>44960</v>
      </c>
      <c r="L13" s="39" t="n">
        <v>30700</v>
      </c>
      <c r="M13" s="39" t="n">
        <v>101000</v>
      </c>
      <c r="N13" s="39" t="n">
        <v>56700</v>
      </c>
      <c r="AJ13" s="3"/>
      <c r="AK13" s="3"/>
      <c r="AL13" s="3"/>
      <c r="AM13" s="3"/>
      <c r="AZ13" s="3"/>
      <c r="BA13" s="3"/>
      <c r="BB13" s="3"/>
      <c r="BC13" s="3"/>
      <c r="BD13" s="3"/>
      <c r="BE13" s="3"/>
      <c r="BF13" s="3"/>
      <c r="BG13" s="3"/>
      <c r="BH13" s="3"/>
      <c r="BI13" s="3"/>
      <c r="BJ13" s="3"/>
      <c r="BK13" s="3"/>
      <c r="BL13" s="3"/>
      <c r="BM13" s="3"/>
      <c r="BN13" s="3"/>
      <c r="BO13" s="3"/>
    </row>
    <row r="14" customFormat="false" ht="23.85" hidden="false" customHeight="false" outlineLevel="0" collapsed="false">
      <c r="A14" s="65" t="str">
        <f aca="false">_xlfn.CONCAT($A$1, ".", CALC!A14)</f>
        <v>LSD.RID.0.AL.WRAVG.10</v>
      </c>
      <c r="B14" s="68" t="str">
        <f aca="false">CALC!C14</f>
        <v>Retail Trade (Food, Clothing,
General Merchandise, etc.)</v>
      </c>
      <c r="C14" s="39" t="n">
        <v>23000</v>
      </c>
      <c r="D14" s="39" t="n">
        <v>76000</v>
      </c>
      <c r="E14" s="39" t="n">
        <v>41600</v>
      </c>
      <c r="F14" s="39" t="n">
        <v>24160</v>
      </c>
      <c r="G14" s="39" t="n">
        <v>80560</v>
      </c>
      <c r="H14" s="39" t="n">
        <v>43680</v>
      </c>
      <c r="I14" s="39" t="n">
        <v>16100</v>
      </c>
      <c r="J14" s="39" t="n">
        <v>60800</v>
      </c>
      <c r="K14" s="39" t="n">
        <v>33280</v>
      </c>
      <c r="L14" s="39" t="n">
        <v>23240</v>
      </c>
      <c r="M14" s="39" t="n">
        <v>76800</v>
      </c>
      <c r="N14" s="39" t="n">
        <v>42000</v>
      </c>
      <c r="AJ14" s="3"/>
      <c r="AK14" s="3"/>
      <c r="AL14" s="3"/>
      <c r="AM14" s="3"/>
      <c r="AZ14" s="3"/>
      <c r="BA14" s="3"/>
      <c r="BB14" s="3"/>
      <c r="BC14" s="3"/>
      <c r="BD14" s="3"/>
      <c r="BE14" s="3"/>
      <c r="BF14" s="3"/>
      <c r="BG14" s="3"/>
      <c r="BH14" s="3"/>
      <c r="BI14" s="3"/>
      <c r="BJ14" s="3"/>
      <c r="BK14" s="3"/>
      <c r="BL14" s="3"/>
      <c r="BM14" s="3"/>
      <c r="BN14" s="3"/>
      <c r="BO14" s="3"/>
    </row>
    <row r="15" customFormat="false" ht="12.8" hidden="false" customHeight="false" outlineLevel="0" collapsed="false">
      <c r="A15" s="65" t="str">
        <f aca="false">_xlfn.CONCAT($A$1, ".", CALC!A15)</f>
        <v>LSD.RID.0.AL.WRAVG.11</v>
      </c>
      <c r="B15" s="42" t="str">
        <f aca="false">CALC!C15</f>
        <v>Transportation</v>
      </c>
      <c r="C15" s="39" t="n">
        <v>34000</v>
      </c>
      <c r="D15" s="39" t="n">
        <v>116000</v>
      </c>
      <c r="E15" s="39" t="n">
        <v>65840</v>
      </c>
      <c r="F15" s="39" t="n">
        <v>35700</v>
      </c>
      <c r="G15" s="39" t="n">
        <v>122960</v>
      </c>
      <c r="H15" s="39" t="n">
        <v>69132</v>
      </c>
      <c r="I15" s="39" t="n">
        <v>23800</v>
      </c>
      <c r="J15" s="39" t="n">
        <v>92800</v>
      </c>
      <c r="K15" s="39" t="n">
        <v>52340</v>
      </c>
      <c r="L15" s="39" t="n">
        <v>34400</v>
      </c>
      <c r="M15" s="39" t="n">
        <v>117200</v>
      </c>
      <c r="N15" s="39" t="n">
        <v>66100</v>
      </c>
      <c r="AJ15" s="3"/>
      <c r="AK15" s="3"/>
      <c r="AL15" s="3"/>
      <c r="AM15" s="3"/>
      <c r="AZ15" s="3"/>
      <c r="BA15" s="3"/>
      <c r="BB15" s="3"/>
      <c r="BC15" s="3"/>
      <c r="BD15" s="3"/>
      <c r="BE15" s="3"/>
      <c r="BF15" s="3"/>
      <c r="BG15" s="3"/>
      <c r="BH15" s="3"/>
      <c r="BI15" s="3"/>
      <c r="BJ15" s="3"/>
      <c r="BK15" s="3"/>
      <c r="BL15" s="3"/>
      <c r="BM15" s="3"/>
      <c r="BN15" s="3"/>
      <c r="BO15" s="3"/>
    </row>
    <row r="16" customFormat="false" ht="12.8" hidden="false" customHeight="false" outlineLevel="0" collapsed="false">
      <c r="A16" s="65" t="str">
        <f aca="false">_xlfn.CONCAT($A$1, ".", CALC!A16)</f>
        <v>LSD.RID.0.AL.WRAVG.12</v>
      </c>
      <c r="B16" s="42" t="str">
        <f aca="false">CALC!C16</f>
        <v>Warehousing and Storage</v>
      </c>
      <c r="C16" s="39" t="n">
        <v>28000</v>
      </c>
      <c r="D16" s="39" t="n">
        <v>90000</v>
      </c>
      <c r="E16" s="39" t="n">
        <v>52000</v>
      </c>
      <c r="F16" s="39" t="n">
        <v>29400</v>
      </c>
      <c r="G16" s="39" t="n">
        <v>95400</v>
      </c>
      <c r="H16" s="39" t="n">
        <v>54600</v>
      </c>
      <c r="I16" s="39" t="n">
        <v>19600</v>
      </c>
      <c r="J16" s="39" t="n">
        <v>72000</v>
      </c>
      <c r="K16" s="39" t="n">
        <v>41600</v>
      </c>
      <c r="L16" s="39" t="n">
        <v>28280</v>
      </c>
      <c r="M16" s="39" t="n">
        <v>91000</v>
      </c>
      <c r="N16" s="39" t="n">
        <v>53200</v>
      </c>
      <c r="AJ16" s="3"/>
      <c r="AK16" s="3"/>
      <c r="AL16" s="3"/>
      <c r="AM16" s="3"/>
      <c r="AZ16" s="3"/>
      <c r="BA16" s="3"/>
      <c r="BB16" s="3"/>
      <c r="BC16" s="3"/>
      <c r="BD16" s="3"/>
      <c r="BE16" s="3"/>
      <c r="BF16" s="3"/>
      <c r="BG16" s="3"/>
      <c r="BH16" s="3"/>
      <c r="BI16" s="3"/>
      <c r="BJ16" s="3"/>
      <c r="BK16" s="3"/>
      <c r="BL16" s="3"/>
      <c r="BM16" s="3"/>
      <c r="BN16" s="3"/>
      <c r="BO16" s="3"/>
    </row>
    <row r="17" customFormat="false" ht="12.8" hidden="false" customHeight="false" outlineLevel="0" collapsed="false">
      <c r="A17" s="65" t="str">
        <f aca="false">_xlfn.CONCAT($A$1, ".", CALC!A17)</f>
        <v>LSD.RID.0.AL.WRAVG.13</v>
      </c>
      <c r="B17" s="42" t="str">
        <f aca="false">CALC!C17</f>
        <v>Information</v>
      </c>
      <c r="C17" s="39" t="n">
        <v>40000</v>
      </c>
      <c r="D17" s="39" t="n">
        <v>140000</v>
      </c>
      <c r="E17" s="39" t="n">
        <v>80000</v>
      </c>
      <c r="F17" s="39" t="n">
        <v>42000</v>
      </c>
      <c r="G17" s="39" t="n">
        <v>148000</v>
      </c>
      <c r="H17" s="39" t="n">
        <v>84000</v>
      </c>
      <c r="I17" s="39" t="n">
        <v>28000</v>
      </c>
      <c r="J17" s="39" t="n">
        <v>112000</v>
      </c>
      <c r="K17" s="39" t="n">
        <v>64000</v>
      </c>
      <c r="L17" s="39" t="n">
        <v>40400</v>
      </c>
      <c r="M17" s="39" t="n">
        <v>141400</v>
      </c>
      <c r="N17" s="39" t="n">
        <v>80600</v>
      </c>
      <c r="AJ17" s="3"/>
      <c r="AK17" s="3"/>
      <c r="AL17" s="3"/>
      <c r="AM17" s="3"/>
      <c r="AZ17" s="3"/>
      <c r="BA17" s="3"/>
      <c r="BB17" s="3"/>
      <c r="BC17" s="3"/>
      <c r="BD17" s="3"/>
      <c r="BE17" s="3"/>
      <c r="BF17" s="3"/>
      <c r="BG17" s="3"/>
      <c r="BH17" s="3"/>
      <c r="BI17" s="3"/>
      <c r="BJ17" s="3"/>
      <c r="BK17" s="3"/>
      <c r="BL17" s="3"/>
      <c r="BM17" s="3"/>
      <c r="BN17" s="3"/>
      <c r="BO17" s="3"/>
    </row>
    <row r="18" customFormat="false" ht="12.8" hidden="false" customHeight="false" outlineLevel="0" collapsed="false">
      <c r="A18" s="65" t="str">
        <f aca="false">_xlfn.CONCAT($A$1, ".", CALC!A18)</f>
        <v>LSD.RID.0.AL.WRAVG.14</v>
      </c>
      <c r="B18" s="42" t="str">
        <f aca="false">CALC!C18</f>
        <v>Finance and Insurance</v>
      </c>
      <c r="C18" s="39" t="n">
        <v>44000</v>
      </c>
      <c r="D18" s="39" t="n">
        <v>150000</v>
      </c>
      <c r="E18" s="39" t="n">
        <v>83200</v>
      </c>
      <c r="F18" s="39" t="n">
        <v>46200</v>
      </c>
      <c r="G18" s="39" t="n">
        <v>159000</v>
      </c>
      <c r="H18" s="39" t="n">
        <v>87360</v>
      </c>
      <c r="I18" s="39" t="n">
        <v>30800</v>
      </c>
      <c r="J18" s="39" t="n">
        <v>120000</v>
      </c>
      <c r="K18" s="39" t="n">
        <v>66560</v>
      </c>
      <c r="L18" s="39" t="n">
        <v>44400</v>
      </c>
      <c r="M18" s="39" t="n">
        <v>151600</v>
      </c>
      <c r="N18" s="39" t="n">
        <v>84000</v>
      </c>
      <c r="AJ18" s="3"/>
      <c r="AK18" s="3"/>
      <c r="AL18" s="3"/>
      <c r="AM18" s="3"/>
      <c r="AZ18" s="3"/>
      <c r="BA18" s="3"/>
      <c r="BB18" s="3"/>
      <c r="BC18" s="3"/>
      <c r="BD18" s="3"/>
      <c r="BE18" s="3"/>
      <c r="BF18" s="3"/>
      <c r="BG18" s="3"/>
      <c r="BH18" s="3"/>
      <c r="BI18" s="3"/>
      <c r="BJ18" s="3"/>
      <c r="BK18" s="3"/>
      <c r="BL18" s="3"/>
      <c r="BM18" s="3"/>
      <c r="BN18" s="3"/>
      <c r="BO18" s="3"/>
    </row>
    <row r="19" customFormat="false" ht="23.85" hidden="false" customHeight="false" outlineLevel="0" collapsed="false">
      <c r="A19" s="65" t="str">
        <f aca="false">_xlfn.CONCAT($A$1, ".", CALC!A19)</f>
        <v>LSD.RID.0.AL.WRAVG.15</v>
      </c>
      <c r="B19" s="68" t="str">
        <f aca="false">CALC!C19</f>
        <v>Real Estate and
Rental and Leasing</v>
      </c>
      <c r="C19" s="39" t="n">
        <v>35000</v>
      </c>
      <c r="D19" s="39" t="n">
        <v>120000</v>
      </c>
      <c r="E19" s="39" t="n">
        <v>67200</v>
      </c>
      <c r="F19" s="39" t="n">
        <v>36750</v>
      </c>
      <c r="G19" s="39" t="n">
        <v>127200</v>
      </c>
      <c r="H19" s="39" t="n">
        <v>70560</v>
      </c>
      <c r="I19" s="39" t="n">
        <v>24500</v>
      </c>
      <c r="J19" s="39" t="n">
        <v>96000</v>
      </c>
      <c r="K19" s="39" t="n">
        <v>53760</v>
      </c>
      <c r="L19" s="39" t="n">
        <v>35400</v>
      </c>
      <c r="M19" s="39" t="n">
        <v>121200</v>
      </c>
      <c r="N19" s="39" t="n">
        <v>67400</v>
      </c>
      <c r="AJ19" s="3"/>
      <c r="AK19" s="3"/>
      <c r="AL19" s="3"/>
      <c r="AM19" s="3"/>
      <c r="AZ19" s="3"/>
      <c r="BA19" s="3"/>
      <c r="BB19" s="3"/>
      <c r="BC19" s="3"/>
      <c r="BD19" s="3"/>
      <c r="BE19" s="3"/>
      <c r="BF19" s="3"/>
      <c r="BG19" s="3"/>
      <c r="BH19" s="3"/>
      <c r="BI19" s="3"/>
      <c r="BJ19" s="3"/>
      <c r="BK19" s="3"/>
      <c r="BL19" s="3"/>
      <c r="BM19" s="3"/>
      <c r="BN19" s="3"/>
      <c r="BO19" s="3"/>
    </row>
    <row r="20" customFormat="false" ht="23.85" hidden="false" customHeight="false" outlineLevel="0" collapsed="false">
      <c r="A20" s="65" t="str">
        <f aca="false">_xlfn.CONCAT($A$1, ".", CALC!A20)</f>
        <v>LSD.RID.0.AL.WRAVG.16</v>
      </c>
      <c r="B20" s="68" t="str">
        <f aca="false">CALC!C20</f>
        <v>Professional, Scientific,
and Technical Services</v>
      </c>
      <c r="C20" s="39" t="n">
        <v>50000</v>
      </c>
      <c r="D20" s="39" t="n">
        <v>180000</v>
      </c>
      <c r="E20" s="39" t="n">
        <v>95040</v>
      </c>
      <c r="F20" s="39" t="n">
        <v>52500</v>
      </c>
      <c r="G20" s="39" t="n">
        <v>190800</v>
      </c>
      <c r="H20" s="39" t="n">
        <v>100792</v>
      </c>
      <c r="I20" s="39" t="n">
        <v>35000</v>
      </c>
      <c r="J20" s="39" t="n">
        <v>144000</v>
      </c>
      <c r="K20" s="39" t="n">
        <v>76160</v>
      </c>
      <c r="L20" s="39" t="n">
        <v>50600</v>
      </c>
      <c r="M20" s="39" t="n">
        <v>181800</v>
      </c>
      <c r="N20" s="39" t="n">
        <v>96000</v>
      </c>
      <c r="AJ20" s="3"/>
      <c r="AK20" s="3"/>
      <c r="AL20" s="3"/>
      <c r="AM20" s="3"/>
      <c r="AZ20" s="3"/>
      <c r="BA20" s="3"/>
      <c r="BB20" s="3"/>
      <c r="BC20" s="3"/>
      <c r="BD20" s="3"/>
      <c r="BE20" s="3"/>
      <c r="BF20" s="3"/>
      <c r="BG20" s="3"/>
      <c r="BH20" s="3"/>
      <c r="BI20" s="3"/>
      <c r="BJ20" s="3"/>
      <c r="BK20" s="3"/>
      <c r="BL20" s="3"/>
      <c r="BM20" s="3"/>
      <c r="BN20" s="3"/>
      <c r="BO20" s="3"/>
    </row>
    <row r="21" customFormat="false" ht="34.4" hidden="false" customHeight="false" outlineLevel="0" collapsed="false">
      <c r="A21" s="65" t="str">
        <f aca="false">_xlfn.CONCAT($A$1, ".", CALC!A21)</f>
        <v>LSD.RID.0.AL.WRAVG.17</v>
      </c>
      <c r="B21" s="68" t="str">
        <f aca="false">CALC!C21</f>
        <v>Administrative and Support
and Waste Management
and Remediation Services</v>
      </c>
      <c r="C21" s="39" t="n">
        <v>24000</v>
      </c>
      <c r="D21" s="39" t="n">
        <v>80000</v>
      </c>
      <c r="E21" s="39" t="n">
        <v>44600</v>
      </c>
      <c r="F21" s="39" t="n">
        <v>25200</v>
      </c>
      <c r="G21" s="39" t="n">
        <v>84800</v>
      </c>
      <c r="H21" s="39" t="n">
        <v>46880</v>
      </c>
      <c r="I21" s="39" t="n">
        <v>16800</v>
      </c>
      <c r="J21" s="39" t="n">
        <v>64000</v>
      </c>
      <c r="K21" s="39" t="n">
        <v>35840</v>
      </c>
      <c r="L21" s="39" t="n">
        <v>24240</v>
      </c>
      <c r="M21" s="39" t="n">
        <v>80800</v>
      </c>
      <c r="N21" s="39" t="n">
        <v>44900</v>
      </c>
      <c r="AJ21" s="3"/>
      <c r="AK21" s="3"/>
      <c r="AL21" s="3"/>
      <c r="AM21" s="3"/>
      <c r="AZ21" s="3"/>
      <c r="BA21" s="3"/>
      <c r="BB21" s="3"/>
      <c r="BC21" s="3"/>
      <c r="BD21" s="3"/>
      <c r="BE21" s="3"/>
      <c r="BF21" s="3"/>
      <c r="BG21" s="3"/>
      <c r="BH21" s="3"/>
      <c r="BI21" s="3"/>
      <c r="BJ21" s="3"/>
      <c r="BK21" s="3"/>
      <c r="BL21" s="3"/>
      <c r="BM21" s="3"/>
      <c r="BN21" s="3"/>
      <c r="BO21" s="3"/>
    </row>
    <row r="22" customFormat="false" ht="12.8" hidden="false" customHeight="false" outlineLevel="0" collapsed="false">
      <c r="A22" s="65" t="str">
        <f aca="false">_xlfn.CONCAT($A$1, ".", CALC!A22)</f>
        <v>LSD.RID.0.AL.WRAVG.18</v>
      </c>
      <c r="B22" s="42" t="str">
        <f aca="false">CALC!C22</f>
        <v>Educational Services</v>
      </c>
      <c r="C22" s="39" t="n">
        <v>37000</v>
      </c>
      <c r="D22" s="39" t="n">
        <v>124000</v>
      </c>
      <c r="E22" s="39" t="n">
        <v>70880</v>
      </c>
      <c r="F22" s="39" t="n">
        <v>38860</v>
      </c>
      <c r="G22" s="39" t="n">
        <v>131440</v>
      </c>
      <c r="H22" s="39" t="n">
        <v>74424</v>
      </c>
      <c r="I22" s="39" t="n">
        <v>25900</v>
      </c>
      <c r="J22" s="39" t="n">
        <v>99200</v>
      </c>
      <c r="K22" s="39" t="n">
        <v>56560</v>
      </c>
      <c r="L22" s="39" t="n">
        <v>37400</v>
      </c>
      <c r="M22" s="39" t="n">
        <v>125200</v>
      </c>
      <c r="N22" s="39" t="n">
        <v>71400</v>
      </c>
      <c r="AJ22" s="3"/>
      <c r="AK22" s="3"/>
      <c r="AL22" s="3"/>
      <c r="AM22" s="3"/>
      <c r="AZ22" s="3"/>
      <c r="BA22" s="3"/>
      <c r="BB22" s="3"/>
      <c r="BC22" s="3"/>
      <c r="BD22" s="3"/>
      <c r="BE22" s="3"/>
      <c r="BF22" s="3"/>
      <c r="BG22" s="3"/>
      <c r="BH22" s="3"/>
      <c r="BI22" s="3"/>
      <c r="BJ22" s="3"/>
      <c r="BK22" s="3"/>
      <c r="BL22" s="3"/>
      <c r="BM22" s="3"/>
      <c r="BN22" s="3"/>
      <c r="BO22" s="3"/>
    </row>
    <row r="23" customFormat="false" ht="23.85" hidden="false" customHeight="false" outlineLevel="0" collapsed="false">
      <c r="A23" s="65" t="str">
        <f aca="false">_xlfn.CONCAT($A$1, ".", CALC!A23)</f>
        <v>LSD.RID.0.AL.WRAVG.19</v>
      </c>
      <c r="B23" s="68" t="str">
        <f aca="false">CALC!C23</f>
        <v>Health Care and
Social Assistance</v>
      </c>
      <c r="C23" s="39" t="n">
        <v>40000</v>
      </c>
      <c r="D23" s="39" t="n">
        <v>136000</v>
      </c>
      <c r="E23" s="39" t="n">
        <v>76480</v>
      </c>
      <c r="F23" s="39" t="n">
        <v>42000</v>
      </c>
      <c r="G23" s="39" t="n">
        <v>144160</v>
      </c>
      <c r="H23" s="39" t="n">
        <v>80304</v>
      </c>
      <c r="I23" s="39" t="n">
        <v>28000</v>
      </c>
      <c r="J23" s="39" t="n">
        <v>108800</v>
      </c>
      <c r="K23" s="39" t="n">
        <v>61120</v>
      </c>
      <c r="L23" s="39" t="n">
        <v>40400</v>
      </c>
      <c r="M23" s="39" t="n">
        <v>137400</v>
      </c>
      <c r="N23" s="39" t="n">
        <v>78300</v>
      </c>
      <c r="AJ23" s="3"/>
      <c r="AK23" s="3"/>
      <c r="AL23" s="3"/>
      <c r="AM23" s="3"/>
      <c r="AZ23" s="3"/>
      <c r="BA23" s="3"/>
      <c r="BB23" s="3"/>
      <c r="BC23" s="3"/>
      <c r="BD23" s="3"/>
      <c r="BE23" s="3"/>
      <c r="BF23" s="3"/>
      <c r="BG23" s="3"/>
      <c r="BH23" s="3"/>
      <c r="BI23" s="3"/>
      <c r="BJ23" s="3"/>
      <c r="BK23" s="3"/>
      <c r="BL23" s="3"/>
      <c r="BM23" s="3"/>
      <c r="BN23" s="3"/>
      <c r="BO23" s="3"/>
    </row>
    <row r="24" customFormat="false" ht="23.85" hidden="false" customHeight="false" outlineLevel="0" collapsed="false">
      <c r="A24" s="65" t="str">
        <f aca="false">_xlfn.CONCAT($A$1, ".", CALC!A24)</f>
        <v>LSD.RID.0.AL.WRAVG.20</v>
      </c>
      <c r="B24" s="68" t="str">
        <f aca="false">CALC!C24</f>
        <v>Arts, Entertainment,
and Recreation</v>
      </c>
      <c r="C24" s="39" t="n">
        <v>26000</v>
      </c>
      <c r="D24" s="39" t="n">
        <v>84000</v>
      </c>
      <c r="E24" s="39" t="n">
        <v>50720</v>
      </c>
      <c r="F24" s="39" t="n">
        <v>27300</v>
      </c>
      <c r="G24" s="39" t="n">
        <v>89040</v>
      </c>
      <c r="H24" s="39" t="n">
        <v>53376</v>
      </c>
      <c r="I24" s="39" t="n">
        <v>18200</v>
      </c>
      <c r="J24" s="39" t="n">
        <v>67200</v>
      </c>
      <c r="K24" s="39" t="n">
        <v>40640</v>
      </c>
      <c r="L24" s="39" t="n">
        <v>26260</v>
      </c>
      <c r="M24" s="39" t="n">
        <v>84800</v>
      </c>
      <c r="N24" s="39" t="n">
        <v>51200</v>
      </c>
      <c r="AJ24" s="3"/>
      <c r="AK24" s="3"/>
      <c r="AL24" s="3"/>
      <c r="AM24" s="3"/>
      <c r="AZ24" s="3"/>
      <c r="BA24" s="3"/>
      <c r="BB24" s="3"/>
      <c r="BC24" s="3"/>
      <c r="BD24" s="3"/>
      <c r="BE24" s="3"/>
      <c r="BF24" s="3"/>
      <c r="BG24" s="3"/>
      <c r="BH24" s="3"/>
      <c r="BI24" s="3"/>
      <c r="BJ24" s="3"/>
      <c r="BK24" s="3"/>
      <c r="BL24" s="3"/>
      <c r="BM24" s="3"/>
      <c r="BN24" s="3"/>
      <c r="BO24" s="3"/>
    </row>
    <row r="25" customFormat="false" ht="23.85" hidden="false" customHeight="false" outlineLevel="0" collapsed="false">
      <c r="A25" s="65" t="str">
        <f aca="false">_xlfn.CONCAT($A$1, ".", CALC!A25)</f>
        <v>LSD.RID.0.AL.WRAVG.21</v>
      </c>
      <c r="B25" s="68" t="str">
        <f aca="false">CALC!C25</f>
        <v>Accommodation
and Food Services</v>
      </c>
      <c r="C25" s="39" t="n">
        <v>19000</v>
      </c>
      <c r="D25" s="39" t="n">
        <v>64000</v>
      </c>
      <c r="E25" s="39" t="n">
        <v>34960</v>
      </c>
      <c r="F25" s="39" t="n">
        <v>19950</v>
      </c>
      <c r="G25" s="39" t="n">
        <v>67840</v>
      </c>
      <c r="H25" s="39" t="n">
        <v>37152</v>
      </c>
      <c r="I25" s="39" t="n">
        <v>13300</v>
      </c>
      <c r="J25" s="39" t="n">
        <v>51200</v>
      </c>
      <c r="K25" s="39" t="n">
        <v>27968</v>
      </c>
      <c r="L25" s="39" t="n">
        <v>19200</v>
      </c>
      <c r="M25" s="39" t="n">
        <v>64600</v>
      </c>
      <c r="N25" s="39" t="n">
        <v>35300</v>
      </c>
      <c r="AJ25" s="3"/>
      <c r="AK25" s="3"/>
      <c r="AL25" s="3"/>
      <c r="AM25" s="3"/>
      <c r="AZ25" s="3"/>
      <c r="BA25" s="3"/>
      <c r="BB25" s="3"/>
      <c r="BC25" s="3"/>
      <c r="BD25" s="3"/>
      <c r="BE25" s="3"/>
      <c r="BF25" s="3"/>
      <c r="BG25" s="3"/>
      <c r="BH25" s="3"/>
      <c r="BI25" s="3"/>
      <c r="BJ25" s="3"/>
      <c r="BK25" s="3"/>
      <c r="BL25" s="3"/>
      <c r="BM25" s="3"/>
      <c r="BN25" s="3"/>
      <c r="BO25" s="3"/>
    </row>
    <row r="26" customFormat="false" ht="23.85" hidden="false" customHeight="false" outlineLevel="0" collapsed="false">
      <c r="A26" s="65" t="str">
        <f aca="false">_xlfn.CONCAT($A$1, ".", CALC!A26)</f>
        <v>LSD.RID.0.AL.WRAVG.22</v>
      </c>
      <c r="B26" s="68" t="str">
        <f aca="false">CALC!C26</f>
        <v>Other Services (except
Public Administration)</v>
      </c>
      <c r="C26" s="39" t="n">
        <v>28000</v>
      </c>
      <c r="D26" s="39" t="n">
        <v>96000</v>
      </c>
      <c r="E26" s="39" t="n">
        <v>52200</v>
      </c>
      <c r="F26" s="39" t="n">
        <v>29400</v>
      </c>
      <c r="G26" s="39" t="n">
        <v>101760</v>
      </c>
      <c r="H26" s="39" t="n">
        <v>54810</v>
      </c>
      <c r="I26" s="39" t="n">
        <v>19600</v>
      </c>
      <c r="J26" s="39" t="n">
        <v>76800</v>
      </c>
      <c r="K26" s="39" t="n">
        <v>41760</v>
      </c>
      <c r="L26" s="39" t="n">
        <v>28280</v>
      </c>
      <c r="M26" s="39" t="n">
        <v>97000</v>
      </c>
      <c r="N26" s="39" t="n">
        <v>52600</v>
      </c>
      <c r="AJ26" s="3"/>
      <c r="AK26" s="3"/>
      <c r="AL26" s="3"/>
      <c r="AM26" s="3"/>
      <c r="AZ26" s="3"/>
      <c r="BA26" s="3"/>
      <c r="BB26" s="3"/>
      <c r="BC26" s="3"/>
      <c r="BD26" s="3"/>
      <c r="BE26" s="3"/>
      <c r="BF26" s="3"/>
      <c r="BG26" s="3"/>
      <c r="BH26" s="3"/>
      <c r="BI26" s="3"/>
      <c r="BJ26" s="3"/>
      <c r="BK26" s="3"/>
      <c r="BL26" s="3"/>
      <c r="BM26" s="3"/>
      <c r="BN26" s="3"/>
      <c r="BO26" s="3"/>
    </row>
    <row r="27" customFormat="false" ht="12.8" hidden="false" customHeight="false" outlineLevel="0" collapsed="false">
      <c r="A27" s="65" t="str">
        <f aca="false">_xlfn.CONCAT($A$1, ".", CALC!A27)</f>
        <v>LSD.RID.0.AL.WRAVG.23</v>
      </c>
      <c r="B27" s="42" t="str">
        <f aca="false">CALC!C27</f>
        <v>Public Administration</v>
      </c>
      <c r="C27" s="39" t="n">
        <v>44000</v>
      </c>
      <c r="D27" s="39" t="n">
        <v>144000</v>
      </c>
      <c r="E27" s="39" t="n">
        <v>80800</v>
      </c>
      <c r="F27" s="39" t="n">
        <v>46200</v>
      </c>
      <c r="G27" s="39" t="n">
        <v>152640</v>
      </c>
      <c r="H27" s="39" t="n">
        <v>84840</v>
      </c>
      <c r="I27" s="39" t="n">
        <v>30800</v>
      </c>
      <c r="J27" s="39" t="n">
        <v>115200</v>
      </c>
      <c r="K27" s="39" t="n">
        <v>64640</v>
      </c>
      <c r="L27" s="39" t="n">
        <v>44400</v>
      </c>
      <c r="M27" s="39" t="n">
        <v>145400</v>
      </c>
      <c r="N27" s="39" t="n">
        <v>81800</v>
      </c>
      <c r="AJ27" s="3"/>
      <c r="AK27" s="3"/>
      <c r="AL27" s="3"/>
      <c r="AM27" s="3"/>
      <c r="AZ27" s="3"/>
      <c r="BA27" s="3"/>
      <c r="BB27" s="3"/>
      <c r="BC27" s="3"/>
      <c r="BD27" s="3"/>
      <c r="BE27" s="3"/>
      <c r="BF27" s="3"/>
      <c r="BG27" s="3"/>
      <c r="BH27" s="3"/>
      <c r="BI27" s="3"/>
      <c r="BJ27" s="3"/>
      <c r="BK27" s="3"/>
      <c r="BL27" s="3"/>
      <c r="BM27" s="3"/>
      <c r="BN27" s="3"/>
      <c r="BO27" s="3"/>
    </row>
    <row r="28" customFormat="false" ht="12.8" hidden="false" customHeight="false" outlineLevel="0" collapsed="false">
      <c r="A28" s="65"/>
      <c r="B28" s="42"/>
      <c r="AJ28" s="3"/>
      <c r="AK28" s="3"/>
      <c r="AL28" s="3"/>
      <c r="AM28" s="3"/>
      <c r="AZ28" s="3"/>
      <c r="BA28" s="3"/>
      <c r="BB28" s="3"/>
      <c r="BC28" s="3"/>
      <c r="BD28" s="3"/>
      <c r="BE28" s="3"/>
      <c r="BF28" s="3"/>
      <c r="BG28" s="3"/>
      <c r="BH28" s="3"/>
      <c r="BI28" s="3"/>
      <c r="BJ28" s="3"/>
      <c r="BK28" s="3"/>
      <c r="BL28" s="3"/>
      <c r="BM28" s="3"/>
      <c r="BN28" s="3"/>
      <c r="BO28" s="3"/>
    </row>
    <row r="29" customFormat="false" ht="12.8" hidden="false" customHeight="false" outlineLevel="0" collapsed="false">
      <c r="A29" s="65"/>
      <c r="B29" s="42"/>
      <c r="AJ29" s="3"/>
      <c r="AK29" s="3"/>
      <c r="AL29" s="3"/>
      <c r="AM29" s="3"/>
      <c r="AZ29" s="3"/>
      <c r="BA29" s="3"/>
      <c r="BB29" s="3"/>
      <c r="BC29" s="3"/>
      <c r="BD29" s="3"/>
      <c r="BE29" s="3"/>
      <c r="BF29" s="3"/>
      <c r="BG29" s="3"/>
      <c r="BH29" s="3"/>
      <c r="BI29" s="3"/>
      <c r="BJ29" s="3"/>
      <c r="BK29" s="3"/>
      <c r="BL29" s="3"/>
      <c r="BM29" s="3"/>
      <c r="BN29" s="3"/>
      <c r="BO29" s="3"/>
    </row>
    <row r="30" customFormat="false" ht="12.8" hidden="false" customHeight="false" outlineLevel="0" collapsed="false">
      <c r="A30" s="65"/>
      <c r="B30" s="42"/>
      <c r="AJ30" s="3"/>
      <c r="AK30" s="3"/>
      <c r="AL30" s="3"/>
      <c r="AM30" s="3"/>
      <c r="AZ30" s="3"/>
      <c r="BA30" s="3"/>
      <c r="BB30" s="3"/>
      <c r="BC30" s="3"/>
      <c r="BD30" s="3"/>
      <c r="BE30" s="3"/>
      <c r="BF30" s="3"/>
      <c r="BG30" s="3"/>
      <c r="BH30" s="3"/>
      <c r="BI30" s="3"/>
      <c r="BJ30" s="3"/>
      <c r="BK30" s="3"/>
      <c r="BL30" s="3"/>
      <c r="BM30" s="3"/>
      <c r="BN30" s="3"/>
      <c r="BO30" s="3"/>
    </row>
    <row r="31" customFormat="false" ht="12.8" hidden="false" customHeight="false" outlineLevel="0" collapsed="false">
      <c r="A31" s="65"/>
      <c r="B31" s="42"/>
      <c r="AJ31" s="3"/>
      <c r="AK31" s="3"/>
      <c r="AL31" s="3"/>
      <c r="AM31" s="3"/>
      <c r="AZ31" s="3"/>
      <c r="BA31" s="3"/>
      <c r="BB31" s="3"/>
      <c r="BC31" s="3"/>
      <c r="BD31" s="3"/>
      <c r="BE31" s="3"/>
      <c r="BF31" s="3"/>
      <c r="BG31" s="3"/>
      <c r="BH31" s="3"/>
      <c r="BI31" s="3"/>
      <c r="BJ31" s="3"/>
      <c r="BK31" s="3"/>
      <c r="BL31" s="3"/>
      <c r="BM31" s="3"/>
      <c r="BN31" s="3"/>
      <c r="BO31" s="3"/>
    </row>
    <row r="32" customFormat="false" ht="12.8" hidden="false" customHeight="false" outlineLevel="0" collapsed="false">
      <c r="A32" s="65"/>
      <c r="B32" s="42"/>
      <c r="AJ32" s="3"/>
      <c r="AK32" s="3"/>
      <c r="AL32" s="3"/>
      <c r="AM32" s="3"/>
      <c r="AZ32" s="3"/>
      <c r="BA32" s="3"/>
      <c r="BB32" s="3"/>
      <c r="BC32" s="3"/>
      <c r="BD32" s="3"/>
      <c r="BE32" s="3"/>
      <c r="BF32" s="3"/>
      <c r="BG32" s="3"/>
      <c r="BH32" s="3"/>
      <c r="BI32" s="3"/>
      <c r="BJ32" s="3"/>
      <c r="BK32" s="3"/>
      <c r="BL32" s="3"/>
      <c r="BM32" s="3"/>
      <c r="BN32" s="3"/>
      <c r="BO32" s="3"/>
    </row>
    <row r="33" customFormat="false" ht="12.8" hidden="false" customHeight="false" outlineLevel="0" collapsed="false">
      <c r="A33" s="65"/>
      <c r="B33" s="42"/>
      <c r="AJ33" s="3"/>
      <c r="AK33" s="3"/>
      <c r="AL33" s="3"/>
      <c r="AM33" s="3"/>
      <c r="AZ33" s="3"/>
      <c r="BA33" s="3"/>
      <c r="BB33" s="3"/>
      <c r="BC33" s="3"/>
      <c r="BD33" s="3"/>
      <c r="BE33" s="3"/>
      <c r="BF33" s="3"/>
      <c r="BG33" s="3"/>
      <c r="BH33" s="3"/>
      <c r="BI33" s="3"/>
      <c r="BJ33" s="3"/>
      <c r="BK33" s="3"/>
      <c r="BL33" s="3"/>
      <c r="BM33" s="3"/>
      <c r="BN33" s="3"/>
      <c r="BO33" s="3"/>
    </row>
    <row r="92" customFormat="false" ht="12.8" hidden="false" customHeight="false" outlineLevel="0" collapsed="false">
      <c r="A92" s="50" t="s">
        <v>2717</v>
      </c>
      <c r="B92" s="39" t="s">
        <v>2718</v>
      </c>
    </row>
    <row r="93" customFormat="false" ht="12.8" hidden="false" customHeight="false" outlineLevel="0" collapsed="false">
      <c r="A93" s="50" t="s">
        <v>1842</v>
      </c>
      <c r="B93" s="39" t="s">
        <v>183</v>
      </c>
      <c r="C93" s="39" t="s">
        <v>184</v>
      </c>
      <c r="D93" s="39" t="s">
        <v>1843</v>
      </c>
      <c r="E93" s="39" t="s">
        <v>186</v>
      </c>
      <c r="F93" s="39" t="s">
        <v>187</v>
      </c>
    </row>
    <row r="94" customFormat="false" ht="12.8" hidden="false" customHeight="false" outlineLevel="0" collapsed="false">
      <c r="A94" s="50" t="s">
        <v>2719</v>
      </c>
      <c r="B94" s="39" t="s">
        <v>583</v>
      </c>
      <c r="C94" s="39" t="s">
        <v>2720</v>
      </c>
      <c r="D94" s="39" t="s">
        <v>2721</v>
      </c>
      <c r="E94" s="39" t="s">
        <v>2722</v>
      </c>
      <c r="F94" s="39" t="s">
        <v>302</v>
      </c>
    </row>
    <row r="95" customFormat="false" ht="12.8" hidden="false" customHeight="false" outlineLevel="0" collapsed="false">
      <c r="A95" s="50" t="s">
        <v>2723</v>
      </c>
      <c r="B95" s="39" t="s">
        <v>583</v>
      </c>
      <c r="C95" s="39" t="s">
        <v>1850</v>
      </c>
      <c r="D95" s="39" t="s">
        <v>2724</v>
      </c>
      <c r="E95" s="39" t="s">
        <v>2575</v>
      </c>
      <c r="F95" s="39" t="s">
        <v>302</v>
      </c>
    </row>
    <row r="96" customFormat="false" ht="12.8" hidden="false" customHeight="false" outlineLevel="0" collapsed="false">
      <c r="A96" s="50" t="s">
        <v>2725</v>
      </c>
      <c r="B96" s="39" t="s">
        <v>583</v>
      </c>
      <c r="C96" s="39" t="s">
        <v>1853</v>
      </c>
      <c r="D96" s="39" t="s">
        <v>2726</v>
      </c>
      <c r="E96" s="39" t="s">
        <v>603</v>
      </c>
      <c r="F96" s="39" t="s">
        <v>302</v>
      </c>
    </row>
    <row r="97" customFormat="false" ht="12.8" hidden="false" customHeight="false" outlineLevel="0" collapsed="false">
      <c r="A97" s="50" t="s">
        <v>2727</v>
      </c>
      <c r="B97" s="39" t="s">
        <v>583</v>
      </c>
      <c r="C97" s="39" t="s">
        <v>2728</v>
      </c>
      <c r="D97" s="39" t="s">
        <v>2729</v>
      </c>
      <c r="E97" s="39" t="s">
        <v>306</v>
      </c>
      <c r="F97" s="39" t="s">
        <v>302</v>
      </c>
    </row>
    <row r="99" customFormat="false" ht="12.8" hidden="false" customHeight="false" outlineLevel="0" collapsed="false">
      <c r="A99" s="50" t="s">
        <v>2730</v>
      </c>
      <c r="B99" s="39" t="s">
        <v>2731</v>
      </c>
    </row>
    <row r="100" customFormat="false" ht="12.8" hidden="false" customHeight="false" outlineLevel="0" collapsed="false">
      <c r="A100" s="50" t="s">
        <v>683</v>
      </c>
      <c r="B100" s="39" t="s">
        <v>184</v>
      </c>
      <c r="C100" s="39" t="s">
        <v>684</v>
      </c>
      <c r="D100" s="39" t="s">
        <v>186</v>
      </c>
      <c r="E100" s="39" t="s">
        <v>678</v>
      </c>
      <c r="F100" s="39" t="s">
        <v>679</v>
      </c>
      <c r="G100" s="39" t="s">
        <v>680</v>
      </c>
      <c r="H100" s="39" t="s">
        <v>187</v>
      </c>
    </row>
    <row r="101" customFormat="false" ht="12.8" hidden="false" customHeight="false" outlineLevel="0" collapsed="false">
      <c r="A101" s="50" t="s">
        <v>2732</v>
      </c>
      <c r="B101" s="39" t="s">
        <v>2733</v>
      </c>
      <c r="C101" s="39" t="n">
        <v>31200</v>
      </c>
      <c r="D101" s="39" t="s">
        <v>2734</v>
      </c>
      <c r="E101" s="39" t="s">
        <v>689</v>
      </c>
      <c r="F101" s="39" t="s">
        <v>2735</v>
      </c>
      <c r="G101" s="51" t="s">
        <v>691</v>
      </c>
      <c r="H101" s="39" t="s">
        <v>302</v>
      </c>
    </row>
    <row r="102" customFormat="false" ht="12.8" hidden="false" customHeight="false" outlineLevel="0" collapsed="false">
      <c r="A102" s="50" t="s">
        <v>2736</v>
      </c>
      <c r="B102" s="39" t="s">
        <v>2737</v>
      </c>
      <c r="C102" s="39" t="n">
        <v>114400</v>
      </c>
      <c r="D102" s="39" t="s">
        <v>2738</v>
      </c>
      <c r="E102" s="39" t="s">
        <v>689</v>
      </c>
      <c r="F102" s="39" t="s">
        <v>2739</v>
      </c>
      <c r="G102" s="51" t="s">
        <v>691</v>
      </c>
      <c r="H102" s="39" t="s">
        <v>302</v>
      </c>
    </row>
    <row r="103" customFormat="false" ht="12.8" hidden="false" customHeight="false" outlineLevel="0" collapsed="false">
      <c r="A103" s="50" t="s">
        <v>2740</v>
      </c>
      <c r="B103" s="39" t="s">
        <v>2741</v>
      </c>
      <c r="C103" s="39" t="s">
        <v>2593</v>
      </c>
      <c r="D103" s="39" t="s">
        <v>2742</v>
      </c>
      <c r="E103" s="39" t="s">
        <v>689</v>
      </c>
      <c r="F103" s="39" t="s">
        <v>2743</v>
      </c>
      <c r="G103" s="51" t="s">
        <v>691</v>
      </c>
      <c r="H103" s="39" t="s">
        <v>989</v>
      </c>
    </row>
    <row r="104" customFormat="false" ht="12.8" hidden="false" customHeight="false" outlineLevel="0" collapsed="false">
      <c r="A104" s="50" t="s">
        <v>2744</v>
      </c>
      <c r="B104" s="39" t="s">
        <v>2745</v>
      </c>
      <c r="C104" s="39" t="s">
        <v>2598</v>
      </c>
      <c r="D104" s="39" t="s">
        <v>2746</v>
      </c>
      <c r="E104" s="39" t="s">
        <v>689</v>
      </c>
      <c r="F104" s="39" t="s">
        <v>2743</v>
      </c>
      <c r="G104" s="51" t="s">
        <v>691</v>
      </c>
      <c r="H104" s="39" t="s">
        <v>989</v>
      </c>
    </row>
    <row r="105" customFormat="false" ht="12.8" hidden="false" customHeight="false" outlineLevel="0" collapsed="false">
      <c r="A105" s="50" t="s">
        <v>2747</v>
      </c>
      <c r="B105" s="39" t="s">
        <v>2748</v>
      </c>
      <c r="C105" s="39" t="s">
        <v>2602</v>
      </c>
      <c r="D105" s="39" t="s">
        <v>2749</v>
      </c>
      <c r="E105" s="39" t="s">
        <v>689</v>
      </c>
      <c r="F105" s="39" t="s">
        <v>2604</v>
      </c>
      <c r="G105" s="51" t="s">
        <v>691</v>
      </c>
      <c r="H105" s="39" t="s">
        <v>2605</v>
      </c>
    </row>
    <row r="106" customFormat="false" ht="12.8" hidden="false" customHeight="false" outlineLevel="0" collapsed="false">
      <c r="A106" s="50" t="s">
        <v>2750</v>
      </c>
      <c r="B106" s="39" t="s">
        <v>2751</v>
      </c>
      <c r="C106" s="39" t="s">
        <v>2510</v>
      </c>
      <c r="D106" s="39" t="s">
        <v>2752</v>
      </c>
      <c r="E106" s="39" t="s">
        <v>689</v>
      </c>
      <c r="F106" s="39" t="s">
        <v>2604</v>
      </c>
      <c r="G106" s="51" t="s">
        <v>691</v>
      </c>
      <c r="H106" s="39" t="s">
        <v>2605</v>
      </c>
    </row>
    <row r="107" customFormat="false" ht="12.8" hidden="false" customHeight="false" outlineLevel="0" collapsed="false">
      <c r="A107" s="50" t="s">
        <v>2753</v>
      </c>
      <c r="B107" s="39" t="s">
        <v>2754</v>
      </c>
      <c r="C107" s="39" t="s">
        <v>2611</v>
      </c>
      <c r="D107" s="39" t="s">
        <v>2755</v>
      </c>
      <c r="E107" s="39" t="s">
        <v>689</v>
      </c>
      <c r="F107" s="39" t="s">
        <v>2613</v>
      </c>
      <c r="G107" s="51" t="s">
        <v>691</v>
      </c>
      <c r="H107" s="39" t="s">
        <v>2605</v>
      </c>
    </row>
    <row r="108" customFormat="false" ht="12.8" hidden="false" customHeight="false" outlineLevel="0" collapsed="false">
      <c r="A108" s="50" t="s">
        <v>2756</v>
      </c>
      <c r="B108" s="39" t="s">
        <v>2757</v>
      </c>
      <c r="C108" s="39" t="s">
        <v>2616</v>
      </c>
      <c r="D108" s="39" t="s">
        <v>2758</v>
      </c>
      <c r="E108" s="39" t="s">
        <v>689</v>
      </c>
      <c r="F108" s="39" t="s">
        <v>2613</v>
      </c>
      <c r="G108" s="51" t="s">
        <v>691</v>
      </c>
      <c r="H108" s="39" t="s">
        <v>2605</v>
      </c>
    </row>
    <row r="109" customFormat="false" ht="12.8" hidden="false" customHeight="false" outlineLevel="0" collapsed="false">
      <c r="A109" s="50" t="s">
        <v>2759</v>
      </c>
      <c r="B109" s="39" t="s">
        <v>2760</v>
      </c>
      <c r="C109" s="39" t="s">
        <v>1292</v>
      </c>
      <c r="D109" s="39" t="s">
        <v>2761</v>
      </c>
      <c r="E109" s="39" t="s">
        <v>689</v>
      </c>
      <c r="F109" s="39" t="s">
        <v>2621</v>
      </c>
      <c r="G109" s="51" t="s">
        <v>691</v>
      </c>
      <c r="H109" s="39" t="s">
        <v>2622</v>
      </c>
    </row>
    <row r="110" customFormat="false" ht="12.8" hidden="false" customHeight="false" outlineLevel="0" collapsed="false">
      <c r="A110" s="50" t="s">
        <v>2762</v>
      </c>
      <c r="B110" s="39" t="s">
        <v>2763</v>
      </c>
      <c r="C110" s="39" t="n">
        <v>0.88</v>
      </c>
      <c r="D110" s="39" t="s">
        <v>2764</v>
      </c>
      <c r="E110" s="39" t="s">
        <v>689</v>
      </c>
      <c r="F110" s="39" t="s">
        <v>2765</v>
      </c>
      <c r="G110" s="51" t="s">
        <v>691</v>
      </c>
      <c r="H110" s="39" t="s">
        <v>302</v>
      </c>
    </row>
    <row r="111" customFormat="false" ht="12.8" hidden="false" customHeight="false" outlineLevel="0" collapsed="false">
      <c r="A111" s="50" t="s">
        <v>2766</v>
      </c>
      <c r="B111" s="39" t="s">
        <v>2767</v>
      </c>
      <c r="C111" s="39" t="n">
        <v>4</v>
      </c>
      <c r="D111" s="39" t="s">
        <v>1000</v>
      </c>
      <c r="E111" s="39" t="s">
        <v>689</v>
      </c>
      <c r="F111" s="39" t="s">
        <v>1256</v>
      </c>
      <c r="G111" s="51" t="s">
        <v>691</v>
      </c>
      <c r="H111" s="39" t="s">
        <v>302</v>
      </c>
    </row>
    <row r="113" customFormat="false" ht="12.8" hidden="false" customHeight="false" outlineLevel="0" collapsed="false">
      <c r="A113" s="50" t="s">
        <v>2768</v>
      </c>
      <c r="B113" s="39" t="s">
        <v>2769</v>
      </c>
    </row>
    <row r="114" customFormat="false" ht="12.8" hidden="false" customHeight="false" outlineLevel="0" collapsed="false">
      <c r="A114" s="50" t="s">
        <v>113</v>
      </c>
      <c r="B114" s="39" t="s">
        <v>186</v>
      </c>
      <c r="C114" s="39" t="s">
        <v>677</v>
      </c>
      <c r="D114" s="39" t="s">
        <v>1875</v>
      </c>
      <c r="E114" s="39" t="s">
        <v>678</v>
      </c>
      <c r="F114" s="39" t="s">
        <v>1876</v>
      </c>
    </row>
    <row r="115" customFormat="false" ht="12.8" hidden="false" customHeight="false" outlineLevel="0" collapsed="false">
      <c r="A115" s="50" t="s">
        <v>2770</v>
      </c>
      <c r="B115" s="39" t="s">
        <v>2632</v>
      </c>
      <c r="C115" s="39" t="s">
        <v>2771</v>
      </c>
      <c r="D115" s="39" t="s">
        <v>2772</v>
      </c>
      <c r="E115" s="39" t="s">
        <v>689</v>
      </c>
      <c r="F115" s="39" t="s">
        <v>2635</v>
      </c>
    </row>
    <row r="116" customFormat="false" ht="12.8" hidden="false" customHeight="false" outlineLevel="0" collapsed="false">
      <c r="A116" s="50" t="s">
        <v>2773</v>
      </c>
      <c r="B116" s="39" t="s">
        <v>1881</v>
      </c>
      <c r="C116" s="39" t="s">
        <v>2774</v>
      </c>
      <c r="D116" s="39" t="s">
        <v>689</v>
      </c>
      <c r="E116" s="39" t="s">
        <v>2638</v>
      </c>
    </row>
    <row r="117" customFormat="false" ht="12.8" hidden="false" customHeight="false" outlineLevel="0" collapsed="false">
      <c r="A117" s="50" t="s">
        <v>2775</v>
      </c>
      <c r="B117" s="39" t="s">
        <v>2776</v>
      </c>
      <c r="C117" s="39" t="s">
        <v>2777</v>
      </c>
      <c r="D117" s="39" t="s">
        <v>2778</v>
      </c>
      <c r="E117" s="39" t="s">
        <v>689</v>
      </c>
      <c r="F117" s="39" t="s">
        <v>2643</v>
      </c>
    </row>
    <row r="118" customFormat="false" ht="12.8" hidden="false" customHeight="false" outlineLevel="0" collapsed="false">
      <c r="A118" s="50" t="s">
        <v>2779</v>
      </c>
      <c r="B118" s="39" t="s">
        <v>1891</v>
      </c>
      <c r="C118" s="39" t="s">
        <v>2645</v>
      </c>
      <c r="D118" s="39" t="s">
        <v>2780</v>
      </c>
      <c r="E118" s="39" t="s">
        <v>689</v>
      </c>
      <c r="F118" s="39" t="s">
        <v>2781</v>
      </c>
    </row>
    <row r="119" customFormat="false" ht="12.8" hidden="false" customHeight="false" outlineLevel="0" collapsed="false">
      <c r="A119" s="50" t="s">
        <v>2782</v>
      </c>
      <c r="B119" s="39" t="s">
        <v>1896</v>
      </c>
      <c r="C119" s="39" t="s">
        <v>1962</v>
      </c>
      <c r="D119" s="39" t="s">
        <v>2783</v>
      </c>
      <c r="E119" s="39" t="s">
        <v>689</v>
      </c>
      <c r="F119" s="39" t="s">
        <v>2130</v>
      </c>
    </row>
    <row r="120" customFormat="false" ht="12.8" hidden="false" customHeight="false" outlineLevel="0" collapsed="false">
      <c r="A120" s="50" t="s">
        <v>2784</v>
      </c>
      <c r="B120" s="39" t="s">
        <v>1901</v>
      </c>
      <c r="C120" s="39" t="s">
        <v>1902</v>
      </c>
      <c r="D120" s="39" t="s">
        <v>2785</v>
      </c>
      <c r="E120" s="39" t="s">
        <v>689</v>
      </c>
      <c r="F120" s="39" t="s">
        <v>2652</v>
      </c>
    </row>
    <row r="121" customFormat="false" ht="12.8" hidden="false" customHeight="false" outlineLevel="0" collapsed="false">
      <c r="A121" s="50" t="s">
        <v>2786</v>
      </c>
      <c r="B121" s="39" t="s">
        <v>2787</v>
      </c>
      <c r="C121" s="39" t="s">
        <v>2788</v>
      </c>
      <c r="D121" s="39" t="s">
        <v>2715</v>
      </c>
      <c r="E121" s="39" t="s">
        <v>689</v>
      </c>
      <c r="F121" s="39" t="s">
        <v>2346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53"/>
  <sheetViews>
    <sheetView showFormulas="false" showGridLines="true" showRowColHeaders="true" showZeros="true" rightToLeft="false" tabSelected="false" showOutlineSymbols="true" defaultGridColor="true" view="normal" topLeftCell="A87" colorId="64" zoomScale="65" zoomScaleNormal="65" zoomScalePageLayoutView="100" workbookViewId="0">
      <selection pane="topLeft" activeCell="C3" activeCellId="0" sqref="C3"/>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2789</v>
      </c>
      <c r="B1" s="42" t="s">
        <v>2790</v>
      </c>
      <c r="C1" s="6" t="s">
        <v>2</v>
      </c>
      <c r="D1" s="67" t="s">
        <v>2791</v>
      </c>
      <c r="AZ1" s="39"/>
      <c r="BP1" s="39"/>
    </row>
    <row r="2" customFormat="false" ht="12.8" hidden="false" customHeight="false" outlineLevel="0" collapsed="false">
      <c r="A2" s="65" t="str">
        <f aca="false">_xlfn.CONCAT($A$1, ".", "CALC")</f>
        <v>LSD.RID.0.AL.AWHW.CALC</v>
      </c>
      <c r="B2" s="66" t="str">
        <f aca="false">_xlfn.CONCAT($B$1, " ", "Calculations")</f>
        <v>Alabama Average Weekly Hours Worked (AWHW) Calculations</v>
      </c>
    </row>
    <row r="3" customFormat="false" ht="12.8" hidden="false" customHeight="false" outlineLevel="0" collapsed="false">
      <c r="A3" s="65" t="str">
        <f aca="false">CALC!A3</f>
        <v>LSID</v>
      </c>
      <c r="B3" s="42" t="str">
        <f aca="false">CALC!C3</f>
        <v>Labor Sector</v>
      </c>
      <c r="C3" s="80" t="str">
        <f aca="false">CALC!CB3</f>
        <v>Overal AWHW</v>
      </c>
      <c r="D3" s="80" t="str">
        <f aca="false">CALC!CC3</f>
        <v>Authorized AWHW</v>
      </c>
      <c r="E3" s="80" t="str">
        <f aca="false">CALC!CD3</f>
        <v>Unauthorized AWHW</v>
      </c>
      <c r="F3" s="80" t="str">
        <f aca="false">CALC!CE3</f>
        <v>American AWHW</v>
      </c>
      <c r="AT3" s="3"/>
      <c r="AU3" s="3"/>
      <c r="AV3" s="3"/>
      <c r="AW3" s="3"/>
      <c r="AZ3" s="39"/>
      <c r="BA3" s="39"/>
      <c r="BB3" s="39"/>
      <c r="BC3" s="39"/>
      <c r="BJ3" s="3"/>
      <c r="BK3" s="3"/>
      <c r="BL3" s="3"/>
      <c r="BM3" s="3"/>
      <c r="BN3" s="3"/>
      <c r="BO3" s="3"/>
    </row>
    <row r="4" customFormat="false" ht="12.8" hidden="false" customHeight="false" outlineLevel="0" collapsed="false">
      <c r="A4" s="62" t="str">
        <f aca="false">_xlfn.CONCAT($A$1, ".", CALC!A4)</f>
        <v>LSD.RID.0.AL.AWHW.0</v>
      </c>
      <c r="B4" s="39" t="str">
        <f aca="false">CALC!C4</f>
        <v>All Industries</v>
      </c>
      <c r="C4" s="39" t="n">
        <v>38.8</v>
      </c>
      <c r="D4" s="39" t="n">
        <v>39.2</v>
      </c>
      <c r="E4" s="39" t="n">
        <v>38.5</v>
      </c>
      <c r="F4" s="39" t="n">
        <v>38.7</v>
      </c>
      <c r="AT4" s="3"/>
      <c r="AU4" s="3"/>
      <c r="AV4" s="3"/>
      <c r="AW4" s="3"/>
      <c r="AZ4" s="39"/>
      <c r="BA4" s="39"/>
      <c r="BB4" s="39"/>
      <c r="BC4" s="39"/>
      <c r="BJ4" s="3"/>
      <c r="BK4" s="3"/>
      <c r="BL4" s="3"/>
      <c r="BM4" s="3"/>
      <c r="BN4" s="3"/>
      <c r="BO4" s="3"/>
    </row>
    <row r="5" customFormat="false" ht="23.85" hidden="false" customHeight="false" outlineLevel="0" collapsed="false">
      <c r="A5" s="62" t="str">
        <f aca="false">_xlfn.CONCAT($A$1, ".", CALC!A5)</f>
        <v>LSD.RID.0.AL.AWHW.1</v>
      </c>
      <c r="B5" s="40" t="str">
        <f aca="false">CALC!C5</f>
        <v>Agriculture, Forestry, 
Fishing and Hunting</v>
      </c>
      <c r="C5" s="39" t="n">
        <v>42.5</v>
      </c>
      <c r="D5" s="39" t="n">
        <v>41.8</v>
      </c>
      <c r="E5" s="39" t="n">
        <v>44</v>
      </c>
      <c r="F5" s="39" t="n">
        <v>42.3</v>
      </c>
      <c r="AT5" s="3"/>
      <c r="AU5" s="3"/>
      <c r="AV5" s="3"/>
      <c r="AW5" s="3"/>
      <c r="AZ5" s="39"/>
      <c r="BA5" s="39"/>
      <c r="BB5" s="39"/>
      <c r="BC5" s="39"/>
      <c r="BJ5" s="3"/>
      <c r="BK5" s="3"/>
      <c r="BL5" s="3"/>
      <c r="BM5" s="3"/>
      <c r="BN5" s="3"/>
      <c r="BO5" s="3"/>
    </row>
    <row r="6" customFormat="false" ht="23.85" hidden="false" customHeight="false" outlineLevel="0" collapsed="false">
      <c r="A6" s="62" t="str">
        <f aca="false">_xlfn.CONCAT($A$1, ".", CALC!A6)</f>
        <v>LSD.RID.0.AL.AWHW.2</v>
      </c>
      <c r="B6" s="40" t="str">
        <f aca="false">CALC!C6</f>
        <v>Mining, Quarrying, and
Oil and Gas Extraction</v>
      </c>
      <c r="C6" s="39" t="n">
        <v>44</v>
      </c>
      <c r="D6" s="39" t="n">
        <v>43.5</v>
      </c>
      <c r="E6" s="39" t="n">
        <v>45.2</v>
      </c>
      <c r="F6" s="39" t="n">
        <v>43.8</v>
      </c>
      <c r="AT6" s="3"/>
      <c r="AU6" s="3"/>
      <c r="AV6" s="3"/>
      <c r="AW6" s="3"/>
      <c r="AZ6" s="39"/>
      <c r="BA6" s="39"/>
      <c r="BB6" s="39"/>
      <c r="BC6" s="39"/>
      <c r="BJ6" s="3"/>
      <c r="BK6" s="3"/>
      <c r="BL6" s="3"/>
      <c r="BM6" s="3"/>
      <c r="BN6" s="3"/>
      <c r="BO6" s="3"/>
    </row>
    <row r="7" customFormat="false" ht="12.8" hidden="false" customHeight="false" outlineLevel="0" collapsed="false">
      <c r="A7" s="62" t="str">
        <f aca="false">_xlfn.CONCAT($A$1, ".", CALC!A7)</f>
        <v>LSD.RID.0.AL.AWHW.3</v>
      </c>
      <c r="B7" s="39" t="str">
        <f aca="false">CALC!C7</f>
        <v>Utilities</v>
      </c>
      <c r="C7" s="39" t="n">
        <v>40</v>
      </c>
      <c r="D7" s="39" t="n">
        <v>40.5</v>
      </c>
      <c r="E7" s="39" t="n">
        <v>39</v>
      </c>
      <c r="F7" s="39" t="n">
        <v>40.1</v>
      </c>
      <c r="AT7" s="3"/>
      <c r="AU7" s="3"/>
      <c r="AV7" s="3"/>
      <c r="AW7" s="3"/>
      <c r="AZ7" s="39"/>
      <c r="BA7" s="39"/>
      <c r="BB7" s="39"/>
      <c r="BC7" s="39"/>
      <c r="BJ7" s="3"/>
      <c r="BK7" s="3"/>
      <c r="BL7" s="3"/>
      <c r="BM7" s="3"/>
      <c r="BN7" s="3"/>
      <c r="BO7" s="3"/>
    </row>
    <row r="8" customFormat="false" ht="12.8" hidden="false" customHeight="false" outlineLevel="0" collapsed="false">
      <c r="A8" s="62" t="str">
        <f aca="false">_xlfn.CONCAT($A$1, ".", CALC!A8)</f>
        <v>LSD.RID.0.AL.AWHW.4</v>
      </c>
      <c r="B8" s="39" t="str">
        <f aca="false">CALC!C8</f>
        <v>Construction</v>
      </c>
      <c r="C8" s="39" t="n">
        <v>41.2</v>
      </c>
      <c r="D8" s="39" t="n">
        <v>40.5</v>
      </c>
      <c r="E8" s="39" t="n">
        <v>43</v>
      </c>
      <c r="F8" s="39" t="n">
        <v>41</v>
      </c>
      <c r="AT8" s="3"/>
      <c r="AU8" s="3"/>
      <c r="AV8" s="3"/>
      <c r="AW8" s="3"/>
      <c r="AZ8" s="39"/>
      <c r="BA8" s="39"/>
      <c r="BB8" s="39"/>
      <c r="BC8" s="39"/>
      <c r="BJ8" s="3"/>
      <c r="BK8" s="3"/>
      <c r="BL8" s="3"/>
      <c r="BM8" s="3"/>
      <c r="BN8" s="3"/>
      <c r="BO8" s="3"/>
    </row>
    <row r="9" customFormat="false" ht="23.85" hidden="false" customHeight="false" outlineLevel="0" collapsed="false">
      <c r="A9" s="62" t="str">
        <f aca="false">_xlfn.CONCAT($A$1, ".", CALC!A9)</f>
        <v>LSD.RID.0.AL.AWHW.5</v>
      </c>
      <c r="B9" s="40" t="str">
        <f aca="false">CALC!C9</f>
        <v>Manufacturing
(Food,Textile, etc.)</v>
      </c>
      <c r="C9" s="39" t="n">
        <v>40.8</v>
      </c>
      <c r="D9" s="39" t="n">
        <v>40.2</v>
      </c>
      <c r="E9" s="39" t="n">
        <v>42</v>
      </c>
      <c r="F9" s="39" t="n">
        <v>40.6</v>
      </c>
      <c r="AT9" s="3"/>
      <c r="AU9" s="3"/>
      <c r="AV9" s="3"/>
      <c r="AW9" s="3"/>
      <c r="AZ9" s="39"/>
      <c r="BA9" s="39"/>
      <c r="BB9" s="39"/>
      <c r="BC9" s="39"/>
      <c r="BJ9" s="3"/>
      <c r="BK9" s="3"/>
      <c r="BL9" s="3"/>
      <c r="BM9" s="3"/>
      <c r="BN9" s="3"/>
      <c r="BO9" s="3"/>
    </row>
    <row r="10" customFormat="false" ht="23.85" hidden="false" customHeight="false" outlineLevel="0" collapsed="false">
      <c r="A10" s="62" t="str">
        <f aca="false">_xlfn.CONCAT($A$1, ".", CALC!A10)</f>
        <v>LSD.RID.0.AL.AWHW.6</v>
      </c>
      <c r="B10" s="40" t="str">
        <f aca="false">CALC!C10</f>
        <v>Manufacturing (Wood,
Paper, Printing, etc.)</v>
      </c>
      <c r="C10" s="39" t="n">
        <v>41.5</v>
      </c>
      <c r="D10" s="39" t="n">
        <v>41</v>
      </c>
      <c r="E10" s="39" t="n">
        <v>42.5</v>
      </c>
      <c r="F10" s="39" t="n">
        <v>41.3</v>
      </c>
      <c r="AT10" s="3"/>
      <c r="AU10" s="3"/>
      <c r="AV10" s="3"/>
      <c r="AW10" s="3"/>
      <c r="AZ10" s="39"/>
      <c r="BA10" s="39"/>
      <c r="BB10" s="39"/>
      <c r="BC10" s="39"/>
      <c r="BJ10" s="3"/>
      <c r="BK10" s="3"/>
      <c r="BL10" s="3"/>
      <c r="BM10" s="3"/>
      <c r="BN10" s="3"/>
      <c r="BO10" s="3"/>
    </row>
    <row r="11" customFormat="false" ht="23.85" hidden="false" customHeight="false" outlineLevel="0" collapsed="false">
      <c r="A11" s="62" t="str">
        <f aca="false">_xlfn.CONCAT($A$1, ".", CALC!A11)</f>
        <v>LSD.RID.0.AL.AWHW.7</v>
      </c>
      <c r="B11" s="40" t="str">
        <f aca="false">CALC!C11</f>
        <v>Manufacturing
(Machinery, Transport)</v>
      </c>
      <c r="C11" s="39" t="n">
        <v>42</v>
      </c>
      <c r="D11" s="39" t="n">
        <v>41.8</v>
      </c>
      <c r="E11" s="39" t="n">
        <v>43.2</v>
      </c>
      <c r="F11" s="39" t="n">
        <v>41.9</v>
      </c>
      <c r="AT11" s="3"/>
      <c r="AU11" s="3"/>
      <c r="AV11" s="3"/>
      <c r="AW11" s="3"/>
      <c r="AZ11" s="39"/>
      <c r="BA11" s="39"/>
      <c r="BB11" s="39"/>
      <c r="BC11" s="39"/>
      <c r="BJ11" s="3"/>
      <c r="BK11" s="3"/>
      <c r="BL11" s="3"/>
      <c r="BM11" s="3"/>
      <c r="BN11" s="3"/>
      <c r="BO11" s="3"/>
    </row>
    <row r="12" customFormat="false" ht="12.8" hidden="false" customHeight="false" outlineLevel="0" collapsed="false">
      <c r="A12" s="62" t="str">
        <f aca="false">_xlfn.CONCAT($A$1, ".", CALC!A12)</f>
        <v>LSD.RID.0.AL.AWHW.8</v>
      </c>
      <c r="B12" s="39" t="str">
        <f aca="false">CALC!C12</f>
        <v>Wholesale Trade</v>
      </c>
      <c r="C12" s="39" t="n">
        <v>39.5</v>
      </c>
      <c r="D12" s="39" t="n">
        <v>39.8</v>
      </c>
      <c r="E12" s="39" t="n">
        <v>38.5</v>
      </c>
      <c r="F12" s="39" t="n">
        <v>39.4</v>
      </c>
      <c r="AT12" s="3"/>
      <c r="AU12" s="3"/>
      <c r="AV12" s="3"/>
      <c r="AW12" s="3"/>
      <c r="AZ12" s="39"/>
      <c r="BA12" s="39"/>
      <c r="BB12" s="39"/>
      <c r="BC12" s="39"/>
      <c r="BJ12" s="3"/>
      <c r="BK12" s="3"/>
      <c r="BL12" s="3"/>
      <c r="BM12" s="3"/>
      <c r="BN12" s="3"/>
      <c r="BO12" s="3"/>
    </row>
    <row r="13" customFormat="false" ht="23.85" hidden="false" customHeight="false" outlineLevel="0" collapsed="false">
      <c r="A13" s="62" t="str">
        <f aca="false">_xlfn.CONCAT($A$1, ".", CALC!A13)</f>
        <v>LSD.RID.0.AL.AWHW.9</v>
      </c>
      <c r="B13" s="40" t="str">
        <f aca="false">CALC!C13</f>
        <v>Retail Trade (Motor
Vehicle, Electronics)</v>
      </c>
      <c r="C13" s="39" t="n">
        <v>38</v>
      </c>
      <c r="D13" s="39" t="n">
        <v>38.5</v>
      </c>
      <c r="E13" s="39" t="n">
        <v>37</v>
      </c>
      <c r="F13" s="39" t="n">
        <v>38.1</v>
      </c>
      <c r="AT13" s="3"/>
      <c r="AU13" s="3"/>
      <c r="AV13" s="3"/>
      <c r="AW13" s="3"/>
      <c r="AZ13" s="39"/>
      <c r="BA13" s="39"/>
      <c r="BB13" s="39"/>
      <c r="BC13" s="39"/>
      <c r="BJ13" s="3"/>
      <c r="BK13" s="3"/>
      <c r="BL13" s="3"/>
      <c r="BM13" s="3"/>
      <c r="BN13" s="3"/>
      <c r="BO13" s="3"/>
    </row>
    <row r="14" customFormat="false" ht="23.85" hidden="false" customHeight="false" outlineLevel="0" collapsed="false">
      <c r="A14" s="62" t="str">
        <f aca="false">_xlfn.CONCAT($A$1, ".", CALC!A14)</f>
        <v>LSD.RID.0.AL.AWHW.10</v>
      </c>
      <c r="B14" s="40" t="str">
        <f aca="false">CALC!C14</f>
        <v>Retail Trade (Food, Clothing,
General Merchandise, etc.)</v>
      </c>
      <c r="C14" s="39" t="n">
        <v>35.5</v>
      </c>
      <c r="D14" s="39" t="n">
        <v>36</v>
      </c>
      <c r="E14" s="39" t="n">
        <v>34</v>
      </c>
      <c r="F14" s="39" t="n">
        <v>35.6</v>
      </c>
      <c r="AT14" s="3"/>
      <c r="AU14" s="3"/>
      <c r="AV14" s="3"/>
      <c r="AW14" s="3"/>
      <c r="AZ14" s="39"/>
      <c r="BA14" s="39"/>
      <c r="BB14" s="39"/>
      <c r="BC14" s="39"/>
      <c r="BJ14" s="3"/>
      <c r="BK14" s="3"/>
      <c r="BL14" s="3"/>
      <c r="BM14" s="3"/>
      <c r="BN14" s="3"/>
      <c r="BO14" s="3"/>
    </row>
    <row r="15" customFormat="false" ht="12.8" hidden="false" customHeight="false" outlineLevel="0" collapsed="false">
      <c r="A15" s="62" t="str">
        <f aca="false">_xlfn.CONCAT($A$1, ".", CALC!A15)</f>
        <v>LSD.RID.0.AL.AWHW.11</v>
      </c>
      <c r="B15" s="39" t="str">
        <f aca="false">CALC!C15</f>
        <v>Transportation</v>
      </c>
      <c r="C15" s="39" t="n">
        <v>41</v>
      </c>
      <c r="D15" s="39" t="n">
        <v>41.5</v>
      </c>
      <c r="E15" s="39" t="n">
        <v>40</v>
      </c>
      <c r="F15" s="39" t="n">
        <v>41.1</v>
      </c>
      <c r="AT15" s="3"/>
      <c r="AU15" s="3"/>
      <c r="AV15" s="3"/>
      <c r="AW15" s="3"/>
      <c r="AZ15" s="39"/>
      <c r="BA15" s="39"/>
      <c r="BB15" s="39"/>
      <c r="BC15" s="39"/>
      <c r="BJ15" s="3"/>
      <c r="BK15" s="3"/>
      <c r="BL15" s="3"/>
      <c r="BM15" s="3"/>
      <c r="BN15" s="3"/>
      <c r="BO15" s="3"/>
    </row>
    <row r="16" customFormat="false" ht="12.8" hidden="false" customHeight="false" outlineLevel="0" collapsed="false">
      <c r="A16" s="62" t="str">
        <f aca="false">_xlfn.CONCAT($A$1, ".", CALC!A16)</f>
        <v>LSD.RID.0.AL.AWHW.12</v>
      </c>
      <c r="B16" s="39" t="str">
        <f aca="false">CALC!C16</f>
        <v>Warehousing and Storage</v>
      </c>
      <c r="C16" s="39" t="n">
        <v>40.2</v>
      </c>
      <c r="D16" s="39" t="n">
        <v>40.8</v>
      </c>
      <c r="E16" s="39" t="n">
        <v>39.5</v>
      </c>
      <c r="F16" s="39" t="n">
        <v>40.3</v>
      </c>
      <c r="AT16" s="3"/>
      <c r="AU16" s="3"/>
      <c r="AV16" s="3"/>
      <c r="AW16" s="3"/>
      <c r="AZ16" s="39"/>
      <c r="BA16" s="39"/>
      <c r="BB16" s="39"/>
      <c r="BC16" s="39"/>
      <c r="BJ16" s="3"/>
      <c r="BK16" s="3"/>
      <c r="BL16" s="3"/>
      <c r="BM16" s="3"/>
      <c r="BN16" s="3"/>
      <c r="BO16" s="3"/>
    </row>
    <row r="17" customFormat="false" ht="12.8" hidden="false" customHeight="false" outlineLevel="0" collapsed="false">
      <c r="A17" s="62" t="str">
        <f aca="false">_xlfn.CONCAT($A$1, ".", CALC!A17)</f>
        <v>LSD.RID.0.AL.AWHW.13</v>
      </c>
      <c r="B17" s="39" t="str">
        <f aca="false">CALC!C17</f>
        <v>Information</v>
      </c>
      <c r="C17" s="39" t="n">
        <v>38.5</v>
      </c>
      <c r="D17" s="39" t="n">
        <v>39</v>
      </c>
      <c r="E17" s="39" t="n">
        <v>37</v>
      </c>
      <c r="F17" s="39" t="n">
        <v>38.6</v>
      </c>
      <c r="AT17" s="3"/>
      <c r="AU17" s="3"/>
      <c r="AV17" s="3"/>
      <c r="AW17" s="3"/>
      <c r="AZ17" s="39"/>
      <c r="BA17" s="39"/>
      <c r="BB17" s="39"/>
      <c r="BC17" s="39"/>
      <c r="BJ17" s="3"/>
      <c r="BK17" s="3"/>
      <c r="BL17" s="3"/>
      <c r="BM17" s="3"/>
      <c r="BN17" s="3"/>
      <c r="BO17" s="3"/>
    </row>
    <row r="18" customFormat="false" ht="12.8" hidden="false" customHeight="false" outlineLevel="0" collapsed="false">
      <c r="A18" s="62" t="str">
        <f aca="false">_xlfn.CONCAT($A$1, ".", CALC!A18)</f>
        <v>LSD.RID.0.AL.AWHW.14</v>
      </c>
      <c r="B18" s="39" t="str">
        <f aca="false">CALC!C18</f>
        <v>Finance and Insurance</v>
      </c>
      <c r="C18" s="39" t="n">
        <v>39</v>
      </c>
      <c r="D18" s="39" t="n">
        <v>39.5</v>
      </c>
      <c r="E18" s="39" t="n">
        <v>37.5</v>
      </c>
      <c r="F18" s="39" t="n">
        <v>39.1</v>
      </c>
      <c r="AT18" s="3"/>
      <c r="AU18" s="3"/>
      <c r="AV18" s="3"/>
      <c r="AW18" s="3"/>
      <c r="AZ18" s="39"/>
      <c r="BA18" s="39"/>
      <c r="BB18" s="39"/>
      <c r="BC18" s="39"/>
      <c r="BJ18" s="3"/>
      <c r="BK18" s="3"/>
      <c r="BL18" s="3"/>
      <c r="BM18" s="3"/>
      <c r="BN18" s="3"/>
      <c r="BO18" s="3"/>
    </row>
    <row r="19" customFormat="false" ht="23.85" hidden="false" customHeight="false" outlineLevel="0" collapsed="false">
      <c r="A19" s="62" t="str">
        <f aca="false">_xlfn.CONCAT($A$1, ".", CALC!A19)</f>
        <v>LSD.RID.0.AL.AWHW.15</v>
      </c>
      <c r="B19" s="40" t="str">
        <f aca="false">CALC!C19</f>
        <v>Real Estate and
Rental and Leasing</v>
      </c>
      <c r="C19" s="39" t="n">
        <v>38</v>
      </c>
      <c r="D19" s="39" t="n">
        <v>38.8</v>
      </c>
      <c r="E19" s="39" t="n">
        <v>36.5</v>
      </c>
      <c r="F19" s="39" t="n">
        <v>38.2</v>
      </c>
      <c r="AT19" s="3"/>
      <c r="AU19" s="3"/>
      <c r="AV19" s="3"/>
      <c r="AW19" s="3"/>
      <c r="AZ19" s="39"/>
      <c r="BA19" s="39"/>
      <c r="BB19" s="39"/>
      <c r="BC19" s="39"/>
      <c r="BJ19" s="3"/>
      <c r="BK19" s="3"/>
      <c r="BL19" s="3"/>
      <c r="BM19" s="3"/>
      <c r="BN19" s="3"/>
      <c r="BO19" s="3"/>
    </row>
    <row r="20" customFormat="false" ht="23.85" hidden="false" customHeight="false" outlineLevel="0" collapsed="false">
      <c r="A20" s="62" t="str">
        <f aca="false">_xlfn.CONCAT($A$1, ".", CALC!A20)</f>
        <v>LSD.RID.0.AL.AWHW.16</v>
      </c>
      <c r="B20" s="40" t="str">
        <f aca="false">CALC!C20</f>
        <v>Professional, Scientific,
and Technical Services</v>
      </c>
      <c r="C20" s="39" t="n">
        <v>39.8</v>
      </c>
      <c r="D20" s="39" t="n">
        <v>40.5</v>
      </c>
      <c r="E20" s="39" t="n">
        <v>38</v>
      </c>
      <c r="F20" s="39" t="n">
        <v>39.9</v>
      </c>
      <c r="AT20" s="3"/>
      <c r="AU20" s="3"/>
      <c r="AV20" s="3"/>
      <c r="AW20" s="3"/>
      <c r="AZ20" s="39"/>
      <c r="BA20" s="39"/>
      <c r="BB20" s="39"/>
      <c r="BC20" s="39"/>
      <c r="BJ20" s="3"/>
      <c r="BK20" s="3"/>
      <c r="BL20" s="3"/>
      <c r="BM20" s="3"/>
      <c r="BN20" s="3"/>
      <c r="BO20" s="3"/>
    </row>
    <row r="21" customFormat="false" ht="35.05" hidden="false" customHeight="false" outlineLevel="0" collapsed="false">
      <c r="A21" s="62" t="str">
        <f aca="false">_xlfn.CONCAT($A$1, ".", CALC!A21)</f>
        <v>LSD.RID.0.AL.AWHW.17</v>
      </c>
      <c r="B21" s="40" t="str">
        <f aca="false">CALC!C21</f>
        <v>Administrative and Support
and Waste Management
and Remediation Services</v>
      </c>
      <c r="C21" s="39" t="n">
        <v>37.5</v>
      </c>
      <c r="D21" s="39" t="n">
        <v>38</v>
      </c>
      <c r="E21" s="39" t="n">
        <v>36.5</v>
      </c>
      <c r="F21" s="39" t="n">
        <v>37.6</v>
      </c>
      <c r="AT21" s="3"/>
      <c r="AU21" s="3"/>
      <c r="AV21" s="3"/>
      <c r="AW21" s="3"/>
      <c r="AZ21" s="39"/>
      <c r="BA21" s="39"/>
      <c r="BB21" s="39"/>
      <c r="BC21" s="39"/>
      <c r="BJ21" s="3"/>
      <c r="BK21" s="3"/>
      <c r="BL21" s="3"/>
      <c r="BM21" s="3"/>
      <c r="BN21" s="3"/>
      <c r="BO21" s="3"/>
    </row>
    <row r="22" customFormat="false" ht="12.8" hidden="false" customHeight="false" outlineLevel="0" collapsed="false">
      <c r="A22" s="62" t="str">
        <f aca="false">_xlfn.CONCAT($A$1, ".", CALC!A22)</f>
        <v>LSD.RID.0.AL.AWHW.18</v>
      </c>
      <c r="B22" s="39" t="str">
        <f aca="false">CALC!C22</f>
        <v>Educational Services</v>
      </c>
      <c r="C22" s="39" t="n">
        <v>37</v>
      </c>
      <c r="D22" s="39" t="n">
        <v>37.5</v>
      </c>
      <c r="E22" s="39" t="n">
        <v>36</v>
      </c>
      <c r="F22" s="39" t="n">
        <v>37.1</v>
      </c>
      <c r="AT22" s="3"/>
      <c r="AU22" s="3"/>
      <c r="AV22" s="3"/>
      <c r="AW22" s="3"/>
      <c r="AZ22" s="39"/>
      <c r="BA22" s="39"/>
      <c r="BB22" s="39"/>
      <c r="BC22" s="39"/>
      <c r="BJ22" s="3"/>
      <c r="BK22" s="3"/>
      <c r="BL22" s="3"/>
      <c r="BM22" s="3"/>
      <c r="BN22" s="3"/>
      <c r="BO22" s="3"/>
    </row>
    <row r="23" customFormat="false" ht="23.85" hidden="false" customHeight="false" outlineLevel="0" collapsed="false">
      <c r="A23" s="62" t="str">
        <f aca="false">_xlfn.CONCAT($A$1, ".", CALC!A23)</f>
        <v>LSD.RID.0.AL.AWHW.19</v>
      </c>
      <c r="B23" s="40" t="str">
        <f aca="false">CALC!C23</f>
        <v>Health Care and
Social Assistance</v>
      </c>
      <c r="C23" s="39" t="n">
        <v>38.2</v>
      </c>
      <c r="D23" s="39" t="n">
        <v>38.8</v>
      </c>
      <c r="E23" s="39" t="n">
        <v>37</v>
      </c>
      <c r="F23" s="39" t="n">
        <v>38.3</v>
      </c>
      <c r="AT23" s="3"/>
      <c r="AU23" s="3"/>
      <c r="AV23" s="3"/>
      <c r="AW23" s="3"/>
      <c r="AZ23" s="39"/>
      <c r="BA23" s="39"/>
      <c r="BB23" s="39"/>
      <c r="BC23" s="39"/>
      <c r="BJ23" s="3"/>
      <c r="BK23" s="3"/>
      <c r="BL23" s="3"/>
      <c r="BM23" s="3"/>
      <c r="BN23" s="3"/>
      <c r="BO23" s="3"/>
    </row>
    <row r="24" customFormat="false" ht="23.85" hidden="false" customHeight="false" outlineLevel="0" collapsed="false">
      <c r="A24" s="62" t="str">
        <f aca="false">_xlfn.CONCAT($A$1, ".", CALC!A24)</f>
        <v>LSD.RID.0.AL.AWHW.20</v>
      </c>
      <c r="B24" s="40" t="str">
        <f aca="false">CALC!C24</f>
        <v>Arts, Entertainment,
and Recreation</v>
      </c>
      <c r="C24" s="39" t="n">
        <v>34</v>
      </c>
      <c r="D24" s="39" t="n">
        <v>34.5</v>
      </c>
      <c r="E24" s="39" t="n">
        <v>33</v>
      </c>
      <c r="F24" s="39" t="n">
        <v>34.1</v>
      </c>
      <c r="AT24" s="3"/>
      <c r="AU24" s="3"/>
      <c r="AV24" s="3"/>
      <c r="AW24" s="3"/>
      <c r="AZ24" s="39"/>
      <c r="BA24" s="39"/>
      <c r="BB24" s="39"/>
      <c r="BC24" s="39"/>
      <c r="BJ24" s="3"/>
      <c r="BK24" s="3"/>
      <c r="BL24" s="3"/>
      <c r="BM24" s="3"/>
      <c r="BN24" s="3"/>
      <c r="BO24" s="3"/>
    </row>
    <row r="25" customFormat="false" ht="23.85" hidden="false" customHeight="false" outlineLevel="0" collapsed="false">
      <c r="A25" s="62" t="str">
        <f aca="false">_xlfn.CONCAT($A$1, ".", CALC!A25)</f>
        <v>LSD.RID.0.AL.AWHW.21</v>
      </c>
      <c r="B25" s="40" t="str">
        <f aca="false">CALC!C25</f>
        <v>Accommodation
and Food Services</v>
      </c>
      <c r="C25" s="39" t="n">
        <v>33.5</v>
      </c>
      <c r="D25" s="39" t="n">
        <v>34</v>
      </c>
      <c r="E25" s="39" t="n">
        <v>32.5</v>
      </c>
      <c r="F25" s="39" t="n">
        <v>33.6</v>
      </c>
      <c r="AT25" s="3"/>
      <c r="AU25" s="3"/>
      <c r="AV25" s="3"/>
      <c r="AW25" s="3"/>
      <c r="AZ25" s="39"/>
      <c r="BA25" s="39"/>
      <c r="BB25" s="39"/>
      <c r="BC25" s="39"/>
      <c r="BJ25" s="3"/>
      <c r="BK25" s="3"/>
      <c r="BL25" s="3"/>
      <c r="BM25" s="3"/>
      <c r="BN25" s="3"/>
      <c r="BO25" s="3"/>
    </row>
    <row r="26" customFormat="false" ht="23.85" hidden="false" customHeight="false" outlineLevel="0" collapsed="false">
      <c r="A26" s="62" t="str">
        <f aca="false">_xlfn.CONCAT($A$1, ".", CALC!A26)</f>
        <v>LSD.RID.0.AL.AWHW.22</v>
      </c>
      <c r="B26" s="40" t="str">
        <f aca="false">CALC!C26</f>
        <v>Other Services (except
Public Administration)</v>
      </c>
      <c r="C26" s="39" t="n">
        <v>36</v>
      </c>
      <c r="D26" s="39" t="n">
        <v>36.5</v>
      </c>
      <c r="E26" s="39" t="n">
        <v>35</v>
      </c>
      <c r="F26" s="39" t="n">
        <v>36.1</v>
      </c>
      <c r="AT26" s="3"/>
      <c r="AU26" s="3"/>
      <c r="AV26" s="3"/>
      <c r="AW26" s="3"/>
      <c r="AZ26" s="39"/>
      <c r="BA26" s="39"/>
      <c r="BB26" s="39"/>
      <c r="BC26" s="39"/>
      <c r="BJ26" s="3"/>
      <c r="BK26" s="3"/>
      <c r="BL26" s="3"/>
      <c r="BM26" s="3"/>
      <c r="BN26" s="3"/>
      <c r="BO26" s="3"/>
    </row>
    <row r="27" customFormat="false" ht="12.8" hidden="false" customHeight="false" outlineLevel="0" collapsed="false">
      <c r="A27" s="62" t="str">
        <f aca="false">_xlfn.CONCAT($A$1, ".", CALC!A27)</f>
        <v>LSD.RID.0.AL.AWHW.23</v>
      </c>
      <c r="B27" s="39" t="str">
        <f aca="false">CALC!C27</f>
        <v>Public Administration</v>
      </c>
      <c r="C27" s="39" t="n">
        <v>39.5</v>
      </c>
      <c r="D27" s="39" t="n">
        <v>40</v>
      </c>
      <c r="E27" s="39" t="n">
        <v>38</v>
      </c>
      <c r="F27" s="39" t="n">
        <v>39.6</v>
      </c>
      <c r="AT27" s="3"/>
      <c r="AU27" s="3"/>
      <c r="AV27" s="3"/>
      <c r="AW27" s="3"/>
      <c r="AZ27" s="39"/>
      <c r="BA27" s="39"/>
      <c r="BB27" s="39"/>
      <c r="BC27" s="39"/>
      <c r="BJ27" s="3"/>
      <c r="BK27" s="3"/>
      <c r="BL27" s="3"/>
      <c r="BM27" s="3"/>
      <c r="BN27" s="3"/>
      <c r="BO27" s="3"/>
    </row>
    <row r="28" customFormat="false" ht="12.8" hidden="false" customHeight="false" outlineLevel="0" collapsed="false">
      <c r="A28" s="62"/>
      <c r="AT28" s="3"/>
      <c r="AU28" s="3"/>
      <c r="AV28" s="3"/>
      <c r="AW28" s="3"/>
      <c r="AZ28" s="39"/>
      <c r="BA28" s="39"/>
      <c r="BB28" s="39"/>
      <c r="BC28" s="39"/>
      <c r="BJ28" s="3"/>
      <c r="BK28" s="3"/>
      <c r="BL28" s="3"/>
      <c r="BM28" s="3"/>
      <c r="BN28" s="3"/>
      <c r="BO28" s="3"/>
    </row>
    <row r="29" customFormat="false" ht="12.8" hidden="false" customHeight="false" outlineLevel="0" collapsed="false">
      <c r="A29" s="62"/>
      <c r="AT29" s="3"/>
      <c r="AU29" s="3"/>
      <c r="AV29" s="3"/>
      <c r="AW29" s="3"/>
      <c r="AZ29" s="39"/>
      <c r="BA29" s="39"/>
      <c r="BB29" s="39"/>
      <c r="BC29" s="39"/>
      <c r="BJ29" s="3"/>
      <c r="BK29" s="3"/>
      <c r="BL29" s="3"/>
      <c r="BM29" s="3"/>
      <c r="BN29" s="3"/>
      <c r="BO29" s="3"/>
    </row>
    <row r="30" customFormat="false" ht="12.8" hidden="false" customHeight="false" outlineLevel="0" collapsed="false">
      <c r="A30" s="62"/>
      <c r="AT30" s="3"/>
      <c r="AU30" s="3"/>
      <c r="AV30" s="3"/>
      <c r="AW30" s="3"/>
      <c r="AZ30" s="39"/>
      <c r="BA30" s="39"/>
      <c r="BB30" s="39"/>
      <c r="BC30" s="39"/>
      <c r="BJ30" s="3"/>
      <c r="BK30" s="3"/>
      <c r="BL30" s="3"/>
      <c r="BM30" s="3"/>
      <c r="BN30" s="3"/>
      <c r="BO30" s="3"/>
    </row>
    <row r="31" customFormat="false" ht="12.8" hidden="false" customHeight="false" outlineLevel="0" collapsed="false">
      <c r="C31" s="79"/>
      <c r="D31" s="79"/>
      <c r="E31" s="79"/>
      <c r="F31" s="79"/>
    </row>
    <row r="32" customFormat="false" ht="12.8" hidden="false" customHeight="false" outlineLevel="0" collapsed="false">
      <c r="C32" s="79"/>
      <c r="D32" s="79"/>
      <c r="E32" s="79"/>
      <c r="F32" s="79"/>
    </row>
    <row r="33" customFormat="false" ht="12.8" hidden="false" customHeight="false" outlineLevel="0" collapsed="false">
      <c r="C33" s="79"/>
      <c r="D33" s="79"/>
      <c r="E33" s="79"/>
      <c r="F33" s="79"/>
    </row>
    <row r="34" customFormat="false" ht="12.8" hidden="false" customHeight="false" outlineLevel="0" collapsed="false">
      <c r="C34" s="79"/>
      <c r="D34" s="79"/>
      <c r="E34" s="79"/>
      <c r="F34" s="79"/>
    </row>
    <row r="129" customFormat="false" ht="12.8" hidden="false" customHeight="false" outlineLevel="0" collapsed="false">
      <c r="A129" s="65" t="s">
        <v>2792</v>
      </c>
      <c r="B129" s="66" t="s">
        <v>2793</v>
      </c>
      <c r="C129" s="66"/>
    </row>
    <row r="130" customFormat="false" ht="12.8" hidden="false" customHeight="false" outlineLevel="0" collapsed="false">
      <c r="A130" s="49" t="s">
        <v>1842</v>
      </c>
      <c r="B130" s="49" t="s">
        <v>183</v>
      </c>
      <c r="C130" s="49" t="s">
        <v>184</v>
      </c>
      <c r="D130" s="49" t="s">
        <v>1843</v>
      </c>
      <c r="E130" s="49" t="s">
        <v>186</v>
      </c>
      <c r="F130" s="49" t="s">
        <v>187</v>
      </c>
    </row>
    <row r="131" customFormat="false" ht="12.8" hidden="false" customHeight="false" outlineLevel="0" collapsed="false">
      <c r="A131" s="39" t="s">
        <v>2794</v>
      </c>
      <c r="B131" s="39" t="s">
        <v>607</v>
      </c>
      <c r="C131" s="39" t="s">
        <v>2795</v>
      </c>
      <c r="D131" s="39" t="s">
        <v>2796</v>
      </c>
      <c r="E131" s="39" t="s">
        <v>2797</v>
      </c>
      <c r="F131" s="39" t="s">
        <v>302</v>
      </c>
    </row>
    <row r="132" customFormat="false" ht="12.8" hidden="false" customHeight="false" outlineLevel="0" collapsed="false">
      <c r="A132" s="39" t="s">
        <v>2798</v>
      </c>
      <c r="B132" s="39" t="s">
        <v>607</v>
      </c>
      <c r="C132" s="39" t="s">
        <v>1850</v>
      </c>
      <c r="D132" s="39" t="s">
        <v>2799</v>
      </c>
      <c r="E132" s="39" t="s">
        <v>2800</v>
      </c>
      <c r="F132" s="39" t="s">
        <v>302</v>
      </c>
    </row>
    <row r="133" customFormat="false" ht="12.8" hidden="false" customHeight="false" outlineLevel="0" collapsed="false">
      <c r="A133" s="39" t="s">
        <v>2801</v>
      </c>
      <c r="B133" s="39" t="s">
        <v>607</v>
      </c>
      <c r="C133" s="39" t="s">
        <v>1853</v>
      </c>
      <c r="D133" s="39" t="s">
        <v>2802</v>
      </c>
      <c r="E133" s="39" t="s">
        <v>2803</v>
      </c>
      <c r="F133" s="39" t="s">
        <v>302</v>
      </c>
    </row>
    <row r="134" customFormat="false" ht="12.8" hidden="false" customHeight="false" outlineLevel="0" collapsed="false">
      <c r="A134" s="50" t="s">
        <v>2804</v>
      </c>
      <c r="B134" s="39" t="s">
        <v>607</v>
      </c>
      <c r="C134" s="39" t="s">
        <v>2805</v>
      </c>
      <c r="D134" s="39" t="s">
        <v>2806</v>
      </c>
      <c r="E134" s="39" t="s">
        <v>306</v>
      </c>
      <c r="F134" s="39" t="s">
        <v>302</v>
      </c>
    </row>
    <row r="136" customFormat="false" ht="12.8" hidden="false" customHeight="false" outlineLevel="0" collapsed="false">
      <c r="A136" s="65" t="s">
        <v>2807</v>
      </c>
      <c r="B136" s="66" t="s">
        <v>2808</v>
      </c>
      <c r="C136" s="66"/>
    </row>
    <row r="137" customFormat="false" ht="12.8" hidden="false" customHeight="false" outlineLevel="0" collapsed="false">
      <c r="A137" s="49" t="s">
        <v>683</v>
      </c>
      <c r="B137" s="49" t="s">
        <v>184</v>
      </c>
      <c r="C137" s="49" t="s">
        <v>684</v>
      </c>
      <c r="D137" s="49" t="s">
        <v>186</v>
      </c>
      <c r="E137" s="49" t="s">
        <v>678</v>
      </c>
      <c r="F137" s="49" t="s">
        <v>679</v>
      </c>
      <c r="G137" s="49" t="s">
        <v>680</v>
      </c>
      <c r="H137" s="49" t="s">
        <v>187</v>
      </c>
    </row>
    <row r="138" customFormat="false" ht="12.8" hidden="false" customHeight="false" outlineLevel="0" collapsed="false">
      <c r="A138" s="39" t="s">
        <v>2809</v>
      </c>
      <c r="B138" s="39" t="s">
        <v>2810</v>
      </c>
      <c r="C138" s="39" t="n">
        <v>38.8</v>
      </c>
      <c r="D138" s="39" t="s">
        <v>2811</v>
      </c>
      <c r="E138" s="39" t="s">
        <v>689</v>
      </c>
      <c r="F138" s="39" t="s">
        <v>803</v>
      </c>
      <c r="G138" s="51" t="s">
        <v>691</v>
      </c>
      <c r="H138" s="39" t="s">
        <v>302</v>
      </c>
    </row>
    <row r="139" customFormat="false" ht="12.8" hidden="false" customHeight="false" outlineLevel="0" collapsed="false">
      <c r="A139" s="39" t="s">
        <v>2812</v>
      </c>
      <c r="B139" s="39" t="s">
        <v>2813</v>
      </c>
      <c r="C139" s="39" t="s">
        <v>2814</v>
      </c>
      <c r="D139" s="39" t="s">
        <v>2815</v>
      </c>
      <c r="E139" s="39" t="s">
        <v>689</v>
      </c>
      <c r="F139" s="39" t="s">
        <v>1775</v>
      </c>
      <c r="G139" s="51" t="s">
        <v>691</v>
      </c>
      <c r="H139" s="39" t="s">
        <v>989</v>
      </c>
    </row>
    <row r="140" customFormat="false" ht="12.8" hidden="false" customHeight="false" outlineLevel="0" collapsed="false">
      <c r="A140" s="39" t="s">
        <v>2816</v>
      </c>
      <c r="B140" s="39" t="s">
        <v>2817</v>
      </c>
      <c r="C140" s="39" t="s">
        <v>2818</v>
      </c>
      <c r="D140" s="39" t="s">
        <v>2819</v>
      </c>
      <c r="E140" s="39" t="s">
        <v>689</v>
      </c>
      <c r="F140" s="39" t="s">
        <v>2820</v>
      </c>
      <c r="G140" s="51" t="s">
        <v>691</v>
      </c>
      <c r="H140" s="39" t="s">
        <v>2821</v>
      </c>
    </row>
    <row r="141" customFormat="false" ht="12.8" hidden="false" customHeight="false" outlineLevel="0" collapsed="false">
      <c r="A141" s="39" t="s">
        <v>2822</v>
      </c>
      <c r="B141" s="39" t="s">
        <v>2823</v>
      </c>
      <c r="C141" s="39" t="s">
        <v>2824</v>
      </c>
      <c r="D141" s="39" t="s">
        <v>2825</v>
      </c>
      <c r="E141" s="39" t="s">
        <v>689</v>
      </c>
      <c r="F141" s="39" t="s">
        <v>2613</v>
      </c>
      <c r="G141" s="51" t="s">
        <v>691</v>
      </c>
      <c r="H141" s="39" t="s">
        <v>2821</v>
      </c>
    </row>
    <row r="142" customFormat="false" ht="12.8" hidden="false" customHeight="false" outlineLevel="0" collapsed="false">
      <c r="A142" s="39" t="s">
        <v>2826</v>
      </c>
      <c r="B142" s="39" t="s">
        <v>2827</v>
      </c>
      <c r="C142" s="39" t="n">
        <v>0.9</v>
      </c>
      <c r="D142" s="39" t="s">
        <v>2828</v>
      </c>
      <c r="E142" s="39" t="s">
        <v>689</v>
      </c>
      <c r="F142" s="39" t="s">
        <v>2829</v>
      </c>
      <c r="G142" s="51" t="s">
        <v>691</v>
      </c>
      <c r="H142" s="39" t="s">
        <v>302</v>
      </c>
    </row>
    <row r="143" customFormat="false" ht="12.8" hidden="false" customHeight="false" outlineLevel="0" collapsed="false">
      <c r="A143" s="39" t="s">
        <v>2830</v>
      </c>
      <c r="B143" s="39" t="s">
        <v>2831</v>
      </c>
      <c r="C143" s="39" t="n">
        <v>4</v>
      </c>
      <c r="D143" s="39" t="s">
        <v>1000</v>
      </c>
      <c r="E143" s="39" t="s">
        <v>689</v>
      </c>
      <c r="F143" s="39" t="s">
        <v>1256</v>
      </c>
      <c r="G143" s="51" t="s">
        <v>691</v>
      </c>
      <c r="H143" s="39" t="s">
        <v>302</v>
      </c>
    </row>
    <row r="144" customFormat="false" ht="12.8" hidden="false" customHeight="false" outlineLevel="0" collapsed="false">
      <c r="A144" s="40"/>
      <c r="B144" s="40"/>
      <c r="C144" s="40"/>
      <c r="D144" s="40"/>
      <c r="E144" s="40"/>
      <c r="F144" s="40"/>
      <c r="G144" s="77"/>
      <c r="H144" s="40"/>
    </row>
    <row r="145" customFormat="false" ht="12.8" hidden="false" customHeight="false" outlineLevel="0" collapsed="false">
      <c r="A145" s="65" t="s">
        <v>2832</v>
      </c>
      <c r="B145" s="66" t="s">
        <v>2833</v>
      </c>
    </row>
    <row r="146" customFormat="false" ht="12.8" hidden="false" customHeight="false" outlineLevel="0" collapsed="false">
      <c r="A146" s="50" t="s">
        <v>113</v>
      </c>
      <c r="B146" s="39" t="s">
        <v>186</v>
      </c>
      <c r="C146" s="39" t="s">
        <v>677</v>
      </c>
      <c r="D146" s="39" t="s">
        <v>1875</v>
      </c>
      <c r="E146" s="39" t="s">
        <v>678</v>
      </c>
      <c r="F146" s="39" t="s">
        <v>1876</v>
      </c>
    </row>
    <row r="147" customFormat="false" ht="12.8" hidden="false" customHeight="false" outlineLevel="0" collapsed="false">
      <c r="A147" s="50" t="s">
        <v>2834</v>
      </c>
      <c r="B147" s="39" t="s">
        <v>2835</v>
      </c>
      <c r="C147" s="39" t="n">
        <v>38.8</v>
      </c>
      <c r="D147" s="39" t="s">
        <v>2836</v>
      </c>
      <c r="E147" s="39" t="s">
        <v>689</v>
      </c>
      <c r="F147" s="39" t="s">
        <v>1879</v>
      </c>
    </row>
    <row r="148" customFormat="false" ht="12.8" hidden="false" customHeight="false" outlineLevel="0" collapsed="false">
      <c r="A148" s="50" t="s">
        <v>2837</v>
      </c>
      <c r="B148" s="39" t="s">
        <v>1881</v>
      </c>
      <c r="C148" s="39" t="s">
        <v>2838</v>
      </c>
      <c r="D148" s="39" t="s">
        <v>689</v>
      </c>
      <c r="E148" s="39" t="s">
        <v>2638</v>
      </c>
    </row>
    <row r="149" customFormat="false" ht="12.8" hidden="false" customHeight="false" outlineLevel="0" collapsed="false">
      <c r="A149" s="50" t="s">
        <v>2839</v>
      </c>
      <c r="B149" s="39" t="s">
        <v>2840</v>
      </c>
      <c r="C149" s="39" t="s">
        <v>2841</v>
      </c>
      <c r="D149" s="39" t="s">
        <v>2842</v>
      </c>
      <c r="E149" s="39" t="s">
        <v>689</v>
      </c>
      <c r="F149" s="39" t="s">
        <v>2843</v>
      </c>
    </row>
    <row r="150" customFormat="false" ht="12.8" hidden="false" customHeight="false" outlineLevel="0" collapsed="false">
      <c r="A150" s="50" t="s">
        <v>2844</v>
      </c>
      <c r="B150" s="39" t="s">
        <v>1891</v>
      </c>
      <c r="C150" s="39" t="s">
        <v>2845</v>
      </c>
      <c r="D150" s="39" t="s">
        <v>2846</v>
      </c>
      <c r="E150" s="39" t="s">
        <v>689</v>
      </c>
      <c r="F150" s="39" t="s">
        <v>2847</v>
      </c>
    </row>
    <row r="151" customFormat="false" ht="12.8" hidden="false" customHeight="false" outlineLevel="0" collapsed="false">
      <c r="A151" s="50" t="s">
        <v>2848</v>
      </c>
      <c r="B151" s="39" t="s">
        <v>1896</v>
      </c>
      <c r="C151" s="39" t="s">
        <v>1962</v>
      </c>
      <c r="D151" s="39" t="s">
        <v>2849</v>
      </c>
      <c r="E151" s="39" t="s">
        <v>689</v>
      </c>
      <c r="F151" s="39" t="s">
        <v>2130</v>
      </c>
      <c r="G151" s="39" t="s">
        <v>2708</v>
      </c>
    </row>
    <row r="152" customFormat="false" ht="12.8" hidden="false" customHeight="false" outlineLevel="0" collapsed="false">
      <c r="A152" s="50" t="s">
        <v>2850</v>
      </c>
      <c r="B152" s="39" t="s">
        <v>1901</v>
      </c>
      <c r="C152" s="39" t="s">
        <v>1902</v>
      </c>
      <c r="D152" s="39" t="s">
        <v>2851</v>
      </c>
      <c r="E152" s="39" t="s">
        <v>689</v>
      </c>
      <c r="F152" s="39" t="s">
        <v>2652</v>
      </c>
    </row>
    <row r="153" customFormat="false" ht="12.8" hidden="false" customHeight="false" outlineLevel="0" collapsed="false">
      <c r="A153" s="50" t="s">
        <v>2852</v>
      </c>
      <c r="B153" s="39" t="s">
        <v>2853</v>
      </c>
      <c r="C153" s="39" t="s">
        <v>2854</v>
      </c>
      <c r="D153" s="39" t="s">
        <v>2855</v>
      </c>
      <c r="E153" s="39" t="s">
        <v>689</v>
      </c>
      <c r="F153" s="39" t="s">
        <v>2346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53"/>
  <sheetViews>
    <sheetView showFormulas="false" showGridLines="true" showRowColHeaders="true" showZeros="true" rightToLeft="false" tabSelected="false" showOutlineSymbols="true" defaultGridColor="true" view="normal" topLeftCell="A69" colorId="64" zoomScale="65" zoomScaleNormal="65" zoomScalePageLayoutView="100" workbookViewId="0">
      <selection pane="topLeft" activeCell="C3" activeCellId="0" sqref="C3"/>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2856</v>
      </c>
      <c r="B1" s="42" t="s">
        <v>2857</v>
      </c>
      <c r="C1" s="6" t="s">
        <v>2</v>
      </c>
      <c r="D1" s="67" t="s">
        <v>2858</v>
      </c>
      <c r="AZ1" s="39"/>
      <c r="BP1" s="39"/>
    </row>
    <row r="2" customFormat="false" ht="12.8" hidden="false" customHeight="false" outlineLevel="0" collapsed="false">
      <c r="A2" s="65" t="str">
        <f aca="false">_xlfn.CONCAT($A$1, ".", "CALC")</f>
        <v>LSD.RID.0.AL.FTER.CALC</v>
      </c>
      <c r="B2" s="66" t="str">
        <f aca="false">_xlfn.CONCAT($B$1, " ", "Calculations")</f>
        <v>Alabama Full-Time Employment Rate (FTER) Calculations</v>
      </c>
    </row>
    <row r="3" customFormat="false" ht="12.8" hidden="false" customHeight="false" outlineLevel="0" collapsed="false">
      <c r="A3" s="65" t="str">
        <f aca="false">CALC!A3</f>
        <v>LSID</v>
      </c>
      <c r="B3" s="42" t="str">
        <f aca="false">CALC!C3</f>
        <v>Labor Sector</v>
      </c>
      <c r="C3" s="80" t="str">
        <f aca="false">CALC!CF3</f>
        <v>Overall FTER</v>
      </c>
      <c r="D3" s="80" t="str">
        <f aca="false">CALC!CG3</f>
        <v>Authorized FTER</v>
      </c>
      <c r="E3" s="80" t="str">
        <f aca="false">CALC!CH3</f>
        <v>Unauthorized FTER</v>
      </c>
      <c r="F3" s="80" t="str">
        <f aca="false">CALC!CI3</f>
        <v>American FTER</v>
      </c>
      <c r="AT3" s="3"/>
      <c r="AU3" s="3"/>
      <c r="AV3" s="3"/>
      <c r="AW3" s="3"/>
      <c r="AZ3" s="39"/>
      <c r="BA3" s="39"/>
      <c r="BB3" s="39"/>
      <c r="BC3" s="39"/>
      <c r="BJ3" s="3"/>
      <c r="BK3" s="3"/>
      <c r="BL3" s="3"/>
      <c r="BM3" s="3"/>
      <c r="BN3" s="3"/>
      <c r="BO3" s="3"/>
    </row>
    <row r="4" customFormat="false" ht="12.8" hidden="false" customHeight="false" outlineLevel="0" collapsed="false">
      <c r="A4" s="62" t="str">
        <f aca="false">_xlfn.CONCAT($A$1, ".", CALC!A4)</f>
        <v>LSD.RID.0.AL.FTER.0</v>
      </c>
      <c r="B4" s="39" t="str">
        <f aca="false">CALC!C4</f>
        <v>All Industries</v>
      </c>
      <c r="C4" s="39" t="n">
        <v>0.82</v>
      </c>
      <c r="D4" s="39" t="n">
        <v>0.84</v>
      </c>
      <c r="E4" s="39" t="n">
        <v>0.78</v>
      </c>
      <c r="F4" s="39" t="n">
        <v>0.82</v>
      </c>
      <c r="AT4" s="3"/>
      <c r="AU4" s="3"/>
      <c r="AV4" s="3"/>
      <c r="AW4" s="3"/>
      <c r="AZ4" s="39"/>
      <c r="BA4" s="39"/>
      <c r="BB4" s="39"/>
      <c r="BC4" s="39"/>
      <c r="BJ4" s="3"/>
      <c r="BK4" s="3"/>
      <c r="BL4" s="3"/>
      <c r="BM4" s="3"/>
      <c r="BN4" s="3"/>
      <c r="BO4" s="3"/>
    </row>
    <row r="5" customFormat="false" ht="23.85" hidden="false" customHeight="false" outlineLevel="0" collapsed="false">
      <c r="A5" s="62" t="str">
        <f aca="false">_xlfn.CONCAT($A$1, ".", CALC!A5)</f>
        <v>LSD.RID.0.AL.FTER.1</v>
      </c>
      <c r="B5" s="40" t="str">
        <f aca="false">CALC!C5</f>
        <v>Agriculture, Forestry, 
Fishing and Hunting</v>
      </c>
      <c r="C5" s="39" t="n">
        <v>0.78</v>
      </c>
      <c r="D5" s="39" t="n">
        <v>0.76</v>
      </c>
      <c r="E5" s="39" t="n">
        <v>0.82</v>
      </c>
      <c r="F5" s="39" t="n">
        <v>0.78</v>
      </c>
      <c r="AT5" s="3"/>
      <c r="AU5" s="3"/>
      <c r="AV5" s="3"/>
      <c r="AW5" s="3"/>
      <c r="AZ5" s="39"/>
      <c r="BA5" s="39"/>
      <c r="BB5" s="39"/>
      <c r="BC5" s="39"/>
      <c r="BJ5" s="3"/>
      <c r="BK5" s="3"/>
      <c r="BL5" s="3"/>
      <c r="BM5" s="3"/>
      <c r="BN5" s="3"/>
      <c r="BO5" s="3"/>
    </row>
    <row r="6" customFormat="false" ht="23.85" hidden="false" customHeight="false" outlineLevel="0" collapsed="false">
      <c r="A6" s="62" t="str">
        <f aca="false">_xlfn.CONCAT($A$1, ".", CALC!A6)</f>
        <v>LSD.RID.0.AL.FTER.2</v>
      </c>
      <c r="B6" s="40" t="str">
        <f aca="false">CALC!C6</f>
        <v>Mining, Quarrying, and
Oil and Gas Extraction</v>
      </c>
      <c r="C6" s="39" t="n">
        <v>0.85</v>
      </c>
      <c r="D6" s="39" t="n">
        <v>0.86</v>
      </c>
      <c r="E6" s="39" t="n">
        <v>0.83</v>
      </c>
      <c r="F6" s="39" t="n">
        <v>0.85</v>
      </c>
      <c r="AT6" s="3"/>
      <c r="AU6" s="3"/>
      <c r="AV6" s="3"/>
      <c r="AW6" s="3"/>
      <c r="AZ6" s="39"/>
      <c r="BA6" s="39"/>
      <c r="BB6" s="39"/>
      <c r="BC6" s="39"/>
      <c r="BJ6" s="3"/>
      <c r="BK6" s="3"/>
      <c r="BL6" s="3"/>
      <c r="BM6" s="3"/>
      <c r="BN6" s="3"/>
      <c r="BO6" s="3"/>
    </row>
    <row r="7" customFormat="false" ht="12.8" hidden="false" customHeight="false" outlineLevel="0" collapsed="false">
      <c r="A7" s="62" t="str">
        <f aca="false">_xlfn.CONCAT($A$1, ".", CALC!A7)</f>
        <v>LSD.RID.0.AL.FTER.3</v>
      </c>
      <c r="B7" s="39" t="str">
        <f aca="false">CALC!C7</f>
        <v>Utilities</v>
      </c>
      <c r="C7" s="39" t="n">
        <v>0.88</v>
      </c>
      <c r="D7" s="39" t="n">
        <v>0.89</v>
      </c>
      <c r="E7" s="39" t="n">
        <v>0.85</v>
      </c>
      <c r="F7" s="39" t="n">
        <v>0.88</v>
      </c>
      <c r="AT7" s="3"/>
      <c r="AU7" s="3"/>
      <c r="AV7" s="3"/>
      <c r="AW7" s="3"/>
      <c r="AZ7" s="39"/>
      <c r="BA7" s="39"/>
      <c r="BB7" s="39"/>
      <c r="BC7" s="39"/>
      <c r="BJ7" s="3"/>
      <c r="BK7" s="3"/>
      <c r="BL7" s="3"/>
      <c r="BM7" s="3"/>
      <c r="BN7" s="3"/>
      <c r="BO7" s="3"/>
    </row>
    <row r="8" customFormat="false" ht="12.8" hidden="false" customHeight="false" outlineLevel="0" collapsed="false">
      <c r="A8" s="62" t="str">
        <f aca="false">_xlfn.CONCAT($A$1, ".", CALC!A8)</f>
        <v>LSD.RID.0.AL.FTER.4</v>
      </c>
      <c r="B8" s="39" t="str">
        <f aca="false">CALC!C8</f>
        <v>Construction</v>
      </c>
      <c r="C8" s="39" t="n">
        <v>0.8</v>
      </c>
      <c r="D8" s="39" t="n">
        <v>0.78</v>
      </c>
      <c r="E8" s="39" t="n">
        <v>0.84</v>
      </c>
      <c r="F8" s="39" t="n">
        <v>0.8</v>
      </c>
      <c r="AT8" s="3"/>
      <c r="AU8" s="3"/>
      <c r="AV8" s="3"/>
      <c r="AW8" s="3"/>
      <c r="AZ8" s="39"/>
      <c r="BA8" s="39"/>
      <c r="BB8" s="39"/>
      <c r="BC8" s="39"/>
      <c r="BJ8" s="3"/>
      <c r="BK8" s="3"/>
      <c r="BL8" s="3"/>
      <c r="BM8" s="3"/>
      <c r="BN8" s="3"/>
      <c r="BO8" s="3"/>
    </row>
    <row r="9" customFormat="false" ht="23.85" hidden="false" customHeight="false" outlineLevel="0" collapsed="false">
      <c r="A9" s="62" t="str">
        <f aca="false">_xlfn.CONCAT($A$1, ".", CALC!A9)</f>
        <v>LSD.RID.0.AL.FTER.5</v>
      </c>
      <c r="B9" s="40" t="str">
        <f aca="false">CALC!C9</f>
        <v>Manufacturing
(Food,Textile, etc.)</v>
      </c>
      <c r="C9" s="39" t="n">
        <v>0.84</v>
      </c>
      <c r="D9" s="39" t="n">
        <v>0.82</v>
      </c>
      <c r="E9" s="39" t="n">
        <v>0.86</v>
      </c>
      <c r="F9" s="39" t="n">
        <v>0.84</v>
      </c>
      <c r="AT9" s="3"/>
      <c r="AU9" s="3"/>
      <c r="AV9" s="3"/>
      <c r="AW9" s="3"/>
      <c r="AZ9" s="39"/>
      <c r="BA9" s="39"/>
      <c r="BB9" s="39"/>
      <c r="BC9" s="39"/>
      <c r="BJ9" s="3"/>
      <c r="BK9" s="3"/>
      <c r="BL9" s="3"/>
      <c r="BM9" s="3"/>
      <c r="BN9" s="3"/>
      <c r="BO9" s="3"/>
    </row>
    <row r="10" customFormat="false" ht="23.85" hidden="false" customHeight="false" outlineLevel="0" collapsed="false">
      <c r="A10" s="62" t="str">
        <f aca="false">_xlfn.CONCAT($A$1, ".", CALC!A10)</f>
        <v>LSD.RID.0.AL.FTER.6</v>
      </c>
      <c r="B10" s="40" t="str">
        <f aca="false">CALC!C10</f>
        <v>Manufacturing (Wood,
Paper, Printing, etc.)</v>
      </c>
      <c r="C10" s="39" t="n">
        <v>0.85</v>
      </c>
      <c r="D10" s="39" t="n">
        <v>0.84</v>
      </c>
      <c r="E10" s="39" t="n">
        <v>0.87</v>
      </c>
      <c r="F10" s="39" t="n">
        <v>0.85</v>
      </c>
      <c r="AT10" s="3"/>
      <c r="AU10" s="3"/>
      <c r="AV10" s="3"/>
      <c r="AW10" s="3"/>
      <c r="AZ10" s="39"/>
      <c r="BA10" s="39"/>
      <c r="BB10" s="39"/>
      <c r="BC10" s="39"/>
      <c r="BJ10" s="3"/>
      <c r="BK10" s="3"/>
      <c r="BL10" s="3"/>
      <c r="BM10" s="3"/>
      <c r="BN10" s="3"/>
      <c r="BO10" s="3"/>
    </row>
    <row r="11" customFormat="false" ht="23.85" hidden="false" customHeight="false" outlineLevel="0" collapsed="false">
      <c r="A11" s="62" t="str">
        <f aca="false">_xlfn.CONCAT($A$1, ".", CALC!A11)</f>
        <v>LSD.RID.0.AL.FTER.7</v>
      </c>
      <c r="B11" s="40" t="str">
        <f aca="false">CALC!C11</f>
        <v>Manufacturing
(Machinery, Transport)</v>
      </c>
      <c r="C11" s="39" t="n">
        <v>0.86</v>
      </c>
      <c r="D11" s="39" t="n">
        <v>0.85</v>
      </c>
      <c r="E11" s="39" t="n">
        <v>0.88</v>
      </c>
      <c r="F11" s="39" t="n">
        <v>0.86</v>
      </c>
      <c r="AT11" s="3"/>
      <c r="AU11" s="3"/>
      <c r="AV11" s="3"/>
      <c r="AW11" s="3"/>
      <c r="AZ11" s="39"/>
      <c r="BA11" s="39"/>
      <c r="BB11" s="39"/>
      <c r="BC11" s="39"/>
      <c r="BJ11" s="3"/>
      <c r="BK11" s="3"/>
      <c r="BL11" s="3"/>
      <c r="BM11" s="3"/>
      <c r="BN11" s="3"/>
      <c r="BO11" s="3"/>
    </row>
    <row r="12" customFormat="false" ht="12.8" hidden="false" customHeight="false" outlineLevel="0" collapsed="false">
      <c r="A12" s="62" t="str">
        <f aca="false">_xlfn.CONCAT($A$1, ".", CALC!A12)</f>
        <v>LSD.RID.0.AL.FTER.8</v>
      </c>
      <c r="B12" s="39" t="str">
        <f aca="false">CALC!C12</f>
        <v>Wholesale Trade</v>
      </c>
      <c r="C12" s="39" t="n">
        <v>0.83</v>
      </c>
      <c r="D12" s="39" t="n">
        <v>0.84</v>
      </c>
      <c r="E12" s="39" t="n">
        <v>0.8</v>
      </c>
      <c r="F12" s="39" t="n">
        <v>0.83</v>
      </c>
      <c r="AT12" s="3"/>
      <c r="AU12" s="3"/>
      <c r="AV12" s="3"/>
      <c r="AW12" s="3"/>
      <c r="AZ12" s="39"/>
      <c r="BA12" s="39"/>
      <c r="BB12" s="39"/>
      <c r="BC12" s="39"/>
      <c r="BJ12" s="3"/>
      <c r="BK12" s="3"/>
      <c r="BL12" s="3"/>
      <c r="BM12" s="3"/>
      <c r="BN12" s="3"/>
      <c r="BO12" s="3"/>
    </row>
    <row r="13" customFormat="false" ht="23.85" hidden="false" customHeight="false" outlineLevel="0" collapsed="false">
      <c r="A13" s="62" t="str">
        <f aca="false">_xlfn.CONCAT($A$1, ".", CALC!A13)</f>
        <v>LSD.RID.0.AL.FTER.9</v>
      </c>
      <c r="B13" s="40" t="str">
        <f aca="false">CALC!C13</f>
        <v>Retail Trade (Motor
Vehicle, Electronics)</v>
      </c>
      <c r="C13" s="39" t="n">
        <v>0.81</v>
      </c>
      <c r="D13" s="39" t="n">
        <v>0.82</v>
      </c>
      <c r="E13" s="39" t="n">
        <v>0.78</v>
      </c>
      <c r="F13" s="39" t="n">
        <v>0.81</v>
      </c>
      <c r="AT13" s="3"/>
      <c r="AU13" s="3"/>
      <c r="AV13" s="3"/>
      <c r="AW13" s="3"/>
      <c r="AZ13" s="39"/>
      <c r="BA13" s="39"/>
      <c r="BB13" s="39"/>
      <c r="BC13" s="39"/>
      <c r="BJ13" s="3"/>
      <c r="BK13" s="3"/>
      <c r="BL13" s="3"/>
      <c r="BM13" s="3"/>
      <c r="BN13" s="3"/>
      <c r="BO13" s="3"/>
    </row>
    <row r="14" customFormat="false" ht="23.85" hidden="false" customHeight="false" outlineLevel="0" collapsed="false">
      <c r="A14" s="62" t="str">
        <f aca="false">_xlfn.CONCAT($A$1, ".", CALC!A14)</f>
        <v>LSD.RID.0.AL.FTER.10</v>
      </c>
      <c r="B14" s="40" t="str">
        <f aca="false">CALC!C14</f>
        <v>Retail Trade (Food, Clothing,
General Merchandise, etc.)</v>
      </c>
      <c r="C14" s="39" t="n">
        <v>0.72</v>
      </c>
      <c r="D14" s="39" t="n">
        <v>0.74</v>
      </c>
      <c r="E14" s="39" t="n">
        <v>0.68</v>
      </c>
      <c r="F14" s="39" t="n">
        <v>0.72</v>
      </c>
      <c r="AT14" s="3"/>
      <c r="AU14" s="3"/>
      <c r="AV14" s="3"/>
      <c r="AW14" s="3"/>
      <c r="AZ14" s="39"/>
      <c r="BA14" s="39"/>
      <c r="BB14" s="39"/>
      <c r="BC14" s="39"/>
      <c r="BJ14" s="3"/>
      <c r="BK14" s="3"/>
      <c r="BL14" s="3"/>
      <c r="BM14" s="3"/>
      <c r="BN14" s="3"/>
      <c r="BO14" s="3"/>
    </row>
    <row r="15" customFormat="false" ht="12.8" hidden="false" customHeight="false" outlineLevel="0" collapsed="false">
      <c r="A15" s="62" t="str">
        <f aca="false">_xlfn.CONCAT($A$1, ".", CALC!A15)</f>
        <v>LSD.RID.0.AL.FTER.11</v>
      </c>
      <c r="B15" s="39" t="str">
        <f aca="false">CALC!C15</f>
        <v>Transportation</v>
      </c>
      <c r="C15" s="39" t="n">
        <v>0.84</v>
      </c>
      <c r="D15" s="39" t="n">
        <v>0.85</v>
      </c>
      <c r="E15" s="39" t="n">
        <v>0.81</v>
      </c>
      <c r="F15" s="39" t="n">
        <v>0.84</v>
      </c>
      <c r="AT15" s="3"/>
      <c r="AU15" s="3"/>
      <c r="AV15" s="3"/>
      <c r="AW15" s="3"/>
      <c r="AZ15" s="39"/>
      <c r="BA15" s="39"/>
      <c r="BB15" s="39"/>
      <c r="BC15" s="39"/>
      <c r="BJ15" s="3"/>
      <c r="BK15" s="3"/>
      <c r="BL15" s="3"/>
      <c r="BM15" s="3"/>
      <c r="BN15" s="3"/>
      <c r="BO15" s="3"/>
    </row>
    <row r="16" customFormat="false" ht="12.8" hidden="false" customHeight="false" outlineLevel="0" collapsed="false">
      <c r="A16" s="62" t="str">
        <f aca="false">_xlfn.CONCAT($A$1, ".", CALC!A16)</f>
        <v>LSD.RID.0.AL.FTER.12</v>
      </c>
      <c r="B16" s="39" t="str">
        <f aca="false">CALC!C16</f>
        <v>Warehousing and Storage</v>
      </c>
      <c r="C16" s="39" t="n">
        <v>0.82</v>
      </c>
      <c r="D16" s="39" t="n">
        <v>0.83</v>
      </c>
      <c r="E16" s="39" t="n">
        <v>0.79</v>
      </c>
      <c r="F16" s="39" t="n">
        <v>0.82</v>
      </c>
      <c r="AT16" s="3"/>
      <c r="AU16" s="3"/>
      <c r="AV16" s="3"/>
      <c r="AW16" s="3"/>
      <c r="AZ16" s="39"/>
      <c r="BA16" s="39"/>
      <c r="BB16" s="39"/>
      <c r="BC16" s="39"/>
      <c r="BJ16" s="3"/>
      <c r="BK16" s="3"/>
      <c r="BL16" s="3"/>
      <c r="BM16" s="3"/>
      <c r="BN16" s="3"/>
      <c r="BO16" s="3"/>
    </row>
    <row r="17" customFormat="false" ht="12.8" hidden="false" customHeight="false" outlineLevel="0" collapsed="false">
      <c r="A17" s="62" t="str">
        <f aca="false">_xlfn.CONCAT($A$1, ".", CALC!A17)</f>
        <v>LSD.RID.0.AL.FTER.13</v>
      </c>
      <c r="B17" s="39" t="str">
        <f aca="false">CALC!C17</f>
        <v>Information</v>
      </c>
      <c r="C17" s="39" t="n">
        <v>0.83</v>
      </c>
      <c r="D17" s="39" t="n">
        <v>0.85</v>
      </c>
      <c r="E17" s="39" t="n">
        <v>0.79</v>
      </c>
      <c r="F17" s="39" t="n">
        <v>0.83</v>
      </c>
      <c r="AT17" s="3"/>
      <c r="AU17" s="3"/>
      <c r="AV17" s="3"/>
      <c r="AW17" s="3"/>
      <c r="AZ17" s="39"/>
      <c r="BA17" s="39"/>
      <c r="BB17" s="39"/>
      <c r="BC17" s="39"/>
      <c r="BJ17" s="3"/>
      <c r="BK17" s="3"/>
      <c r="BL17" s="3"/>
      <c r="BM17" s="3"/>
      <c r="BN17" s="3"/>
      <c r="BO17" s="3"/>
    </row>
    <row r="18" customFormat="false" ht="12.8" hidden="false" customHeight="false" outlineLevel="0" collapsed="false">
      <c r="A18" s="62" t="str">
        <f aca="false">_xlfn.CONCAT($A$1, ".", CALC!A18)</f>
        <v>LSD.RID.0.AL.FTER.14</v>
      </c>
      <c r="B18" s="39" t="str">
        <f aca="false">CALC!C18</f>
        <v>Finance and Insurance</v>
      </c>
      <c r="C18" s="39" t="n">
        <v>0.85</v>
      </c>
      <c r="D18" s="39" t="n">
        <v>0.87</v>
      </c>
      <c r="E18" s="39" t="n">
        <v>0.81</v>
      </c>
      <c r="F18" s="39" t="n">
        <v>0.85</v>
      </c>
      <c r="AT18" s="3"/>
      <c r="AU18" s="3"/>
      <c r="AV18" s="3"/>
      <c r="AW18" s="3"/>
      <c r="AZ18" s="39"/>
      <c r="BA18" s="39"/>
      <c r="BB18" s="39"/>
      <c r="BC18" s="39"/>
      <c r="BJ18" s="3"/>
      <c r="BK18" s="3"/>
      <c r="BL18" s="3"/>
      <c r="BM18" s="3"/>
      <c r="BN18" s="3"/>
      <c r="BO18" s="3"/>
    </row>
    <row r="19" customFormat="false" ht="23.85" hidden="false" customHeight="false" outlineLevel="0" collapsed="false">
      <c r="A19" s="62" t="str">
        <f aca="false">_xlfn.CONCAT($A$1, ".", CALC!A19)</f>
        <v>LSD.RID.0.AL.FTER.15</v>
      </c>
      <c r="B19" s="40" t="str">
        <f aca="false">CALC!C19</f>
        <v>Real Estate and
Rental and Leasing</v>
      </c>
      <c r="C19" s="39" t="n">
        <v>0.82</v>
      </c>
      <c r="D19" s="39" t="n">
        <v>0.84</v>
      </c>
      <c r="E19" s="39" t="n">
        <v>0.78</v>
      </c>
      <c r="F19" s="39" t="n">
        <v>0.82</v>
      </c>
      <c r="AT19" s="3"/>
      <c r="AU19" s="3"/>
      <c r="AV19" s="3"/>
      <c r="AW19" s="3"/>
      <c r="AZ19" s="39"/>
      <c r="BA19" s="39"/>
      <c r="BB19" s="39"/>
      <c r="BC19" s="39"/>
      <c r="BJ19" s="3"/>
      <c r="BK19" s="3"/>
      <c r="BL19" s="3"/>
      <c r="BM19" s="3"/>
      <c r="BN19" s="3"/>
      <c r="BO19" s="3"/>
    </row>
    <row r="20" customFormat="false" ht="23.85" hidden="false" customHeight="false" outlineLevel="0" collapsed="false">
      <c r="A20" s="62" t="str">
        <f aca="false">_xlfn.CONCAT($A$1, ".", CALC!A20)</f>
        <v>LSD.RID.0.AL.FTER.16</v>
      </c>
      <c r="B20" s="40" t="str">
        <f aca="false">CALC!C20</f>
        <v>Professional, Scientific,
and Technical Services</v>
      </c>
      <c r="C20" s="39" t="n">
        <v>0.87</v>
      </c>
      <c r="D20" s="39" t="n">
        <v>0.89</v>
      </c>
      <c r="E20" s="39" t="n">
        <v>0.82</v>
      </c>
      <c r="F20" s="39" t="n">
        <v>0.87</v>
      </c>
      <c r="AT20" s="3"/>
      <c r="AU20" s="3"/>
      <c r="AV20" s="3"/>
      <c r="AW20" s="3"/>
      <c r="AZ20" s="39"/>
      <c r="BA20" s="39"/>
      <c r="BB20" s="39"/>
      <c r="BC20" s="39"/>
      <c r="BJ20" s="3"/>
      <c r="BK20" s="3"/>
      <c r="BL20" s="3"/>
      <c r="BM20" s="3"/>
      <c r="BN20" s="3"/>
      <c r="BO20" s="3"/>
    </row>
    <row r="21" customFormat="false" ht="35.05" hidden="false" customHeight="false" outlineLevel="0" collapsed="false">
      <c r="A21" s="62" t="str">
        <f aca="false">_xlfn.CONCAT($A$1, ".", CALC!A21)</f>
        <v>LSD.RID.0.AL.FTER.17</v>
      </c>
      <c r="B21" s="40" t="str">
        <f aca="false">CALC!C21</f>
        <v>Administrative and Support
and Waste Management
and Remediation Services</v>
      </c>
      <c r="C21" s="39" t="n">
        <v>0.76</v>
      </c>
      <c r="D21" s="39" t="n">
        <v>0.78</v>
      </c>
      <c r="E21" s="39" t="n">
        <v>0.72</v>
      </c>
      <c r="F21" s="39" t="n">
        <v>0.76</v>
      </c>
      <c r="AT21" s="3"/>
      <c r="AU21" s="3"/>
      <c r="AV21" s="3"/>
      <c r="AW21" s="3"/>
      <c r="AZ21" s="39"/>
      <c r="BA21" s="39"/>
      <c r="BB21" s="39"/>
      <c r="BC21" s="39"/>
      <c r="BJ21" s="3"/>
      <c r="BK21" s="3"/>
      <c r="BL21" s="3"/>
      <c r="BM21" s="3"/>
      <c r="BN21" s="3"/>
      <c r="BO21" s="3"/>
    </row>
    <row r="22" customFormat="false" ht="12.8" hidden="false" customHeight="false" outlineLevel="0" collapsed="false">
      <c r="A22" s="62" t="str">
        <f aca="false">_xlfn.CONCAT($A$1, ".", CALC!A22)</f>
        <v>LSD.RID.0.AL.FTER.18</v>
      </c>
      <c r="B22" s="39" t="str">
        <f aca="false">CALC!C22</f>
        <v>Educational Services</v>
      </c>
      <c r="C22" s="39" t="n">
        <v>0.84</v>
      </c>
      <c r="D22" s="39" t="n">
        <v>0.86</v>
      </c>
      <c r="E22" s="39" t="n">
        <v>0.8</v>
      </c>
      <c r="F22" s="39" t="n">
        <v>0.84</v>
      </c>
      <c r="AT22" s="3"/>
      <c r="AU22" s="3"/>
      <c r="AV22" s="3"/>
      <c r="AW22" s="3"/>
      <c r="AZ22" s="39"/>
      <c r="BA22" s="39"/>
      <c r="BB22" s="39"/>
      <c r="BC22" s="39"/>
      <c r="BJ22" s="3"/>
      <c r="BK22" s="3"/>
      <c r="BL22" s="3"/>
      <c r="BM22" s="3"/>
      <c r="BN22" s="3"/>
      <c r="BO22" s="3"/>
    </row>
    <row r="23" customFormat="false" ht="23.85" hidden="false" customHeight="false" outlineLevel="0" collapsed="false">
      <c r="A23" s="62" t="str">
        <f aca="false">_xlfn.CONCAT($A$1, ".", CALC!A23)</f>
        <v>LSD.RID.0.AL.FTER.19</v>
      </c>
      <c r="B23" s="40" t="str">
        <f aca="false">CALC!C23</f>
        <v>Health Care and
Social Assistance</v>
      </c>
      <c r="C23" s="39" t="n">
        <v>0.85</v>
      </c>
      <c r="D23" s="39" t="n">
        <v>0.87</v>
      </c>
      <c r="E23" s="39" t="n">
        <v>0.81</v>
      </c>
      <c r="F23" s="39" t="n">
        <v>0.85</v>
      </c>
      <c r="AT23" s="3"/>
      <c r="AU23" s="3"/>
      <c r="AV23" s="3"/>
      <c r="AW23" s="3"/>
      <c r="AZ23" s="39"/>
      <c r="BA23" s="39"/>
      <c r="BB23" s="39"/>
      <c r="BC23" s="39"/>
      <c r="BJ23" s="3"/>
      <c r="BK23" s="3"/>
      <c r="BL23" s="3"/>
      <c r="BM23" s="3"/>
      <c r="BN23" s="3"/>
      <c r="BO23" s="3"/>
    </row>
    <row r="24" customFormat="false" ht="23.85" hidden="false" customHeight="false" outlineLevel="0" collapsed="false">
      <c r="A24" s="62" t="str">
        <f aca="false">_xlfn.CONCAT($A$1, ".", CALC!A24)</f>
        <v>LSD.RID.0.AL.FTER.20</v>
      </c>
      <c r="B24" s="40" t="str">
        <f aca="false">CALC!C24</f>
        <v>Arts, Entertainment,
and Recreation</v>
      </c>
      <c r="C24" s="39" t="n">
        <v>0.7</v>
      </c>
      <c r="D24" s="39" t="n">
        <v>0.72</v>
      </c>
      <c r="E24" s="39" t="n">
        <v>0.66</v>
      </c>
      <c r="F24" s="39" t="n">
        <v>0.7</v>
      </c>
      <c r="AT24" s="3"/>
      <c r="AU24" s="3"/>
      <c r="AV24" s="3"/>
      <c r="AW24" s="3"/>
      <c r="AZ24" s="39"/>
      <c r="BA24" s="39"/>
      <c r="BB24" s="39"/>
      <c r="BC24" s="39"/>
      <c r="BJ24" s="3"/>
      <c r="BK24" s="3"/>
      <c r="BL24" s="3"/>
      <c r="BM24" s="3"/>
      <c r="BN24" s="3"/>
      <c r="BO24" s="3"/>
    </row>
    <row r="25" customFormat="false" ht="23.85" hidden="false" customHeight="false" outlineLevel="0" collapsed="false">
      <c r="A25" s="62" t="str">
        <f aca="false">_xlfn.CONCAT($A$1, ".", CALC!A25)</f>
        <v>LSD.RID.0.AL.FTER.21</v>
      </c>
      <c r="B25" s="40" t="str">
        <f aca="false">CALC!C25</f>
        <v>Accommodation
and Food Services</v>
      </c>
      <c r="C25" s="39" t="n">
        <v>0.68</v>
      </c>
      <c r="D25" s="39" t="n">
        <v>0.7</v>
      </c>
      <c r="E25" s="39" t="n">
        <v>0.64</v>
      </c>
      <c r="F25" s="39" t="n">
        <v>0.68</v>
      </c>
      <c r="AT25" s="3"/>
      <c r="AU25" s="3"/>
      <c r="AV25" s="3"/>
      <c r="AW25" s="3"/>
      <c r="AZ25" s="39"/>
      <c r="BA25" s="39"/>
      <c r="BB25" s="39"/>
      <c r="BC25" s="39"/>
      <c r="BJ25" s="3"/>
      <c r="BK25" s="3"/>
      <c r="BL25" s="3"/>
      <c r="BM25" s="3"/>
      <c r="BN25" s="3"/>
      <c r="BO25" s="3"/>
    </row>
    <row r="26" customFormat="false" ht="23.85" hidden="false" customHeight="false" outlineLevel="0" collapsed="false">
      <c r="A26" s="62" t="str">
        <f aca="false">_xlfn.CONCAT($A$1, ".", CALC!A26)</f>
        <v>LSD.RID.0.AL.FTER.22</v>
      </c>
      <c r="B26" s="40" t="str">
        <f aca="false">CALC!C26</f>
        <v>Other Services (except
Public Administration)</v>
      </c>
      <c r="C26" s="39" t="n">
        <v>0.78</v>
      </c>
      <c r="D26" s="39" t="n">
        <v>0.8</v>
      </c>
      <c r="E26" s="39" t="n">
        <v>0.74</v>
      </c>
      <c r="F26" s="39" t="n">
        <v>0.78</v>
      </c>
      <c r="AT26" s="3"/>
      <c r="AU26" s="3"/>
      <c r="AV26" s="3"/>
      <c r="AW26" s="3"/>
      <c r="AZ26" s="39"/>
      <c r="BA26" s="39"/>
      <c r="BB26" s="39"/>
      <c r="BC26" s="39"/>
      <c r="BJ26" s="3"/>
      <c r="BK26" s="3"/>
      <c r="BL26" s="3"/>
      <c r="BM26" s="3"/>
      <c r="BN26" s="3"/>
      <c r="BO26" s="3"/>
    </row>
    <row r="27" customFormat="false" ht="12.8" hidden="false" customHeight="false" outlineLevel="0" collapsed="false">
      <c r="A27" s="62" t="str">
        <f aca="false">_xlfn.CONCAT($A$1, ".", CALC!A27)</f>
        <v>LSD.RID.0.AL.FTER.23</v>
      </c>
      <c r="B27" s="39" t="str">
        <f aca="false">CALC!C27</f>
        <v>Public Administration</v>
      </c>
      <c r="C27" s="39" t="n">
        <v>0.88</v>
      </c>
      <c r="D27" s="39" t="n">
        <v>0.89</v>
      </c>
      <c r="E27" s="39" t="n">
        <v>0.85</v>
      </c>
      <c r="F27" s="39" t="n">
        <v>0.88</v>
      </c>
      <c r="AT27" s="3"/>
      <c r="AU27" s="3"/>
      <c r="AV27" s="3"/>
      <c r="AW27" s="3"/>
      <c r="AZ27" s="39"/>
      <c r="BA27" s="39"/>
      <c r="BB27" s="39"/>
      <c r="BC27" s="39"/>
      <c r="BJ27" s="3"/>
      <c r="BK27" s="3"/>
      <c r="BL27" s="3"/>
      <c r="BM27" s="3"/>
      <c r="BN27" s="3"/>
      <c r="BO27" s="3"/>
    </row>
    <row r="28" customFormat="false" ht="12.8" hidden="false" customHeight="false" outlineLevel="0" collapsed="false">
      <c r="A28" s="62"/>
      <c r="AT28" s="3"/>
      <c r="AU28" s="3"/>
      <c r="AV28" s="3"/>
      <c r="AW28" s="3"/>
      <c r="AZ28" s="39"/>
      <c r="BA28" s="39"/>
      <c r="BB28" s="39"/>
      <c r="BC28" s="39"/>
      <c r="BJ28" s="3"/>
      <c r="BK28" s="3"/>
      <c r="BL28" s="3"/>
      <c r="BM28" s="3"/>
      <c r="BN28" s="3"/>
      <c r="BO28" s="3"/>
    </row>
    <row r="29" customFormat="false" ht="12.8" hidden="false" customHeight="false" outlineLevel="0" collapsed="false">
      <c r="A29" s="62"/>
      <c r="AT29" s="3"/>
      <c r="AU29" s="3"/>
      <c r="AV29" s="3"/>
      <c r="AW29" s="3"/>
      <c r="AZ29" s="39"/>
      <c r="BA29" s="39"/>
      <c r="BB29" s="39"/>
      <c r="BC29" s="39"/>
      <c r="BJ29" s="3"/>
      <c r="BK29" s="3"/>
      <c r="BL29" s="3"/>
      <c r="BM29" s="3"/>
      <c r="BN29" s="3"/>
      <c r="BO29" s="3"/>
    </row>
    <row r="30" customFormat="false" ht="12.8" hidden="false" customHeight="false" outlineLevel="0" collapsed="false">
      <c r="A30" s="62"/>
      <c r="AT30" s="3"/>
      <c r="AU30" s="3"/>
      <c r="AV30" s="3"/>
      <c r="AW30" s="3"/>
      <c r="AZ30" s="39"/>
      <c r="BA30" s="39"/>
      <c r="BB30" s="39"/>
      <c r="BC30" s="39"/>
      <c r="BJ30" s="3"/>
      <c r="BK30" s="3"/>
      <c r="BL30" s="3"/>
      <c r="BM30" s="3"/>
      <c r="BN30" s="3"/>
      <c r="BO30" s="3"/>
    </row>
    <row r="31" customFormat="false" ht="12.8" hidden="false" customHeight="false" outlineLevel="0" collapsed="false">
      <c r="C31" s="79"/>
      <c r="D31" s="79"/>
      <c r="E31" s="79"/>
      <c r="F31" s="79"/>
    </row>
    <row r="32" customFormat="false" ht="12.8" hidden="false" customHeight="false" outlineLevel="0" collapsed="false">
      <c r="C32" s="79"/>
      <c r="D32" s="79"/>
      <c r="E32" s="79"/>
      <c r="F32" s="79"/>
    </row>
    <row r="33" customFormat="false" ht="12.8" hidden="false" customHeight="false" outlineLevel="0" collapsed="false">
      <c r="C33" s="79"/>
      <c r="D33" s="79"/>
      <c r="E33" s="79"/>
      <c r="F33" s="79"/>
    </row>
    <row r="34" customFormat="false" ht="12.8" hidden="false" customHeight="false" outlineLevel="0" collapsed="false">
      <c r="C34" s="79"/>
      <c r="D34" s="79"/>
      <c r="E34" s="79"/>
      <c r="F34" s="79"/>
    </row>
    <row r="129" customFormat="false" ht="12.8" hidden="false" customHeight="false" outlineLevel="0" collapsed="false">
      <c r="A129" s="65" t="s">
        <v>2859</v>
      </c>
      <c r="B129" s="66" t="s">
        <v>2860</v>
      </c>
      <c r="C129" s="66"/>
    </row>
    <row r="130" customFormat="false" ht="12.8" hidden="false" customHeight="false" outlineLevel="0" collapsed="false">
      <c r="A130" s="49" t="s">
        <v>1842</v>
      </c>
      <c r="B130" s="49" t="s">
        <v>183</v>
      </c>
      <c r="C130" s="49" t="s">
        <v>184</v>
      </c>
      <c r="D130" s="49" t="s">
        <v>1843</v>
      </c>
      <c r="E130" s="49" t="s">
        <v>186</v>
      </c>
      <c r="F130" s="49" t="s">
        <v>187</v>
      </c>
    </row>
    <row r="131" customFormat="false" ht="12.8" hidden="false" customHeight="false" outlineLevel="0" collapsed="false">
      <c r="A131" s="39" t="s">
        <v>2861</v>
      </c>
      <c r="B131" s="39" t="s">
        <v>631</v>
      </c>
      <c r="C131" s="39" t="s">
        <v>2862</v>
      </c>
      <c r="D131" s="39" t="s">
        <v>2863</v>
      </c>
      <c r="E131" s="39" t="s">
        <v>2864</v>
      </c>
      <c r="F131" s="39" t="s">
        <v>302</v>
      </c>
    </row>
    <row r="132" customFormat="false" ht="12.8" hidden="false" customHeight="false" outlineLevel="0" collapsed="false">
      <c r="A132" s="39" t="s">
        <v>2865</v>
      </c>
      <c r="B132" s="39" t="s">
        <v>631</v>
      </c>
      <c r="C132" s="39" t="s">
        <v>1850</v>
      </c>
      <c r="D132" s="39" t="s">
        <v>2866</v>
      </c>
      <c r="E132" s="39" t="s">
        <v>2867</v>
      </c>
      <c r="F132" s="39" t="s">
        <v>302</v>
      </c>
    </row>
    <row r="133" customFormat="false" ht="12.8" hidden="false" customHeight="false" outlineLevel="0" collapsed="false">
      <c r="A133" s="39" t="s">
        <v>2868</v>
      </c>
      <c r="B133" s="39" t="s">
        <v>631</v>
      </c>
      <c r="C133" s="39" t="s">
        <v>1853</v>
      </c>
      <c r="D133" s="39" t="s">
        <v>2869</v>
      </c>
      <c r="E133" s="39" t="s">
        <v>651</v>
      </c>
      <c r="F133" s="39" t="s">
        <v>302</v>
      </c>
    </row>
    <row r="134" customFormat="false" ht="12.8" hidden="false" customHeight="false" outlineLevel="0" collapsed="false">
      <c r="A134" s="50" t="s">
        <v>2870</v>
      </c>
      <c r="B134" s="39" t="s">
        <v>631</v>
      </c>
      <c r="C134" s="39" t="s">
        <v>2871</v>
      </c>
      <c r="D134" s="39" t="s">
        <v>2872</v>
      </c>
      <c r="E134" s="39" t="s">
        <v>306</v>
      </c>
      <c r="F134" s="39" t="s">
        <v>302</v>
      </c>
    </row>
    <row r="136" customFormat="false" ht="12.8" hidden="false" customHeight="false" outlineLevel="0" collapsed="false">
      <c r="A136" s="65" t="s">
        <v>2873</v>
      </c>
      <c r="B136" s="66" t="s">
        <v>2874</v>
      </c>
      <c r="C136" s="66"/>
    </row>
    <row r="137" customFormat="false" ht="12.8" hidden="false" customHeight="false" outlineLevel="0" collapsed="false">
      <c r="A137" s="49" t="s">
        <v>683</v>
      </c>
      <c r="B137" s="49" t="s">
        <v>184</v>
      </c>
      <c r="C137" s="49" t="s">
        <v>684</v>
      </c>
      <c r="D137" s="49" t="s">
        <v>186</v>
      </c>
      <c r="E137" s="49" t="s">
        <v>678</v>
      </c>
      <c r="F137" s="49" t="s">
        <v>679</v>
      </c>
      <c r="G137" s="49" t="s">
        <v>680</v>
      </c>
      <c r="H137" s="49" t="s">
        <v>187</v>
      </c>
    </row>
    <row r="138" customFormat="false" ht="12.8" hidden="false" customHeight="false" outlineLevel="0" collapsed="false">
      <c r="A138" s="39" t="s">
        <v>2875</v>
      </c>
      <c r="B138" s="39" t="s">
        <v>2876</v>
      </c>
      <c r="C138" s="39" t="n">
        <v>0.82</v>
      </c>
      <c r="D138" s="39" t="s">
        <v>2877</v>
      </c>
      <c r="E138" s="39" t="s">
        <v>689</v>
      </c>
      <c r="F138" s="39" t="s">
        <v>803</v>
      </c>
      <c r="G138" s="51" t="s">
        <v>691</v>
      </c>
      <c r="H138" s="39" t="s">
        <v>302</v>
      </c>
    </row>
    <row r="139" customFormat="false" ht="12.8" hidden="false" customHeight="false" outlineLevel="0" collapsed="false">
      <c r="A139" s="39" t="s">
        <v>2878</v>
      </c>
      <c r="B139" s="39" t="s">
        <v>2879</v>
      </c>
      <c r="C139" s="39" t="s">
        <v>2880</v>
      </c>
      <c r="D139" s="39" t="s">
        <v>2881</v>
      </c>
      <c r="E139" s="39" t="s">
        <v>689</v>
      </c>
      <c r="F139" s="39" t="s">
        <v>1775</v>
      </c>
      <c r="G139" s="51" t="s">
        <v>691</v>
      </c>
      <c r="H139" s="39" t="s">
        <v>989</v>
      </c>
    </row>
    <row r="140" customFormat="false" ht="12.8" hidden="false" customHeight="false" outlineLevel="0" collapsed="false">
      <c r="A140" s="39" t="s">
        <v>2882</v>
      </c>
      <c r="B140" s="39" t="s">
        <v>2883</v>
      </c>
      <c r="C140" s="39" t="s">
        <v>2884</v>
      </c>
      <c r="D140" s="39" t="s">
        <v>2885</v>
      </c>
      <c r="E140" s="39" t="s">
        <v>689</v>
      </c>
      <c r="F140" s="39" t="s">
        <v>2820</v>
      </c>
      <c r="G140" s="51" t="s">
        <v>691</v>
      </c>
      <c r="H140" s="39" t="s">
        <v>2821</v>
      </c>
    </row>
    <row r="141" customFormat="false" ht="12.8" hidden="false" customHeight="false" outlineLevel="0" collapsed="false">
      <c r="A141" s="39" t="s">
        <v>2886</v>
      </c>
      <c r="B141" s="39" t="s">
        <v>2887</v>
      </c>
      <c r="C141" s="39" t="s">
        <v>2888</v>
      </c>
      <c r="D141" s="39" t="s">
        <v>2889</v>
      </c>
      <c r="E141" s="39" t="s">
        <v>689</v>
      </c>
      <c r="F141" s="39" t="s">
        <v>2613</v>
      </c>
      <c r="G141" s="51" t="s">
        <v>691</v>
      </c>
      <c r="H141" s="39" t="s">
        <v>2821</v>
      </c>
    </row>
    <row r="142" customFormat="false" ht="12.8" hidden="false" customHeight="false" outlineLevel="0" collapsed="false">
      <c r="A142" s="39" t="s">
        <v>2890</v>
      </c>
      <c r="B142" s="39" t="s">
        <v>2891</v>
      </c>
      <c r="C142" s="39" t="n">
        <v>0.9</v>
      </c>
      <c r="D142" s="39" t="s">
        <v>2892</v>
      </c>
      <c r="E142" s="39" t="s">
        <v>689</v>
      </c>
      <c r="F142" s="39" t="s">
        <v>2893</v>
      </c>
      <c r="G142" s="51" t="s">
        <v>691</v>
      </c>
      <c r="H142" s="39" t="s">
        <v>302</v>
      </c>
    </row>
    <row r="143" customFormat="false" ht="12.8" hidden="false" customHeight="false" outlineLevel="0" collapsed="false">
      <c r="A143" s="39" t="s">
        <v>2894</v>
      </c>
      <c r="B143" s="39" t="s">
        <v>2895</v>
      </c>
      <c r="C143" s="39" t="n">
        <v>4</v>
      </c>
      <c r="D143" s="39" t="s">
        <v>1000</v>
      </c>
      <c r="E143" s="39" t="s">
        <v>689</v>
      </c>
      <c r="F143" s="39" t="s">
        <v>1256</v>
      </c>
      <c r="G143" s="51" t="s">
        <v>691</v>
      </c>
      <c r="H143" s="39" t="s">
        <v>302</v>
      </c>
    </row>
    <row r="144" customFormat="false" ht="12.8" hidden="false" customHeight="false" outlineLevel="0" collapsed="false">
      <c r="A144" s="40"/>
      <c r="B144" s="40"/>
      <c r="C144" s="40"/>
      <c r="D144" s="40"/>
      <c r="E144" s="40"/>
      <c r="F144" s="40"/>
      <c r="G144" s="77"/>
      <c r="H144" s="40"/>
    </row>
    <row r="145" customFormat="false" ht="12.8" hidden="false" customHeight="false" outlineLevel="0" collapsed="false">
      <c r="A145" s="65" t="s">
        <v>2896</v>
      </c>
      <c r="B145" s="66" t="s">
        <v>2897</v>
      </c>
    </row>
    <row r="146" customFormat="false" ht="12.8" hidden="false" customHeight="false" outlineLevel="0" collapsed="false">
      <c r="A146" s="50" t="s">
        <v>113</v>
      </c>
      <c r="B146" s="39" t="s">
        <v>186</v>
      </c>
      <c r="C146" s="39" t="s">
        <v>677</v>
      </c>
      <c r="D146" s="39" t="s">
        <v>1875</v>
      </c>
      <c r="E146" s="39" t="s">
        <v>678</v>
      </c>
      <c r="F146" s="39" t="s">
        <v>1876</v>
      </c>
    </row>
    <row r="147" customFormat="false" ht="12.8" hidden="false" customHeight="false" outlineLevel="0" collapsed="false">
      <c r="A147" s="50" t="s">
        <v>2898</v>
      </c>
      <c r="B147" s="39" t="s">
        <v>1507</v>
      </c>
      <c r="C147" s="39" t="n">
        <v>0.82</v>
      </c>
      <c r="D147" s="39" t="s">
        <v>2899</v>
      </c>
      <c r="E147" s="39" t="s">
        <v>689</v>
      </c>
      <c r="F147" s="39" t="s">
        <v>1879</v>
      </c>
    </row>
    <row r="148" customFormat="false" ht="12.8" hidden="false" customHeight="false" outlineLevel="0" collapsed="false">
      <c r="A148" s="50" t="s">
        <v>2900</v>
      </c>
      <c r="B148" s="39" t="s">
        <v>1881</v>
      </c>
      <c r="C148" s="39" t="s">
        <v>2901</v>
      </c>
      <c r="D148" s="39" t="s">
        <v>689</v>
      </c>
      <c r="E148" s="39" t="s">
        <v>2638</v>
      </c>
    </row>
    <row r="149" customFormat="false" ht="12.8" hidden="false" customHeight="false" outlineLevel="0" collapsed="false">
      <c r="A149" s="50" t="s">
        <v>2902</v>
      </c>
      <c r="B149" s="39" t="s">
        <v>2903</v>
      </c>
      <c r="C149" s="39" t="s">
        <v>2904</v>
      </c>
      <c r="D149" s="39" t="s">
        <v>2905</v>
      </c>
      <c r="E149" s="39" t="s">
        <v>689</v>
      </c>
      <c r="F149" s="39" t="s">
        <v>2906</v>
      </c>
    </row>
    <row r="150" customFormat="false" ht="12.8" hidden="false" customHeight="false" outlineLevel="0" collapsed="false">
      <c r="A150" s="50" t="s">
        <v>2907</v>
      </c>
      <c r="B150" s="39" t="s">
        <v>1891</v>
      </c>
      <c r="C150" s="39" t="s">
        <v>2908</v>
      </c>
      <c r="D150" s="39" t="s">
        <v>2909</v>
      </c>
      <c r="E150" s="39" t="s">
        <v>689</v>
      </c>
      <c r="F150" s="39" t="s">
        <v>2910</v>
      </c>
    </row>
    <row r="151" customFormat="false" ht="12.8" hidden="false" customHeight="false" outlineLevel="0" collapsed="false">
      <c r="A151" s="50" t="s">
        <v>2911</v>
      </c>
      <c r="B151" s="39" t="s">
        <v>1896</v>
      </c>
      <c r="C151" s="39" t="s">
        <v>1962</v>
      </c>
      <c r="D151" s="39" t="s">
        <v>2912</v>
      </c>
      <c r="E151" s="39" t="s">
        <v>689</v>
      </c>
      <c r="F151" s="39" t="s">
        <v>2130</v>
      </c>
    </row>
    <row r="152" customFormat="false" ht="12.8" hidden="false" customHeight="false" outlineLevel="0" collapsed="false">
      <c r="A152" s="50" t="s">
        <v>2913</v>
      </c>
      <c r="B152" s="39" t="s">
        <v>1901</v>
      </c>
      <c r="C152" s="39" t="s">
        <v>1902</v>
      </c>
      <c r="D152" s="39" t="s">
        <v>2914</v>
      </c>
      <c r="E152" s="39" t="s">
        <v>689</v>
      </c>
      <c r="F152" s="39" t="s">
        <v>2652</v>
      </c>
    </row>
    <row r="153" customFormat="false" ht="12.8" hidden="false" customHeight="false" outlineLevel="0" collapsed="false">
      <c r="A153" s="50" t="s">
        <v>2915</v>
      </c>
      <c r="B153" s="39" t="s">
        <v>2916</v>
      </c>
      <c r="C153" s="39" t="s">
        <v>2917</v>
      </c>
      <c r="D153" s="39" t="s">
        <v>2855</v>
      </c>
      <c r="E153" s="39" t="s">
        <v>689</v>
      </c>
      <c r="F153" s="39" t="s">
        <v>2346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P153"/>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C3" activeCellId="0" sqref="C3"/>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2856</v>
      </c>
      <c r="B1" s="42" t="s">
        <v>2857</v>
      </c>
      <c r="C1" s="6" t="s">
        <v>2</v>
      </c>
      <c r="D1" s="67" t="s">
        <v>2858</v>
      </c>
      <c r="AZ1" s="39"/>
      <c r="BP1" s="39"/>
    </row>
    <row r="2" customFormat="false" ht="12.8" hidden="false" customHeight="false" outlineLevel="0" collapsed="false">
      <c r="A2" s="65" t="str">
        <f aca="false">_xlfn.CONCAT($A$1, ".", "CALC")</f>
        <v>LSD.RID.0.AL.FTER.CALC</v>
      </c>
      <c r="B2" s="66" t="str">
        <f aca="false">_xlfn.CONCAT($B$1, " ", "Calculations")</f>
        <v>Alabama Full-Time Employment Rate (FTER) Calculations</v>
      </c>
    </row>
    <row r="3" customFormat="false" ht="12.8" hidden="false" customHeight="false" outlineLevel="0" collapsed="false">
      <c r="A3" s="65" t="str">
        <f aca="false">CALC!A3</f>
        <v>LSID</v>
      </c>
      <c r="B3" s="42" t="str">
        <f aca="false">CALC!C3</f>
        <v>Labor Sector</v>
      </c>
      <c r="C3" s="80" t="str">
        <f aca="false">CALC!CF3</f>
        <v>Overall FTER</v>
      </c>
      <c r="D3" s="80" t="str">
        <f aca="false">CALC!CG3</f>
        <v>Authorized FTER</v>
      </c>
      <c r="E3" s="80" t="str">
        <f aca="false">CALC!CH3</f>
        <v>Unauthorized FTER</v>
      </c>
      <c r="F3" s="80" t="str">
        <f aca="false">CALC!CI3</f>
        <v>American FTER</v>
      </c>
      <c r="AT3" s="3"/>
      <c r="AU3" s="3"/>
      <c r="AV3" s="3"/>
      <c r="AW3" s="3"/>
      <c r="AZ3" s="39"/>
      <c r="BA3" s="39"/>
      <c r="BB3" s="39"/>
      <c r="BC3" s="39"/>
      <c r="BJ3" s="3"/>
      <c r="BK3" s="3"/>
      <c r="BL3" s="3"/>
      <c r="BM3" s="3"/>
      <c r="BN3" s="3"/>
      <c r="BO3" s="3"/>
    </row>
    <row r="4" customFormat="false" ht="12.8" hidden="false" customHeight="false" outlineLevel="0" collapsed="false">
      <c r="A4" s="62" t="str">
        <f aca="false">_xlfn.CONCAT($A$1, ".", CALC!A4)</f>
        <v>LSD.RID.0.AL.FTER.0</v>
      </c>
      <c r="B4" s="39" t="str">
        <f aca="false">CALC!C4</f>
        <v>All Industries</v>
      </c>
      <c r="C4" s="39" t="n">
        <v>0.18</v>
      </c>
      <c r="D4" s="39" t="n">
        <v>0.16</v>
      </c>
      <c r="E4" s="39" t="n">
        <v>0.22</v>
      </c>
      <c r="F4" s="39" t="n">
        <v>0.18</v>
      </c>
      <c r="AT4" s="3"/>
      <c r="AU4" s="3"/>
      <c r="AV4" s="3"/>
      <c r="AW4" s="3"/>
      <c r="AZ4" s="39"/>
      <c r="BA4" s="39"/>
      <c r="BB4" s="39"/>
      <c r="BC4" s="39"/>
      <c r="BJ4" s="3"/>
      <c r="BK4" s="3"/>
      <c r="BL4" s="3"/>
      <c r="BM4" s="3"/>
      <c r="BN4" s="3"/>
      <c r="BO4" s="3"/>
    </row>
    <row r="5" customFormat="false" ht="23.85" hidden="false" customHeight="false" outlineLevel="0" collapsed="false">
      <c r="A5" s="62" t="str">
        <f aca="false">_xlfn.CONCAT($A$1, ".", CALC!A5)</f>
        <v>LSD.RID.0.AL.FTER.1</v>
      </c>
      <c r="B5" s="40" t="str">
        <f aca="false">CALC!C5</f>
        <v>Agriculture, Forestry, 
Fishing and Hunting</v>
      </c>
      <c r="C5" s="39" t="n">
        <v>0.22</v>
      </c>
      <c r="D5" s="39" t="n">
        <v>0.24</v>
      </c>
      <c r="E5" s="39" t="n">
        <v>0.18</v>
      </c>
      <c r="F5" s="39" t="n">
        <v>0.22</v>
      </c>
      <c r="AT5" s="3"/>
      <c r="AU5" s="3"/>
      <c r="AV5" s="3"/>
      <c r="AW5" s="3"/>
      <c r="AZ5" s="39"/>
      <c r="BA5" s="39"/>
      <c r="BB5" s="39"/>
      <c r="BC5" s="39"/>
      <c r="BJ5" s="3"/>
      <c r="BK5" s="3"/>
      <c r="BL5" s="3"/>
      <c r="BM5" s="3"/>
      <c r="BN5" s="3"/>
      <c r="BO5" s="3"/>
    </row>
    <row r="6" customFormat="false" ht="23.85" hidden="false" customHeight="false" outlineLevel="0" collapsed="false">
      <c r="A6" s="62" t="str">
        <f aca="false">_xlfn.CONCAT($A$1, ".", CALC!A6)</f>
        <v>LSD.RID.0.AL.FTER.2</v>
      </c>
      <c r="B6" s="40" t="str">
        <f aca="false">CALC!C6</f>
        <v>Mining, Quarrying, and
Oil and Gas Extraction</v>
      </c>
      <c r="C6" s="39" t="n">
        <v>0.15</v>
      </c>
      <c r="D6" s="39" t="n">
        <v>0.14</v>
      </c>
      <c r="E6" s="39" t="n">
        <v>0.17</v>
      </c>
      <c r="F6" s="39" t="n">
        <v>0.15</v>
      </c>
      <c r="AT6" s="3"/>
      <c r="AU6" s="3"/>
      <c r="AV6" s="3"/>
      <c r="AW6" s="3"/>
      <c r="AZ6" s="39"/>
      <c r="BA6" s="39"/>
      <c r="BB6" s="39"/>
      <c r="BC6" s="39"/>
      <c r="BJ6" s="3"/>
      <c r="BK6" s="3"/>
      <c r="BL6" s="3"/>
      <c r="BM6" s="3"/>
      <c r="BN6" s="3"/>
      <c r="BO6" s="3"/>
    </row>
    <row r="7" customFormat="false" ht="12.8" hidden="false" customHeight="false" outlineLevel="0" collapsed="false">
      <c r="A7" s="62" t="str">
        <f aca="false">_xlfn.CONCAT($A$1, ".", CALC!A7)</f>
        <v>LSD.RID.0.AL.FTER.3</v>
      </c>
      <c r="B7" s="39" t="str">
        <f aca="false">CALC!C7</f>
        <v>Utilities</v>
      </c>
      <c r="C7" s="39" t="n">
        <v>0.12</v>
      </c>
      <c r="D7" s="39" t="n">
        <v>0.11</v>
      </c>
      <c r="E7" s="39" t="n">
        <v>0.15</v>
      </c>
      <c r="F7" s="39" t="n">
        <v>0.12</v>
      </c>
      <c r="AT7" s="3"/>
      <c r="AU7" s="3"/>
      <c r="AV7" s="3"/>
      <c r="AW7" s="3"/>
      <c r="AZ7" s="39"/>
      <c r="BA7" s="39"/>
      <c r="BB7" s="39"/>
      <c r="BC7" s="39"/>
      <c r="BJ7" s="3"/>
      <c r="BK7" s="3"/>
      <c r="BL7" s="3"/>
      <c r="BM7" s="3"/>
      <c r="BN7" s="3"/>
      <c r="BO7" s="3"/>
    </row>
    <row r="8" customFormat="false" ht="12.8" hidden="false" customHeight="false" outlineLevel="0" collapsed="false">
      <c r="A8" s="62" t="str">
        <f aca="false">_xlfn.CONCAT($A$1, ".", CALC!A8)</f>
        <v>LSD.RID.0.AL.FTER.4</v>
      </c>
      <c r="B8" s="39" t="str">
        <f aca="false">CALC!C8</f>
        <v>Construction</v>
      </c>
      <c r="C8" s="39" t="n">
        <v>0.2</v>
      </c>
      <c r="D8" s="39" t="n">
        <v>0.22</v>
      </c>
      <c r="E8" s="39" t="n">
        <v>0.16</v>
      </c>
      <c r="F8" s="39" t="n">
        <v>0.2</v>
      </c>
      <c r="AT8" s="3"/>
      <c r="AU8" s="3"/>
      <c r="AV8" s="3"/>
      <c r="AW8" s="3"/>
      <c r="AZ8" s="39"/>
      <c r="BA8" s="39"/>
      <c r="BB8" s="39"/>
      <c r="BC8" s="39"/>
      <c r="BJ8" s="3"/>
      <c r="BK8" s="3"/>
      <c r="BL8" s="3"/>
      <c r="BM8" s="3"/>
      <c r="BN8" s="3"/>
      <c r="BO8" s="3"/>
    </row>
    <row r="9" customFormat="false" ht="23.85" hidden="false" customHeight="false" outlineLevel="0" collapsed="false">
      <c r="A9" s="62" t="str">
        <f aca="false">_xlfn.CONCAT($A$1, ".", CALC!A9)</f>
        <v>LSD.RID.0.AL.FTER.5</v>
      </c>
      <c r="B9" s="40" t="str">
        <f aca="false">CALC!C9</f>
        <v>Manufacturing
(Food,Textile, etc.)</v>
      </c>
      <c r="C9" s="39" t="n">
        <v>0.16</v>
      </c>
      <c r="D9" s="39" t="n">
        <v>0.18</v>
      </c>
      <c r="E9" s="39" t="n">
        <v>0.14</v>
      </c>
      <c r="F9" s="39" t="n">
        <v>0.16</v>
      </c>
      <c r="AT9" s="3"/>
      <c r="AU9" s="3"/>
      <c r="AV9" s="3"/>
      <c r="AW9" s="3"/>
      <c r="AZ9" s="39"/>
      <c r="BA9" s="39"/>
      <c r="BB9" s="39"/>
      <c r="BC9" s="39"/>
      <c r="BJ9" s="3"/>
      <c r="BK9" s="3"/>
      <c r="BL9" s="3"/>
      <c r="BM9" s="3"/>
      <c r="BN9" s="3"/>
      <c r="BO9" s="3"/>
    </row>
    <row r="10" customFormat="false" ht="23.85" hidden="false" customHeight="false" outlineLevel="0" collapsed="false">
      <c r="A10" s="62" t="str">
        <f aca="false">_xlfn.CONCAT($A$1, ".", CALC!A10)</f>
        <v>LSD.RID.0.AL.FTER.6</v>
      </c>
      <c r="B10" s="40" t="str">
        <f aca="false">CALC!C10</f>
        <v>Manufacturing (Wood,
Paper, Printing, etc.)</v>
      </c>
      <c r="C10" s="39" t="n">
        <v>0.15</v>
      </c>
      <c r="D10" s="39" t="n">
        <v>0.16</v>
      </c>
      <c r="E10" s="39" t="n">
        <v>0.13</v>
      </c>
      <c r="F10" s="39" t="n">
        <v>0.15</v>
      </c>
      <c r="AT10" s="3"/>
      <c r="AU10" s="3"/>
      <c r="AV10" s="3"/>
      <c r="AW10" s="3"/>
      <c r="AZ10" s="39"/>
      <c r="BA10" s="39"/>
      <c r="BB10" s="39"/>
      <c r="BC10" s="39"/>
      <c r="BJ10" s="3"/>
      <c r="BK10" s="3"/>
      <c r="BL10" s="3"/>
      <c r="BM10" s="3"/>
      <c r="BN10" s="3"/>
      <c r="BO10" s="3"/>
    </row>
    <row r="11" customFormat="false" ht="23.85" hidden="false" customHeight="false" outlineLevel="0" collapsed="false">
      <c r="A11" s="62" t="str">
        <f aca="false">_xlfn.CONCAT($A$1, ".", CALC!A11)</f>
        <v>LSD.RID.0.AL.FTER.7</v>
      </c>
      <c r="B11" s="40" t="str">
        <f aca="false">CALC!C11</f>
        <v>Manufacturing
(Machinery, Transport)</v>
      </c>
      <c r="C11" s="39" t="n">
        <v>0.14</v>
      </c>
      <c r="D11" s="39" t="n">
        <v>0.15</v>
      </c>
      <c r="E11" s="39" t="n">
        <v>0.12</v>
      </c>
      <c r="F11" s="39" t="n">
        <v>0.14</v>
      </c>
      <c r="AT11" s="3"/>
      <c r="AU11" s="3"/>
      <c r="AV11" s="3"/>
      <c r="AW11" s="3"/>
      <c r="AZ11" s="39"/>
      <c r="BA11" s="39"/>
      <c r="BB11" s="39"/>
      <c r="BC11" s="39"/>
      <c r="BJ11" s="3"/>
      <c r="BK11" s="3"/>
      <c r="BL11" s="3"/>
      <c r="BM11" s="3"/>
      <c r="BN11" s="3"/>
      <c r="BO11" s="3"/>
    </row>
    <row r="12" customFormat="false" ht="12.8" hidden="false" customHeight="false" outlineLevel="0" collapsed="false">
      <c r="A12" s="62" t="str">
        <f aca="false">_xlfn.CONCAT($A$1, ".", CALC!A12)</f>
        <v>LSD.RID.0.AL.FTER.8</v>
      </c>
      <c r="B12" s="39" t="str">
        <f aca="false">CALC!C12</f>
        <v>Wholesale Trade</v>
      </c>
      <c r="C12" s="39" t="n">
        <v>0.17</v>
      </c>
      <c r="D12" s="39" t="n">
        <v>0.16</v>
      </c>
      <c r="E12" s="39" t="n">
        <v>0.2</v>
      </c>
      <c r="F12" s="39" t="n">
        <v>0.17</v>
      </c>
      <c r="AT12" s="3"/>
      <c r="AU12" s="3"/>
      <c r="AV12" s="3"/>
      <c r="AW12" s="3"/>
      <c r="AZ12" s="39"/>
      <c r="BA12" s="39"/>
      <c r="BB12" s="39"/>
      <c r="BC12" s="39"/>
      <c r="BJ12" s="3"/>
      <c r="BK12" s="3"/>
      <c r="BL12" s="3"/>
      <c r="BM12" s="3"/>
      <c r="BN12" s="3"/>
      <c r="BO12" s="3"/>
    </row>
    <row r="13" customFormat="false" ht="23.85" hidden="false" customHeight="false" outlineLevel="0" collapsed="false">
      <c r="A13" s="62" t="str">
        <f aca="false">_xlfn.CONCAT($A$1, ".", CALC!A13)</f>
        <v>LSD.RID.0.AL.FTER.9</v>
      </c>
      <c r="B13" s="40" t="str">
        <f aca="false">CALC!C13</f>
        <v>Retail Trade (Motor
Vehicle, Electronics)</v>
      </c>
      <c r="C13" s="39" t="n">
        <v>0.19</v>
      </c>
      <c r="D13" s="39" t="n">
        <v>0.18</v>
      </c>
      <c r="E13" s="39" t="n">
        <v>0.22</v>
      </c>
      <c r="F13" s="39" t="n">
        <v>0.19</v>
      </c>
      <c r="AT13" s="3"/>
      <c r="AU13" s="3"/>
      <c r="AV13" s="3"/>
      <c r="AW13" s="3"/>
      <c r="AZ13" s="39"/>
      <c r="BA13" s="39"/>
      <c r="BB13" s="39"/>
      <c r="BC13" s="39"/>
      <c r="BJ13" s="3"/>
      <c r="BK13" s="3"/>
      <c r="BL13" s="3"/>
      <c r="BM13" s="3"/>
      <c r="BN13" s="3"/>
      <c r="BO13" s="3"/>
    </row>
    <row r="14" customFormat="false" ht="23.85" hidden="false" customHeight="false" outlineLevel="0" collapsed="false">
      <c r="A14" s="62" t="str">
        <f aca="false">_xlfn.CONCAT($A$1, ".", CALC!A14)</f>
        <v>LSD.RID.0.AL.FTER.10</v>
      </c>
      <c r="B14" s="40" t="str">
        <f aca="false">CALC!C14</f>
        <v>Retail Trade (Food, Clothing,
General Merchandise, etc.)</v>
      </c>
      <c r="C14" s="39" t="n">
        <v>0.28</v>
      </c>
      <c r="D14" s="39" t="n">
        <v>0.26</v>
      </c>
      <c r="E14" s="39" t="n">
        <v>0.32</v>
      </c>
      <c r="F14" s="39" t="n">
        <v>0.28</v>
      </c>
      <c r="AT14" s="3"/>
      <c r="AU14" s="3"/>
      <c r="AV14" s="3"/>
      <c r="AW14" s="3"/>
      <c r="AZ14" s="39"/>
      <c r="BA14" s="39"/>
      <c r="BB14" s="39"/>
      <c r="BC14" s="39"/>
      <c r="BJ14" s="3"/>
      <c r="BK14" s="3"/>
      <c r="BL14" s="3"/>
      <c r="BM14" s="3"/>
      <c r="BN14" s="3"/>
      <c r="BO14" s="3"/>
    </row>
    <row r="15" customFormat="false" ht="12.8" hidden="false" customHeight="false" outlineLevel="0" collapsed="false">
      <c r="A15" s="62" t="str">
        <f aca="false">_xlfn.CONCAT($A$1, ".", CALC!A15)</f>
        <v>LSD.RID.0.AL.FTER.11</v>
      </c>
      <c r="B15" s="39" t="str">
        <f aca="false">CALC!C15</f>
        <v>Transportation</v>
      </c>
      <c r="C15" s="39" t="n">
        <v>0.16</v>
      </c>
      <c r="D15" s="39" t="n">
        <v>0.15</v>
      </c>
      <c r="E15" s="39" t="n">
        <v>0.19</v>
      </c>
      <c r="F15" s="39" t="n">
        <v>0.16</v>
      </c>
      <c r="AT15" s="3"/>
      <c r="AU15" s="3"/>
      <c r="AV15" s="3"/>
      <c r="AW15" s="3"/>
      <c r="AZ15" s="39"/>
      <c r="BA15" s="39"/>
      <c r="BB15" s="39"/>
      <c r="BC15" s="39"/>
      <c r="BJ15" s="3"/>
      <c r="BK15" s="3"/>
      <c r="BL15" s="3"/>
      <c r="BM15" s="3"/>
      <c r="BN15" s="3"/>
      <c r="BO15" s="3"/>
    </row>
    <row r="16" customFormat="false" ht="12.8" hidden="false" customHeight="false" outlineLevel="0" collapsed="false">
      <c r="A16" s="62" t="str">
        <f aca="false">_xlfn.CONCAT($A$1, ".", CALC!A16)</f>
        <v>LSD.RID.0.AL.FTER.12</v>
      </c>
      <c r="B16" s="39" t="str">
        <f aca="false">CALC!C16</f>
        <v>Warehousing and Storage</v>
      </c>
      <c r="C16" s="39" t="n">
        <v>0.18</v>
      </c>
      <c r="D16" s="39" t="n">
        <v>0.17</v>
      </c>
      <c r="E16" s="39" t="n">
        <v>0.21</v>
      </c>
      <c r="F16" s="39" t="n">
        <v>0.18</v>
      </c>
      <c r="AT16" s="3"/>
      <c r="AU16" s="3"/>
      <c r="AV16" s="3"/>
      <c r="AW16" s="3"/>
      <c r="AZ16" s="39"/>
      <c r="BA16" s="39"/>
      <c r="BB16" s="39"/>
      <c r="BC16" s="39"/>
      <c r="BJ16" s="3"/>
      <c r="BK16" s="3"/>
      <c r="BL16" s="3"/>
      <c r="BM16" s="3"/>
      <c r="BN16" s="3"/>
      <c r="BO16" s="3"/>
    </row>
    <row r="17" customFormat="false" ht="12.8" hidden="false" customHeight="false" outlineLevel="0" collapsed="false">
      <c r="A17" s="62" t="str">
        <f aca="false">_xlfn.CONCAT($A$1, ".", CALC!A17)</f>
        <v>LSD.RID.0.AL.FTER.13</v>
      </c>
      <c r="B17" s="39" t="str">
        <f aca="false">CALC!C17</f>
        <v>Information</v>
      </c>
      <c r="C17" s="39" t="n">
        <v>0.17</v>
      </c>
      <c r="D17" s="39" t="n">
        <v>0.15</v>
      </c>
      <c r="E17" s="39" t="n">
        <v>0.21</v>
      </c>
      <c r="F17" s="39" t="n">
        <v>0.17</v>
      </c>
      <c r="AT17" s="3"/>
      <c r="AU17" s="3"/>
      <c r="AV17" s="3"/>
      <c r="AW17" s="3"/>
      <c r="AZ17" s="39"/>
      <c r="BA17" s="39"/>
      <c r="BB17" s="39"/>
      <c r="BC17" s="39"/>
      <c r="BJ17" s="3"/>
      <c r="BK17" s="3"/>
      <c r="BL17" s="3"/>
      <c r="BM17" s="3"/>
      <c r="BN17" s="3"/>
      <c r="BO17" s="3"/>
    </row>
    <row r="18" customFormat="false" ht="12.8" hidden="false" customHeight="false" outlineLevel="0" collapsed="false">
      <c r="A18" s="62" t="str">
        <f aca="false">_xlfn.CONCAT($A$1, ".", CALC!A18)</f>
        <v>LSD.RID.0.AL.FTER.14</v>
      </c>
      <c r="B18" s="39" t="str">
        <f aca="false">CALC!C18</f>
        <v>Finance and Insurance</v>
      </c>
      <c r="C18" s="39" t="n">
        <v>0.15</v>
      </c>
      <c r="D18" s="39" t="n">
        <v>0.13</v>
      </c>
      <c r="E18" s="39" t="n">
        <v>0.19</v>
      </c>
      <c r="F18" s="39" t="n">
        <v>0.15</v>
      </c>
      <c r="AT18" s="3"/>
      <c r="AU18" s="3"/>
      <c r="AV18" s="3"/>
      <c r="AW18" s="3"/>
      <c r="AZ18" s="39"/>
      <c r="BA18" s="39"/>
      <c r="BB18" s="39"/>
      <c r="BC18" s="39"/>
      <c r="BJ18" s="3"/>
      <c r="BK18" s="3"/>
      <c r="BL18" s="3"/>
      <c r="BM18" s="3"/>
      <c r="BN18" s="3"/>
      <c r="BO18" s="3"/>
    </row>
    <row r="19" customFormat="false" ht="23.85" hidden="false" customHeight="false" outlineLevel="0" collapsed="false">
      <c r="A19" s="62" t="str">
        <f aca="false">_xlfn.CONCAT($A$1, ".", CALC!A19)</f>
        <v>LSD.RID.0.AL.FTER.15</v>
      </c>
      <c r="B19" s="40" t="str">
        <f aca="false">CALC!C19</f>
        <v>Real Estate and
Rental and Leasing</v>
      </c>
      <c r="C19" s="39" t="n">
        <v>0.18</v>
      </c>
      <c r="D19" s="39" t="n">
        <v>0.16</v>
      </c>
      <c r="E19" s="39" t="n">
        <v>0.22</v>
      </c>
      <c r="F19" s="39" t="n">
        <v>0.18</v>
      </c>
      <c r="AT19" s="3"/>
      <c r="AU19" s="3"/>
      <c r="AV19" s="3"/>
      <c r="AW19" s="3"/>
      <c r="AZ19" s="39"/>
      <c r="BA19" s="39"/>
      <c r="BB19" s="39"/>
      <c r="BC19" s="39"/>
      <c r="BJ19" s="3"/>
      <c r="BK19" s="3"/>
      <c r="BL19" s="3"/>
      <c r="BM19" s="3"/>
      <c r="BN19" s="3"/>
      <c r="BO19" s="3"/>
    </row>
    <row r="20" customFormat="false" ht="23.85" hidden="false" customHeight="false" outlineLevel="0" collapsed="false">
      <c r="A20" s="62" t="str">
        <f aca="false">_xlfn.CONCAT($A$1, ".", CALC!A20)</f>
        <v>LSD.RID.0.AL.FTER.16</v>
      </c>
      <c r="B20" s="40" t="str">
        <f aca="false">CALC!C20</f>
        <v>Professional, Scientific,
and Technical Services</v>
      </c>
      <c r="C20" s="39" t="n">
        <v>0.13</v>
      </c>
      <c r="D20" s="39" t="n">
        <v>0.11</v>
      </c>
      <c r="E20" s="39" t="n">
        <v>0.18</v>
      </c>
      <c r="F20" s="39" t="n">
        <v>0.13</v>
      </c>
      <c r="AT20" s="3"/>
      <c r="AU20" s="3"/>
      <c r="AV20" s="3"/>
      <c r="AW20" s="3"/>
      <c r="AZ20" s="39"/>
      <c r="BA20" s="39"/>
      <c r="BB20" s="39"/>
      <c r="BC20" s="39"/>
      <c r="BJ20" s="3"/>
      <c r="BK20" s="3"/>
      <c r="BL20" s="3"/>
      <c r="BM20" s="3"/>
      <c r="BN20" s="3"/>
      <c r="BO20" s="3"/>
    </row>
    <row r="21" customFormat="false" ht="35.05" hidden="false" customHeight="false" outlineLevel="0" collapsed="false">
      <c r="A21" s="62" t="str">
        <f aca="false">_xlfn.CONCAT($A$1, ".", CALC!A21)</f>
        <v>LSD.RID.0.AL.FTER.17</v>
      </c>
      <c r="B21" s="40" t="str">
        <f aca="false">CALC!C21</f>
        <v>Administrative and Support
and Waste Management
and Remediation Services</v>
      </c>
      <c r="C21" s="39" t="n">
        <v>0.24</v>
      </c>
      <c r="D21" s="39" t="n">
        <v>0.22</v>
      </c>
      <c r="E21" s="39" t="n">
        <v>0.28</v>
      </c>
      <c r="F21" s="39" t="n">
        <v>0.24</v>
      </c>
      <c r="AT21" s="3"/>
      <c r="AU21" s="3"/>
      <c r="AV21" s="3"/>
      <c r="AW21" s="3"/>
      <c r="AZ21" s="39"/>
      <c r="BA21" s="39"/>
      <c r="BB21" s="39"/>
      <c r="BC21" s="39"/>
      <c r="BJ21" s="3"/>
      <c r="BK21" s="3"/>
      <c r="BL21" s="3"/>
      <c r="BM21" s="3"/>
      <c r="BN21" s="3"/>
      <c r="BO21" s="3"/>
    </row>
    <row r="22" customFormat="false" ht="12.8" hidden="false" customHeight="false" outlineLevel="0" collapsed="false">
      <c r="A22" s="62" t="str">
        <f aca="false">_xlfn.CONCAT($A$1, ".", CALC!A22)</f>
        <v>LSD.RID.0.AL.FTER.18</v>
      </c>
      <c r="B22" s="39" t="str">
        <f aca="false">CALC!C22</f>
        <v>Educational Services</v>
      </c>
      <c r="C22" s="39" t="n">
        <v>0.16</v>
      </c>
      <c r="D22" s="39" t="n">
        <v>0.14</v>
      </c>
      <c r="E22" s="39" t="n">
        <v>0.2</v>
      </c>
      <c r="F22" s="39" t="n">
        <v>0.16</v>
      </c>
      <c r="AT22" s="3"/>
      <c r="AU22" s="3"/>
      <c r="AV22" s="3"/>
      <c r="AW22" s="3"/>
      <c r="AZ22" s="39"/>
      <c r="BA22" s="39"/>
      <c r="BB22" s="39"/>
      <c r="BC22" s="39"/>
      <c r="BJ22" s="3"/>
      <c r="BK22" s="3"/>
      <c r="BL22" s="3"/>
      <c r="BM22" s="3"/>
      <c r="BN22" s="3"/>
      <c r="BO22" s="3"/>
    </row>
    <row r="23" customFormat="false" ht="23.85" hidden="false" customHeight="false" outlineLevel="0" collapsed="false">
      <c r="A23" s="62" t="str">
        <f aca="false">_xlfn.CONCAT($A$1, ".", CALC!A23)</f>
        <v>LSD.RID.0.AL.FTER.19</v>
      </c>
      <c r="B23" s="40" t="str">
        <f aca="false">CALC!C23</f>
        <v>Health Care and
Social Assistance</v>
      </c>
      <c r="C23" s="39" t="n">
        <v>0.15</v>
      </c>
      <c r="D23" s="39" t="n">
        <v>0.13</v>
      </c>
      <c r="E23" s="39" t="n">
        <v>0.19</v>
      </c>
      <c r="F23" s="39" t="n">
        <v>0.15</v>
      </c>
      <c r="AT23" s="3"/>
      <c r="AU23" s="3"/>
      <c r="AV23" s="3"/>
      <c r="AW23" s="3"/>
      <c r="AZ23" s="39"/>
      <c r="BA23" s="39"/>
      <c r="BB23" s="39"/>
      <c r="BC23" s="39"/>
      <c r="BJ23" s="3"/>
      <c r="BK23" s="3"/>
      <c r="BL23" s="3"/>
      <c r="BM23" s="3"/>
      <c r="BN23" s="3"/>
      <c r="BO23" s="3"/>
    </row>
    <row r="24" customFormat="false" ht="23.85" hidden="false" customHeight="false" outlineLevel="0" collapsed="false">
      <c r="A24" s="62" t="str">
        <f aca="false">_xlfn.CONCAT($A$1, ".", CALC!A24)</f>
        <v>LSD.RID.0.AL.FTER.20</v>
      </c>
      <c r="B24" s="40" t="str">
        <f aca="false">CALC!C24</f>
        <v>Arts, Entertainment,
and Recreation</v>
      </c>
      <c r="C24" s="39" t="n">
        <v>0.3</v>
      </c>
      <c r="D24" s="39" t="n">
        <v>0.28</v>
      </c>
      <c r="E24" s="39" t="n">
        <v>0.34</v>
      </c>
      <c r="F24" s="39" t="n">
        <v>0.3</v>
      </c>
      <c r="AT24" s="3"/>
      <c r="AU24" s="3"/>
      <c r="AV24" s="3"/>
      <c r="AW24" s="3"/>
      <c r="AZ24" s="39"/>
      <c r="BA24" s="39"/>
      <c r="BB24" s="39"/>
      <c r="BC24" s="39"/>
      <c r="BJ24" s="3"/>
      <c r="BK24" s="3"/>
      <c r="BL24" s="3"/>
      <c r="BM24" s="3"/>
      <c r="BN24" s="3"/>
      <c r="BO24" s="3"/>
    </row>
    <row r="25" customFormat="false" ht="23.85" hidden="false" customHeight="false" outlineLevel="0" collapsed="false">
      <c r="A25" s="62" t="str">
        <f aca="false">_xlfn.CONCAT($A$1, ".", CALC!A25)</f>
        <v>LSD.RID.0.AL.FTER.21</v>
      </c>
      <c r="B25" s="40" t="str">
        <f aca="false">CALC!C25</f>
        <v>Accommodation
and Food Services</v>
      </c>
      <c r="C25" s="39" t="n">
        <v>0.32</v>
      </c>
      <c r="D25" s="39" t="n">
        <v>0.3</v>
      </c>
      <c r="E25" s="39" t="n">
        <v>0.36</v>
      </c>
      <c r="F25" s="39" t="n">
        <v>0.32</v>
      </c>
      <c r="AT25" s="3"/>
      <c r="AU25" s="3"/>
      <c r="AV25" s="3"/>
      <c r="AW25" s="3"/>
      <c r="AZ25" s="39"/>
      <c r="BA25" s="39"/>
      <c r="BB25" s="39"/>
      <c r="BC25" s="39"/>
      <c r="BJ25" s="3"/>
      <c r="BK25" s="3"/>
      <c r="BL25" s="3"/>
      <c r="BM25" s="3"/>
      <c r="BN25" s="3"/>
      <c r="BO25" s="3"/>
    </row>
    <row r="26" customFormat="false" ht="23.85" hidden="false" customHeight="false" outlineLevel="0" collapsed="false">
      <c r="A26" s="62" t="str">
        <f aca="false">_xlfn.CONCAT($A$1, ".", CALC!A26)</f>
        <v>LSD.RID.0.AL.FTER.22</v>
      </c>
      <c r="B26" s="40" t="str">
        <f aca="false">CALC!C26</f>
        <v>Other Services (except
Public Administration)</v>
      </c>
      <c r="C26" s="39" t="n">
        <v>0.22</v>
      </c>
      <c r="D26" s="39" t="n">
        <v>0.2</v>
      </c>
      <c r="E26" s="39" t="n">
        <v>0.26</v>
      </c>
      <c r="F26" s="39" t="n">
        <v>0.22</v>
      </c>
      <c r="AT26" s="3"/>
      <c r="AU26" s="3"/>
      <c r="AV26" s="3"/>
      <c r="AW26" s="3"/>
      <c r="AZ26" s="39"/>
      <c r="BA26" s="39"/>
      <c r="BB26" s="39"/>
      <c r="BC26" s="39"/>
      <c r="BJ26" s="3"/>
      <c r="BK26" s="3"/>
      <c r="BL26" s="3"/>
      <c r="BM26" s="3"/>
      <c r="BN26" s="3"/>
      <c r="BO26" s="3"/>
    </row>
    <row r="27" customFormat="false" ht="12.8" hidden="false" customHeight="false" outlineLevel="0" collapsed="false">
      <c r="A27" s="62" t="str">
        <f aca="false">_xlfn.CONCAT($A$1, ".", CALC!A27)</f>
        <v>LSD.RID.0.AL.FTER.23</v>
      </c>
      <c r="B27" s="39" t="str">
        <f aca="false">CALC!C27</f>
        <v>Public Administration</v>
      </c>
      <c r="C27" s="39" t="n">
        <v>0.12</v>
      </c>
      <c r="D27" s="39" t="n">
        <v>0.11</v>
      </c>
      <c r="E27" s="39" t="n">
        <v>0.15</v>
      </c>
      <c r="F27" s="39" t="n">
        <v>0.12</v>
      </c>
      <c r="AT27" s="3"/>
      <c r="AU27" s="3"/>
      <c r="AV27" s="3"/>
      <c r="AW27" s="3"/>
      <c r="AZ27" s="39"/>
      <c r="BA27" s="39"/>
      <c r="BB27" s="39"/>
      <c r="BC27" s="39"/>
      <c r="BJ27" s="3"/>
      <c r="BK27" s="3"/>
      <c r="BL27" s="3"/>
      <c r="BM27" s="3"/>
      <c r="BN27" s="3"/>
      <c r="BO27" s="3"/>
    </row>
    <row r="28" customFormat="false" ht="12.8" hidden="false" customHeight="false" outlineLevel="0" collapsed="false">
      <c r="A28" s="62"/>
      <c r="AT28" s="3"/>
      <c r="AU28" s="3"/>
      <c r="AV28" s="3"/>
      <c r="AW28" s="3"/>
      <c r="AZ28" s="39"/>
      <c r="BA28" s="39"/>
      <c r="BB28" s="39"/>
      <c r="BC28" s="39"/>
      <c r="BJ28" s="3"/>
      <c r="BK28" s="3"/>
      <c r="BL28" s="3"/>
      <c r="BM28" s="3"/>
      <c r="BN28" s="3"/>
      <c r="BO28" s="3"/>
    </row>
    <row r="29" customFormat="false" ht="12.8" hidden="false" customHeight="false" outlineLevel="0" collapsed="false">
      <c r="A29" s="62"/>
      <c r="AT29" s="3"/>
      <c r="AU29" s="3"/>
      <c r="AV29" s="3"/>
      <c r="AW29" s="3"/>
      <c r="AZ29" s="39"/>
      <c r="BA29" s="39"/>
      <c r="BB29" s="39"/>
      <c r="BC29" s="39"/>
      <c r="BJ29" s="3"/>
      <c r="BK29" s="3"/>
      <c r="BL29" s="3"/>
      <c r="BM29" s="3"/>
      <c r="BN29" s="3"/>
      <c r="BO29" s="3"/>
    </row>
    <row r="30" customFormat="false" ht="12.8" hidden="false" customHeight="false" outlineLevel="0" collapsed="false">
      <c r="A30" s="62"/>
      <c r="AT30" s="3"/>
      <c r="AU30" s="3"/>
      <c r="AV30" s="3"/>
      <c r="AW30" s="3"/>
      <c r="AZ30" s="39"/>
      <c r="BA30" s="39"/>
      <c r="BB30" s="39"/>
      <c r="BC30" s="39"/>
      <c r="BJ30" s="3"/>
      <c r="BK30" s="3"/>
      <c r="BL30" s="3"/>
      <c r="BM30" s="3"/>
      <c r="BN30" s="3"/>
      <c r="BO30" s="3"/>
    </row>
    <row r="31" customFormat="false" ht="12.8" hidden="false" customHeight="false" outlineLevel="0" collapsed="false">
      <c r="C31" s="79"/>
      <c r="D31" s="79"/>
      <c r="E31" s="79"/>
      <c r="F31" s="79"/>
    </row>
    <row r="32" customFormat="false" ht="12.8" hidden="false" customHeight="false" outlineLevel="0" collapsed="false">
      <c r="C32" s="79"/>
      <c r="D32" s="79"/>
      <c r="E32" s="79"/>
      <c r="F32" s="79"/>
    </row>
    <row r="33" customFormat="false" ht="12.8" hidden="false" customHeight="false" outlineLevel="0" collapsed="false">
      <c r="C33" s="79"/>
      <c r="D33" s="79"/>
      <c r="E33" s="79"/>
      <c r="F33" s="79"/>
    </row>
    <row r="34" customFormat="false" ht="12.8" hidden="false" customHeight="false" outlineLevel="0" collapsed="false">
      <c r="C34" s="79"/>
      <c r="D34" s="79"/>
      <c r="E34" s="79"/>
      <c r="F34" s="79"/>
    </row>
    <row r="129" customFormat="false" ht="12.8" hidden="false" customHeight="false" outlineLevel="0" collapsed="false">
      <c r="A129" s="65" t="s">
        <v>2918</v>
      </c>
      <c r="B129" s="66" t="s">
        <v>2919</v>
      </c>
      <c r="C129" s="66"/>
    </row>
    <row r="130" customFormat="false" ht="12.8" hidden="false" customHeight="false" outlineLevel="0" collapsed="false">
      <c r="A130" s="49" t="s">
        <v>1842</v>
      </c>
      <c r="B130" s="49" t="s">
        <v>183</v>
      </c>
      <c r="C130" s="49" t="s">
        <v>184</v>
      </c>
      <c r="D130" s="49" t="s">
        <v>1843</v>
      </c>
      <c r="E130" s="49" t="s">
        <v>186</v>
      </c>
      <c r="F130" s="49" t="s">
        <v>187</v>
      </c>
    </row>
    <row r="131" customFormat="false" ht="12.8" hidden="false" customHeight="false" outlineLevel="0" collapsed="false">
      <c r="A131" s="39" t="s">
        <v>2920</v>
      </c>
      <c r="B131" s="39" t="s">
        <v>655</v>
      </c>
      <c r="C131" s="39" t="s">
        <v>2921</v>
      </c>
      <c r="D131" s="39" t="s">
        <v>2922</v>
      </c>
      <c r="E131" s="39" t="s">
        <v>2923</v>
      </c>
      <c r="F131" s="39" t="s">
        <v>302</v>
      </c>
    </row>
    <row r="132" customFormat="false" ht="12.8" hidden="false" customHeight="false" outlineLevel="0" collapsed="false">
      <c r="A132" s="39" t="s">
        <v>2924</v>
      </c>
      <c r="B132" s="39" t="s">
        <v>655</v>
      </c>
      <c r="C132" s="39" t="s">
        <v>1850</v>
      </c>
      <c r="D132" s="39" t="s">
        <v>2925</v>
      </c>
      <c r="E132" s="39" t="s">
        <v>2867</v>
      </c>
      <c r="F132" s="39" t="s">
        <v>302</v>
      </c>
    </row>
    <row r="133" customFormat="false" ht="12.8" hidden="false" customHeight="false" outlineLevel="0" collapsed="false">
      <c r="A133" s="39" t="s">
        <v>2926</v>
      </c>
      <c r="B133" s="39" t="s">
        <v>655</v>
      </c>
      <c r="C133" s="39" t="s">
        <v>1853</v>
      </c>
      <c r="D133" s="39" t="s">
        <v>2927</v>
      </c>
      <c r="E133" s="39" t="s">
        <v>674</v>
      </c>
      <c r="F133" s="39" t="s">
        <v>302</v>
      </c>
    </row>
    <row r="134" customFormat="false" ht="12.8" hidden="false" customHeight="false" outlineLevel="0" collapsed="false">
      <c r="A134" s="50" t="s">
        <v>2928</v>
      </c>
      <c r="B134" s="39" t="s">
        <v>655</v>
      </c>
      <c r="C134" s="39" t="s">
        <v>2929</v>
      </c>
      <c r="D134" s="39" t="s">
        <v>2930</v>
      </c>
      <c r="E134" s="39" t="s">
        <v>306</v>
      </c>
      <c r="F134" s="39" t="s">
        <v>302</v>
      </c>
    </row>
    <row r="136" customFormat="false" ht="12.8" hidden="false" customHeight="false" outlineLevel="0" collapsed="false">
      <c r="A136" s="65" t="s">
        <v>2931</v>
      </c>
      <c r="B136" s="66" t="s">
        <v>2932</v>
      </c>
      <c r="C136" s="66"/>
    </row>
    <row r="137" customFormat="false" ht="12.8" hidden="false" customHeight="false" outlineLevel="0" collapsed="false">
      <c r="A137" s="49" t="s">
        <v>683</v>
      </c>
      <c r="B137" s="49" t="s">
        <v>184</v>
      </c>
      <c r="C137" s="49" t="s">
        <v>684</v>
      </c>
      <c r="D137" s="49" t="s">
        <v>186</v>
      </c>
      <c r="E137" s="49" t="s">
        <v>678</v>
      </c>
      <c r="F137" s="49" t="s">
        <v>679</v>
      </c>
      <c r="G137" s="49" t="s">
        <v>680</v>
      </c>
      <c r="H137" s="49" t="s">
        <v>187</v>
      </c>
    </row>
    <row r="138" customFormat="false" ht="12.8" hidden="false" customHeight="false" outlineLevel="0" collapsed="false">
      <c r="A138" s="39" t="s">
        <v>2933</v>
      </c>
      <c r="B138" s="39" t="s">
        <v>2934</v>
      </c>
      <c r="C138" s="39" t="n">
        <v>0.18</v>
      </c>
      <c r="D138" s="39" t="s">
        <v>2935</v>
      </c>
      <c r="E138" s="39" t="s">
        <v>689</v>
      </c>
      <c r="F138" s="39" t="s">
        <v>803</v>
      </c>
      <c r="G138" s="51" t="s">
        <v>691</v>
      </c>
      <c r="H138" s="39" t="s">
        <v>302</v>
      </c>
    </row>
    <row r="139" customFormat="false" ht="12.8" hidden="false" customHeight="false" outlineLevel="0" collapsed="false">
      <c r="A139" s="39" t="s">
        <v>2936</v>
      </c>
      <c r="B139" s="39" t="s">
        <v>2937</v>
      </c>
      <c r="C139" s="39" t="s">
        <v>2938</v>
      </c>
      <c r="D139" s="39" t="s">
        <v>2939</v>
      </c>
      <c r="E139" s="39" t="s">
        <v>689</v>
      </c>
      <c r="F139" s="39" t="s">
        <v>1775</v>
      </c>
      <c r="G139" s="51" t="s">
        <v>691</v>
      </c>
      <c r="H139" s="39" t="s">
        <v>989</v>
      </c>
    </row>
    <row r="140" customFormat="false" ht="12.8" hidden="false" customHeight="false" outlineLevel="0" collapsed="false">
      <c r="A140" s="39" t="s">
        <v>2940</v>
      </c>
      <c r="B140" s="39" t="s">
        <v>2941</v>
      </c>
      <c r="C140" s="39" t="s">
        <v>2942</v>
      </c>
      <c r="D140" s="39" t="s">
        <v>2943</v>
      </c>
      <c r="E140" s="39" t="s">
        <v>689</v>
      </c>
      <c r="F140" s="39" t="s">
        <v>2820</v>
      </c>
      <c r="G140" s="51" t="s">
        <v>691</v>
      </c>
      <c r="H140" s="39" t="s">
        <v>2821</v>
      </c>
    </row>
    <row r="141" customFormat="false" ht="12.8" hidden="false" customHeight="false" outlineLevel="0" collapsed="false">
      <c r="A141" s="39" t="s">
        <v>2944</v>
      </c>
      <c r="B141" s="39" t="s">
        <v>2945</v>
      </c>
      <c r="C141" s="39" t="s">
        <v>2946</v>
      </c>
      <c r="D141" s="39" t="s">
        <v>2947</v>
      </c>
      <c r="E141" s="39" t="s">
        <v>689</v>
      </c>
      <c r="F141" s="39" t="s">
        <v>2613</v>
      </c>
      <c r="G141" s="51" t="s">
        <v>691</v>
      </c>
      <c r="H141" s="39" t="s">
        <v>2821</v>
      </c>
    </row>
    <row r="142" customFormat="false" ht="12.8" hidden="false" customHeight="false" outlineLevel="0" collapsed="false">
      <c r="A142" s="39" t="s">
        <v>2948</v>
      </c>
      <c r="B142" s="39" t="s">
        <v>2949</v>
      </c>
      <c r="C142" s="39" t="n">
        <v>0.9</v>
      </c>
      <c r="D142" s="39" t="s">
        <v>2950</v>
      </c>
      <c r="E142" s="39" t="s">
        <v>689</v>
      </c>
      <c r="F142" s="39" t="s">
        <v>2951</v>
      </c>
      <c r="G142" s="51" t="s">
        <v>691</v>
      </c>
      <c r="H142" s="39" t="s">
        <v>302</v>
      </c>
    </row>
    <row r="143" customFormat="false" ht="12.8" hidden="false" customHeight="false" outlineLevel="0" collapsed="false">
      <c r="A143" s="39" t="s">
        <v>2952</v>
      </c>
      <c r="B143" s="39" t="s">
        <v>2953</v>
      </c>
      <c r="C143" s="39" t="n">
        <v>4</v>
      </c>
      <c r="D143" s="39" t="s">
        <v>1000</v>
      </c>
      <c r="E143" s="39" t="s">
        <v>689</v>
      </c>
      <c r="F143" s="39" t="s">
        <v>1256</v>
      </c>
      <c r="G143" s="51" t="s">
        <v>691</v>
      </c>
      <c r="H143" s="39" t="s">
        <v>302</v>
      </c>
    </row>
    <row r="144" customFormat="false" ht="12.8" hidden="false" customHeight="false" outlineLevel="0" collapsed="false">
      <c r="A144" s="40"/>
      <c r="B144" s="40"/>
      <c r="C144" s="40"/>
      <c r="D144" s="40"/>
      <c r="E144" s="40"/>
      <c r="F144" s="40"/>
      <c r="G144" s="77"/>
      <c r="H144" s="40"/>
    </row>
    <row r="145" customFormat="false" ht="12.8" hidden="false" customHeight="false" outlineLevel="0" collapsed="false">
      <c r="A145" s="65" t="s">
        <v>2954</v>
      </c>
      <c r="B145" s="66" t="s">
        <v>2955</v>
      </c>
    </row>
    <row r="146" customFormat="false" ht="12.8" hidden="false" customHeight="false" outlineLevel="0" collapsed="false">
      <c r="A146" s="50" t="s">
        <v>113</v>
      </c>
      <c r="B146" s="39" t="s">
        <v>186</v>
      </c>
      <c r="C146" s="39" t="s">
        <v>677</v>
      </c>
      <c r="D146" s="39" t="s">
        <v>1875</v>
      </c>
      <c r="E146" s="39" t="s">
        <v>678</v>
      </c>
      <c r="F146" s="39" t="s">
        <v>1876</v>
      </c>
    </row>
    <row r="147" customFormat="false" ht="12.8" hidden="false" customHeight="false" outlineLevel="0" collapsed="false">
      <c r="A147" s="50" t="s">
        <v>2956</v>
      </c>
      <c r="B147" s="39" t="s">
        <v>2957</v>
      </c>
      <c r="C147" s="39" t="n">
        <v>0.18</v>
      </c>
      <c r="D147" s="39" t="s">
        <v>2958</v>
      </c>
      <c r="E147" s="39" t="s">
        <v>689</v>
      </c>
      <c r="F147" s="39" t="s">
        <v>1879</v>
      </c>
    </row>
    <row r="148" customFormat="false" ht="12.8" hidden="false" customHeight="false" outlineLevel="0" collapsed="false">
      <c r="A148" s="50" t="s">
        <v>2959</v>
      </c>
      <c r="B148" s="39" t="s">
        <v>1881</v>
      </c>
      <c r="C148" s="39" t="s">
        <v>2960</v>
      </c>
      <c r="D148" s="39" t="s">
        <v>689</v>
      </c>
      <c r="E148" s="39" t="s">
        <v>2638</v>
      </c>
    </row>
    <row r="149" customFormat="false" ht="12.8" hidden="false" customHeight="false" outlineLevel="0" collapsed="false">
      <c r="A149" s="50" t="s">
        <v>2961</v>
      </c>
      <c r="B149" s="39" t="s">
        <v>2962</v>
      </c>
      <c r="C149" s="39" t="s">
        <v>2963</v>
      </c>
      <c r="D149" s="39" t="s">
        <v>2964</v>
      </c>
      <c r="E149" s="39" t="s">
        <v>689</v>
      </c>
      <c r="F149" s="39" t="s">
        <v>2965</v>
      </c>
    </row>
    <row r="150" customFormat="false" ht="12.8" hidden="false" customHeight="false" outlineLevel="0" collapsed="false">
      <c r="A150" s="50" t="s">
        <v>2966</v>
      </c>
      <c r="B150" s="39" t="s">
        <v>1891</v>
      </c>
      <c r="C150" s="39" t="s">
        <v>2967</v>
      </c>
      <c r="D150" s="39" t="s">
        <v>2968</v>
      </c>
      <c r="E150" s="39" t="s">
        <v>689</v>
      </c>
      <c r="F150" s="39" t="s">
        <v>2969</v>
      </c>
    </row>
    <row r="151" customFormat="false" ht="12.8" hidden="false" customHeight="false" outlineLevel="0" collapsed="false">
      <c r="A151" s="50" t="s">
        <v>2970</v>
      </c>
      <c r="B151" s="39" t="s">
        <v>1896</v>
      </c>
      <c r="C151" s="39" t="s">
        <v>1962</v>
      </c>
      <c r="D151" s="39" t="s">
        <v>2971</v>
      </c>
      <c r="E151" s="39" t="s">
        <v>689</v>
      </c>
      <c r="F151" s="39" t="s">
        <v>2130</v>
      </c>
    </row>
    <row r="152" customFormat="false" ht="12.8" hidden="false" customHeight="false" outlineLevel="0" collapsed="false">
      <c r="A152" s="50" t="s">
        <v>2972</v>
      </c>
      <c r="B152" s="39" t="s">
        <v>1901</v>
      </c>
      <c r="C152" s="39" t="s">
        <v>1902</v>
      </c>
      <c r="D152" s="39" t="s">
        <v>2973</v>
      </c>
      <c r="E152" s="39" t="s">
        <v>689</v>
      </c>
      <c r="F152" s="39" t="s">
        <v>2652</v>
      </c>
    </row>
    <row r="153" customFormat="false" ht="12.8" hidden="false" customHeight="false" outlineLevel="0" collapsed="false">
      <c r="A153" s="50" t="s">
        <v>2974</v>
      </c>
      <c r="B153" s="39" t="s">
        <v>2975</v>
      </c>
      <c r="C153" s="39" t="s">
        <v>2976</v>
      </c>
      <c r="D153" s="39" t="s">
        <v>2855</v>
      </c>
      <c r="E153" s="39" t="s">
        <v>689</v>
      </c>
      <c r="F153" s="39" t="s">
        <v>2346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308D"/>
    <pageSetUpPr fitToPage="false"/>
  </sheetPr>
  <dimension ref="A1:BP249"/>
  <sheetViews>
    <sheetView showFormulas="false" showGridLines="true" showRowColHeaders="true" showZeros="true" rightToLeft="false" tabSelected="false" showOutlineSymbols="true" defaultGridColor="true" view="normal" topLeftCell="A214" colorId="64" zoomScale="65" zoomScaleNormal="65" zoomScalePageLayoutView="100" workbookViewId="0">
      <selection pane="topLeft" activeCell="A255" activeCellId="0" sqref="A25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1969</v>
      </c>
      <c r="B1" s="73" t="s">
        <v>2977</v>
      </c>
      <c r="C1" s="6" t="s">
        <v>2</v>
      </c>
      <c r="D1" s="39" t="s">
        <v>2978</v>
      </c>
      <c r="AZ1" s="39"/>
      <c r="BP1" s="39"/>
    </row>
    <row r="2" customFormat="false" ht="35.05" hidden="false" customHeight="false" outlineLevel="0" collapsed="false">
      <c r="A2" s="81" t="s">
        <v>2979</v>
      </c>
      <c r="B2" s="82" t="s">
        <v>2980</v>
      </c>
      <c r="C2" s="76" t="str">
        <f aca="false">CALC!CN3</f>
        <v>Job Tenure Average (years)</v>
      </c>
      <c r="D2" s="76" t="str">
        <f aca="false">CALC!CO3</f>
        <v>Authorized Immigrant Job Tenure Average</v>
      </c>
      <c r="E2" s="76" t="str">
        <f aca="false">CALC!CP3</f>
        <v>Unauthorized Immigrant Job Tenure Average</v>
      </c>
      <c r="F2" s="76" t="str">
        <f aca="false">CALC!CQ3</f>
        <v>American Job Tenure Average</v>
      </c>
    </row>
    <row r="3" customFormat="false" ht="12.8" hidden="false" customHeight="false" outlineLevel="0" collapsed="false">
      <c r="A3" s="50" t="e">
        <f aca="false">_xlfn.CONCAT($A$1, ".", #REF!)</f>
        <v>#REF!</v>
      </c>
      <c r="B3" s="69" t="e">
        <f aca="false">_xlfn.CONCAT(#REF!, ":", #REF!)</f>
        <v>#REF!</v>
      </c>
      <c r="C3" s="76" t="e">
        <f aca="false">#REF!</f>
        <v>#REF!</v>
      </c>
      <c r="D3" s="76" t="e">
        <f aca="false">#REF!</f>
        <v>#REF!</v>
      </c>
      <c r="E3" s="76" t="e">
        <f aca="false">#REF!</f>
        <v>#REF!</v>
      </c>
      <c r="F3" s="76" t="e">
        <f aca="false">#REF!</f>
        <v>#REF!</v>
      </c>
    </row>
    <row r="4" customFormat="false" ht="12.8" hidden="false" customHeight="false" outlineLevel="0" collapsed="false">
      <c r="A4" s="50" t="e">
        <f aca="false">_xlfn.CONCAT($A$1, ".", #REF!)</f>
        <v>#REF!</v>
      </c>
      <c r="B4" s="69" t="e">
        <f aca="false">_xlfn.CONCAT(#REF!, ":", #REF!)</f>
        <v>#REF!</v>
      </c>
      <c r="C4" s="76" t="e">
        <f aca="false">#REF!</f>
        <v>#REF!</v>
      </c>
      <c r="D4" s="76" t="e">
        <f aca="false">#REF!</f>
        <v>#REF!</v>
      </c>
      <c r="E4" s="76" t="e">
        <f aca="false">#REF!</f>
        <v>#REF!</v>
      </c>
      <c r="F4" s="76" t="e">
        <f aca="false">#REF!</f>
        <v>#REF!</v>
      </c>
    </row>
    <row r="5" customFormat="false" ht="12.8" hidden="false" customHeight="false" outlineLevel="0" collapsed="false">
      <c r="A5" s="50" t="e">
        <f aca="false">_xlfn.CONCAT($A$1, ".", #REF!)</f>
        <v>#REF!</v>
      </c>
      <c r="B5" s="69" t="e">
        <f aca="false">_xlfn.CONCAT(#REF!, ":", #REF!)</f>
        <v>#REF!</v>
      </c>
      <c r="C5" s="76" t="e">
        <f aca="false">#REF!</f>
        <v>#REF!</v>
      </c>
      <c r="D5" s="76" t="e">
        <f aca="false">#REF!</f>
        <v>#REF!</v>
      </c>
      <c r="E5" s="76" t="e">
        <f aca="false">#REF!</f>
        <v>#REF!</v>
      </c>
      <c r="F5" s="76" t="e">
        <f aca="false">#REF!</f>
        <v>#REF!</v>
      </c>
    </row>
    <row r="6" customFormat="false" ht="12.8" hidden="false" customHeight="false" outlineLevel="0" collapsed="false">
      <c r="A6" s="50" t="e">
        <f aca="false">_xlfn.CONCAT($A$1, ".", #REF!)</f>
        <v>#REF!</v>
      </c>
      <c r="B6" s="69" t="e">
        <f aca="false">_xlfn.CONCAT(#REF!, ":", #REF!)</f>
        <v>#REF!</v>
      </c>
      <c r="C6" s="76" t="e">
        <f aca="false">#REF!</f>
        <v>#REF!</v>
      </c>
      <c r="D6" s="76" t="e">
        <f aca="false">#REF!</f>
        <v>#REF!</v>
      </c>
      <c r="E6" s="76" t="e">
        <f aca="false">#REF!</f>
        <v>#REF!</v>
      </c>
      <c r="F6" s="76" t="e">
        <f aca="false">#REF!</f>
        <v>#REF!</v>
      </c>
    </row>
    <row r="7" customFormat="false" ht="12.8" hidden="false" customHeight="false" outlineLevel="0" collapsed="false">
      <c r="A7" s="50" t="e">
        <f aca="false">_xlfn.CONCAT($A$1, ".", #REF!)</f>
        <v>#REF!</v>
      </c>
      <c r="B7" s="69" t="e">
        <f aca="false">_xlfn.CONCAT(#REF!, ":", #REF!)</f>
        <v>#REF!</v>
      </c>
      <c r="C7" s="76" t="e">
        <f aca="false">#REF!</f>
        <v>#REF!</v>
      </c>
      <c r="D7" s="76" t="e">
        <f aca="false">#REF!</f>
        <v>#REF!</v>
      </c>
      <c r="E7" s="76" t="e">
        <f aca="false">#REF!</f>
        <v>#REF!</v>
      </c>
      <c r="F7" s="76" t="e">
        <f aca="false">#REF!</f>
        <v>#REF!</v>
      </c>
    </row>
    <row r="8" customFormat="false" ht="12.8" hidden="false" customHeight="false" outlineLevel="0" collapsed="false">
      <c r="A8" s="50" t="e">
        <f aca="false">_xlfn.CONCAT($A$1, ".", #REF!)</f>
        <v>#REF!</v>
      </c>
      <c r="B8" s="69" t="e">
        <f aca="false">_xlfn.CONCAT(#REF!, ":", #REF!)</f>
        <v>#REF!</v>
      </c>
      <c r="C8" s="76" t="e">
        <f aca="false">#REF!</f>
        <v>#REF!</v>
      </c>
      <c r="D8" s="76" t="e">
        <f aca="false">#REF!</f>
        <v>#REF!</v>
      </c>
      <c r="E8" s="76" t="e">
        <f aca="false">#REF!</f>
        <v>#REF!</v>
      </c>
      <c r="F8" s="76" t="e">
        <f aca="false">#REF!</f>
        <v>#REF!</v>
      </c>
    </row>
    <row r="9" customFormat="false" ht="12.8" hidden="false" customHeight="false" outlineLevel="0" collapsed="false">
      <c r="A9" s="50" t="e">
        <f aca="false">_xlfn.CONCAT($A$1, ".", #REF!)</f>
        <v>#REF!</v>
      </c>
      <c r="B9" s="69" t="e">
        <f aca="false">_xlfn.CONCAT(#REF!, ":", #REF!)</f>
        <v>#REF!</v>
      </c>
      <c r="C9" s="76" t="e">
        <f aca="false">#REF!</f>
        <v>#REF!</v>
      </c>
      <c r="D9" s="76" t="e">
        <f aca="false">#REF!</f>
        <v>#REF!</v>
      </c>
      <c r="E9" s="76" t="e">
        <f aca="false">#REF!</f>
        <v>#REF!</v>
      </c>
      <c r="F9" s="76" t="e">
        <f aca="false">#REF!</f>
        <v>#REF!</v>
      </c>
    </row>
    <row r="10" customFormat="false" ht="12.8" hidden="false" customHeight="false" outlineLevel="0" collapsed="false">
      <c r="A10" s="50" t="e">
        <f aca="false">_xlfn.CONCAT($A$1, ".", #REF!)</f>
        <v>#REF!</v>
      </c>
      <c r="B10" s="69" t="e">
        <f aca="false">_xlfn.CONCAT(#REF!, ":", #REF!)</f>
        <v>#REF!</v>
      </c>
      <c r="C10" s="76" t="e">
        <f aca="false">#REF!</f>
        <v>#REF!</v>
      </c>
      <c r="D10" s="76" t="e">
        <f aca="false">#REF!</f>
        <v>#REF!</v>
      </c>
      <c r="E10" s="76" t="e">
        <f aca="false">#REF!</f>
        <v>#REF!</v>
      </c>
      <c r="F10" s="76" t="e">
        <f aca="false">#REF!</f>
        <v>#REF!</v>
      </c>
    </row>
    <row r="11" customFormat="false" ht="12.8" hidden="false" customHeight="false" outlineLevel="0" collapsed="false">
      <c r="A11" s="50" t="e">
        <f aca="false">_xlfn.CONCAT($A$1, ".", #REF!)</f>
        <v>#REF!</v>
      </c>
      <c r="B11" s="69" t="e">
        <f aca="false">_xlfn.CONCAT(#REF!, ":", #REF!)</f>
        <v>#REF!</v>
      </c>
      <c r="C11" s="76" t="e">
        <f aca="false">#REF!</f>
        <v>#REF!</v>
      </c>
      <c r="D11" s="76" t="e">
        <f aca="false">#REF!</f>
        <v>#REF!</v>
      </c>
      <c r="E11" s="76" t="e">
        <f aca="false">#REF!</f>
        <v>#REF!</v>
      </c>
      <c r="F11" s="76" t="e">
        <f aca="false">#REF!</f>
        <v>#REF!</v>
      </c>
    </row>
    <row r="12" customFormat="false" ht="12.8" hidden="false" customHeight="false" outlineLevel="0" collapsed="false">
      <c r="A12" s="50" t="e">
        <f aca="false">_xlfn.CONCAT($A$1, ".", #REF!)</f>
        <v>#REF!</v>
      </c>
      <c r="B12" s="69" t="e">
        <f aca="false">_xlfn.CONCAT(#REF!, ":", #REF!)</f>
        <v>#REF!</v>
      </c>
      <c r="C12" s="76" t="e">
        <f aca="false">#REF!</f>
        <v>#REF!</v>
      </c>
      <c r="D12" s="76" t="e">
        <f aca="false">#REF!</f>
        <v>#REF!</v>
      </c>
      <c r="E12" s="76" t="e">
        <f aca="false">#REF!</f>
        <v>#REF!</v>
      </c>
      <c r="F12" s="76" t="e">
        <f aca="false">#REF!</f>
        <v>#REF!</v>
      </c>
    </row>
    <row r="13" customFormat="false" ht="12.8" hidden="false" customHeight="false" outlineLevel="0" collapsed="false">
      <c r="A13" s="50" t="e">
        <f aca="false">_xlfn.CONCAT($A$1, ".", #REF!)</f>
        <v>#REF!</v>
      </c>
      <c r="B13" s="69" t="e">
        <f aca="false">_xlfn.CONCAT(#REF!, ":", #REF!)</f>
        <v>#REF!</v>
      </c>
      <c r="C13" s="76" t="e">
        <f aca="false">#REF!</f>
        <v>#REF!</v>
      </c>
      <c r="D13" s="76" t="e">
        <f aca="false">#REF!</f>
        <v>#REF!</v>
      </c>
      <c r="E13" s="76" t="e">
        <f aca="false">#REF!</f>
        <v>#REF!</v>
      </c>
      <c r="F13" s="76" t="e">
        <f aca="false">#REF!</f>
        <v>#REF!</v>
      </c>
    </row>
    <row r="14" customFormat="false" ht="12.8" hidden="false" customHeight="false" outlineLevel="0" collapsed="false">
      <c r="A14" s="50" t="e">
        <f aca="false">_xlfn.CONCAT($A$1, ".", #REF!)</f>
        <v>#REF!</v>
      </c>
      <c r="B14" s="69" t="e">
        <f aca="false">_xlfn.CONCAT(#REF!, ":", #REF!)</f>
        <v>#REF!</v>
      </c>
      <c r="C14" s="76" t="e">
        <f aca="false">#REF!</f>
        <v>#REF!</v>
      </c>
      <c r="D14" s="76" t="e">
        <f aca="false">#REF!</f>
        <v>#REF!</v>
      </c>
      <c r="E14" s="76" t="e">
        <f aca="false">#REF!</f>
        <v>#REF!</v>
      </c>
      <c r="F14" s="76" t="e">
        <f aca="false">#REF!</f>
        <v>#REF!</v>
      </c>
    </row>
    <row r="15" customFormat="false" ht="12.8" hidden="false" customHeight="false" outlineLevel="0" collapsed="false">
      <c r="A15" s="50" t="e">
        <f aca="false">_xlfn.CONCAT($A$1, ".", #REF!)</f>
        <v>#REF!</v>
      </c>
      <c r="B15" s="69" t="e">
        <f aca="false">_xlfn.CONCAT(#REF!, ":", #REF!)</f>
        <v>#REF!</v>
      </c>
      <c r="C15" s="76" t="e">
        <f aca="false">#REF!</f>
        <v>#REF!</v>
      </c>
      <c r="D15" s="76" t="e">
        <f aca="false">#REF!</f>
        <v>#REF!</v>
      </c>
      <c r="E15" s="76" t="e">
        <f aca="false">#REF!</f>
        <v>#REF!</v>
      </c>
      <c r="F15" s="76" t="e">
        <f aca="false">#REF!</f>
        <v>#REF!</v>
      </c>
    </row>
    <row r="16" customFormat="false" ht="12.8" hidden="false" customHeight="false" outlineLevel="0" collapsed="false">
      <c r="A16" s="50" t="e">
        <f aca="false">_xlfn.CONCAT($A$1, ".", #REF!)</f>
        <v>#REF!</v>
      </c>
      <c r="B16" s="69" t="e">
        <f aca="false">_xlfn.CONCAT(#REF!, ":", #REF!)</f>
        <v>#REF!</v>
      </c>
      <c r="C16" s="76" t="e">
        <f aca="false">#REF!</f>
        <v>#REF!</v>
      </c>
      <c r="D16" s="76" t="e">
        <f aca="false">#REF!</f>
        <v>#REF!</v>
      </c>
      <c r="E16" s="76" t="e">
        <f aca="false">#REF!</f>
        <v>#REF!</v>
      </c>
      <c r="F16" s="76" t="e">
        <f aca="false">#REF!</f>
        <v>#REF!</v>
      </c>
    </row>
    <row r="17" customFormat="false" ht="12.8" hidden="false" customHeight="false" outlineLevel="0" collapsed="false">
      <c r="A17" s="50" t="e">
        <f aca="false">_xlfn.CONCAT($A$1, ".", #REF!)</f>
        <v>#REF!</v>
      </c>
      <c r="B17" s="69" t="e">
        <f aca="false">_xlfn.CONCAT(#REF!, ":", #REF!)</f>
        <v>#REF!</v>
      </c>
      <c r="C17" s="76" t="e">
        <f aca="false">#REF!</f>
        <v>#REF!</v>
      </c>
      <c r="D17" s="76" t="e">
        <f aca="false">#REF!</f>
        <v>#REF!</v>
      </c>
      <c r="E17" s="76" t="e">
        <f aca="false">#REF!</f>
        <v>#REF!</v>
      </c>
      <c r="F17" s="76" t="e">
        <f aca="false">#REF!</f>
        <v>#REF!</v>
      </c>
    </row>
    <row r="18" customFormat="false" ht="12.8" hidden="false" customHeight="false" outlineLevel="0" collapsed="false">
      <c r="A18" s="50" t="e">
        <f aca="false">_xlfn.CONCAT($A$1, ".", #REF!)</f>
        <v>#REF!</v>
      </c>
      <c r="B18" s="69" t="e">
        <f aca="false">_xlfn.CONCAT(#REF!, ":", #REF!)</f>
        <v>#REF!</v>
      </c>
      <c r="C18" s="76" t="e">
        <f aca="false">#REF!</f>
        <v>#REF!</v>
      </c>
      <c r="D18" s="76" t="e">
        <f aca="false">#REF!</f>
        <v>#REF!</v>
      </c>
      <c r="E18" s="76" t="e">
        <f aca="false">#REF!</f>
        <v>#REF!</v>
      </c>
      <c r="F18" s="76" t="e">
        <f aca="false">#REF!</f>
        <v>#REF!</v>
      </c>
    </row>
    <row r="19" customFormat="false" ht="12.8" hidden="false" customHeight="false" outlineLevel="0" collapsed="false">
      <c r="A19" s="50" t="e">
        <f aca="false">_xlfn.CONCAT($A$1, ".", #REF!)</f>
        <v>#REF!</v>
      </c>
      <c r="B19" s="69" t="e">
        <f aca="false">_xlfn.CONCAT(#REF!, ":", #REF!)</f>
        <v>#REF!</v>
      </c>
      <c r="C19" s="76" t="e">
        <f aca="false">#REF!</f>
        <v>#REF!</v>
      </c>
      <c r="D19" s="76" t="e">
        <f aca="false">#REF!</f>
        <v>#REF!</v>
      </c>
      <c r="E19" s="76" t="e">
        <f aca="false">#REF!</f>
        <v>#REF!</v>
      </c>
      <c r="F19" s="76" t="e">
        <f aca="false">#REF!</f>
        <v>#REF!</v>
      </c>
    </row>
    <row r="20" customFormat="false" ht="12.8" hidden="false" customHeight="false" outlineLevel="0" collapsed="false">
      <c r="A20" s="50" t="e">
        <f aca="false">_xlfn.CONCAT($A$1, ".", #REF!)</f>
        <v>#REF!</v>
      </c>
      <c r="B20" s="69" t="e">
        <f aca="false">_xlfn.CONCAT(#REF!, ":", #REF!)</f>
        <v>#REF!</v>
      </c>
      <c r="C20" s="76" t="e">
        <f aca="false">#REF!</f>
        <v>#REF!</v>
      </c>
      <c r="D20" s="76" t="e">
        <f aca="false">#REF!</f>
        <v>#REF!</v>
      </c>
      <c r="E20" s="76" t="e">
        <f aca="false">#REF!</f>
        <v>#REF!</v>
      </c>
      <c r="F20" s="76" t="e">
        <f aca="false">#REF!</f>
        <v>#REF!</v>
      </c>
    </row>
    <row r="21" customFormat="false" ht="12.8" hidden="false" customHeight="false" outlineLevel="0" collapsed="false">
      <c r="A21" s="50" t="e">
        <f aca="false">_xlfn.CONCAT($A$1, ".", #REF!)</f>
        <v>#REF!</v>
      </c>
      <c r="B21" s="69" t="e">
        <f aca="false">_xlfn.CONCAT(#REF!, ":", #REF!)</f>
        <v>#REF!</v>
      </c>
      <c r="C21" s="76" t="e">
        <f aca="false">#REF!</f>
        <v>#REF!</v>
      </c>
      <c r="D21" s="76" t="e">
        <f aca="false">#REF!</f>
        <v>#REF!</v>
      </c>
      <c r="E21" s="76" t="e">
        <f aca="false">#REF!</f>
        <v>#REF!</v>
      </c>
      <c r="F21" s="76" t="e">
        <f aca="false">#REF!</f>
        <v>#REF!</v>
      </c>
    </row>
    <row r="22" customFormat="false" ht="12.8" hidden="false" customHeight="false" outlineLevel="0" collapsed="false">
      <c r="A22" s="50" t="e">
        <f aca="false">_xlfn.CONCAT($A$1, ".", #REF!)</f>
        <v>#REF!</v>
      </c>
      <c r="B22" s="69" t="e">
        <f aca="false">_xlfn.CONCAT(#REF!, ":", #REF!)</f>
        <v>#REF!</v>
      </c>
      <c r="C22" s="76" t="e">
        <f aca="false">#REF!</f>
        <v>#REF!</v>
      </c>
      <c r="D22" s="76" t="e">
        <f aca="false">#REF!</f>
        <v>#REF!</v>
      </c>
      <c r="E22" s="76" t="e">
        <f aca="false">#REF!</f>
        <v>#REF!</v>
      </c>
      <c r="F22" s="76" t="e">
        <f aca="false">#REF!</f>
        <v>#REF!</v>
      </c>
    </row>
    <row r="23" customFormat="false" ht="12.8" hidden="false" customHeight="false" outlineLevel="0" collapsed="false">
      <c r="A23" s="50" t="e">
        <f aca="false">_xlfn.CONCAT($A$1, ".", #REF!)</f>
        <v>#REF!</v>
      </c>
      <c r="B23" s="69" t="e">
        <f aca="false">_xlfn.CONCAT(#REF!, ":", #REF!)</f>
        <v>#REF!</v>
      </c>
      <c r="C23" s="76" t="e">
        <f aca="false">#REF!</f>
        <v>#REF!</v>
      </c>
      <c r="D23" s="76" t="e">
        <f aca="false">#REF!</f>
        <v>#REF!</v>
      </c>
      <c r="E23" s="76" t="e">
        <f aca="false">#REF!</f>
        <v>#REF!</v>
      </c>
      <c r="F23" s="76" t="e">
        <f aca="false">#REF!</f>
        <v>#REF!</v>
      </c>
    </row>
    <row r="24" customFormat="false" ht="12.8" hidden="false" customHeight="false" outlineLevel="0" collapsed="false">
      <c r="A24" s="50" t="e">
        <f aca="false">_xlfn.CONCAT($A$1, ".", #REF!)</f>
        <v>#REF!</v>
      </c>
      <c r="B24" s="69" t="e">
        <f aca="false">_xlfn.CONCAT(#REF!, ":", #REF!)</f>
        <v>#REF!</v>
      </c>
      <c r="C24" s="76" t="e">
        <f aca="false">#REF!</f>
        <v>#REF!</v>
      </c>
      <c r="D24" s="76" t="e">
        <f aca="false">#REF!</f>
        <v>#REF!</v>
      </c>
      <c r="E24" s="76" t="e">
        <f aca="false">#REF!</f>
        <v>#REF!</v>
      </c>
      <c r="F24" s="76" t="e">
        <f aca="false">#REF!</f>
        <v>#REF!</v>
      </c>
    </row>
    <row r="25" customFormat="false" ht="12.8" hidden="false" customHeight="false" outlineLevel="0" collapsed="false">
      <c r="A25" s="50" t="e">
        <f aca="false">_xlfn.CONCAT($A$1, ".", #REF!)</f>
        <v>#REF!</v>
      </c>
      <c r="B25" s="69" t="e">
        <f aca="false">_xlfn.CONCAT(#REF!, ":", #REF!)</f>
        <v>#REF!</v>
      </c>
      <c r="C25" s="76" t="e">
        <f aca="false">#REF!</f>
        <v>#REF!</v>
      </c>
      <c r="D25" s="76" t="e">
        <f aca="false">#REF!</f>
        <v>#REF!</v>
      </c>
      <c r="E25" s="76" t="e">
        <f aca="false">#REF!</f>
        <v>#REF!</v>
      </c>
      <c r="F25" s="76" t="e">
        <f aca="false">#REF!</f>
        <v>#REF!</v>
      </c>
    </row>
    <row r="26" customFormat="false" ht="12.8" hidden="false" customHeight="false" outlineLevel="0" collapsed="false">
      <c r="A26" s="50" t="e">
        <f aca="false">_xlfn.CONCAT($A$1, ".", #REF!)</f>
        <v>#REF!</v>
      </c>
      <c r="B26" s="69" t="e">
        <f aca="false">_xlfn.CONCAT(#REF!, ":", #REF!)</f>
        <v>#REF!</v>
      </c>
      <c r="C26" s="76" t="e">
        <f aca="false">#REF!</f>
        <v>#REF!</v>
      </c>
      <c r="D26" s="76" t="e">
        <f aca="false">#REF!</f>
        <v>#REF!</v>
      </c>
      <c r="E26" s="76" t="e">
        <f aca="false">#REF!</f>
        <v>#REF!</v>
      </c>
      <c r="F26" s="76" t="e">
        <f aca="false">#REF!</f>
        <v>#REF!</v>
      </c>
    </row>
    <row r="27" customFormat="false" ht="12.8" hidden="false" customHeight="false" outlineLevel="0" collapsed="false">
      <c r="A27" s="50" t="e">
        <f aca="false">_xlfn.CONCAT($A$1, ".", #REF!)</f>
        <v>#REF!</v>
      </c>
      <c r="B27" s="69" t="e">
        <f aca="false">_xlfn.CONCAT(#REF!, ":", #REF!)</f>
        <v>#REF!</v>
      </c>
      <c r="C27" s="76" t="e">
        <f aca="false">#REF!</f>
        <v>#REF!</v>
      </c>
      <c r="D27" s="76" t="e">
        <f aca="false">#REF!</f>
        <v>#REF!</v>
      </c>
      <c r="E27" s="76" t="e">
        <f aca="false">#REF!</f>
        <v>#REF!</v>
      </c>
      <c r="F27" s="76" t="e">
        <f aca="false">#REF!</f>
        <v>#REF!</v>
      </c>
    </row>
    <row r="28" customFormat="false" ht="12.8" hidden="false" customHeight="false" outlineLevel="0" collapsed="false">
      <c r="A28" s="50" t="e">
        <f aca="false">_xlfn.CONCAT($A$1, ".", #REF!)</f>
        <v>#REF!</v>
      </c>
      <c r="B28" s="69" t="e">
        <f aca="false">_xlfn.CONCAT(#REF!, ":", #REF!)</f>
        <v>#REF!</v>
      </c>
      <c r="C28" s="76" t="e">
        <f aca="false">#REF!</f>
        <v>#REF!</v>
      </c>
      <c r="D28" s="76" t="e">
        <f aca="false">#REF!</f>
        <v>#REF!</v>
      </c>
      <c r="E28" s="76" t="e">
        <f aca="false">#REF!</f>
        <v>#REF!</v>
      </c>
      <c r="F28" s="76" t="e">
        <f aca="false">#REF!</f>
        <v>#REF!</v>
      </c>
    </row>
    <row r="29" customFormat="false" ht="12.8" hidden="false" customHeight="false" outlineLevel="0" collapsed="false">
      <c r="A29" s="50" t="e">
        <f aca="false">_xlfn.CONCAT($A$1, ".", #REF!)</f>
        <v>#REF!</v>
      </c>
      <c r="B29" s="69" t="e">
        <f aca="false">_xlfn.CONCAT(#REF!, ":", #REF!)</f>
        <v>#REF!</v>
      </c>
      <c r="C29" s="76" t="e">
        <f aca="false">#REF!</f>
        <v>#REF!</v>
      </c>
      <c r="D29" s="76" t="e">
        <f aca="false">#REF!</f>
        <v>#REF!</v>
      </c>
      <c r="E29" s="76" t="e">
        <f aca="false">#REF!</f>
        <v>#REF!</v>
      </c>
      <c r="F29" s="76" t="e">
        <f aca="false">#REF!</f>
        <v>#REF!</v>
      </c>
    </row>
    <row r="30" customFormat="false" ht="12.8" hidden="false" customHeight="false" outlineLevel="0" collapsed="false">
      <c r="A30" s="50" t="e">
        <f aca="false">_xlfn.CONCAT($A$1, ".", #REF!)</f>
        <v>#REF!</v>
      </c>
      <c r="B30" s="69" t="e">
        <f aca="false">_xlfn.CONCAT(#REF!, ":", #REF!)</f>
        <v>#REF!</v>
      </c>
      <c r="C30" s="76" t="e">
        <f aca="false">#REF!</f>
        <v>#REF!</v>
      </c>
      <c r="D30" s="76" t="e">
        <f aca="false">#REF!</f>
        <v>#REF!</v>
      </c>
      <c r="E30" s="76" t="e">
        <f aca="false">#REF!</f>
        <v>#REF!</v>
      </c>
      <c r="F30" s="76" t="e">
        <f aca="false">#REF!</f>
        <v>#REF!</v>
      </c>
    </row>
    <row r="31" customFormat="false" ht="12.8" hidden="false" customHeight="false" outlineLevel="0" collapsed="false">
      <c r="A31" s="50" t="e">
        <f aca="false">_xlfn.CONCAT($A$1, ".", #REF!)</f>
        <v>#REF!</v>
      </c>
      <c r="B31" s="69" t="e">
        <f aca="false">_xlfn.CONCAT(#REF!, ":", #REF!)</f>
        <v>#REF!</v>
      </c>
      <c r="C31" s="76" t="e">
        <f aca="false">#REF!</f>
        <v>#REF!</v>
      </c>
      <c r="D31" s="76" t="e">
        <f aca="false">#REF!</f>
        <v>#REF!</v>
      </c>
      <c r="E31" s="76" t="e">
        <f aca="false">#REF!</f>
        <v>#REF!</v>
      </c>
      <c r="F31" s="76" t="e">
        <f aca="false">#REF!</f>
        <v>#REF!</v>
      </c>
    </row>
    <row r="32" customFormat="false" ht="12.8" hidden="false" customHeight="false" outlineLevel="0" collapsed="false">
      <c r="A32" s="50" t="e">
        <f aca="false">_xlfn.CONCAT($A$1, ".", #REF!)</f>
        <v>#REF!</v>
      </c>
      <c r="B32" s="69" t="e">
        <f aca="false">_xlfn.CONCAT(#REF!, ":", #REF!)</f>
        <v>#REF!</v>
      </c>
      <c r="C32" s="76" t="e">
        <f aca="false">#REF!</f>
        <v>#REF!</v>
      </c>
      <c r="D32" s="76" t="e">
        <f aca="false">#REF!</f>
        <v>#REF!</v>
      </c>
      <c r="E32" s="76" t="e">
        <f aca="false">#REF!</f>
        <v>#REF!</v>
      </c>
      <c r="F32" s="76" t="e">
        <f aca="false">#REF!</f>
        <v>#REF!</v>
      </c>
    </row>
    <row r="33" customFormat="false" ht="12.8" hidden="false" customHeight="false" outlineLevel="0" collapsed="false">
      <c r="A33" s="50" t="e">
        <f aca="false">_xlfn.CONCAT($A$1, ".", #REF!)</f>
        <v>#REF!</v>
      </c>
      <c r="B33" s="69" t="e">
        <f aca="false">_xlfn.CONCAT(#REF!, ":", #REF!)</f>
        <v>#REF!</v>
      </c>
      <c r="C33" s="76" t="e">
        <f aca="false">#REF!</f>
        <v>#REF!</v>
      </c>
      <c r="D33" s="76" t="e">
        <f aca="false">#REF!</f>
        <v>#REF!</v>
      </c>
      <c r="E33" s="76" t="e">
        <f aca="false">#REF!</f>
        <v>#REF!</v>
      </c>
      <c r="F33" s="76" t="e">
        <f aca="false">#REF!</f>
        <v>#REF!</v>
      </c>
    </row>
    <row r="34" customFormat="false" ht="12.8" hidden="false" customHeight="false" outlineLevel="0" collapsed="false">
      <c r="A34" s="50" t="e">
        <f aca="false">_xlfn.CONCAT($A$1, ".", #REF!)</f>
        <v>#REF!</v>
      </c>
      <c r="B34" s="69" t="e">
        <f aca="false">_xlfn.CONCAT(#REF!, ":", #REF!)</f>
        <v>#REF!</v>
      </c>
      <c r="C34" s="76" t="e">
        <f aca="false">#REF!</f>
        <v>#REF!</v>
      </c>
      <c r="D34" s="76" t="e">
        <f aca="false">#REF!</f>
        <v>#REF!</v>
      </c>
      <c r="E34" s="76" t="e">
        <f aca="false">#REF!</f>
        <v>#REF!</v>
      </c>
      <c r="F34" s="76" t="e">
        <f aca="false">#REF!</f>
        <v>#REF!</v>
      </c>
    </row>
    <row r="35" customFormat="false" ht="12.8" hidden="false" customHeight="false" outlineLevel="0" collapsed="false">
      <c r="A35" s="50" t="e">
        <f aca="false">_xlfn.CONCAT($A$1, ".", #REF!)</f>
        <v>#REF!</v>
      </c>
      <c r="B35" s="69" t="e">
        <f aca="false">_xlfn.CONCAT(#REF!, ":", #REF!)</f>
        <v>#REF!</v>
      </c>
      <c r="C35" s="76" t="e">
        <f aca="false">#REF!</f>
        <v>#REF!</v>
      </c>
      <c r="D35" s="76" t="e">
        <f aca="false">#REF!</f>
        <v>#REF!</v>
      </c>
      <c r="E35" s="76" t="e">
        <f aca="false">#REF!</f>
        <v>#REF!</v>
      </c>
      <c r="F35" s="76" t="e">
        <f aca="false">#REF!</f>
        <v>#REF!</v>
      </c>
    </row>
    <row r="36" customFormat="false" ht="12.8" hidden="false" customHeight="false" outlineLevel="0" collapsed="false">
      <c r="A36" s="50" t="e">
        <f aca="false">_xlfn.CONCAT($A$1, ".", #REF!)</f>
        <v>#REF!</v>
      </c>
      <c r="B36" s="69" t="e">
        <f aca="false">_xlfn.CONCAT(#REF!, ":", #REF!)</f>
        <v>#REF!</v>
      </c>
      <c r="C36" s="76" t="e">
        <f aca="false">#REF!</f>
        <v>#REF!</v>
      </c>
      <c r="D36" s="76" t="e">
        <f aca="false">#REF!</f>
        <v>#REF!</v>
      </c>
      <c r="E36" s="76" t="e">
        <f aca="false">#REF!</f>
        <v>#REF!</v>
      </c>
      <c r="F36" s="76" t="e">
        <f aca="false">#REF!</f>
        <v>#REF!</v>
      </c>
    </row>
    <row r="37" customFormat="false" ht="12.8" hidden="false" customHeight="false" outlineLevel="0" collapsed="false">
      <c r="A37" s="50" t="e">
        <f aca="false">_xlfn.CONCAT($A$1, ".", #REF!)</f>
        <v>#REF!</v>
      </c>
      <c r="B37" s="69" t="e">
        <f aca="false">_xlfn.CONCAT(#REF!, ":", #REF!)</f>
        <v>#REF!</v>
      </c>
      <c r="C37" s="76" t="e">
        <f aca="false">#REF!</f>
        <v>#REF!</v>
      </c>
      <c r="D37" s="76" t="e">
        <f aca="false">#REF!</f>
        <v>#REF!</v>
      </c>
      <c r="E37" s="76" t="e">
        <f aca="false">#REF!</f>
        <v>#REF!</v>
      </c>
      <c r="F37" s="76" t="e">
        <f aca="false">#REF!</f>
        <v>#REF!</v>
      </c>
    </row>
    <row r="38" customFormat="false" ht="12.8" hidden="false" customHeight="false" outlineLevel="0" collapsed="false">
      <c r="A38" s="50" t="e">
        <f aca="false">_xlfn.CONCAT($A$1, ".", #REF!)</f>
        <v>#REF!</v>
      </c>
      <c r="B38" s="69" t="e">
        <f aca="false">_xlfn.CONCAT(#REF!, ":", #REF!)</f>
        <v>#REF!</v>
      </c>
      <c r="C38" s="76" t="e">
        <f aca="false">#REF!</f>
        <v>#REF!</v>
      </c>
      <c r="D38" s="76" t="e">
        <f aca="false">#REF!</f>
        <v>#REF!</v>
      </c>
      <c r="E38" s="76" t="e">
        <f aca="false">#REF!</f>
        <v>#REF!</v>
      </c>
      <c r="F38" s="76" t="e">
        <f aca="false">#REF!</f>
        <v>#REF!</v>
      </c>
    </row>
    <row r="39" customFormat="false" ht="12.8" hidden="false" customHeight="false" outlineLevel="0" collapsed="false">
      <c r="A39" s="50" t="e">
        <f aca="false">_xlfn.CONCAT($A$1, ".", #REF!)</f>
        <v>#REF!</v>
      </c>
      <c r="B39" s="69" t="e">
        <f aca="false">_xlfn.CONCAT(#REF!, ":", #REF!)</f>
        <v>#REF!</v>
      </c>
      <c r="C39" s="76" t="e">
        <f aca="false">#REF!</f>
        <v>#REF!</v>
      </c>
      <c r="D39" s="76" t="e">
        <f aca="false">#REF!</f>
        <v>#REF!</v>
      </c>
      <c r="E39" s="76" t="e">
        <f aca="false">#REF!</f>
        <v>#REF!</v>
      </c>
      <c r="F39" s="76" t="e">
        <f aca="false">#REF!</f>
        <v>#REF!</v>
      </c>
    </row>
    <row r="40" customFormat="false" ht="12.8" hidden="false" customHeight="false" outlineLevel="0" collapsed="false">
      <c r="A40" s="50" t="e">
        <f aca="false">_xlfn.CONCAT($A$1, ".", #REF!)</f>
        <v>#REF!</v>
      </c>
      <c r="B40" s="69" t="e">
        <f aca="false">_xlfn.CONCAT(#REF!, ":", #REF!)</f>
        <v>#REF!</v>
      </c>
      <c r="C40" s="76" t="e">
        <f aca="false">#REF!</f>
        <v>#REF!</v>
      </c>
      <c r="D40" s="76" t="e">
        <f aca="false">#REF!</f>
        <v>#REF!</v>
      </c>
      <c r="E40" s="76" t="e">
        <f aca="false">#REF!</f>
        <v>#REF!</v>
      </c>
      <c r="F40" s="76" t="e">
        <f aca="false">#REF!</f>
        <v>#REF!</v>
      </c>
    </row>
    <row r="41" customFormat="false" ht="12.8" hidden="false" customHeight="false" outlineLevel="0" collapsed="false">
      <c r="A41" s="50" t="e">
        <f aca="false">_xlfn.CONCAT($A$1, ".", #REF!)</f>
        <v>#REF!</v>
      </c>
      <c r="B41" s="69" t="e">
        <f aca="false">_xlfn.CONCAT(#REF!, ":", #REF!)</f>
        <v>#REF!</v>
      </c>
      <c r="C41" s="76" t="e">
        <f aca="false">#REF!</f>
        <v>#REF!</v>
      </c>
      <c r="D41" s="76" t="e">
        <f aca="false">#REF!</f>
        <v>#REF!</v>
      </c>
      <c r="E41" s="76" t="e">
        <f aca="false">#REF!</f>
        <v>#REF!</v>
      </c>
      <c r="F41" s="76" t="e">
        <f aca="false">#REF!</f>
        <v>#REF!</v>
      </c>
    </row>
    <row r="42" customFormat="false" ht="12.8" hidden="false" customHeight="false" outlineLevel="0" collapsed="false">
      <c r="A42" s="50" t="e">
        <f aca="false">_xlfn.CONCAT($A$1, ".", #REF!)</f>
        <v>#REF!</v>
      </c>
      <c r="B42" s="69" t="e">
        <f aca="false">_xlfn.CONCAT(#REF!, ":", #REF!)</f>
        <v>#REF!</v>
      </c>
      <c r="C42" s="76" t="e">
        <f aca="false">#REF!</f>
        <v>#REF!</v>
      </c>
      <c r="D42" s="76" t="e">
        <f aca="false">#REF!</f>
        <v>#REF!</v>
      </c>
      <c r="E42" s="76" t="e">
        <f aca="false">#REF!</f>
        <v>#REF!</v>
      </c>
      <c r="F42" s="76" t="e">
        <f aca="false">#REF!</f>
        <v>#REF!</v>
      </c>
    </row>
    <row r="43" customFormat="false" ht="12.8" hidden="false" customHeight="false" outlineLevel="0" collapsed="false">
      <c r="A43" s="50" t="e">
        <f aca="false">_xlfn.CONCAT($A$1, ".", #REF!)</f>
        <v>#REF!</v>
      </c>
      <c r="B43" s="69" t="e">
        <f aca="false">_xlfn.CONCAT(#REF!, ":", #REF!)</f>
        <v>#REF!</v>
      </c>
      <c r="C43" s="76" t="e">
        <f aca="false">#REF!</f>
        <v>#REF!</v>
      </c>
      <c r="D43" s="76" t="e">
        <f aca="false">#REF!</f>
        <v>#REF!</v>
      </c>
      <c r="E43" s="76" t="e">
        <f aca="false">#REF!</f>
        <v>#REF!</v>
      </c>
      <c r="F43" s="76" t="e">
        <f aca="false">#REF!</f>
        <v>#REF!</v>
      </c>
    </row>
    <row r="44" customFormat="false" ht="12.8" hidden="false" customHeight="false" outlineLevel="0" collapsed="false">
      <c r="A44" s="50" t="e">
        <f aca="false">_xlfn.CONCAT($A$1, ".", #REF!)</f>
        <v>#REF!</v>
      </c>
      <c r="B44" s="69" t="e">
        <f aca="false">_xlfn.CONCAT(#REF!, ":", #REF!)</f>
        <v>#REF!</v>
      </c>
      <c r="C44" s="76" t="e">
        <f aca="false">#REF!</f>
        <v>#REF!</v>
      </c>
      <c r="D44" s="76" t="e">
        <f aca="false">#REF!</f>
        <v>#REF!</v>
      </c>
      <c r="E44" s="76" t="e">
        <f aca="false">#REF!</f>
        <v>#REF!</v>
      </c>
      <c r="F44" s="76" t="e">
        <f aca="false">#REF!</f>
        <v>#REF!</v>
      </c>
    </row>
    <row r="45" customFormat="false" ht="12.8" hidden="false" customHeight="false" outlineLevel="0" collapsed="false">
      <c r="A45" s="50" t="e">
        <f aca="false">_xlfn.CONCAT($A$1, ".", #REF!)</f>
        <v>#REF!</v>
      </c>
      <c r="B45" s="69" t="e">
        <f aca="false">_xlfn.CONCAT(#REF!, ":", #REF!)</f>
        <v>#REF!</v>
      </c>
      <c r="C45" s="76" t="e">
        <f aca="false">#REF!</f>
        <v>#REF!</v>
      </c>
      <c r="D45" s="76" t="e">
        <f aca="false">#REF!</f>
        <v>#REF!</v>
      </c>
      <c r="E45" s="76" t="e">
        <f aca="false">#REF!</f>
        <v>#REF!</v>
      </c>
      <c r="F45" s="76" t="e">
        <f aca="false">#REF!</f>
        <v>#REF!</v>
      </c>
    </row>
    <row r="46" customFormat="false" ht="12.8" hidden="false" customHeight="false" outlineLevel="0" collapsed="false">
      <c r="A46" s="50" t="e">
        <f aca="false">_xlfn.CONCAT($A$1, ".", #REF!)</f>
        <v>#REF!</v>
      </c>
      <c r="B46" s="69" t="e">
        <f aca="false">_xlfn.CONCAT(#REF!, ":", #REF!)</f>
        <v>#REF!</v>
      </c>
      <c r="C46" s="76" t="e">
        <f aca="false">#REF!</f>
        <v>#REF!</v>
      </c>
      <c r="D46" s="76" t="e">
        <f aca="false">#REF!</f>
        <v>#REF!</v>
      </c>
      <c r="E46" s="76" t="e">
        <f aca="false">#REF!</f>
        <v>#REF!</v>
      </c>
      <c r="F46" s="76" t="e">
        <f aca="false">#REF!</f>
        <v>#REF!</v>
      </c>
    </row>
    <row r="47" customFormat="false" ht="12.8" hidden="false" customHeight="false" outlineLevel="0" collapsed="false">
      <c r="A47" s="50" t="e">
        <f aca="false">_xlfn.CONCAT($A$1, ".", #REF!)</f>
        <v>#REF!</v>
      </c>
      <c r="B47" s="69" t="e">
        <f aca="false">_xlfn.CONCAT(#REF!, ":", #REF!)</f>
        <v>#REF!</v>
      </c>
      <c r="C47" s="76" t="e">
        <f aca="false">#REF!</f>
        <v>#REF!</v>
      </c>
      <c r="D47" s="76" t="e">
        <f aca="false">#REF!</f>
        <v>#REF!</v>
      </c>
      <c r="E47" s="76" t="e">
        <f aca="false">#REF!</f>
        <v>#REF!</v>
      </c>
      <c r="F47" s="76" t="e">
        <f aca="false">#REF!</f>
        <v>#REF!</v>
      </c>
    </row>
    <row r="48" customFormat="false" ht="12.8" hidden="false" customHeight="false" outlineLevel="0" collapsed="false">
      <c r="A48" s="50" t="e">
        <f aca="false">_xlfn.CONCAT($A$1, ".", #REF!)</f>
        <v>#REF!</v>
      </c>
      <c r="B48" s="69" t="e">
        <f aca="false">_xlfn.CONCAT(#REF!, ":", #REF!)</f>
        <v>#REF!</v>
      </c>
      <c r="C48" s="76" t="e">
        <f aca="false">#REF!</f>
        <v>#REF!</v>
      </c>
      <c r="D48" s="76" t="e">
        <f aca="false">#REF!</f>
        <v>#REF!</v>
      </c>
      <c r="E48" s="76" t="e">
        <f aca="false">#REF!</f>
        <v>#REF!</v>
      </c>
      <c r="F48" s="76" t="e">
        <f aca="false">#REF!</f>
        <v>#REF!</v>
      </c>
    </row>
    <row r="49" customFormat="false" ht="12.8" hidden="false" customHeight="false" outlineLevel="0" collapsed="false">
      <c r="A49" s="50" t="e">
        <f aca="false">_xlfn.CONCAT($A$1, ".", #REF!)</f>
        <v>#REF!</v>
      </c>
      <c r="B49" s="69" t="e">
        <f aca="false">_xlfn.CONCAT(#REF!, ":", #REF!)</f>
        <v>#REF!</v>
      </c>
      <c r="C49" s="76" t="e">
        <f aca="false">#REF!</f>
        <v>#REF!</v>
      </c>
      <c r="D49" s="76" t="e">
        <f aca="false">#REF!</f>
        <v>#REF!</v>
      </c>
      <c r="E49" s="76" t="e">
        <f aca="false">#REF!</f>
        <v>#REF!</v>
      </c>
      <c r="F49" s="76" t="e">
        <f aca="false">#REF!</f>
        <v>#REF!</v>
      </c>
    </row>
    <row r="50" customFormat="false" ht="12.8" hidden="false" customHeight="false" outlineLevel="0" collapsed="false">
      <c r="A50" s="50" t="e">
        <f aca="false">_xlfn.CONCAT($A$1, ".", #REF!)</f>
        <v>#REF!</v>
      </c>
      <c r="B50" s="69" t="e">
        <f aca="false">_xlfn.CONCAT(#REF!, ":", #REF!)</f>
        <v>#REF!</v>
      </c>
      <c r="C50" s="76" t="e">
        <f aca="false">#REF!</f>
        <v>#REF!</v>
      </c>
      <c r="D50" s="76" t="e">
        <f aca="false">#REF!</f>
        <v>#REF!</v>
      </c>
      <c r="E50" s="76" t="e">
        <f aca="false">#REF!</f>
        <v>#REF!</v>
      </c>
      <c r="F50" s="76" t="e">
        <f aca="false">#REF!</f>
        <v>#REF!</v>
      </c>
    </row>
    <row r="51" customFormat="false" ht="12.8" hidden="false" customHeight="false" outlineLevel="0" collapsed="false">
      <c r="A51" s="50" t="e">
        <f aca="false">_xlfn.CONCAT($A$1, ".", #REF!)</f>
        <v>#REF!</v>
      </c>
      <c r="B51" s="69" t="e">
        <f aca="false">_xlfn.CONCAT(#REF!, ":", #REF!)</f>
        <v>#REF!</v>
      </c>
      <c r="C51" s="76" t="e">
        <f aca="false">#REF!</f>
        <v>#REF!</v>
      </c>
      <c r="D51" s="76" t="e">
        <f aca="false">#REF!</f>
        <v>#REF!</v>
      </c>
      <c r="E51" s="76" t="e">
        <f aca="false">#REF!</f>
        <v>#REF!</v>
      </c>
      <c r="F51" s="76" t="e">
        <f aca="false">#REF!</f>
        <v>#REF!</v>
      </c>
    </row>
    <row r="52" customFormat="false" ht="12.8" hidden="false" customHeight="false" outlineLevel="0" collapsed="false">
      <c r="A52" s="50" t="e">
        <f aca="false">_xlfn.CONCAT($A$1, ".", #REF!)</f>
        <v>#REF!</v>
      </c>
      <c r="B52" s="69" t="e">
        <f aca="false">_xlfn.CONCAT(#REF!, ":", #REF!)</f>
        <v>#REF!</v>
      </c>
      <c r="C52" s="76" t="e">
        <f aca="false">#REF!</f>
        <v>#REF!</v>
      </c>
      <c r="D52" s="76" t="e">
        <f aca="false">#REF!</f>
        <v>#REF!</v>
      </c>
      <c r="E52" s="76" t="e">
        <f aca="false">#REF!</f>
        <v>#REF!</v>
      </c>
      <c r="F52" s="76" t="e">
        <f aca="false">#REF!</f>
        <v>#REF!</v>
      </c>
    </row>
    <row r="53" customFormat="false" ht="12.8" hidden="false" customHeight="false" outlineLevel="0" collapsed="false">
      <c r="A53" s="50" t="e">
        <f aca="false">_xlfn.CONCAT($A$1, ".", #REF!)</f>
        <v>#REF!</v>
      </c>
      <c r="B53" s="69" t="e">
        <f aca="false">_xlfn.CONCAT(#REF!, ":", #REF!)</f>
        <v>#REF!</v>
      </c>
      <c r="C53" s="76" t="e">
        <f aca="false">#REF!</f>
        <v>#REF!</v>
      </c>
      <c r="D53" s="76" t="e">
        <f aca="false">#REF!</f>
        <v>#REF!</v>
      </c>
      <c r="E53" s="76" t="e">
        <f aca="false">#REF!</f>
        <v>#REF!</v>
      </c>
      <c r="F53" s="76" t="e">
        <f aca="false">#REF!</f>
        <v>#REF!</v>
      </c>
    </row>
    <row r="54" customFormat="false" ht="12.8" hidden="false" customHeight="false" outlineLevel="0" collapsed="false">
      <c r="A54" s="50" t="e">
        <f aca="false">_xlfn.CONCAT($A$1, ".", #REF!)</f>
        <v>#REF!</v>
      </c>
      <c r="B54" s="69" t="e">
        <f aca="false">_xlfn.CONCAT(#REF!, ":", #REF!)</f>
        <v>#REF!</v>
      </c>
      <c r="C54" s="76" t="e">
        <f aca="false">#REF!</f>
        <v>#REF!</v>
      </c>
      <c r="D54" s="76" t="e">
        <f aca="false">#REF!</f>
        <v>#REF!</v>
      </c>
      <c r="E54" s="76" t="e">
        <f aca="false">#REF!</f>
        <v>#REF!</v>
      </c>
      <c r="F54" s="76" t="e">
        <f aca="false">#REF!</f>
        <v>#REF!</v>
      </c>
    </row>
    <row r="55" customFormat="false" ht="12.8" hidden="false" customHeight="false" outlineLevel="0" collapsed="false">
      <c r="A55" s="50" t="e">
        <f aca="false">_xlfn.CONCAT($A$1, ".", #REF!)</f>
        <v>#REF!</v>
      </c>
      <c r="B55" s="69" t="e">
        <f aca="false">_xlfn.CONCAT(#REF!, ":", #REF!)</f>
        <v>#REF!</v>
      </c>
      <c r="C55" s="76" t="e">
        <f aca="false">#REF!</f>
        <v>#REF!</v>
      </c>
      <c r="D55" s="76" t="e">
        <f aca="false">#REF!</f>
        <v>#REF!</v>
      </c>
      <c r="E55" s="76" t="e">
        <f aca="false">#REF!</f>
        <v>#REF!</v>
      </c>
      <c r="F55" s="76"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5429"/>
    <pageSetUpPr fitToPage="false"/>
  </sheetPr>
  <dimension ref="A1:BP247"/>
  <sheetViews>
    <sheetView showFormulas="false" showGridLines="true" showRowColHeaders="true" showZeros="true" rightToLeft="false" tabSelected="false" showOutlineSymbols="true" defaultGridColor="true" view="normal" topLeftCell="A109" colorId="64" zoomScale="65" zoomScaleNormal="65" zoomScalePageLayoutView="100" workbookViewId="0">
      <selection pane="topLeft" activeCell="A152" activeCellId="0" sqref="A152"/>
    </sheetView>
  </sheetViews>
  <sheetFormatPr defaultColWidth="11.53515625" defaultRowHeight="12.8" customHeight="false" zeroHeight="false" outlineLevelRow="1" outlineLevelCol="0"/>
  <cols>
    <col collapsed="false" customWidth="false" hidden="false" outlineLevel="0" max="1" min="1" style="50" width="11.53"/>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2981</v>
      </c>
      <c r="B1" s="68" t="s">
        <v>2982</v>
      </c>
      <c r="C1" s="6" t="s">
        <v>2</v>
      </c>
      <c r="D1" s="67" t="s">
        <v>2983</v>
      </c>
      <c r="AZ1" s="39"/>
      <c r="BP1" s="39"/>
    </row>
    <row r="2" customFormat="false" ht="12.8" hidden="false" customHeight="false" outlineLevel="0" collapsed="false">
      <c r="A2" s="83" t="s">
        <v>2979</v>
      </c>
      <c r="B2" s="68" t="s">
        <v>2980</v>
      </c>
      <c r="C2" s="84" t="e">
        <f aca="false">#REF!</f>
        <v>#REF!</v>
      </c>
      <c r="D2" s="84" t="e">
        <f aca="false">#REF!</f>
        <v>#REF!</v>
      </c>
      <c r="E2" s="84" t="e">
        <f aca="false">#REF!</f>
        <v>#REF!</v>
      </c>
      <c r="F2" s="84" t="e">
        <f aca="false">#REF!</f>
        <v>#REF!</v>
      </c>
    </row>
    <row r="3" customFormat="false" ht="12.8" hidden="false" customHeight="false" outlineLevel="0" collapsed="false">
      <c r="A3" s="4" t="e">
        <f aca="false">_xlfn.CONCAT($A$1, ".", #REF!)</f>
        <v>#REF!</v>
      </c>
      <c r="B3" s="49" t="e">
        <f aca="false">_xlfn.CONCAT(#REF!, ":", #REF!)</f>
        <v>#REF!</v>
      </c>
      <c r="C3" s="84" t="e">
        <f aca="false">#REF!</f>
        <v>#REF!</v>
      </c>
      <c r="D3" s="84" t="e">
        <f aca="false">#REF!</f>
        <v>#REF!</v>
      </c>
      <c r="E3" s="84" t="e">
        <f aca="false">#REF!</f>
        <v>#REF!</v>
      </c>
      <c r="F3" s="84" t="e">
        <f aca="false">#REF!</f>
        <v>#REF!</v>
      </c>
    </row>
    <row r="4" customFormat="false" ht="12.8" hidden="false" customHeight="false" outlineLevel="0" collapsed="false">
      <c r="A4" s="50" t="e">
        <f aca="false">_xlfn.CONCAT($A$1, ".", #REF!)</f>
        <v>#REF!</v>
      </c>
      <c r="B4" s="74" t="e">
        <f aca="false">_xlfn.CONCAT(#REF!, ":", #REF!)</f>
        <v>#REF!</v>
      </c>
      <c r="C4" s="85" t="e">
        <f aca="false">#REF!</f>
        <v>#REF!</v>
      </c>
      <c r="D4" s="85" t="e">
        <f aca="false">#REF!</f>
        <v>#REF!</v>
      </c>
      <c r="E4" s="85" t="e">
        <f aca="false">#REF!</f>
        <v>#REF!</v>
      </c>
      <c r="F4" s="85" t="e">
        <f aca="false">#REF!</f>
        <v>#REF!</v>
      </c>
    </row>
    <row r="5" customFormat="false" ht="12.8" hidden="false" customHeight="false" outlineLevel="0" collapsed="false">
      <c r="A5" s="50" t="e">
        <f aca="false">_xlfn.CONCAT($A$1, ".", #REF!)</f>
        <v>#REF!</v>
      </c>
      <c r="B5" s="74" t="e">
        <f aca="false">_xlfn.CONCAT(#REF!, ":", #REF!)</f>
        <v>#REF!</v>
      </c>
      <c r="C5" s="85" t="e">
        <f aca="false">#REF!</f>
        <v>#REF!</v>
      </c>
      <c r="D5" s="85" t="e">
        <f aca="false">#REF!</f>
        <v>#REF!</v>
      </c>
      <c r="E5" s="85" t="e">
        <f aca="false">#REF!</f>
        <v>#REF!</v>
      </c>
      <c r="F5" s="85" t="e">
        <f aca="false">#REF!</f>
        <v>#REF!</v>
      </c>
    </row>
    <row r="6" customFormat="false" ht="12.8" hidden="false" customHeight="false" outlineLevel="0" collapsed="false">
      <c r="A6" s="50" t="e">
        <f aca="false">_xlfn.CONCAT($A$1, ".", #REF!)</f>
        <v>#REF!</v>
      </c>
      <c r="B6" s="74" t="e">
        <f aca="false">_xlfn.CONCAT(#REF!, ":", #REF!)</f>
        <v>#REF!</v>
      </c>
      <c r="C6" s="85" t="e">
        <f aca="false">#REF!</f>
        <v>#REF!</v>
      </c>
      <c r="D6" s="85" t="e">
        <f aca="false">#REF!</f>
        <v>#REF!</v>
      </c>
      <c r="E6" s="85" t="e">
        <f aca="false">#REF!</f>
        <v>#REF!</v>
      </c>
      <c r="F6" s="85" t="e">
        <f aca="false">#REF!</f>
        <v>#REF!</v>
      </c>
    </row>
    <row r="7" customFormat="false" ht="12.8" hidden="false" customHeight="false" outlineLevel="0" collapsed="false">
      <c r="A7" s="50" t="e">
        <f aca="false">_xlfn.CONCAT($A$1, ".", #REF!)</f>
        <v>#REF!</v>
      </c>
      <c r="B7" s="74" t="e">
        <f aca="false">_xlfn.CONCAT(#REF!, ":", #REF!)</f>
        <v>#REF!</v>
      </c>
      <c r="C7" s="85" t="e">
        <f aca="false">#REF!</f>
        <v>#REF!</v>
      </c>
      <c r="D7" s="85" t="e">
        <f aca="false">#REF!</f>
        <v>#REF!</v>
      </c>
      <c r="E7" s="85" t="e">
        <f aca="false">#REF!</f>
        <v>#REF!</v>
      </c>
      <c r="F7" s="85" t="e">
        <f aca="false">#REF!</f>
        <v>#REF!</v>
      </c>
    </row>
    <row r="8" customFormat="false" ht="12.8" hidden="false" customHeight="false" outlineLevel="0" collapsed="false">
      <c r="A8" s="50" t="e">
        <f aca="false">_xlfn.CONCAT($A$1, ".", #REF!)</f>
        <v>#REF!</v>
      </c>
      <c r="B8" s="74" t="e">
        <f aca="false">_xlfn.CONCAT(#REF!, ":", #REF!)</f>
        <v>#REF!</v>
      </c>
      <c r="C8" s="85" t="e">
        <f aca="false">#REF!</f>
        <v>#REF!</v>
      </c>
      <c r="D8" s="85" t="e">
        <f aca="false">#REF!</f>
        <v>#REF!</v>
      </c>
      <c r="E8" s="85" t="e">
        <f aca="false">#REF!</f>
        <v>#REF!</v>
      </c>
      <c r="F8" s="85" t="e">
        <f aca="false">#REF!</f>
        <v>#REF!</v>
      </c>
    </row>
    <row r="9" customFormat="false" ht="12.8" hidden="false" customHeight="false" outlineLevel="0" collapsed="false">
      <c r="A9" s="50" t="e">
        <f aca="false">_xlfn.CONCAT($A$1, ".", #REF!)</f>
        <v>#REF!</v>
      </c>
      <c r="B9" s="74" t="e">
        <f aca="false">_xlfn.CONCAT(#REF!, ":", #REF!)</f>
        <v>#REF!</v>
      </c>
      <c r="C9" s="85" t="e">
        <f aca="false">#REF!</f>
        <v>#REF!</v>
      </c>
      <c r="D9" s="85" t="e">
        <f aca="false">#REF!</f>
        <v>#REF!</v>
      </c>
      <c r="E9" s="85" t="e">
        <f aca="false">#REF!</f>
        <v>#REF!</v>
      </c>
      <c r="F9" s="85" t="e">
        <f aca="false">#REF!</f>
        <v>#REF!</v>
      </c>
    </row>
    <row r="10" customFormat="false" ht="12.8" hidden="false" customHeight="false" outlineLevel="0" collapsed="false">
      <c r="A10" s="50" t="e">
        <f aca="false">_xlfn.CONCAT($A$1, ".", #REF!)</f>
        <v>#REF!</v>
      </c>
      <c r="B10" s="74" t="e">
        <f aca="false">_xlfn.CONCAT(#REF!, ":", #REF!)</f>
        <v>#REF!</v>
      </c>
      <c r="C10" s="85" t="e">
        <f aca="false">#REF!</f>
        <v>#REF!</v>
      </c>
      <c r="D10" s="85" t="e">
        <f aca="false">#REF!</f>
        <v>#REF!</v>
      </c>
      <c r="E10" s="85" t="e">
        <f aca="false">#REF!</f>
        <v>#REF!</v>
      </c>
      <c r="F10" s="85" t="e">
        <f aca="false">#REF!</f>
        <v>#REF!</v>
      </c>
    </row>
    <row r="11" customFormat="false" ht="12.8" hidden="false" customHeight="false" outlineLevel="0" collapsed="false">
      <c r="A11" s="50" t="e">
        <f aca="false">_xlfn.CONCAT($A$1, ".", #REF!)</f>
        <v>#REF!</v>
      </c>
      <c r="B11" s="74" t="e">
        <f aca="false">_xlfn.CONCAT(#REF!, ":", #REF!)</f>
        <v>#REF!</v>
      </c>
      <c r="C11" s="85" t="e">
        <f aca="false">#REF!</f>
        <v>#REF!</v>
      </c>
      <c r="D11" s="85" t="e">
        <f aca="false">#REF!</f>
        <v>#REF!</v>
      </c>
      <c r="E11" s="85" t="e">
        <f aca="false">#REF!</f>
        <v>#REF!</v>
      </c>
      <c r="F11" s="85" t="e">
        <f aca="false">#REF!</f>
        <v>#REF!</v>
      </c>
    </row>
    <row r="12" customFormat="false" ht="12.8" hidden="false" customHeight="false" outlineLevel="0" collapsed="false">
      <c r="A12" s="50" t="e">
        <f aca="false">_xlfn.CONCAT($A$1, ".", #REF!)</f>
        <v>#REF!</v>
      </c>
      <c r="B12" s="74" t="e">
        <f aca="false">_xlfn.CONCAT(#REF!, ":", #REF!)</f>
        <v>#REF!</v>
      </c>
      <c r="C12" s="85" t="e">
        <f aca="false">#REF!</f>
        <v>#REF!</v>
      </c>
      <c r="D12" s="85" t="e">
        <f aca="false">#REF!</f>
        <v>#REF!</v>
      </c>
      <c r="E12" s="85" t="e">
        <f aca="false">#REF!</f>
        <v>#REF!</v>
      </c>
      <c r="F12" s="85" t="e">
        <f aca="false">#REF!</f>
        <v>#REF!</v>
      </c>
    </row>
    <row r="13" customFormat="false" ht="12.8" hidden="false" customHeight="false" outlineLevel="0" collapsed="false">
      <c r="A13" s="50" t="e">
        <f aca="false">_xlfn.CONCAT($A$1, ".", #REF!)</f>
        <v>#REF!</v>
      </c>
      <c r="B13" s="74" t="e">
        <f aca="false">_xlfn.CONCAT(#REF!, ":", #REF!)</f>
        <v>#REF!</v>
      </c>
      <c r="C13" s="85" t="e">
        <f aca="false">#REF!</f>
        <v>#REF!</v>
      </c>
      <c r="D13" s="85" t="e">
        <f aca="false">#REF!</f>
        <v>#REF!</v>
      </c>
      <c r="E13" s="85" t="e">
        <f aca="false">#REF!</f>
        <v>#REF!</v>
      </c>
      <c r="F13" s="85" t="e">
        <f aca="false">#REF!</f>
        <v>#REF!</v>
      </c>
    </row>
    <row r="14" customFormat="false" ht="12.8" hidden="false" customHeight="false" outlineLevel="0" collapsed="false">
      <c r="A14" s="50" t="e">
        <f aca="false">_xlfn.CONCAT($A$1, ".", #REF!)</f>
        <v>#REF!</v>
      </c>
      <c r="B14" s="74" t="e">
        <f aca="false">_xlfn.CONCAT(#REF!, ":", #REF!)</f>
        <v>#REF!</v>
      </c>
      <c r="C14" s="85" t="e">
        <f aca="false">#REF!</f>
        <v>#REF!</v>
      </c>
      <c r="D14" s="85" t="e">
        <f aca="false">#REF!</f>
        <v>#REF!</v>
      </c>
      <c r="E14" s="85" t="e">
        <f aca="false">#REF!</f>
        <v>#REF!</v>
      </c>
      <c r="F14" s="85" t="e">
        <f aca="false">#REF!</f>
        <v>#REF!</v>
      </c>
    </row>
    <row r="15" customFormat="false" ht="12.8" hidden="false" customHeight="false" outlineLevel="0" collapsed="false">
      <c r="A15" s="50" t="e">
        <f aca="false">_xlfn.CONCAT($A$1, ".", #REF!)</f>
        <v>#REF!</v>
      </c>
      <c r="B15" s="74" t="e">
        <f aca="false">_xlfn.CONCAT(#REF!, ":", #REF!)</f>
        <v>#REF!</v>
      </c>
      <c r="C15" s="85" t="e">
        <f aca="false">#REF!</f>
        <v>#REF!</v>
      </c>
      <c r="D15" s="85" t="e">
        <f aca="false">#REF!</f>
        <v>#REF!</v>
      </c>
      <c r="E15" s="85" t="e">
        <f aca="false">#REF!</f>
        <v>#REF!</v>
      </c>
      <c r="F15" s="85" t="e">
        <f aca="false">#REF!</f>
        <v>#REF!</v>
      </c>
    </row>
    <row r="16" customFormat="false" ht="12.8" hidden="false" customHeight="false" outlineLevel="0" collapsed="false">
      <c r="A16" s="50" t="e">
        <f aca="false">_xlfn.CONCAT($A$1, ".", #REF!)</f>
        <v>#REF!</v>
      </c>
      <c r="B16" s="74" t="e">
        <f aca="false">_xlfn.CONCAT(#REF!, ":", #REF!)</f>
        <v>#REF!</v>
      </c>
      <c r="C16" s="85" t="e">
        <f aca="false">#REF!</f>
        <v>#REF!</v>
      </c>
      <c r="D16" s="85" t="e">
        <f aca="false">#REF!</f>
        <v>#REF!</v>
      </c>
      <c r="E16" s="85" t="e">
        <f aca="false">#REF!</f>
        <v>#REF!</v>
      </c>
      <c r="F16" s="85" t="e">
        <f aca="false">#REF!</f>
        <v>#REF!</v>
      </c>
    </row>
    <row r="17" customFormat="false" ht="12.8" hidden="false" customHeight="false" outlineLevel="0" collapsed="false">
      <c r="A17" s="50" t="e">
        <f aca="false">_xlfn.CONCAT($A$1, ".", #REF!)</f>
        <v>#REF!</v>
      </c>
      <c r="B17" s="74" t="e">
        <f aca="false">_xlfn.CONCAT(#REF!, ":", #REF!)</f>
        <v>#REF!</v>
      </c>
      <c r="C17" s="85" t="e">
        <f aca="false">#REF!</f>
        <v>#REF!</v>
      </c>
      <c r="D17" s="85" t="e">
        <f aca="false">#REF!</f>
        <v>#REF!</v>
      </c>
      <c r="E17" s="85" t="e">
        <f aca="false">#REF!</f>
        <v>#REF!</v>
      </c>
      <c r="F17" s="85" t="e">
        <f aca="false">#REF!</f>
        <v>#REF!</v>
      </c>
    </row>
    <row r="18" customFormat="false" ht="12.8" hidden="false" customHeight="false" outlineLevel="0" collapsed="false">
      <c r="A18" s="50" t="e">
        <f aca="false">_xlfn.CONCAT($A$1, ".", #REF!)</f>
        <v>#REF!</v>
      </c>
      <c r="B18" s="74" t="e">
        <f aca="false">_xlfn.CONCAT(#REF!, ":", #REF!)</f>
        <v>#REF!</v>
      </c>
      <c r="C18" s="85" t="e">
        <f aca="false">#REF!</f>
        <v>#REF!</v>
      </c>
      <c r="D18" s="85" t="e">
        <f aca="false">#REF!</f>
        <v>#REF!</v>
      </c>
      <c r="E18" s="85" t="e">
        <f aca="false">#REF!</f>
        <v>#REF!</v>
      </c>
      <c r="F18" s="85" t="e">
        <f aca="false">#REF!</f>
        <v>#REF!</v>
      </c>
    </row>
    <row r="19" customFormat="false" ht="12.8" hidden="false" customHeight="false" outlineLevel="0" collapsed="false">
      <c r="A19" s="50" t="e">
        <f aca="false">_xlfn.CONCAT($A$1, ".", #REF!)</f>
        <v>#REF!</v>
      </c>
      <c r="B19" s="74" t="e">
        <f aca="false">_xlfn.CONCAT(#REF!, ":", #REF!)</f>
        <v>#REF!</v>
      </c>
      <c r="C19" s="85" t="e">
        <f aca="false">#REF!</f>
        <v>#REF!</v>
      </c>
      <c r="D19" s="85" t="e">
        <f aca="false">#REF!</f>
        <v>#REF!</v>
      </c>
      <c r="E19" s="85" t="e">
        <f aca="false">#REF!</f>
        <v>#REF!</v>
      </c>
      <c r="F19" s="85" t="e">
        <f aca="false">#REF!</f>
        <v>#REF!</v>
      </c>
    </row>
    <row r="20" customFormat="false" ht="12.8" hidden="false" customHeight="false" outlineLevel="0" collapsed="false">
      <c r="A20" s="50" t="e">
        <f aca="false">_xlfn.CONCAT($A$1, ".", #REF!)</f>
        <v>#REF!</v>
      </c>
      <c r="B20" s="74" t="e">
        <f aca="false">_xlfn.CONCAT(#REF!, ":", #REF!)</f>
        <v>#REF!</v>
      </c>
      <c r="C20" s="85" t="e">
        <f aca="false">#REF!</f>
        <v>#REF!</v>
      </c>
      <c r="D20" s="85" t="e">
        <f aca="false">#REF!</f>
        <v>#REF!</v>
      </c>
      <c r="E20" s="85" t="e">
        <f aca="false">#REF!</f>
        <v>#REF!</v>
      </c>
      <c r="F20" s="85" t="e">
        <f aca="false">#REF!</f>
        <v>#REF!</v>
      </c>
    </row>
    <row r="21" customFormat="false" ht="12.8" hidden="false" customHeight="false" outlineLevel="0" collapsed="false">
      <c r="A21" s="50" t="e">
        <f aca="false">_xlfn.CONCAT($A$1, ".", #REF!)</f>
        <v>#REF!</v>
      </c>
      <c r="B21" s="74" t="e">
        <f aca="false">_xlfn.CONCAT(#REF!, ":", #REF!)</f>
        <v>#REF!</v>
      </c>
      <c r="C21" s="85" t="e">
        <f aca="false">#REF!</f>
        <v>#REF!</v>
      </c>
      <c r="D21" s="85" t="e">
        <f aca="false">#REF!</f>
        <v>#REF!</v>
      </c>
      <c r="E21" s="85" t="e">
        <f aca="false">#REF!</f>
        <v>#REF!</v>
      </c>
      <c r="F21" s="85" t="e">
        <f aca="false">#REF!</f>
        <v>#REF!</v>
      </c>
    </row>
    <row r="22" customFormat="false" ht="12.8" hidden="false" customHeight="false" outlineLevel="0" collapsed="false">
      <c r="A22" s="50" t="e">
        <f aca="false">_xlfn.CONCAT($A$1, ".", #REF!)</f>
        <v>#REF!</v>
      </c>
      <c r="B22" s="74" t="e">
        <f aca="false">_xlfn.CONCAT(#REF!, ":", #REF!)</f>
        <v>#REF!</v>
      </c>
      <c r="C22" s="85" t="e">
        <f aca="false">#REF!</f>
        <v>#REF!</v>
      </c>
      <c r="D22" s="85" t="e">
        <f aca="false">#REF!</f>
        <v>#REF!</v>
      </c>
      <c r="E22" s="85" t="e">
        <f aca="false">#REF!</f>
        <v>#REF!</v>
      </c>
      <c r="F22" s="85" t="e">
        <f aca="false">#REF!</f>
        <v>#REF!</v>
      </c>
    </row>
    <row r="23" customFormat="false" ht="12.8" hidden="false" customHeight="false" outlineLevel="0" collapsed="false">
      <c r="A23" s="50" t="e">
        <f aca="false">_xlfn.CONCAT($A$1, ".", #REF!)</f>
        <v>#REF!</v>
      </c>
      <c r="B23" s="74" t="e">
        <f aca="false">_xlfn.CONCAT(#REF!, ":", #REF!)</f>
        <v>#REF!</v>
      </c>
      <c r="C23" s="85" t="e">
        <f aca="false">#REF!</f>
        <v>#REF!</v>
      </c>
      <c r="D23" s="85" t="e">
        <f aca="false">#REF!</f>
        <v>#REF!</v>
      </c>
      <c r="E23" s="85" t="e">
        <f aca="false">#REF!</f>
        <v>#REF!</v>
      </c>
      <c r="F23" s="85" t="e">
        <f aca="false">#REF!</f>
        <v>#REF!</v>
      </c>
    </row>
    <row r="24" customFormat="false" ht="12.8" hidden="false" customHeight="false" outlineLevel="0" collapsed="false">
      <c r="A24" s="50" t="e">
        <f aca="false">_xlfn.CONCAT($A$1, ".", #REF!)</f>
        <v>#REF!</v>
      </c>
      <c r="B24" s="74" t="e">
        <f aca="false">_xlfn.CONCAT(#REF!, ":", #REF!)</f>
        <v>#REF!</v>
      </c>
      <c r="C24" s="85" t="e">
        <f aca="false">#REF!</f>
        <v>#REF!</v>
      </c>
      <c r="D24" s="85" t="e">
        <f aca="false">#REF!</f>
        <v>#REF!</v>
      </c>
      <c r="E24" s="85" t="e">
        <f aca="false">#REF!</f>
        <v>#REF!</v>
      </c>
      <c r="F24" s="85" t="e">
        <f aca="false">#REF!</f>
        <v>#REF!</v>
      </c>
    </row>
    <row r="25" customFormat="false" ht="12.8" hidden="false" customHeight="false" outlineLevel="0" collapsed="false">
      <c r="A25" s="50" t="e">
        <f aca="false">_xlfn.CONCAT($A$1, ".", #REF!)</f>
        <v>#REF!</v>
      </c>
      <c r="B25" s="74" t="e">
        <f aca="false">_xlfn.CONCAT(#REF!, ":", #REF!)</f>
        <v>#REF!</v>
      </c>
      <c r="C25" s="85" t="e">
        <f aca="false">#REF!</f>
        <v>#REF!</v>
      </c>
      <c r="D25" s="85" t="e">
        <f aca="false">#REF!</f>
        <v>#REF!</v>
      </c>
      <c r="E25" s="85" t="e">
        <f aca="false">#REF!</f>
        <v>#REF!</v>
      </c>
      <c r="F25" s="85" t="e">
        <f aca="false">#REF!</f>
        <v>#REF!</v>
      </c>
    </row>
    <row r="26" customFormat="false" ht="12.8" hidden="false" customHeight="false" outlineLevel="0" collapsed="false">
      <c r="A26" s="50" t="e">
        <f aca="false">_xlfn.CONCAT($A$1, ".", #REF!)</f>
        <v>#REF!</v>
      </c>
      <c r="B26" s="74" t="e">
        <f aca="false">_xlfn.CONCAT(#REF!, ":", #REF!)</f>
        <v>#REF!</v>
      </c>
      <c r="C26" s="85" t="e">
        <f aca="false">#REF!</f>
        <v>#REF!</v>
      </c>
      <c r="D26" s="85" t="e">
        <f aca="false">#REF!</f>
        <v>#REF!</v>
      </c>
      <c r="E26" s="85" t="e">
        <f aca="false">#REF!</f>
        <v>#REF!</v>
      </c>
      <c r="F26" s="85" t="e">
        <f aca="false">#REF!</f>
        <v>#REF!</v>
      </c>
    </row>
    <row r="27" customFormat="false" ht="12.8" hidden="false" customHeight="false" outlineLevel="0" collapsed="false">
      <c r="A27" s="50" t="e">
        <f aca="false">_xlfn.CONCAT($A$1, ".", #REF!)</f>
        <v>#REF!</v>
      </c>
      <c r="B27" s="74" t="e">
        <f aca="false">_xlfn.CONCAT(#REF!, ":", #REF!)</f>
        <v>#REF!</v>
      </c>
      <c r="C27" s="85" t="e">
        <f aca="false">#REF!</f>
        <v>#REF!</v>
      </c>
      <c r="D27" s="85" t="e">
        <f aca="false">#REF!</f>
        <v>#REF!</v>
      </c>
      <c r="E27" s="85" t="e">
        <f aca="false">#REF!</f>
        <v>#REF!</v>
      </c>
      <c r="F27" s="85" t="e">
        <f aca="false">#REF!</f>
        <v>#REF!</v>
      </c>
    </row>
    <row r="28" customFormat="false" ht="12.8" hidden="false" customHeight="false" outlineLevel="0" collapsed="false">
      <c r="A28" s="50" t="e">
        <f aca="false">_xlfn.CONCAT($A$1, ".", #REF!)</f>
        <v>#REF!</v>
      </c>
      <c r="B28" s="74" t="e">
        <f aca="false">_xlfn.CONCAT(#REF!, ":", #REF!)</f>
        <v>#REF!</v>
      </c>
      <c r="C28" s="85" t="e">
        <f aca="false">#REF!</f>
        <v>#REF!</v>
      </c>
      <c r="D28" s="85" t="e">
        <f aca="false">#REF!</f>
        <v>#REF!</v>
      </c>
      <c r="E28" s="85" t="e">
        <f aca="false">#REF!</f>
        <v>#REF!</v>
      </c>
      <c r="F28" s="85" t="e">
        <f aca="false">#REF!</f>
        <v>#REF!</v>
      </c>
    </row>
    <row r="29" customFormat="false" ht="12.8" hidden="false" customHeight="false" outlineLevel="0" collapsed="false">
      <c r="A29" s="50" t="e">
        <f aca="false">_xlfn.CONCAT($A$1, ".", #REF!)</f>
        <v>#REF!</v>
      </c>
      <c r="B29" s="74" t="e">
        <f aca="false">_xlfn.CONCAT(#REF!, ":", #REF!)</f>
        <v>#REF!</v>
      </c>
      <c r="C29" s="85" t="e">
        <f aca="false">#REF!</f>
        <v>#REF!</v>
      </c>
      <c r="D29" s="85" t="e">
        <f aca="false">#REF!</f>
        <v>#REF!</v>
      </c>
      <c r="E29" s="85" t="e">
        <f aca="false">#REF!</f>
        <v>#REF!</v>
      </c>
      <c r="F29" s="85" t="e">
        <f aca="false">#REF!</f>
        <v>#REF!</v>
      </c>
    </row>
    <row r="30" customFormat="false" ht="12.8" hidden="false" customHeight="false" outlineLevel="0" collapsed="false">
      <c r="A30" s="50" t="e">
        <f aca="false">_xlfn.CONCAT($A$1, ".", #REF!)</f>
        <v>#REF!</v>
      </c>
      <c r="B30" s="74" t="e">
        <f aca="false">_xlfn.CONCAT(#REF!, ":", #REF!)</f>
        <v>#REF!</v>
      </c>
      <c r="C30" s="85" t="e">
        <f aca="false">#REF!</f>
        <v>#REF!</v>
      </c>
      <c r="D30" s="85" t="e">
        <f aca="false">#REF!</f>
        <v>#REF!</v>
      </c>
      <c r="E30" s="85" t="e">
        <f aca="false">#REF!</f>
        <v>#REF!</v>
      </c>
      <c r="F30" s="85" t="e">
        <f aca="false">#REF!</f>
        <v>#REF!</v>
      </c>
    </row>
    <row r="31" customFormat="false" ht="12.8" hidden="false" customHeight="false" outlineLevel="0" collapsed="false">
      <c r="A31" s="50" t="e">
        <f aca="false">_xlfn.CONCAT($A$1, ".", #REF!)</f>
        <v>#REF!</v>
      </c>
      <c r="B31" s="74" t="e">
        <f aca="false">_xlfn.CONCAT(#REF!, ":", #REF!)</f>
        <v>#REF!</v>
      </c>
      <c r="C31" s="85" t="e">
        <f aca="false">#REF!</f>
        <v>#REF!</v>
      </c>
      <c r="D31" s="85" t="e">
        <f aca="false">#REF!</f>
        <v>#REF!</v>
      </c>
      <c r="E31" s="85" t="e">
        <f aca="false">#REF!</f>
        <v>#REF!</v>
      </c>
      <c r="F31" s="85" t="e">
        <f aca="false">#REF!</f>
        <v>#REF!</v>
      </c>
    </row>
    <row r="32" customFormat="false" ht="12.8" hidden="false" customHeight="false" outlineLevel="0" collapsed="false">
      <c r="A32" s="50" t="e">
        <f aca="false">_xlfn.CONCAT($A$1, ".", #REF!)</f>
        <v>#REF!</v>
      </c>
      <c r="B32" s="74" t="e">
        <f aca="false">_xlfn.CONCAT(#REF!, ":", #REF!)</f>
        <v>#REF!</v>
      </c>
      <c r="C32" s="85" t="e">
        <f aca="false">#REF!</f>
        <v>#REF!</v>
      </c>
      <c r="D32" s="85" t="e">
        <f aca="false">#REF!</f>
        <v>#REF!</v>
      </c>
      <c r="E32" s="85" t="e">
        <f aca="false">#REF!</f>
        <v>#REF!</v>
      </c>
      <c r="F32" s="85" t="e">
        <f aca="false">#REF!</f>
        <v>#REF!</v>
      </c>
    </row>
    <row r="33" customFormat="false" ht="12.8" hidden="false" customHeight="false" outlineLevel="0" collapsed="false">
      <c r="A33" s="50" t="e">
        <f aca="false">_xlfn.CONCAT($A$1, ".", #REF!)</f>
        <v>#REF!</v>
      </c>
      <c r="B33" s="74" t="e">
        <f aca="false">_xlfn.CONCAT(#REF!, ":", #REF!)</f>
        <v>#REF!</v>
      </c>
      <c r="C33" s="85" t="e">
        <f aca="false">#REF!</f>
        <v>#REF!</v>
      </c>
      <c r="D33" s="85" t="e">
        <f aca="false">#REF!</f>
        <v>#REF!</v>
      </c>
      <c r="E33" s="85" t="e">
        <f aca="false">#REF!</f>
        <v>#REF!</v>
      </c>
      <c r="F33" s="85" t="e">
        <f aca="false">#REF!</f>
        <v>#REF!</v>
      </c>
    </row>
    <row r="34" customFormat="false" ht="12.8" hidden="false" customHeight="false" outlineLevel="0" collapsed="false">
      <c r="A34" s="50" t="e">
        <f aca="false">_xlfn.CONCAT($A$1, ".", #REF!)</f>
        <v>#REF!</v>
      </c>
      <c r="B34" s="74" t="e">
        <f aca="false">_xlfn.CONCAT(#REF!, ":", #REF!)</f>
        <v>#REF!</v>
      </c>
      <c r="C34" s="85" t="e">
        <f aca="false">#REF!</f>
        <v>#REF!</v>
      </c>
      <c r="D34" s="85" t="e">
        <f aca="false">#REF!</f>
        <v>#REF!</v>
      </c>
      <c r="E34" s="85" t="e">
        <f aca="false">#REF!</f>
        <v>#REF!</v>
      </c>
      <c r="F34" s="85" t="e">
        <f aca="false">#REF!</f>
        <v>#REF!</v>
      </c>
    </row>
    <row r="35" customFormat="false" ht="12.8" hidden="false" customHeight="false" outlineLevel="0" collapsed="false">
      <c r="A35" s="50" t="e">
        <f aca="false">_xlfn.CONCAT($A$1, ".", #REF!)</f>
        <v>#REF!</v>
      </c>
      <c r="B35" s="74" t="e">
        <f aca="false">_xlfn.CONCAT(#REF!, ":", #REF!)</f>
        <v>#REF!</v>
      </c>
      <c r="C35" s="85" t="e">
        <f aca="false">#REF!</f>
        <v>#REF!</v>
      </c>
      <c r="D35" s="85" t="e">
        <f aca="false">#REF!</f>
        <v>#REF!</v>
      </c>
      <c r="E35" s="85" t="e">
        <f aca="false">#REF!</f>
        <v>#REF!</v>
      </c>
      <c r="F35" s="85" t="e">
        <f aca="false">#REF!</f>
        <v>#REF!</v>
      </c>
    </row>
    <row r="36" customFormat="false" ht="12.8" hidden="false" customHeight="false" outlineLevel="0" collapsed="false">
      <c r="A36" s="50" t="e">
        <f aca="false">_xlfn.CONCAT($A$1, ".", #REF!)</f>
        <v>#REF!</v>
      </c>
      <c r="B36" s="74" t="e">
        <f aca="false">_xlfn.CONCAT(#REF!, ":", #REF!)</f>
        <v>#REF!</v>
      </c>
      <c r="C36" s="85" t="e">
        <f aca="false">#REF!</f>
        <v>#REF!</v>
      </c>
      <c r="D36" s="85" t="e">
        <f aca="false">#REF!</f>
        <v>#REF!</v>
      </c>
      <c r="E36" s="85" t="e">
        <f aca="false">#REF!</f>
        <v>#REF!</v>
      </c>
      <c r="F36" s="85" t="e">
        <f aca="false">#REF!</f>
        <v>#REF!</v>
      </c>
    </row>
    <row r="37" customFormat="false" ht="12.8" hidden="false" customHeight="false" outlineLevel="0" collapsed="false">
      <c r="A37" s="50" t="e">
        <f aca="false">_xlfn.CONCAT($A$1, ".", #REF!)</f>
        <v>#REF!</v>
      </c>
      <c r="B37" s="74" t="e">
        <f aca="false">_xlfn.CONCAT(#REF!, ":", #REF!)</f>
        <v>#REF!</v>
      </c>
      <c r="C37" s="85" t="e">
        <f aca="false">#REF!</f>
        <v>#REF!</v>
      </c>
      <c r="D37" s="85" t="e">
        <f aca="false">#REF!</f>
        <v>#REF!</v>
      </c>
      <c r="E37" s="85" t="e">
        <f aca="false">#REF!</f>
        <v>#REF!</v>
      </c>
      <c r="F37" s="85" t="e">
        <f aca="false">#REF!</f>
        <v>#REF!</v>
      </c>
    </row>
    <row r="38" customFormat="false" ht="12.8" hidden="false" customHeight="false" outlineLevel="0" collapsed="false">
      <c r="A38" s="50" t="e">
        <f aca="false">_xlfn.CONCAT($A$1, ".", #REF!)</f>
        <v>#REF!</v>
      </c>
      <c r="B38" s="74" t="e">
        <f aca="false">_xlfn.CONCAT(#REF!, ":", #REF!)</f>
        <v>#REF!</v>
      </c>
      <c r="C38" s="85" t="e">
        <f aca="false">#REF!</f>
        <v>#REF!</v>
      </c>
      <c r="D38" s="85" t="e">
        <f aca="false">#REF!</f>
        <v>#REF!</v>
      </c>
      <c r="E38" s="85" t="e">
        <f aca="false">#REF!</f>
        <v>#REF!</v>
      </c>
      <c r="F38" s="85" t="e">
        <f aca="false">#REF!</f>
        <v>#REF!</v>
      </c>
    </row>
    <row r="39" customFormat="false" ht="12.8" hidden="false" customHeight="false" outlineLevel="0" collapsed="false">
      <c r="A39" s="50" t="e">
        <f aca="false">_xlfn.CONCAT($A$1, ".", #REF!)</f>
        <v>#REF!</v>
      </c>
      <c r="B39" s="74" t="e">
        <f aca="false">_xlfn.CONCAT(#REF!, ":", #REF!)</f>
        <v>#REF!</v>
      </c>
      <c r="C39" s="85" t="e">
        <f aca="false">#REF!</f>
        <v>#REF!</v>
      </c>
      <c r="D39" s="85" t="e">
        <f aca="false">#REF!</f>
        <v>#REF!</v>
      </c>
      <c r="E39" s="85" t="e">
        <f aca="false">#REF!</f>
        <v>#REF!</v>
      </c>
      <c r="F39" s="85" t="e">
        <f aca="false">#REF!</f>
        <v>#REF!</v>
      </c>
    </row>
    <row r="40" customFormat="false" ht="12.8" hidden="false" customHeight="false" outlineLevel="0" collapsed="false">
      <c r="A40" s="50" t="e">
        <f aca="false">_xlfn.CONCAT($A$1, ".", #REF!)</f>
        <v>#REF!</v>
      </c>
      <c r="B40" s="74" t="e">
        <f aca="false">_xlfn.CONCAT(#REF!, ":", #REF!)</f>
        <v>#REF!</v>
      </c>
      <c r="C40" s="85" t="e">
        <f aca="false">#REF!</f>
        <v>#REF!</v>
      </c>
      <c r="D40" s="85" t="e">
        <f aca="false">#REF!</f>
        <v>#REF!</v>
      </c>
      <c r="E40" s="85" t="e">
        <f aca="false">#REF!</f>
        <v>#REF!</v>
      </c>
      <c r="F40" s="85" t="e">
        <f aca="false">#REF!</f>
        <v>#REF!</v>
      </c>
    </row>
    <row r="41" customFormat="false" ht="12.8" hidden="false" customHeight="false" outlineLevel="0" collapsed="false">
      <c r="A41" s="50" t="e">
        <f aca="false">_xlfn.CONCAT($A$1, ".", #REF!)</f>
        <v>#REF!</v>
      </c>
      <c r="B41" s="74" t="e">
        <f aca="false">_xlfn.CONCAT(#REF!, ":", #REF!)</f>
        <v>#REF!</v>
      </c>
      <c r="C41" s="85" t="e">
        <f aca="false">#REF!</f>
        <v>#REF!</v>
      </c>
      <c r="D41" s="85" t="e">
        <f aca="false">#REF!</f>
        <v>#REF!</v>
      </c>
      <c r="E41" s="85" t="e">
        <f aca="false">#REF!</f>
        <v>#REF!</v>
      </c>
      <c r="F41" s="85" t="e">
        <f aca="false">#REF!</f>
        <v>#REF!</v>
      </c>
    </row>
    <row r="42" customFormat="false" ht="12.8" hidden="false" customHeight="false" outlineLevel="0" collapsed="false">
      <c r="A42" s="50" t="e">
        <f aca="false">_xlfn.CONCAT($A$1, ".", #REF!)</f>
        <v>#REF!</v>
      </c>
      <c r="B42" s="74" t="e">
        <f aca="false">_xlfn.CONCAT(#REF!, ":", #REF!)</f>
        <v>#REF!</v>
      </c>
      <c r="C42" s="85" t="e">
        <f aca="false">#REF!</f>
        <v>#REF!</v>
      </c>
      <c r="D42" s="85" t="e">
        <f aca="false">#REF!</f>
        <v>#REF!</v>
      </c>
      <c r="E42" s="85" t="e">
        <f aca="false">#REF!</f>
        <v>#REF!</v>
      </c>
      <c r="F42" s="85" t="e">
        <f aca="false">#REF!</f>
        <v>#REF!</v>
      </c>
    </row>
    <row r="43" customFormat="false" ht="12.8" hidden="false" customHeight="false" outlineLevel="0" collapsed="false">
      <c r="A43" s="50" t="e">
        <f aca="false">_xlfn.CONCAT($A$1, ".", #REF!)</f>
        <v>#REF!</v>
      </c>
      <c r="B43" s="74" t="e">
        <f aca="false">_xlfn.CONCAT(#REF!, ":", #REF!)</f>
        <v>#REF!</v>
      </c>
      <c r="C43" s="85" t="e">
        <f aca="false">#REF!</f>
        <v>#REF!</v>
      </c>
      <c r="D43" s="85" t="e">
        <f aca="false">#REF!</f>
        <v>#REF!</v>
      </c>
      <c r="E43" s="85" t="e">
        <f aca="false">#REF!</f>
        <v>#REF!</v>
      </c>
      <c r="F43" s="85" t="e">
        <f aca="false">#REF!</f>
        <v>#REF!</v>
      </c>
    </row>
    <row r="44" customFormat="false" ht="12.8" hidden="false" customHeight="false" outlineLevel="0" collapsed="false">
      <c r="A44" s="50" t="e">
        <f aca="false">_xlfn.CONCAT($A$1, ".", #REF!)</f>
        <v>#REF!</v>
      </c>
      <c r="B44" s="74" t="e">
        <f aca="false">_xlfn.CONCAT(#REF!, ":", #REF!)</f>
        <v>#REF!</v>
      </c>
      <c r="C44" s="85" t="e">
        <f aca="false">#REF!</f>
        <v>#REF!</v>
      </c>
      <c r="D44" s="85" t="e">
        <f aca="false">#REF!</f>
        <v>#REF!</v>
      </c>
      <c r="E44" s="85" t="e">
        <f aca="false">#REF!</f>
        <v>#REF!</v>
      </c>
      <c r="F44" s="85" t="e">
        <f aca="false">#REF!</f>
        <v>#REF!</v>
      </c>
    </row>
    <row r="45" customFormat="false" ht="12.8" hidden="false" customHeight="false" outlineLevel="0" collapsed="false">
      <c r="A45" s="50" t="e">
        <f aca="false">_xlfn.CONCAT($A$1, ".", #REF!)</f>
        <v>#REF!</v>
      </c>
      <c r="B45" s="74" t="e">
        <f aca="false">_xlfn.CONCAT(#REF!, ":", #REF!)</f>
        <v>#REF!</v>
      </c>
      <c r="C45" s="85" t="e">
        <f aca="false">#REF!</f>
        <v>#REF!</v>
      </c>
      <c r="D45" s="85" t="e">
        <f aca="false">#REF!</f>
        <v>#REF!</v>
      </c>
      <c r="E45" s="85" t="e">
        <f aca="false">#REF!</f>
        <v>#REF!</v>
      </c>
      <c r="F45" s="85" t="e">
        <f aca="false">#REF!</f>
        <v>#REF!</v>
      </c>
    </row>
    <row r="46" customFormat="false" ht="12.8" hidden="false" customHeight="false" outlineLevel="0" collapsed="false">
      <c r="A46" s="50" t="e">
        <f aca="false">_xlfn.CONCAT($A$1, ".", #REF!)</f>
        <v>#REF!</v>
      </c>
      <c r="B46" s="74" t="e">
        <f aca="false">_xlfn.CONCAT(#REF!, ":", #REF!)</f>
        <v>#REF!</v>
      </c>
      <c r="C46" s="85" t="e">
        <f aca="false">#REF!</f>
        <v>#REF!</v>
      </c>
      <c r="D46" s="85" t="e">
        <f aca="false">#REF!</f>
        <v>#REF!</v>
      </c>
      <c r="E46" s="85" t="e">
        <f aca="false">#REF!</f>
        <v>#REF!</v>
      </c>
      <c r="F46" s="85" t="e">
        <f aca="false">#REF!</f>
        <v>#REF!</v>
      </c>
    </row>
    <row r="47" customFormat="false" ht="12.8" hidden="false" customHeight="false" outlineLevel="0" collapsed="false">
      <c r="A47" s="50" t="e">
        <f aca="false">_xlfn.CONCAT($A$1, ".", #REF!)</f>
        <v>#REF!</v>
      </c>
      <c r="B47" s="74" t="e">
        <f aca="false">_xlfn.CONCAT(#REF!, ":", #REF!)</f>
        <v>#REF!</v>
      </c>
      <c r="C47" s="85" t="e">
        <f aca="false">#REF!</f>
        <v>#REF!</v>
      </c>
      <c r="D47" s="85" t="e">
        <f aca="false">#REF!</f>
        <v>#REF!</v>
      </c>
      <c r="E47" s="85" t="e">
        <f aca="false">#REF!</f>
        <v>#REF!</v>
      </c>
      <c r="F47" s="85" t="e">
        <f aca="false">#REF!</f>
        <v>#REF!</v>
      </c>
    </row>
    <row r="48" customFormat="false" ht="12.8" hidden="false" customHeight="false" outlineLevel="0" collapsed="false">
      <c r="A48" s="50" t="e">
        <f aca="false">_xlfn.CONCAT($A$1, ".", #REF!)</f>
        <v>#REF!</v>
      </c>
      <c r="B48" s="74" t="e">
        <f aca="false">_xlfn.CONCAT(#REF!, ":", #REF!)</f>
        <v>#REF!</v>
      </c>
      <c r="C48" s="85" t="e">
        <f aca="false">#REF!</f>
        <v>#REF!</v>
      </c>
      <c r="D48" s="85" t="e">
        <f aca="false">#REF!</f>
        <v>#REF!</v>
      </c>
      <c r="E48" s="85" t="e">
        <f aca="false">#REF!</f>
        <v>#REF!</v>
      </c>
      <c r="F48" s="85" t="e">
        <f aca="false">#REF!</f>
        <v>#REF!</v>
      </c>
    </row>
    <row r="49" customFormat="false" ht="12.8" hidden="false" customHeight="false" outlineLevel="0" collapsed="false">
      <c r="A49" s="50" t="e">
        <f aca="false">_xlfn.CONCAT($A$1, ".", #REF!)</f>
        <v>#REF!</v>
      </c>
      <c r="B49" s="74" t="e">
        <f aca="false">_xlfn.CONCAT(#REF!, ":", #REF!)</f>
        <v>#REF!</v>
      </c>
      <c r="C49" s="85" t="e">
        <f aca="false">#REF!</f>
        <v>#REF!</v>
      </c>
      <c r="D49" s="85" t="e">
        <f aca="false">#REF!</f>
        <v>#REF!</v>
      </c>
      <c r="E49" s="85" t="e">
        <f aca="false">#REF!</f>
        <v>#REF!</v>
      </c>
      <c r="F49" s="85" t="e">
        <f aca="false">#REF!</f>
        <v>#REF!</v>
      </c>
    </row>
    <row r="50" customFormat="false" ht="12.8" hidden="false" customHeight="false" outlineLevel="0" collapsed="false">
      <c r="A50" s="50" t="e">
        <f aca="false">_xlfn.CONCAT($A$1, ".", #REF!)</f>
        <v>#REF!</v>
      </c>
      <c r="B50" s="74" t="e">
        <f aca="false">_xlfn.CONCAT(#REF!, ":", #REF!)</f>
        <v>#REF!</v>
      </c>
      <c r="C50" s="85" t="e">
        <f aca="false">#REF!</f>
        <v>#REF!</v>
      </c>
      <c r="D50" s="85" t="e">
        <f aca="false">#REF!</f>
        <v>#REF!</v>
      </c>
      <c r="E50" s="85" t="e">
        <f aca="false">#REF!</f>
        <v>#REF!</v>
      </c>
      <c r="F50" s="85" t="e">
        <f aca="false">#REF!</f>
        <v>#REF!</v>
      </c>
    </row>
    <row r="51" customFormat="false" ht="12.8" hidden="false" customHeight="false" outlineLevel="0" collapsed="false">
      <c r="A51" s="50" t="e">
        <f aca="false">_xlfn.CONCAT($A$1, ".", #REF!)</f>
        <v>#REF!</v>
      </c>
      <c r="B51" s="74" t="e">
        <f aca="false">_xlfn.CONCAT(#REF!, ":", #REF!)</f>
        <v>#REF!</v>
      </c>
      <c r="C51" s="85" t="e">
        <f aca="false">#REF!</f>
        <v>#REF!</v>
      </c>
      <c r="D51" s="85" t="e">
        <f aca="false">#REF!</f>
        <v>#REF!</v>
      </c>
      <c r="E51" s="85" t="e">
        <f aca="false">#REF!</f>
        <v>#REF!</v>
      </c>
      <c r="F51" s="85" t="e">
        <f aca="false">#REF!</f>
        <v>#REF!</v>
      </c>
    </row>
    <row r="52" customFormat="false" ht="12.8" hidden="false" customHeight="false" outlineLevel="0" collapsed="false">
      <c r="A52" s="50" t="e">
        <f aca="false">_xlfn.CONCAT($A$1, ".", #REF!)</f>
        <v>#REF!</v>
      </c>
      <c r="B52" s="74" t="e">
        <f aca="false">_xlfn.CONCAT(#REF!, ":", #REF!)</f>
        <v>#REF!</v>
      </c>
      <c r="C52" s="85" t="e">
        <f aca="false">#REF!</f>
        <v>#REF!</v>
      </c>
      <c r="D52" s="85" t="e">
        <f aca="false">#REF!</f>
        <v>#REF!</v>
      </c>
      <c r="E52" s="85" t="e">
        <f aca="false">#REF!</f>
        <v>#REF!</v>
      </c>
      <c r="F52" s="85" t="e">
        <f aca="false">#REF!</f>
        <v>#REF!</v>
      </c>
    </row>
    <row r="53" customFormat="false" ht="12.8" hidden="false" customHeight="false" outlineLevel="0" collapsed="false">
      <c r="A53" s="50" t="e">
        <f aca="false">_xlfn.CONCAT($A$1, ".", #REF!)</f>
        <v>#REF!</v>
      </c>
      <c r="B53" s="74" t="e">
        <f aca="false">_xlfn.CONCAT(#REF!, ":", #REF!)</f>
        <v>#REF!</v>
      </c>
      <c r="C53" s="85" t="e">
        <f aca="false">#REF!</f>
        <v>#REF!</v>
      </c>
      <c r="D53" s="85" t="e">
        <f aca="false">#REF!</f>
        <v>#REF!</v>
      </c>
      <c r="E53" s="85" t="e">
        <f aca="false">#REF!</f>
        <v>#REF!</v>
      </c>
      <c r="F53" s="85" t="e">
        <f aca="false">#REF!</f>
        <v>#REF!</v>
      </c>
    </row>
    <row r="54" customFormat="false" ht="12.8" hidden="false" customHeight="false" outlineLevel="0" collapsed="false">
      <c r="A54" s="50" t="e">
        <f aca="false">_xlfn.CONCAT($A$1, ".", #REF!)</f>
        <v>#REF!</v>
      </c>
      <c r="B54" s="74" t="e">
        <f aca="false">_xlfn.CONCAT(#REF!, ":", #REF!)</f>
        <v>#REF!</v>
      </c>
      <c r="C54" s="85" t="e">
        <f aca="false">#REF!</f>
        <v>#REF!</v>
      </c>
      <c r="D54" s="85" t="e">
        <f aca="false">#REF!</f>
        <v>#REF!</v>
      </c>
      <c r="E54" s="85" t="e">
        <f aca="false">#REF!</f>
        <v>#REF!</v>
      </c>
      <c r="F54" s="85" t="e">
        <f aca="false">#REF!</f>
        <v>#REF!</v>
      </c>
    </row>
    <row r="55" customFormat="false" ht="12.8" hidden="false" customHeight="false" outlineLevel="0" collapsed="false">
      <c r="A55" s="50" t="e">
        <f aca="false">_xlfn.CONCAT($A$1, ".", #REF!)</f>
        <v>#REF!</v>
      </c>
      <c r="B55" s="74" t="e">
        <f aca="false">_xlfn.CONCAT(#REF!, ":", #REF!)</f>
        <v>#REF!</v>
      </c>
      <c r="C55" s="85" t="e">
        <f aca="false">#REF!</f>
        <v>#REF!</v>
      </c>
      <c r="D55" s="85" t="e">
        <f aca="false">#REF!</f>
        <v>#REF!</v>
      </c>
      <c r="E55" s="85" t="e">
        <f aca="false">#REF!</f>
        <v>#REF!</v>
      </c>
      <c r="F55" s="85" t="e">
        <f aca="false">#REF!</f>
        <v>#REF!</v>
      </c>
    </row>
    <row r="56" customFormat="false" ht="12.8" hidden="false" customHeight="false" outlineLevel="0" collapsed="false">
      <c r="C56" s="84"/>
      <c r="D56" s="84"/>
      <c r="E56" s="84"/>
      <c r="F56" s="84"/>
    </row>
    <row r="57" customFormat="false" ht="12.8" hidden="false" customHeight="false" outlineLevel="0" collapsed="false">
      <c r="C57" s="84"/>
      <c r="D57" s="84"/>
      <c r="E57" s="84"/>
      <c r="F57" s="84"/>
    </row>
    <row r="58" customFormat="false" ht="12.8" hidden="false" customHeight="false" outlineLevel="0" collapsed="false">
      <c r="C58" s="84"/>
      <c r="D58" s="84"/>
      <c r="E58" s="84"/>
      <c r="F58" s="84"/>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A7500"/>
    <pageSetUpPr fitToPage="false"/>
  </sheetPr>
  <dimension ref="A1:BP247"/>
  <sheetViews>
    <sheetView showFormulas="false" showGridLines="true" showRowColHeaders="true" showZeros="true" rightToLeft="false" tabSelected="false" showOutlineSymbols="true" defaultGridColor="true" view="normal" topLeftCell="A89" colorId="64" zoomScale="65" zoomScaleNormal="65" zoomScalePageLayoutView="100" workbookViewId="0">
      <selection pane="topLeft" activeCell="A1" activeCellId="0" sqref="A1"/>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2984</v>
      </c>
      <c r="B1" s="68" t="s">
        <v>2985</v>
      </c>
      <c r="C1" s="6" t="s">
        <v>2</v>
      </c>
      <c r="D1" s="67" t="s">
        <v>2986</v>
      </c>
      <c r="AZ1" s="39"/>
      <c r="BP1" s="39"/>
    </row>
    <row r="2" customFormat="false" ht="12.8" hidden="false" customHeight="false" outlineLevel="0" collapsed="false">
      <c r="A2" s="83" t="s">
        <v>2979</v>
      </c>
      <c r="B2" s="68" t="s">
        <v>2980</v>
      </c>
      <c r="C2" s="84" t="e">
        <f aca="false">#REF!</f>
        <v>#REF!</v>
      </c>
      <c r="D2" s="84" t="e">
        <f aca="false">#REF!</f>
        <v>#REF!</v>
      </c>
      <c r="E2" s="84" t="e">
        <f aca="false">#REF!</f>
        <v>#REF!</v>
      </c>
      <c r="F2" s="84" t="e">
        <f aca="false">#REF!</f>
        <v>#REF!</v>
      </c>
    </row>
    <row r="3" customFormat="false" ht="12.8" hidden="false" customHeight="false" outlineLevel="0" collapsed="false">
      <c r="A3" s="4" t="e">
        <f aca="false">_xlfn.CONCAT($A$1, ".", #REF!)</f>
        <v>#REF!</v>
      </c>
      <c r="B3" s="49" t="e">
        <f aca="false">_xlfn.CONCAT(#REF!, ":", #REF!)</f>
        <v>#REF!</v>
      </c>
      <c r="C3" s="84" t="e">
        <f aca="false">#REF!</f>
        <v>#REF!</v>
      </c>
      <c r="D3" s="84" t="e">
        <f aca="false">#REF!</f>
        <v>#REF!</v>
      </c>
      <c r="E3" s="84" t="e">
        <f aca="false">#REF!</f>
        <v>#REF!</v>
      </c>
      <c r="F3" s="84" t="e">
        <f aca="false">#REF!</f>
        <v>#REF!</v>
      </c>
    </row>
    <row r="4" customFormat="false" ht="12.8" hidden="false" customHeight="false" outlineLevel="0" collapsed="false">
      <c r="A4" s="50" t="e">
        <f aca="false">_xlfn.CONCAT($A$1, ".", #REF!)</f>
        <v>#REF!</v>
      </c>
      <c r="B4" s="74" t="e">
        <f aca="false">_xlfn.CONCAT(#REF!, ":", #REF!)</f>
        <v>#REF!</v>
      </c>
      <c r="C4" s="85" t="e">
        <f aca="false">#REF!</f>
        <v>#REF!</v>
      </c>
      <c r="D4" s="85" t="e">
        <f aca="false">#REF!</f>
        <v>#REF!</v>
      </c>
      <c r="E4" s="85" t="e">
        <f aca="false">#REF!</f>
        <v>#REF!</v>
      </c>
      <c r="F4" s="85" t="e">
        <f aca="false">#REF!</f>
        <v>#REF!</v>
      </c>
    </row>
    <row r="5" customFormat="false" ht="12.8" hidden="false" customHeight="false" outlineLevel="0" collapsed="false">
      <c r="A5" s="50" t="e">
        <f aca="false">_xlfn.CONCAT($A$1, ".", #REF!)</f>
        <v>#REF!</v>
      </c>
      <c r="B5" s="74" t="e">
        <f aca="false">_xlfn.CONCAT(#REF!, ":", #REF!)</f>
        <v>#REF!</v>
      </c>
      <c r="C5" s="85" t="e">
        <f aca="false">#REF!</f>
        <v>#REF!</v>
      </c>
      <c r="D5" s="85" t="e">
        <f aca="false">#REF!</f>
        <v>#REF!</v>
      </c>
      <c r="E5" s="85" t="e">
        <f aca="false">#REF!</f>
        <v>#REF!</v>
      </c>
      <c r="F5" s="85" t="e">
        <f aca="false">#REF!</f>
        <v>#REF!</v>
      </c>
    </row>
    <row r="6" customFormat="false" ht="12.8" hidden="false" customHeight="false" outlineLevel="0" collapsed="false">
      <c r="A6" s="50" t="e">
        <f aca="false">_xlfn.CONCAT($A$1, ".", #REF!)</f>
        <v>#REF!</v>
      </c>
      <c r="B6" s="74" t="e">
        <f aca="false">_xlfn.CONCAT(#REF!, ":", #REF!)</f>
        <v>#REF!</v>
      </c>
      <c r="C6" s="85" t="e">
        <f aca="false">#REF!</f>
        <v>#REF!</v>
      </c>
      <c r="D6" s="85" t="e">
        <f aca="false">#REF!</f>
        <v>#REF!</v>
      </c>
      <c r="E6" s="85" t="e">
        <f aca="false">#REF!</f>
        <v>#REF!</v>
      </c>
      <c r="F6" s="85" t="e">
        <f aca="false">#REF!</f>
        <v>#REF!</v>
      </c>
    </row>
    <row r="7" customFormat="false" ht="12.8" hidden="false" customHeight="false" outlineLevel="0" collapsed="false">
      <c r="A7" s="50" t="e">
        <f aca="false">_xlfn.CONCAT($A$1, ".", #REF!)</f>
        <v>#REF!</v>
      </c>
      <c r="B7" s="74" t="e">
        <f aca="false">_xlfn.CONCAT(#REF!, ":", #REF!)</f>
        <v>#REF!</v>
      </c>
      <c r="C7" s="85" t="e">
        <f aca="false">#REF!</f>
        <v>#REF!</v>
      </c>
      <c r="D7" s="85" t="e">
        <f aca="false">#REF!</f>
        <v>#REF!</v>
      </c>
      <c r="E7" s="85" t="e">
        <f aca="false">#REF!</f>
        <v>#REF!</v>
      </c>
      <c r="F7" s="85" t="e">
        <f aca="false">#REF!</f>
        <v>#REF!</v>
      </c>
    </row>
    <row r="8" customFormat="false" ht="12.8" hidden="false" customHeight="false" outlineLevel="0" collapsed="false">
      <c r="A8" s="50" t="e">
        <f aca="false">_xlfn.CONCAT($A$1, ".", #REF!)</f>
        <v>#REF!</v>
      </c>
      <c r="B8" s="74" t="e">
        <f aca="false">_xlfn.CONCAT(#REF!, ":", #REF!)</f>
        <v>#REF!</v>
      </c>
      <c r="C8" s="85" t="e">
        <f aca="false">#REF!</f>
        <v>#REF!</v>
      </c>
      <c r="D8" s="85" t="e">
        <f aca="false">#REF!</f>
        <v>#REF!</v>
      </c>
      <c r="E8" s="85" t="e">
        <f aca="false">#REF!</f>
        <v>#REF!</v>
      </c>
      <c r="F8" s="85" t="e">
        <f aca="false">#REF!</f>
        <v>#REF!</v>
      </c>
    </row>
    <row r="9" customFormat="false" ht="12.8" hidden="false" customHeight="false" outlineLevel="0" collapsed="false">
      <c r="A9" s="50" t="e">
        <f aca="false">_xlfn.CONCAT($A$1, ".", #REF!)</f>
        <v>#REF!</v>
      </c>
      <c r="B9" s="74" t="e">
        <f aca="false">_xlfn.CONCAT(#REF!, ":", #REF!)</f>
        <v>#REF!</v>
      </c>
      <c r="C9" s="85" t="e">
        <f aca="false">#REF!</f>
        <v>#REF!</v>
      </c>
      <c r="D9" s="85" t="e">
        <f aca="false">#REF!</f>
        <v>#REF!</v>
      </c>
      <c r="E9" s="85" t="e">
        <f aca="false">#REF!</f>
        <v>#REF!</v>
      </c>
      <c r="F9" s="85" t="e">
        <f aca="false">#REF!</f>
        <v>#REF!</v>
      </c>
    </row>
    <row r="10" customFormat="false" ht="12.8" hidden="false" customHeight="false" outlineLevel="0" collapsed="false">
      <c r="A10" s="50" t="e">
        <f aca="false">_xlfn.CONCAT($A$1, ".", #REF!)</f>
        <v>#REF!</v>
      </c>
      <c r="B10" s="74" t="e">
        <f aca="false">_xlfn.CONCAT(#REF!, ":", #REF!)</f>
        <v>#REF!</v>
      </c>
      <c r="C10" s="85" t="e">
        <f aca="false">#REF!</f>
        <v>#REF!</v>
      </c>
      <c r="D10" s="85" t="e">
        <f aca="false">#REF!</f>
        <v>#REF!</v>
      </c>
      <c r="E10" s="85" t="e">
        <f aca="false">#REF!</f>
        <v>#REF!</v>
      </c>
      <c r="F10" s="85" t="e">
        <f aca="false">#REF!</f>
        <v>#REF!</v>
      </c>
    </row>
    <row r="11" customFormat="false" ht="12.8" hidden="false" customHeight="false" outlineLevel="0" collapsed="false">
      <c r="A11" s="50" t="e">
        <f aca="false">_xlfn.CONCAT($A$1, ".", #REF!)</f>
        <v>#REF!</v>
      </c>
      <c r="B11" s="74" t="e">
        <f aca="false">_xlfn.CONCAT(#REF!, ":", #REF!)</f>
        <v>#REF!</v>
      </c>
      <c r="C11" s="85" t="e">
        <f aca="false">#REF!</f>
        <v>#REF!</v>
      </c>
      <c r="D11" s="85" t="e">
        <f aca="false">#REF!</f>
        <v>#REF!</v>
      </c>
      <c r="E11" s="85" t="e">
        <f aca="false">#REF!</f>
        <v>#REF!</v>
      </c>
      <c r="F11" s="85" t="e">
        <f aca="false">#REF!</f>
        <v>#REF!</v>
      </c>
    </row>
    <row r="12" customFormat="false" ht="12.8" hidden="false" customHeight="false" outlineLevel="0" collapsed="false">
      <c r="A12" s="50" t="e">
        <f aca="false">_xlfn.CONCAT($A$1, ".", #REF!)</f>
        <v>#REF!</v>
      </c>
      <c r="B12" s="74" t="e">
        <f aca="false">_xlfn.CONCAT(#REF!, ":", #REF!)</f>
        <v>#REF!</v>
      </c>
      <c r="C12" s="85" t="e">
        <f aca="false">#REF!</f>
        <v>#REF!</v>
      </c>
      <c r="D12" s="85" t="e">
        <f aca="false">#REF!</f>
        <v>#REF!</v>
      </c>
      <c r="E12" s="85" t="e">
        <f aca="false">#REF!</f>
        <v>#REF!</v>
      </c>
      <c r="F12" s="85" t="e">
        <f aca="false">#REF!</f>
        <v>#REF!</v>
      </c>
    </row>
    <row r="13" customFormat="false" ht="12.8" hidden="false" customHeight="false" outlineLevel="0" collapsed="false">
      <c r="A13" s="50" t="e">
        <f aca="false">_xlfn.CONCAT($A$1, ".", #REF!)</f>
        <v>#REF!</v>
      </c>
      <c r="B13" s="74" t="e">
        <f aca="false">_xlfn.CONCAT(#REF!, ":", #REF!)</f>
        <v>#REF!</v>
      </c>
      <c r="C13" s="85" t="e">
        <f aca="false">#REF!</f>
        <v>#REF!</v>
      </c>
      <c r="D13" s="85" t="e">
        <f aca="false">#REF!</f>
        <v>#REF!</v>
      </c>
      <c r="E13" s="85" t="e">
        <f aca="false">#REF!</f>
        <v>#REF!</v>
      </c>
      <c r="F13" s="85" t="e">
        <f aca="false">#REF!</f>
        <v>#REF!</v>
      </c>
    </row>
    <row r="14" customFormat="false" ht="12.8" hidden="false" customHeight="false" outlineLevel="0" collapsed="false">
      <c r="A14" s="50" t="e">
        <f aca="false">_xlfn.CONCAT($A$1, ".", #REF!)</f>
        <v>#REF!</v>
      </c>
      <c r="B14" s="74" t="e">
        <f aca="false">_xlfn.CONCAT(#REF!, ":", #REF!)</f>
        <v>#REF!</v>
      </c>
      <c r="C14" s="85" t="e">
        <f aca="false">#REF!</f>
        <v>#REF!</v>
      </c>
      <c r="D14" s="85" t="e">
        <f aca="false">#REF!</f>
        <v>#REF!</v>
      </c>
      <c r="E14" s="85" t="e">
        <f aca="false">#REF!</f>
        <v>#REF!</v>
      </c>
      <c r="F14" s="85" t="e">
        <f aca="false">#REF!</f>
        <v>#REF!</v>
      </c>
    </row>
    <row r="15" customFormat="false" ht="12.8" hidden="false" customHeight="false" outlineLevel="0" collapsed="false">
      <c r="A15" s="50" t="e">
        <f aca="false">_xlfn.CONCAT($A$1, ".", #REF!)</f>
        <v>#REF!</v>
      </c>
      <c r="B15" s="74" t="e">
        <f aca="false">_xlfn.CONCAT(#REF!, ":", #REF!)</f>
        <v>#REF!</v>
      </c>
      <c r="C15" s="85" t="e">
        <f aca="false">#REF!</f>
        <v>#REF!</v>
      </c>
      <c r="D15" s="85" t="e">
        <f aca="false">#REF!</f>
        <v>#REF!</v>
      </c>
      <c r="E15" s="85" t="e">
        <f aca="false">#REF!</f>
        <v>#REF!</v>
      </c>
      <c r="F15" s="85" t="e">
        <f aca="false">#REF!</f>
        <v>#REF!</v>
      </c>
    </row>
    <row r="16" customFormat="false" ht="12.8" hidden="false" customHeight="false" outlineLevel="0" collapsed="false">
      <c r="A16" s="50" t="e">
        <f aca="false">_xlfn.CONCAT($A$1, ".", #REF!)</f>
        <v>#REF!</v>
      </c>
      <c r="B16" s="74" t="e">
        <f aca="false">_xlfn.CONCAT(#REF!, ":", #REF!)</f>
        <v>#REF!</v>
      </c>
      <c r="C16" s="85" t="e">
        <f aca="false">#REF!</f>
        <v>#REF!</v>
      </c>
      <c r="D16" s="85" t="e">
        <f aca="false">#REF!</f>
        <v>#REF!</v>
      </c>
      <c r="E16" s="85" t="e">
        <f aca="false">#REF!</f>
        <v>#REF!</v>
      </c>
      <c r="F16" s="85" t="e">
        <f aca="false">#REF!</f>
        <v>#REF!</v>
      </c>
    </row>
    <row r="17" customFormat="false" ht="12.8" hidden="false" customHeight="false" outlineLevel="0" collapsed="false">
      <c r="A17" s="50" t="e">
        <f aca="false">_xlfn.CONCAT($A$1, ".", #REF!)</f>
        <v>#REF!</v>
      </c>
      <c r="B17" s="74" t="e">
        <f aca="false">_xlfn.CONCAT(#REF!, ":", #REF!)</f>
        <v>#REF!</v>
      </c>
      <c r="C17" s="85" t="e">
        <f aca="false">#REF!</f>
        <v>#REF!</v>
      </c>
      <c r="D17" s="85" t="e">
        <f aca="false">#REF!</f>
        <v>#REF!</v>
      </c>
      <c r="E17" s="85" t="e">
        <f aca="false">#REF!</f>
        <v>#REF!</v>
      </c>
      <c r="F17" s="85" t="e">
        <f aca="false">#REF!</f>
        <v>#REF!</v>
      </c>
    </row>
    <row r="18" customFormat="false" ht="12.8" hidden="false" customHeight="false" outlineLevel="0" collapsed="false">
      <c r="A18" s="50" t="e">
        <f aca="false">_xlfn.CONCAT($A$1, ".", #REF!)</f>
        <v>#REF!</v>
      </c>
      <c r="B18" s="74" t="e">
        <f aca="false">_xlfn.CONCAT(#REF!, ":", #REF!)</f>
        <v>#REF!</v>
      </c>
      <c r="C18" s="85" t="e">
        <f aca="false">#REF!</f>
        <v>#REF!</v>
      </c>
      <c r="D18" s="85" t="e">
        <f aca="false">#REF!</f>
        <v>#REF!</v>
      </c>
      <c r="E18" s="85" t="e">
        <f aca="false">#REF!</f>
        <v>#REF!</v>
      </c>
      <c r="F18" s="85" t="e">
        <f aca="false">#REF!</f>
        <v>#REF!</v>
      </c>
    </row>
    <row r="19" customFormat="false" ht="12.8" hidden="false" customHeight="false" outlineLevel="0" collapsed="false">
      <c r="A19" s="50" t="e">
        <f aca="false">_xlfn.CONCAT($A$1, ".", #REF!)</f>
        <v>#REF!</v>
      </c>
      <c r="B19" s="74" t="e">
        <f aca="false">_xlfn.CONCAT(#REF!, ":", #REF!)</f>
        <v>#REF!</v>
      </c>
      <c r="C19" s="85" t="e">
        <f aca="false">#REF!</f>
        <v>#REF!</v>
      </c>
      <c r="D19" s="85" t="e">
        <f aca="false">#REF!</f>
        <v>#REF!</v>
      </c>
      <c r="E19" s="85" t="e">
        <f aca="false">#REF!</f>
        <v>#REF!</v>
      </c>
      <c r="F19" s="85" t="e">
        <f aca="false">#REF!</f>
        <v>#REF!</v>
      </c>
    </row>
    <row r="20" customFormat="false" ht="12.8" hidden="false" customHeight="false" outlineLevel="0" collapsed="false">
      <c r="A20" s="50" t="e">
        <f aca="false">_xlfn.CONCAT($A$1, ".", #REF!)</f>
        <v>#REF!</v>
      </c>
      <c r="B20" s="74" t="e">
        <f aca="false">_xlfn.CONCAT(#REF!, ":", #REF!)</f>
        <v>#REF!</v>
      </c>
      <c r="C20" s="85" t="e">
        <f aca="false">#REF!</f>
        <v>#REF!</v>
      </c>
      <c r="D20" s="85" t="e">
        <f aca="false">#REF!</f>
        <v>#REF!</v>
      </c>
      <c r="E20" s="85" t="e">
        <f aca="false">#REF!</f>
        <v>#REF!</v>
      </c>
      <c r="F20" s="85" t="e">
        <f aca="false">#REF!</f>
        <v>#REF!</v>
      </c>
    </row>
    <row r="21" customFormat="false" ht="12.8" hidden="false" customHeight="false" outlineLevel="0" collapsed="false">
      <c r="A21" s="50" t="e">
        <f aca="false">_xlfn.CONCAT($A$1, ".", #REF!)</f>
        <v>#REF!</v>
      </c>
      <c r="B21" s="74" t="e">
        <f aca="false">_xlfn.CONCAT(#REF!, ":", #REF!)</f>
        <v>#REF!</v>
      </c>
      <c r="C21" s="85" t="e">
        <f aca="false">#REF!</f>
        <v>#REF!</v>
      </c>
      <c r="D21" s="85" t="e">
        <f aca="false">#REF!</f>
        <v>#REF!</v>
      </c>
      <c r="E21" s="85" t="e">
        <f aca="false">#REF!</f>
        <v>#REF!</v>
      </c>
      <c r="F21" s="85" t="e">
        <f aca="false">#REF!</f>
        <v>#REF!</v>
      </c>
    </row>
    <row r="22" customFormat="false" ht="12.8" hidden="false" customHeight="false" outlineLevel="0" collapsed="false">
      <c r="A22" s="50" t="e">
        <f aca="false">_xlfn.CONCAT($A$1, ".", #REF!)</f>
        <v>#REF!</v>
      </c>
      <c r="B22" s="74" t="e">
        <f aca="false">_xlfn.CONCAT(#REF!, ":", #REF!)</f>
        <v>#REF!</v>
      </c>
      <c r="C22" s="85" t="e">
        <f aca="false">#REF!</f>
        <v>#REF!</v>
      </c>
      <c r="D22" s="85" t="e">
        <f aca="false">#REF!</f>
        <v>#REF!</v>
      </c>
      <c r="E22" s="85" t="e">
        <f aca="false">#REF!</f>
        <v>#REF!</v>
      </c>
      <c r="F22" s="85" t="e">
        <f aca="false">#REF!</f>
        <v>#REF!</v>
      </c>
    </row>
    <row r="23" customFormat="false" ht="12.8" hidden="false" customHeight="false" outlineLevel="0" collapsed="false">
      <c r="A23" s="50" t="e">
        <f aca="false">_xlfn.CONCAT($A$1, ".", #REF!)</f>
        <v>#REF!</v>
      </c>
      <c r="B23" s="74" t="e">
        <f aca="false">_xlfn.CONCAT(#REF!, ":", #REF!)</f>
        <v>#REF!</v>
      </c>
      <c r="C23" s="85" t="e">
        <f aca="false">#REF!</f>
        <v>#REF!</v>
      </c>
      <c r="D23" s="85" t="e">
        <f aca="false">#REF!</f>
        <v>#REF!</v>
      </c>
      <c r="E23" s="85" t="e">
        <f aca="false">#REF!</f>
        <v>#REF!</v>
      </c>
      <c r="F23" s="85" t="e">
        <f aca="false">#REF!</f>
        <v>#REF!</v>
      </c>
    </row>
    <row r="24" customFormat="false" ht="12.8" hidden="false" customHeight="false" outlineLevel="0" collapsed="false">
      <c r="A24" s="50" t="e">
        <f aca="false">_xlfn.CONCAT($A$1, ".", #REF!)</f>
        <v>#REF!</v>
      </c>
      <c r="B24" s="74" t="e">
        <f aca="false">_xlfn.CONCAT(#REF!, ":", #REF!)</f>
        <v>#REF!</v>
      </c>
      <c r="C24" s="85" t="e">
        <f aca="false">#REF!</f>
        <v>#REF!</v>
      </c>
      <c r="D24" s="85" t="e">
        <f aca="false">#REF!</f>
        <v>#REF!</v>
      </c>
      <c r="E24" s="85" t="e">
        <f aca="false">#REF!</f>
        <v>#REF!</v>
      </c>
      <c r="F24" s="85" t="e">
        <f aca="false">#REF!</f>
        <v>#REF!</v>
      </c>
    </row>
    <row r="25" customFormat="false" ht="12.8" hidden="false" customHeight="false" outlineLevel="0" collapsed="false">
      <c r="A25" s="50" t="e">
        <f aca="false">_xlfn.CONCAT($A$1, ".", #REF!)</f>
        <v>#REF!</v>
      </c>
      <c r="B25" s="74" t="e">
        <f aca="false">_xlfn.CONCAT(#REF!, ":", #REF!)</f>
        <v>#REF!</v>
      </c>
      <c r="C25" s="85" t="e">
        <f aca="false">#REF!</f>
        <v>#REF!</v>
      </c>
      <c r="D25" s="85" t="e">
        <f aca="false">#REF!</f>
        <v>#REF!</v>
      </c>
      <c r="E25" s="85" t="e">
        <f aca="false">#REF!</f>
        <v>#REF!</v>
      </c>
      <c r="F25" s="85" t="e">
        <f aca="false">#REF!</f>
        <v>#REF!</v>
      </c>
    </row>
    <row r="26" customFormat="false" ht="12.8" hidden="false" customHeight="false" outlineLevel="0" collapsed="false">
      <c r="A26" s="50" t="e">
        <f aca="false">_xlfn.CONCAT($A$1, ".", #REF!)</f>
        <v>#REF!</v>
      </c>
      <c r="B26" s="74" t="e">
        <f aca="false">_xlfn.CONCAT(#REF!, ":", #REF!)</f>
        <v>#REF!</v>
      </c>
      <c r="C26" s="85" t="e">
        <f aca="false">#REF!</f>
        <v>#REF!</v>
      </c>
      <c r="D26" s="85" t="e">
        <f aca="false">#REF!</f>
        <v>#REF!</v>
      </c>
      <c r="E26" s="85" t="e">
        <f aca="false">#REF!</f>
        <v>#REF!</v>
      </c>
      <c r="F26" s="85" t="e">
        <f aca="false">#REF!</f>
        <v>#REF!</v>
      </c>
    </row>
    <row r="27" customFormat="false" ht="12.8" hidden="false" customHeight="false" outlineLevel="0" collapsed="false">
      <c r="A27" s="50" t="e">
        <f aca="false">_xlfn.CONCAT($A$1, ".", #REF!)</f>
        <v>#REF!</v>
      </c>
      <c r="B27" s="74" t="e">
        <f aca="false">_xlfn.CONCAT(#REF!, ":", #REF!)</f>
        <v>#REF!</v>
      </c>
      <c r="C27" s="85" t="e">
        <f aca="false">#REF!</f>
        <v>#REF!</v>
      </c>
      <c r="D27" s="85" t="e">
        <f aca="false">#REF!</f>
        <v>#REF!</v>
      </c>
      <c r="E27" s="85" t="e">
        <f aca="false">#REF!</f>
        <v>#REF!</v>
      </c>
      <c r="F27" s="85" t="e">
        <f aca="false">#REF!</f>
        <v>#REF!</v>
      </c>
    </row>
    <row r="28" customFormat="false" ht="12.8" hidden="false" customHeight="false" outlineLevel="0" collapsed="false">
      <c r="A28" s="50" t="e">
        <f aca="false">_xlfn.CONCAT($A$1, ".", #REF!)</f>
        <v>#REF!</v>
      </c>
      <c r="B28" s="74" t="e">
        <f aca="false">_xlfn.CONCAT(#REF!, ":", #REF!)</f>
        <v>#REF!</v>
      </c>
      <c r="C28" s="85" t="e">
        <f aca="false">#REF!</f>
        <v>#REF!</v>
      </c>
      <c r="D28" s="85" t="e">
        <f aca="false">#REF!</f>
        <v>#REF!</v>
      </c>
      <c r="E28" s="85" t="e">
        <f aca="false">#REF!</f>
        <v>#REF!</v>
      </c>
      <c r="F28" s="85" t="e">
        <f aca="false">#REF!</f>
        <v>#REF!</v>
      </c>
    </row>
    <row r="29" customFormat="false" ht="12.8" hidden="false" customHeight="false" outlineLevel="0" collapsed="false">
      <c r="A29" s="50" t="e">
        <f aca="false">_xlfn.CONCAT($A$1, ".", #REF!)</f>
        <v>#REF!</v>
      </c>
      <c r="B29" s="74" t="e">
        <f aca="false">_xlfn.CONCAT(#REF!, ":", #REF!)</f>
        <v>#REF!</v>
      </c>
      <c r="C29" s="85" t="e">
        <f aca="false">#REF!</f>
        <v>#REF!</v>
      </c>
      <c r="D29" s="85" t="e">
        <f aca="false">#REF!</f>
        <v>#REF!</v>
      </c>
      <c r="E29" s="85" t="e">
        <f aca="false">#REF!</f>
        <v>#REF!</v>
      </c>
      <c r="F29" s="85" t="e">
        <f aca="false">#REF!</f>
        <v>#REF!</v>
      </c>
    </row>
    <row r="30" customFormat="false" ht="12.8" hidden="false" customHeight="false" outlineLevel="0" collapsed="false">
      <c r="A30" s="50" t="e">
        <f aca="false">_xlfn.CONCAT($A$1, ".", #REF!)</f>
        <v>#REF!</v>
      </c>
      <c r="B30" s="74" t="e">
        <f aca="false">_xlfn.CONCAT(#REF!, ":", #REF!)</f>
        <v>#REF!</v>
      </c>
      <c r="C30" s="85" t="e">
        <f aca="false">#REF!</f>
        <v>#REF!</v>
      </c>
      <c r="D30" s="85" t="e">
        <f aca="false">#REF!</f>
        <v>#REF!</v>
      </c>
      <c r="E30" s="85" t="e">
        <f aca="false">#REF!</f>
        <v>#REF!</v>
      </c>
      <c r="F30" s="85" t="e">
        <f aca="false">#REF!</f>
        <v>#REF!</v>
      </c>
    </row>
    <row r="31" customFormat="false" ht="12.8" hidden="false" customHeight="false" outlineLevel="0" collapsed="false">
      <c r="A31" s="50" t="e">
        <f aca="false">_xlfn.CONCAT($A$1, ".", #REF!)</f>
        <v>#REF!</v>
      </c>
      <c r="B31" s="74" t="e">
        <f aca="false">_xlfn.CONCAT(#REF!, ":", #REF!)</f>
        <v>#REF!</v>
      </c>
      <c r="C31" s="85" t="e">
        <f aca="false">#REF!</f>
        <v>#REF!</v>
      </c>
      <c r="D31" s="85" t="e">
        <f aca="false">#REF!</f>
        <v>#REF!</v>
      </c>
      <c r="E31" s="85" t="e">
        <f aca="false">#REF!</f>
        <v>#REF!</v>
      </c>
      <c r="F31" s="85" t="e">
        <f aca="false">#REF!</f>
        <v>#REF!</v>
      </c>
    </row>
    <row r="32" customFormat="false" ht="12.8" hidden="false" customHeight="false" outlineLevel="0" collapsed="false">
      <c r="A32" s="50" t="e">
        <f aca="false">_xlfn.CONCAT($A$1, ".", #REF!)</f>
        <v>#REF!</v>
      </c>
      <c r="B32" s="74" t="e">
        <f aca="false">_xlfn.CONCAT(#REF!, ":", #REF!)</f>
        <v>#REF!</v>
      </c>
      <c r="C32" s="85" t="e">
        <f aca="false">#REF!</f>
        <v>#REF!</v>
      </c>
      <c r="D32" s="85" t="e">
        <f aca="false">#REF!</f>
        <v>#REF!</v>
      </c>
      <c r="E32" s="85" t="e">
        <f aca="false">#REF!</f>
        <v>#REF!</v>
      </c>
      <c r="F32" s="85" t="e">
        <f aca="false">#REF!</f>
        <v>#REF!</v>
      </c>
    </row>
    <row r="33" customFormat="false" ht="12.8" hidden="false" customHeight="false" outlineLevel="0" collapsed="false">
      <c r="A33" s="50" t="e">
        <f aca="false">_xlfn.CONCAT($A$1, ".", #REF!)</f>
        <v>#REF!</v>
      </c>
      <c r="B33" s="74" t="e">
        <f aca="false">_xlfn.CONCAT(#REF!, ":", #REF!)</f>
        <v>#REF!</v>
      </c>
      <c r="C33" s="85" t="e">
        <f aca="false">#REF!</f>
        <v>#REF!</v>
      </c>
      <c r="D33" s="85" t="e">
        <f aca="false">#REF!</f>
        <v>#REF!</v>
      </c>
      <c r="E33" s="85" t="e">
        <f aca="false">#REF!</f>
        <v>#REF!</v>
      </c>
      <c r="F33" s="85" t="e">
        <f aca="false">#REF!</f>
        <v>#REF!</v>
      </c>
    </row>
    <row r="34" customFormat="false" ht="12.8" hidden="false" customHeight="false" outlineLevel="0" collapsed="false">
      <c r="A34" s="50" t="e">
        <f aca="false">_xlfn.CONCAT($A$1, ".", #REF!)</f>
        <v>#REF!</v>
      </c>
      <c r="B34" s="74" t="e">
        <f aca="false">_xlfn.CONCAT(#REF!, ":", #REF!)</f>
        <v>#REF!</v>
      </c>
      <c r="C34" s="85" t="e">
        <f aca="false">#REF!</f>
        <v>#REF!</v>
      </c>
      <c r="D34" s="85" t="e">
        <f aca="false">#REF!</f>
        <v>#REF!</v>
      </c>
      <c r="E34" s="85" t="e">
        <f aca="false">#REF!</f>
        <v>#REF!</v>
      </c>
      <c r="F34" s="85" t="e">
        <f aca="false">#REF!</f>
        <v>#REF!</v>
      </c>
    </row>
    <row r="35" customFormat="false" ht="12.8" hidden="false" customHeight="false" outlineLevel="0" collapsed="false">
      <c r="A35" s="50" t="e">
        <f aca="false">_xlfn.CONCAT($A$1, ".", #REF!)</f>
        <v>#REF!</v>
      </c>
      <c r="B35" s="74" t="e">
        <f aca="false">_xlfn.CONCAT(#REF!, ":", #REF!)</f>
        <v>#REF!</v>
      </c>
      <c r="C35" s="85" t="e">
        <f aca="false">#REF!</f>
        <v>#REF!</v>
      </c>
      <c r="D35" s="85" t="e">
        <f aca="false">#REF!</f>
        <v>#REF!</v>
      </c>
      <c r="E35" s="85" t="e">
        <f aca="false">#REF!</f>
        <v>#REF!</v>
      </c>
      <c r="F35" s="85" t="e">
        <f aca="false">#REF!</f>
        <v>#REF!</v>
      </c>
    </row>
    <row r="36" customFormat="false" ht="12.8" hidden="false" customHeight="false" outlineLevel="0" collapsed="false">
      <c r="A36" s="50" t="e">
        <f aca="false">_xlfn.CONCAT($A$1, ".", #REF!)</f>
        <v>#REF!</v>
      </c>
      <c r="B36" s="74" t="e">
        <f aca="false">_xlfn.CONCAT(#REF!, ":", #REF!)</f>
        <v>#REF!</v>
      </c>
      <c r="C36" s="85" t="e">
        <f aca="false">#REF!</f>
        <v>#REF!</v>
      </c>
      <c r="D36" s="85" t="e">
        <f aca="false">#REF!</f>
        <v>#REF!</v>
      </c>
      <c r="E36" s="85" t="e">
        <f aca="false">#REF!</f>
        <v>#REF!</v>
      </c>
      <c r="F36" s="85" t="e">
        <f aca="false">#REF!</f>
        <v>#REF!</v>
      </c>
    </row>
    <row r="37" customFormat="false" ht="12.8" hidden="false" customHeight="false" outlineLevel="0" collapsed="false">
      <c r="A37" s="50" t="e">
        <f aca="false">_xlfn.CONCAT($A$1, ".", #REF!)</f>
        <v>#REF!</v>
      </c>
      <c r="B37" s="74" t="e">
        <f aca="false">_xlfn.CONCAT(#REF!, ":", #REF!)</f>
        <v>#REF!</v>
      </c>
      <c r="C37" s="85" t="e">
        <f aca="false">#REF!</f>
        <v>#REF!</v>
      </c>
      <c r="D37" s="85" t="e">
        <f aca="false">#REF!</f>
        <v>#REF!</v>
      </c>
      <c r="E37" s="85" t="e">
        <f aca="false">#REF!</f>
        <v>#REF!</v>
      </c>
      <c r="F37" s="85" t="e">
        <f aca="false">#REF!</f>
        <v>#REF!</v>
      </c>
    </row>
    <row r="38" customFormat="false" ht="12.8" hidden="false" customHeight="false" outlineLevel="0" collapsed="false">
      <c r="A38" s="50" t="e">
        <f aca="false">_xlfn.CONCAT($A$1, ".", #REF!)</f>
        <v>#REF!</v>
      </c>
      <c r="B38" s="74" t="e">
        <f aca="false">_xlfn.CONCAT(#REF!, ":", #REF!)</f>
        <v>#REF!</v>
      </c>
      <c r="C38" s="85" t="e">
        <f aca="false">#REF!</f>
        <v>#REF!</v>
      </c>
      <c r="D38" s="85" t="e">
        <f aca="false">#REF!</f>
        <v>#REF!</v>
      </c>
      <c r="E38" s="85" t="e">
        <f aca="false">#REF!</f>
        <v>#REF!</v>
      </c>
      <c r="F38" s="85" t="e">
        <f aca="false">#REF!</f>
        <v>#REF!</v>
      </c>
    </row>
    <row r="39" customFormat="false" ht="12.8" hidden="false" customHeight="false" outlineLevel="0" collapsed="false">
      <c r="A39" s="50" t="e">
        <f aca="false">_xlfn.CONCAT($A$1, ".", #REF!)</f>
        <v>#REF!</v>
      </c>
      <c r="B39" s="74" t="e">
        <f aca="false">_xlfn.CONCAT(#REF!, ":", #REF!)</f>
        <v>#REF!</v>
      </c>
      <c r="C39" s="85" t="e">
        <f aca="false">#REF!</f>
        <v>#REF!</v>
      </c>
      <c r="D39" s="85" t="e">
        <f aca="false">#REF!</f>
        <v>#REF!</v>
      </c>
      <c r="E39" s="85" t="e">
        <f aca="false">#REF!</f>
        <v>#REF!</v>
      </c>
      <c r="F39" s="85" t="e">
        <f aca="false">#REF!</f>
        <v>#REF!</v>
      </c>
    </row>
    <row r="40" customFormat="false" ht="12.8" hidden="false" customHeight="false" outlineLevel="0" collapsed="false">
      <c r="A40" s="50" t="e">
        <f aca="false">_xlfn.CONCAT($A$1, ".", #REF!)</f>
        <v>#REF!</v>
      </c>
      <c r="B40" s="74" t="e">
        <f aca="false">_xlfn.CONCAT(#REF!, ":", #REF!)</f>
        <v>#REF!</v>
      </c>
      <c r="C40" s="85" t="e">
        <f aca="false">#REF!</f>
        <v>#REF!</v>
      </c>
      <c r="D40" s="85" t="e">
        <f aca="false">#REF!</f>
        <v>#REF!</v>
      </c>
      <c r="E40" s="85" t="e">
        <f aca="false">#REF!</f>
        <v>#REF!</v>
      </c>
      <c r="F40" s="85" t="e">
        <f aca="false">#REF!</f>
        <v>#REF!</v>
      </c>
    </row>
    <row r="41" customFormat="false" ht="12.8" hidden="false" customHeight="false" outlineLevel="0" collapsed="false">
      <c r="A41" s="50" t="e">
        <f aca="false">_xlfn.CONCAT($A$1, ".", #REF!)</f>
        <v>#REF!</v>
      </c>
      <c r="B41" s="74" t="e">
        <f aca="false">_xlfn.CONCAT(#REF!, ":", #REF!)</f>
        <v>#REF!</v>
      </c>
      <c r="C41" s="85" t="e">
        <f aca="false">#REF!</f>
        <v>#REF!</v>
      </c>
      <c r="D41" s="85" t="e">
        <f aca="false">#REF!</f>
        <v>#REF!</v>
      </c>
      <c r="E41" s="85" t="e">
        <f aca="false">#REF!</f>
        <v>#REF!</v>
      </c>
      <c r="F41" s="85" t="e">
        <f aca="false">#REF!</f>
        <v>#REF!</v>
      </c>
    </row>
    <row r="42" customFormat="false" ht="12.8" hidden="false" customHeight="false" outlineLevel="0" collapsed="false">
      <c r="A42" s="50" t="e">
        <f aca="false">_xlfn.CONCAT($A$1, ".", #REF!)</f>
        <v>#REF!</v>
      </c>
      <c r="B42" s="74" t="e">
        <f aca="false">_xlfn.CONCAT(#REF!, ":", #REF!)</f>
        <v>#REF!</v>
      </c>
      <c r="C42" s="85" t="e">
        <f aca="false">#REF!</f>
        <v>#REF!</v>
      </c>
      <c r="D42" s="85" t="e">
        <f aca="false">#REF!</f>
        <v>#REF!</v>
      </c>
      <c r="E42" s="85" t="e">
        <f aca="false">#REF!</f>
        <v>#REF!</v>
      </c>
      <c r="F42" s="85" t="e">
        <f aca="false">#REF!</f>
        <v>#REF!</v>
      </c>
    </row>
    <row r="43" customFormat="false" ht="12.8" hidden="false" customHeight="false" outlineLevel="0" collapsed="false">
      <c r="A43" s="50" t="e">
        <f aca="false">_xlfn.CONCAT($A$1, ".", #REF!)</f>
        <v>#REF!</v>
      </c>
      <c r="B43" s="74" t="e">
        <f aca="false">_xlfn.CONCAT(#REF!, ":", #REF!)</f>
        <v>#REF!</v>
      </c>
      <c r="C43" s="85" t="e">
        <f aca="false">#REF!</f>
        <v>#REF!</v>
      </c>
      <c r="D43" s="85" t="e">
        <f aca="false">#REF!</f>
        <v>#REF!</v>
      </c>
      <c r="E43" s="85" t="e">
        <f aca="false">#REF!</f>
        <v>#REF!</v>
      </c>
      <c r="F43" s="85" t="e">
        <f aca="false">#REF!</f>
        <v>#REF!</v>
      </c>
    </row>
    <row r="44" customFormat="false" ht="12.8" hidden="false" customHeight="false" outlineLevel="0" collapsed="false">
      <c r="A44" s="50" t="e">
        <f aca="false">_xlfn.CONCAT($A$1, ".", #REF!)</f>
        <v>#REF!</v>
      </c>
      <c r="B44" s="74" t="e">
        <f aca="false">_xlfn.CONCAT(#REF!, ":", #REF!)</f>
        <v>#REF!</v>
      </c>
      <c r="C44" s="85" t="e">
        <f aca="false">#REF!</f>
        <v>#REF!</v>
      </c>
      <c r="D44" s="85" t="e">
        <f aca="false">#REF!</f>
        <v>#REF!</v>
      </c>
      <c r="E44" s="85" t="e">
        <f aca="false">#REF!</f>
        <v>#REF!</v>
      </c>
      <c r="F44" s="85" t="e">
        <f aca="false">#REF!</f>
        <v>#REF!</v>
      </c>
    </row>
    <row r="45" customFormat="false" ht="12.8" hidden="false" customHeight="false" outlineLevel="0" collapsed="false">
      <c r="A45" s="50" t="e">
        <f aca="false">_xlfn.CONCAT($A$1, ".", #REF!)</f>
        <v>#REF!</v>
      </c>
      <c r="B45" s="74" t="e">
        <f aca="false">_xlfn.CONCAT(#REF!, ":", #REF!)</f>
        <v>#REF!</v>
      </c>
      <c r="C45" s="85" t="e">
        <f aca="false">#REF!</f>
        <v>#REF!</v>
      </c>
      <c r="D45" s="85" t="e">
        <f aca="false">#REF!</f>
        <v>#REF!</v>
      </c>
      <c r="E45" s="85" t="e">
        <f aca="false">#REF!</f>
        <v>#REF!</v>
      </c>
      <c r="F45" s="85" t="e">
        <f aca="false">#REF!</f>
        <v>#REF!</v>
      </c>
    </row>
    <row r="46" customFormat="false" ht="12.8" hidden="false" customHeight="false" outlineLevel="0" collapsed="false">
      <c r="A46" s="50" t="e">
        <f aca="false">_xlfn.CONCAT($A$1, ".", #REF!)</f>
        <v>#REF!</v>
      </c>
      <c r="B46" s="74" t="e">
        <f aca="false">_xlfn.CONCAT(#REF!, ":", #REF!)</f>
        <v>#REF!</v>
      </c>
      <c r="C46" s="85" t="e">
        <f aca="false">#REF!</f>
        <v>#REF!</v>
      </c>
      <c r="D46" s="85" t="e">
        <f aca="false">#REF!</f>
        <v>#REF!</v>
      </c>
      <c r="E46" s="85" t="e">
        <f aca="false">#REF!</f>
        <v>#REF!</v>
      </c>
      <c r="F46" s="85" t="e">
        <f aca="false">#REF!</f>
        <v>#REF!</v>
      </c>
    </row>
    <row r="47" customFormat="false" ht="12.8" hidden="false" customHeight="false" outlineLevel="0" collapsed="false">
      <c r="A47" s="50" t="e">
        <f aca="false">_xlfn.CONCAT($A$1, ".", #REF!)</f>
        <v>#REF!</v>
      </c>
      <c r="B47" s="74" t="e">
        <f aca="false">_xlfn.CONCAT(#REF!, ":", #REF!)</f>
        <v>#REF!</v>
      </c>
      <c r="C47" s="85" t="e">
        <f aca="false">#REF!</f>
        <v>#REF!</v>
      </c>
      <c r="D47" s="85" t="e">
        <f aca="false">#REF!</f>
        <v>#REF!</v>
      </c>
      <c r="E47" s="85" t="e">
        <f aca="false">#REF!</f>
        <v>#REF!</v>
      </c>
      <c r="F47" s="85" t="e">
        <f aca="false">#REF!</f>
        <v>#REF!</v>
      </c>
    </row>
    <row r="48" customFormat="false" ht="12.8" hidden="false" customHeight="false" outlineLevel="0" collapsed="false">
      <c r="A48" s="50" t="e">
        <f aca="false">_xlfn.CONCAT($A$1, ".", #REF!)</f>
        <v>#REF!</v>
      </c>
      <c r="B48" s="74" t="e">
        <f aca="false">_xlfn.CONCAT(#REF!, ":", #REF!)</f>
        <v>#REF!</v>
      </c>
      <c r="C48" s="85" t="e">
        <f aca="false">#REF!</f>
        <v>#REF!</v>
      </c>
      <c r="D48" s="85" t="e">
        <f aca="false">#REF!</f>
        <v>#REF!</v>
      </c>
      <c r="E48" s="85" t="e">
        <f aca="false">#REF!</f>
        <v>#REF!</v>
      </c>
      <c r="F48" s="85" t="e">
        <f aca="false">#REF!</f>
        <v>#REF!</v>
      </c>
    </row>
    <row r="49" customFormat="false" ht="12.8" hidden="false" customHeight="false" outlineLevel="0" collapsed="false">
      <c r="A49" s="50" t="e">
        <f aca="false">_xlfn.CONCAT($A$1, ".", #REF!)</f>
        <v>#REF!</v>
      </c>
      <c r="B49" s="74" t="e">
        <f aca="false">_xlfn.CONCAT(#REF!, ":", #REF!)</f>
        <v>#REF!</v>
      </c>
      <c r="C49" s="85" t="e">
        <f aca="false">#REF!</f>
        <v>#REF!</v>
      </c>
      <c r="D49" s="85" t="e">
        <f aca="false">#REF!</f>
        <v>#REF!</v>
      </c>
      <c r="E49" s="85" t="e">
        <f aca="false">#REF!</f>
        <v>#REF!</v>
      </c>
      <c r="F49" s="85" t="e">
        <f aca="false">#REF!</f>
        <v>#REF!</v>
      </c>
    </row>
    <row r="50" customFormat="false" ht="12.8" hidden="false" customHeight="false" outlineLevel="0" collapsed="false">
      <c r="A50" s="50" t="e">
        <f aca="false">_xlfn.CONCAT($A$1, ".", #REF!)</f>
        <v>#REF!</v>
      </c>
      <c r="B50" s="74" t="e">
        <f aca="false">_xlfn.CONCAT(#REF!, ":", #REF!)</f>
        <v>#REF!</v>
      </c>
      <c r="C50" s="85" t="e">
        <f aca="false">#REF!</f>
        <v>#REF!</v>
      </c>
      <c r="D50" s="85" t="e">
        <f aca="false">#REF!</f>
        <v>#REF!</v>
      </c>
      <c r="E50" s="85" t="e">
        <f aca="false">#REF!</f>
        <v>#REF!</v>
      </c>
      <c r="F50" s="85" t="e">
        <f aca="false">#REF!</f>
        <v>#REF!</v>
      </c>
    </row>
    <row r="51" customFormat="false" ht="12.8" hidden="false" customHeight="false" outlineLevel="0" collapsed="false">
      <c r="A51" s="50" t="e">
        <f aca="false">_xlfn.CONCAT($A$1, ".", #REF!)</f>
        <v>#REF!</v>
      </c>
      <c r="B51" s="74" t="e">
        <f aca="false">_xlfn.CONCAT(#REF!, ":", #REF!)</f>
        <v>#REF!</v>
      </c>
      <c r="C51" s="85" t="e">
        <f aca="false">#REF!</f>
        <v>#REF!</v>
      </c>
      <c r="D51" s="85" t="e">
        <f aca="false">#REF!</f>
        <v>#REF!</v>
      </c>
      <c r="E51" s="85" t="e">
        <f aca="false">#REF!</f>
        <v>#REF!</v>
      </c>
      <c r="F51" s="85" t="e">
        <f aca="false">#REF!</f>
        <v>#REF!</v>
      </c>
    </row>
    <row r="52" customFormat="false" ht="12.8" hidden="false" customHeight="false" outlineLevel="0" collapsed="false">
      <c r="A52" s="50" t="e">
        <f aca="false">_xlfn.CONCAT($A$1, ".", #REF!)</f>
        <v>#REF!</v>
      </c>
      <c r="B52" s="74" t="e">
        <f aca="false">_xlfn.CONCAT(#REF!, ":", #REF!)</f>
        <v>#REF!</v>
      </c>
      <c r="C52" s="85" t="e">
        <f aca="false">#REF!</f>
        <v>#REF!</v>
      </c>
      <c r="D52" s="85" t="e">
        <f aca="false">#REF!</f>
        <v>#REF!</v>
      </c>
      <c r="E52" s="85" t="e">
        <f aca="false">#REF!</f>
        <v>#REF!</v>
      </c>
      <c r="F52" s="85" t="e">
        <f aca="false">#REF!</f>
        <v>#REF!</v>
      </c>
    </row>
    <row r="53" customFormat="false" ht="12.8" hidden="false" customHeight="false" outlineLevel="0" collapsed="false">
      <c r="A53" s="50" t="e">
        <f aca="false">_xlfn.CONCAT($A$1, ".", #REF!)</f>
        <v>#REF!</v>
      </c>
      <c r="B53" s="74" t="e">
        <f aca="false">_xlfn.CONCAT(#REF!, ":", #REF!)</f>
        <v>#REF!</v>
      </c>
      <c r="C53" s="85" t="e">
        <f aca="false">#REF!</f>
        <v>#REF!</v>
      </c>
      <c r="D53" s="85" t="e">
        <f aca="false">#REF!</f>
        <v>#REF!</v>
      </c>
      <c r="E53" s="85" t="e">
        <f aca="false">#REF!</f>
        <v>#REF!</v>
      </c>
      <c r="F53" s="85" t="e">
        <f aca="false">#REF!</f>
        <v>#REF!</v>
      </c>
    </row>
    <row r="54" customFormat="false" ht="12.8" hidden="false" customHeight="false" outlineLevel="0" collapsed="false">
      <c r="A54" s="50" t="e">
        <f aca="false">_xlfn.CONCAT($A$1, ".", #REF!)</f>
        <v>#REF!</v>
      </c>
      <c r="B54" s="74" t="e">
        <f aca="false">_xlfn.CONCAT(#REF!, ":", #REF!)</f>
        <v>#REF!</v>
      </c>
      <c r="C54" s="85" t="e">
        <f aca="false">#REF!</f>
        <v>#REF!</v>
      </c>
      <c r="D54" s="85" t="e">
        <f aca="false">#REF!</f>
        <v>#REF!</v>
      </c>
      <c r="E54" s="85" t="e">
        <f aca="false">#REF!</f>
        <v>#REF!</v>
      </c>
      <c r="F54" s="85" t="e">
        <f aca="false">#REF!</f>
        <v>#REF!</v>
      </c>
    </row>
    <row r="55" customFormat="false" ht="12.8" hidden="false" customHeight="false" outlineLevel="0" collapsed="false">
      <c r="A55" s="50" t="e">
        <f aca="false">_xlfn.CONCAT($A$1, ".", #REF!)</f>
        <v>#REF!</v>
      </c>
      <c r="B55" s="74" t="e">
        <f aca="false">_xlfn.CONCAT(#REF!, ":", #REF!)</f>
        <v>#REF!</v>
      </c>
      <c r="C55" s="85" t="e">
        <f aca="false">#REF!</f>
        <v>#REF!</v>
      </c>
      <c r="D55" s="85" t="e">
        <f aca="false">#REF!</f>
        <v>#REF!</v>
      </c>
      <c r="E55" s="85" t="e">
        <f aca="false">#REF!</f>
        <v>#REF!</v>
      </c>
      <c r="F55" s="85"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4"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A202"/>
    <pageSetUpPr fitToPage="false"/>
  </sheetPr>
  <dimension ref="A1:BP248"/>
  <sheetViews>
    <sheetView showFormulas="false" showGridLines="true" showRowColHeaders="true" showZeros="true" rightToLeft="false" tabSelected="false" showOutlineSymbols="true" defaultGridColor="true" view="normal" topLeftCell="A30" colorId="64" zoomScale="65" zoomScaleNormal="65" zoomScalePageLayoutView="100" workbookViewId="0">
      <selection pane="topLeft" activeCell="B45" activeCellId="0" sqref="B45"/>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39"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2987</v>
      </c>
      <c r="B1" s="68" t="s">
        <v>2988</v>
      </c>
      <c r="C1" s="6" t="s">
        <v>2</v>
      </c>
      <c r="D1" s="67" t="s">
        <v>2989</v>
      </c>
      <c r="AZ1" s="39"/>
      <c r="BP1" s="39"/>
    </row>
    <row r="2" customFormat="false" ht="12.8" hidden="false" customHeight="false" outlineLevel="0" collapsed="false">
      <c r="A2" s="83" t="s">
        <v>2979</v>
      </c>
      <c r="B2" s="68" t="s">
        <v>2980</v>
      </c>
      <c r="C2" s="84" t="e">
        <f aca="false">#REF!</f>
        <v>#REF!</v>
      </c>
      <c r="D2" s="84" t="e">
        <f aca="false">#REF!</f>
        <v>#REF!</v>
      </c>
      <c r="E2" s="84" t="e">
        <f aca="false">#REF!</f>
        <v>#REF!</v>
      </c>
      <c r="F2" s="84" t="e">
        <f aca="false">#REF!</f>
        <v>#REF!</v>
      </c>
    </row>
    <row r="3" customFormat="false" ht="12.8" hidden="false" customHeight="false" outlineLevel="0" collapsed="false">
      <c r="A3" s="4" t="e">
        <f aca="false">_xlfn.CONCAT($A$1, ".", #REF!)</f>
        <v>#REF!</v>
      </c>
      <c r="B3" s="49" t="e">
        <f aca="false">_xlfn.CONCAT(#REF!, ":", #REF!)</f>
        <v>#REF!</v>
      </c>
      <c r="C3" s="84" t="e">
        <f aca="false">#REF!</f>
        <v>#REF!</v>
      </c>
      <c r="D3" s="84" t="e">
        <f aca="false">#REF!</f>
        <v>#REF!</v>
      </c>
      <c r="E3" s="84" t="e">
        <f aca="false">#REF!</f>
        <v>#REF!</v>
      </c>
      <c r="F3" s="84" t="e">
        <f aca="false">#REF!</f>
        <v>#REF!</v>
      </c>
    </row>
    <row r="4" customFormat="false" ht="12.8" hidden="false" customHeight="false" outlineLevel="0" collapsed="false">
      <c r="A4" s="50" t="e">
        <f aca="false">_xlfn.CONCAT($A$1, ".", #REF!)</f>
        <v>#REF!</v>
      </c>
      <c r="B4" s="74" t="e">
        <f aca="false">_xlfn.CONCAT(#REF!, ":", #REF!)</f>
        <v>#REF!</v>
      </c>
      <c r="C4" s="85" t="e">
        <f aca="false">#REF!</f>
        <v>#REF!</v>
      </c>
      <c r="D4" s="85" t="e">
        <f aca="false">#REF!</f>
        <v>#REF!</v>
      </c>
      <c r="E4" s="85" t="e">
        <f aca="false">#REF!</f>
        <v>#REF!</v>
      </c>
      <c r="F4" s="85" t="e">
        <f aca="false">#REF!</f>
        <v>#REF!</v>
      </c>
    </row>
    <row r="5" customFormat="false" ht="12.8" hidden="false" customHeight="false" outlineLevel="0" collapsed="false">
      <c r="A5" s="50" t="e">
        <f aca="false">_xlfn.CONCAT($A$1, ".", #REF!)</f>
        <v>#REF!</v>
      </c>
      <c r="B5" s="74" t="e">
        <f aca="false">_xlfn.CONCAT(#REF!, ":", #REF!)</f>
        <v>#REF!</v>
      </c>
      <c r="C5" s="85" t="e">
        <f aca="false">#REF!</f>
        <v>#REF!</v>
      </c>
      <c r="D5" s="85" t="e">
        <f aca="false">#REF!</f>
        <v>#REF!</v>
      </c>
      <c r="E5" s="85" t="e">
        <f aca="false">#REF!</f>
        <v>#REF!</v>
      </c>
      <c r="F5" s="85" t="e">
        <f aca="false">#REF!</f>
        <v>#REF!</v>
      </c>
    </row>
    <row r="6" customFormat="false" ht="12.8" hidden="false" customHeight="false" outlineLevel="0" collapsed="false">
      <c r="A6" s="50" t="e">
        <f aca="false">_xlfn.CONCAT($A$1, ".", #REF!)</f>
        <v>#REF!</v>
      </c>
      <c r="B6" s="74" t="e">
        <f aca="false">_xlfn.CONCAT(#REF!, ":", #REF!)</f>
        <v>#REF!</v>
      </c>
      <c r="C6" s="85" t="e">
        <f aca="false">#REF!</f>
        <v>#REF!</v>
      </c>
      <c r="D6" s="85" t="e">
        <f aca="false">#REF!</f>
        <v>#REF!</v>
      </c>
      <c r="E6" s="85" t="e">
        <f aca="false">#REF!</f>
        <v>#REF!</v>
      </c>
      <c r="F6" s="85" t="e">
        <f aca="false">#REF!</f>
        <v>#REF!</v>
      </c>
    </row>
    <row r="7" customFormat="false" ht="12.8" hidden="false" customHeight="false" outlineLevel="0" collapsed="false">
      <c r="A7" s="50" t="e">
        <f aca="false">_xlfn.CONCAT($A$1, ".", #REF!)</f>
        <v>#REF!</v>
      </c>
      <c r="B7" s="74" t="e">
        <f aca="false">_xlfn.CONCAT(#REF!, ":", #REF!)</f>
        <v>#REF!</v>
      </c>
      <c r="C7" s="85" t="e">
        <f aca="false">#REF!</f>
        <v>#REF!</v>
      </c>
      <c r="D7" s="85" t="e">
        <f aca="false">#REF!</f>
        <v>#REF!</v>
      </c>
      <c r="E7" s="85" t="e">
        <f aca="false">#REF!</f>
        <v>#REF!</v>
      </c>
      <c r="F7" s="85" t="e">
        <f aca="false">#REF!</f>
        <v>#REF!</v>
      </c>
    </row>
    <row r="8" customFormat="false" ht="12.8" hidden="false" customHeight="false" outlineLevel="0" collapsed="false">
      <c r="A8" s="50" t="e">
        <f aca="false">_xlfn.CONCAT($A$1, ".", #REF!)</f>
        <v>#REF!</v>
      </c>
      <c r="B8" s="74" t="e">
        <f aca="false">_xlfn.CONCAT(#REF!, ":", #REF!)</f>
        <v>#REF!</v>
      </c>
      <c r="C8" s="85" t="e">
        <f aca="false">#REF!</f>
        <v>#REF!</v>
      </c>
      <c r="D8" s="85" t="e">
        <f aca="false">#REF!</f>
        <v>#REF!</v>
      </c>
      <c r="E8" s="85" t="e">
        <f aca="false">#REF!</f>
        <v>#REF!</v>
      </c>
      <c r="F8" s="85" t="e">
        <f aca="false">#REF!</f>
        <v>#REF!</v>
      </c>
    </row>
    <row r="9" customFormat="false" ht="12.8" hidden="false" customHeight="false" outlineLevel="0" collapsed="false">
      <c r="A9" s="50" t="e">
        <f aca="false">_xlfn.CONCAT($A$1, ".", #REF!)</f>
        <v>#REF!</v>
      </c>
      <c r="B9" s="74" t="e">
        <f aca="false">_xlfn.CONCAT(#REF!, ":", #REF!)</f>
        <v>#REF!</v>
      </c>
      <c r="C9" s="85" t="e">
        <f aca="false">#REF!</f>
        <v>#REF!</v>
      </c>
      <c r="D9" s="85" t="e">
        <f aca="false">#REF!</f>
        <v>#REF!</v>
      </c>
      <c r="E9" s="85" t="e">
        <f aca="false">#REF!</f>
        <v>#REF!</v>
      </c>
      <c r="F9" s="85" t="e">
        <f aca="false">#REF!</f>
        <v>#REF!</v>
      </c>
    </row>
    <row r="10" customFormat="false" ht="12.8" hidden="false" customHeight="false" outlineLevel="0" collapsed="false">
      <c r="A10" s="50" t="e">
        <f aca="false">_xlfn.CONCAT($A$1, ".", #REF!)</f>
        <v>#REF!</v>
      </c>
      <c r="B10" s="74" t="e">
        <f aca="false">_xlfn.CONCAT(#REF!, ":", #REF!)</f>
        <v>#REF!</v>
      </c>
      <c r="C10" s="85" t="e">
        <f aca="false">#REF!</f>
        <v>#REF!</v>
      </c>
      <c r="D10" s="85" t="e">
        <f aca="false">#REF!</f>
        <v>#REF!</v>
      </c>
      <c r="E10" s="85" t="e">
        <f aca="false">#REF!</f>
        <v>#REF!</v>
      </c>
      <c r="F10" s="85" t="e">
        <f aca="false">#REF!</f>
        <v>#REF!</v>
      </c>
    </row>
    <row r="11" customFormat="false" ht="12.8" hidden="false" customHeight="false" outlineLevel="0" collapsed="false">
      <c r="A11" s="50" t="e">
        <f aca="false">_xlfn.CONCAT($A$1, ".", #REF!)</f>
        <v>#REF!</v>
      </c>
      <c r="B11" s="74" t="e">
        <f aca="false">_xlfn.CONCAT(#REF!, ":", #REF!)</f>
        <v>#REF!</v>
      </c>
      <c r="C11" s="85" t="e">
        <f aca="false">#REF!</f>
        <v>#REF!</v>
      </c>
      <c r="D11" s="85" t="e">
        <f aca="false">#REF!</f>
        <v>#REF!</v>
      </c>
      <c r="E11" s="85" t="e">
        <f aca="false">#REF!</f>
        <v>#REF!</v>
      </c>
      <c r="F11" s="85" t="e">
        <f aca="false">#REF!</f>
        <v>#REF!</v>
      </c>
    </row>
    <row r="12" customFormat="false" ht="12.8" hidden="false" customHeight="false" outlineLevel="0" collapsed="false">
      <c r="A12" s="50" t="e">
        <f aca="false">_xlfn.CONCAT($A$1, ".", #REF!)</f>
        <v>#REF!</v>
      </c>
      <c r="B12" s="74" t="e">
        <f aca="false">_xlfn.CONCAT(#REF!, ":", #REF!)</f>
        <v>#REF!</v>
      </c>
      <c r="C12" s="85" t="e">
        <f aca="false">#REF!</f>
        <v>#REF!</v>
      </c>
      <c r="D12" s="85" t="e">
        <f aca="false">#REF!</f>
        <v>#REF!</v>
      </c>
      <c r="E12" s="85" t="e">
        <f aca="false">#REF!</f>
        <v>#REF!</v>
      </c>
      <c r="F12" s="85" t="e">
        <f aca="false">#REF!</f>
        <v>#REF!</v>
      </c>
    </row>
    <row r="13" customFormat="false" ht="12.8" hidden="false" customHeight="false" outlineLevel="0" collapsed="false">
      <c r="A13" s="50" t="e">
        <f aca="false">_xlfn.CONCAT($A$1, ".", #REF!)</f>
        <v>#REF!</v>
      </c>
      <c r="B13" s="74" t="e">
        <f aca="false">_xlfn.CONCAT(#REF!, ":", #REF!)</f>
        <v>#REF!</v>
      </c>
      <c r="C13" s="85" t="e">
        <f aca="false">#REF!</f>
        <v>#REF!</v>
      </c>
      <c r="D13" s="85" t="e">
        <f aca="false">#REF!</f>
        <v>#REF!</v>
      </c>
      <c r="E13" s="85" t="e">
        <f aca="false">#REF!</f>
        <v>#REF!</v>
      </c>
      <c r="F13" s="85" t="e">
        <f aca="false">#REF!</f>
        <v>#REF!</v>
      </c>
    </row>
    <row r="14" customFormat="false" ht="12.8" hidden="false" customHeight="false" outlineLevel="0" collapsed="false">
      <c r="A14" s="50" t="e">
        <f aca="false">_xlfn.CONCAT($A$1, ".", #REF!)</f>
        <v>#REF!</v>
      </c>
      <c r="B14" s="74" t="e">
        <f aca="false">_xlfn.CONCAT(#REF!, ":", #REF!)</f>
        <v>#REF!</v>
      </c>
      <c r="C14" s="85" t="e">
        <f aca="false">#REF!</f>
        <v>#REF!</v>
      </c>
      <c r="D14" s="85" t="e">
        <f aca="false">#REF!</f>
        <v>#REF!</v>
      </c>
      <c r="E14" s="85" t="e">
        <f aca="false">#REF!</f>
        <v>#REF!</v>
      </c>
      <c r="F14" s="85" t="e">
        <f aca="false">#REF!</f>
        <v>#REF!</v>
      </c>
    </row>
    <row r="15" customFormat="false" ht="12.8" hidden="false" customHeight="false" outlineLevel="0" collapsed="false">
      <c r="A15" s="50" t="e">
        <f aca="false">_xlfn.CONCAT($A$1, ".", #REF!)</f>
        <v>#REF!</v>
      </c>
      <c r="B15" s="74" t="e">
        <f aca="false">_xlfn.CONCAT(#REF!, ":", #REF!)</f>
        <v>#REF!</v>
      </c>
      <c r="C15" s="85" t="e">
        <f aca="false">#REF!</f>
        <v>#REF!</v>
      </c>
      <c r="D15" s="85" t="e">
        <f aca="false">#REF!</f>
        <v>#REF!</v>
      </c>
      <c r="E15" s="85" t="e">
        <f aca="false">#REF!</f>
        <v>#REF!</v>
      </c>
      <c r="F15" s="85" t="e">
        <f aca="false">#REF!</f>
        <v>#REF!</v>
      </c>
    </row>
    <row r="16" customFormat="false" ht="12.8" hidden="false" customHeight="false" outlineLevel="0" collapsed="false">
      <c r="A16" s="50" t="e">
        <f aca="false">_xlfn.CONCAT($A$1, ".", #REF!)</f>
        <v>#REF!</v>
      </c>
      <c r="B16" s="74" t="e">
        <f aca="false">_xlfn.CONCAT(#REF!, ":", #REF!)</f>
        <v>#REF!</v>
      </c>
      <c r="C16" s="85" t="e">
        <f aca="false">#REF!</f>
        <v>#REF!</v>
      </c>
      <c r="D16" s="85" t="e">
        <f aca="false">#REF!</f>
        <v>#REF!</v>
      </c>
      <c r="E16" s="85" t="e">
        <f aca="false">#REF!</f>
        <v>#REF!</v>
      </c>
      <c r="F16" s="85" t="e">
        <f aca="false">#REF!</f>
        <v>#REF!</v>
      </c>
    </row>
    <row r="17" customFormat="false" ht="12.8" hidden="false" customHeight="false" outlineLevel="0" collapsed="false">
      <c r="A17" s="50" t="e">
        <f aca="false">_xlfn.CONCAT($A$1, ".", #REF!)</f>
        <v>#REF!</v>
      </c>
      <c r="B17" s="74" t="e">
        <f aca="false">_xlfn.CONCAT(#REF!, ":", #REF!)</f>
        <v>#REF!</v>
      </c>
      <c r="C17" s="85" t="e">
        <f aca="false">#REF!</f>
        <v>#REF!</v>
      </c>
      <c r="D17" s="85" t="e">
        <f aca="false">#REF!</f>
        <v>#REF!</v>
      </c>
      <c r="E17" s="85" t="e">
        <f aca="false">#REF!</f>
        <v>#REF!</v>
      </c>
      <c r="F17" s="85" t="e">
        <f aca="false">#REF!</f>
        <v>#REF!</v>
      </c>
    </row>
    <row r="18" customFormat="false" ht="12.8" hidden="false" customHeight="false" outlineLevel="0" collapsed="false">
      <c r="A18" s="50" t="e">
        <f aca="false">_xlfn.CONCAT($A$1, ".", #REF!)</f>
        <v>#REF!</v>
      </c>
      <c r="B18" s="74" t="e">
        <f aca="false">_xlfn.CONCAT(#REF!, ":", #REF!)</f>
        <v>#REF!</v>
      </c>
      <c r="C18" s="85" t="e">
        <f aca="false">#REF!</f>
        <v>#REF!</v>
      </c>
      <c r="D18" s="85" t="e">
        <f aca="false">#REF!</f>
        <v>#REF!</v>
      </c>
      <c r="E18" s="85" t="e">
        <f aca="false">#REF!</f>
        <v>#REF!</v>
      </c>
      <c r="F18" s="85" t="e">
        <f aca="false">#REF!</f>
        <v>#REF!</v>
      </c>
    </row>
    <row r="19" customFormat="false" ht="12.8" hidden="false" customHeight="false" outlineLevel="0" collapsed="false">
      <c r="A19" s="50" t="e">
        <f aca="false">_xlfn.CONCAT($A$1, ".", #REF!)</f>
        <v>#REF!</v>
      </c>
      <c r="B19" s="74" t="e">
        <f aca="false">_xlfn.CONCAT(#REF!, ":", #REF!)</f>
        <v>#REF!</v>
      </c>
      <c r="C19" s="85" t="e">
        <f aca="false">#REF!</f>
        <v>#REF!</v>
      </c>
      <c r="D19" s="85" t="e">
        <f aca="false">#REF!</f>
        <v>#REF!</v>
      </c>
      <c r="E19" s="85" t="e">
        <f aca="false">#REF!</f>
        <v>#REF!</v>
      </c>
      <c r="F19" s="85" t="e">
        <f aca="false">#REF!</f>
        <v>#REF!</v>
      </c>
    </row>
    <row r="20" customFormat="false" ht="12.8" hidden="false" customHeight="false" outlineLevel="0" collapsed="false">
      <c r="A20" s="50" t="e">
        <f aca="false">_xlfn.CONCAT($A$1, ".", #REF!)</f>
        <v>#REF!</v>
      </c>
      <c r="B20" s="74" t="e">
        <f aca="false">_xlfn.CONCAT(#REF!, ":", #REF!)</f>
        <v>#REF!</v>
      </c>
      <c r="C20" s="85" t="e">
        <f aca="false">#REF!</f>
        <v>#REF!</v>
      </c>
      <c r="D20" s="85" t="e">
        <f aca="false">#REF!</f>
        <v>#REF!</v>
      </c>
      <c r="E20" s="85" t="e">
        <f aca="false">#REF!</f>
        <v>#REF!</v>
      </c>
      <c r="F20" s="85" t="e">
        <f aca="false">#REF!</f>
        <v>#REF!</v>
      </c>
    </row>
    <row r="21" customFormat="false" ht="12.8" hidden="false" customHeight="false" outlineLevel="0" collapsed="false">
      <c r="A21" s="50" t="e">
        <f aca="false">_xlfn.CONCAT($A$1, ".", #REF!)</f>
        <v>#REF!</v>
      </c>
      <c r="B21" s="74" t="e">
        <f aca="false">_xlfn.CONCAT(#REF!, ":", #REF!)</f>
        <v>#REF!</v>
      </c>
      <c r="C21" s="85" t="e">
        <f aca="false">#REF!</f>
        <v>#REF!</v>
      </c>
      <c r="D21" s="85" t="e">
        <f aca="false">#REF!</f>
        <v>#REF!</v>
      </c>
      <c r="E21" s="85" t="e">
        <f aca="false">#REF!</f>
        <v>#REF!</v>
      </c>
      <c r="F21" s="85" t="e">
        <f aca="false">#REF!</f>
        <v>#REF!</v>
      </c>
    </row>
    <row r="22" customFormat="false" ht="12.8" hidden="false" customHeight="false" outlineLevel="0" collapsed="false">
      <c r="A22" s="50" t="e">
        <f aca="false">_xlfn.CONCAT($A$1, ".", #REF!)</f>
        <v>#REF!</v>
      </c>
      <c r="B22" s="74" t="e">
        <f aca="false">_xlfn.CONCAT(#REF!, ":", #REF!)</f>
        <v>#REF!</v>
      </c>
      <c r="C22" s="85" t="e">
        <f aca="false">#REF!</f>
        <v>#REF!</v>
      </c>
      <c r="D22" s="85" t="e">
        <f aca="false">#REF!</f>
        <v>#REF!</v>
      </c>
      <c r="E22" s="85" t="e">
        <f aca="false">#REF!</f>
        <v>#REF!</v>
      </c>
      <c r="F22" s="85" t="e">
        <f aca="false">#REF!</f>
        <v>#REF!</v>
      </c>
    </row>
    <row r="23" customFormat="false" ht="12.8" hidden="false" customHeight="false" outlineLevel="0" collapsed="false">
      <c r="A23" s="50" t="e">
        <f aca="false">_xlfn.CONCAT($A$1, ".", #REF!)</f>
        <v>#REF!</v>
      </c>
      <c r="B23" s="74" t="e">
        <f aca="false">_xlfn.CONCAT(#REF!, ":", #REF!)</f>
        <v>#REF!</v>
      </c>
      <c r="C23" s="85" t="e">
        <f aca="false">#REF!</f>
        <v>#REF!</v>
      </c>
      <c r="D23" s="85" t="e">
        <f aca="false">#REF!</f>
        <v>#REF!</v>
      </c>
      <c r="E23" s="85" t="e">
        <f aca="false">#REF!</f>
        <v>#REF!</v>
      </c>
      <c r="F23" s="85" t="e">
        <f aca="false">#REF!</f>
        <v>#REF!</v>
      </c>
    </row>
    <row r="24" customFormat="false" ht="12.8" hidden="false" customHeight="false" outlineLevel="0" collapsed="false">
      <c r="A24" s="50" t="e">
        <f aca="false">_xlfn.CONCAT($A$1, ".", #REF!)</f>
        <v>#REF!</v>
      </c>
      <c r="B24" s="74" t="e">
        <f aca="false">_xlfn.CONCAT(#REF!, ":", #REF!)</f>
        <v>#REF!</v>
      </c>
      <c r="C24" s="85" t="e">
        <f aca="false">#REF!</f>
        <v>#REF!</v>
      </c>
      <c r="D24" s="85" t="e">
        <f aca="false">#REF!</f>
        <v>#REF!</v>
      </c>
      <c r="E24" s="85" t="e">
        <f aca="false">#REF!</f>
        <v>#REF!</v>
      </c>
      <c r="F24" s="85" t="e">
        <f aca="false">#REF!</f>
        <v>#REF!</v>
      </c>
    </row>
    <row r="25" customFormat="false" ht="12.8" hidden="false" customHeight="false" outlineLevel="0" collapsed="false">
      <c r="A25" s="50" t="e">
        <f aca="false">_xlfn.CONCAT($A$1, ".", #REF!)</f>
        <v>#REF!</v>
      </c>
      <c r="B25" s="74" t="e">
        <f aca="false">_xlfn.CONCAT(#REF!, ":", #REF!)</f>
        <v>#REF!</v>
      </c>
      <c r="C25" s="85" t="e">
        <f aca="false">#REF!</f>
        <v>#REF!</v>
      </c>
      <c r="D25" s="85" t="e">
        <f aca="false">#REF!</f>
        <v>#REF!</v>
      </c>
      <c r="E25" s="85" t="e">
        <f aca="false">#REF!</f>
        <v>#REF!</v>
      </c>
      <c r="F25" s="85" t="e">
        <f aca="false">#REF!</f>
        <v>#REF!</v>
      </c>
    </row>
    <row r="26" customFormat="false" ht="12.8" hidden="false" customHeight="false" outlineLevel="0" collapsed="false">
      <c r="A26" s="50" t="e">
        <f aca="false">_xlfn.CONCAT($A$1, ".", #REF!)</f>
        <v>#REF!</v>
      </c>
      <c r="B26" s="74" t="e">
        <f aca="false">_xlfn.CONCAT(#REF!, ":", #REF!)</f>
        <v>#REF!</v>
      </c>
      <c r="C26" s="85" t="e">
        <f aca="false">#REF!</f>
        <v>#REF!</v>
      </c>
      <c r="D26" s="85" t="e">
        <f aca="false">#REF!</f>
        <v>#REF!</v>
      </c>
      <c r="E26" s="85" t="e">
        <f aca="false">#REF!</f>
        <v>#REF!</v>
      </c>
      <c r="F26" s="85" t="e">
        <f aca="false">#REF!</f>
        <v>#REF!</v>
      </c>
    </row>
    <row r="27" customFormat="false" ht="12.8" hidden="false" customHeight="false" outlineLevel="0" collapsed="false">
      <c r="A27" s="50" t="e">
        <f aca="false">_xlfn.CONCAT($A$1, ".", #REF!)</f>
        <v>#REF!</v>
      </c>
      <c r="B27" s="74" t="e">
        <f aca="false">_xlfn.CONCAT(#REF!, ":", #REF!)</f>
        <v>#REF!</v>
      </c>
      <c r="C27" s="85" t="e">
        <f aca="false">#REF!</f>
        <v>#REF!</v>
      </c>
      <c r="D27" s="85" t="e">
        <f aca="false">#REF!</f>
        <v>#REF!</v>
      </c>
      <c r="E27" s="85" t="e">
        <f aca="false">#REF!</f>
        <v>#REF!</v>
      </c>
      <c r="F27" s="85" t="e">
        <f aca="false">#REF!</f>
        <v>#REF!</v>
      </c>
    </row>
    <row r="28" customFormat="false" ht="12.8" hidden="false" customHeight="false" outlineLevel="0" collapsed="false">
      <c r="A28" s="50" t="e">
        <f aca="false">_xlfn.CONCAT($A$1, ".", #REF!)</f>
        <v>#REF!</v>
      </c>
      <c r="B28" s="74" t="e">
        <f aca="false">_xlfn.CONCAT(#REF!, ":", #REF!)</f>
        <v>#REF!</v>
      </c>
      <c r="C28" s="85" t="e">
        <f aca="false">#REF!</f>
        <v>#REF!</v>
      </c>
      <c r="D28" s="85" t="e">
        <f aca="false">#REF!</f>
        <v>#REF!</v>
      </c>
      <c r="E28" s="85" t="e">
        <f aca="false">#REF!</f>
        <v>#REF!</v>
      </c>
      <c r="F28" s="85" t="e">
        <f aca="false">#REF!</f>
        <v>#REF!</v>
      </c>
    </row>
    <row r="29" customFormat="false" ht="12.8" hidden="false" customHeight="false" outlineLevel="0" collapsed="false">
      <c r="A29" s="50" t="e">
        <f aca="false">_xlfn.CONCAT($A$1, ".", #REF!)</f>
        <v>#REF!</v>
      </c>
      <c r="B29" s="74" t="e">
        <f aca="false">_xlfn.CONCAT(#REF!, ":", #REF!)</f>
        <v>#REF!</v>
      </c>
      <c r="C29" s="85" t="e">
        <f aca="false">#REF!</f>
        <v>#REF!</v>
      </c>
      <c r="D29" s="85" t="e">
        <f aca="false">#REF!</f>
        <v>#REF!</v>
      </c>
      <c r="E29" s="85" t="e">
        <f aca="false">#REF!</f>
        <v>#REF!</v>
      </c>
      <c r="F29" s="85" t="e">
        <f aca="false">#REF!</f>
        <v>#REF!</v>
      </c>
    </row>
    <row r="30" customFormat="false" ht="12.8" hidden="false" customHeight="false" outlineLevel="0" collapsed="false">
      <c r="A30" s="50" t="e">
        <f aca="false">_xlfn.CONCAT($A$1, ".", #REF!)</f>
        <v>#REF!</v>
      </c>
      <c r="B30" s="74" t="e">
        <f aca="false">_xlfn.CONCAT(#REF!, ":", #REF!)</f>
        <v>#REF!</v>
      </c>
      <c r="C30" s="85" t="e">
        <f aca="false">#REF!</f>
        <v>#REF!</v>
      </c>
      <c r="D30" s="85" t="e">
        <f aca="false">#REF!</f>
        <v>#REF!</v>
      </c>
      <c r="E30" s="85" t="e">
        <f aca="false">#REF!</f>
        <v>#REF!</v>
      </c>
      <c r="F30" s="85" t="e">
        <f aca="false">#REF!</f>
        <v>#REF!</v>
      </c>
    </row>
    <row r="31" customFormat="false" ht="12.8" hidden="false" customHeight="false" outlineLevel="0" collapsed="false">
      <c r="A31" s="50" t="e">
        <f aca="false">_xlfn.CONCAT($A$1, ".", #REF!)</f>
        <v>#REF!</v>
      </c>
      <c r="B31" s="74" t="e">
        <f aca="false">_xlfn.CONCAT(#REF!, ":", #REF!)</f>
        <v>#REF!</v>
      </c>
      <c r="C31" s="85" t="e">
        <f aca="false">#REF!</f>
        <v>#REF!</v>
      </c>
      <c r="D31" s="85" t="e">
        <f aca="false">#REF!</f>
        <v>#REF!</v>
      </c>
      <c r="E31" s="85" t="e">
        <f aca="false">#REF!</f>
        <v>#REF!</v>
      </c>
      <c r="F31" s="85" t="e">
        <f aca="false">#REF!</f>
        <v>#REF!</v>
      </c>
    </row>
    <row r="32" customFormat="false" ht="12.8" hidden="false" customHeight="false" outlineLevel="0" collapsed="false">
      <c r="A32" s="50" t="e">
        <f aca="false">_xlfn.CONCAT($A$1, ".", #REF!)</f>
        <v>#REF!</v>
      </c>
      <c r="B32" s="74" t="e">
        <f aca="false">_xlfn.CONCAT(#REF!, ":", #REF!)</f>
        <v>#REF!</v>
      </c>
      <c r="C32" s="85" t="e">
        <f aca="false">#REF!</f>
        <v>#REF!</v>
      </c>
      <c r="D32" s="85" t="e">
        <f aca="false">#REF!</f>
        <v>#REF!</v>
      </c>
      <c r="E32" s="85" t="e">
        <f aca="false">#REF!</f>
        <v>#REF!</v>
      </c>
      <c r="F32" s="85" t="e">
        <f aca="false">#REF!</f>
        <v>#REF!</v>
      </c>
    </row>
    <row r="33" customFormat="false" ht="12.8" hidden="false" customHeight="false" outlineLevel="0" collapsed="false">
      <c r="A33" s="50" t="e">
        <f aca="false">_xlfn.CONCAT($A$1, ".", #REF!)</f>
        <v>#REF!</v>
      </c>
      <c r="B33" s="74" t="e">
        <f aca="false">_xlfn.CONCAT(#REF!, ":", #REF!)</f>
        <v>#REF!</v>
      </c>
      <c r="C33" s="85" t="e">
        <f aca="false">#REF!</f>
        <v>#REF!</v>
      </c>
      <c r="D33" s="85" t="e">
        <f aca="false">#REF!</f>
        <v>#REF!</v>
      </c>
      <c r="E33" s="85" t="e">
        <f aca="false">#REF!</f>
        <v>#REF!</v>
      </c>
      <c r="F33" s="85" t="e">
        <f aca="false">#REF!</f>
        <v>#REF!</v>
      </c>
    </row>
    <row r="34" customFormat="false" ht="12.8" hidden="false" customHeight="false" outlineLevel="0" collapsed="false">
      <c r="A34" s="50" t="e">
        <f aca="false">_xlfn.CONCAT($A$1, ".", #REF!)</f>
        <v>#REF!</v>
      </c>
      <c r="B34" s="74" t="e">
        <f aca="false">_xlfn.CONCAT(#REF!, ":", #REF!)</f>
        <v>#REF!</v>
      </c>
      <c r="C34" s="85" t="e">
        <f aca="false">#REF!</f>
        <v>#REF!</v>
      </c>
      <c r="D34" s="85" t="e">
        <f aca="false">#REF!</f>
        <v>#REF!</v>
      </c>
      <c r="E34" s="85" t="e">
        <f aca="false">#REF!</f>
        <v>#REF!</v>
      </c>
      <c r="F34" s="85" t="e">
        <f aca="false">#REF!</f>
        <v>#REF!</v>
      </c>
    </row>
    <row r="35" customFormat="false" ht="12.8" hidden="false" customHeight="false" outlineLevel="0" collapsed="false">
      <c r="A35" s="50" t="e">
        <f aca="false">_xlfn.CONCAT($A$1, ".", #REF!)</f>
        <v>#REF!</v>
      </c>
      <c r="B35" s="74" t="e">
        <f aca="false">_xlfn.CONCAT(#REF!, ":", #REF!)</f>
        <v>#REF!</v>
      </c>
      <c r="C35" s="85" t="e">
        <f aca="false">#REF!</f>
        <v>#REF!</v>
      </c>
      <c r="D35" s="85" t="e">
        <f aca="false">#REF!</f>
        <v>#REF!</v>
      </c>
      <c r="E35" s="85" t="e">
        <f aca="false">#REF!</f>
        <v>#REF!</v>
      </c>
      <c r="F35" s="85" t="e">
        <f aca="false">#REF!</f>
        <v>#REF!</v>
      </c>
    </row>
    <row r="36" customFormat="false" ht="12.8" hidden="false" customHeight="false" outlineLevel="0" collapsed="false">
      <c r="A36" s="50" t="e">
        <f aca="false">_xlfn.CONCAT($A$1, ".", #REF!)</f>
        <v>#REF!</v>
      </c>
      <c r="B36" s="74" t="e">
        <f aca="false">_xlfn.CONCAT(#REF!, ":", #REF!)</f>
        <v>#REF!</v>
      </c>
      <c r="C36" s="85" t="e">
        <f aca="false">#REF!</f>
        <v>#REF!</v>
      </c>
      <c r="D36" s="85" t="e">
        <f aca="false">#REF!</f>
        <v>#REF!</v>
      </c>
      <c r="E36" s="85" t="e">
        <f aca="false">#REF!</f>
        <v>#REF!</v>
      </c>
      <c r="F36" s="85" t="e">
        <f aca="false">#REF!</f>
        <v>#REF!</v>
      </c>
    </row>
    <row r="37" customFormat="false" ht="12.8" hidden="false" customHeight="false" outlineLevel="0" collapsed="false">
      <c r="A37" s="50" t="e">
        <f aca="false">_xlfn.CONCAT($A$1, ".", #REF!)</f>
        <v>#REF!</v>
      </c>
      <c r="B37" s="74" t="e">
        <f aca="false">_xlfn.CONCAT(#REF!, ":", #REF!)</f>
        <v>#REF!</v>
      </c>
      <c r="C37" s="85" t="e">
        <f aca="false">#REF!</f>
        <v>#REF!</v>
      </c>
      <c r="D37" s="85" t="e">
        <f aca="false">#REF!</f>
        <v>#REF!</v>
      </c>
      <c r="E37" s="85" t="e">
        <f aca="false">#REF!</f>
        <v>#REF!</v>
      </c>
      <c r="F37" s="85" t="e">
        <f aca="false">#REF!</f>
        <v>#REF!</v>
      </c>
    </row>
    <row r="38" customFormat="false" ht="12.8" hidden="false" customHeight="false" outlineLevel="0" collapsed="false">
      <c r="A38" s="50" t="e">
        <f aca="false">_xlfn.CONCAT($A$1, ".", #REF!)</f>
        <v>#REF!</v>
      </c>
      <c r="B38" s="74" t="e">
        <f aca="false">_xlfn.CONCAT(#REF!, ":", #REF!)</f>
        <v>#REF!</v>
      </c>
      <c r="C38" s="85" t="e">
        <f aca="false">#REF!</f>
        <v>#REF!</v>
      </c>
      <c r="D38" s="85" t="e">
        <f aca="false">#REF!</f>
        <v>#REF!</v>
      </c>
      <c r="E38" s="85" t="e">
        <f aca="false">#REF!</f>
        <v>#REF!</v>
      </c>
      <c r="F38" s="85" t="e">
        <f aca="false">#REF!</f>
        <v>#REF!</v>
      </c>
    </row>
    <row r="39" customFormat="false" ht="12.8" hidden="false" customHeight="false" outlineLevel="0" collapsed="false">
      <c r="A39" s="50" t="e">
        <f aca="false">_xlfn.CONCAT($A$1, ".", #REF!)</f>
        <v>#REF!</v>
      </c>
      <c r="B39" s="74" t="e">
        <f aca="false">_xlfn.CONCAT(#REF!, ":", #REF!)</f>
        <v>#REF!</v>
      </c>
      <c r="C39" s="85" t="e">
        <f aca="false">#REF!</f>
        <v>#REF!</v>
      </c>
      <c r="D39" s="85" t="e">
        <f aca="false">#REF!</f>
        <v>#REF!</v>
      </c>
      <c r="E39" s="85" t="e">
        <f aca="false">#REF!</f>
        <v>#REF!</v>
      </c>
      <c r="F39" s="85" t="e">
        <f aca="false">#REF!</f>
        <v>#REF!</v>
      </c>
    </row>
    <row r="40" customFormat="false" ht="12.8" hidden="false" customHeight="false" outlineLevel="0" collapsed="false">
      <c r="A40" s="50" t="e">
        <f aca="false">_xlfn.CONCAT($A$1, ".", #REF!)</f>
        <v>#REF!</v>
      </c>
      <c r="B40" s="74" t="e">
        <f aca="false">_xlfn.CONCAT(#REF!, ":", #REF!)</f>
        <v>#REF!</v>
      </c>
      <c r="C40" s="85" t="e">
        <f aca="false">#REF!</f>
        <v>#REF!</v>
      </c>
      <c r="D40" s="85" t="e">
        <f aca="false">#REF!</f>
        <v>#REF!</v>
      </c>
      <c r="E40" s="85" t="e">
        <f aca="false">#REF!</f>
        <v>#REF!</v>
      </c>
      <c r="F40" s="85" t="e">
        <f aca="false">#REF!</f>
        <v>#REF!</v>
      </c>
    </row>
    <row r="41" customFormat="false" ht="12.8" hidden="false" customHeight="false" outlineLevel="0" collapsed="false">
      <c r="A41" s="50" t="e">
        <f aca="false">_xlfn.CONCAT($A$1, ".", #REF!)</f>
        <v>#REF!</v>
      </c>
      <c r="B41" s="74" t="e">
        <f aca="false">_xlfn.CONCAT(#REF!, ":", #REF!)</f>
        <v>#REF!</v>
      </c>
      <c r="C41" s="85" t="e">
        <f aca="false">#REF!</f>
        <v>#REF!</v>
      </c>
      <c r="D41" s="85" t="e">
        <f aca="false">#REF!</f>
        <v>#REF!</v>
      </c>
      <c r="E41" s="85" t="e">
        <f aca="false">#REF!</f>
        <v>#REF!</v>
      </c>
      <c r="F41" s="85" t="e">
        <f aca="false">#REF!</f>
        <v>#REF!</v>
      </c>
    </row>
    <row r="42" customFormat="false" ht="12.8" hidden="false" customHeight="false" outlineLevel="0" collapsed="false">
      <c r="A42" s="50" t="e">
        <f aca="false">_xlfn.CONCAT($A$1, ".", #REF!)</f>
        <v>#REF!</v>
      </c>
      <c r="B42" s="74" t="e">
        <f aca="false">_xlfn.CONCAT(#REF!, ":", #REF!)</f>
        <v>#REF!</v>
      </c>
      <c r="C42" s="85" t="e">
        <f aca="false">#REF!</f>
        <v>#REF!</v>
      </c>
      <c r="D42" s="85" t="e">
        <f aca="false">#REF!</f>
        <v>#REF!</v>
      </c>
      <c r="E42" s="85" t="e">
        <f aca="false">#REF!</f>
        <v>#REF!</v>
      </c>
      <c r="F42" s="85" t="e">
        <f aca="false">#REF!</f>
        <v>#REF!</v>
      </c>
    </row>
    <row r="43" customFormat="false" ht="12.8" hidden="false" customHeight="false" outlineLevel="0" collapsed="false">
      <c r="A43" s="50" t="e">
        <f aca="false">_xlfn.CONCAT($A$1, ".", #REF!)</f>
        <v>#REF!</v>
      </c>
      <c r="B43" s="74" t="e">
        <f aca="false">_xlfn.CONCAT(#REF!, ":", #REF!)</f>
        <v>#REF!</v>
      </c>
      <c r="C43" s="85" t="e">
        <f aca="false">#REF!</f>
        <v>#REF!</v>
      </c>
      <c r="D43" s="85" t="e">
        <f aca="false">#REF!</f>
        <v>#REF!</v>
      </c>
      <c r="E43" s="85" t="e">
        <f aca="false">#REF!</f>
        <v>#REF!</v>
      </c>
      <c r="F43" s="85" t="e">
        <f aca="false">#REF!</f>
        <v>#REF!</v>
      </c>
    </row>
    <row r="44" customFormat="false" ht="12.8" hidden="false" customHeight="false" outlineLevel="0" collapsed="false">
      <c r="A44" s="50" t="e">
        <f aca="false">_xlfn.CONCAT($A$1, ".", #REF!)</f>
        <v>#REF!</v>
      </c>
      <c r="B44" s="74" t="e">
        <f aca="false">_xlfn.CONCAT(#REF!, ":", #REF!)</f>
        <v>#REF!</v>
      </c>
      <c r="C44" s="85" t="e">
        <f aca="false">#REF!</f>
        <v>#REF!</v>
      </c>
      <c r="D44" s="85" t="e">
        <f aca="false">#REF!</f>
        <v>#REF!</v>
      </c>
      <c r="E44" s="85" t="e">
        <f aca="false">#REF!</f>
        <v>#REF!</v>
      </c>
      <c r="F44" s="85" t="e">
        <f aca="false">#REF!</f>
        <v>#REF!</v>
      </c>
    </row>
    <row r="45" customFormat="false" ht="12.8" hidden="false" customHeight="false" outlineLevel="0" collapsed="false">
      <c r="A45" s="50" t="e">
        <f aca="false">_xlfn.CONCAT($A$1, ".", #REF!)</f>
        <v>#REF!</v>
      </c>
      <c r="B45" s="74" t="e">
        <f aca="false">_xlfn.CONCAT(#REF!, ":", #REF!)</f>
        <v>#REF!</v>
      </c>
      <c r="C45" s="85" t="e">
        <f aca="false">#REF!</f>
        <v>#REF!</v>
      </c>
      <c r="D45" s="85" t="e">
        <f aca="false">#REF!</f>
        <v>#REF!</v>
      </c>
      <c r="E45" s="85" t="e">
        <f aca="false">#REF!</f>
        <v>#REF!</v>
      </c>
      <c r="F45" s="85" t="e">
        <f aca="false">#REF!</f>
        <v>#REF!</v>
      </c>
    </row>
    <row r="46" customFormat="false" ht="12.8" hidden="false" customHeight="false" outlineLevel="0" collapsed="false">
      <c r="A46" s="50" t="e">
        <f aca="false">_xlfn.CONCAT($A$1, ".", #REF!)</f>
        <v>#REF!</v>
      </c>
      <c r="B46" s="74" t="e">
        <f aca="false">_xlfn.CONCAT(#REF!, ":", #REF!)</f>
        <v>#REF!</v>
      </c>
      <c r="C46" s="85" t="e">
        <f aca="false">#REF!</f>
        <v>#REF!</v>
      </c>
      <c r="D46" s="85" t="e">
        <f aca="false">#REF!</f>
        <v>#REF!</v>
      </c>
      <c r="E46" s="85" t="e">
        <f aca="false">#REF!</f>
        <v>#REF!</v>
      </c>
      <c r="F46" s="85" t="e">
        <f aca="false">#REF!</f>
        <v>#REF!</v>
      </c>
    </row>
    <row r="47" customFormat="false" ht="12.8" hidden="false" customHeight="false" outlineLevel="0" collapsed="false">
      <c r="A47" s="50" t="e">
        <f aca="false">_xlfn.CONCAT($A$1, ".", #REF!)</f>
        <v>#REF!</v>
      </c>
      <c r="B47" s="74" t="e">
        <f aca="false">_xlfn.CONCAT(#REF!, ":", #REF!)</f>
        <v>#REF!</v>
      </c>
      <c r="C47" s="85" t="e">
        <f aca="false">#REF!</f>
        <v>#REF!</v>
      </c>
      <c r="D47" s="85" t="e">
        <f aca="false">#REF!</f>
        <v>#REF!</v>
      </c>
      <c r="E47" s="85" t="e">
        <f aca="false">#REF!</f>
        <v>#REF!</v>
      </c>
      <c r="F47" s="85" t="e">
        <f aca="false">#REF!</f>
        <v>#REF!</v>
      </c>
    </row>
    <row r="48" customFormat="false" ht="12.8" hidden="false" customHeight="false" outlineLevel="0" collapsed="false">
      <c r="A48" s="50" t="e">
        <f aca="false">_xlfn.CONCAT($A$1, ".", #REF!)</f>
        <v>#REF!</v>
      </c>
      <c r="B48" s="74" t="e">
        <f aca="false">_xlfn.CONCAT(#REF!, ":", #REF!)</f>
        <v>#REF!</v>
      </c>
      <c r="C48" s="85" t="e">
        <f aca="false">#REF!</f>
        <v>#REF!</v>
      </c>
      <c r="D48" s="85" t="e">
        <f aca="false">#REF!</f>
        <v>#REF!</v>
      </c>
      <c r="E48" s="85" t="e">
        <f aca="false">#REF!</f>
        <v>#REF!</v>
      </c>
      <c r="F48" s="85" t="e">
        <f aca="false">#REF!</f>
        <v>#REF!</v>
      </c>
    </row>
    <row r="49" customFormat="false" ht="12.8" hidden="false" customHeight="false" outlineLevel="0" collapsed="false">
      <c r="A49" s="50" t="e">
        <f aca="false">_xlfn.CONCAT($A$1, ".", #REF!)</f>
        <v>#REF!</v>
      </c>
      <c r="B49" s="74" t="e">
        <f aca="false">_xlfn.CONCAT(#REF!, ":", #REF!)</f>
        <v>#REF!</v>
      </c>
      <c r="C49" s="85" t="e">
        <f aca="false">#REF!</f>
        <v>#REF!</v>
      </c>
      <c r="D49" s="85" t="e">
        <f aca="false">#REF!</f>
        <v>#REF!</v>
      </c>
      <c r="E49" s="85" t="e">
        <f aca="false">#REF!</f>
        <v>#REF!</v>
      </c>
      <c r="F49" s="85" t="e">
        <f aca="false">#REF!</f>
        <v>#REF!</v>
      </c>
    </row>
    <row r="50" customFormat="false" ht="12.8" hidden="false" customHeight="false" outlineLevel="0" collapsed="false">
      <c r="A50" s="50" t="e">
        <f aca="false">_xlfn.CONCAT($A$1, ".", #REF!)</f>
        <v>#REF!</v>
      </c>
      <c r="B50" s="74" t="e">
        <f aca="false">_xlfn.CONCAT(#REF!, ":", #REF!)</f>
        <v>#REF!</v>
      </c>
      <c r="C50" s="85" t="e">
        <f aca="false">#REF!</f>
        <v>#REF!</v>
      </c>
      <c r="D50" s="85" t="e">
        <f aca="false">#REF!</f>
        <v>#REF!</v>
      </c>
      <c r="E50" s="85" t="e">
        <f aca="false">#REF!</f>
        <v>#REF!</v>
      </c>
      <c r="F50" s="85" t="e">
        <f aca="false">#REF!</f>
        <v>#REF!</v>
      </c>
    </row>
    <row r="51" customFormat="false" ht="12.8" hidden="false" customHeight="false" outlineLevel="0" collapsed="false">
      <c r="A51" s="50" t="e">
        <f aca="false">_xlfn.CONCAT($A$1, ".", #REF!)</f>
        <v>#REF!</v>
      </c>
      <c r="B51" s="74" t="e">
        <f aca="false">_xlfn.CONCAT(#REF!, ":", #REF!)</f>
        <v>#REF!</v>
      </c>
      <c r="C51" s="85" t="e">
        <f aca="false">#REF!</f>
        <v>#REF!</v>
      </c>
      <c r="D51" s="85" t="e">
        <f aca="false">#REF!</f>
        <v>#REF!</v>
      </c>
      <c r="E51" s="85" t="e">
        <f aca="false">#REF!</f>
        <v>#REF!</v>
      </c>
      <c r="F51" s="85" t="e">
        <f aca="false">#REF!</f>
        <v>#REF!</v>
      </c>
    </row>
    <row r="52" customFormat="false" ht="12.8" hidden="false" customHeight="false" outlineLevel="0" collapsed="false">
      <c r="A52" s="50" t="e">
        <f aca="false">_xlfn.CONCAT($A$1, ".", #REF!)</f>
        <v>#REF!</v>
      </c>
      <c r="B52" s="74" t="e">
        <f aca="false">_xlfn.CONCAT(#REF!, ":", #REF!)</f>
        <v>#REF!</v>
      </c>
      <c r="C52" s="85" t="e">
        <f aca="false">#REF!</f>
        <v>#REF!</v>
      </c>
      <c r="D52" s="85" t="e">
        <f aca="false">#REF!</f>
        <v>#REF!</v>
      </c>
      <c r="E52" s="85" t="e">
        <f aca="false">#REF!</f>
        <v>#REF!</v>
      </c>
      <c r="F52" s="85" t="e">
        <f aca="false">#REF!</f>
        <v>#REF!</v>
      </c>
    </row>
    <row r="53" customFormat="false" ht="12.8" hidden="false" customHeight="false" outlineLevel="0" collapsed="false">
      <c r="A53" s="50" t="e">
        <f aca="false">_xlfn.CONCAT($A$1, ".", #REF!)</f>
        <v>#REF!</v>
      </c>
      <c r="B53" s="74" t="e">
        <f aca="false">_xlfn.CONCAT(#REF!, ":", #REF!)</f>
        <v>#REF!</v>
      </c>
      <c r="C53" s="85" t="e">
        <f aca="false">#REF!</f>
        <v>#REF!</v>
      </c>
      <c r="D53" s="85" t="e">
        <f aca="false">#REF!</f>
        <v>#REF!</v>
      </c>
      <c r="E53" s="85" t="e">
        <f aca="false">#REF!</f>
        <v>#REF!</v>
      </c>
      <c r="F53" s="85" t="e">
        <f aca="false">#REF!</f>
        <v>#REF!</v>
      </c>
    </row>
    <row r="54" customFormat="false" ht="12.8" hidden="false" customHeight="false" outlineLevel="0" collapsed="false">
      <c r="A54" s="50" t="e">
        <f aca="false">_xlfn.CONCAT($A$1, ".", #REF!)</f>
        <v>#REF!</v>
      </c>
      <c r="B54" s="74" t="e">
        <f aca="false">_xlfn.CONCAT(#REF!, ":", #REF!)</f>
        <v>#REF!</v>
      </c>
      <c r="C54" s="85" t="e">
        <f aca="false">#REF!</f>
        <v>#REF!</v>
      </c>
      <c r="D54" s="85" t="e">
        <f aca="false">#REF!</f>
        <v>#REF!</v>
      </c>
      <c r="E54" s="85" t="e">
        <f aca="false">#REF!</f>
        <v>#REF!</v>
      </c>
      <c r="F54" s="85" t="e">
        <f aca="false">#REF!</f>
        <v>#REF!</v>
      </c>
    </row>
    <row r="55" customFormat="false" ht="12.8" hidden="false" customHeight="false" outlineLevel="0" collapsed="false">
      <c r="A55" s="50" t="e">
        <f aca="false">_xlfn.CONCAT($A$1, ".", #REF!)</f>
        <v>#REF!</v>
      </c>
      <c r="B55" s="74" t="e">
        <f aca="false">_xlfn.CONCAT(#REF!, ":", #REF!)</f>
        <v>#REF!</v>
      </c>
      <c r="C55" s="85" t="e">
        <f aca="false">#REF!</f>
        <v>#REF!</v>
      </c>
      <c r="D55" s="85" t="e">
        <f aca="false">#REF!</f>
        <v>#REF!</v>
      </c>
      <c r="E55" s="85" t="e">
        <f aca="false">#REF!</f>
        <v>#REF!</v>
      </c>
      <c r="F55" s="85" t="e">
        <f aca="false">#REF!</f>
        <v>#REF!</v>
      </c>
    </row>
    <row r="56" customFormat="false" ht="12.8" hidden="false" customHeight="false" outlineLevel="0" collapsed="false">
      <c r="C56" s="84"/>
      <c r="D56" s="84"/>
      <c r="E56" s="84"/>
      <c r="F56" s="84"/>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E905"/>
    <pageSetUpPr fitToPage="false"/>
  </sheetPr>
  <dimension ref="A1:BP249"/>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H32" activeCellId="0" sqref="H32"/>
    </sheetView>
  </sheetViews>
  <sheetFormatPr defaultColWidth="11.53515625" defaultRowHeight="12.8" customHeight="false" zeroHeight="false" outlineLevelRow="1" outlineLevelCol="0"/>
  <cols>
    <col collapsed="false" customWidth="true" hidden="false" outlineLevel="0" max="1" min="1" style="50" width="13.84"/>
    <col collapsed="false" customWidth="true" hidden="false" outlineLevel="0" max="2" min="2" style="72" width="36.9"/>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23.85" hidden="false" customHeight="false" outlineLevel="0" collapsed="false">
      <c r="A1" s="4" t="s">
        <v>2990</v>
      </c>
      <c r="B1" s="73" t="s">
        <v>2991</v>
      </c>
      <c r="C1" s="6" t="s">
        <v>2</v>
      </c>
      <c r="D1" s="39" t="s">
        <v>2992</v>
      </c>
      <c r="AZ1" s="39"/>
      <c r="BP1" s="39"/>
    </row>
    <row r="2" customFormat="false" ht="12.8" hidden="false" customHeight="false" outlineLevel="0" collapsed="false">
      <c r="A2" s="81" t="s">
        <v>2979</v>
      </c>
      <c r="B2" s="82" t="s">
        <v>2980</v>
      </c>
      <c r="C2" s="84" t="e">
        <f aca="false">#REF!</f>
        <v>#REF!</v>
      </c>
      <c r="D2" s="84" t="e">
        <f aca="false">#REF!</f>
        <v>#REF!</v>
      </c>
      <c r="E2" s="84" t="e">
        <f aca="false">#REF!</f>
        <v>#REF!</v>
      </c>
      <c r="F2" s="84" t="e">
        <f aca="false">#REF!</f>
        <v>#REF!</v>
      </c>
    </row>
    <row r="3" customFormat="false" ht="12.8" hidden="false" customHeight="false" outlineLevel="0" collapsed="false">
      <c r="A3" s="50" t="e">
        <f aca="false">_xlfn.CONCAT($A$1, ".", #REF!)</f>
        <v>#REF!</v>
      </c>
      <c r="B3" s="69" t="e">
        <f aca="false">_xlfn.CONCAT(#REF!, ":", #REF!)</f>
        <v>#REF!</v>
      </c>
      <c r="C3" s="84" t="e">
        <f aca="false">#REF!</f>
        <v>#REF!</v>
      </c>
      <c r="D3" s="84" t="e">
        <f aca="false">#REF!</f>
        <v>#REF!</v>
      </c>
      <c r="E3" s="84" t="e">
        <f aca="false">#REF!</f>
        <v>#REF!</v>
      </c>
      <c r="F3" s="84" t="e">
        <f aca="false">#REF!</f>
        <v>#REF!</v>
      </c>
    </row>
    <row r="4" customFormat="false" ht="12.8" hidden="false" customHeight="false" outlineLevel="0" collapsed="false">
      <c r="A4" s="50" t="e">
        <f aca="false">_xlfn.CONCAT($A$1, ".", #REF!)</f>
        <v>#REF!</v>
      </c>
      <c r="B4" s="69" t="e">
        <f aca="false">_xlfn.CONCAT(#REF!, ":", #REF!)</f>
        <v>#REF!</v>
      </c>
      <c r="C4" s="84" t="e">
        <f aca="false">#REF!</f>
        <v>#REF!</v>
      </c>
      <c r="D4" s="84" t="e">
        <f aca="false">#REF!</f>
        <v>#REF!</v>
      </c>
      <c r="E4" s="84" t="e">
        <f aca="false">#REF!</f>
        <v>#REF!</v>
      </c>
      <c r="F4" s="84" t="e">
        <f aca="false">#REF!</f>
        <v>#REF!</v>
      </c>
    </row>
    <row r="5" customFormat="false" ht="12.8" hidden="false" customHeight="false" outlineLevel="0" collapsed="false">
      <c r="A5" s="50" t="e">
        <f aca="false">_xlfn.CONCAT($A$1, ".", #REF!)</f>
        <v>#REF!</v>
      </c>
      <c r="B5" s="69" t="e">
        <f aca="false">_xlfn.CONCAT(#REF!, ":", #REF!)</f>
        <v>#REF!</v>
      </c>
      <c r="C5" s="84" t="e">
        <f aca="false">#REF!</f>
        <v>#REF!</v>
      </c>
      <c r="D5" s="84" t="e">
        <f aca="false">#REF!</f>
        <v>#REF!</v>
      </c>
      <c r="E5" s="84" t="e">
        <f aca="false">#REF!</f>
        <v>#REF!</v>
      </c>
      <c r="F5" s="84" t="e">
        <f aca="false">#REF!</f>
        <v>#REF!</v>
      </c>
    </row>
    <row r="6" customFormat="false" ht="12.8" hidden="false" customHeight="false" outlineLevel="0" collapsed="false">
      <c r="A6" s="50" t="e">
        <f aca="false">_xlfn.CONCAT($A$1, ".", #REF!)</f>
        <v>#REF!</v>
      </c>
      <c r="B6" s="69" t="e">
        <f aca="false">_xlfn.CONCAT(#REF!, ":", #REF!)</f>
        <v>#REF!</v>
      </c>
      <c r="C6" s="84" t="e">
        <f aca="false">#REF!</f>
        <v>#REF!</v>
      </c>
      <c r="D6" s="84" t="e">
        <f aca="false">#REF!</f>
        <v>#REF!</v>
      </c>
      <c r="E6" s="84" t="e">
        <f aca="false">#REF!</f>
        <v>#REF!</v>
      </c>
      <c r="F6" s="84" t="e">
        <f aca="false">#REF!</f>
        <v>#REF!</v>
      </c>
    </row>
    <row r="7" customFormat="false" ht="12.8" hidden="false" customHeight="false" outlineLevel="0" collapsed="false">
      <c r="A7" s="50" t="e">
        <f aca="false">_xlfn.CONCAT($A$1, ".", #REF!)</f>
        <v>#REF!</v>
      </c>
      <c r="B7" s="69" t="e">
        <f aca="false">_xlfn.CONCAT(#REF!, ":", #REF!)</f>
        <v>#REF!</v>
      </c>
      <c r="C7" s="84" t="e">
        <f aca="false">#REF!</f>
        <v>#REF!</v>
      </c>
      <c r="D7" s="84" t="e">
        <f aca="false">#REF!</f>
        <v>#REF!</v>
      </c>
      <c r="E7" s="84" t="e">
        <f aca="false">#REF!</f>
        <v>#REF!</v>
      </c>
      <c r="F7" s="84" t="e">
        <f aca="false">#REF!</f>
        <v>#REF!</v>
      </c>
    </row>
    <row r="8" customFormat="false" ht="12.8" hidden="false" customHeight="false" outlineLevel="0" collapsed="false">
      <c r="A8" s="50" t="e">
        <f aca="false">_xlfn.CONCAT($A$1, ".", #REF!)</f>
        <v>#REF!</v>
      </c>
      <c r="B8" s="69" t="e">
        <f aca="false">_xlfn.CONCAT(#REF!, ":", #REF!)</f>
        <v>#REF!</v>
      </c>
      <c r="C8" s="84" t="e">
        <f aca="false">#REF!</f>
        <v>#REF!</v>
      </c>
      <c r="D8" s="84" t="e">
        <f aca="false">#REF!</f>
        <v>#REF!</v>
      </c>
      <c r="E8" s="84" t="e">
        <f aca="false">#REF!</f>
        <v>#REF!</v>
      </c>
      <c r="F8" s="84" t="e">
        <f aca="false">#REF!</f>
        <v>#REF!</v>
      </c>
    </row>
    <row r="9" customFormat="false" ht="12.8" hidden="false" customHeight="false" outlineLevel="0" collapsed="false">
      <c r="A9" s="50" t="e">
        <f aca="false">_xlfn.CONCAT($A$1, ".", #REF!)</f>
        <v>#REF!</v>
      </c>
      <c r="B9" s="69" t="e">
        <f aca="false">_xlfn.CONCAT(#REF!, ":", #REF!)</f>
        <v>#REF!</v>
      </c>
      <c r="C9" s="84" t="e">
        <f aca="false">#REF!</f>
        <v>#REF!</v>
      </c>
      <c r="D9" s="84" t="e">
        <f aca="false">#REF!</f>
        <v>#REF!</v>
      </c>
      <c r="E9" s="84" t="e">
        <f aca="false">#REF!</f>
        <v>#REF!</v>
      </c>
      <c r="F9" s="84" t="e">
        <f aca="false">#REF!</f>
        <v>#REF!</v>
      </c>
    </row>
    <row r="10" customFormat="false" ht="12.8" hidden="false" customHeight="false" outlineLevel="0" collapsed="false">
      <c r="A10" s="50" t="e">
        <f aca="false">_xlfn.CONCAT($A$1, ".", #REF!)</f>
        <v>#REF!</v>
      </c>
      <c r="B10" s="69" t="e">
        <f aca="false">_xlfn.CONCAT(#REF!, ":", #REF!)</f>
        <v>#REF!</v>
      </c>
      <c r="C10" s="84" t="e">
        <f aca="false">#REF!</f>
        <v>#REF!</v>
      </c>
      <c r="D10" s="84" t="e">
        <f aca="false">#REF!</f>
        <v>#REF!</v>
      </c>
      <c r="E10" s="84" t="e">
        <f aca="false">#REF!</f>
        <v>#REF!</v>
      </c>
      <c r="F10" s="84" t="e">
        <f aca="false">#REF!</f>
        <v>#REF!</v>
      </c>
    </row>
    <row r="11" customFormat="false" ht="12.8" hidden="false" customHeight="false" outlineLevel="0" collapsed="false">
      <c r="A11" s="50" t="e">
        <f aca="false">_xlfn.CONCAT($A$1, ".", #REF!)</f>
        <v>#REF!</v>
      </c>
      <c r="B11" s="69" t="e">
        <f aca="false">_xlfn.CONCAT(#REF!, ":", #REF!)</f>
        <v>#REF!</v>
      </c>
      <c r="C11" s="84" t="e">
        <f aca="false">#REF!</f>
        <v>#REF!</v>
      </c>
      <c r="D11" s="84" t="e">
        <f aca="false">#REF!</f>
        <v>#REF!</v>
      </c>
      <c r="E11" s="84" t="e">
        <f aca="false">#REF!</f>
        <v>#REF!</v>
      </c>
      <c r="F11" s="84" t="e">
        <f aca="false">#REF!</f>
        <v>#REF!</v>
      </c>
    </row>
    <row r="12" customFormat="false" ht="12.8" hidden="false" customHeight="false" outlineLevel="0" collapsed="false">
      <c r="A12" s="50" t="e">
        <f aca="false">_xlfn.CONCAT($A$1, ".", #REF!)</f>
        <v>#REF!</v>
      </c>
      <c r="B12" s="69" t="e">
        <f aca="false">_xlfn.CONCAT(#REF!, ":", #REF!)</f>
        <v>#REF!</v>
      </c>
      <c r="C12" s="84" t="e">
        <f aca="false">#REF!</f>
        <v>#REF!</v>
      </c>
      <c r="D12" s="84" t="e">
        <f aca="false">#REF!</f>
        <v>#REF!</v>
      </c>
      <c r="E12" s="84" t="e">
        <f aca="false">#REF!</f>
        <v>#REF!</v>
      </c>
      <c r="F12" s="84" t="e">
        <f aca="false">#REF!</f>
        <v>#REF!</v>
      </c>
    </row>
    <row r="13" customFormat="false" ht="12.8" hidden="false" customHeight="false" outlineLevel="0" collapsed="false">
      <c r="A13" s="50" t="e">
        <f aca="false">_xlfn.CONCAT($A$1, ".", #REF!)</f>
        <v>#REF!</v>
      </c>
      <c r="B13" s="69" t="e">
        <f aca="false">_xlfn.CONCAT(#REF!, ":", #REF!)</f>
        <v>#REF!</v>
      </c>
      <c r="C13" s="84" t="e">
        <f aca="false">#REF!</f>
        <v>#REF!</v>
      </c>
      <c r="D13" s="84" t="e">
        <f aca="false">#REF!</f>
        <v>#REF!</v>
      </c>
      <c r="E13" s="84" t="e">
        <f aca="false">#REF!</f>
        <v>#REF!</v>
      </c>
      <c r="F13" s="84" t="e">
        <f aca="false">#REF!</f>
        <v>#REF!</v>
      </c>
    </row>
    <row r="14" customFormat="false" ht="12.8" hidden="false" customHeight="false" outlineLevel="0" collapsed="false">
      <c r="A14" s="50" t="e">
        <f aca="false">_xlfn.CONCAT($A$1, ".", #REF!)</f>
        <v>#REF!</v>
      </c>
      <c r="B14" s="69" t="e">
        <f aca="false">_xlfn.CONCAT(#REF!, ":", #REF!)</f>
        <v>#REF!</v>
      </c>
      <c r="C14" s="84" t="e">
        <f aca="false">#REF!</f>
        <v>#REF!</v>
      </c>
      <c r="D14" s="84" t="e">
        <f aca="false">#REF!</f>
        <v>#REF!</v>
      </c>
      <c r="E14" s="84" t="e">
        <f aca="false">#REF!</f>
        <v>#REF!</v>
      </c>
      <c r="F14" s="84" t="e">
        <f aca="false">#REF!</f>
        <v>#REF!</v>
      </c>
    </row>
    <row r="15" customFormat="false" ht="12.8" hidden="false" customHeight="false" outlineLevel="0" collapsed="false">
      <c r="A15" s="50" t="e">
        <f aca="false">_xlfn.CONCAT($A$1, ".", #REF!)</f>
        <v>#REF!</v>
      </c>
      <c r="B15" s="69" t="e">
        <f aca="false">_xlfn.CONCAT(#REF!, ":", #REF!)</f>
        <v>#REF!</v>
      </c>
      <c r="C15" s="84" t="e">
        <f aca="false">#REF!</f>
        <v>#REF!</v>
      </c>
      <c r="D15" s="84" t="e">
        <f aca="false">#REF!</f>
        <v>#REF!</v>
      </c>
      <c r="E15" s="84" t="e">
        <f aca="false">#REF!</f>
        <v>#REF!</v>
      </c>
      <c r="F15" s="84" t="e">
        <f aca="false">#REF!</f>
        <v>#REF!</v>
      </c>
    </row>
    <row r="16" customFormat="false" ht="12.8" hidden="false" customHeight="false" outlineLevel="0" collapsed="false">
      <c r="A16" s="50" t="e">
        <f aca="false">_xlfn.CONCAT($A$1, ".", #REF!)</f>
        <v>#REF!</v>
      </c>
      <c r="B16" s="69" t="e">
        <f aca="false">_xlfn.CONCAT(#REF!, ":", #REF!)</f>
        <v>#REF!</v>
      </c>
      <c r="C16" s="84" t="e">
        <f aca="false">#REF!</f>
        <v>#REF!</v>
      </c>
      <c r="D16" s="84" t="e">
        <f aca="false">#REF!</f>
        <v>#REF!</v>
      </c>
      <c r="E16" s="84" t="e">
        <f aca="false">#REF!</f>
        <v>#REF!</v>
      </c>
      <c r="F16" s="84" t="e">
        <f aca="false">#REF!</f>
        <v>#REF!</v>
      </c>
    </row>
    <row r="17" customFormat="false" ht="12.8" hidden="false" customHeight="false" outlineLevel="0" collapsed="false">
      <c r="A17" s="50" t="e">
        <f aca="false">_xlfn.CONCAT($A$1, ".", #REF!)</f>
        <v>#REF!</v>
      </c>
      <c r="B17" s="69" t="e">
        <f aca="false">_xlfn.CONCAT(#REF!, ":", #REF!)</f>
        <v>#REF!</v>
      </c>
      <c r="C17" s="84" t="e">
        <f aca="false">#REF!</f>
        <v>#REF!</v>
      </c>
      <c r="D17" s="84" t="e">
        <f aca="false">#REF!</f>
        <v>#REF!</v>
      </c>
      <c r="E17" s="84" t="e">
        <f aca="false">#REF!</f>
        <v>#REF!</v>
      </c>
      <c r="F17" s="84" t="e">
        <f aca="false">#REF!</f>
        <v>#REF!</v>
      </c>
    </row>
    <row r="18" customFormat="false" ht="12.8" hidden="false" customHeight="false" outlineLevel="0" collapsed="false">
      <c r="A18" s="50" t="e">
        <f aca="false">_xlfn.CONCAT($A$1, ".", #REF!)</f>
        <v>#REF!</v>
      </c>
      <c r="B18" s="69" t="e">
        <f aca="false">_xlfn.CONCAT(#REF!, ":", #REF!)</f>
        <v>#REF!</v>
      </c>
      <c r="C18" s="84" t="e">
        <f aca="false">#REF!</f>
        <v>#REF!</v>
      </c>
      <c r="D18" s="84" t="e">
        <f aca="false">#REF!</f>
        <v>#REF!</v>
      </c>
      <c r="E18" s="84" t="e">
        <f aca="false">#REF!</f>
        <v>#REF!</v>
      </c>
      <c r="F18" s="84" t="e">
        <f aca="false">#REF!</f>
        <v>#REF!</v>
      </c>
    </row>
    <row r="19" customFormat="false" ht="12.8" hidden="false" customHeight="false" outlineLevel="0" collapsed="false">
      <c r="A19" s="50" t="e">
        <f aca="false">_xlfn.CONCAT($A$1, ".", #REF!)</f>
        <v>#REF!</v>
      </c>
      <c r="B19" s="69" t="e">
        <f aca="false">_xlfn.CONCAT(#REF!, ":", #REF!)</f>
        <v>#REF!</v>
      </c>
      <c r="C19" s="84" t="e">
        <f aca="false">#REF!</f>
        <v>#REF!</v>
      </c>
      <c r="D19" s="84" t="e">
        <f aca="false">#REF!</f>
        <v>#REF!</v>
      </c>
      <c r="E19" s="84" t="e">
        <f aca="false">#REF!</f>
        <v>#REF!</v>
      </c>
      <c r="F19" s="84" t="e">
        <f aca="false">#REF!</f>
        <v>#REF!</v>
      </c>
    </row>
    <row r="20" customFormat="false" ht="12.8" hidden="false" customHeight="false" outlineLevel="0" collapsed="false">
      <c r="A20" s="50" t="e">
        <f aca="false">_xlfn.CONCAT($A$1, ".", #REF!)</f>
        <v>#REF!</v>
      </c>
      <c r="B20" s="69" t="e">
        <f aca="false">_xlfn.CONCAT(#REF!, ":", #REF!)</f>
        <v>#REF!</v>
      </c>
      <c r="C20" s="84" t="e">
        <f aca="false">#REF!</f>
        <v>#REF!</v>
      </c>
      <c r="D20" s="84" t="e">
        <f aca="false">#REF!</f>
        <v>#REF!</v>
      </c>
      <c r="E20" s="84" t="e">
        <f aca="false">#REF!</f>
        <v>#REF!</v>
      </c>
      <c r="F20" s="84" t="e">
        <f aca="false">#REF!</f>
        <v>#REF!</v>
      </c>
    </row>
    <row r="21" customFormat="false" ht="12.8" hidden="false" customHeight="false" outlineLevel="0" collapsed="false">
      <c r="A21" s="50" t="e">
        <f aca="false">_xlfn.CONCAT($A$1, ".", #REF!)</f>
        <v>#REF!</v>
      </c>
      <c r="B21" s="69" t="e">
        <f aca="false">_xlfn.CONCAT(#REF!, ":", #REF!)</f>
        <v>#REF!</v>
      </c>
      <c r="C21" s="84" t="e">
        <f aca="false">#REF!</f>
        <v>#REF!</v>
      </c>
      <c r="D21" s="84" t="e">
        <f aca="false">#REF!</f>
        <v>#REF!</v>
      </c>
      <c r="E21" s="84" t="e">
        <f aca="false">#REF!</f>
        <v>#REF!</v>
      </c>
      <c r="F21" s="84" t="e">
        <f aca="false">#REF!</f>
        <v>#REF!</v>
      </c>
    </row>
    <row r="22" customFormat="false" ht="12.8" hidden="false" customHeight="false" outlineLevel="0" collapsed="false">
      <c r="A22" s="50" t="e">
        <f aca="false">_xlfn.CONCAT($A$1, ".", #REF!)</f>
        <v>#REF!</v>
      </c>
      <c r="B22" s="69" t="e">
        <f aca="false">_xlfn.CONCAT(#REF!, ":", #REF!)</f>
        <v>#REF!</v>
      </c>
      <c r="C22" s="84" t="e">
        <f aca="false">#REF!</f>
        <v>#REF!</v>
      </c>
      <c r="D22" s="84" t="e">
        <f aca="false">#REF!</f>
        <v>#REF!</v>
      </c>
      <c r="E22" s="84" t="e">
        <f aca="false">#REF!</f>
        <v>#REF!</v>
      </c>
      <c r="F22" s="84" t="e">
        <f aca="false">#REF!</f>
        <v>#REF!</v>
      </c>
    </row>
    <row r="23" customFormat="false" ht="12.8" hidden="false" customHeight="false" outlineLevel="0" collapsed="false">
      <c r="A23" s="50" t="e">
        <f aca="false">_xlfn.CONCAT($A$1, ".", #REF!)</f>
        <v>#REF!</v>
      </c>
      <c r="B23" s="69" t="e">
        <f aca="false">_xlfn.CONCAT(#REF!, ":", #REF!)</f>
        <v>#REF!</v>
      </c>
      <c r="C23" s="84" t="e">
        <f aca="false">#REF!</f>
        <v>#REF!</v>
      </c>
      <c r="D23" s="84" t="e">
        <f aca="false">#REF!</f>
        <v>#REF!</v>
      </c>
      <c r="E23" s="84" t="e">
        <f aca="false">#REF!</f>
        <v>#REF!</v>
      </c>
      <c r="F23" s="84" t="e">
        <f aca="false">#REF!</f>
        <v>#REF!</v>
      </c>
    </row>
    <row r="24" customFormat="false" ht="12.8" hidden="false" customHeight="false" outlineLevel="0" collapsed="false">
      <c r="A24" s="50" t="e">
        <f aca="false">_xlfn.CONCAT($A$1, ".", #REF!)</f>
        <v>#REF!</v>
      </c>
      <c r="B24" s="69" t="e">
        <f aca="false">_xlfn.CONCAT(#REF!, ":", #REF!)</f>
        <v>#REF!</v>
      </c>
      <c r="C24" s="84" t="e">
        <f aca="false">#REF!</f>
        <v>#REF!</v>
      </c>
      <c r="D24" s="84" t="e">
        <f aca="false">#REF!</f>
        <v>#REF!</v>
      </c>
      <c r="E24" s="84" t="e">
        <f aca="false">#REF!</f>
        <v>#REF!</v>
      </c>
      <c r="F24" s="84" t="e">
        <f aca="false">#REF!</f>
        <v>#REF!</v>
      </c>
    </row>
    <row r="25" customFormat="false" ht="12.8" hidden="false" customHeight="false" outlineLevel="0" collapsed="false">
      <c r="A25" s="50" t="e">
        <f aca="false">_xlfn.CONCAT($A$1, ".", #REF!)</f>
        <v>#REF!</v>
      </c>
      <c r="B25" s="69" t="e">
        <f aca="false">_xlfn.CONCAT(#REF!, ":", #REF!)</f>
        <v>#REF!</v>
      </c>
      <c r="C25" s="84" t="e">
        <f aca="false">#REF!</f>
        <v>#REF!</v>
      </c>
      <c r="D25" s="84" t="e">
        <f aca="false">#REF!</f>
        <v>#REF!</v>
      </c>
      <c r="E25" s="84" t="e">
        <f aca="false">#REF!</f>
        <v>#REF!</v>
      </c>
      <c r="F25" s="84" t="e">
        <f aca="false">#REF!</f>
        <v>#REF!</v>
      </c>
    </row>
    <row r="26" customFormat="false" ht="12.8" hidden="false" customHeight="false" outlineLevel="0" collapsed="false">
      <c r="A26" s="50" t="e">
        <f aca="false">_xlfn.CONCAT($A$1, ".", #REF!)</f>
        <v>#REF!</v>
      </c>
      <c r="B26" s="69" t="e">
        <f aca="false">_xlfn.CONCAT(#REF!, ":", #REF!)</f>
        <v>#REF!</v>
      </c>
      <c r="C26" s="84" t="e">
        <f aca="false">#REF!</f>
        <v>#REF!</v>
      </c>
      <c r="D26" s="84" t="e">
        <f aca="false">#REF!</f>
        <v>#REF!</v>
      </c>
      <c r="E26" s="84" t="e">
        <f aca="false">#REF!</f>
        <v>#REF!</v>
      </c>
      <c r="F26" s="84" t="e">
        <f aca="false">#REF!</f>
        <v>#REF!</v>
      </c>
    </row>
    <row r="27" customFormat="false" ht="12.8" hidden="false" customHeight="false" outlineLevel="0" collapsed="false">
      <c r="A27" s="50" t="e">
        <f aca="false">_xlfn.CONCAT($A$1, ".", #REF!)</f>
        <v>#REF!</v>
      </c>
      <c r="B27" s="69" t="e">
        <f aca="false">_xlfn.CONCAT(#REF!, ":", #REF!)</f>
        <v>#REF!</v>
      </c>
      <c r="C27" s="84" t="e">
        <f aca="false">#REF!</f>
        <v>#REF!</v>
      </c>
      <c r="D27" s="84" t="e">
        <f aca="false">#REF!</f>
        <v>#REF!</v>
      </c>
      <c r="E27" s="84" t="e">
        <f aca="false">#REF!</f>
        <v>#REF!</v>
      </c>
      <c r="F27" s="84" t="e">
        <f aca="false">#REF!</f>
        <v>#REF!</v>
      </c>
    </row>
    <row r="28" customFormat="false" ht="12.8" hidden="false" customHeight="false" outlineLevel="0" collapsed="false">
      <c r="A28" s="50" t="e">
        <f aca="false">_xlfn.CONCAT($A$1, ".", #REF!)</f>
        <v>#REF!</v>
      </c>
      <c r="B28" s="69" t="e">
        <f aca="false">_xlfn.CONCAT(#REF!, ":", #REF!)</f>
        <v>#REF!</v>
      </c>
      <c r="C28" s="84" t="e">
        <f aca="false">#REF!</f>
        <v>#REF!</v>
      </c>
      <c r="D28" s="84" t="e">
        <f aca="false">#REF!</f>
        <v>#REF!</v>
      </c>
      <c r="E28" s="84" t="e">
        <f aca="false">#REF!</f>
        <v>#REF!</v>
      </c>
      <c r="F28" s="84" t="e">
        <f aca="false">#REF!</f>
        <v>#REF!</v>
      </c>
    </row>
    <row r="29" customFormat="false" ht="12.8" hidden="false" customHeight="false" outlineLevel="0" collapsed="false">
      <c r="A29" s="50" t="e">
        <f aca="false">_xlfn.CONCAT($A$1, ".", #REF!)</f>
        <v>#REF!</v>
      </c>
      <c r="B29" s="69" t="e">
        <f aca="false">_xlfn.CONCAT(#REF!, ":", #REF!)</f>
        <v>#REF!</v>
      </c>
      <c r="C29" s="84" t="e">
        <f aca="false">#REF!</f>
        <v>#REF!</v>
      </c>
      <c r="D29" s="84" t="e">
        <f aca="false">#REF!</f>
        <v>#REF!</v>
      </c>
      <c r="E29" s="84" t="e">
        <f aca="false">#REF!</f>
        <v>#REF!</v>
      </c>
      <c r="F29" s="84" t="e">
        <f aca="false">#REF!</f>
        <v>#REF!</v>
      </c>
    </row>
    <row r="30" customFormat="false" ht="12.8" hidden="false" customHeight="false" outlineLevel="0" collapsed="false">
      <c r="A30" s="50" t="e">
        <f aca="false">_xlfn.CONCAT($A$1, ".", #REF!)</f>
        <v>#REF!</v>
      </c>
      <c r="B30" s="69" t="e">
        <f aca="false">_xlfn.CONCAT(#REF!, ":", #REF!)</f>
        <v>#REF!</v>
      </c>
      <c r="C30" s="84" t="e">
        <f aca="false">#REF!</f>
        <v>#REF!</v>
      </c>
      <c r="D30" s="84" t="e">
        <f aca="false">#REF!</f>
        <v>#REF!</v>
      </c>
      <c r="E30" s="84" t="e">
        <f aca="false">#REF!</f>
        <v>#REF!</v>
      </c>
      <c r="F30" s="84" t="e">
        <f aca="false">#REF!</f>
        <v>#REF!</v>
      </c>
    </row>
    <row r="31" customFormat="false" ht="12.8" hidden="false" customHeight="false" outlineLevel="0" collapsed="false">
      <c r="A31" s="50" t="e">
        <f aca="false">_xlfn.CONCAT($A$1, ".", #REF!)</f>
        <v>#REF!</v>
      </c>
      <c r="B31" s="69" t="e">
        <f aca="false">_xlfn.CONCAT(#REF!, ":", #REF!)</f>
        <v>#REF!</v>
      </c>
      <c r="C31" s="84" t="e">
        <f aca="false">#REF!</f>
        <v>#REF!</v>
      </c>
      <c r="D31" s="84" t="e">
        <f aca="false">#REF!</f>
        <v>#REF!</v>
      </c>
      <c r="E31" s="84" t="e">
        <f aca="false">#REF!</f>
        <v>#REF!</v>
      </c>
      <c r="F31" s="84" t="e">
        <f aca="false">#REF!</f>
        <v>#REF!</v>
      </c>
    </row>
    <row r="32" customFormat="false" ht="12.8" hidden="false" customHeight="false" outlineLevel="0" collapsed="false">
      <c r="A32" s="50" t="e">
        <f aca="false">_xlfn.CONCAT($A$1, ".", #REF!)</f>
        <v>#REF!</v>
      </c>
      <c r="B32" s="69" t="e">
        <f aca="false">_xlfn.CONCAT(#REF!, ":", #REF!)</f>
        <v>#REF!</v>
      </c>
      <c r="C32" s="84" t="e">
        <f aca="false">#REF!</f>
        <v>#REF!</v>
      </c>
      <c r="D32" s="84" t="e">
        <f aca="false">#REF!</f>
        <v>#REF!</v>
      </c>
      <c r="E32" s="84" t="e">
        <f aca="false">#REF!</f>
        <v>#REF!</v>
      </c>
      <c r="F32" s="84" t="e">
        <f aca="false">#REF!</f>
        <v>#REF!</v>
      </c>
    </row>
    <row r="33" customFormat="false" ht="12.8" hidden="false" customHeight="false" outlineLevel="0" collapsed="false">
      <c r="A33" s="50" t="e">
        <f aca="false">_xlfn.CONCAT($A$1, ".", #REF!)</f>
        <v>#REF!</v>
      </c>
      <c r="B33" s="69" t="e">
        <f aca="false">_xlfn.CONCAT(#REF!, ":", #REF!)</f>
        <v>#REF!</v>
      </c>
      <c r="C33" s="84" t="e">
        <f aca="false">#REF!</f>
        <v>#REF!</v>
      </c>
      <c r="D33" s="84" t="e">
        <f aca="false">#REF!</f>
        <v>#REF!</v>
      </c>
      <c r="E33" s="84" t="e">
        <f aca="false">#REF!</f>
        <v>#REF!</v>
      </c>
      <c r="F33" s="84" t="e">
        <f aca="false">#REF!</f>
        <v>#REF!</v>
      </c>
    </row>
    <row r="34" customFormat="false" ht="12.8" hidden="false" customHeight="false" outlineLevel="0" collapsed="false">
      <c r="A34" s="50" t="e">
        <f aca="false">_xlfn.CONCAT($A$1, ".", #REF!)</f>
        <v>#REF!</v>
      </c>
      <c r="B34" s="69" t="e">
        <f aca="false">_xlfn.CONCAT(#REF!, ":", #REF!)</f>
        <v>#REF!</v>
      </c>
      <c r="C34" s="84" t="e">
        <f aca="false">#REF!</f>
        <v>#REF!</v>
      </c>
      <c r="D34" s="84" t="e">
        <f aca="false">#REF!</f>
        <v>#REF!</v>
      </c>
      <c r="E34" s="84" t="e">
        <f aca="false">#REF!</f>
        <v>#REF!</v>
      </c>
      <c r="F34" s="84" t="e">
        <f aca="false">#REF!</f>
        <v>#REF!</v>
      </c>
    </row>
    <row r="35" customFormat="false" ht="12.8" hidden="false" customHeight="false" outlineLevel="0" collapsed="false">
      <c r="A35" s="50" t="e">
        <f aca="false">_xlfn.CONCAT($A$1, ".", #REF!)</f>
        <v>#REF!</v>
      </c>
      <c r="B35" s="69" t="e">
        <f aca="false">_xlfn.CONCAT(#REF!, ":", #REF!)</f>
        <v>#REF!</v>
      </c>
      <c r="C35" s="84" t="e">
        <f aca="false">#REF!</f>
        <v>#REF!</v>
      </c>
      <c r="D35" s="84" t="e">
        <f aca="false">#REF!</f>
        <v>#REF!</v>
      </c>
      <c r="E35" s="84" t="e">
        <f aca="false">#REF!</f>
        <v>#REF!</v>
      </c>
      <c r="F35" s="84" t="e">
        <f aca="false">#REF!</f>
        <v>#REF!</v>
      </c>
    </row>
    <row r="36" customFormat="false" ht="12.8" hidden="false" customHeight="false" outlineLevel="0" collapsed="false">
      <c r="A36" s="50" t="e">
        <f aca="false">_xlfn.CONCAT($A$1, ".", #REF!)</f>
        <v>#REF!</v>
      </c>
      <c r="B36" s="69" t="e">
        <f aca="false">_xlfn.CONCAT(#REF!, ":", #REF!)</f>
        <v>#REF!</v>
      </c>
      <c r="C36" s="84" t="e">
        <f aca="false">#REF!</f>
        <v>#REF!</v>
      </c>
      <c r="D36" s="84" t="e">
        <f aca="false">#REF!</f>
        <v>#REF!</v>
      </c>
      <c r="E36" s="84" t="e">
        <f aca="false">#REF!</f>
        <v>#REF!</v>
      </c>
      <c r="F36" s="84" t="e">
        <f aca="false">#REF!</f>
        <v>#REF!</v>
      </c>
    </row>
    <row r="37" customFormat="false" ht="12.8" hidden="false" customHeight="false" outlineLevel="0" collapsed="false">
      <c r="A37" s="50" t="e">
        <f aca="false">_xlfn.CONCAT($A$1, ".", #REF!)</f>
        <v>#REF!</v>
      </c>
      <c r="B37" s="69" t="e">
        <f aca="false">_xlfn.CONCAT(#REF!, ":", #REF!)</f>
        <v>#REF!</v>
      </c>
      <c r="C37" s="84" t="e">
        <f aca="false">#REF!</f>
        <v>#REF!</v>
      </c>
      <c r="D37" s="84" t="e">
        <f aca="false">#REF!</f>
        <v>#REF!</v>
      </c>
      <c r="E37" s="84" t="e">
        <f aca="false">#REF!</f>
        <v>#REF!</v>
      </c>
      <c r="F37" s="84" t="e">
        <f aca="false">#REF!</f>
        <v>#REF!</v>
      </c>
    </row>
    <row r="38" customFormat="false" ht="12.8" hidden="false" customHeight="false" outlineLevel="0" collapsed="false">
      <c r="A38" s="50" t="e">
        <f aca="false">_xlfn.CONCAT($A$1, ".", #REF!)</f>
        <v>#REF!</v>
      </c>
      <c r="B38" s="69" t="e">
        <f aca="false">_xlfn.CONCAT(#REF!, ":", #REF!)</f>
        <v>#REF!</v>
      </c>
      <c r="C38" s="84" t="e">
        <f aca="false">#REF!</f>
        <v>#REF!</v>
      </c>
      <c r="D38" s="84" t="e">
        <f aca="false">#REF!</f>
        <v>#REF!</v>
      </c>
      <c r="E38" s="84" t="e">
        <f aca="false">#REF!</f>
        <v>#REF!</v>
      </c>
      <c r="F38" s="84" t="e">
        <f aca="false">#REF!</f>
        <v>#REF!</v>
      </c>
    </row>
    <row r="39" customFormat="false" ht="12.8" hidden="false" customHeight="false" outlineLevel="0" collapsed="false">
      <c r="A39" s="50" t="e">
        <f aca="false">_xlfn.CONCAT($A$1, ".", #REF!)</f>
        <v>#REF!</v>
      </c>
      <c r="B39" s="69" t="e">
        <f aca="false">_xlfn.CONCAT(#REF!, ":", #REF!)</f>
        <v>#REF!</v>
      </c>
      <c r="C39" s="84" t="e">
        <f aca="false">#REF!</f>
        <v>#REF!</v>
      </c>
      <c r="D39" s="84" t="e">
        <f aca="false">#REF!</f>
        <v>#REF!</v>
      </c>
      <c r="E39" s="84" t="e">
        <f aca="false">#REF!</f>
        <v>#REF!</v>
      </c>
      <c r="F39" s="84" t="e">
        <f aca="false">#REF!</f>
        <v>#REF!</v>
      </c>
    </row>
    <row r="40" customFormat="false" ht="12.8" hidden="false" customHeight="false" outlineLevel="0" collapsed="false">
      <c r="A40" s="50" t="e">
        <f aca="false">_xlfn.CONCAT($A$1, ".", #REF!)</f>
        <v>#REF!</v>
      </c>
      <c r="B40" s="69" t="e">
        <f aca="false">_xlfn.CONCAT(#REF!, ":", #REF!)</f>
        <v>#REF!</v>
      </c>
      <c r="C40" s="84" t="e">
        <f aca="false">#REF!</f>
        <v>#REF!</v>
      </c>
      <c r="D40" s="84" t="e">
        <f aca="false">#REF!</f>
        <v>#REF!</v>
      </c>
      <c r="E40" s="84" t="e">
        <f aca="false">#REF!</f>
        <v>#REF!</v>
      </c>
      <c r="F40" s="84" t="e">
        <f aca="false">#REF!</f>
        <v>#REF!</v>
      </c>
    </row>
    <row r="41" customFormat="false" ht="12.8" hidden="false" customHeight="false" outlineLevel="0" collapsed="false">
      <c r="A41" s="50" t="e">
        <f aca="false">_xlfn.CONCAT($A$1, ".", #REF!)</f>
        <v>#REF!</v>
      </c>
      <c r="B41" s="69" t="e">
        <f aca="false">_xlfn.CONCAT(#REF!, ":", #REF!)</f>
        <v>#REF!</v>
      </c>
      <c r="C41" s="84" t="e">
        <f aca="false">#REF!</f>
        <v>#REF!</v>
      </c>
      <c r="D41" s="84" t="e">
        <f aca="false">#REF!</f>
        <v>#REF!</v>
      </c>
      <c r="E41" s="84" t="e">
        <f aca="false">#REF!</f>
        <v>#REF!</v>
      </c>
      <c r="F41" s="84" t="e">
        <f aca="false">#REF!</f>
        <v>#REF!</v>
      </c>
    </row>
    <row r="42" customFormat="false" ht="12.8" hidden="false" customHeight="false" outlineLevel="0" collapsed="false">
      <c r="A42" s="50" t="e">
        <f aca="false">_xlfn.CONCAT($A$1, ".", #REF!)</f>
        <v>#REF!</v>
      </c>
      <c r="B42" s="69" t="e">
        <f aca="false">_xlfn.CONCAT(#REF!, ":", #REF!)</f>
        <v>#REF!</v>
      </c>
      <c r="C42" s="84" t="e">
        <f aca="false">#REF!</f>
        <v>#REF!</v>
      </c>
      <c r="D42" s="84" t="e">
        <f aca="false">#REF!</f>
        <v>#REF!</v>
      </c>
      <c r="E42" s="84" t="e">
        <f aca="false">#REF!</f>
        <v>#REF!</v>
      </c>
      <c r="F42" s="84" t="e">
        <f aca="false">#REF!</f>
        <v>#REF!</v>
      </c>
    </row>
    <row r="43" customFormat="false" ht="12.8" hidden="false" customHeight="false" outlineLevel="0" collapsed="false">
      <c r="A43" s="50" t="e">
        <f aca="false">_xlfn.CONCAT($A$1, ".", #REF!)</f>
        <v>#REF!</v>
      </c>
      <c r="B43" s="69" t="e">
        <f aca="false">_xlfn.CONCAT(#REF!, ":", #REF!)</f>
        <v>#REF!</v>
      </c>
      <c r="C43" s="84" t="e">
        <f aca="false">#REF!</f>
        <v>#REF!</v>
      </c>
      <c r="D43" s="84" t="e">
        <f aca="false">#REF!</f>
        <v>#REF!</v>
      </c>
      <c r="E43" s="84" t="e">
        <f aca="false">#REF!</f>
        <v>#REF!</v>
      </c>
      <c r="F43" s="84" t="e">
        <f aca="false">#REF!</f>
        <v>#REF!</v>
      </c>
    </row>
    <row r="44" customFormat="false" ht="12.8" hidden="false" customHeight="false" outlineLevel="0" collapsed="false">
      <c r="A44" s="50" t="e">
        <f aca="false">_xlfn.CONCAT($A$1, ".", #REF!)</f>
        <v>#REF!</v>
      </c>
      <c r="B44" s="69" t="e">
        <f aca="false">_xlfn.CONCAT(#REF!, ":", #REF!)</f>
        <v>#REF!</v>
      </c>
      <c r="C44" s="84" t="e">
        <f aca="false">#REF!</f>
        <v>#REF!</v>
      </c>
      <c r="D44" s="84" t="e">
        <f aca="false">#REF!</f>
        <v>#REF!</v>
      </c>
      <c r="E44" s="84" t="e">
        <f aca="false">#REF!</f>
        <v>#REF!</v>
      </c>
      <c r="F44" s="84" t="e">
        <f aca="false">#REF!</f>
        <v>#REF!</v>
      </c>
    </row>
    <row r="45" customFormat="false" ht="12.8" hidden="false" customHeight="false" outlineLevel="0" collapsed="false">
      <c r="A45" s="50" t="e">
        <f aca="false">_xlfn.CONCAT($A$1, ".", #REF!)</f>
        <v>#REF!</v>
      </c>
      <c r="B45" s="69" t="e">
        <f aca="false">_xlfn.CONCAT(#REF!, ":", #REF!)</f>
        <v>#REF!</v>
      </c>
      <c r="C45" s="84" t="e">
        <f aca="false">#REF!</f>
        <v>#REF!</v>
      </c>
      <c r="D45" s="84" t="e">
        <f aca="false">#REF!</f>
        <v>#REF!</v>
      </c>
      <c r="E45" s="84" t="e">
        <f aca="false">#REF!</f>
        <v>#REF!</v>
      </c>
      <c r="F45" s="84" t="e">
        <f aca="false">#REF!</f>
        <v>#REF!</v>
      </c>
    </row>
    <row r="46" customFormat="false" ht="12.8" hidden="false" customHeight="false" outlineLevel="0" collapsed="false">
      <c r="A46" s="50" t="e">
        <f aca="false">_xlfn.CONCAT($A$1, ".", #REF!)</f>
        <v>#REF!</v>
      </c>
      <c r="B46" s="69" t="e">
        <f aca="false">_xlfn.CONCAT(#REF!, ":", #REF!)</f>
        <v>#REF!</v>
      </c>
      <c r="C46" s="84" t="e">
        <f aca="false">#REF!</f>
        <v>#REF!</v>
      </c>
      <c r="D46" s="84" t="e">
        <f aca="false">#REF!</f>
        <v>#REF!</v>
      </c>
      <c r="E46" s="84" t="e">
        <f aca="false">#REF!</f>
        <v>#REF!</v>
      </c>
      <c r="F46" s="84" t="e">
        <f aca="false">#REF!</f>
        <v>#REF!</v>
      </c>
    </row>
    <row r="47" customFormat="false" ht="12.8" hidden="false" customHeight="false" outlineLevel="0" collapsed="false">
      <c r="A47" s="50" t="e">
        <f aca="false">_xlfn.CONCAT($A$1, ".", #REF!)</f>
        <v>#REF!</v>
      </c>
      <c r="B47" s="69" t="e">
        <f aca="false">_xlfn.CONCAT(#REF!, ":", #REF!)</f>
        <v>#REF!</v>
      </c>
      <c r="C47" s="84" t="e">
        <f aca="false">#REF!</f>
        <v>#REF!</v>
      </c>
      <c r="D47" s="84" t="e">
        <f aca="false">#REF!</f>
        <v>#REF!</v>
      </c>
      <c r="E47" s="84" t="e">
        <f aca="false">#REF!</f>
        <v>#REF!</v>
      </c>
      <c r="F47" s="84" t="e">
        <f aca="false">#REF!</f>
        <v>#REF!</v>
      </c>
    </row>
    <row r="48" customFormat="false" ht="12.8" hidden="false" customHeight="false" outlineLevel="0" collapsed="false">
      <c r="A48" s="50" t="e">
        <f aca="false">_xlfn.CONCAT($A$1, ".", #REF!)</f>
        <v>#REF!</v>
      </c>
      <c r="B48" s="69" t="e">
        <f aca="false">_xlfn.CONCAT(#REF!, ":", #REF!)</f>
        <v>#REF!</v>
      </c>
      <c r="C48" s="84" t="e">
        <f aca="false">#REF!</f>
        <v>#REF!</v>
      </c>
      <c r="D48" s="84" t="e">
        <f aca="false">#REF!</f>
        <v>#REF!</v>
      </c>
      <c r="E48" s="84" t="e">
        <f aca="false">#REF!</f>
        <v>#REF!</v>
      </c>
      <c r="F48" s="84" t="e">
        <f aca="false">#REF!</f>
        <v>#REF!</v>
      </c>
    </row>
    <row r="49" customFormat="false" ht="12.8" hidden="false" customHeight="false" outlineLevel="0" collapsed="false">
      <c r="A49" s="50" t="e">
        <f aca="false">_xlfn.CONCAT($A$1, ".", #REF!)</f>
        <v>#REF!</v>
      </c>
      <c r="B49" s="69" t="e">
        <f aca="false">_xlfn.CONCAT(#REF!, ":", #REF!)</f>
        <v>#REF!</v>
      </c>
      <c r="C49" s="84" t="e">
        <f aca="false">#REF!</f>
        <v>#REF!</v>
      </c>
      <c r="D49" s="84" t="e">
        <f aca="false">#REF!</f>
        <v>#REF!</v>
      </c>
      <c r="E49" s="84" t="e">
        <f aca="false">#REF!</f>
        <v>#REF!</v>
      </c>
      <c r="F49" s="84" t="e">
        <f aca="false">#REF!</f>
        <v>#REF!</v>
      </c>
    </row>
    <row r="50" customFormat="false" ht="12.8" hidden="false" customHeight="false" outlineLevel="0" collapsed="false">
      <c r="A50" s="50" t="e">
        <f aca="false">_xlfn.CONCAT($A$1, ".", #REF!)</f>
        <v>#REF!</v>
      </c>
      <c r="B50" s="69" t="e">
        <f aca="false">_xlfn.CONCAT(#REF!, ":", #REF!)</f>
        <v>#REF!</v>
      </c>
      <c r="C50" s="84" t="e">
        <f aca="false">#REF!</f>
        <v>#REF!</v>
      </c>
      <c r="D50" s="84" t="e">
        <f aca="false">#REF!</f>
        <v>#REF!</v>
      </c>
      <c r="E50" s="84" t="e">
        <f aca="false">#REF!</f>
        <v>#REF!</v>
      </c>
      <c r="F50" s="84" t="e">
        <f aca="false">#REF!</f>
        <v>#REF!</v>
      </c>
    </row>
    <row r="51" customFormat="false" ht="12.8" hidden="false" customHeight="false" outlineLevel="0" collapsed="false">
      <c r="A51" s="50" t="e">
        <f aca="false">_xlfn.CONCAT($A$1, ".", #REF!)</f>
        <v>#REF!</v>
      </c>
      <c r="B51" s="69" t="e">
        <f aca="false">_xlfn.CONCAT(#REF!, ":", #REF!)</f>
        <v>#REF!</v>
      </c>
      <c r="C51" s="84" t="e">
        <f aca="false">#REF!</f>
        <v>#REF!</v>
      </c>
      <c r="D51" s="84" t="e">
        <f aca="false">#REF!</f>
        <v>#REF!</v>
      </c>
      <c r="E51" s="84" t="e">
        <f aca="false">#REF!</f>
        <v>#REF!</v>
      </c>
      <c r="F51" s="84" t="e">
        <f aca="false">#REF!</f>
        <v>#REF!</v>
      </c>
    </row>
    <row r="52" customFormat="false" ht="12.8" hidden="false" customHeight="false" outlineLevel="0" collapsed="false">
      <c r="A52" s="50" t="e">
        <f aca="false">_xlfn.CONCAT($A$1, ".", #REF!)</f>
        <v>#REF!</v>
      </c>
      <c r="B52" s="69" t="e">
        <f aca="false">_xlfn.CONCAT(#REF!, ":", #REF!)</f>
        <v>#REF!</v>
      </c>
      <c r="C52" s="84" t="e">
        <f aca="false">#REF!</f>
        <v>#REF!</v>
      </c>
      <c r="D52" s="84" t="e">
        <f aca="false">#REF!</f>
        <v>#REF!</v>
      </c>
      <c r="E52" s="84" t="e">
        <f aca="false">#REF!</f>
        <v>#REF!</v>
      </c>
      <c r="F52" s="84" t="e">
        <f aca="false">#REF!</f>
        <v>#REF!</v>
      </c>
    </row>
    <row r="53" customFormat="false" ht="12.8" hidden="false" customHeight="false" outlineLevel="0" collapsed="false">
      <c r="A53" s="50" t="e">
        <f aca="false">_xlfn.CONCAT($A$1, ".", #REF!)</f>
        <v>#REF!</v>
      </c>
      <c r="B53" s="69" t="e">
        <f aca="false">_xlfn.CONCAT(#REF!, ":", #REF!)</f>
        <v>#REF!</v>
      </c>
      <c r="C53" s="84" t="e">
        <f aca="false">#REF!</f>
        <v>#REF!</v>
      </c>
      <c r="D53" s="84" t="e">
        <f aca="false">#REF!</f>
        <v>#REF!</v>
      </c>
      <c r="E53" s="84" t="e">
        <f aca="false">#REF!</f>
        <v>#REF!</v>
      </c>
      <c r="F53" s="84" t="e">
        <f aca="false">#REF!</f>
        <v>#REF!</v>
      </c>
    </row>
    <row r="54" customFormat="false" ht="12.8" hidden="false" customHeight="false" outlineLevel="0" collapsed="false">
      <c r="A54" s="50" t="e">
        <f aca="false">_xlfn.CONCAT($A$1, ".", #REF!)</f>
        <v>#REF!</v>
      </c>
      <c r="B54" s="69" t="e">
        <f aca="false">_xlfn.CONCAT(#REF!, ":", #REF!)</f>
        <v>#REF!</v>
      </c>
      <c r="C54" s="84" t="e">
        <f aca="false">#REF!</f>
        <v>#REF!</v>
      </c>
      <c r="D54" s="84" t="e">
        <f aca="false">#REF!</f>
        <v>#REF!</v>
      </c>
      <c r="E54" s="84" t="e">
        <f aca="false">#REF!</f>
        <v>#REF!</v>
      </c>
      <c r="F54" s="84" t="e">
        <f aca="false">#REF!</f>
        <v>#REF!</v>
      </c>
    </row>
    <row r="55" customFormat="false" ht="12.8" hidden="false" customHeight="false" outlineLevel="0" collapsed="false">
      <c r="A55" s="50" t="e">
        <f aca="false">_xlfn.CONCAT($A$1, ".", #REF!)</f>
        <v>#REF!</v>
      </c>
      <c r="B55" s="69" t="e">
        <f aca="false">_xlfn.CONCAT(#REF!, ":", #REF!)</f>
        <v>#REF!</v>
      </c>
      <c r="C55" s="84" t="e">
        <f aca="false">#REF!</f>
        <v>#REF!</v>
      </c>
      <c r="D55" s="84" t="e">
        <f aca="false">#REF!</f>
        <v>#REF!</v>
      </c>
      <c r="E55" s="84" t="e">
        <f aca="false">#REF!</f>
        <v>#REF!</v>
      </c>
      <c r="F55" s="84" t="e">
        <f aca="false">#REF!</f>
        <v>#REF!</v>
      </c>
    </row>
    <row r="59" customFormat="false" ht="12.8" hidden="false" customHeight="false" outlineLevel="1" collapsed="false"/>
    <row r="60" customFormat="false" ht="12.8" hidden="false" customHeight="false" outlineLevel="1" collapsed="false"/>
    <row r="61" customFormat="false" ht="12.8" hidden="false" customHeight="false" outlineLevel="1" collapsed="false"/>
    <row r="62" customFormat="false" ht="12.8" hidden="false" customHeight="false" outlineLevel="1" collapsed="false"/>
    <row r="63" customFormat="false" ht="12.8" hidden="false" customHeight="false" outlineLevel="1" collapsed="false"/>
    <row r="64" customFormat="false" ht="12.8" hidden="false" customHeight="false" outlineLevel="1" collapsed="false"/>
    <row r="65" customFormat="false" ht="12.8" hidden="false" customHeight="false" outlineLevel="1" collapsed="false"/>
    <row r="66" customFormat="false" ht="12.8" hidden="false" customHeight="false" outlineLevel="1" collapsed="false"/>
    <row r="67" customFormat="false" ht="12.8" hidden="false" customHeight="false" outlineLevel="1" collapsed="false"/>
    <row r="68" customFormat="false" ht="12.8" hidden="false" customHeight="false" outlineLevel="1" collapsed="false"/>
    <row r="69" customFormat="false" ht="12.8" hidden="false" customHeight="false" outlineLevel="1" collapsed="false"/>
    <row r="70" customFormat="false" ht="12.8" hidden="false" customHeight="false" outlineLevel="1" collapsed="false"/>
    <row r="71" customFormat="false" ht="12.8" hidden="false" customHeight="false" outlineLevel="1" collapsed="false"/>
    <row r="72" customFormat="false" ht="12.8" hidden="false" customHeight="false" outlineLevel="1" collapsed="false"/>
    <row r="73" customFormat="false" ht="12.8" hidden="false" customHeight="false" outlineLevel="1" collapsed="false"/>
    <row r="74" customFormat="false" ht="12.8" hidden="false" customHeight="false" outlineLevel="1" collapsed="false"/>
    <row r="75" customFormat="false" ht="12.8" hidden="false" customHeight="false" outlineLevel="1" collapsed="false"/>
    <row r="76" customFormat="false" ht="12.8" hidden="false" customHeight="false" outlineLevel="1" collapsed="false"/>
    <row r="77" customFormat="false" ht="12.8" hidden="false" customHeight="false" outlineLevel="1" collapsed="false"/>
    <row r="78" customFormat="false" ht="12.8" hidden="false" customHeight="false" outlineLevel="1" collapsed="false"/>
    <row r="79" customFormat="false" ht="12.8" hidden="false" customHeight="false" outlineLevel="1" collapsed="false"/>
    <row r="80" customFormat="false" ht="12.8" hidden="false" customHeight="false" outlineLevel="1" collapsed="false"/>
    <row r="81" customFormat="false" ht="12.8" hidden="false" customHeight="false" outlineLevel="1" collapsed="false"/>
    <row r="82" customFormat="false" ht="12.8" hidden="false" customHeight="false" outlineLevel="1" collapsed="false"/>
    <row r="83" customFormat="false" ht="12.8" hidden="false" customHeight="false" outlineLevel="1" collapsed="false"/>
    <row r="84" customFormat="false" ht="12.8" hidden="false" customHeight="false" outlineLevel="1" collapsed="false"/>
    <row r="85" customFormat="false" ht="12.8" hidden="false" customHeight="false" outlineLevel="1" collapsed="false"/>
    <row r="86" customFormat="false" ht="12.8" hidden="false" customHeight="false" outlineLevel="1" collapsed="false"/>
    <row r="87" customFormat="false" ht="12.8" hidden="false" customHeight="false" outlineLevel="1" collapsed="false"/>
    <row r="88" customFormat="false" ht="12.8" hidden="false" customHeight="false" outlineLevel="1" collapsed="false"/>
    <row r="89" customFormat="false" ht="12.8" hidden="false" customHeight="false" outlineLevel="1" collapsed="false"/>
    <row r="90" customFormat="false" ht="12.8" hidden="false" customHeight="false" outlineLevel="1" collapsed="false"/>
    <row r="91" customFormat="false" ht="12.8" hidden="false" customHeight="false" outlineLevel="1" collapsed="false"/>
    <row r="92" customFormat="false" ht="12.8" hidden="false" customHeight="false" outlineLevel="1" collapsed="false"/>
    <row r="93" customFormat="false" ht="12.8" hidden="false" customHeight="false" outlineLevel="1" collapsed="false"/>
    <row r="94" customFormat="false" ht="12.8" hidden="false" customHeight="false" outlineLevel="1" collapsed="false"/>
    <row r="95" customFormat="false" ht="12.8" hidden="false" customHeight="false" outlineLevel="1" collapsed="false"/>
    <row r="96" customFormat="false" ht="12.8" hidden="false" customHeight="false" outlineLevel="1" collapsed="false"/>
    <row r="97" customFormat="false" ht="12.8" hidden="false" customHeight="false" outlineLevel="1" collapsed="false"/>
    <row r="98" customFormat="false" ht="12.8" hidden="false" customHeight="false" outlineLevel="1" collapsed="false"/>
    <row r="99" customFormat="false" ht="12.8" hidden="false" customHeight="false" outlineLevel="1" collapsed="false"/>
    <row r="100" customFormat="false" ht="12.8" hidden="false" customHeight="false" outlineLevel="1" collapsed="false"/>
    <row r="101" customFormat="false" ht="12.8" hidden="false" customHeight="false" outlineLevel="1" collapsed="false"/>
    <row r="102" customFormat="false" ht="12.8" hidden="false" customHeight="false" outlineLevel="1" collapsed="false"/>
    <row r="103" customFormat="false" ht="12.8" hidden="false" customHeight="false" outlineLevel="1" collapsed="false"/>
    <row r="104" customFormat="false" ht="12.8" hidden="false" customHeight="false" outlineLevel="1" collapsed="false"/>
    <row r="105" customFormat="false" ht="12.8" hidden="false" customHeight="false" outlineLevel="1" collapsed="false"/>
    <row r="106" customFormat="false" ht="12.8" hidden="false" customHeight="false" outlineLevel="1" collapsed="false"/>
    <row r="107" customFormat="false" ht="12.8" hidden="false" customHeight="false" outlineLevel="1" collapsed="false"/>
    <row r="108" customFormat="false" ht="12.8" hidden="false" customHeight="false" outlineLevel="1" collapsed="false"/>
    <row r="109" customFormat="false" ht="12.8" hidden="false" customHeight="false" outlineLevel="1" collapsed="false"/>
    <row r="110" customFormat="false" ht="12.8" hidden="false" customHeight="false" outlineLevel="1" collapsed="false"/>
    <row r="111" customFormat="false" ht="12.8" hidden="false" customHeight="false" outlineLevel="1" collapsed="false"/>
    <row r="112" customFormat="false" ht="12.8" hidden="false" customHeight="false" outlineLevel="1" collapsed="false"/>
    <row r="113" customFormat="false" ht="12.8" hidden="false" customHeight="false" outlineLevel="1" collapsed="false"/>
    <row r="114" customFormat="false" ht="12.8" hidden="false" customHeight="false" outlineLevel="1" collapsed="false"/>
    <row r="115" customFormat="false" ht="12.8" hidden="false" customHeight="false" outlineLevel="1" collapsed="false"/>
    <row r="116" customFormat="false" ht="12.8" hidden="false" customHeight="false" outlineLevel="1" collapsed="false"/>
    <row r="117" customFormat="false" ht="12.8" hidden="false" customHeight="false" outlineLevel="1" collapsed="false"/>
    <row r="118" customFormat="false" ht="12.8" hidden="false" customHeight="false" outlineLevel="1" collapsed="false"/>
    <row r="119" customFormat="false" ht="12.8" hidden="false" customHeight="false" outlineLevel="1" collapsed="false"/>
    <row r="120" customFormat="false" ht="12.8" hidden="false" customHeight="false" outlineLevel="1" collapsed="false"/>
    <row r="121" customFormat="false" ht="12.8" hidden="false" customHeight="false" outlineLevel="1" collapsed="false"/>
    <row r="122" customFormat="false" ht="12.8" hidden="false" customHeight="false" outlineLevel="1" collapsed="false"/>
    <row r="123" customFormat="false" ht="12.8" hidden="false" customHeight="false" outlineLevel="1" collapsed="false"/>
    <row r="124" customFormat="false" ht="12.8" hidden="false" customHeight="false" outlineLevel="1" collapsed="false"/>
    <row r="125" customFormat="false" ht="12.8" hidden="false" customHeight="false" outlineLevel="1" collapsed="false"/>
    <row r="126" customFormat="false" ht="12.8" hidden="false" customHeight="false" outlineLevel="1" collapsed="false"/>
    <row r="127" customFormat="false" ht="12.8" hidden="false" customHeight="false" outlineLevel="1" collapsed="false"/>
    <row r="128" customFormat="false" ht="12.8" hidden="false" customHeight="false" outlineLevel="1" collapsed="false"/>
    <row r="129" customFormat="false" ht="12.8" hidden="false" customHeight="false" outlineLevel="1" collapsed="false"/>
    <row r="130" customFormat="false" ht="12.8" hidden="false" customHeight="false" outlineLevel="1" collapsed="false"/>
    <row r="131" customFormat="false" ht="12.8" hidden="false" customHeight="false" outlineLevel="1" collapsed="false"/>
    <row r="132" customFormat="false" ht="12.8" hidden="false" customHeight="false" outlineLevel="1" collapsed="false"/>
    <row r="133" customFormat="false" ht="12.8" hidden="false" customHeight="false" outlineLevel="1" collapsed="false"/>
    <row r="134" customFormat="false" ht="12.8" hidden="false" customHeight="false" outlineLevel="1" collapsed="false"/>
    <row r="135" customFormat="false" ht="12.8" hidden="false" customHeight="false" outlineLevel="1" collapsed="false"/>
    <row r="136" customFormat="false" ht="12.8" hidden="false" customHeight="false" outlineLevel="1" collapsed="false"/>
    <row r="137" customFormat="false" ht="12.8" hidden="false" customHeight="false" outlineLevel="1" collapsed="false"/>
    <row r="138" customFormat="false" ht="12.8" hidden="false" customHeight="false" outlineLevel="1" collapsed="false"/>
    <row r="139" customFormat="false" ht="12.8" hidden="false" customHeight="false" outlineLevel="1" collapsed="false"/>
    <row r="140" customFormat="false" ht="12.8" hidden="false" customHeight="false" outlineLevel="1" collapsed="false"/>
    <row r="141" customFormat="false" ht="12.8" hidden="false" customHeight="false" outlineLevel="1" collapsed="false"/>
    <row r="142" customFormat="false" ht="12.8" hidden="false" customHeight="false" outlineLevel="1" collapsed="false"/>
    <row r="143" customFormat="false" ht="12.8" hidden="false" customHeight="false" outlineLevel="1" collapsed="false"/>
    <row r="144" customFormat="false" ht="12.8" hidden="false" customHeight="false" outlineLevel="1" collapsed="false"/>
    <row r="145" customFormat="false" ht="12.8" hidden="false" customHeight="false" outlineLevel="1" collapsed="false"/>
    <row r="146" customFormat="false" ht="12.8" hidden="false" customHeight="false" outlineLevel="1" collapsed="false"/>
    <row r="147" customFormat="false" ht="12.8" hidden="false" customHeight="false" outlineLevel="1" collapsed="false"/>
    <row r="148" customFormat="false" ht="12.8" hidden="false" customHeight="false" outlineLevel="1" collapsed="false"/>
    <row r="149" customFormat="false" ht="12.8" hidden="false" customHeight="false" outlineLevel="1" collapsed="false"/>
    <row r="150" customFormat="false" ht="12.8" hidden="false" customHeight="false" outlineLevel="1" collapsed="false"/>
    <row r="151" customFormat="false" ht="12.8" hidden="false" customHeight="false" outlineLevel="1" collapsed="false"/>
    <row r="152" customFormat="false" ht="12.8" hidden="false" customHeight="false" outlineLevel="1" collapsed="false"/>
    <row r="153" customFormat="false" ht="12.8" hidden="false" customHeight="false" outlineLevel="1" collapsed="false"/>
    <row r="155" customFormat="false" ht="12.8" hidden="false" customHeight="false" outlineLevel="1" collapsed="false"/>
    <row r="156" customFormat="false" ht="12.8" hidden="false" customHeight="false" outlineLevel="1" collapsed="false"/>
    <row r="157" customFormat="false" ht="12.8" hidden="false" customHeight="false" outlineLevel="1" collapsed="false"/>
    <row r="158" customFormat="false" ht="12.8" hidden="false" customHeight="false" outlineLevel="1" collapsed="false"/>
    <row r="159" customFormat="false" ht="12.8" hidden="false" customHeight="false" outlineLevel="1" collapsed="false"/>
    <row r="160" customFormat="false" ht="12.8" hidden="false" customHeight="false" outlineLevel="1" collapsed="false"/>
    <row r="161" customFormat="false" ht="12.8" hidden="false" customHeight="false" outlineLevel="1" collapsed="false"/>
    <row r="162" customFormat="false" ht="12.8" hidden="false" customHeight="false" outlineLevel="1" collapsed="false"/>
    <row r="163" customFormat="false" ht="12.8" hidden="false" customHeight="false" outlineLevel="1" collapsed="false"/>
    <row r="164" customFormat="false" ht="12.8" hidden="false" customHeight="false" outlineLevel="1" collapsed="false"/>
    <row r="165" customFormat="false" ht="12.8" hidden="false" customHeight="false" outlineLevel="1" collapsed="false"/>
    <row r="166" customFormat="false" ht="12.8" hidden="false" customHeight="false" outlineLevel="1" collapsed="false"/>
    <row r="167" customFormat="false" ht="12.8" hidden="false" customHeight="false" outlineLevel="1" collapsed="false"/>
    <row r="168" customFormat="false" ht="12.8" hidden="false" customHeight="false" outlineLevel="1" collapsed="false"/>
    <row r="169" customFormat="false" ht="12.8" hidden="false" customHeight="false" outlineLevel="1" collapsed="false"/>
    <row r="170" customFormat="false" ht="12.8" hidden="false" customHeight="false" outlineLevel="1" collapsed="false"/>
    <row r="171" customFormat="false" ht="12.8" hidden="false" customHeight="false" outlineLevel="1" collapsed="false"/>
    <row r="172" customFormat="false" ht="12.8" hidden="false" customHeight="false" outlineLevel="1" collapsed="false"/>
    <row r="173" customFormat="false" ht="12.8" hidden="false" customHeight="false" outlineLevel="1" collapsed="false"/>
    <row r="174" customFormat="false" ht="12.8" hidden="false" customHeight="false" outlineLevel="1" collapsed="false"/>
    <row r="175" customFormat="false" ht="12.8" hidden="false" customHeight="false" outlineLevel="1" collapsed="false"/>
    <row r="176" customFormat="false" ht="12.8" hidden="false" customHeight="false" outlineLevel="1" collapsed="false"/>
    <row r="177" customFormat="false" ht="12.8" hidden="false" customHeight="false" outlineLevel="1" collapsed="false"/>
    <row r="178" customFormat="false" ht="12.8" hidden="false" customHeight="false" outlineLevel="1" collapsed="false"/>
    <row r="179" customFormat="false" ht="12.8" hidden="false" customHeight="false" outlineLevel="1" collapsed="false"/>
    <row r="180" customFormat="false" ht="12.8" hidden="false" customHeight="false" outlineLevel="1" collapsed="false"/>
    <row r="181" customFormat="false" ht="12.8" hidden="false" customHeight="false" outlineLevel="1" collapsed="false"/>
    <row r="182" customFormat="false" ht="12.8" hidden="false" customHeight="false" outlineLevel="1" collapsed="false"/>
    <row r="183" customFormat="false" ht="12.8" hidden="false" customHeight="false" outlineLevel="1" collapsed="false"/>
    <row r="184" customFormat="false" ht="12.8" hidden="false" customHeight="false" outlineLevel="1" collapsed="false"/>
    <row r="185" customFormat="false" ht="12.8" hidden="false" customHeight="false" outlineLevel="1" collapsed="false"/>
    <row r="186" customFormat="false" ht="12.8" hidden="false" customHeight="false" outlineLevel="1" collapsed="false"/>
    <row r="187" customFormat="false" ht="12.8" hidden="false" customHeight="false" outlineLevel="1" collapsed="false"/>
    <row r="188" customFormat="false" ht="12.8" hidden="false" customHeight="false" outlineLevel="1" collapsed="false"/>
    <row r="189" customFormat="false" ht="12.8" hidden="false" customHeight="false" outlineLevel="1" collapsed="false"/>
    <row r="190" customFormat="false" ht="12.8" hidden="false" customHeight="false" outlineLevel="1" collapsed="false"/>
    <row r="191" customFormat="false" ht="12.8" hidden="false" customHeight="false" outlineLevel="1" collapsed="false"/>
    <row r="192" customFormat="false" ht="12.8" hidden="false" customHeight="false" outlineLevel="1" collapsed="false"/>
    <row r="193" customFormat="false" ht="12.8" hidden="false" customHeight="false" outlineLevel="1" collapsed="false"/>
    <row r="194" customFormat="false" ht="12.8" hidden="false" customHeight="false" outlineLevel="1" collapsed="false"/>
    <row r="195" customFormat="false" ht="12.8" hidden="false" customHeight="false" outlineLevel="1" collapsed="false"/>
    <row r="196" customFormat="false" ht="12.8" hidden="false" customHeight="false" outlineLevel="1" collapsed="false"/>
    <row r="197" customFormat="false" ht="12.8" hidden="false" customHeight="false" outlineLevel="1" collapsed="false"/>
    <row r="198" customFormat="false" ht="12.8" hidden="false" customHeight="false" outlineLevel="1" collapsed="false"/>
    <row r="199" customFormat="false" ht="12.8" hidden="false" customHeight="false" outlineLevel="1" collapsed="false"/>
    <row r="200" customFormat="false" ht="12.8" hidden="false" customHeight="false" outlineLevel="1" collapsed="false"/>
    <row r="201" customFormat="false" ht="12.8" hidden="false" customHeight="false" outlineLevel="1" collapsed="false"/>
    <row r="202" customFormat="false" ht="12.8" hidden="false" customHeight="false" outlineLevel="1" collapsed="false"/>
    <row r="203" customFormat="false" ht="12.8" hidden="false" customHeight="false" outlineLevel="1" collapsed="false"/>
    <row r="204" customFormat="false" ht="12.8" hidden="false" customHeight="false" outlineLevel="1" collapsed="false"/>
    <row r="205" customFormat="false" ht="12.8" hidden="false" customHeight="false" outlineLevel="1" collapsed="false"/>
    <row r="206" customFormat="false" ht="12.8" hidden="false" customHeight="false" outlineLevel="1" collapsed="false"/>
    <row r="207" customFormat="false" ht="12.8" hidden="false" customHeight="false" outlineLevel="1" collapsed="false"/>
    <row r="208" customFormat="false" ht="12.8" hidden="false" customHeight="false" outlineLevel="1" collapsed="false"/>
    <row r="209" customFormat="false" ht="12.8" hidden="false" customHeight="false" outlineLevel="1" collapsed="false"/>
    <row r="210" customFormat="false" ht="12.8" hidden="false" customHeight="false" outlineLevel="1" collapsed="false"/>
    <row r="211" customFormat="false" ht="12.8" hidden="false" customHeight="false" outlineLevel="1" collapsed="false"/>
    <row r="212" customFormat="false" ht="12.8" hidden="false" customHeight="false" outlineLevel="1" collapsed="false"/>
    <row r="213" customFormat="false" ht="12.8" hidden="false" customHeight="false" outlineLevel="1" collapsed="false"/>
    <row r="214" customFormat="false" ht="12.8" hidden="false" customHeight="false" outlineLevel="1" collapsed="false"/>
    <row r="215" customFormat="false" ht="12.8" hidden="false" customHeight="false" outlineLevel="1" collapsed="false"/>
    <row r="216" customFormat="false" ht="12.8" hidden="false" customHeight="false" outlineLevel="1" collapsed="false"/>
    <row r="217" customFormat="false" ht="12.8" hidden="false" customHeight="false" outlineLevel="1" collapsed="false"/>
    <row r="218" customFormat="false" ht="12.8" hidden="false" customHeight="false" outlineLevel="1" collapsed="false"/>
    <row r="219" customFormat="false" ht="12.8" hidden="false" customHeight="false" outlineLevel="1" collapsed="false"/>
    <row r="220" customFormat="false" ht="12.8" hidden="false" customHeight="false" outlineLevel="1" collapsed="false"/>
    <row r="221" customFormat="false" ht="12.8" hidden="false" customHeight="false" outlineLevel="1" collapsed="false"/>
    <row r="222" customFormat="false" ht="12.8" hidden="false" customHeight="false" outlineLevel="1" collapsed="false"/>
    <row r="223" customFormat="false" ht="12.8" hidden="false" customHeight="false" outlineLevel="1" collapsed="false"/>
    <row r="224" customFormat="false" ht="12.8" hidden="false" customHeight="false" outlineLevel="1" collapsed="false"/>
    <row r="225" customFormat="false" ht="12.8" hidden="false" customHeight="false" outlineLevel="1" collapsed="false"/>
    <row r="226" customFormat="false" ht="12.8" hidden="false" customHeight="false" outlineLevel="1" collapsed="false"/>
    <row r="227" customFormat="false" ht="12.8" hidden="false" customHeight="false" outlineLevel="1" collapsed="false"/>
    <row r="228" customFormat="false" ht="12.8" hidden="false" customHeight="false" outlineLevel="1" collapsed="false"/>
    <row r="229" customFormat="false" ht="12.8" hidden="false" customHeight="false" outlineLevel="1" collapsed="false"/>
    <row r="230" customFormat="false" ht="12.8" hidden="false" customHeight="false" outlineLevel="1" collapsed="false"/>
    <row r="231" customFormat="false" ht="12.8" hidden="false" customHeight="false" outlineLevel="1" collapsed="false"/>
    <row r="232" customFormat="false" ht="12.8" hidden="false" customHeight="false" outlineLevel="1" collapsed="false"/>
    <row r="233" customFormat="false" ht="12.8" hidden="false" customHeight="false" outlineLevel="1" collapsed="false"/>
    <row r="234" customFormat="false" ht="12.8" hidden="false" customHeight="false" outlineLevel="1" collapsed="false"/>
    <row r="235" customFormat="false" ht="12.8" hidden="false" customHeight="false" outlineLevel="1" collapsed="false"/>
    <row r="236" customFormat="false" ht="12.8" hidden="false" customHeight="false" outlineLevel="1" collapsed="false"/>
    <row r="237" customFormat="false" ht="12.8" hidden="false" customHeight="false" outlineLevel="1" collapsed="false"/>
    <row r="238" customFormat="false" ht="12.8" hidden="false" customHeight="false" outlineLevel="1" collapsed="false"/>
    <row r="239" customFormat="false" ht="12.8" hidden="false" customHeight="false" outlineLevel="1" collapsed="false"/>
    <row r="240" customFormat="false" ht="12.8" hidden="false" customHeight="false" outlineLevel="1" collapsed="false"/>
    <row r="241" customFormat="false" ht="12.8" hidden="false" customHeight="false" outlineLevel="1" collapsed="false"/>
    <row r="242" customFormat="false" ht="12.8" hidden="false" customHeight="false" outlineLevel="1" collapsed="false"/>
    <row r="243" customFormat="false" ht="12.8" hidden="false" customHeight="false" outlineLevel="1" collapsed="false"/>
    <row r="244" customFormat="false" ht="12.8" hidden="false" customHeight="false" outlineLevel="1" collapsed="false"/>
    <row r="245" customFormat="false" ht="12.8" hidden="false" customHeight="false" outlineLevel="1" collapsed="false"/>
    <row r="246" customFormat="false" ht="12.8" hidden="false" customHeight="false" outlineLevel="1" collapsed="false"/>
    <row r="247" customFormat="false" ht="12.8" hidden="false" customHeight="false" outlineLevel="1" collapsed="false"/>
    <row r="248" customFormat="false" ht="12.8" hidden="false" customHeight="false" outlineLevel="1" collapsed="false"/>
    <row r="249" customFormat="false" ht="12.8" hidden="false" customHeight="false" outlineLevel="1"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0080"/>
    <pageSetUpPr fitToPage="false"/>
  </sheetPr>
  <dimension ref="A1:BO148"/>
  <sheetViews>
    <sheetView showFormulas="false" showGridLines="true" showRowColHeaders="true" showZeros="true" rightToLeft="false" tabSelected="false" showOutlineSymbols="true" defaultGridColor="true" view="normal" topLeftCell="A1" colorId="64" zoomScale="65" zoomScaleNormal="65" zoomScalePageLayoutView="100" workbookViewId="0">
      <selection pane="topLeft" activeCell="E21" activeCellId="0" sqref="E21"/>
    </sheetView>
  </sheetViews>
  <sheetFormatPr defaultColWidth="11.53515625" defaultRowHeight="12.8" customHeight="false" zeroHeight="false" outlineLevelRow="0" outlineLevelCol="0"/>
  <cols>
    <col collapsed="false" customWidth="false" hidden="false" outlineLevel="0" max="1" min="1" style="50" width="11.53"/>
    <col collapsed="false" customWidth="true" hidden="false" outlineLevel="0" max="2" min="2" style="39" width="41.51"/>
    <col collapsed="false" customWidth="true" hidden="false" outlineLevel="0" max="3" min="3" style="39" width="21.47"/>
    <col collapsed="false" customWidth="true" hidden="false" outlineLevel="0" max="34" min="4" style="39" width="16.84"/>
    <col collapsed="false" customWidth="true" hidden="false" outlineLevel="0" max="48" min="35" style="39" width="17.78"/>
    <col collapsed="false" customWidth="true" hidden="false" outlineLevel="0" max="51" min="49" style="39" width="15.48"/>
    <col collapsed="false" customWidth="true" hidden="false" outlineLevel="0" max="56" min="56" style="39" width="18.45"/>
    <col collapsed="false" customWidth="true" hidden="false" outlineLevel="0" max="59" min="57" style="39" width="16.14"/>
    <col collapsed="false" customWidth="true" hidden="false" outlineLevel="0" max="67" min="60" style="39" width="13.84"/>
  </cols>
  <sheetData>
    <row r="1" customFormat="false" ht="12.8" hidden="false" customHeight="false" outlineLevel="0" collapsed="false">
      <c r="A1" s="4" t="s">
        <v>2993</v>
      </c>
      <c r="B1" s="42" t="s">
        <v>2994</v>
      </c>
      <c r="C1" s="6" t="s">
        <v>2</v>
      </c>
      <c r="D1" s="67" t="s">
        <v>2995</v>
      </c>
      <c r="AZ1" s="39"/>
      <c r="BA1" s="39"/>
      <c r="BB1" s="39"/>
      <c r="BC1" s="39"/>
    </row>
    <row r="2" customFormat="false" ht="12.8" hidden="false" customHeight="false" outlineLevel="0" collapsed="false">
      <c r="A2" s="65" t="str">
        <f aca="false">_xlfn.CONCAT($A$1, ".", "CALC")</f>
        <v>LSD.RID.0.AL.FPITREV.CALC</v>
      </c>
      <c r="B2" s="66" t="str">
        <f aca="false">_xlfn.CONCAT($B$1, " ", "Calculations")</f>
        <v>Alabama Federal Personal Income Tax Revenue (FPITREV) Calculations</v>
      </c>
      <c r="C2" s="3"/>
      <c r="D2" s="3"/>
      <c r="E2" s="3"/>
      <c r="F2" s="3"/>
    </row>
    <row r="3" customFormat="false" ht="12.8" hidden="false" customHeight="false" outlineLevel="0" collapsed="false">
      <c r="A3" s="65" t="str">
        <f aca="false">CALC!A3</f>
        <v>LSID</v>
      </c>
      <c r="B3" s="42" t="str">
        <f aca="false">CALC!C3</f>
        <v>Labor Sector</v>
      </c>
      <c r="C3" s="84" t="e">
        <f aca="false">#REF!</f>
        <v>#REF!</v>
      </c>
      <c r="D3" s="84" t="e">
        <f aca="false">#REF!</f>
        <v>#REF!</v>
      </c>
      <c r="E3" s="84" t="e">
        <f aca="false">#REF!</f>
        <v>#REF!</v>
      </c>
      <c r="F3" s="84" t="e">
        <f aca="false">#REF!</f>
        <v>#REF!</v>
      </c>
      <c r="AT3" s="3"/>
      <c r="AU3" s="3"/>
      <c r="AV3" s="3"/>
      <c r="AW3" s="3"/>
      <c r="AZ3" s="39"/>
      <c r="BA3" s="39"/>
      <c r="BB3" s="39"/>
      <c r="BC3" s="39"/>
      <c r="BJ3" s="3"/>
      <c r="BK3" s="3"/>
      <c r="BL3" s="3"/>
      <c r="BM3" s="3"/>
      <c r="BN3" s="3"/>
      <c r="BO3" s="3"/>
    </row>
    <row r="4" customFormat="false" ht="12.8" hidden="false" customHeight="false" outlineLevel="0" collapsed="false">
      <c r="A4" s="65" t="str">
        <f aca="false">_xlfn.CONCAT($A$1, ".", CALC!A4)</f>
        <v>LSD.RID.0.AL.FPITREV.0</v>
      </c>
      <c r="B4" s="42" t="str">
        <f aca="false">CALC!C4</f>
        <v>All Industries</v>
      </c>
      <c r="C4" s="39" t="n">
        <v>9640</v>
      </c>
      <c r="D4" s="39" t="n">
        <v>10398</v>
      </c>
      <c r="E4" s="39" t="n">
        <v>3257</v>
      </c>
      <c r="F4" s="39" t="n">
        <v>9678</v>
      </c>
      <c r="AT4" s="3"/>
      <c r="AU4" s="3"/>
      <c r="AV4" s="3"/>
      <c r="AW4" s="3"/>
      <c r="AZ4" s="39"/>
      <c r="BA4" s="39"/>
      <c r="BB4" s="39"/>
      <c r="BC4" s="39"/>
      <c r="BJ4" s="3"/>
      <c r="BK4" s="3"/>
      <c r="BL4" s="3"/>
      <c r="BM4" s="3"/>
      <c r="BN4" s="3"/>
      <c r="BO4" s="3"/>
    </row>
    <row r="5" customFormat="false" ht="23.85" hidden="false" customHeight="false" outlineLevel="0" collapsed="false">
      <c r="A5" s="65" t="str">
        <f aca="false">_xlfn.CONCAT($A$1, ".", CALC!A5)</f>
        <v>LSD.RID.0.AL.FPITREV.1</v>
      </c>
      <c r="B5" s="68" t="str">
        <f aca="false">CALC!C5</f>
        <v>Agriculture, Forestry, 
Fishing and Hunting</v>
      </c>
      <c r="C5" s="39" t="n">
        <v>2812</v>
      </c>
      <c r="D5" s="39" t="n">
        <v>2896</v>
      </c>
      <c r="E5" s="39" t="n">
        <v>1257</v>
      </c>
      <c r="F5" s="39" t="n">
        <v>2826</v>
      </c>
      <c r="AT5" s="3"/>
      <c r="AU5" s="3"/>
      <c r="AV5" s="3"/>
      <c r="AW5" s="3"/>
      <c r="AZ5" s="39"/>
      <c r="BA5" s="39"/>
      <c r="BB5" s="39"/>
      <c r="BC5" s="39"/>
      <c r="BJ5" s="3"/>
      <c r="BK5" s="3"/>
      <c r="BL5" s="3"/>
      <c r="BM5" s="3"/>
      <c r="BN5" s="3"/>
      <c r="BO5" s="3"/>
    </row>
    <row r="6" customFormat="false" ht="23.85" hidden="false" customHeight="false" outlineLevel="0" collapsed="false">
      <c r="A6" s="65" t="str">
        <f aca="false">_xlfn.CONCAT($A$1, ".", CALC!A6)</f>
        <v>LSD.RID.0.AL.FPITREV.2</v>
      </c>
      <c r="B6" s="68" t="str">
        <f aca="false">CALC!C6</f>
        <v>Mining, Quarrying, and
Oil and Gas Extraction</v>
      </c>
      <c r="C6" s="39" t="n">
        <v>14700</v>
      </c>
      <c r="D6" s="39" t="n">
        <v>14994</v>
      </c>
      <c r="E6" s="39" t="n">
        <v>8820</v>
      </c>
      <c r="F6" s="39" t="n">
        <v>14755</v>
      </c>
      <c r="AT6" s="3"/>
      <c r="AU6" s="3"/>
      <c r="AV6" s="3"/>
      <c r="AW6" s="3"/>
      <c r="AZ6" s="39"/>
      <c r="BA6" s="39"/>
      <c r="BB6" s="39"/>
      <c r="BC6" s="39"/>
      <c r="BJ6" s="3"/>
      <c r="BK6" s="3"/>
      <c r="BL6" s="3"/>
      <c r="BM6" s="3"/>
      <c r="BN6" s="3"/>
      <c r="BO6" s="3"/>
    </row>
    <row r="7" customFormat="false" ht="12.8" hidden="false" customHeight="false" outlineLevel="0" collapsed="false">
      <c r="A7" s="65" t="str">
        <f aca="false">_xlfn.CONCAT($A$1, ".", CALC!A7)</f>
        <v>LSD.RID.0.AL.FPITREV.3</v>
      </c>
      <c r="B7" s="42" t="str">
        <f aca="false">CALC!C7</f>
        <v>Utilities</v>
      </c>
      <c r="C7" s="39" t="n">
        <v>18304</v>
      </c>
      <c r="D7" s="39" t="n">
        <v>18671</v>
      </c>
      <c r="E7" s="39" t="n">
        <v>14169</v>
      </c>
      <c r="F7" s="39" t="n">
        <v>18345</v>
      </c>
      <c r="AT7" s="3"/>
      <c r="AU7" s="3"/>
      <c r="AV7" s="3"/>
      <c r="AW7" s="3"/>
      <c r="AZ7" s="39"/>
      <c r="BA7" s="39"/>
      <c r="BB7" s="39"/>
      <c r="BC7" s="39"/>
      <c r="BJ7" s="3"/>
      <c r="BK7" s="3"/>
      <c r="BL7" s="3"/>
      <c r="BM7" s="3"/>
      <c r="BN7" s="3"/>
      <c r="BO7" s="3"/>
    </row>
    <row r="8" customFormat="false" ht="12.8" hidden="false" customHeight="false" outlineLevel="0" collapsed="false">
      <c r="A8" s="65" t="str">
        <f aca="false">_xlfn.CONCAT($A$1, ".", CALC!A8)</f>
        <v>LSD.RID.0.AL.FPITREV.4</v>
      </c>
      <c r="B8" s="42" t="str">
        <f aca="false">CALC!C8</f>
        <v>Construction</v>
      </c>
      <c r="C8" s="39" t="n">
        <v>9184</v>
      </c>
      <c r="D8" s="39" t="n">
        <v>9424</v>
      </c>
      <c r="E8" s="39" t="n">
        <v>5835</v>
      </c>
      <c r="F8" s="39" t="n">
        <v>9228</v>
      </c>
      <c r="AT8" s="3"/>
      <c r="AU8" s="3"/>
      <c r="AV8" s="3"/>
      <c r="AW8" s="3"/>
      <c r="AZ8" s="39"/>
      <c r="BA8" s="39"/>
      <c r="BB8" s="39"/>
      <c r="BC8" s="39"/>
      <c r="BJ8" s="3"/>
      <c r="BK8" s="3"/>
      <c r="BL8" s="3"/>
      <c r="BM8" s="3"/>
      <c r="BN8" s="3"/>
      <c r="BO8" s="3"/>
    </row>
    <row r="9" customFormat="false" ht="23.85" hidden="false" customHeight="false" outlineLevel="0" collapsed="false">
      <c r="A9" s="65" t="str">
        <f aca="false">_xlfn.CONCAT($A$1, ".", CALC!A9)</f>
        <v>LSD.RID.0.AL.FPITREV.5</v>
      </c>
      <c r="B9" s="68" t="str">
        <f aca="false">CALC!C9</f>
        <v>Manufacturing
(Food,Textile, etc.)</v>
      </c>
      <c r="C9" s="39" t="n">
        <v>9600</v>
      </c>
      <c r="D9" s="39" t="n">
        <v>9792</v>
      </c>
      <c r="E9" s="39" t="n">
        <v>6269</v>
      </c>
      <c r="F9" s="39" t="n">
        <v>9634</v>
      </c>
      <c r="AT9" s="3"/>
      <c r="AU9" s="3"/>
      <c r="AV9" s="3"/>
      <c r="AW9" s="3"/>
      <c r="AZ9" s="39"/>
      <c r="BA9" s="39"/>
      <c r="BB9" s="39"/>
      <c r="BC9" s="39"/>
      <c r="BJ9" s="3"/>
      <c r="BK9" s="3"/>
      <c r="BL9" s="3"/>
      <c r="BM9" s="3"/>
      <c r="BN9" s="3"/>
      <c r="BO9" s="3"/>
    </row>
    <row r="10" customFormat="false" ht="23.85" hidden="false" customHeight="false" outlineLevel="0" collapsed="false">
      <c r="A10" s="65" t="str">
        <f aca="false">_xlfn.CONCAT($A$1, ".", CALC!A10)</f>
        <v>LSD.RID.0.AL.FPITREV.6</v>
      </c>
      <c r="B10" s="68" t="str">
        <f aca="false">CALC!C10</f>
        <v>Manufacturing (Wood,
Paper, Printing, etc.)</v>
      </c>
      <c r="C10" s="39" t="n">
        <v>8400</v>
      </c>
      <c r="D10" s="39" t="n">
        <v>8568</v>
      </c>
      <c r="E10" s="39" t="n">
        <v>5712</v>
      </c>
      <c r="F10" s="39" t="n">
        <v>8430</v>
      </c>
      <c r="AT10" s="3"/>
      <c r="AU10" s="3"/>
      <c r="AV10" s="3"/>
      <c r="AW10" s="3"/>
      <c r="AZ10" s="39"/>
      <c r="BA10" s="39"/>
      <c r="BB10" s="39"/>
      <c r="BC10" s="39"/>
      <c r="BJ10" s="3"/>
      <c r="BK10" s="3"/>
      <c r="BL10" s="3"/>
      <c r="BM10" s="3"/>
      <c r="BN10" s="3"/>
      <c r="BO10" s="3"/>
    </row>
    <row r="11" customFormat="false" ht="23.85" hidden="false" customHeight="false" outlineLevel="0" collapsed="false">
      <c r="A11" s="65" t="str">
        <f aca="false">_xlfn.CONCAT($A$1, ".", CALC!A11)</f>
        <v>LSD.RID.0.AL.FPITREV.7</v>
      </c>
      <c r="B11" s="68" t="str">
        <f aca="false">CALC!C11</f>
        <v>Manufacturing
(Machinery, Transport)</v>
      </c>
      <c r="C11" s="39" t="n">
        <v>13230</v>
      </c>
      <c r="D11" s="39" t="n">
        <v>13495</v>
      </c>
      <c r="E11" s="39" t="n">
        <v>9504</v>
      </c>
      <c r="F11" s="39" t="n">
        <v>13277</v>
      </c>
      <c r="AT11" s="3"/>
      <c r="AU11" s="3"/>
      <c r="AV11" s="3"/>
      <c r="AW11" s="3"/>
      <c r="AZ11" s="39"/>
      <c r="BA11" s="39"/>
      <c r="BB11" s="39"/>
      <c r="BC11" s="39"/>
      <c r="BJ11" s="3"/>
      <c r="BK11" s="3"/>
      <c r="BL11" s="3"/>
      <c r="BM11" s="3"/>
      <c r="BN11" s="3"/>
      <c r="BO11" s="3"/>
    </row>
    <row r="12" customFormat="false" ht="12.8" hidden="false" customHeight="false" outlineLevel="0" collapsed="false">
      <c r="A12" s="65" t="str">
        <f aca="false">_xlfn.CONCAT($A$1, ".", CALC!A12)</f>
        <v>LSD.RID.0.AL.FPITREV.8</v>
      </c>
      <c r="B12" s="42" t="str">
        <f aca="false">CALC!C12</f>
        <v>Wholesale Trade</v>
      </c>
      <c r="C12" s="39" t="n">
        <v>10496</v>
      </c>
      <c r="D12" s="39" t="n">
        <v>10655</v>
      </c>
      <c r="E12" s="39" t="n">
        <v>7885</v>
      </c>
      <c r="F12" s="39" t="n">
        <v>10523</v>
      </c>
      <c r="AT12" s="3"/>
      <c r="AU12" s="3"/>
      <c r="AV12" s="3"/>
      <c r="AW12" s="3"/>
      <c r="AZ12" s="39"/>
      <c r="BA12" s="39"/>
      <c r="BB12" s="39"/>
      <c r="BC12" s="39"/>
      <c r="BJ12" s="3"/>
      <c r="BK12" s="3"/>
      <c r="BL12" s="3"/>
      <c r="BM12" s="3"/>
      <c r="BN12" s="3"/>
      <c r="BO12" s="3"/>
    </row>
    <row r="13" customFormat="false" ht="23.85" hidden="false" customHeight="false" outlineLevel="0" collapsed="false">
      <c r="A13" s="65" t="str">
        <f aca="false">_xlfn.CONCAT($A$1, ".", CALC!A13)</f>
        <v>LSD.RID.0.AL.FPITREV.9</v>
      </c>
      <c r="B13" s="68" t="str">
        <f aca="false">CALC!C13</f>
        <v>Retail Trade (Motor
Vehicle, Electronics)</v>
      </c>
      <c r="C13" s="39" t="n">
        <v>5850</v>
      </c>
      <c r="D13" s="39" t="n">
        <v>5996</v>
      </c>
      <c r="E13" s="39" t="n">
        <v>3510</v>
      </c>
      <c r="F13" s="39" t="n">
        <v>5873</v>
      </c>
      <c r="AT13" s="3"/>
      <c r="AU13" s="3"/>
      <c r="AV13" s="3"/>
      <c r="AW13" s="3"/>
      <c r="AZ13" s="39"/>
      <c r="BA13" s="39"/>
      <c r="BB13" s="39"/>
      <c r="BC13" s="39"/>
      <c r="BJ13" s="3"/>
      <c r="BK13" s="3"/>
      <c r="BL13" s="3"/>
      <c r="BM13" s="3"/>
      <c r="BN13" s="3"/>
      <c r="BO13" s="3"/>
    </row>
    <row r="14" customFormat="false" ht="23.85" hidden="false" customHeight="false" outlineLevel="0" collapsed="false">
      <c r="A14" s="65" t="str">
        <f aca="false">_xlfn.CONCAT($A$1, ".", CALC!A14)</f>
        <v>LSD.RID.0.AL.FPITREV.10</v>
      </c>
      <c r="B14" s="68" t="str">
        <f aca="false">CALC!C14</f>
        <v>Retail Trade (Food, Clothing,
General Merchandise, etc.)</v>
      </c>
      <c r="C14" s="39" t="n">
        <v>4235</v>
      </c>
      <c r="D14" s="39" t="n">
        <v>4358</v>
      </c>
      <c r="E14" s="39" t="n">
        <v>2459</v>
      </c>
      <c r="F14" s="39" t="n">
        <v>4253</v>
      </c>
      <c r="AT14" s="3"/>
      <c r="AU14" s="3"/>
      <c r="AV14" s="3"/>
      <c r="AW14" s="3"/>
      <c r="AZ14" s="39"/>
      <c r="BA14" s="39"/>
      <c r="BB14" s="39"/>
      <c r="BC14" s="39"/>
      <c r="BJ14" s="3"/>
      <c r="BK14" s="3"/>
      <c r="BL14" s="3"/>
      <c r="BM14" s="3"/>
      <c r="BN14" s="3"/>
      <c r="BO14" s="3"/>
    </row>
    <row r="15" customFormat="false" ht="12.8" hidden="false" customHeight="false" outlineLevel="0" collapsed="false">
      <c r="A15" s="65" t="str">
        <f aca="false">_xlfn.CONCAT($A$1, ".", CALC!A15)</f>
        <v>LSD.RID.0.AL.FPITREV.11</v>
      </c>
      <c r="B15" s="42" t="str">
        <f aca="false">CALC!C15</f>
        <v>Transportation</v>
      </c>
      <c r="C15" s="39" t="n">
        <v>9000</v>
      </c>
      <c r="D15" s="39" t="n">
        <v>9180</v>
      </c>
      <c r="E15" s="39" t="n">
        <v>5850</v>
      </c>
      <c r="F15" s="39" t="n">
        <v>9036</v>
      </c>
      <c r="AT15" s="3"/>
      <c r="AU15" s="3"/>
      <c r="AV15" s="3"/>
      <c r="AW15" s="3"/>
      <c r="AZ15" s="39"/>
      <c r="BA15" s="39"/>
      <c r="BB15" s="39"/>
      <c r="BC15" s="39"/>
      <c r="BJ15" s="3"/>
      <c r="BK15" s="3"/>
      <c r="BL15" s="3"/>
      <c r="BM15" s="3"/>
      <c r="BN15" s="3"/>
      <c r="BO15" s="3"/>
    </row>
    <row r="16" customFormat="false" ht="12.8" hidden="false" customHeight="false" outlineLevel="0" collapsed="false">
      <c r="A16" s="65" t="str">
        <f aca="false">_xlfn.CONCAT($A$1, ".", CALC!A16)</f>
        <v>LSD.RID.0.AL.FPITREV.12</v>
      </c>
      <c r="B16" s="42" t="str">
        <f aca="false">CALC!C16</f>
        <v>Warehousing and Storage</v>
      </c>
      <c r="C16" s="39" t="n">
        <v>7644</v>
      </c>
      <c r="D16" s="39" t="n">
        <v>7797</v>
      </c>
      <c r="E16" s="39" t="n">
        <v>4969</v>
      </c>
      <c r="F16" s="39" t="n">
        <v>7672</v>
      </c>
      <c r="AT16" s="3"/>
      <c r="AU16" s="3"/>
      <c r="AV16" s="3"/>
      <c r="AW16" s="3"/>
      <c r="AZ16" s="39"/>
      <c r="BA16" s="39"/>
      <c r="BB16" s="39"/>
      <c r="BC16" s="39"/>
      <c r="BJ16" s="3"/>
      <c r="BK16" s="3"/>
      <c r="BL16" s="3"/>
      <c r="BM16" s="3"/>
      <c r="BN16" s="3"/>
      <c r="BO16" s="3"/>
    </row>
    <row r="17" customFormat="false" ht="12.8" hidden="false" customHeight="false" outlineLevel="0" collapsed="false">
      <c r="A17" s="65" t="str">
        <f aca="false">_xlfn.CONCAT($A$1, ".", CALC!A17)</f>
        <v>LSD.RID.0.AL.FPITREV.13</v>
      </c>
      <c r="B17" s="42" t="str">
        <f aca="false">CALC!C17</f>
        <v>Information</v>
      </c>
      <c r="C17" s="39" t="n">
        <v>18304</v>
      </c>
      <c r="D17" s="39" t="n">
        <v>18671</v>
      </c>
      <c r="E17" s="39" t="n">
        <v>14169</v>
      </c>
      <c r="F17" s="39" t="n">
        <v>18345</v>
      </c>
      <c r="AT17" s="3"/>
      <c r="AU17" s="3"/>
      <c r="AV17" s="3"/>
      <c r="AW17" s="3"/>
      <c r="AZ17" s="39"/>
      <c r="BA17" s="39"/>
      <c r="BB17" s="39"/>
      <c r="BC17" s="39"/>
      <c r="BJ17" s="3"/>
      <c r="BK17" s="3"/>
      <c r="BL17" s="3"/>
      <c r="BM17" s="3"/>
      <c r="BN17" s="3"/>
      <c r="BO17" s="3"/>
    </row>
    <row r="18" customFormat="false" ht="12.8" hidden="false" customHeight="false" outlineLevel="0" collapsed="false">
      <c r="A18" s="65" t="str">
        <f aca="false">_xlfn.CONCAT($A$1, ".", CALC!A18)</f>
        <v>LSD.RID.0.AL.FPITREV.14</v>
      </c>
      <c r="B18" s="42" t="str">
        <f aca="false">CALC!C18</f>
        <v>Finance and Insurance</v>
      </c>
      <c r="C18" s="39" t="n">
        <v>32032</v>
      </c>
      <c r="D18" s="39" t="n">
        <v>32352</v>
      </c>
      <c r="E18" s="39" t="n">
        <v>24887</v>
      </c>
      <c r="F18" s="39" t="n">
        <v>32099</v>
      </c>
      <c r="AT18" s="3"/>
      <c r="AU18" s="3"/>
      <c r="AV18" s="3"/>
      <c r="AW18" s="3"/>
      <c r="AZ18" s="39"/>
      <c r="BA18" s="39"/>
      <c r="BB18" s="39"/>
      <c r="BC18" s="39"/>
      <c r="BJ18" s="3"/>
      <c r="BK18" s="3"/>
      <c r="BL18" s="3"/>
      <c r="BM18" s="3"/>
      <c r="BN18" s="3"/>
      <c r="BO18" s="3"/>
    </row>
    <row r="19" customFormat="false" ht="23.85" hidden="false" customHeight="false" outlineLevel="0" collapsed="false">
      <c r="A19" s="65" t="str">
        <f aca="false">_xlfn.CONCAT($A$1, ".", CALC!A19)</f>
        <v>LSD.RID.0.AL.FPITREV.15</v>
      </c>
      <c r="B19" s="68" t="str">
        <f aca="false">CALC!C19</f>
        <v>Real Estate and
Rental and Leasing</v>
      </c>
      <c r="C19" s="39" t="n">
        <v>10880</v>
      </c>
      <c r="D19" s="39" t="n">
        <v>11098</v>
      </c>
      <c r="E19" s="39" t="n">
        <v>7616</v>
      </c>
      <c r="F19" s="39" t="n">
        <v>10930</v>
      </c>
      <c r="AT19" s="3"/>
      <c r="AU19" s="3"/>
      <c r="AV19" s="3"/>
      <c r="AW19" s="3"/>
      <c r="AZ19" s="39"/>
      <c r="BA19" s="39"/>
      <c r="BB19" s="39"/>
      <c r="BC19" s="39"/>
      <c r="BJ19" s="3"/>
      <c r="BK19" s="3"/>
      <c r="BL19" s="3"/>
      <c r="BM19" s="3"/>
      <c r="BN19" s="3"/>
      <c r="BO19" s="3"/>
    </row>
    <row r="20" customFormat="false" ht="23.85" hidden="false" customHeight="false" outlineLevel="0" collapsed="false">
      <c r="A20" s="65" t="str">
        <f aca="false">_xlfn.CONCAT($A$1, ".", CALC!A20)</f>
        <v>LSD.RID.0.AL.FPITREV.16</v>
      </c>
      <c r="B20" s="68" t="str">
        <f aca="false">CALC!C20</f>
        <v>Professional, Scientific,
and Technical Services</v>
      </c>
      <c r="C20" s="39" t="n">
        <v>24188</v>
      </c>
      <c r="D20" s="39" t="n">
        <v>24430</v>
      </c>
      <c r="E20" s="39" t="n">
        <v>19522</v>
      </c>
      <c r="F20" s="39" t="n">
        <v>24248</v>
      </c>
      <c r="AT20" s="3"/>
      <c r="AU20" s="3"/>
      <c r="AV20" s="3"/>
      <c r="AW20" s="3"/>
      <c r="AZ20" s="39"/>
      <c r="BA20" s="39"/>
      <c r="BB20" s="39"/>
      <c r="BC20" s="39"/>
      <c r="BJ20" s="3"/>
      <c r="BK20" s="3"/>
      <c r="BL20" s="3"/>
      <c r="BM20" s="3"/>
      <c r="BN20" s="3"/>
      <c r="BO20" s="3"/>
    </row>
    <row r="21" customFormat="false" ht="34.8" hidden="false" customHeight="false" outlineLevel="0" collapsed="false">
      <c r="A21" s="65" t="str">
        <f aca="false">_xlfn.CONCAT($A$1, ".", CALC!A21)</f>
        <v>LSD.RID.0.AL.FPITREV.17</v>
      </c>
      <c r="B21" s="68" t="str">
        <f aca="false">CALC!C21</f>
        <v>Administrative and Support
and Waste Management
and Remediation Services</v>
      </c>
      <c r="C21" s="39" t="n">
        <v>5400</v>
      </c>
      <c r="D21" s="39" t="n">
        <v>5535</v>
      </c>
      <c r="E21" s="39" t="n">
        <v>3240</v>
      </c>
      <c r="F21" s="39" t="n">
        <v>5423</v>
      </c>
      <c r="AT21" s="3"/>
      <c r="AU21" s="3"/>
      <c r="AV21" s="3"/>
      <c r="AW21" s="3"/>
      <c r="AZ21" s="39"/>
      <c r="BA21" s="39"/>
      <c r="BB21" s="39"/>
      <c r="BC21" s="39"/>
      <c r="BJ21" s="3"/>
      <c r="BK21" s="3"/>
      <c r="BL21" s="3"/>
      <c r="BM21" s="3"/>
      <c r="BN21" s="3"/>
      <c r="BO21" s="3"/>
    </row>
    <row r="22" customFormat="false" ht="12.8" hidden="false" customHeight="false" outlineLevel="0" collapsed="false">
      <c r="A22" s="65" t="str">
        <f aca="false">_xlfn.CONCAT($A$1, ".", CALC!A22)</f>
        <v>LSD.RID.0.AL.FPITREV.18</v>
      </c>
      <c r="B22" s="42" t="str">
        <f aca="false">CALC!C22</f>
        <v>Educational Services</v>
      </c>
      <c r="C22" s="39" t="n">
        <v>12285</v>
      </c>
      <c r="D22" s="39" t="n">
        <v>12470</v>
      </c>
      <c r="E22" s="39" t="n">
        <v>8833</v>
      </c>
      <c r="F22" s="39" t="n">
        <v>12332</v>
      </c>
      <c r="AT22" s="3"/>
      <c r="AU22" s="3"/>
      <c r="AV22" s="3"/>
      <c r="AW22" s="3"/>
      <c r="AZ22" s="39"/>
      <c r="BA22" s="39"/>
      <c r="BB22" s="39"/>
      <c r="BC22" s="39"/>
      <c r="BJ22" s="3"/>
      <c r="BK22" s="3"/>
      <c r="BL22" s="3"/>
      <c r="BM22" s="3"/>
      <c r="BN22" s="3"/>
      <c r="BO22" s="3"/>
    </row>
    <row r="23" customFormat="false" ht="23.85" hidden="false" customHeight="false" outlineLevel="0" collapsed="false">
      <c r="A23" s="65" t="str">
        <f aca="false">_xlfn.CONCAT($A$1, ".", CALC!A23)</f>
        <v>LSD.RID.0.AL.FPITREV.19</v>
      </c>
      <c r="B23" s="68" t="str">
        <f aca="false">CALC!C23</f>
        <v>Health Care and
Social Assistance</v>
      </c>
      <c r="C23" s="39" t="n">
        <v>13300</v>
      </c>
      <c r="D23" s="39" t="n">
        <v>13503</v>
      </c>
      <c r="E23" s="39" t="n">
        <v>9576</v>
      </c>
      <c r="F23" s="39" t="n">
        <v>13348</v>
      </c>
      <c r="AT23" s="3"/>
      <c r="AU23" s="3"/>
      <c r="AV23" s="3"/>
      <c r="AW23" s="3"/>
      <c r="AZ23" s="39"/>
      <c r="BA23" s="39"/>
      <c r="BB23" s="39"/>
      <c r="BC23" s="39"/>
      <c r="BJ23" s="3"/>
      <c r="BK23" s="3"/>
      <c r="BL23" s="3"/>
      <c r="BM23" s="3"/>
      <c r="BN23" s="3"/>
      <c r="BO23" s="3"/>
    </row>
    <row r="24" customFormat="false" ht="23.85" hidden="false" customHeight="false" outlineLevel="0" collapsed="false">
      <c r="A24" s="65" t="str">
        <f aca="false">_xlfn.CONCAT($A$1, ".", CALC!A24)</f>
        <v>LSD.RID.0.AL.FPITREV.20</v>
      </c>
      <c r="B24" s="68" t="str">
        <f aca="false">CALC!C24</f>
        <v>Arts, Entertainment,
and Recreation</v>
      </c>
      <c r="C24" s="39" t="n">
        <v>4420</v>
      </c>
      <c r="D24" s="39" t="n">
        <v>4531</v>
      </c>
      <c r="E24" s="39" t="n">
        <v>2564</v>
      </c>
      <c r="F24" s="39" t="n">
        <v>4437</v>
      </c>
      <c r="AT24" s="3"/>
      <c r="AU24" s="3"/>
      <c r="AV24" s="3"/>
      <c r="AW24" s="3"/>
      <c r="AZ24" s="39"/>
      <c r="BA24" s="39"/>
      <c r="BB24" s="39"/>
      <c r="BC24" s="39"/>
      <c r="BJ24" s="3"/>
      <c r="BK24" s="3"/>
      <c r="BL24" s="3"/>
      <c r="BM24" s="3"/>
      <c r="BN24" s="3"/>
      <c r="BO24" s="3"/>
    </row>
    <row r="25" customFormat="false" ht="23.85" hidden="false" customHeight="false" outlineLevel="0" collapsed="false">
      <c r="A25" s="65" t="str">
        <f aca="false">_xlfn.CONCAT($A$1, ".", CALC!A25)</f>
        <v>LSD.RID.0.AL.FPITREV.21</v>
      </c>
      <c r="B25" s="68" t="str">
        <f aca="false">CALC!C25</f>
        <v>Accommodation
and Food Services</v>
      </c>
      <c r="C25" s="39" t="n">
        <v>2304</v>
      </c>
      <c r="D25" s="39" t="n">
        <v>2385</v>
      </c>
      <c r="E25" s="39" t="n">
        <v>1267</v>
      </c>
      <c r="F25" s="39" t="n">
        <v>2315</v>
      </c>
      <c r="AT25" s="3"/>
      <c r="AU25" s="3"/>
      <c r="AV25" s="3"/>
      <c r="AW25" s="3"/>
      <c r="AZ25" s="39"/>
      <c r="BA25" s="39"/>
      <c r="BB25" s="39"/>
      <c r="BC25" s="39"/>
      <c r="BJ25" s="3"/>
      <c r="BK25" s="3"/>
      <c r="BL25" s="3"/>
      <c r="BM25" s="3"/>
      <c r="BN25" s="3"/>
      <c r="BO25" s="3"/>
    </row>
    <row r="26" customFormat="false" ht="23.85" hidden="false" customHeight="false" outlineLevel="0" collapsed="false">
      <c r="A26" s="65" t="str">
        <f aca="false">_xlfn.CONCAT($A$1, ".", CALC!A26)</f>
        <v>LSD.RID.0.AL.FPITREV.22</v>
      </c>
      <c r="B26" s="68" t="str">
        <f aca="false">CALC!C26</f>
        <v>Other Services (except
Public Administration)</v>
      </c>
      <c r="C26" s="39" t="n">
        <v>6475</v>
      </c>
      <c r="D26" s="39" t="n">
        <v>6659</v>
      </c>
      <c r="E26" s="39" t="n">
        <v>3885</v>
      </c>
      <c r="F26" s="39" t="n">
        <v>6501</v>
      </c>
      <c r="AT26" s="3"/>
      <c r="AU26" s="3"/>
      <c r="AV26" s="3"/>
      <c r="AW26" s="3"/>
      <c r="AZ26" s="39"/>
      <c r="BA26" s="39"/>
      <c r="BB26" s="39"/>
      <c r="BC26" s="39"/>
      <c r="BJ26" s="3"/>
      <c r="BK26" s="3"/>
      <c r="BL26" s="3"/>
      <c r="BM26" s="3"/>
      <c r="BN26" s="3"/>
      <c r="BO26" s="3"/>
    </row>
    <row r="27" customFormat="false" ht="12.8" hidden="false" customHeight="false" outlineLevel="0" collapsed="false">
      <c r="A27" s="65" t="str">
        <f aca="false">_xlfn.CONCAT($A$1, ".", CALC!A27)</f>
        <v>LSD.RID.0.AL.FPITREV.23</v>
      </c>
      <c r="B27" s="42" t="str">
        <f aca="false">CALC!C27</f>
        <v>Public Administration</v>
      </c>
      <c r="C27" s="39" t="n">
        <v>14560</v>
      </c>
      <c r="D27" s="39" t="n">
        <v>14792</v>
      </c>
      <c r="E27" s="39" t="n">
        <v>10980</v>
      </c>
      <c r="F27" s="39" t="n">
        <v>14608</v>
      </c>
      <c r="AT27" s="3"/>
      <c r="AU27" s="3"/>
      <c r="AV27" s="3"/>
      <c r="AW27" s="3"/>
      <c r="AZ27" s="39"/>
      <c r="BA27" s="39"/>
      <c r="BB27" s="39"/>
      <c r="BC27" s="39"/>
      <c r="BJ27" s="3"/>
      <c r="BK27" s="3"/>
      <c r="BL27" s="3"/>
      <c r="BM27" s="3"/>
      <c r="BN27" s="3"/>
      <c r="BO27" s="3"/>
    </row>
    <row r="29" customFormat="false" ht="12.8" hidden="false" customHeight="false" outlineLevel="0" collapsed="false">
      <c r="B29" s="3"/>
    </row>
    <row r="131" customFormat="false" ht="12.8" hidden="false" customHeight="false" outlineLevel="0" collapsed="false">
      <c r="A131" s="50" t="s">
        <v>182</v>
      </c>
      <c r="B131" s="39" t="s">
        <v>183</v>
      </c>
      <c r="C131" s="39" t="s">
        <v>184</v>
      </c>
      <c r="D131" s="39" t="s">
        <v>1843</v>
      </c>
      <c r="E131" s="39" t="s">
        <v>186</v>
      </c>
      <c r="F131" s="39" t="s">
        <v>187</v>
      </c>
    </row>
    <row r="132" customFormat="false" ht="12.8" hidden="false" customHeight="false" outlineLevel="0" collapsed="false">
      <c r="A132" s="50" t="s">
        <v>2996</v>
      </c>
      <c r="B132" s="39" t="s">
        <v>2997</v>
      </c>
      <c r="C132" s="39" t="s">
        <v>2998</v>
      </c>
      <c r="D132" s="39" t="s">
        <v>2999</v>
      </c>
      <c r="E132" s="39" t="s">
        <v>3000</v>
      </c>
      <c r="F132" s="39" t="s">
        <v>302</v>
      </c>
    </row>
    <row r="133" customFormat="false" ht="12.8" hidden="false" customHeight="false" outlineLevel="0" collapsed="false">
      <c r="A133" s="50" t="s">
        <v>3001</v>
      </c>
      <c r="B133" s="39" t="s">
        <v>2997</v>
      </c>
      <c r="C133" s="39" t="s">
        <v>1850</v>
      </c>
      <c r="D133" s="39" t="s">
        <v>3002</v>
      </c>
      <c r="E133" s="39" t="s">
        <v>2667</v>
      </c>
      <c r="F133" s="39" t="s">
        <v>302</v>
      </c>
    </row>
    <row r="134" customFormat="false" ht="12.8" hidden="false" customHeight="false" outlineLevel="0" collapsed="false">
      <c r="A134" s="50" t="s">
        <v>3003</v>
      </c>
      <c r="B134" s="39" t="s">
        <v>2997</v>
      </c>
      <c r="C134" s="39" t="s">
        <v>1853</v>
      </c>
      <c r="D134" s="39" t="s">
        <v>3004</v>
      </c>
      <c r="E134" s="39" t="s">
        <v>3005</v>
      </c>
      <c r="F134" s="39" t="s">
        <v>302</v>
      </c>
    </row>
    <row r="141" customFormat="false" ht="12.8" hidden="false" customHeight="false" outlineLevel="0" collapsed="false">
      <c r="A141" s="50" t="s">
        <v>182</v>
      </c>
      <c r="B141" s="39" t="s">
        <v>184</v>
      </c>
      <c r="C141" s="39" t="s">
        <v>684</v>
      </c>
      <c r="D141" s="39" t="s">
        <v>186</v>
      </c>
      <c r="E141" s="39" t="s">
        <v>678</v>
      </c>
      <c r="F141" s="39" t="s">
        <v>679</v>
      </c>
      <c r="G141" s="39" t="s">
        <v>680</v>
      </c>
      <c r="H141" s="39" t="s">
        <v>187</v>
      </c>
    </row>
    <row r="142" customFormat="false" ht="12.8" hidden="false" customHeight="false" outlineLevel="0" collapsed="false">
      <c r="A142" s="50" t="s">
        <v>3006</v>
      </c>
      <c r="B142" s="39" t="s">
        <v>3007</v>
      </c>
      <c r="C142" s="39" t="s">
        <v>3008</v>
      </c>
      <c r="D142" s="39" t="s">
        <v>3009</v>
      </c>
      <c r="E142" s="39" t="s">
        <v>689</v>
      </c>
      <c r="F142" s="39" t="s">
        <v>1172</v>
      </c>
      <c r="G142" s="51" t="s">
        <v>691</v>
      </c>
      <c r="H142" s="39" t="s">
        <v>3010</v>
      </c>
    </row>
    <row r="143" customFormat="false" ht="12.8" hidden="false" customHeight="false" outlineLevel="0" collapsed="false">
      <c r="A143" s="50" t="s">
        <v>3011</v>
      </c>
      <c r="B143" s="39" t="s">
        <v>3012</v>
      </c>
      <c r="C143" s="39" t="s">
        <v>3013</v>
      </c>
      <c r="D143" s="39" t="s">
        <v>3014</v>
      </c>
      <c r="E143" s="39" t="s">
        <v>983</v>
      </c>
      <c r="F143" s="39" t="s">
        <v>984</v>
      </c>
      <c r="G143" s="51" t="s">
        <v>691</v>
      </c>
      <c r="H143" s="39" t="s">
        <v>302</v>
      </c>
    </row>
    <row r="144" customFormat="false" ht="12.8" hidden="false" customHeight="false" outlineLevel="0" collapsed="false">
      <c r="A144" s="50" t="s">
        <v>3015</v>
      </c>
      <c r="B144" s="39" t="s">
        <v>3016</v>
      </c>
      <c r="C144" s="39" t="s">
        <v>3017</v>
      </c>
      <c r="D144" s="39" t="s">
        <v>3018</v>
      </c>
      <c r="E144" s="39" t="s">
        <v>983</v>
      </c>
      <c r="F144" s="39" t="s">
        <v>984</v>
      </c>
      <c r="G144" s="51" t="s">
        <v>691</v>
      </c>
      <c r="H144" s="39" t="s">
        <v>302</v>
      </c>
    </row>
    <row r="145" customFormat="false" ht="12.8" hidden="false" customHeight="false" outlineLevel="0" collapsed="false">
      <c r="A145" s="50" t="s">
        <v>3019</v>
      </c>
      <c r="B145" s="39" t="s">
        <v>3020</v>
      </c>
      <c r="C145" s="39" t="s">
        <v>3021</v>
      </c>
      <c r="D145" s="39" t="s">
        <v>2680</v>
      </c>
      <c r="E145" s="39" t="s">
        <v>983</v>
      </c>
      <c r="F145" s="39" t="s">
        <v>984</v>
      </c>
      <c r="G145" s="51" t="s">
        <v>691</v>
      </c>
      <c r="H145" s="39" t="s">
        <v>302</v>
      </c>
    </row>
    <row r="146" customFormat="false" ht="12.8" hidden="false" customHeight="false" outlineLevel="0" collapsed="false">
      <c r="A146" s="50" t="s">
        <v>3022</v>
      </c>
      <c r="B146" s="39" t="s">
        <v>3023</v>
      </c>
      <c r="C146" s="39" t="s">
        <v>3024</v>
      </c>
      <c r="D146" s="39" t="s">
        <v>2684</v>
      </c>
      <c r="E146" s="39" t="s">
        <v>983</v>
      </c>
      <c r="F146" s="39" t="s">
        <v>984</v>
      </c>
      <c r="G146" s="51" t="s">
        <v>691</v>
      </c>
      <c r="H146" s="39" t="s">
        <v>302</v>
      </c>
    </row>
    <row r="147" customFormat="false" ht="12.8" hidden="false" customHeight="false" outlineLevel="0" collapsed="false">
      <c r="A147" s="50" t="s">
        <v>3025</v>
      </c>
      <c r="B147" s="39" t="s">
        <v>3026</v>
      </c>
      <c r="C147" s="39" t="s">
        <v>3027</v>
      </c>
      <c r="D147" s="39" t="s">
        <v>982</v>
      </c>
      <c r="E147" s="39" t="s">
        <v>983</v>
      </c>
      <c r="F147" s="39" t="s">
        <v>984</v>
      </c>
      <c r="G147" s="51" t="s">
        <v>691</v>
      </c>
      <c r="H147" s="39" t="s">
        <v>302</v>
      </c>
    </row>
    <row r="148" customFormat="false" ht="12.8" hidden="false" customHeight="false" outlineLevel="0" collapsed="false">
      <c r="A148" s="50" t="s">
        <v>3028</v>
      </c>
      <c r="B148" s="39" t="s">
        <v>3029</v>
      </c>
      <c r="C148" s="39" t="s">
        <v>3030</v>
      </c>
      <c r="D148" s="39" t="s">
        <v>3031</v>
      </c>
      <c r="E148" s="39" t="s">
        <v>983</v>
      </c>
      <c r="F148" s="39" t="s">
        <v>984</v>
      </c>
      <c r="G148" s="51" t="s">
        <v>691</v>
      </c>
      <c r="H148" s="39" t="s">
        <v>302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docProps/app.xml><?xml version="1.0" encoding="utf-8"?>
<Properties xmlns="http://schemas.openxmlformats.org/officeDocument/2006/extended-properties" xmlns:vt="http://schemas.openxmlformats.org/officeDocument/2006/docPropsVTypes">
  <Template/>
  <TotalTime>6635</TotalTime>
  <Application>LibreOffice/25.8.4.2$Linux_X86_64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2025-12-27T14:55:03Z</dcterms:created>
  <dc:creator/>
  <dc:description/>
  <dc:language>en-US</dc:language>
  <cp:lastModifiedBy/>
  <dcterms:modified xsi:type="dcterms:W3CDTF">2026-02-19T13:23:16Z</dcterms:modified>
  <cp:revision>862</cp:revision>
  <dc:subject/>
  <dc:title/>
</cp:coreProperties>
</file>

<file path=docProps/custom.xml><?xml version="1.0" encoding="utf-8"?>
<Properties xmlns="http://schemas.openxmlformats.org/officeDocument/2006/custom-properties" xmlns:vt="http://schemas.openxmlformats.org/officeDocument/2006/docPropsVTypes"/>
</file>