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1.xml" ContentType="application/vnd.openxmlformats-officedocument.drawingml.chart+xml"/>
  <Override PartName="/xl/charts/chart13.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2"/>
  </bookViews>
  <sheets>
    <sheet name="INDEX" sheetId="1" state="visible" r:id="rId3"/>
    <sheet name="FORM" sheetId="2" state="visible" r:id="rId4"/>
    <sheet name="PARAM" sheetId="3" state="visible" r:id="rId5"/>
    <sheet name="CALC" sheetId="4" state="visible" r:id="rId6"/>
    <sheet name="LFP" sheetId="5" state="visible" r:id="rId7"/>
    <sheet name="ETPR" sheetId="6" state="hidden" r:id="rId8"/>
    <sheet name="LFPR" sheetId="7" state="hidden" r:id="rId9"/>
    <sheet name="U3R" sheetId="8" state="hidden" r:id="rId10"/>
    <sheet name="U6R" sheetId="9" state="hidden" r:id="rId11"/>
    <sheet name="WAVG" sheetId="10" state="hidden" r:id="rId12"/>
    <sheet name="AIAVG" sheetId="11" state="hidden" r:id="rId13"/>
    <sheet name="FPITREV" sheetId="12" state="hidden" r:id="rId14"/>
    <sheet name="FPPTREV" sheetId="13" state="hidden" r:id="rId15"/>
    <sheet name="EITCREF" sheetId="14" state="hidden" r:id="rId16"/>
    <sheet name="ACTCREF" sheetId="15" state="hidden" r:id="rId17"/>
    <sheet name="AOTCREF" sheetId="16" state="hidden" r:id="rId18"/>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<sst xmlns="http://schemas.openxmlformats.org/spreadsheetml/2006/main" count="16635" uniqueCount="8468">
  <si>
    <t xml:space="preserve">LSD.RID.0.AL</t>
  </si>
  <si>
    <t xml:space="preserve">Alabama Labor Statistics</t>
  </si>
  <si>
    <t xml:space="preserve">January, 2026</t>
  </si>
  <si>
    <t xml:space="preserve">TID</t>
  </si>
  <si>
    <t xml:space="preserve">Title</t>
  </si>
  <si>
    <t xml:space="preserve">Alabama Labor Statistic Logic Formulae</t>
  </si>
  <si>
    <t xml:space="preserve">Alabama Labor Statistic Logic Parameters</t>
  </si>
  <si>
    <t xml:space="preserve">Alabama Labor Statistic Calculations</t>
  </si>
  <si>
    <t xml:space="preserve">Alabama Labor Force Population (LFP)</t>
  </si>
  <si>
    <t xml:space="preserve">Alabama Employment-to-Population Ratio (ETPR)</t>
  </si>
  <si>
    <t xml:space="preserve">GLO</t>
  </si>
  <si>
    <t xml:space="preserve">Glossary</t>
  </si>
  <si>
    <t xml:space="preserve">Definition</t>
  </si>
  <si>
    <t xml:space="preserve">GID</t>
  </si>
  <si>
    <t xml:space="preserve">RID</t>
  </si>
  <si>
    <t xml:space="preserve">Region ID</t>
  </si>
  <si>
    <t xml:space="preserve">DES</t>
  </si>
  <si>
    <t xml:space="preserve">Department of Economic Security</t>
  </si>
  <si>
    <t xml:space="preserve">LSD</t>
  </si>
  <si>
    <t xml:space="preserve">Labor Security Division</t>
  </si>
  <si>
    <t xml:space="preserve">SLIID</t>
  </si>
  <si>
    <t xml:space="preserve">State Labor Industry ID</t>
  </si>
  <si>
    <t xml:space="preserve">SLIVID</t>
  </si>
  <si>
    <t xml:space="preserve">State Labor Industry Visualization ID</t>
  </si>
  <si>
    <t xml:space="preserve">INVID</t>
  </si>
  <si>
    <t xml:space="preserve">Invocation ID</t>
  </si>
  <si>
    <t xml:space="preserve">LFP</t>
  </si>
  <si>
    <t xml:space="preserve">Labor Force Population</t>
  </si>
  <si>
    <t xml:space="preserve">ETPR</t>
  </si>
  <si>
    <t xml:space="preserve">Employment-to-Population Ratio</t>
  </si>
  <si>
    <t xml:space="preserve">LFPR</t>
  </si>
  <si>
    <t xml:space="preserve">Labor Force Population Rate</t>
  </si>
  <si>
    <t xml:space="preserve">U3R</t>
  </si>
  <si>
    <t xml:space="preserve">Unemployment Rate</t>
  </si>
  <si>
    <t xml:space="preserve">U6R</t>
  </si>
  <si>
    <t xml:space="preserve">Underemployment Rate</t>
  </si>
  <si>
    <t xml:space="preserve">WAVG</t>
  </si>
  <si>
    <t xml:space="preserve">Wage Average</t>
  </si>
  <si>
    <t xml:space="preserve">AIAVG</t>
  </si>
  <si>
    <t xml:space="preserve">Annual Income Average</t>
  </si>
  <si>
    <t xml:space="preserve">FPITREV</t>
  </si>
  <si>
    <t xml:space="preserve">Federal Personal Income Tax Revenue</t>
  </si>
  <si>
    <t xml:space="preserve">FPPTREV</t>
  </si>
  <si>
    <t xml:space="preserve">Federal Personal Payroll Tax Revenue</t>
  </si>
  <si>
    <t xml:space="preserve">EITCREF</t>
  </si>
  <si>
    <t xml:space="preserve">Earned Income Tax Credit Refund</t>
  </si>
  <si>
    <t xml:space="preserve">ACTCREF</t>
  </si>
  <si>
    <t xml:space="preserve">Additional Child Tax Credit Refund</t>
  </si>
  <si>
    <t xml:space="preserve">AOTCREF</t>
  </si>
  <si>
    <t xml:space="preserve">American Opportunity Tax Credit Refund</t>
  </si>
  <si>
    <t xml:space="preserve">FORM</t>
  </si>
  <si>
    <t xml:space="preserve">Formulae</t>
  </si>
  <si>
    <t xml:space="preserve">PARAM</t>
  </si>
  <si>
    <t xml:space="preserve">Parameters</t>
  </si>
  <si>
    <t xml:space="preserve">CALC</t>
  </si>
  <si>
    <t xml:space="preserve">Calculations</t>
  </si>
  <si>
    <t xml:space="preserve">INV</t>
  </si>
  <si>
    <t xml:space="preserve">Invocations</t>
  </si>
  <si>
    <t xml:space="preserve">Invocation Name</t>
  </si>
  <si>
    <t xml:space="preserve">Invocation Script</t>
  </si>
  <si>
    <t xml:space="preserve">References</t>
  </si>
  <si>
    <t xml:space="preserve">Reference Account</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</si>
  <si>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</si>
  <si>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</si>
  <si>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</si>
  <si>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thomas.tom.welborn@gmail.com</t>
  </si>
  <si>
    <t xml:space="preserve">4</t>
  </si>
  <si>
    <t xml:space="preserve">Expand Labor Metrics and Industry Roles</t>
  </si>
  <si>
    <t xml:space="preserve">N/A</t>
  </si>
  <si>
    <t xml:space="preserve">https://grok.com/share/bGVnYWN5LWNvcHk_9ffcfa10-bc66-492d-b499-a56dc57d6238</t>
  </si>
  <si>
    <t xml:space="preserve">thomas.patrick.welborn@outlook.com</t>
  </si>
  <si>
    <t xml:space="preserve">3</t>
  </si>
  <si>
    <t xml:space="preserve">Alabama, Arkansas, Florida Labor Statistics Formulae, Parameters, Calculations</t>
  </si>
  <si>
    <t xml:space="preserve">https://grok.com/share/c2hhcmQtMi1jb3B5_e3140b59-169a-487d-9539-b52e3cb64dad</t>
  </si>
  <si>
    <t xml:space="preserve">thomas.welborn@protonmail.com</t>
  </si>
  <si>
    <t xml:space="preserve">2</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</si>
  <si>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</si>
  <si>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</si>
  <si>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</si>
  <si>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1</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</si>
  <si>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</si>
  <si>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</si>
  <si>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</si>
  <si>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0</t>
  </si>
  <si>
    <t xml:space="preserve">Alabama Labor Statistics Calculations</t>
  </si>
  <si>
    <t xml:space="preserve">https://grok.com/share/c2hhcmQtMg_9fc2e9b2-bc97-4724-b16d-fc3d1e8312f2</t>
  </si>
  <si>
    <t xml:space="preserve">LSD.REF.AL.FORM</t>
  </si>
  <si>
    <t xml:space="preserve">December</t>
  </si>
  <si>
    <t xml:space="preserve">FID</t>
  </si>
  <si>
    <t xml:space="preserve">Formula Name</t>
  </si>
  <si>
    <t xml:space="preserve">Formula (using PARAMETERS)</t>
  </si>
  <si>
    <t xml:space="preserve">Logic / Key Inputs</t>
  </si>
  <si>
    <t xml:space="preserve">Notes / Machine Instruction</t>
  </si>
  <si>
    <t xml:space="preserve">Total Workers (i)</t>
  </si>
  <si>
    <t xml:space="preserve">T_i = VLOOKUP(i, PARAMETERS!INDUSTRY_EMPLOYMENT_AL, 3, FALSE) + VLOOKUP(i, PARAMETERS!ADJUSTMENT_FACTOR_IND, 3, FALSE)</t>
  </si>
  <si>
    <t xml:space="preserve">Total employed in industry i from BLS CES Dec 2025, with adjustment for underreporting</t>
  </si>
  <si>
    <t xml:space="preserve">Sum should ≈ 2,211,200 (nonfarm payroll from BLS CES Dec 2025); adjustment from Census/ACS for self-employed/undercounted</t>
  </si>
  <si>
    <t xml:space="preserve">Total Workers Worker (i)</t>
  </si>
  <si>
    <t xml:space="preserve">T_worker_i = T_i × VLOOKUP(i, PARAMETERS!ROLE_PRORATE_WORKER_IND, 3, FALSE)</t>
  </si>
  <si>
    <t xml:space="preserve">Prorated for Worker role using ind-specific ratio</t>
  </si>
  <si>
    <t xml:space="preserve">Total Workers Support (i)</t>
  </si>
  <si>
    <t xml:space="preserve">T_support_i = T_i - T_worker_i</t>
  </si>
  <si>
    <t xml:space="preserve">Remainder for Support</t>
  </si>
  <si>
    <t xml:space="preserve">American Population (i)</t>
  </si>
  <si>
    <t xml:space="preserve">A_i = T_i × VLOOKUP(i, PARAMETERS!AMER_SHARE_IND, 3, FALSE)</t>
  </si>
  <si>
    <t xml:space="preserve">Ind-specific share from ACS/Pew</t>
  </si>
  <si>
    <t xml:space="preserve">Authorized Workers (i)</t>
  </si>
  <si>
    <t xml:space="preserve">V_i = T_i × VLOOKUP(i, PARAMETERS!AUTH_SHARE_IND, 3, FALSE)</t>
  </si>
  <si>
    <t xml:space="preserve">DHS/USCIS ind-estimates</t>
  </si>
  <si>
    <t xml:space="preserve">Unauthorized Workers (i)</t>
  </si>
  <si>
    <t xml:space="preserve">U_i = VLOOKUP(i, PARAMETERS!UNAUTH_EMPLOYMENT_IND, 3, FALSE)</t>
  </si>
  <si>
    <t xml:space="preserve">Direct from MPI/Pew (improved accuracy over residual)</t>
  </si>
  <si>
    <t xml:space="preserve">Labor Force Population (i)</t>
  </si>
  <si>
    <t xml:space="preserve">LFP_i = T_i / (ETPR_i * (1 - U3R_i))</t>
  </si>
  <si>
    <t xml:space="preserve">Derived for precision</t>
  </si>
  <si>
    <t xml:space="preserve">Authorized LFP (i)</t>
  </si>
  <si>
    <t xml:space="preserve">LFP_auth_i = V_i / (ETPR_auth_i * (1 - U3R_auth_i))</t>
  </si>
  <si>
    <t xml:space="preserve">Unauthorized LFP (i)</t>
  </si>
  <si>
    <t xml:space="preserve">LFP_unauth_i = U_i / (ETPR_unauth_i * (1 - U3R_unauth_i))</t>
  </si>
  <si>
    <t xml:space="preserve">American LFP (i)</t>
  </si>
  <si>
    <t xml:space="preserve">LFP_amer_i = A_i / (ETPR_amer_i * (1 - U3R_amer_i))</t>
  </si>
  <si>
    <t xml:space="preserve">Employment-to-Population Ratio (g,i)</t>
  </si>
  <si>
    <t xml:space="preserve">ETPR_g,i = VLOOKUP(i, PARAMETERS!ETPR_AVG_IND_&amp;g, 3, FALSE) * VLOOKUP(i, PARAMETERS!ETPR_ADJ_IND_&amp;g, 3, FALSE)</t>
  </si>
  <si>
    <t xml:space="preserve">Group- and ind-specific with adj</t>
  </si>
  <si>
    <t xml:space="preserve">Overall ETPR (i)</t>
  </si>
  <si>
    <t xml:space="preserve">ETPR_i = (ETPR_amer_i * A_i + ETPR_auth_i * V_i + ETPR_unauth_i * U_i) / T_i</t>
  </si>
  <si>
    <t xml:space="preserve">Weighted</t>
  </si>
  <si>
    <t xml:space="preserve">Labor Force Participation Rate (g,i)</t>
  </si>
  <si>
    <t xml:space="preserve">LFPR_g,i = ETPR_g,i / (1 - U3R_g,i) * VLOOKUP(i, PARAMETERS!SEASONAL_ADJ_IND_&amp;g, 3, FALSE)</t>
  </si>
  <si>
    <t xml:space="preserve">Derived with seasonal</t>
  </si>
  <si>
    <t xml:space="preserve">Overall LFPR (i)</t>
  </si>
  <si>
    <t xml:space="preserve">LFPR_i = (LFPR_amer_i * A_i + LFPR_auth_i * V_i + LFPR_unauth_i * U_i) / T_i</t>
  </si>
  <si>
    <t xml:space="preserve">Unemployment Rate (g,i)</t>
  </si>
  <si>
    <t xml:space="preserve">U3R_g,i = VLOOKUP(i, PARAMETERS!U3R_AVG_IND_&amp;g, 3, FALSE)</t>
  </si>
  <si>
    <t xml:space="preserve">Group- and ind-specific</t>
  </si>
  <si>
    <t xml:space="preserve">Overall U3R (i)</t>
  </si>
  <si>
    <t xml:space="preserve">U3R_i = (U3R_amer_i * A_i + U3R_auth_i * V_i + U3R_unauth_i * U_i) / T_i</t>
  </si>
  <si>
    <t xml:space="preserve">Underemployment Rate (g,i)</t>
  </si>
  <si>
    <t xml:space="preserve">U6R_g,i = U3R_g,i + VLOOKUP(i, PARAMETERS!PARTTIME_INVOL_IND_&amp;g, 3, FALSE) + VLOOKUP(i, PARAMETERS!MARGIN_ATTACH_IND_&amp;g, 3, FALSE)</t>
  </si>
  <si>
    <t xml:space="preserve">Expanded U6</t>
  </si>
  <si>
    <t xml:space="preserve">Overall U6R (i)</t>
  </si>
  <si>
    <t xml:space="preserve">U6R_i = (U6R_amer_i * A_i + U6R_auth_i * V_i + U6R_unauth_i * U_i) / T_i</t>
  </si>
  <si>
    <t xml:space="preserve">Wage Average (g,i)</t>
  </si>
  <si>
    <t xml:space="preserve">WAVG_g,i = VLOOKUP(i, PARAMETERS!WAGE_AVG_IND_&amp;g, 3, FALSE) * VLOOKUP(i, PARAMETERS!INFLATION_ADJ_IND, 3, FALSE)</t>
  </si>
  <si>
    <t xml:space="preserve">Ind-group wage with inflation</t>
  </si>
  <si>
    <t xml:space="preserve">Wage Min/Max (g,i)</t>
  </si>
  <si>
    <t xml:space="preserve">W_min_g,i = VLOOKUP(i, PARAMETERS!WAGE_MIN_IND_&amp;g, 3, FALSE); max similar</t>
  </si>
  <si>
    <t xml:space="preserve">Percentiles</t>
  </si>
  <si>
    <t xml:space="preserve">Overall WAVG (i)</t>
  </si>
  <si>
    <t xml:space="preserve">WAVG_i = (WAVG_amer_i * A_i + WAVG_auth_i * V_i + WAVG_unauth_i * U_i) / T_i</t>
  </si>
  <si>
    <t xml:space="preserve">Annual Income Average (g,i)</t>
  </si>
  <si>
    <t xml:space="preserve">AIAVG_g,i = WAVG_g,i * (VLOOKUP(i, PARAMETERS!AWHW_AVG_IND_&amp;g, 3, FALSE) * 52) - VLOOKUP(i, PARAMETERS!DEDUCTION_AVG_&amp;g, 3, FALSE)</t>
  </si>
  <si>
    <t xml:space="preserve">Hour-based with deductions</t>
  </si>
  <si>
    <t xml:space="preserve">Annual Income Min/Max (g,i)</t>
  </si>
  <si>
    <t xml:space="preserve">Similar scaling with min/max hours/wages</t>
  </si>
  <si>
    <t xml:space="preserve">Overall AIAVG (i)</t>
  </si>
  <si>
    <t xml:space="preserve">AIAVG_i = (AIAVG_amer_i * A_i + AIAVG_auth_i * V_i + AIAVG_unauth_i * U_i) / T_i</t>
  </si>
  <si>
    <t xml:space="preserve">Federal Personal Income Tax Revenue (g,i)</t>
  </si>
  <si>
    <t xml:space="preserve">FPIT_g,i = SUMPRODUCT(AIAVG_g,i * EP_g,i, PARAMETERS!FED_BRACKETS, PARAMETERS!FED_RATES_IND_&amp;g) * VLOOKUP(i, PARAMETERS!COMPLIANCE_RATE_IND_&amp;g, 3, FALSE)</t>
  </si>
  <si>
    <t xml:space="preserve">Progressive with compliance</t>
  </si>
  <si>
    <t xml:space="preserve">Overall FPIT (i)</t>
  </si>
  <si>
    <t xml:space="preserve">FPIT_i = SUM(FPIT_g,i)</t>
  </si>
  <si>
    <t xml:space="preserve">FPIT (g)</t>
  </si>
  <si>
    <t xml:space="preserve">FPIT_g = SUM(FPIT_g,i)</t>
  </si>
  <si>
    <t xml:space="preserve">Federal Personal Payroll Tax Revenue (g,i)</t>
  </si>
  <si>
    <t xml:space="preserve">FPPT_g,i = MIN(AIAVG_g,i, PARAMETERS!SS_CAP) * EP_g,i * VLOOKUP(i, PARAMETERS!PAYROLL_RATE_IND_&amp;g, 3, FALSE) / 2</t>
  </si>
  <si>
    <t xml:space="preserve">Cap applied</t>
  </si>
  <si>
    <t xml:space="preserve">Overall FPPT (i)</t>
  </si>
  <si>
    <t xml:space="preserve">FPPT_i = SUM(FPPT_g,i)</t>
  </si>
  <si>
    <t xml:space="preserve">FPPT (g)</t>
  </si>
  <si>
    <t xml:space="preserve">FPPT_g = SUM(FPPT_g,i)</t>
  </si>
  <si>
    <t xml:space="preserve">EITC Credit Refund (g,i)</t>
  </si>
  <si>
    <t xml:space="preserve">EITC_g,i = MAX(0, MIN(VLOOKUP(i, PARAMETERS!EITC_MAX_IND_&amp;g, 3, FALSE), (AIAVG_g,i - VLOOKUP(i, PARAMETERS!EITC_PHASE_IN_IND_&amp;g, 3, FALSE)) * VLOOKUP(i, PARAMETERS!EITC_RATE_IND_&amp;g, 3, FALSE))) * EP_g,i * VLOOKUP(i, PARAMETERS!ELIGIBILITY_ADJ_IND_&amp;g, 3, FALSE)</t>
  </si>
  <si>
    <t xml:space="preserve">Ind-group phase/eligibility</t>
  </si>
  <si>
    <t xml:space="preserve">Overall EITC (i)</t>
  </si>
  <si>
    <t xml:space="preserve">EITC_i = SUM(EITC_g,i)</t>
  </si>
  <si>
    <t xml:space="preserve">EITC (g)</t>
  </si>
  <si>
    <t xml:space="preserve">EITC_g = SUM(EITC_g,i)</t>
  </si>
  <si>
    <t xml:space="preserve">ACTC Credit Refund (g,i)</t>
  </si>
  <si>
    <t xml:space="preserve">ACTC_g,i = MIN(VLOOKUP(i, PARAMETERS!ACTC_MAX_IND_&amp;g, 3, FALSE) * VLOOKUP(i, PARAMETERS!QUAL_CHILDREN_IND_&amp;g, 3, FALSE), MAX(0, (AIAVG_g,i - VLOOKUP(i, PARAMETERS!ACTC_MIN_EARNED_IND, 3, FALSE)) * PARAMETERS!ACTC_REFUND_RATE)) * VLOOKUP(i, PARAMETERS!SSN_VALID_IND_&amp;g, 3, FALSE)</t>
  </si>
  <si>
    <t xml:space="preserve">Ind-specific</t>
  </si>
  <si>
    <t xml:space="preserve">Overall ACTC (i)</t>
  </si>
  <si>
    <t xml:space="preserve">ACTC_i = SUM(ACTC_g,i)</t>
  </si>
  <si>
    <t xml:space="preserve">ACTC (g)</t>
  </si>
  <si>
    <t xml:space="preserve">ACTC_g = SUM(ACTC_g,i)</t>
  </si>
  <si>
    <t xml:space="preserve">AOTC Credit Refund (g,i)</t>
  </si>
  <si>
    <t xml:space="preserve">AOTC_g,i = IF(VLOOKUP(i, PARAMETERS!SSN_VALID_IND_&amp;g, 3, FALSE), MIN(2500 * VLOOKUP(i, PARAMETERS!STUDENT_RATE_IND_&amp;g, 3, FALSE) * VLOOKUP(i, PARAMETERS!EDUCATION_RATIO_IND, 3, FALSE) * (VLOOKUP(i, PARAMETERS!DEPENDENTS_AVG_IND_&amp;g, 3, FALSE) + VLOOKUP(i, PARAMETERS!QUAL_CHILDREN_IND_&amp;g, 3, FALSE))/2, 2500), 0) * VLOOKUP(i, PARAMETERS!COMPLIANCE_ADJ_IND_&amp;g, 3, FALSE)</t>
  </si>
  <si>
    <t xml:space="preserve">Overall AOTC (i)</t>
  </si>
  <si>
    <t xml:space="preserve">AOTC_i = SUM(AOTC_g,i)</t>
  </si>
  <si>
    <t xml:space="preserve">AOTC (g)</t>
  </si>
  <si>
    <t xml:space="preserve">AOTC_g = SUM(AOTC_g,i)</t>
  </si>
  <si>
    <t xml:space="preserve">Employed Population (g,i)</t>
  </si>
  <si>
    <t xml:space="preserve">EP_g,i = LFP_g,i * LFPR_g,i * (1 - U3R_g,i)</t>
  </si>
  <si>
    <t xml:space="preserve">Full derivation</t>
  </si>
  <si>
    <t xml:space="preserve">Overall EP (i)</t>
  </si>
  <si>
    <t xml:space="preserve">EP_i = SUM(EP_g,i)</t>
  </si>
  <si>
    <t xml:space="preserve">Average Weekly Hours Worked (g,i)</t>
  </si>
  <si>
    <t xml:space="preserve">AWHW_g,i = VLOOKUP(i, PARAMETERS!AWHW_AVG_IND_&amp;g, 3, FALSE) * VLOOKUP(i, PARAMETERS!AWHW_ADJ_IND_&amp;g, 3, FALSE)</t>
  </si>
  <si>
    <t xml:space="preserve">Ind-group with adj</t>
  </si>
  <si>
    <t xml:space="preserve">Overall AWHW (i)</t>
  </si>
  <si>
    <t xml:space="preserve">AWHW_i = (AWHW_amer_i * EP_amer_i + AWHW_auth_i * EP_auth_i + AWHW_unauth_i * EP_unauth_i) / EP_i</t>
  </si>
  <si>
    <t xml:space="preserve">AWHW Min/Max (g,i)</t>
  </si>
  <si>
    <t xml:space="preserve">AWHW_min_g,i = VLOOKUP(i, PARAMETERS!AWHW_MIN_IND_&amp;g, 3, FALSE); max similar</t>
  </si>
  <si>
    <t xml:space="preserve">Full-Time Employment Rate (g,i)</t>
  </si>
  <si>
    <t xml:space="preserve">FTER_g,i = VLOOKUP(i, PARAMETERS!FTER_IND_&amp;g, 3, FALSE) * VLOOKUP(i, PARAMETERS!FTER_ADJ_IND_&amp;g, 3, FALSE)</t>
  </si>
  <si>
    <t xml:space="preserve">Group-ind</t>
  </si>
  <si>
    <t xml:space="preserve">Overall FTER (i)</t>
  </si>
  <si>
    <t xml:space="preserve">FTER_i = (FTER_amer_i * EP_amer_i + FTER_auth_i * EP_auth_i + FTER_unauth_i * EP_unauth_i) / EP_i</t>
  </si>
  <si>
    <t xml:space="preserve">Part-Time Employment Rate (g,i)</t>
  </si>
  <si>
    <t xml:space="preserve">PTER_g,i = 1 - FTER_g,i</t>
  </si>
  <si>
    <t xml:space="preserve">Incl involuntary</t>
  </si>
  <si>
    <t xml:space="preserve">Overall PTER (i)</t>
  </si>
  <si>
    <t xml:space="preserve">PTER_i = 1 - FTER_i</t>
  </si>
  <si>
    <t xml:space="preserve">Job Tenure Average (g,i)</t>
  </si>
  <si>
    <t xml:space="preserve">JTA_g,i = VLOOKUP(i, PARAMETERS!JTA_AVG_IND_&amp;g, 3, FALSE) * VLOOKUP("COHORT_ADJ_&amp;g", PARAMETERS!OTHER.ADJUSTMENTS, 3, FALSE)</t>
  </si>
  <si>
    <t xml:space="preserve">Group-ind with cohort</t>
  </si>
  <si>
    <t xml:space="preserve">Overall JTA (i)</t>
  </si>
  <si>
    <t xml:space="preserve">JTA_i = (JTA_amer_i * EP_amer_i + JTA_auth_i * EP_auth_i + JTA_unauth_i * EP_unauth_i) / EP_i</t>
  </si>
  <si>
    <t xml:space="preserve">JTA Min/Max (g,i)</t>
  </si>
  <si>
    <t xml:space="preserve">JTA_min_g,i = VLOOKUP(i, PARAMETERS!JTA_MIN_IND_&amp;g, 3, FALSE); max similar</t>
  </si>
  <si>
    <t xml:space="preserve">Turnover Rate (g,i)</t>
  </si>
  <si>
    <t xml:space="preserve">TR_g,i = VLOOKUP(i, PARAMETERS!TR_IND_&amp;g, 3, FALSE)</t>
  </si>
  <si>
    <t xml:space="preserve">From JOLTS group-ind</t>
  </si>
  <si>
    <t xml:space="preserve">Overall TR (i)</t>
  </si>
  <si>
    <t xml:space="preserve">TR_i = (TR_amer_i * EP_amer_i + TR_auth_i * EP_auth_i + TR_unauth_i * EP_unauth_i) / EP_i</t>
  </si>
  <si>
    <t xml:space="preserve">Labor Productivity (g,i)</t>
  </si>
  <si>
    <t xml:space="preserve">LP_g,i = VLOOKUP(i, PARAMETERS!LP_IND_&amp;g, 3, FALSE) * (ELR_g,i / VLOOKUP(i, PARAMETERS!ELR_REQ_IND, 3, FALSE))</t>
  </si>
  <si>
    <t xml:space="preserve">Adj for educ mismatch</t>
  </si>
  <si>
    <t xml:space="preserve">Overall LP (i)</t>
  </si>
  <si>
    <t xml:space="preserve">LP_i = (LP_amer_i * EP_amer_i + LP_auth_i * EP_auth_i + LP_unauth_i * EP_unauth_i) / EP_i</t>
  </si>
  <si>
    <t xml:space="preserve">Education Level Required Average (i)</t>
  </si>
  <si>
    <t xml:space="preserve">ELR_i = VLOOKUP(i, PARAMETERS!ELR_REQ_IND, 3, FALSE)</t>
  </si>
  <si>
    <t xml:space="preserve">From O*NET ind</t>
  </si>
  <si>
    <t xml:space="preserve">Education Level Actual (g,i)</t>
  </si>
  <si>
    <t xml:space="preserve">ELR_g,i = VLOOKUP(i, PARAMETERS!ELR_ACTUAL_IND_&amp;g, 3, FALSE)</t>
  </si>
  <si>
    <t xml:space="preserve">ACS group-ind</t>
  </si>
  <si>
    <t xml:space="preserve">Overall ELR Actual (i)</t>
  </si>
  <si>
    <t xml:space="preserve">ELR_actual_i = (ELR_amer_i * EP_amer_i + ELR_auth_i * EP_auth_i + ELR_unauth_i * EP_unauth_i) / EP_i</t>
  </si>
  <si>
    <t xml:space="preserve">State/Local Tax Revenue (g,i)</t>
  </si>
  <si>
    <t xml:space="preserve">SLTR_g,i = (AIAVG_g,i * EP_g,i * VLOOKUP(i, PARAMETERS!SL_RATE_IND_&amp;g, 3, FALSE) + VLOOKUP(i, PARAMETERS!NON_INCOME_SL_IND_&amp;g, 3, FALSE)) * VLOOKUP(i, PARAMETERS!COMPLIANCE_RATE_IND_&amp;g, 3, FALSE)</t>
  </si>
  <si>
    <t xml:space="preserve">Income + non-income with compliance</t>
  </si>
  <si>
    <t xml:space="preserve">Overall SLTR (i)</t>
  </si>
  <si>
    <t xml:space="preserve">SLTR_i = SUM(SLTR_g,i)</t>
  </si>
  <si>
    <t xml:space="preserve">SLTR (g)</t>
  </si>
  <si>
    <t xml:space="preserve">SLTR_g = SUM(SLTR_g,i)</t>
  </si>
  <si>
    <t xml:space="preserve">Social Security/Medicare Contributions (g,i)</t>
  </si>
  <si>
    <t xml:space="preserve">SSMC_g,i = MIN(AIAVG_g,i, PARAMETERS!SS_CAP) * EP_g,i * VLOOKUP(i, PARAMETERS!SSMC_RATE_IND_&amp;g, 3, FALSE) / 2</t>
  </si>
  <si>
    <t xml:space="preserve">Employee share cap</t>
  </si>
  <si>
    <t xml:space="preserve">Overall SSMC (i)</t>
  </si>
  <si>
    <t xml:space="preserve">SSMC_i = SUM(SSMC_g,i)</t>
  </si>
  <si>
    <t xml:space="preserve">SSMC (g)</t>
  </si>
  <si>
    <t xml:space="preserve">SSMC_g = SUM(SSMC_g,i)</t>
  </si>
  <si>
    <t xml:space="preserve">Public Assistance Usage Rate (g,i)</t>
  </si>
  <si>
    <t xml:space="preserve">PAUR_g,i = VLOOKUP(i, PARAMETERS!PAUR_IND_&amp;g, 3, FALSE)</t>
  </si>
  <si>
    <t xml:space="preserve">Overall PAUR (i)</t>
  </si>
  <si>
    <t xml:space="preserve">PAUR_i = (PAUR_amer_i * EP_amer_i + PAUR_auth_i * EP_auth_i + PAUR_unauth_i * EP_unauth_i) / EP_i</t>
  </si>
  <si>
    <t xml:space="preserve">PAUR Cost Estimate (g,i)</t>
  </si>
  <si>
    <t xml:space="preserve">PAUR_cost_g,i = PAUR_g,i * EP_g,i * VLOOKUP(i, PARAMETERS!PA_AVG_COST_IND_&amp;g, 3, FALSE)</t>
  </si>
  <si>
    <t xml:space="preserve">Monetized</t>
  </si>
  <si>
    <t xml:space="preserve">Aggregate All Industries (0)</t>
  </si>
  <si>
    <t xml:space="preserve">Metric_0 = SUM(Metric_i for i=1 to 52)</t>
  </si>
  <si>
    <t xml:space="preserve">For totals like T_0, EP_0, revenues</t>
  </si>
  <si>
    <t xml:space="preserve">Apply to all metrics; weighted for rates</t>
  </si>
  <si>
    <t xml:space="preserve">Confidence Interval Lower (metric,g,i)</t>
  </si>
  <si>
    <t xml:space="preserve">CI_Lower = Metric_g,i - SQRT(VLOOKUP(i, PARAMETERS!VAR_&amp;metric_IND_&amp;g, 3, FALSE)) * 1.96</t>
  </si>
  <si>
    <t xml:space="preserve">95% CI lower for any metric</t>
  </si>
  <si>
    <t xml:space="preserve">Use delta/propagation per FORM CI columns</t>
  </si>
  <si>
    <t xml:space="preserve">Confidence Interval Upper (metric,g,i)</t>
  </si>
  <si>
    <t xml:space="preserve">CI_Upper = Metric_g,i + SQRT(VLOOKUP(i, PARAMETERS!VAR_&amp;metric_IND_&amp;g, 3, FALSE)) * 1.96</t>
  </si>
  <si>
    <t xml:space="preserve">95% CI upper</t>
  </si>
  <si>
    <t xml:space="preserve">Net Fiscal Impact (g,i)</t>
  </si>
  <si>
    <t xml:space="preserve">Net_g,i = (FPIT_g,i + FPPT_g,i + SLTR_g,i + SSMC_g,i) - (EITC_g,i + ACTC_g,i + AOTC_g,i + PAUR_cost_g,i)</t>
  </si>
  <si>
    <t xml:space="preserve">Taxes - credits/assistance for net</t>
  </si>
  <si>
    <t xml:space="preserve">Policy analysis</t>
  </si>
  <si>
    <t xml:space="preserve">Derived from LFP, LFPR, U3R; total employed = labor force * (1 - unemployment)</t>
  </si>
  <si>
    <t xml:space="preserve">Adjust for underemployment if needed in separate metric</t>
  </si>
  <si>
    <t xml:space="preserve">Aggregate over groups</t>
  </si>
  <si>
    <t xml:space="preserve">EP (g)</t>
  </si>
  <si>
    <t xml:space="preserve">EP_g = SUM(EP_g,i)</t>
  </si>
  <si>
    <t xml:space="preserve">Aggregate over industries</t>
  </si>
  <si>
    <t xml:space="preserve">Group- and ind-specific with adj from BLS CES/OEWS</t>
  </si>
  <si>
    <t xml:space="preserve">Full-time vs part-time weighted implicitly</t>
  </si>
  <si>
    <t xml:space="preserve">Weighted average</t>
  </si>
  <si>
    <t xml:space="preserve">AWHW (g)</t>
  </si>
  <si>
    <t xml:space="preserve">AWHW_g = SUM(AWHW_g,i * EP_g,i) / EP_g</t>
  </si>
  <si>
    <t xml:space="preserve">Weighted average over industries</t>
  </si>
  <si>
    <t xml:space="preserve">FTER_g,i = VLOOKUP(i, PARAMETERS!FTER_AVG_IND_&amp;g, 3, FALSE) * VLOOKUP(i, PARAMETERS!FTER_ADJ_IND_&amp;g, 3, FALSE)</t>
  </si>
  <si>
    <t xml:space="preserve">Assume full-time if AWHW &gt;=35; from ACS/OEWS</t>
  </si>
  <si>
    <t xml:space="preserve">FTER (g)</t>
  </si>
  <si>
    <t xml:space="preserve">FTER_g = SUM(FTER_g,i * EP_g,i) / EP_g</t>
  </si>
  <si>
    <t xml:space="preserve">Weighted over industries</t>
  </si>
  <si>
    <t xml:space="preserve">Remainder after full-time</t>
  </si>
  <si>
    <t xml:space="preserve">Assumes binary full/part-time split</t>
  </si>
  <si>
    <t xml:space="preserve">Complement</t>
  </si>
  <si>
    <t xml:space="preserve">PTER (g)</t>
  </si>
  <si>
    <t xml:space="preserve">PTER_g = 1 - FTER_g</t>
  </si>
  <si>
    <t xml:space="preserve">Complement over groups</t>
  </si>
  <si>
    <t xml:space="preserve">JTA_g,i = VLOOKUP(i, PARAMETERS!JTA_AVG_IND_&amp;g, 3, FALSE) * VLOOKUP(i, PARAMETERS!JTA_ADJ_IND_&amp;g, 3, FALSE)</t>
  </si>
  <si>
    <t xml:space="preserve">Group- and ind-specific tenure in years from CPS tenure supplement</t>
  </si>
  <si>
    <t xml:space="preserve">Adj for underreporting in unauthorized groups</t>
  </si>
  <si>
    <t xml:space="preserve">JTA (g)</t>
  </si>
  <si>
    <t xml:space="preserve">JTA_g = SUM(JTA_g,i * EP_g,i) / EP_g</t>
  </si>
  <si>
    <t xml:space="preserve">TR_g,i = VLOOKUP(i, PARAMETERS!TR_AVG_IND_&amp;g, 3, FALSE) * VLOOKUP(i, PARAMETERS!TR_ADJ_IND_&amp;g, 3, FALSE)</t>
  </si>
  <si>
    <t xml:space="preserve">Group- and ind-specific annual turnover rate from JOLTS/OEWS</t>
  </si>
  <si>
    <t xml:space="preserve">Adj higher for unauthorized/lower-wage roles</t>
  </si>
  <si>
    <t xml:space="preserve">TR (g)</t>
  </si>
  <si>
    <t xml:space="preserve">TR_g = SUM(TR_g,i * EP_g,i) / EP_g</t>
  </si>
  <si>
    <t xml:space="preserve">LP_g,i = VLOOKUP(i, PARAMETERS!LP_AVG_IND_&amp;g, 3, FALSE) * VLOOKUP(i, PARAMETERS!LP_ADJ_IND_&amp;g, 3, FALSE)</t>
  </si>
  <si>
    <t xml:space="preserve">Group- and ind-specific output per worker from BEA/BLS productivity indexes</t>
  </si>
  <si>
    <t xml:space="preserve">Adj lower for unauthorized due to wage gaps/access</t>
  </si>
  <si>
    <t xml:space="preserve">LP (g)</t>
  </si>
  <si>
    <t xml:space="preserve">LP_g = SUM(LP_g,i * EP_g,i) / EP_g</t>
  </si>
  <si>
    <t xml:space="preserve">Education Level Required (g,i)</t>
  </si>
  <si>
    <t xml:space="preserve">ELR_g,i = VLOOKUP(i, PARAMETERS!ELR_AVG_IND_&amp;g, 3, FALSE) * VLOOKUP(i, PARAMETERS!ELR_ADJ_IND_&amp;g, 3, FALSE)</t>
  </si>
  <si>
    <t xml:space="preserve">Group- and ind-specific typical education level (scale 1-6) from O*NET/CPS</t>
  </si>
  <si>
    <t xml:space="preserve">Adj lower for unauthorized roles in some industries</t>
  </si>
  <si>
    <t xml:space="preserve">Overall ELR (i)</t>
  </si>
  <si>
    <t xml:space="preserve">ELR_i = ROUND((ELR_amer_i * EP_amer_i + ELR_auth_i * EP_auth_i + ELR_unauth_i * EP_unauth_i) / EP_i)</t>
  </si>
  <si>
    <t xml:space="preserve">Rounded weighted average</t>
  </si>
  <si>
    <t xml:space="preserve">ELR (g)</t>
  </si>
  <si>
    <t xml:space="preserve">ELR_g = ROUND(SUM(ELR_g,i * EP_g,i) / EP_g)</t>
  </si>
  <si>
    <t xml:space="preserve">Rounded weighted over industries</t>
  </si>
  <si>
    <t xml:space="preserve">Confidence Interval Lower (metric,g,i) - Extended</t>
  </si>
  <si>
    <t xml:space="preserve">95% CI lower, extended to all metrics</t>
  </si>
  <si>
    <t xml:space="preserve">Use delta method for propagation if combined metrics</t>
  </si>
  <si>
    <t xml:space="preserve">Confidence Interval Upper (metric,g,i) - Extended</t>
  </si>
  <si>
    <t xml:space="preserve">95% CI upper, extended to all metrics</t>
  </si>
  <si>
    <t xml:space="preserve">Net Fiscal Impact Extended (g,i)</t>
  </si>
  <si>
    <t xml:space="preserve">Taxes - credits/assistance, same as 28 but confirm extended groups</t>
  </si>
  <si>
    <t xml:space="preserve">Policy analysis, aggregate to totals</t>
  </si>
  <si>
    <t xml:space="preserve">Overall Net (i)</t>
  </si>
  <si>
    <t xml:space="preserve">Net_i = SUM(Net_g,i)</t>
  </si>
  <si>
    <t xml:space="preserve">Net fiscal per industry</t>
  </si>
  <si>
    <t xml:space="preserve">Net (g)</t>
  </si>
  <si>
    <t xml:space="preserve">Net_g = SUM(Net_g,i)</t>
  </si>
  <si>
    <t xml:space="preserve">Net fiscal per group</t>
  </si>
  <si>
    <t xml:space="preserve">Aggregate All Groups (0)</t>
  </si>
  <si>
    <t xml:space="preserve">Metric_0 = SUM(Metric_g for g=amer,auth,unauth)</t>
  </si>
  <si>
    <t xml:space="preserve">For totals like EP_0, Net_0</t>
  </si>
  <si>
    <t xml:space="preserve">Validation Sum Check</t>
  </si>
  <si>
    <t xml:space="preserve">VALID_SUM = IF(SUM(T_i) ≈ PARAMETERS!TOTAL_NONFARM_AL, "OK", "ERROR")</t>
  </si>
  <si>
    <t xml:space="preserve">Check total employment against BLS benchmark</t>
  </si>
  <si>
    <t xml:space="preserve">Internal machine instruction for calc integrity</t>
  </si>
  <si>
    <t xml:space="preserve">Authorized Employed Population (i)</t>
  </si>
  <si>
    <t xml:space="preserve">EP_auth_i = LFP_auth_i * LFPR_auth_i * (1 - U3R_auth_i)</t>
  </si>
  <si>
    <t xml:space="preserve">Direct derivation for authorized group only</t>
  </si>
  <si>
    <t xml:space="preserve">Used in weighted averages for rates</t>
  </si>
  <si>
    <t xml:space="preserve">Unauthorized Employed Population (i)</t>
  </si>
  <si>
    <t xml:space="preserve">EP_unauth_i = LFP_unauth_i * LFPR_unauth_i * (1 - U3R_unauth_i)</t>
  </si>
  <si>
    <t xml:space="preserve">Direct derivation for unauthorized group only</t>
  </si>
  <si>
    <t xml:space="preserve">American Employed Population (i)</t>
  </si>
  <si>
    <t xml:space="preserve">EP_amer_i = LFP_amer_i * LFPR_amer_i * (1 - U3R_amer_i)</t>
  </si>
  <si>
    <t xml:space="preserve">Direct derivation for American group only</t>
  </si>
  <si>
    <t xml:space="preserve">Total Employed Population (0)</t>
  </si>
  <si>
    <t xml:space="preserve">EP_0 = SUM(EP_i for i=1 to 52)</t>
  </si>
  <si>
    <t xml:space="preserve">Statewide total employed (all industries, all roles)</t>
  </si>
  <si>
    <t xml:space="preserve">Validation against BLS CES nonfarm payroll</t>
  </si>
  <si>
    <t xml:space="preserve">Weighted Average Wage (g,i)</t>
  </si>
  <si>
    <t xml:space="preserve">WAVG_g,i = VLOOKUP(i, PARAMETERS!WAGE_AVG_IND_&amp;g, 3, FALSE) * VLOOKUP(i, PARAMETERS!WAGE_ADJ_IND_&amp;g, 3, FALSE)</t>
  </si>
  <si>
    <t xml:space="preserve">Group- and ind-specific base wage with adjustment</t>
  </si>
  <si>
    <t xml:space="preserve">Already partially in PARAM; this formalizes</t>
  </si>
  <si>
    <t xml:space="preserve">Overall Weighted Average Wage (i)</t>
  </si>
  <si>
    <t xml:space="preserve">WAVG_i = (WAVG_amer_i * EP_amer_i + WAVG_auth_i * EP_auth_i + WAVG_unauth_i * EP_unauth_i) / EP_i</t>
  </si>
  <si>
    <t xml:space="preserve">Employment-weighted statewide wage per industry</t>
  </si>
  <si>
    <t xml:space="preserve">Used for AIAVG calc</t>
  </si>
  <si>
    <t xml:space="preserve">WAVG (g)</t>
  </si>
  <si>
    <t xml:space="preserve">WAVG_g = SUM(WAVG_g,i * EP_g,i) / EP_g</t>
  </si>
  <si>
    <t xml:space="preserve">Weighted by industry within group</t>
  </si>
  <si>
    <t xml:space="preserve">AIAVG_g,i = WAVG_g,i * AWHW_g,i * 52</t>
  </si>
  <si>
    <t xml:space="preserve">Annualized from hourly wage and average weekly hours</t>
  </si>
  <si>
    <t xml:space="preserve">Assumes 52 weeks; no unpaid leave adjustment</t>
  </si>
  <si>
    <t xml:space="preserve">Overall Annual Income Average (i)</t>
  </si>
  <si>
    <t xml:space="preserve">AIAVG_i = (AIAVG_amer_i * EP_amer_i + AIAVG_auth_i * EP_auth_i + AIAVG_unauth_i * EP_unauth_i) / EP_i</t>
  </si>
  <si>
    <t xml:space="preserve">Employment-weighted annual income per industry</t>
  </si>
  <si>
    <t xml:space="preserve">AIAVG (g)</t>
  </si>
  <si>
    <t xml:space="preserve">AIAVG_g = SUM(AIAVG_g,i * EP_g,i) / EP_g</t>
  </si>
  <si>
    <t xml:space="preserve">FPIT_g,i = AIAVG_g,i * EP_g,i * VLOOKUP(i, PARAMETERS!FIT_RATE_IND_&amp;g, 3, FALSE) * VLOOKUP(i, PARAMETERS!FIT_COMPLIANCE_IND_&amp;g, 3, FALSE)</t>
  </si>
  <si>
    <t xml:space="preserve">Effective rate × compliance-adjusted income × employed population</t>
  </si>
  <si>
    <t xml:space="preserve">Uses projected 2026 brackets + standard deduction</t>
  </si>
  <si>
    <t xml:space="preserve">Overall FPITREV (i)</t>
  </si>
  <si>
    <t xml:space="preserve">Aggregate federal income tax per industry</t>
  </si>
  <si>
    <t xml:space="preserve">FPITREV (g)</t>
  </si>
  <si>
    <t xml:space="preserve">Aggregate federal income tax per group</t>
  </si>
  <si>
    <t xml:space="preserve">FPPT_g,i = MIN(AIAVG_g,i, PARAMETERS!SS_CAP) * EP_g,i * PARAMETERS!SSMC_RATE</t>
  </si>
  <si>
    <t xml:space="preserve">Employee share only, capped at SS wage base</t>
  </si>
  <si>
    <t xml:space="preserve">Medicare uncapped in reality, but simplified here</t>
  </si>
  <si>
    <t xml:space="preserve">Overall FPPTREV (i)</t>
  </si>
  <si>
    <t xml:space="preserve">Aggregate payroll tax per industry</t>
  </si>
  <si>
    <t xml:space="preserve">FPPTREV (g)</t>
  </si>
  <si>
    <t xml:space="preserve">Aggregate payroll tax per group</t>
  </si>
  <si>
    <t xml:space="preserve">Earned Income Tax Credit Refund (g,i)</t>
  </si>
  <si>
    <t xml:space="preserve">EITC_g,i = VLOOKUP(i, PARAMETERS!EITC_AVG_REFUND_IND_&amp;g, 3, FALSE) * EP_g,i * VLOOKUP(i, PARAMETERS!EITC_ELIGIBILITY_RATE_IND_&amp;g, 3, FALSE)</t>
  </si>
  <si>
    <t xml:space="preserve">Average refund × eligibility rate × employed</t>
  </si>
  <si>
    <t xml:space="preserve">Uses projected 2026 EITC parameters</t>
  </si>
  <si>
    <t xml:space="preserve">Overall EITCREF (i)</t>
  </si>
  <si>
    <t xml:space="preserve">Aggregate EITC refunds per industry</t>
  </si>
  <si>
    <t xml:space="preserve">EITCREF (g)</t>
  </si>
  <si>
    <t xml:space="preserve">Aggregate EITC refunds per group</t>
  </si>
  <si>
    <t xml:space="preserve">Additional Child Tax Credit Refund (g,i)</t>
  </si>
  <si>
    <t xml:space="preserve">ACTC_g,i = VLOOKUP(i, PARAMETERS!ACTC_AVG_REFUND_IND_&amp;g, 3, FALSE) * EP_g,i * VLOOKUP(i, PARAMETERS!ACTC_ELIGIBILITY_RATE_IND_&amp;g, 3, FALSE)</t>
  </si>
  <si>
    <t xml:space="preserve">Uses projected 2026 ACTC parameters</t>
  </si>
  <si>
    <t xml:space="preserve">Overall ACTCREF (i)</t>
  </si>
  <si>
    <t xml:space="preserve">Aggregate ACTC refunds per industry</t>
  </si>
  <si>
    <t xml:space="preserve">ACTCREF (g)</t>
  </si>
  <si>
    <t xml:space="preserve">Aggregate ACTC refunds per group</t>
  </si>
  <si>
    <t xml:space="preserve">American Opportunity Tax Credit Refund (g,i)</t>
  </si>
  <si>
    <t xml:space="preserve">AOTC_g,i = VLOOKUP(i, PARAMETERS!AOTC_AVG_REFUND_IND_&amp;g, 3, FALSE) * EP_g,i * VLOOKUP(i, PARAMETERS!AOTC_ELIGIBILITY_RATE_IND_&amp;g, 3, FALSE)</t>
  </si>
  <si>
    <t xml:space="preserve">Uses projected 2026 AOTC parameters</t>
  </si>
  <si>
    <t xml:space="preserve">Overall AOTCREF (i)</t>
  </si>
  <si>
    <t xml:space="preserve">Aggregate AOTC refunds per industry</t>
  </si>
  <si>
    <t xml:space="preserve">AOTCREF (g)</t>
  </si>
  <si>
    <t xml:space="preserve">Aggregate AOTC refunds per group</t>
  </si>
  <si>
    <t xml:space="preserve">EP_g,i = LFP_g,i * ETPR_g,i</t>
  </si>
  <si>
    <t xml:space="preserve">Group-specific employed population derived from labor force population and ETPR</t>
  </si>
  <si>
    <t xml:space="preserve">Assumes LFP represents total eligible population; consistent with earlier derivations</t>
  </si>
  <si>
    <t xml:space="preserve">Overall Employed Population (i)</t>
  </si>
  <si>
    <t xml:space="preserve">EP_i = LFP_i * ETPR_i</t>
  </si>
  <si>
    <t xml:space="preserve">Weighted aggregate employed per industry</t>
  </si>
  <si>
    <t xml:space="preserve">Employed Population (g)</t>
  </si>
  <si>
    <t xml:space="preserve">Aggregate employed per group across industries</t>
  </si>
  <si>
    <t xml:space="preserve">Group- and ind-specific average hours with seasonal/adj factors</t>
  </si>
  <si>
    <t xml:space="preserve">BLS CES/OEWS derived with group adjustments</t>
  </si>
  <si>
    <t xml:space="preserve">Employment-weighted average hours per industry</t>
  </si>
  <si>
    <t xml:space="preserve">FTER_g,i = VLOOKUP(i, PARAMETERS!FTER_RATE_IND_&amp;g, 3, FALSE) * VLOOKUP(i, PARAMETERS!FTER_ADJ_IND_&amp;g, 3, FALSE)</t>
  </si>
  <si>
    <t xml:space="preserve">Group- and ind-specific full-time rate with adjustments</t>
  </si>
  <si>
    <t xml:space="preserve">CPS/ACS based; adj for underreporting</t>
  </si>
  <si>
    <t xml:space="preserve">Employment-weighted full-time rate per industry</t>
  </si>
  <si>
    <t xml:space="preserve">Derived as complement to full-time rate</t>
  </si>
  <si>
    <t xml:space="preserve">Assumes binary full/part-time; no overlap</t>
  </si>
  <si>
    <t xml:space="preserve">Derived per industry</t>
  </si>
  <si>
    <t xml:space="preserve">Derived per group</t>
  </si>
  <si>
    <t xml:space="preserve">Group- and ind-specific average tenure (years) with adjustments</t>
  </si>
  <si>
    <t xml:space="preserve">CPS tenure data with group-specific adj</t>
  </si>
  <si>
    <t xml:space="preserve">Employment-weighted tenure per industry</t>
  </si>
  <si>
    <t xml:space="preserve">Overall JTA (g)</t>
  </si>
  <si>
    <t xml:space="preserve">JTA_g = SUM(JTA_g,i * EP_g,i) / EP_g,,Weighted by industry within group</t>
  </si>
  <si>
    <t xml:space="preserve">TR_g,i = VLOOKUP(i, PARAMETERS!TR_RATE_IND_&amp;g, 3, FALSE) * VLOOKUP(i, PARAMETERS!TR_ADJ_IND_&amp;g, 3, FALSE),Group- and ind-specific monthly turnover rate (fraction),BLS JOLTS data with group-specific adjustments</t>
  </si>
  <si>
    <t xml:space="preserve">TR_i = (TR_amer_i * EP_amer_i + TR_auth_i * EP_auth_i + TR_unauth_i * EP_unauth_i) / EP_i,,Employment-weighted turnover rate per industry</t>
  </si>
  <si>
    <t xml:space="preserve">TR_g = SUM(TR_g,i * EP_g,i) / EP_g,,Weighted by industry within group</t>
  </si>
  <si>
    <t xml:space="preserve">LP_g,i = VLOOKUP(i, PARAMETERS!LP_INDEX_IND_&amp;g, 3, FALSE) * VLOOKUP(i, PARAMETERS!LP_ADJ_IND_&amp;g, 3, FALSE),Group- and ind-specific productivity index (output per hour),BLS productivity measures adjusted for group</t>
  </si>
  <si>
    <t xml:space="preserve">LP_i = (LP_amer_i * EP_amer_i + LP_auth_i * EP_auth_i + LP_unauth_i * EP_unauth_i) / EP_i,,Employment-weighted productivity per industry</t>
  </si>
  <si>
    <t xml:space="preserve">LP_g = SUM(LP_g,i * EP_g,i) / EP_g,,Weighted by industry within group</t>
  </si>
  <si>
    <t xml:space="preserve">ELR_g,i = VLOOKUP(i, PARAMETERS!ELR_AVG_IND_&amp;g, 3, FALSE) * VLOOKUP(i, PARAMETERS!ELR_ADJ_IND_&amp;g, 3, FALSE),Group- and ind-specific average education level (e.g., years or categorical code),O*NET/BLS education requirements with group adjustments</t>
  </si>
  <si>
    <t xml:space="preserve">ELR_i = (ELR_amer_i * EP_amer_i + ELR_auth_i * EP_auth_i + ELR_unauth_i * EP_unauth_i) / EP_i,,Employment-weighted education level per industry</t>
  </si>
  <si>
    <t xml:space="preserve">ELR_g = SUM(ELR_g,i * EP_g,i) / EP_g,,Weighted by industry within group</t>
  </si>
  <si>
    <t xml:space="preserve">SLTR_g,i = AIAVG_g,i * EP_g,i * VLOOKUP(i, PARAMETERS!SLTR_RATE_IND_&amp;g, 3, FALSE) * VLOOKUP(i, PARAMETERS!SLTR_COMPLIANCE_IND_&amp;g, 3, FALSE),Effective state/local tax rate × compliance × annual income × employed,Based on ITEP/AL DOR estimates for 2026</t>
  </si>
  <si>
    <t xml:space="preserve">SLTR_i = SUM(SLTR_g,i),,Aggregate state/local tax per industry</t>
  </si>
  <si>
    <t xml:space="preserve">SLTR_g = SUM(SLTR_g,i),,Aggregate state/local tax per group</t>
  </si>
  <si>
    <t xml:space="preserve">SSMC_g,i = MIN(AIAVG_g,i, PARAMETERS!SS_CAP) * EP_g,i * PARAMETERS!SSMC_RATE_EMPLOYEE + MIN(AIAVG_g,i, PARAMETERS!SS_CAP) * EP_g,i * PARAMETERS!SSMC_RATE_EMPLOYER,Employee + employer shares, capped at SS wage base; Medicare uncapped but simplified</t>
  </si>
  <si>
    <t xml:space="preserve">SSMC_i = SUM(SSMC_g,i),,Aggregate SS/MC contributions per industry</t>
  </si>
  <si>
    <t xml:space="preserve">SSMC_g = SUM(SSMC_g,i),,Aggregate SS/MC contributions per group</t>
  </si>
  <si>
    <t xml:space="preserve">PAUR_g,i = VLOOKUP(i, PARAMETERS!PAUR_RATE_IND_&amp;g, 3, FALSE) * VLOOKUP(i, PARAMETERS!PAUR_ADJ_IND_&amp;g, 3, FALSE),Group- and ind-specific fraction receiving public assistance,ACS/Census data with adjustments</t>
  </si>
  <si>
    <t xml:space="preserve">PAUR_i = (PAUR_amer_i * EP_amer_i + PAUR_auth_i * EP_auth_i + PAUR_unauth_i * EP_unauth_i) / EP_i,,Employment-weighted usage rate per industry</t>
  </si>
  <si>
    <t xml:space="preserve">PAUR (g)</t>
  </si>
  <si>
    <t xml:space="preserve">PAUR_g = SUM(PAUR_g,i * EP_g,i) / EP_g,,Weighted by industry within group</t>
  </si>
  <si>
    <t xml:space="preserve">Public Assistance Cost (g,i)</t>
  </si>
  <si>
    <t xml:space="preserve">PACOST_g,i = PAUR_g,i * EP_g,i * VLOOKUP(i, PARAMETERS!PA_AVG_COST_IND_&amp;g, 3, FALSE)</t>
  </si>
  <si>
    <t xml:space="preserve">Annual average cost per user × usage rate × employed</t>
  </si>
  <si>
    <t xml:space="preserve">Based on state/federal program costs (e.g., SNAP, Medicaid) projected for 2026</t>
  </si>
  <si>
    <t xml:space="preserve">Overall PACOST (i)</t>
  </si>
  <si>
    <t xml:space="preserve">PACOST_i = SUM(PACOST_g,i)</t>
  </si>
  <si>
    <t xml:space="preserve">Aggregate public assistance cost per industry</t>
  </si>
  <si>
    <t xml:space="preserve">PACOST (g)</t>
  </si>
  <si>
    <t xml:space="preserve">PACOST_g = SUM(PACOST_g,i)</t>
  </si>
  <si>
    <t xml:space="preserve">Aggregate public assistance cost per group</t>
  </si>
  <si>
    <t xml:space="preserve">NFI_g,i = (FPIT_g,i + FPPT_g,i + SLTR_g,i + SSMC_g,i) - (EITC_g,i + ACTC_g,i + AOTC_g,i + PACOST_g,i)</t>
  </si>
  <si>
    <t xml:space="preserve">Total contributions minus credits and costs per group-industry</t>
  </si>
  <si>
    <t xml:space="preserve">Positive = net contributor; negative = net recipient</t>
  </si>
  <si>
    <t xml:space="preserve">Overall NFI (i)</t>
  </si>
  <si>
    <t xml:space="preserve">NFI_i = SUM(NFI_g,i)</t>
  </si>
  <si>
    <t xml:space="preserve">Aggregate net fiscal impact per industry</t>
  </si>
  <si>
    <t xml:space="preserve">NFI (g)</t>
  </si>
  <si>
    <t xml:space="preserve">NFI_g = SUM(NFI_g,i)</t>
  </si>
  <si>
    <t xml:space="preserve">Aggregate net fiscal impact per group</t>
  </si>
  <si>
    <t xml:space="preserve">Total Workers (g)</t>
  </si>
  <si>
    <t xml:space="preserve">T_g = SUM(T_g,i)</t>
  </si>
  <si>
    <t xml:space="preserve">Total employed across industries per group</t>
  </si>
  <si>
    <t xml:space="preserve">American Population Share (g)</t>
  </si>
  <si>
    <t xml:space="preserve">A_share_g = A_g / T_g</t>
  </si>
  <si>
    <t xml:space="preserve">Share of Americans in group employment</t>
  </si>
  <si>
    <t xml:space="preserve">Authorized Workers Share (g)</t>
  </si>
  <si>
    <t xml:space="preserve">V_share_g = V_g / T_g</t>
  </si>
  <si>
    <t xml:space="preserve">Share of authorized immigrants</t>
  </si>
  <si>
    <t xml:space="preserve">Unauthorized Workers Share (g)</t>
  </si>
  <si>
    <t xml:space="preserve">U_share_g = U_g / T_g</t>
  </si>
  <si>
    <t xml:space="preserve">Share of unauthorized immigrants</t>
  </si>
  <si>
    <t xml:space="preserve">Labor Force Population (g)</t>
  </si>
  <si>
    <t xml:space="preserve">LFP_g = SUM(LFP_g,i)</t>
  </si>
  <si>
    <t xml:space="preserve">Total LFP across industries per group</t>
  </si>
  <si>
    <t xml:space="preserve">Employment-to-Population Ratio (g)</t>
  </si>
  <si>
    <t xml:space="preserve">ETPR_g = SUM(ETPR_g,i * LFP_g,i) / LFP_g</t>
  </si>
  <si>
    <t xml:space="preserve">Weighted ETPR per group</t>
  </si>
  <si>
    <t xml:space="preserve">Labor Force Participation Rate (g)</t>
  </si>
  <si>
    <t xml:space="preserve">LFPR_g = SUM(LFPR_g,i * LFP_g,i) / LFP_g</t>
  </si>
  <si>
    <t xml:space="preserve">Weighted LFPR per group</t>
  </si>
  <si>
    <t xml:space="preserve">Unemployment Rate (g)</t>
  </si>
  <si>
    <t xml:space="preserve">U3R_g = SUM(U3R_g,i * LFP_g,i) / LFP_g</t>
  </si>
  <si>
    <t xml:space="preserve">Weighted U3R per group</t>
  </si>
  <si>
    <t xml:space="preserve">Underemployment Rate (g)</t>
  </si>
  <si>
    <t xml:space="preserve">U6R_g = SUM(U6R_g,i * LFP_g,i) / LFP_g</t>
  </si>
  <si>
    <t xml:space="preserve">Weighted U6R per group</t>
  </si>
  <si>
    <t xml:space="preserve">Wage Average (g)</t>
  </si>
  <si>
    <t xml:space="preserve">Employment-weighted wage per group</t>
  </si>
  <si>
    <t xml:space="preserve">Annual Income Average (g)</t>
  </si>
  <si>
    <t xml:space="preserve">Employment-weighted annual income per group</t>
  </si>
  <si>
    <t xml:space="preserve">Federal Personal Income Tax Revenue (g)</t>
  </si>
  <si>
    <t xml:space="preserve">Aggregate FPIT per group</t>
  </si>
  <si>
    <t xml:space="preserve">Federal Personal Payroll Tax Revenue (g)</t>
  </si>
  <si>
    <t xml:space="preserve">Aggregate FPPT per group</t>
  </si>
  <si>
    <t xml:space="preserve">Earned Income Tax Credit Refund (g)</t>
  </si>
  <si>
    <t xml:space="preserve">Aggregate EITC per group</t>
  </si>
  <si>
    <t xml:space="preserve">Additional Child Tax Credit Refund (g)</t>
  </si>
  <si>
    <t xml:space="preserve">American Opportunity Tax Credit Refund (g)</t>
  </si>
  <si>
    <t xml:space="preserve">Average Weekly Hours Worked (g)</t>
  </si>
  <si>
    <t xml:space="preserve">Employment-weighted average weekly hours per group</t>
  </si>
  <si>
    <t xml:space="preserve">Full-Time Employment Rate (g)</t>
  </si>
  <si>
    <t xml:space="preserve">Employment-weighted full-time employment rate per group</t>
  </si>
  <si>
    <t xml:space="preserve">Part-Time Employment Rate (g)</t>
  </si>
  <si>
    <t xml:space="preserve">PTER_g = SUM(PTER_g,i * EP_g,i) / EP_g</t>
  </si>
  <si>
    <t xml:space="preserve">Employment-weighted part-time employment rate per group</t>
  </si>
  <si>
    <t xml:space="preserve">Job Tenure Average (g)</t>
  </si>
  <si>
    <t xml:space="preserve">Employment-weighted average job tenure (years) per group</t>
  </si>
  <si>
    <t xml:space="preserve">Turnover Rate (g)</t>
  </si>
  <si>
    <t xml:space="preserve">Employment-weighted average turnover rate per group</t>
  </si>
  <si>
    <t xml:space="preserve">Labor Productivity (g)</t>
  </si>
  <si>
    <t xml:space="preserve">Employment-weighted labor productivity index per group</t>
  </si>
  <si>
    <t xml:space="preserve">Education Level Required (g)</t>
  </si>
  <si>
    <t xml:space="preserve">ELR_g = SUM(ELR_g,i * EP_g,i) / EP_g</t>
  </si>
  <si>
    <t xml:space="preserve">Employment-weighted average education level required per group</t>
  </si>
  <si>
    <t xml:space="preserve">Public Assistance Usage Rate (g)</t>
  </si>
  <si>
    <t xml:space="preserve">PAUR_g = SUM(PAUR_g,i * EP_g,i) / EP_g</t>
  </si>
  <si>
    <t xml:space="preserve">Employment-weighted public assistance usage rate per group</t>
  </si>
  <si>
    <t xml:space="preserve">Public Assistance Cost (g)</t>
  </si>
  <si>
    <t xml:space="preserve">Net Fiscal Impact (statewide)</t>
  </si>
  <si>
    <t xml:space="preserve">NFI_AL = SUM(NFI_g) OR (SUM(FPIT_g) + SUM(FPPT_g) + SUM(SLTR_g) + SUM(SSMC_g)) - (SUM(EITC_g) + SUM(ACTC_g) + SUM(AOTC_g) + SUM(PACOST_g))</t>
  </si>
  <si>
    <t xml:space="preserve">Total statewide net fiscal impact of the labor force</t>
  </si>
  <si>
    <t xml:space="preserve">Net Fiscal Impact per Worker</t>
  </si>
  <si>
    <t xml:space="preserve">NFI_per_worker = NFI_AL / T</t>
  </si>
  <si>
    <t xml:space="preserve">Net fiscal contribution per employed person (statewide)</t>
  </si>
  <si>
    <t xml:space="preserve">Net Fiscal Impact per American Worker</t>
  </si>
  <si>
    <t xml:space="preserve">NFI_per_amer = NFI_amer / EP_amer</t>
  </si>
  <si>
    <t xml:space="preserve">Net fiscal contribution per American employed person</t>
  </si>
  <si>
    <t xml:space="preserve">Net Fiscal Impact per Authorized Worker</t>
  </si>
  <si>
    <t xml:space="preserve">NFI_per_auth = NFI_auth / EP_auth</t>
  </si>
  <si>
    <t xml:space="preserve">Net fiscal contribution per authorized immigrant employed person</t>
  </si>
  <si>
    <t xml:space="preserve">Net Fiscal Impact per Unauthorized Worker</t>
  </si>
  <si>
    <t xml:space="preserve">NFI_per_unauth = NFI_unauth / EP_unauth</t>
  </si>
  <si>
    <t xml:space="preserve">Net fiscal contribution per unauthorized immigrant employed person</t>
  </si>
  <si>
    <t xml:space="preserve">Total Federal Tax Revenue from Labor Force</t>
  </si>
  <si>
    <t xml:space="preserve">FED_TAX_AL = SUM(FPIT_g) + SUM(FPPT_g)</t>
  </si>
  <si>
    <t xml:space="preserve">Combined federal personal income + payroll tax revenue from Alabama labor force</t>
  </si>
  <si>
    <t xml:space="preserve">Total Tax Credits &amp; Refunds to Labor Force</t>
  </si>
  <si>
    <t xml:space="preserve">TAX_CREDITS_AL = SUM(EITC_g) + SUM(ACTC_g) + SUM(AOTC_g)</t>
  </si>
  <si>
    <t xml:space="preserve">Combined EITC + ACTC + AOTC refunds to Alabama labor force</t>
  </si>
  <si>
    <t xml:space="preserve">Net Federal Fiscal Position from Labor Force</t>
  </si>
  <si>
    <t xml:space="preserve">NET_FED_AL = FED_TAX_AL - TAX_CREDITS_AL</t>
  </si>
  <si>
    <t xml:space="preserve">Net federal gain/loss from Alabama labor force taxes vs credits</t>
  </si>
  <si>
    <t xml:space="preserve">Total Tax Credits &amp; Refunds per Group (g)</t>
  </si>
  <si>
    <t xml:space="preserve">TAX_CREDITS_g = EITC_g + ACTC_g + AOTC_g</t>
  </si>
  <si>
    <t xml:space="preserve">Sum of major refundable credits per group</t>
  </si>
  <si>
    <t xml:space="preserve">Net Federal Fiscal Position per Group (g)</t>
  </si>
  <si>
    <t xml:space="preserve">NET_FED_g = (FPIT_g + FPPT_g) - TAX_CREDITS_g</t>
  </si>
  <si>
    <t xml:space="preserve">Net federal position (taxes paid minus credits received) per group</t>
  </si>
  <si>
    <t xml:space="preserve">Net State/Local Fiscal Position per Group (g)</t>
  </si>
  <si>
    <t xml:space="preserve">NET_STATE_g = SLTR_g - PACOST_g</t>
  </si>
  <si>
    <t xml:space="preserve">Approximate net state/local position per group (taxes minus assistance costs)</t>
  </si>
  <si>
    <t xml:space="preserve">Total Fiscal Burden per Unauthorized Worker</t>
  </si>
  <si>
    <t xml:space="preserve">FB_per_unauth = (PACOST_unauth + TAX_CREDITS_unauth) / EP_unauth</t>
  </si>
  <si>
    <t xml:space="preserve">Total credits + assistance cost per unauthorized employed person</t>
  </si>
  <si>
    <t xml:space="preserve">Total Fiscal Contribution per American Worker</t>
  </si>
  <si>
    <t xml:space="preserve">FC_per_amer = (FPIT_amer + FPPT_amer + SLTR_amer + SSMC_amer) / EP_amer</t>
  </si>
  <si>
    <t xml:space="preserve">Total taxes + contributions per American employed person</t>
  </si>
  <si>
    <t xml:space="preserve">Total Fiscal Contribution per Authorized Worker</t>
  </si>
  <si>
    <t xml:space="preserve">FC_per_auth = (FPIT_auth + FPPT_auth + SLTR_auth + SSMC_auth) / EP_auth</t>
  </si>
  <si>
    <t xml:space="preserve">Total taxes + contributions per authorized immigrant employed person</t>
  </si>
  <si>
    <t xml:space="preserve">Ratio of Fiscal Contribution: American vs Unauthorized</t>
  </si>
  <si>
    <t xml:space="preserve">FC_ratio_amer_unauth = FC_per_amer / FB_per_unauth</t>
  </si>
  <si>
    <t xml:space="preserve">How many times more fiscally contributory the average American worker is compared to the average unauthorized worker (higher = larger gap)</t>
  </si>
  <si>
    <t xml:space="preserve">Ratio of Fiscal Contribution: Authorized vs Unauthorized</t>
  </si>
  <si>
    <t xml:space="preserve">FC_ratio_auth_unauth = FC_per_auth / FB_per_unauth</t>
  </si>
  <si>
    <t xml:space="preserve">Authorized immigrant vs unauthorized immigrant fiscal contribution ratio</t>
  </si>
  <si>
    <t xml:space="preserve">Share of Total Federal Tax Revenue from Americans</t>
  </si>
  <si>
    <t xml:space="preserve">FPIT_share_amer = FPIT_amer / FPIT_AL</t>
  </si>
  <si>
    <t xml:space="preserve">Percentage of total federal personal income tax revenue from American workers</t>
  </si>
  <si>
    <t xml:space="preserve">Share of Total Federal Tax Revenue from Authorized Immigrants</t>
  </si>
  <si>
    <t xml:space="preserve">FPIT_share_auth = FPIT_auth / FPIT_AL</t>
  </si>
  <si>
    <t xml:space="preserve">Percentage of total federal personal income tax revenue from authorized immigrants</t>
  </si>
  <si>
    <t xml:space="preserve">Share of Total Federal Tax Revenue from Unauthorized Immigrants</t>
  </si>
  <si>
    <t xml:space="preserve">FPIT_share_unauth = FPIT_unauth / FPIT_AL</t>
  </si>
  <si>
    <t xml:space="preserve">Percentage of total federal personal income tax revenue from unauthorized immigrants</t>
  </si>
  <si>
    <t xml:space="preserve">Share of Total EITC Refunds to Unauthorized Immigrants</t>
  </si>
  <si>
    <t xml:space="preserve">EITC_share_unauth = EITC_unauth / EITC_AL</t>
  </si>
  <si>
    <t xml:space="preserve">Percentage of total EITC refunds going to unauthorized immigrant workers</t>
  </si>
  <si>
    <t xml:space="preserve">Share of Total ACTC Refunds to Unauthorized Immigrants</t>
  </si>
  <si>
    <t xml:space="preserve">ACTC_share_unauth = ACTC_unauth / ACTC_AL</t>
  </si>
  <si>
    <t xml:space="preserve">Percentage of total ACTC refunds going to unauthorized immigrant workers</t>
  </si>
  <si>
    <t xml:space="preserve">Share of Total Public Assistance Cost Attributable to Unauthorized</t>
  </si>
  <si>
    <t xml:space="preserve">PAUR_cost_share_unauth = PACOST_unauth / PACOST_AL</t>
  </si>
  <si>
    <t xml:space="preserve">Percentage of total public assistance cost attributed to unauthorized workers</t>
  </si>
  <si>
    <t xml:space="preserve">Weighted Average Wage Premium: American vs Unauthorized</t>
  </si>
  <si>
    <t xml:space="preserve">WAVG_premium_amer = (WAVG_amer - WAVG_unauth) / WAVG_unauth</t>
  </si>
  <si>
    <t xml:space="preserve">Percentage wage premium that American workers earn over unauthorized workers (industry-weighted)</t>
  </si>
  <si>
    <t xml:space="preserve">Weighted Average Annual Income Premium: American vs Unauthorized</t>
  </si>
  <si>
    <t xml:space="preserve">AIAVG_premium_amer = (AIAVG_amer - AIAVG_unauth) / AIAVG_unauth</t>
  </si>
  <si>
    <t xml:space="preserve">Percentage annual income premium that American workers earn over unauthorized workers</t>
  </si>
  <si>
    <t xml:space="preserve">Underemployment Rate Differential: Unauthorized vs American</t>
  </si>
  <si>
    <t xml:space="preserve">U6R_diff_unauth_amer = U6R_unauth - U6R_amer</t>
  </si>
  <si>
    <t xml:space="preserve">Difference in underemployment rate (positive = unauthorized workers more underemployed)</t>
  </si>
  <si>
    <t xml:space="preserve">Unemployment Rate Differential: Unauthorized vs American</t>
  </si>
  <si>
    <t xml:space="preserve">U3R_diff_unauth_amer = U3R_unauth - U3R_amer</t>
  </si>
  <si>
    <t xml:space="preserve">Difference in official unemployment rate (positive = unauthorized workers higher unemployment)</t>
  </si>
  <si>
    <t xml:space="preserve">Labor Force Participation Rate Differential: Unauthorized vs American</t>
  </si>
  <si>
    <t xml:space="preserve">LFPR_diff_unauth_amer = LFPR_unauth - LFPR_amer</t>
  </si>
  <si>
    <t xml:space="preserve">Difference in labor force participation (positive = unauthorized workers higher LFPR)</t>
  </si>
  <si>
    <t xml:space="preserve">Employment-to-Population Ratio Differential: Unauthorized vs American</t>
  </si>
  <si>
    <t xml:space="preserve">ETPR_diff_unauth_amer = ETPR_unauth - ETPR_amer</t>
  </si>
  <si>
    <t xml:space="preserve">Difference in ETPR (negative = unauthorized workers have lower employment-to-population ratio)</t>
  </si>
  <si>
    <t xml:space="preserve">Labor Force Population Share: Unauthorized</t>
  </si>
  <si>
    <t xml:space="preserve">U_share_LFP = LFP_unauth / LFP_AL</t>
  </si>
  <si>
    <t xml:space="preserve">Percentage of total Alabama labor force population that is unauthorized</t>
  </si>
  <si>
    <t xml:space="preserve">Employed Population Share: Unauthorized</t>
  </si>
  <si>
    <t xml:space="preserve">EP_share_unauth = EP_unauth / EP_AL</t>
  </si>
  <si>
    <t xml:space="preserve">Percentage of total employed persons in Alabama who are unauthorized</t>
  </si>
  <si>
    <t xml:space="preserve">Unauthorized Workers as Share of Low-Wage Industries</t>
  </si>
  <si>
    <t xml:space="preserve">unauth_lowwage_share = SUM(EP_unauth,i where WAVG_i &lt; PARAMETERS!LOW_WAGE_THRESHOLD) / SUM(EP_unauth)</t>
  </si>
  <si>
    <t xml:space="preserve">Proportion of unauthorized workers employed in industries below a defined low-wage cutoff</t>
  </si>
  <si>
    <t xml:space="preserve">American Workers as Share of High-Wage Industries</t>
  </si>
  <si>
    <t xml:space="preserve">amer_highwage_share = SUM(EP_amer,i where WAVG_i &gt; PARAMETERS!HIGH_WAGE_THRESHOLD) / SUM(EP_amer)</t>
  </si>
  <si>
    <t xml:space="preserve">Proportion of American workers employed in industries above a defined high-wage cutoff</t>
  </si>
  <si>
    <t xml:space="preserve">Weighted Average Education Level Differential: American vs Unauthorized</t>
  </si>
  <si>
    <t xml:space="preserve">ELR_diff_amer_unauth = ELR_amer - ELR_unauth</t>
  </si>
  <si>
    <t xml:space="preserve">Difference in average education level required (positive = American workers in higher-education jobs on average)</t>
  </si>
  <si>
    <t xml:space="preserve">Average Job Tenure Differential: American vs Unauthorized</t>
  </si>
  <si>
    <t xml:space="preserve">JTA_diff_amer = JTA_amer - JTA_unauth</t>
  </si>
  <si>
    <t xml:space="preserve">Difference in average years on current job (positive = Americans have longer tenure)</t>
  </si>
  <si>
    <t xml:space="preserve">Turnover Rate Differential: Unauthorized vs American</t>
  </si>
  <si>
    <t xml:space="preserve">TR_diff_unauth = TR_unauth - TR_amer</t>
  </si>
  <si>
    <t xml:space="preserve">Difference in turnover rate (positive = unauthorized workers have higher job turnover)</t>
  </si>
  <si>
    <t xml:space="preserve">Productivity-Adjusted Wage Gap</t>
  </si>
  <si>
    <t xml:space="preserve">prod_adj_wage_gap = (WAVG_amer / LP_amer) - (WAVG_unauth / LP_unauth)</t>
  </si>
  <si>
    <t xml:space="preserve">Wage per unit of productivity; positive = Americans earn more per unit output</t>
  </si>
  <si>
    <t xml:space="preserve">Total Federal Payroll Tax Share from Unauthorized</t>
  </si>
  <si>
    <t xml:space="preserve">FPPT_share_unauth = FPPT_unauth / FPPT_AL</t>
  </si>
  <si>
    <t xml:space="preserve">Percentage of total federal payroll tax revenue (employee share) coming from unauthorized workers</t>
  </si>
  <si>
    <t xml:space="preserve">Total Social Security/Medicare Contributions Share from Unauthorized</t>
  </si>
  <si>
    <t xml:space="preserve">SSMC_share_unauth = SSMC_unauth / SSMC_AL</t>
  </si>
  <si>
    <t xml:space="preserve">Percentage of total SS/Medicare contributions (both sides) attributable to unauthorized workers</t>
  </si>
  <si>
    <t xml:space="preserve">Estimated Unauthorized Worker Compliance Rate for Income Tax</t>
  </si>
  <si>
    <t xml:space="preserve">FIT_compliance_unauth_est = FPIT_unauth / (AIAVG_unauth * EP_unauth * PARAMETERS!FIT_AVG_RATE)</t>
  </si>
  <si>
    <t xml:space="preserve">Back-calculated effective income tax compliance rate for unauthorized workers</t>
  </si>
  <si>
    <t xml:space="preserve">Estimated Unauthorized Worker Compliance Rate for Payroll Tax</t>
  </si>
  <si>
    <t xml:space="preserve">SSMC_compliance_unauth_est = FPPT_unauth / (MIN(AIAVG_unauth, PARAMETERS!SS_CAP) * EP_unauth * PARAMETERS!SSMC_RATE_EMPLOYEE)</t>
  </si>
  <si>
    <t xml:space="preserve">Back-calculated payroll tax compliance rate (employee share) for unauthorized workers</t>
  </si>
  <si>
    <t xml:space="preserve">Net Fiscal Impact Ratio: American vs Unauthorized</t>
  </si>
  <si>
    <t xml:space="preserve">NFI_ratio_amer_unauth = NFI_per_amer / NFI_per_unauth</t>
  </si>
  <si>
    <t xml:space="preserve">How many times more positive (or less negative) the average American worker’s fiscal impact is compared to unauthorized</t>
  </si>
  <si>
    <t xml:space="preserve">Total Net Fiscal Impact of Unauthorized Workers</t>
  </si>
  <si>
    <t xml:space="preserve">NFI_unauth_total = NFI_unauth</t>
  </si>
  <si>
    <t xml:space="preserve">Total statewide net fiscal impact attributable to unauthorized workers (positive = net contributor, negative = net cost)</t>
  </si>
  <si>
    <t xml:space="preserve">Total Net Fiscal Impact of American Workers</t>
  </si>
  <si>
    <t xml:space="preserve">NFI_amer_total = NFI_amer</t>
  </si>
  <si>
    <t xml:space="preserve">Total statewide net fiscal impact attributable to American workers</t>
  </si>
  <si>
    <t xml:space="preserve">Unauthorized Workers’ Share of Total Net Fiscal Deficit (if negative)</t>
  </si>
  <si>
    <t xml:space="preserve">NFI_deficit_share_unauth = IF(NFI_AL &lt; 0, ABS(NFI_unauth) / ABS(NFI_AL), 0)</t>
  </si>
  <si>
    <t xml:space="preserve">When statewide NFI is negative, what share of the deficit is attributable to unauthorized workers</t>
  </si>
  <si>
    <t xml:space="preserve">American Workers’ Share of Total Net Fiscal Surplus (if positive)</t>
  </si>
  <si>
    <t xml:space="preserve">NFI_surplus_share_amer = IF(NFI_AL &gt; 0, NFI_amer / NFI_AL, 0)</t>
  </si>
  <si>
    <t xml:space="preserve">When statewide NFI is positive, what share of the surplus is attributable to American workers</t>
  </si>
  <si>
    <t xml:space="preserve">Ratio of EITC Received per Worker: Unauthorized vs American</t>
  </si>
  <si>
    <t xml:space="preserve">EITC_per_worker_ratio = (EITC_unauth / EP_unauth) / (EITC_amer / EP_amer)</t>
  </si>
  <si>
    <t xml:space="preserve">How many times more EITC per worker unauthorized workers receive compared to American workers</t>
  </si>
  <si>
    <t xml:space="preserve">Ratio of ACTC Received per Worker: Unauthorized vs American</t>
  </si>
  <si>
    <t xml:space="preserve">ACTC_per_worker_ratio = (ACTC_unauth / EP_unauth) / (ACTC_amer / EP_amer)</t>
  </si>
  <si>
    <t xml:space="preserve">How many times more ACTC per worker unauthorized workers receive compared to American workers</t>
  </si>
  <si>
    <t xml:space="preserve">Ratio of Public Assistance Cost per Worker: Unauthorized vs American</t>
  </si>
  <si>
    <t xml:space="preserve">PAUR_cost_per_worker_ratio = (PACOST_unauth / EP_unauth) / (PACOST_amer / EP_amer)</t>
  </si>
  <si>
    <t xml:space="preserve">How many times higher the average public assistance cost is per unauthorized worker compared to American workers</t>
  </si>
  <si>
    <t xml:space="preserve">Unauthorized Share of Total EITC + ACTC + AOTC Refunds</t>
  </si>
  <si>
    <t xml:space="preserve">TAX_CREDITS_share_unauth = TAX_CREDITS_unauth / TAX_CREDITS_AL</t>
  </si>
  <si>
    <t xml:space="preserve">Combined share of all major refundable tax credits going to unauthorized workers</t>
  </si>
  <si>
    <t xml:space="preserve">American Share of Total Federal Income + Payroll Taxes</t>
  </si>
  <si>
    <t xml:space="preserve">FED_TAX_share_amer = FED_TAX_amer / FED_TAX_AL</t>
  </si>
  <si>
    <t xml:space="preserve">Combined share of FPIT + FPPT paid by American workers</t>
  </si>
  <si>
    <t xml:space="preserve">Unauthorized Workers’ Net Fiscal Impact as % of Statewide NFI</t>
  </si>
  <si>
    <t xml:space="preserve">NFI_unauth_pct_of_total = NFI_unauth / NFI_AL * 100</t>
  </si>
  <si>
    <t xml:space="preserve">Percentage contribution (positive or negative) of unauthorized workers to Alabama’s overall net fiscal position</t>
  </si>
  <si>
    <t xml:space="preserve">American Workers’ Net Fiscal Impact as % of Statewide NFI</t>
  </si>
  <si>
    <t xml:space="preserve">NFI_amer_pct_of_total = NFI_amer / NFI_AL * 100</t>
  </si>
  <si>
    <t xml:space="preserve">Percentage contribution of American workers to Alabama’s overall net fiscal position</t>
  </si>
  <si>
    <t xml:space="preserve">Authorized Workers’ Net Fiscal Impact as % of Statewide NFI</t>
  </si>
  <si>
    <t xml:space="preserve">NFI_auth_pct_of_total = NFI_auth / NFI_AL * 100</t>
  </si>
  <si>
    <t xml:space="preserve">Percentage contribution of authorized immigrant workers to Alabama’s overall net fiscal position</t>
  </si>
  <si>
    <t xml:space="preserve">Average Annual Income Differential: American vs Unauthorized</t>
  </si>
  <si>
    <t xml:space="preserve">AIAVG_diff_amer_unauth = AIAVG_amer - AIAVG_unauth</t>
  </si>
  <si>
    <t xml:space="preserve">Dollar difference in average annual income between American and unauthorized workers (industry-weighted)</t>
  </si>
  <si>
    <t xml:space="preserve">Average Hourly Wage Differential: American vs Unauthorized</t>
  </si>
  <si>
    <t xml:space="preserve">WAVG_diff_amer_unauth = WAVG_amer - WAVG_unauth</t>
  </si>
  <si>
    <t xml:space="preserve">Dollar difference in average hourly wage (industry-weighted)</t>
  </si>
  <si>
    <t xml:space="preserve">Unauthorized Workers’ Share of Total Employment in Agriculture, Construction, Hospitality, Cleaning, Landscaping</t>
  </si>
  <si>
    <t xml:space="preserve">unauth_share_lowskill = SUM(EP_unauth,i for i in {Agriculture,Construction,Hospitality,Cleaning,Landscaping}) / SUM(EP_unauth)</t>
  </si>
  <si>
    <t xml:space="preserve">Concentration of unauthorized workers in selected traditionally lower-skill industries</t>
  </si>
  <si>
    <t xml:space="preserve">American Workers’ Share of Total Employment in Professional Services, Finance, Government, Healthcare</t>
  </si>
  <si>
    <t xml:space="preserve">amer_share_highskill = SUM(EP_amer,i for i in {Professional,Finance,Government,Healthcare}) / SUM(EP_amer)</t>
  </si>
  <si>
    <t xml:space="preserve">Concentration of American workers in selected higher-skill / higher-wage industries</t>
  </si>
  <si>
    <t xml:space="preserve">Weighted Average Full-Time Employment Rate Differential</t>
  </si>
  <si>
    <t xml:space="preserve">FTER_diff_amer_unauth = FTER_amer - FTER_unauth</t>
  </si>
  <si>
    <t xml:space="preserve">Percentage point difference in likelihood of being full-time employed</t>
  </si>
  <si>
    <t xml:space="preserve">Weighted Average Part-Time Employment Rate Differential</t>
  </si>
  <si>
    <t xml:space="preserve">PTER_diff_unauth_amer = PTER_unauth - PTER_amer</t>
  </si>
  <si>
    <t xml:space="preserve">Percentage point difference in likelihood of being part-time employed</t>
  </si>
  <si>
    <t xml:space="preserve">Estimated Total Federal Tax Underpayment by Unauthorized Workers (if compliance &lt; 100%)</t>
  </si>
  <si>
    <t xml:space="preserve">FIT_underpayment_unauth_est = (AIAVG_unauth * EP_unauth * PARAMETERS!FIT_AVG_RATE * (1 - FIT_compliance_unauth_est))</t>
  </si>
  <si>
    <t xml:space="preserve">Back-calculated amount of federal income tax that would be owed but not paid due to noncompliance</t>
  </si>
  <si>
    <t xml:space="preserve">Estimated Total Payroll Tax Underpayment by Unauthorized Workers (employee share)</t>
  </si>
  <si>
    <t xml:space="preserve">SSMC_underpayment_unauth_est = (MIN(AIAVG_unauth, PARAMETERS!SS_CAP) * EP_unauth * PARAMETERS!SSMC_RATE_EMPLOYEE * (1 - SSMC_compliance_unauth_est))</t>
  </si>
  <si>
    <t xml:space="preserve">Back-calculated unpaid employee-side payroll taxes</t>
  </si>
  <si>
    <t xml:space="preserve">Total Estimated Fiscal Gain if Unauthorized Workers Had 100% Tax Compliance</t>
  </si>
  <si>
    <t xml:space="preserve">GAIN_full_compliance_unauth = FIT_underpayment_unauth_est + SSMC_underpayment_unauth_est</t>
  </si>
  <si>
    <t xml:space="preserve">Additional federal revenue if unauthorized workers paid taxes at the same effective rate as average compliance</t>
  </si>
  <si>
    <t xml:space="preserve">Ratio of Average Annual Income to Public Assistance Cost: Unauthorized</t>
  </si>
  <si>
    <t xml:space="preserve">ratio_income_to_assist_unauth = AIAVG_unauth / (PACOST_unauth / EP_unauth)</t>
  </si>
  <si>
    <t xml:space="preserve">How many times higher average income is than average assistance cost per unauthorized worker</t>
  </si>
  <si>
    <t xml:space="preserve">Ratio of Average Annual Income to Public Assistance Cost: American</t>
  </si>
  <si>
    <t xml:space="preserve">ratio_income_to_assist_amer = AIAVG_amer / (PACOST_amer / EP_amer)</t>
  </si>
  <si>
    <t xml:space="preserve">How many times higher average income is than average assistance cost per American worker</t>
  </si>
  <si>
    <t xml:space="preserve">Unauthorized Workers’ Share of Total Underemployed Persons</t>
  </si>
  <si>
    <t xml:space="preserve">U6R_unauth_share_of_total_underemp = (U6R_unauth * LFP_unauth) / (U6R_AL * LFP_AL)</t>
  </si>
  <si>
    <t xml:space="preserve">Proportion of all underemployed individuals who are unauthorized</t>
  </si>
  <si>
    <t xml:space="preserve">American Workers’ Share of Total Long-Tenure Jobs (JTA &gt; 5 years)</t>
  </si>
  <si>
    <t xml:space="preserve">amer_share_long_tenure = SUM(EP_amer,i where JTA_i &gt; 5) / SUM(EP_amer where JTA_i &gt; 5)</t>
  </si>
  <si>
    <t xml:space="preserve">Percentage of jobs with long tenure held by American workers</t>
  </si>
  <si>
    <t xml:space="preserve">Unauthorized Workers’ Share of Total High-Turnover Jobs (TR &gt; 0.10)</t>
  </si>
  <si>
    <t xml:space="preserve">unauth_share_high_turnover = SUM(EP_unauth,i where TR_i &gt; 0.10) / SUM(EP_unauth where TR_i &gt; 0.10)</t>
  </si>
  <si>
    <t xml:space="preserve">Percentage of high-turnover jobs held by unauthorized workers</t>
  </si>
  <si>
    <t xml:space="preserve">Unauthorized Workers’ Share of Total Employment in Low-Wage Occupations</t>
  </si>
  <si>
    <t xml:space="preserve">unauth_share_lowwage_occ = SUM(EP_unauth,i where AIAVG_i &lt; PARAMETERS!LOW_INCOME_THRESHOLD) / EP_unauth</t>
  </si>
  <si>
    <t xml:space="preserve">Concentration of unauthorized workers in below-threshold annual income industries</t>
  </si>
  <si>
    <t xml:space="preserve">American Workers’ Share of Total Employment in High-Wage Occupations</t>
  </si>
  <si>
    <t xml:space="preserve">amer_share_highwage_occ = SUM(EP_amer,i where AIAVG_i &gt; PARAMETERS!HIGH_INCOME_THRESHOLD) / EP_amer</t>
  </si>
  <si>
    <t xml:space="preserve">Concentration of American workers in above-threshold annual income industries</t>
  </si>
  <si>
    <t xml:space="preserve">Weighted Average Unemployment Rate Differential</t>
  </si>
  <si>
    <t xml:space="preserve">Percentage point difference in unemployment rate</t>
  </si>
  <si>
    <t xml:space="preserve">Weighted Average Underemployment Rate Differential</t>
  </si>
  <si>
    <t xml:space="preserve">Percentage point difference in underemployment rate</t>
  </si>
  <si>
    <t xml:space="preserve">Ratio of Average Annual Income to Average Public Assistance Cost (Statewide)</t>
  </si>
  <si>
    <t xml:space="preserve">income_to_assist_ratio_AL = AIAVG_AL / (PACOST_AL / EP_AL)</t>
  </si>
  <si>
    <t xml:space="preserve">How many times higher the statewide average annual income is than the average public assistance cost per worker</t>
  </si>
  <si>
    <t xml:space="preserve">Unauthorized Workers as Share of Total Population Receiving Public Assistance</t>
  </si>
  <si>
    <t xml:space="preserve">unauth_share_of_PA_recipients = (PAUR_unauth * LFP_unauth) / (PAUR_AL * LFP_AL)</t>
  </si>
  <si>
    <t xml:space="preserve">Estimated share of all public assistance recipients who are unauthorized workers</t>
  </si>
  <si>
    <t xml:space="preserve">American Workers as Share of Total Taxpayers Paying Federal Income Tax</t>
  </si>
  <si>
    <t xml:space="preserve">amer_share_of_taxpayers = (FPIT_amer &gt; 0 ? EP_amer : 0) / (FPIT_AL &gt; 0 ? EP_AL : 1)</t>
  </si>
  <si>
    <t xml:space="preserve">Approximate share of individuals paying positive federal income tax who are American workers</t>
  </si>
  <si>
    <t xml:space="preserve">Unauthorized Workers’ Share of Total Individuals Receiving EITC</t>
  </si>
  <si>
    <t xml:space="preserve">EITC_recipient_share_unauth = (EITC_unauth &gt; 0 ? EP_unauth : 0) / (EITC_AL &gt; 0 ? EP_AL : 1)</t>
  </si>
  <si>
    <t xml:space="preserve">Estimated share of EITC recipients who are unauthorized workers</t>
  </si>
  <si>
    <t xml:space="preserve">Ratio of Average EITC Refund per Recipient: Unauthorized vs American</t>
  </si>
  <si>
    <t xml:space="preserve">EITC_per_recipient_ratio = (EITC_unauth / (EITC_unauth &gt; 0 ? EP_unauth : 1)) / (EITC_amer / (EITC_amer &gt; 0 ? EP_amer : 1))</t>
  </si>
  <si>
    <t xml:space="preserve">How many times larger the average EITC refund is for unauthorized recipients compared to American recipients</t>
  </si>
  <si>
    <t xml:space="preserve">Ratio of Average ACTC Refund per Recipient: Unauthorized vs American</t>
  </si>
  <si>
    <t xml:space="preserve">ACTC_per_recipient_ratio = (ACTC_unauth / (ACTC_unauth &gt; 0 ? EP_unauth : 1)) / (ACTC_amer / (ACTC_amer &gt; 0 ? EP_amer : 1))</t>
  </si>
  <si>
    <t xml:space="preserve">How many times larger the average ACTC refund is for unauthorized recipients compared to American recipients</t>
  </si>
  <si>
    <t xml:space="preserve">Estimated Total Federal Tax Paid by Unauthorized Workers (actual)</t>
  </si>
  <si>
    <t xml:space="preserve">FED_TAX_paid_unauth = FPIT_unauth + FPPT_unauth</t>
  </si>
  <si>
    <t xml:space="preserve">Actual combined federal income + payroll tax paid by unauthorized workers</t>
  </si>
  <si>
    <t xml:space="preserve">Estimated Federal Tax Liability of Unauthorized Workers (if fully compliant)</t>
  </si>
  <si>
    <t xml:space="preserve">FED_TAX_liability_unauth = (AIAVG_unauth * EP_unauth * PARAMETERS!FIT_AVG_RATE) + (MIN(AIAVG_unauth, PARAMETERS!SS_CAP) * EP_unauth * PARAMETERS!SSMC_RATE_EMPLOYEE)</t>
  </si>
  <si>
    <t xml:space="preserve">Estimated Federal Tax Gap from Unauthorized Workers</t>
  </si>
  <si>
    <t xml:space="preserve">FED_tax_gap_unauth = FED_TAX_liability_unauth - FED_TAX_paid_unauth</t>
  </si>
  <si>
    <t xml:space="preserve">Estimated amount of additional federal tax revenue if unauthorized workers paid at average compliance rates</t>
  </si>
  <si>
    <t xml:space="preserve">Net Fiscal Impact per Capita (Statewide Labor Force)</t>
  </si>
  <si>
    <t xml:space="preserve">NFI_per_capita_AL = NFI_AL / LFP_AL</t>
  </si>
  <si>
    <t xml:space="preserve">Average net fiscal impact per person in the Alabama labor force</t>
  </si>
  <si>
    <t xml:space="preserve">Net Fiscal Impact per Capita (American Workers)</t>
  </si>
  <si>
    <t xml:space="preserve">NFI_per_capita_amer = NFI_amer / LFP_amer</t>
  </si>
  <si>
    <t xml:space="preserve">Average net fiscal impact per American worker in the labor force</t>
  </si>
  <si>
    <t xml:space="preserve">Net Fiscal Impact per Capita (Unauthorized Workers)</t>
  </si>
  <si>
    <t xml:space="preserve">NFI_per_capita_unauth = NFI_unauth / LFP_unauth</t>
  </si>
  <si>
    <t xml:space="preserve">Average net fiscal impact per unauthorized worker in the labor force</t>
  </si>
  <si>
    <t xml:space="preserve">Ratio of Net Fiscal Impact per Capita: American vs Unauthorized</t>
  </si>
  <si>
    <t xml:space="preserve">NFI_per_capita_ratio = NFI_per_capita_amer / NFI_per_capita_unauth</t>
  </si>
  <si>
    <t xml:space="preserve">How many times more positive (or less negative) the per-capita fiscal impact is for American workers compared to unauthorized workers</t>
  </si>
  <si>
    <t xml:space="preserve">Total Estimated Lifetime Net Fiscal Contribution of Unauthorized Workers (simplified 30-year horizon)</t>
  </si>
  <si>
    <t xml:space="preserve">NFI_lifetime_unauth_est = NFI_unauth * 30</t>
  </si>
  <si>
    <t xml:space="preserve">Highly simplified; ignores age structure, future wage growth, policy changes, etc.</t>
  </si>
  <si>
    <t xml:space="preserve">Total Estimated Lifetime Net Fiscal Contribution of American Workers (simplified 30-year horizon)</t>
  </si>
  <si>
    <t xml:space="preserve">NFI_lifetime_amer_est = NFI_amer * 30</t>
  </si>
  <si>
    <t xml:space="preserve">Ratio of Estimated Lifetime Fiscal Contribution: American vs Unauthorized</t>
  </si>
  <si>
    <t xml:space="preserve">NFI_lifetime_ratio = NFI_lifetime_amer_est / NFI_lifetime_unauth_est</t>
  </si>
  <si>
    <t xml:space="preserve">Simplified lifetime comparison</t>
  </si>
  <si>
    <t xml:space="preserve">Unauthorized Workers’ Share of Total Employment in Industries with High Unauthorized Concentration</t>
  </si>
  <si>
    <t xml:space="preserve">unauth_share_high_unauth_ind = SUM(EP_unauth,i where U_share_i &gt; 0.15) / EP_unauth</t>
  </si>
  <si>
    <t xml:space="preserve">Proportion of unauthorized workers in industries where they already exceed ~15% of employment</t>
  </si>
  <si>
    <t xml:space="preserve">American Workers’ Share of Total Employment in Industries with Low Unauthorized Presence</t>
  </si>
  <si>
    <t xml:space="preserve">amer_share_low_unauth_ind = SUM(EP_amer,i where U_share_i &lt; 0.05) / EP_amer</t>
  </si>
  <si>
    <t xml:space="preserve">Proportion of American workers in industries with very low unauthorized presence</t>
  </si>
  <si>
    <t xml:space="preserve">Weighted Average Wage Premium: Authorized vs Unauthorized</t>
  </si>
  <si>
    <t xml:space="preserve">WAVG_premium_auth_unauth = (WAVG_auth - WAVG_unauth) / WAVG_unauth</t>
  </si>
  <si>
    <t xml:space="preserve">Percentage wage premium that authorized immigrants earn over unauthorized immigrants</t>
  </si>
  <si>
    <t xml:space="preserve">Weighted Average Annual Income Premium: Authorized vs Unauthorized</t>
  </si>
  <si>
    <t xml:space="preserve">AIAVG_premium_auth_unauth = (AIAVG_auth - AIAVG_unauth) / AIAVG_unauth</t>
  </si>
  <si>
    <t xml:space="preserve">Percentage annual income premium authorized vs unauthorized</t>
  </si>
  <si>
    <t xml:space="preserve">Average Education Level Premium: Authorized vs Unauthorized</t>
  </si>
  <si>
    <t xml:space="preserve">ELR_premium_auth_unauth = ELR_auth - ELR_unauth</t>
  </si>
  <si>
    <t xml:space="preserve">Difference in average education level required (positive = authorized in higher-education roles on average)</t>
  </si>
  <si>
    <t xml:space="preserve">Job Tenure Premium: Authorized vs Unauthorized</t>
  </si>
  <si>
    <t xml:space="preserve">JTA_premium_auth = JTA_auth - JTA_unauth</t>
  </si>
  <si>
    <t xml:space="preserve">Difference in average job tenure</t>
  </si>
  <si>
    <t xml:space="preserve">Full-Time Employment Rate Premium: Authorized vs Unauthorized</t>
  </si>
  <si>
    <t xml:space="preserve">FTER_premium_auth = FTER_auth - FTER_unauth</t>
  </si>
  <si>
    <t xml:space="preserve">Percentage point difference in full-time employment likelihood</t>
  </si>
  <si>
    <t xml:space="preserve">Underemployment Rate Gap: Unauthorized vs Authorized</t>
  </si>
  <si>
    <t xml:space="preserve">U6R_gap_unauth_auth = U6R_unauth - U6R_auth</t>
  </si>
  <si>
    <t xml:space="preserve">Percentage point difference (positive = unauthorized more underemployed than authorized)</t>
  </si>
  <si>
    <t xml:space="preserve">Unemployment Rate Gap: Unauthorized vs Authorized</t>
  </si>
  <si>
    <t xml:space="preserve">U3R_gap_unauth_auth = U3R_unauth - U3R_auth</t>
  </si>
  <si>
    <t xml:space="preserve">Percentage point difference in official unemployment rate</t>
  </si>
  <si>
    <t xml:space="preserve">Public Assistance Cost per Worker Gap: Unauthorized vs Authorized</t>
  </si>
  <si>
    <t xml:space="preserve">PA_cost_per_worker_gap = (PACOST_unauth / EP_unauth) - (PACOST_auth / EP_auth)</t>
  </si>
  <si>
    <t xml:space="preserve">Dollar difference in average annual public assistance cost per worker</t>
  </si>
  <si>
    <t xml:space="preserve">EITC per Worker Gap: Unauthorized vs Authorized</t>
  </si>
  <si>
    <t xml:space="preserve">EITC_per_worker_gap = (EITC_unauth / EP_unauth) - (EITC_auth / EP_auth)</t>
  </si>
  <si>
    <t xml:space="preserve">Dollar difference in average EITC received per worker</t>
  </si>
  <si>
    <t xml:space="preserve">ACTC per Worker Gap: Unauthorized vs Authorized</t>
  </si>
  <si>
    <t xml:space="preserve">ACTC_per_worker_gap = (ACTC_unauth / EP_unauth) - (ACTC_auth / EP_auth)</t>
  </si>
  <si>
    <t xml:space="preserve">Dollar difference in average ACTC received per worker</t>
  </si>
  <si>
    <t xml:space="preserve">Net Federal Tax Contribution per Worker: Authorized vs Unauthorized</t>
  </si>
  <si>
    <t xml:space="preserve">NFI_fed_per_worker_auth_vs_unauth = (FPIT_auth + FPPT_auth)/EP_auth - (FPIT_unauth + FPPT_unauth)/EP_unauth</t>
  </si>
  <si>
    <t xml:space="preserve">Difference in average federal tax paid per worker</t>
  </si>
  <si>
    <t xml:space="preserve">Net Fiscal Impact per Worker: Authorized vs Unauthorized</t>
  </si>
  <si>
    <t xml:space="preserve">NFI_per_worker_auth_vs_unauth = NFI_auth / EP_auth - NFI_unauth / EP_unauth</t>
  </si>
  <si>
    <t xml:space="preserve">Difference in average net fiscal impact per worker</t>
  </si>
  <si>
    <t xml:space="preserve">Ratio of Net Fiscal Impact per Worker: Authorized vs Unauthorized</t>
  </si>
  <si>
    <t xml:space="preserve">NFI_per_worker_ratio_auth_unauth = (NFI_auth / EP_auth) / (NFI_unauth / EP_unauth)</t>
  </si>
  <si>
    <t xml:space="preserve">How many times more positive (or less negative) authorized workers are fiscally compared to unauthorized</t>
  </si>
  <si>
    <t xml:space="preserve">Total Estimated Tax Gap from Unauthorized Workers (Income + Payroll)</t>
  </si>
  <si>
    <t xml:space="preserve">TAX_gap_unauth_total = FIT_underpayment_unauth_est + SSMC_underpayment_unauth_est</t>
  </si>
  <si>
    <t xml:space="preserve">Combined estimated unpaid federal taxes (income + employee payroll share)</t>
  </si>
  <si>
    <t xml:space="preserve">Total Estimated Tax Gap as % of Total Federal Tax Revenue from Alabama</t>
  </si>
  <si>
    <t xml:space="preserve">TAX_gap_pct_of_fed = TAX_gap_unauth_total / FED_TAX_AL * 100</t>
  </si>
  <si>
    <t xml:space="preserve">Estimated unpaid taxes from unauthorized as percentage of all federal taxes collected from Alabama</t>
  </si>
  <si>
    <t xml:space="preserve">Unauthorized Workers’ Share of Total High-Turnover Employment (TR &gt; 0.12)</t>
  </si>
  <si>
    <t xml:space="preserve">unauth_share_high_tr = SUM(EP_unauth,i where TR_i &gt; 0.12) / SUM(EP,i where TR_i &gt; 0.12)</t>
  </si>
  <si>
    <t xml:space="preserve">Proportion of very high-turnover jobs held by unauthorized workers</t>
  </si>
  <si>
    <t xml:space="preserve">American Workers’ Share of Total Long-Tenure Employment (JTA &gt; 8 years)</t>
  </si>
  <si>
    <t xml:space="preserve">amer_share_long_jta = SUM(EP_amer,i where JTA_i &gt; 8) / SUM(EP,i where JTA_i &gt; 8)</t>
  </si>
  <si>
    <t xml:space="preserve">Proportion of very long-tenure jobs held by American workers</t>
  </si>
  <si>
    <t xml:space="preserve">Weighted Average Labor Productivity Differential: American vs Unauthorized</t>
  </si>
  <si>
    <t xml:space="preserve">LP_diff_amer_unauth = LP_amer - LP_unauth</t>
  </si>
  <si>
    <t xml:space="preserve">Difference in average productivity index</t>
  </si>
  <si>
    <t xml:space="preserve">Productivity-Adjusted Annual Income Gap</t>
  </si>
  <si>
    <t xml:space="preserve">prod_adj_income_gap = (AIAVG_amer / LP_amer) - (AIAVG_unauth / LP_unauth)</t>
  </si>
  <si>
    <t xml:space="preserve">Difference in income per unit of productivity</t>
  </si>
  <si>
    <t xml:space="preserve">Unauthorized Share of Total Employment in Industries with ETPR &lt; 0.60</t>
  </si>
  <si>
    <t xml:space="preserve">unauth_share_low_etpr = SUM(EP_unauth,i where ETPR_i &lt; 0.60) / EP_unauth</t>
  </si>
  <si>
    <t xml:space="preserve">Concentration of unauthorized workers in industries with low employment-to-population ratios</t>
  </si>
  <si>
    <t xml:space="preserve">American Share of Total Employment in Industries with ETPR &gt; 0.75</t>
  </si>
  <si>
    <t xml:space="preserve">amer_share_high_etpr = SUM(EP_amer,i where ETPR_i &gt; 0.75) / EP_amer</t>
  </si>
  <si>
    <t xml:space="preserve">Concentration of American workers in industries with high employment-to-population ratios</t>
  </si>
  <si>
    <t xml:space="preserve">Ratio of Average Weekly Hours Worked: American vs Unauthorized</t>
  </si>
  <si>
    <t xml:space="preserve">AWHW_ratio_amer_unauth = AWHW_amer / AWHW_unauth</t>
  </si>
  <si>
    <t xml:space="preserve">How many times more (or fewer) hours the average American worker reports compared to unauthorized</t>
  </si>
  <si>
    <t xml:space="preserve">Ratio of Average Job Tenure: American vs Unauthorized</t>
  </si>
  <si>
    <t xml:space="preserve">JTA_ratio_amer_unauth = JTA_amer / JTA_unauth</t>
  </si>
  <si>
    <t xml:space="preserve">How many times longer the average tenure is for American workers</t>
  </si>
  <si>
    <t xml:space="preserve">Estimated Number of Unauthorized Workers Paying Zero Federal Income Tax</t>
  </si>
  <si>
    <t xml:space="preserve">zero_fit_unauth_est = EP_unauth * (1 - FIT_compliance_unauth_est)</t>
  </si>
  <si>
    <t xml:space="preserve">Back-calculated approximate count of unauthorized workers with zero federal income tax liability paid</t>
  </si>
  <si>
    <t xml:space="preserve">Estimated Number of Unauthorized Workers Paying Zero Payroll Tax (employee share)</t>
  </si>
  <si>
    <t xml:space="preserve">zero_ssmc_unauth_est = EP_unauth * (1 - SSMC_compliance_unauth_est)</t>
  </si>
  <si>
    <t xml:space="preserve">Back-calculated approximate count of unauthorized workers not paying employee-side payroll taxes</t>
  </si>
  <si>
    <t xml:space="preserve">Unauthorized Workers’ Share of Total Workers Earning Below Poverty Line (simplified)</t>
  </si>
  <si>
    <t xml:space="preserve">unauth_share_below_poverty = SUM(EP_unauth,i where AIAVG_i &lt; PARAMETERS!POVERTY_LINE_1P) / EP_unauth</t>
  </si>
  <si>
    <t xml:space="preserve">Proportion of unauthorized workers estimated to be below individual poverty threshold</t>
  </si>
  <si>
    <t xml:space="preserve">American Workers’ Share of Total Workers Earning Above Median Income</t>
  </si>
  <si>
    <t xml:space="preserve">amer_share_above_median = SUM(EP_amer,i where AIAVG_i &gt; PARAMETERS!MEDIAN_INCOME_AL) / EP_amer</t>
  </si>
  <si>
    <t xml:space="preserve">Proportion of American workers above statewide median annual income</t>
  </si>
  <si>
    <t xml:space="preserve">Ratio of Average Public Assistance Cost to Average Tax Contribution (Unauthorized)</t>
  </si>
  <si>
    <t xml:space="preserve">assist_to_tax_ratio_unauth = (PACOST_unauth / EP_unauth) / ((FPIT_unauth + FPPT_unauth + SLTR_unauth) / EP_unauth)</t>
  </si>
  <si>
    <t xml:space="preserve">How many dollars of assistance are received per dollar of tax/contribution paid by unauthorized workers</t>
  </si>
  <si>
    <t xml:space="preserve">Ratio of Average Public Assistance Cost to Average Tax Contribution (American)</t>
  </si>
  <si>
    <t xml:space="preserve">assist_to_tax_ratio_amer = (PACOST_amer / EP_amer) / ((FPIT_amer + FPPT_amer + SLTR_amer) / EP_amer)</t>
  </si>
  <si>
    <t xml:space="preserve">How many dollars of assistance are received per dollar of tax/contribution paid by American workers</t>
  </si>
  <si>
    <t xml:space="preserve">Net Fiscal Multiplier: Unauthorized Workers</t>
  </si>
  <si>
    <t xml:space="preserve">NFI_multiplier_unauth = NFI_unauth / EP_unauth</t>
  </si>
  <si>
    <t xml:space="preserve">Average net fiscal impact per unauthorized worker (positive = net contributor, negative = net cost)</t>
  </si>
  <si>
    <t xml:space="preserve">Net Fiscal Multiplier: Authorized Workers</t>
  </si>
  <si>
    <t xml:space="preserve">NFI_multiplier_auth = NFI_auth / EP_auth</t>
  </si>
  <si>
    <t xml:space="preserve">Average net fiscal impact per authorized worker</t>
  </si>
  <si>
    <t xml:space="preserve">Net Fiscal Multiplier: American Workers</t>
  </si>
  <si>
    <t xml:space="preserve">NFI_multiplier_amer = NFI_amer / EP_amer</t>
  </si>
  <si>
    <t xml:space="preserve">Average net fiscal impact per American worker</t>
  </si>
  <si>
    <t xml:space="preserve">Ratio of Net Fiscal Multipliers: American vs Unauthorized</t>
  </si>
  <si>
    <t xml:space="preserve">NFI_multiplier_ratio = NFI_multiplier_amer / NFI_multiplier_unauth</t>
  </si>
  <si>
    <t xml:space="preserve">Relative fiscal contribution per worker</t>
  </si>
  <si>
    <t xml:space="preserve">Estimated Fiscal Cost of Non-Compliance (Unauthorized)</t>
  </si>
  <si>
    <t xml:space="preserve">fiscal_cost_noncompliance_unauth = TAX_gap_unauth_total + (EITC_unauth + ACTC_unauth + AOTC_unauth) * (1 - PARAMETERS!COMPLIANCE_ADJ_FACTOR)</t>
  </si>
  <si>
    <t xml:space="preserve">Simplified estimate combining tax gap and potentially inflated refund claims</t>
  </si>
  <si>
    <t xml:space="preserve">Unauthorized Workers as Share of Total Recipients of Child Tax Credits (ACTC)</t>
  </si>
  <si>
    <t xml:space="preserve">ACTC_recipient_share_unauth = ACTC_unauth / ACTC_AL</t>
  </si>
  <si>
    <t xml:space="preserve">Estimated share of ACTC dollars going to unauthorized workers</t>
  </si>
  <si>
    <t xml:space="preserve">Unauthorized Workers as Share of Total Recipients of American Opportunity Credit</t>
  </si>
  <si>
    <t xml:space="preserve">AOTC_recipient_share_unauth = AOTC_unauth / AOTC_AL</t>
  </si>
  <si>
    <t xml:space="preserve">Estimated share of AOTC dollars going to unauthorized workers</t>
  </si>
  <si>
    <t xml:space="preserve">Total Estimated Refundable Credits Attributable to Unauthorized Workers</t>
  </si>
  <si>
    <t xml:space="preserve">TAX_REFUNDS_unauth = EITC_unauth + ACTC_unauth + AOTC_unauth</t>
  </si>
  <si>
    <t xml:space="preserve">Combined major refundable credits received by unauthorized workers</t>
  </si>
  <si>
    <t xml:space="preserve">Refundable Credits per Unauthorized Worker</t>
  </si>
  <si>
    <t xml:space="preserve">refundable_credits_per_unauth = TAX_REFUNDS_unauth / EP_unauth</t>
  </si>
  <si>
    <t xml:space="preserve">Average refundable credit dollars per unauthorized employed person</t>
  </si>
  <si>
    <t xml:space="preserve">Refundable Credits per American Worker</t>
  </si>
  <si>
    <t xml:space="preserve">refundable_credits_per_amer = (EITC_amer + ACTC_amer + AOTC_amer) / EP_amer</t>
  </si>
  <si>
    <t xml:space="preserve">Average refundable credit dollars per American employed person</t>
  </si>
  <si>
    <t xml:space="preserve">Ratio of Refundable Credits Received: Unauthorized vs American</t>
  </si>
  <si>
    <t xml:space="preserve">refundable_credits_ratio = refundable_credits_per_unauth / refundable_credits_per_amer</t>
  </si>
  <si>
    <t xml:space="preserve">How many times more refundable credits per worker unauthorized workers receive</t>
  </si>
  <si>
    <t xml:space="preserve">Unauthorized Share of Total Public Assistance Cost (PAUR-based)</t>
  </si>
  <si>
    <t xml:space="preserve">PACOST_share_unauth = PACOST_unauth / PACOST_AL</t>
  </si>
  <si>
    <t xml:space="preserve">Percentage of statewide public assistance cost attributed to unauthorized workers</t>
  </si>
  <si>
    <t xml:space="preserve">American Share of Total Public Assistance Cost</t>
  </si>
  <si>
    <t xml:space="preserve">PACOST_share_amer = PACOST_amer / PACOST_AL</t>
  </si>
  <si>
    <t xml:space="preserve">Percentage of statewide public assistance cost attributed to American workers</t>
  </si>
  <si>
    <t xml:space="preserve">Unauthorized Share of Total SS/Medicare Contributions Paid</t>
  </si>
  <si>
    <t xml:space="preserve">SSMC_share_paid_unauth = SSMC_unauth / SSMC_AL</t>
  </si>
  <si>
    <t xml:space="preserve">Percentage of Social Security &amp; Medicare contributions coming from unauthorized workers</t>
  </si>
  <si>
    <t xml:space="preserve">American Share of Total SS/Medicare Contributions Paid</t>
  </si>
  <si>
    <t xml:space="preserve">SSMC_share_paid_amer = SSMC_amer / SSMC_AL</t>
  </si>
  <si>
    <t xml:space="preserve">Percentage of Social Security &amp; Medicare contributions coming from American workers</t>
  </si>
  <si>
    <t xml:space="preserve">Ratio of SS/Medicare Contributions per Worker: American vs Unauthorized</t>
  </si>
  <si>
    <t xml:space="preserve">SSMC_per_worker_ratio = (SSMC_amer / EP_amer) / (SSMC_unauth / EP_unauth)</t>
  </si>
  <si>
    <t xml:space="preserve">How many times more SS/Medicare contributions per worker American workers pay</t>
  </si>
  <si>
    <t xml:space="preserve">Estimated Unauthorized Worker Share of Future Social Security Benefits (simplified)</t>
  </si>
  <si>
    <t xml:space="preserve">future_ss_benefits_share_unauth_est = SSMC_unauth / SSMC_AL * PARAMETERS!FUTURE_BENEFIT_FACTOR</t>
  </si>
  <si>
    <t xml:space="preserve">Simplified forward-looking share (ignores eligibility restrictions)</t>
  </si>
  <si>
    <t xml:space="preserve">Estimated Net Present Value of Future Benefits vs Taxes Paid (Unauthorized, simplified)</t>
  </si>
  <si>
    <t xml:space="preserve">npv_unauth_est = (future_ss_benefits_share_unauth_est * PARAMETERS!TOTAL_FUTURE_SS) - (SSMC_unauth * PARAMETERS!DISCOUNT_RATE_FACTOR)</t>
  </si>
  <si>
    <t xml:space="preserve">Very rough NPV approximation</t>
  </si>
  <si>
    <t xml:space="preserve">Estimated Net Present Value of Future Benefits vs Taxes Paid (American, simplified)</t>
  </si>
  <si>
    <t xml:space="preserve">npv_amer_est = (SSMC_amer / SSMC_AL * PARAMETERS!TOTAL_FUTURE_SS) - (SSMC_amer * PARAMETERS!DISCOUNT_RATE_FACTOR)</t>
  </si>
  <si>
    <t xml:space="preserve">Very rough NPV approximation for comparison</t>
  </si>
  <si>
    <t xml:space="preserve">Estimated Net Present Value Gap: American vs Unauthorized</t>
  </si>
  <si>
    <t xml:space="preserve">npv_gap_amer_unauth = npv_amer_est - npv_unauth_est</t>
  </si>
  <si>
    <t xml:space="preserve">Difference in simplified lifetime NPV of taxes paid vs benefits received</t>
  </si>
  <si>
    <t xml:space="preserve">Ratio of Simplified Lifetime NPV: American vs Unauthorized</t>
  </si>
  <si>
    <t xml:space="preserve">npv_ratio_amer_unauth = npv_amer_est / npv_unauth_est</t>
  </si>
  <si>
    <t xml:space="preserve">Relative lifetime fiscal contribution (higher = Americans more net positive over time)</t>
  </si>
  <si>
    <t xml:space="preserve">Unauthorized Workers’ Share of Total Workers in Industries with High Turnover AND Low Wages</t>
  </si>
  <si>
    <t xml:space="preserve">unauth_share_high_tr_low_wage = SUM(EP_unauth,i where TR_i &gt; 0.10 AND WAVG_i &lt; PARAMETERS!LOW_WAGE_THRESHOLD) / EP_unauth</t>
  </si>
  <si>
    <t xml:space="preserve">Concentration in the most precarious job types</t>
  </si>
  <si>
    <t xml:space="preserve">American Workers’ Share of Total Workers in Industries with Low Turnover AND High Wages</t>
  </si>
  <si>
    <t xml:space="preserve">amer_share_low_tr_high_wage = SUM(EP_amer,i where TR_i &lt; 0.04 AND WAVG_i &gt; PARAMETERS!HIGH_WAGE_THRESHOLD) / EP_amer</t>
  </si>
  <si>
    <t xml:space="preserve">Concentration in the most stable, high-paying job types</t>
  </si>
  <si>
    <t xml:space="preserve">Weighted Average Wage Ratio: American vs Unauthorized (normalized by education level)</t>
  </si>
  <si>
    <t xml:space="preserve">WAVG_ratio_edu_adj = (WAVG_amer / ELR_amer) / (WAVG_unauth / ELR_unauth)</t>
  </si>
  <si>
    <t xml:space="preserve">Wage per unit of education required (measures return to education across groups)</t>
  </si>
  <si>
    <t xml:space="preserve">Weighted Average Annual Income Ratio: Authorized vs Unauthorized</t>
  </si>
  <si>
    <t xml:space="preserve">AIAVG_ratio_auth_unauth = AIAVG_auth / AIAVG_unauth</t>
  </si>
  <si>
    <t xml:space="preserve">Relative annual earnings authorized vs unauthorized</t>
  </si>
  <si>
    <t xml:space="preserve">Ratio of Average Public Assistance Cost per Worker: Unauthorized vs Authorized</t>
  </si>
  <si>
    <t xml:space="preserve">PA_cost_per_worker_ratio_unauth_auth = (PACOST_unauth / EP_unauth) / (PACOST_auth / EP_auth)</t>
  </si>
  <si>
    <t xml:space="preserve">How many times higher the assistance cost is per unauthorized worker compared to authorized</t>
  </si>
  <si>
    <t xml:space="preserve">Ratio of Average EITC per Worker: Unauthorized vs Authorized</t>
  </si>
  <si>
    <t xml:space="preserve">EITC_per_worker_ratio_unauth_auth = (EITC_unauth / EP_unauth) / (EITC_auth / EP_auth)</t>
  </si>
  <si>
    <t xml:space="preserve">Relative EITC receipt per worker</t>
  </si>
  <si>
    <t xml:space="preserve">Ratio of Average ACTC per Worker: Unauthorized vs Authorized</t>
  </si>
  <si>
    <t xml:space="preserve">ACTC_per_worker_ratio_unauth_auth = (ACTC_unauth / EP_unauth) / (ACTC_auth / EP_auth)</t>
  </si>
  <si>
    <t xml:space="preserve">Relative ACTC receipt per worker</t>
  </si>
  <si>
    <t xml:space="preserve">Net Federal Fiscal Contribution Ratio: American vs Unauthorized</t>
  </si>
  <si>
    <t xml:space="preserve">NFI_fed_ratio_amer_unauth = ((FPIT_amer + FPPT_amer) / EP_amer) / ((FPIT_unauth + FPPT_unauth) / EP_unauth)</t>
  </si>
  <si>
    <t xml:space="preserve">Relative federal taxes paid per worker</t>
  </si>
  <si>
    <t xml:space="preserve">Net State/Local Fiscal Contribution Ratio: American vs Unauthorized</t>
  </si>
  <si>
    <t xml:space="preserve">NFI_state_ratio_amer_unauth = ((SLTR_amer - PACOST_amer) / EP_amer) / ((SLTR_unauth - PACOST_unauth) / EP_unauth)</t>
  </si>
  <si>
    <t xml:space="preserve">Relative state/local net position per worker</t>
  </si>
  <si>
    <t xml:space="preserve">Total Estimated Refundable Credits as % of Total Federal Taxes Paid by Unauthorized</t>
  </si>
  <si>
    <t xml:space="preserve">credits_as_pct_taxes_unauth = TAX_REFUNDS_unauth / (FPIT_unauth + FPPT_unauth) * 100</t>
  </si>
  <si>
    <t xml:space="preserve">Refundable credits received as percentage of federal taxes paid by unauthorized workers</t>
  </si>
  <si>
    <t xml:space="preserve">Total Estimated Refundable Credits as % of Total Federal Taxes Paid by Americans</t>
  </si>
  <si>
    <t xml:space="preserve">credits_as_pct_taxes_amer = (EITC_amer + ACTC_amer + AOTC_amer) / (FPIT_amer + FPPT_amer) * 100</t>
  </si>
  <si>
    <t xml:space="preserve">Refundable credits received as percentage of federal taxes paid by American workers</t>
  </si>
  <si>
    <t xml:space="preserve">Unauthorized Workers’ Share of Total Workers Receiving Any Refundable Credit</t>
  </si>
  <si>
    <t xml:space="preserve">unauth_share_any_credit_recipient = (TAX_REFUNDS_unauth &gt; 0 ? EP_unauth : 0) / (TAX_CREDITS_AL &gt; 0 ? EP_AL : 1)</t>
  </si>
  <si>
    <t xml:space="preserve">Estimated share of all refundable credit recipients who are unauthorized</t>
  </si>
  <si>
    <t xml:space="preserve">American Workers’ Share of Total Workers Receiving Any Refundable Credit</t>
  </si>
  <si>
    <t xml:space="preserve">amer_share_any_credit_recipient = (TAX_REFUNDS_amer &gt; 0 ? EP_amer : 0) / (TAX_CREDITS_AL &gt; 0 ? EP_AL : 1)</t>
  </si>
  <si>
    <t xml:space="preserve">Estimated share of all refundable credit recipients who are American</t>
  </si>
  <si>
    <t xml:space="preserve">Estimated Number of Unauthorized Workers Receiving EITC Above Phase-Out Threshold</t>
  </si>
  <si>
    <t xml:space="preserve">EITC_above_phaseout_unauth_est = EP_unauth * PARAMETERS!EITC_HIGH_INCOME_ELIG_SHARE</t>
  </si>
  <si>
    <t xml:space="preserve">Simplified estimate of unauthorized workers receiving EITC despite higher income</t>
  </si>
  <si>
    <t xml:space="preserve">Estimated Number of Unauthorized Workers Receiving ACTC</t>
  </si>
  <si>
    <t xml:space="preserve">ACTC_recipients_unauth_est = EP_unauth * PARAMETERS!ACTC_ELIGIBILITY_RATE_UNAUTH</t>
  </si>
  <si>
    <t xml:space="preserve">Simplified estimate based on average eligibility rate</t>
  </si>
  <si>
    <t xml:space="preserve">Ratio of Average Child Tax Credit Benefits per Worker: Unauthorized vs American</t>
  </si>
  <si>
    <t xml:space="preserve">ACTC_per_worker_child_ratio = (ACTC_unauth / EP_unauth) / (ACTC_amer / EP_amer)</t>
  </si>
  <si>
    <t xml:space="preserve">Relative ACTC per worker (proxy for child-related benefits)</t>
  </si>
  <si>
    <t xml:space="preserve">Unauthorized Share of Total Estimated Dependent Children Claimed for Tax Credits</t>
  </si>
  <si>
    <t xml:space="preserve">dependents_claimed_share_unauth = ACTC_unauth / ACTC_AL * PARAMETERS!AVG_CHILDREN_PER_CLAIM</t>
  </si>
  <si>
    <t xml:space="preserve">Simplified back-calculation of claimed dependents</t>
  </si>
  <si>
    <t xml:space="preserve">American Share of Total Estimated Dependent Children Claimed for Tax Credits</t>
  </si>
  <si>
    <t xml:space="preserve">dependents_claimed_share_amer = ACTC_amer / ACTC_AL * PARAMETERS!AVG_CHILDREN_PER_CLAIM</t>
  </si>
  <si>
    <t xml:space="preserve">Simplified back-calculation for American workers</t>
  </si>
  <si>
    <t xml:space="preserve">Estimated Total Tax Credits Attributable to Children of Unauthorized Workers</t>
  </si>
  <si>
    <t xml:space="preserve">child_credits_unauth_est = ACTC_unauth + (EITC_unauth * PARAMETERS!EITC_CHILD_SHARE)</t>
  </si>
  <si>
    <t xml:space="preserve">Combined EITC + ACTC portion linked to children of unauthorized workers</t>
  </si>
  <si>
    <t xml:space="preserve">Estimated Total Tax Credits Attributable to Children of American Workers</t>
  </si>
  <si>
    <t xml:space="preserve">child_credits_amer_est = ACTC_amer + (EITC_amer * PARAMETERS!EITC_CHILD_SHARE)</t>
  </si>
  <si>
    <t xml:space="preserve">Combined EITC + ACTC portion linked to children of American workers</t>
  </si>
  <si>
    <t xml:space="preserve">Ratio of Estimated Child-Related Tax Credits per Worker: Unauthorized vs American</t>
  </si>
  <si>
    <t xml:space="preserve">child_credits_per_worker_ratio = child_credits_unauth_est / EP_unauth / (child_credits_amer_est / EP_amer)</t>
  </si>
  <si>
    <t xml:space="preserve">Relative child-related credits received per worker</t>
  </si>
  <si>
    <t xml:space="preserve">Unauthorized Workers’ Share of Total Public Assistance Cost Attributable to Children</t>
  </si>
  <si>
    <t xml:space="preserve">PA_child_cost_share_unauth = PACOST_unauth * PARAMETERS!PA_CHILD_SHARE_UNAUTH</t>
  </si>
  <si>
    <t xml:space="preserve">Simplified estimate of assistance costs linked to children</t>
  </si>
  <si>
    <t xml:space="preserve">American Workers’ Share of Total Public Assistance Cost Attributable to Children</t>
  </si>
  <si>
    <t xml:space="preserve">PA_child_cost_share_amer = PACOST_amer * PARAMETERS!PA_CHILD_SHARE_AMER</t>
  </si>
  <si>
    <t xml:space="preserve">Simplified estimate for American workers</t>
  </si>
  <si>
    <t xml:space="preserve">Ratio of Child-Related Public Assistance Cost per Worker: Unauthorized vs American</t>
  </si>
  <si>
    <t xml:space="preserve">PA_child_cost_per_worker_ratio = (PA_child_cost_share_unauth / EP_unauth) / (PA_child_cost_share_amer / EP_amer)</t>
  </si>
  <si>
    <t xml:space="preserve">Relative child-related assistance cost per worker</t>
  </si>
  <si>
    <t xml:space="preserve">Total Estimated Fiscal Impact of Children of Unauthorized Workers (simplified)</t>
  </si>
  <si>
    <t xml:space="preserve">fiscal_impact_children_unauth = (child_credits_unauth_est + PA_child_cost_share_unauth) - (FPIT_unauth * PARAMETERS!CHILD_TAX_CONTRIB_SHARE)</t>
  </si>
  <si>
    <t xml:space="preserve">Net fiscal position including child credits and costs</t>
  </si>
  <si>
    <t xml:space="preserve">Total Estimated Fiscal Impact of Children of American Workers (simplified)</t>
  </si>
  <si>
    <t xml:space="preserve">fiscal_impact_children_amer = (child_credits_amer_est + PA_child_cost_share_amer) - (FPIT_amer * PARAMETERS!CHILD_TAX_CONTRIB_SHARE)</t>
  </si>
  <si>
    <t xml:space="preserve">Net fiscal position for American workers’ children</t>
  </si>
  <si>
    <t xml:space="preserve">Ratio of Net Fiscal Impact per Child: Unauthorized vs American</t>
  </si>
  <si>
    <t xml:space="preserve">fiscal_impact_per_child_ratio = fiscal_impact_children_unauth / (EP_unauth * PARAMETERS!AVG_CHILDREN_PER_WORKER_UNAUTH) / (fiscal_impact_children_amer / (EP_amer * PARAMETERS!AVG_CHILDREN_PER_WORKER_AMER))</t>
  </si>
  <si>
    <t xml:space="preserve">Relative fiscal impact per child (negative = net cost)</t>
  </si>
  <si>
    <t xml:space="preserve">Estimated Share of Alabama Public School Enrollment from Children of Unauthorized Workers</t>
  </si>
  <si>
    <t xml:space="preserve">school_enroll_share_unauth = (EP_unauth * PARAMETERS!AVG_CHILDREN_PER_WORKER_UNAUTH * PARAMETERS!SCHOOL_AGE_SHARE) / PARAMETERS!TOTAL_K12_ENROLL_AL</t>
  </si>
  <si>
    <t xml:space="preserve">Simplified estimate of public school children from unauthorized-worker households</t>
  </si>
  <si>
    <t xml:space="preserve">Estimated Annual Cost of Public Education for Children of Unauthorized Workers</t>
  </si>
  <si>
    <t xml:space="preserve">edu_cost_unauth_est = school_enroll_share_unauth * PARAMETERS!AVG_K12_COST_PER_PUPIL_AL</t>
  </si>
  <si>
    <t xml:space="preserve">Simplified back-of-envelope education cost</t>
  </si>
  <si>
    <t xml:space="preserve">Estimated Annual Cost of Public Education for Children of American Workers</t>
  </si>
  <si>
    <t xml:space="preserve">edu_cost_amer_est = (1 - school_enroll_share_unauth) * PARAMETERS!AVG_K12_COST_PER_PUPIL_AL</t>
  </si>
  <si>
    <t xml:space="preserve">Remaining education cost estimate</t>
  </si>
  <si>
    <t xml:space="preserve">Ratio of Estimated Public Education Cost per Worker: Unauthorized vs American</t>
  </si>
  <si>
    <t xml:space="preserve">edu_cost_per_worker_ratio = edu_cost_unauth_est / EP_unauth / (edu_cost_amer_est / EP_amer)</t>
  </si>
  <si>
    <t xml:space="preserve">Relative education cost burden per worker</t>
  </si>
  <si>
    <t xml:space="preserve">Unauthorized Workers’ Share of Total Medicaid / CHIP Enrollment (simplified)</t>
  </si>
  <si>
    <t xml:space="preserve">medicaid_share_unauth = (EP_unauth * PARAMETERS!MEDICAID_ELIG_RATE_UNAUTH) / PARAMETERS!TOTAL_MEDICAID_ENROLL_AL</t>
  </si>
  <si>
    <t xml:space="preserve">Simplified estimate of Medicaid/CHIP enrollment share</t>
  </si>
  <si>
    <t xml:space="preserve">Estimated Annual Medicaid Cost Attributable to Unauthorized Workers and Dependents</t>
  </si>
  <si>
    <t xml:space="preserve">medicaid_cost_unauth_est = medicaid_share_unauth * PARAMETERS!AVG_MEDICAID_COST_PER_ENROLLEE</t>
  </si>
  <si>
    <t xml:space="preserve">Simplified Medicaid cost estimate</t>
  </si>
  <si>
    <t xml:space="preserve">Ratio of Estimated Medicaid Cost per Worker: Unauthorized vs American</t>
  </si>
  <si>
    <t xml:space="preserve">medicaid_cost_per_worker_ratio = medicaid_cost_unauth_est / EP_unauth / ((1 - medicaid_share_unauth) * PARAMETERS!AVG_MEDICAID_COST_PER_ENROLLEE / EP_amer)</t>
  </si>
  <si>
    <t xml:space="preserve">Relative Medicaid burden per worker</t>
  </si>
  <si>
    <t xml:space="preserve">Total Estimated Health-Related Public Assistance Cost for Unauthorized Households</t>
  </si>
  <si>
    <t xml:space="preserve">health_assist_unauth = medicaid_cost_unauth_est + (PACOST_unauth * PARAMETERS!HEALTH_SHARE)</t>
  </si>
  <si>
    <t xml:space="preserve">Combined health-related assistance estimate</t>
  </si>
  <si>
    <t xml:space="preserve">Total Estimated Health-Related Public Assistance Cost for American Households</t>
  </si>
  <si>
    <t xml:space="preserve">health_assist_amer = (1 - medicaid_share_unauth) * PARAMETERS!AVG_MEDICAID_COST_PER_ENROLLEE * PARAMETERS!TOTAL_MEDICAID_ENROLL_AL + (PACOST_amer * PARAMETERS!HEALTH_SHARE)</t>
  </si>
  <si>
    <t xml:space="preserve">Simplified counterpart estimate</t>
  </si>
  <si>
    <t xml:space="preserve">Ratio of Health-Related Assistance Cost per Worker: Unauthorized vs American</t>
  </si>
  <si>
    <t xml:space="preserve">health_assist_per_worker_ratio = health_assist_unauth / EP_unauth / (health_assist_amer / EP_amer)</t>
  </si>
  <si>
    <t xml:space="preserve">Relative health assistance burden</t>
  </si>
  <si>
    <t xml:space="preserve">Estimated Total Public Benefit Cost per Unauthorized Worker (all major categories)</t>
  </si>
  <si>
    <t xml:space="preserve">total_benefit_per_unauth = (PACOST_unauth + medicaid_cost_unauth_est + edu_cost_unauth_est + TAX_REFUNDS_unauth) / EP_unauth</t>
  </si>
  <si>
    <t xml:space="preserve">Combined major benefit cost per unauthorized worker</t>
  </si>
  <si>
    <t xml:space="preserve">Estimated Total Public Benefit Cost per American Worker (all major categories)</t>
  </si>
  <si>
    <t xml:space="preserve">total_benefit_per_amer = (PACOST_amer + (1 - medicaid_share_unauth) * PARAMETERS!AVG_MEDICAID_COST_PER_ENROLLEE * PARAMETERS!TOTAL_MEDICAID_ENROLL_AL + edu_cost_amer_est + (EITC_amer + ACTC_amer + AOTC_amer)) / EP_amer</t>
  </si>
  <si>
    <t xml:space="preserve">Combined major benefit cost per American worker</t>
  </si>
  <si>
    <t xml:space="preserve">Ratio of Total Public Benefit Cost per Worker: Unauthorized vs American</t>
  </si>
  <si>
    <t xml:space="preserve">total_benefit_ratio = total_benefit_per_unauth / total_benefit_per_amer</t>
  </si>
  <si>
    <t xml:space="preserve">How many times higher the average benefit cost is per unauthorized worker</t>
  </si>
  <si>
    <t xml:space="preserve">Estimated Net Fiscal Impact Including Child &amp; Health Costs: Unauthorized Households</t>
  </si>
  <si>
    <t xml:space="preserve">NFI_incl_child_health_unauth = NFI_unauth - (edu_cost_unauth_est + medicaid_cost_unauth_est)</t>
  </si>
  <si>
    <t xml:space="preserve">Adjusted net fiscal position including education and Medicaid costs</t>
  </si>
  <si>
    <t xml:space="preserve">Estimated Net Fiscal Impact Including Child &amp; Health Costs: American Households</t>
  </si>
  <si>
    <t xml:space="preserve">NFI_incl_child_health_amer = NFI_amer - (edu_cost_amer_est + (1 - medicaid_share_unauth) * PARAMETERS!AVG_MEDICAID_COST_PER_ENROLLEE * PARAMETERS!TOTAL_MEDICAID_ENROLL_AL)</t>
  </si>
  <si>
    <t xml:space="preserve">Adjusted net fiscal position for American households</t>
  </si>
  <si>
    <t xml:space="preserve">Ratio of Adjusted Net Fiscal Impact per Worker: American vs Unauthorized</t>
  </si>
  <si>
    <t xml:space="preserve">NFI_adj_ratio = (NFI_incl_child_health_amer / EP_amer) / (NFI_incl_child_health_unauth / EP_unauth)</t>
  </si>
  <si>
    <t xml:space="preserve">Relative adjusted fiscal position per worker</t>
  </si>
  <si>
    <t xml:space="preserve">Estimated Lifetime Fiscal Impact Including Education &amp; Health (simplified 30-year)</t>
  </si>
  <si>
    <t xml:space="preserve">lifetime_NFI_incl_child_unauth = NFI_incl_child_health_unauth * 30</t>
  </si>
  <si>
    <t xml:space="preserve">Highly simplified lifetime estimate</t>
  </si>
  <si>
    <t xml:space="preserve">lifetime_NFI_incl_child_amer = NFI_incl_child_health_amer * 30</t>
  </si>
  <si>
    <t xml:space="preserve">Highly simplified counterpart</t>
  </si>
  <si>
    <t xml:space="preserve">Ratio of Lifetime Adjusted Fiscal Impact: American vs Unauthorized</t>
  </si>
  <si>
    <t xml:space="preserve">lifetime_NFI_adj_ratio = lifetime_NFI_incl_child_amer / lifetime_NFI_incl_child_unauth</t>
  </si>
  <si>
    <t xml:space="preserve">Relative lifetime position</t>
  </si>
  <si>
    <t xml:space="preserve">Estimated Annual Fiscal Drain per Unauthorized Worker (if negative)</t>
  </si>
  <si>
    <t xml:space="preserve">fiscal_drain_per_unauth = IF(NFI_incl_child_health_unauth &lt; 0, ABS(NFI_incl_child_health_unauth) / EP_unauth, 0)</t>
  </si>
  <si>
    <t xml:space="preserve">Average annual net cost per unauthorized worker when position is negative</t>
  </si>
  <si>
    <t xml:space="preserve">Estimated Annual Fiscal Surplus per American Worker (if positive)</t>
  </si>
  <si>
    <t xml:space="preserve">fiscal_surplus_per_amer = IF(NFI_incl_child_health_amer &gt; 0, NFI_incl_child_health_amer / EP_amer, 0)</t>
  </si>
  <si>
    <t xml:space="preserve">Average annual net contribution per American worker when position is positive</t>
  </si>
  <si>
    <t xml:space="preserve">Estimated Annual Fiscal Surplus per American Worker (adjusted for children &amp; health)</t>
  </si>
  <si>
    <t xml:space="preserve">fiscal_surplus_adj_per_amer = IF(NFI_incl_child_health_amer &gt; 0, NFI_incl_child_health_amer / EP_amer, 0)</t>
  </si>
  <si>
    <t xml:space="preserve">Adjusted net contribution per American worker when position remains positive</t>
  </si>
  <si>
    <t xml:space="preserve">Estimated Annual Fiscal Drain per Unauthorized Worker (adjusted for children &amp; health)</t>
  </si>
  <si>
    <t xml:space="preserve">fiscal_drain_adj_per_unauth = IF(NFI_incl_child_health_unauth &lt; 0, ABS(NFI_incl_child_health_unauth) / EP_unauth, 0)</t>
  </si>
  <si>
    <t xml:space="preserve">Adjusted net cost per unauthorized worker when position is negative</t>
  </si>
  <si>
    <t xml:space="preserve">Ratio of Adjusted Fiscal Drain/Surplus per Worker: American vs Unauthorized</t>
  </si>
  <si>
    <t xml:space="preserve">fiscal_adj_ratio_surplus_drain = fiscal_surplus_adj_per_amer / fiscal_drain_adj_per_unauth</t>
  </si>
  <si>
    <t xml:space="preserve">Relative fiscal balance per worker (higher value = larger surplus advantage for Americans)</t>
  </si>
  <si>
    <t xml:space="preserve">Unauthorized Workers’ Share of Total Estimated K-12 Education Cost</t>
  </si>
  <si>
    <t xml:space="preserve">edu_cost_share_unauth = edu_cost_unauth_est / (edu_cost_unauth_est + edu_cost_amer_est)</t>
  </si>
  <si>
    <t xml:space="preserve">Percentage of statewide public education cost attributed to children of unauthorized workers</t>
  </si>
  <si>
    <t xml:space="preserve">American Workers’ Share of Total Estimated K-12 Education Cost</t>
  </si>
  <si>
    <t xml:space="preserve">edu_cost_share_amer = edu_cost_amer_est / (edu_cost_unauth_est + edu_cost_amer_est)</t>
  </si>
  <si>
    <t xml:space="preserve">Percentage of statewide public education cost attributed to children of American workers</t>
  </si>
  <si>
    <t xml:space="preserve">Ratio of Education Cost Burden per Worker: Unauthorized vs American</t>
  </si>
  <si>
    <t xml:space="preserve">edu_cost_burden_ratio = edu_cost_unauth_est / EP_unauth / (edu_cost_amer_est / EP_amer)</t>
  </si>
  <si>
    <t xml:space="preserve">Relative per-worker education cost burden</t>
  </si>
  <si>
    <t xml:space="preserve">Estimated Total Medicaid/CHIP Cost Share Attributable to Unauthorized Households</t>
  </si>
  <si>
    <t xml:space="preserve">medicaid_cost_share_unauth = medicaid_cost_unauth_est / (medicaid_cost_unauth_est + (1 - medicaid_share_unauth) * PARAMETERS!AVG_MEDICAID_COST_PER_ENROLLEE * PARAMETERS!TOTAL_MEDICAID_ENROLL_AL)</t>
  </si>
  <si>
    <t xml:space="preserve">Percentage of statewide Medicaid/CHIP cost linked to unauthorized-worker households</t>
  </si>
  <si>
    <t xml:space="preserve">Estimated Total Health &amp; Welfare Assistance Share Attributable to Unauthorized Households</t>
  </si>
  <si>
    <t xml:space="preserve">health_welfare_share_unauth = (medicaid_cost_unauth_est + PACOST_unauth * PARAMETERS!HEALTH_WELFARE_SHARE) / (health_assist_unauth + health_assist_amer)</t>
  </si>
  <si>
    <t xml:space="preserve">Combined health/welfare assistance share</t>
  </si>
  <si>
    <t xml:space="preserve">Ratio of Combined Health &amp; Welfare Cost per Worker: Unauthorized vs American</t>
  </si>
  <si>
    <t xml:space="preserve">health_welfare_cost_ratio = (health_assist_unauth / EP_unauth) / (health_assist_amer / EP_amer)</t>
  </si>
  <si>
    <t xml:space="preserve">Relative combined health/welfare burden per worker</t>
  </si>
  <si>
    <t xml:space="preserve">Estimated Total Public Benefit Cost Including Education &amp; Health (Unauthorized Households)</t>
  </si>
  <si>
    <t xml:space="preserve">total_public_benefit_unauth = PACOST_unauth + medicaid_cost_unauth_est + edu_cost_unauth_est</t>
  </si>
  <si>
    <t xml:space="preserve">Grand total estimated public benefit cost for unauthorized-worker households</t>
  </si>
  <si>
    <t xml:space="preserve">Estimated Total Public Benefit Cost Including Education &amp; Health (American Households)</t>
  </si>
  <si>
    <t xml:space="preserve">total_public_benefit_amer = PACOST_amer + (1 - medicaid_share_unauth) * PARAMETERS!AVG_MEDICAID_COST_PER_ENROLLEE * PARAMETERS!TOTAL_MEDICAID_ENROLL_AL + edu_cost_amer_est</t>
  </si>
  <si>
    <t xml:space="preserve">Grand total estimated public benefit cost for American-worker households</t>
  </si>
  <si>
    <t xml:space="preserve">Unauthorized Households’ Share of Total Estimated Public Benefit Cost</t>
  </si>
  <si>
    <t xml:space="preserve">total_benefit_share_unauth = total_public_benefit_unauth / (total_public_benefit_unauth + total_public_benefit_amer)</t>
  </si>
  <si>
    <t xml:space="preserve">Percentage of combined major public benefit costs linked to unauthorized-worker households</t>
  </si>
  <si>
    <t xml:space="preserve">Ratio of Total Public Benefit Cost per Worker (incl. education &amp; health): Unauthorized vs American</t>
  </si>
  <si>
    <t xml:space="preserve">total_benefit_incl_ratio = total_public_benefit_unauth / EP_unauth / (total_public_benefit_amer / EP_amer)</t>
  </si>
  <si>
    <t xml:space="preserve">Relative total benefit cost per worker (higher = greater burden per unauthorized worker)</t>
  </si>
  <si>
    <t xml:space="preserve">Net Fiscal Position After All Major Benefits (Unauthorized)</t>
  </si>
  <si>
    <t xml:space="preserve">NFI_after_all_benefits_unauth = NFI_unauth - total_public_benefit_unauth</t>
  </si>
  <si>
    <t xml:space="preserve">Adjusted net fiscal impact after subtracting estimated education, health, and welfare costs</t>
  </si>
  <si>
    <t xml:space="preserve">Net Fiscal Position After All Major Benefits (American)</t>
  </si>
  <si>
    <t xml:space="preserve">NFI_after_all_benefits_amer = NFI_amer - total_public_benefit_amer</t>
  </si>
  <si>
    <t xml:space="preserve">Adjusted net fiscal impact for American workers after subtracting major benefit costs</t>
  </si>
  <si>
    <t xml:space="preserve">Ratio of Net Fiscal Position After All Benefits per Worker: American vs Unauthorized</t>
  </si>
  <si>
    <t xml:space="preserve">NFI_after_benefits_ratio = (NFI_after_all_benefits_amer / EP_amer) / (NFI_after_all_benefits_unauth / EP_unauth)</t>
  </si>
  <si>
    <t xml:space="preserve">Estimated Lifetime Net Fiscal Position After All Benefits (Unauthorized, simplified 30yr)</t>
  </si>
  <si>
    <t xml:space="preserve">lifetime_NFI_after_benefits_unauth = NFI_after_all_benefits_unauth * 30</t>
  </si>
  <si>
    <t xml:space="preserve">Simplified lifetime estimate after major benefit costs</t>
  </si>
  <si>
    <t xml:space="preserve">Estimated Lifetime Net Fiscal Position After All Benefits (American, simplified 30yr)</t>
  </si>
  <si>
    <t xml:space="preserve">lifetime_NFI_after_benefits_amer = NFI_after_all_benefits_amer * 30</t>
  </si>
  <si>
    <t xml:space="preserve">Simplified lifetime counterpart</t>
  </si>
  <si>
    <t xml:space="preserve">Ratio of Lifetime Net Fiscal Position After All Benefits: American vs Unauthorized</t>
  </si>
  <si>
    <t xml:space="preserve">lifetime_NFI_after_ratio = lifetime_NFI_after_benefits_amer / lifetime_NFI_after_benefits_unauth</t>
  </si>
  <si>
    <t xml:space="preserve">Relative lifetime fiscal balance</t>
  </si>
  <si>
    <t xml:space="preserve">Estimated Total Fiscal Drain from Unauthorized Households (if negative)</t>
  </si>
  <si>
    <t xml:space="preserve">fiscal_drain_unauth_households = IF(NFI_after_all_benefits_unauth &lt; 0, ABS(NFI_after_all_benefits_unauth), 0)</t>
  </si>
  <si>
    <t xml:space="preserve">Total annual net cost for unauthorized-worker households when position negative</t>
  </si>
  <si>
    <t xml:space="preserve">Estimated Total Fiscal Surplus from American Households (if positive)</t>
  </si>
  <si>
    <t xml:space="preserve">fiscal_surplus_amer_households = IF(NFI_after_all_benefits_amer &gt; 0, NFI_after_all_benefits_amer, 0)</t>
  </si>
  <si>
    <t xml:space="preserve">Total annual net contribution for American-worker households when position positive</t>
  </si>
  <si>
    <t xml:space="preserve">Ratio of Household-Level Fiscal Balance: American vs Unauthorized</t>
  </si>
  <si>
    <t xml:space="preserve">fiscal_household_balance_ratio = fiscal_surplus_amer_households / fiscal_drain_unauth_households</t>
  </si>
  <si>
    <t xml:space="preserve">Relative household fiscal balance (higher value = larger advantage for American households)</t>
  </si>
  <si>
    <t xml:space="preserve">Unauthorized Households’ Share of Total Statewide Fiscal Deficit (if statewide negative)</t>
  </si>
  <si>
    <t xml:space="preserve">fiscal_deficit_share_unauth_house = IF(NFI_AL &lt; 0, fiscal_drain_unauth_households / ABS(NFI_AL), 0)</t>
  </si>
  <si>
    <t xml:space="preserve">Proportion of statewide deficit attributable to unauthorized-worker households</t>
  </si>
  <si>
    <t xml:space="preserve">American Households’ Share of Total Statewide Fiscal Surplus (if statewide positive)</t>
  </si>
  <si>
    <t xml:space="preserve">fiscal_surplus_share_amer_house = IF(NFI_AL &gt; 0, fiscal_surplus_amer_households / NFI_AL, 0)</t>
  </si>
  <si>
    <t xml:space="preserve">Proportion of statewide surplus attributable to American-worker households</t>
  </si>
  <si>
    <t xml:space="preserve">Estimated Total Tax Gap Including Potential Refund Overclaims (Unauthorized)</t>
  </si>
  <si>
    <t xml:space="preserve">total_tax_gap_unauth = TAX_gap_unauth_total + (TAX_REFUNDS_unauth * PARAMETERS!REFUND_OVERCLAIM_FACTOR)</t>
  </si>
  <si>
    <t xml:space="preserve">Expanded tax gap including possible inflated refund claims</t>
  </si>
  <si>
    <t xml:space="preserve">Total Tax Gap as % of All Federal Revenue from Alabama</t>
  </si>
  <si>
    <t xml:space="preserve">total_tax_gap_pct = total_tax_gap_unauth / FED_TAX_AL * 100</t>
  </si>
  <si>
    <t xml:space="preserve">Estimated combined tax gap as percentage of federal revenue from Alabama</t>
  </si>
  <si>
    <t xml:space="preserve">Estimated Revenue Gain if Unauthorized Compliance Matched Average Rate</t>
  </si>
  <si>
    <t xml:space="preserve">revenue_gain_full_compliance = total_tax_gap_unauth</t>
  </si>
  <si>
    <t xml:space="preserve">Additional federal revenue if unauthorized workers achieved average compliance</t>
  </si>
  <si>
    <t xml:space="preserve">Estimated Revenue Gain as % of Current Alabama Federal Tax Revenue</t>
  </si>
  <si>
    <t xml:space="preserve">revenue_gain_pct = revenue_gain_full_compliance / FED_TAX_AL * 100</t>
  </si>
  <si>
    <t xml:space="preserve">Relative size of potential revenue increase</t>
  </si>
  <si>
    <t xml:space="preserve">Unauthorized Workers’ Share of Total Workers in Occupations Requiring No High School Diploma</t>
  </si>
  <si>
    <t xml:space="preserve">unauth_share_no_hs = SUM(EP_unauth,i where ELR_i &lt; 12) / EP_unauth</t>
  </si>
  <si>
    <t xml:space="preserve">Concentration in lowest education requirement jobs</t>
  </si>
  <si>
    <t xml:space="preserve">American Workers’ Share of Total Workers in Occupations Requiring Bachelor’s or Higher</t>
  </si>
  <si>
    <t xml:space="preserve">amer_share_bachelors_plus = SUM(EP_amer,i where ELR_i &gt;= 16) / EP_amer</t>
  </si>
  <si>
    <t xml:space="preserve">Concentration in highest education requirement jobs</t>
  </si>
  <si>
    <t xml:space="preserve">Weighted Average Education Requirement Differential (American vs Unauthorized)</t>
  </si>
  <si>
    <t xml:space="preserve">ELR_diff_amer_vs_unauth = ELR_amer - ELR_unauth</t>
  </si>
  <si>
    <t xml:space="preserve">Average difference in years of education required</t>
  </si>
  <si>
    <t xml:space="preserve">Ratio of Average Education Requirement: American vs Unauthorized</t>
  </si>
  <si>
    <t xml:space="preserve">ELR_ratio_amer_unauth = ELR_amer / ELR_unauth</t>
  </si>
  <si>
    <t xml:space="preserve">Relative education level of jobs held</t>
  </si>
  <si>
    <t xml:space="preserve">Unauthorized Workers’ Share of Total Employment in Seasonal / High-Turnover Industries</t>
  </si>
  <si>
    <t xml:space="preserve">unauth_share_seasonal = SUM(EP_unauth,i where PARAMETERS!SEASONAL_INDICATOR_i = 1) / EP_unauth</t>
  </si>
  <si>
    <t xml:space="preserve">Concentration in industries with high seasonal or turnover characteristics</t>
  </si>
  <si>
    <t xml:space="preserve">American Workers’ Share of Total Employment in Stable / Government-Related Industries</t>
  </si>
  <si>
    <t xml:space="preserve">amer_share_stable_gov = SUM(EP_amer,i where PARAMETERS!STABLE_GOV_INDICATOR_i = 1) / EP_amer</t>
  </si>
  <si>
    <t xml:space="preserve">Concentration in stable or public-sector jobs</t>
  </si>
  <si>
    <t xml:space="preserve">Average Weekly Hours Worked Differential: American vs Unauthorized</t>
  </si>
  <si>
    <t xml:space="preserve">AWHW_diff_amer_unauth = AWHW_amer - AWHW_unauth</t>
  </si>
  <si>
    <t xml:space="preserve">Difference in average weekly hours worked</t>
  </si>
  <si>
    <t xml:space="preserve">Ratio of Average Weekly Hours Worked: Authorized vs Unauthorized</t>
  </si>
  <si>
    <t xml:space="preserve">AWHW_ratio_auth_unauth = AWHW_auth / AWHW_unauth</t>
  </si>
  <si>
    <t xml:space="preserve">Relative hours worked by authorized vs unauthorized</t>
  </si>
  <si>
    <t xml:space="preserve">Estimated Share of Unauthorized Workers Working Part-Time Involuntarily</t>
  </si>
  <si>
    <t xml:space="preserve">PTER_involuntary_unauth_est = PTER_unauth * PARAMETERS!INVOLUNTARY_PART_TIME_SHARE</t>
  </si>
  <si>
    <t xml:space="preserve">Simplified estimate of involuntary part-time share</t>
  </si>
  <si>
    <t xml:space="preserve">Estimated Share of American Workers Working Part-Time Involuntarily</t>
  </si>
  <si>
    <t xml:space="preserve">PTER_involuntary_amer_est = PTER_amer * PARAMETERS!INVOLUNTARY_PART_TIME_SHARE</t>
  </si>
  <si>
    <t xml:space="preserve">Ratio of Involuntary Part-Time Rate: Unauthorized vs American</t>
  </si>
  <si>
    <t xml:space="preserve">PTER_involuntary_ratio = PTER_involuntary_unauth_est / PTER_involuntary_amer_est</t>
  </si>
  <si>
    <t xml:space="preserve">Relative likelihood of involuntary part-time work</t>
  </si>
  <si>
    <t xml:space="preserve">Unauthorized Workers’ Share of Total Involuntary Part-Time Employment</t>
  </si>
  <si>
    <t xml:space="preserve">unauth_share_involuntary_pt = (PTER_involuntary_unauth_est * EP_unauth) / (PTER_involuntary_unauth_est * EP_unauth + PTER_involuntary_amer_est * EP_amer)</t>
  </si>
  <si>
    <t xml:space="preserve">Proportion of all involuntary part-time workers who are unauthorized</t>
  </si>
  <si>
    <t xml:space="preserve">American Workers’ Share of Total Involuntary Part-Time Employment</t>
  </si>
  <si>
    <t xml:space="preserve">amer_share_involuntary_pt = (PTER_involuntary_amer_est * EP_amer) / (PTER_involuntary_unauth_est * EP_unauth + PTER_involuntary_amer_est * EP_amer)</t>
  </si>
  <si>
    <t xml:space="preserve">Proportion of all involuntary part-time workers who are American</t>
  </si>
  <si>
    <t xml:space="preserve">Weighted Average Job Turnover Rate Differential</t>
  </si>
  <si>
    <t xml:space="preserve">TR_diff_amer_unauth = TR_amer - TR_unauth</t>
  </si>
  <si>
    <t xml:space="preserve">Difference in average turnover rate</t>
  </si>
  <si>
    <t xml:space="preserve">Ratio of Average Job Turnover Rate: Unauthorized vs American</t>
  </si>
  <si>
    <t xml:space="preserve">TR_ratio_unauth_amer = TR_unauth / TR_amer</t>
  </si>
  <si>
    <t xml:space="preserve">Relative job instability (higher = more turnover among unauthorized)</t>
  </si>
  <si>
    <t xml:space="preserve">Unauthorized Workers’ Share of Total Employment in High-Turnover Occupations</t>
  </si>
  <si>
    <t xml:space="preserve">unauth_share_high_turnover_occ = SUM(EP_unauth,i where TR_i &gt; PARAMETERS!HIGH_TURNOVER_THRESHOLD) / EP_unauth</t>
  </si>
  <si>
    <t xml:space="preserve">Concentration in very high-turnover jobs</t>
  </si>
  <si>
    <t xml:space="preserve">American Workers’ Share of Total Employment in Low-Turnover Occupations</t>
  </si>
  <si>
    <t xml:space="preserve">amer_share_low_turnover_occ = SUM(EP_amer,i where TR_i &lt; PARAMETERS!LOW_TURNOVER_THRESHOLD) / EP_amer</t>
  </si>
  <si>
    <t xml:space="preserve">Concentration in very stable jobs</t>
  </si>
  <si>
    <t xml:space="preserve">Estimated Average Length of Unemployment Spell for Unauthorized Workers (months)</t>
  </si>
  <si>
    <t xml:space="preserve">unemp_spell_unauth_est = U3R_unauth * PARAMETERS!AVG_UNEMP_DURATION_FACTOR</t>
  </si>
  <si>
    <t xml:space="preserve">Simplified estimate of unemployment duration</t>
  </si>
  <si>
    <t xml:space="preserve">Estimated Average Length of Unemployment Spell for American Workers (months)</t>
  </si>
  <si>
    <t xml:space="preserve">unemp_spell_amer_est = U3R_amer * PARAMETERS!AVG_UNEMP_DURATION_FACTOR</t>
  </si>
  <si>
    <t xml:space="preserve">Simplified counterpart</t>
  </si>
  <si>
    <t xml:space="preserve">Ratio of Average Unemployment Spell Length: Unauthorized vs American</t>
  </si>
  <si>
    <t xml:space="preserve">unemp_spell_ratio = unemp_spell_unauth_est / unemp_spell_amer_est</t>
  </si>
  <si>
    <t xml:space="preserve">Relative duration of unemployment spells</t>
  </si>
  <si>
    <t xml:space="preserve">Unauthorized Workers’ Share of Total Long-Term Unemployed (simplified)</t>
  </si>
  <si>
    <t xml:space="preserve">long_term_unemp_share_unauth = (U3R_unauth * EP_unauth * PARAMETERS!LONG_TERM_UNEMP_SHARE) / (U3R_AL * LFP_AL * PARAMETERS!LONG_TERM_UNEMP_SHARE)</t>
  </si>
  <si>
    <t xml:space="preserve">Estimated share of long-term unemployed who are unauthorized</t>
  </si>
  <si>
    <t xml:space="preserve">American Workers’ Share of Total Long-Term Unemployed (simplified)</t>
  </si>
  <si>
    <t xml:space="preserve">long_term_unemp_share_amer = 1 - long_term_unemp_share_unauth</t>
  </si>
  <si>
    <t xml:space="preserve">Estimated share of long-term unemployed who are American</t>
  </si>
  <si>
    <t xml:space="preserve">Estimated Total Long-Term Unemployment Cost Attributable to Unauthorized Workers</t>
  </si>
  <si>
    <t xml:space="preserve">long_term_unemp_cost_unauth = long_term_unemp_share_unauth * PARAMETERS!TOTAL_UI_BENEFITS_AL * PARAMETERS!LONG_TERM_UI_SHARE</t>
  </si>
  <si>
    <t xml:space="preserve">Simplified estimate of unemployment insurance costs for long-term unemployed unauthorized workers</t>
  </si>
  <si>
    <t xml:space="preserve">Estimated Total Long-Term Unemployment Cost Attributable to American Workers</t>
  </si>
  <si>
    <t xml:space="preserve">long_term_unemp_cost_amer = (1 - long_term_unemp_share_unauth) * PARAMETERS!TOTAL_UI_BENEFITS_AL * PARAMETERS!LONG_TERM_UI_SHARE</t>
  </si>
  <si>
    <t xml:space="preserve">Ratio of Long-Term Unemployment Cost per Worker: Unauthorized vs American</t>
  </si>
  <si>
    <t xml:space="preserve">long_term_unemp_cost_ratio = long_term_unemp_cost_unauth / EP_unauth / (long_term_unemp_cost_amer / EP_amer)</t>
  </si>
  <si>
    <t xml:space="preserve">Relative UI cost burden from long-term unemployment</t>
  </si>
  <si>
    <t xml:space="preserve">Unauthorized Workers’ Share of Total Underemployment (U6) Population</t>
  </si>
  <si>
    <t xml:space="preserve">underemp_share_unauth = (U6R_unauth * LFP_unauth) / (U6R_AL * LFP_AL)</t>
  </si>
  <si>
    <t xml:space="preserve">Proportion of all underemployed persons who are unauthorized</t>
  </si>
  <si>
    <t xml:space="preserve">American Workers’ Share of Total Underemployment Population</t>
  </si>
  <si>
    <t xml:space="preserve">underemp_share_amer = 1 - underemp_share_unauth</t>
  </si>
  <si>
    <t xml:space="preserve">Proportion of all underemployed persons who are American</t>
  </si>
  <si>
    <t xml:space="preserve">Estimated Economic Loss from Underemployment (Unauthorized)</t>
  </si>
  <si>
    <t xml:space="preserve">econ_loss_underemp_unauth = underemp_share_unauth * PARAMETERS!TOTAL_UNDEREMP_LOSS_AL</t>
  </si>
  <si>
    <t xml:space="preserve">Simplified estimate of lost productivity/wages due to underemployment</t>
  </si>
  <si>
    <t xml:space="preserve">Estimated Economic Loss from Underemployment (American)</t>
  </si>
  <si>
    <t xml:space="preserve">econ_loss_underemp_amer = (1 - underemp_share_unauth) * PARAMETERS!TOTAL_UNDEREMP_LOSS_AL</t>
  </si>
  <si>
    <t xml:space="preserve">Ratio of Underemployment Economic Loss per Worker: Unauthorized vs American</t>
  </si>
  <si>
    <t xml:space="preserve">underemp_loss_ratio = econ_loss_underemp_unauth / EP_unauth / (econ_loss_underemp_amer / EP_amer)</t>
  </si>
  <si>
    <t xml:space="preserve">Relative productivity loss per worker due to underemployment</t>
  </si>
  <si>
    <t xml:space="preserve">Weighted Average Labor Force Participation Rate Differential</t>
  </si>
  <si>
    <t xml:space="preserve">LFPR_diff_amer_unauth = LFPR_amer - LFPR_unauth</t>
  </si>
  <si>
    <t xml:space="preserve">Percentage point difference in overall LFPR</t>
  </si>
  <si>
    <t xml:space="preserve">Ratio of Labor Force Participation Rate: American vs Unauthorized</t>
  </si>
  <si>
    <t xml:space="preserve">LFPR_ratio_amer_unauth = LFPR_amer / LFPR_unauth</t>
  </si>
  <si>
    <t xml:space="preserve">Relative participation rate</t>
  </si>
  <si>
    <t xml:space="preserve">Estimated Discouraged Worker Share Among Unauthorized</t>
  </si>
  <si>
    <t xml:space="preserve">discouraged_share_unauth = PARAMETERS!DISCOURAGED_RATE_UNAUTH * (1 - LFPR_unauth) * LFP_unauth / PARAMETERS!TOTAL_DISCOURAGED_AL</t>
  </si>
  <si>
    <t xml:space="preserve">Simplified estimate of discouraged workers from unauthorized population</t>
  </si>
  <si>
    <t xml:space="preserve">Estimated Discouraged Worker Share Among American</t>
  </si>
  <si>
    <t xml:space="preserve">discouraged_share_amer = 1 - discouraged_share_unauth</t>
  </si>
  <si>
    <t xml:space="preserve">Remaining discouraged workers assumed American</t>
  </si>
  <si>
    <t xml:space="preserve">Ratio of Discouraged Worker Rate: Unauthorized vs American</t>
  </si>
  <si>
    <t xml:space="preserve">discouraged_ratio = discouraged_share_unauth / EP_unauth / (discouraged_share_amer / EP_amer)</t>
  </si>
  <si>
    <t xml:space="preserve">Relative likelihood of being discouraged from job search</t>
  </si>
  <si>
    <t xml:space="preserve">Unauthorized Workers’ Share of Total Non-Participating Working-Age Population</t>
  </si>
  <si>
    <t xml:space="preserve">non_part_share_unauth = (1 - LFPR_unauth) * LFP_unauth / ((1 - LFPR_AL) * PARAMETERS!WORKING_AGE_POP_AL)</t>
  </si>
  <si>
    <t xml:space="preserve">Share of non-participants attributable to unauthorized</t>
  </si>
  <si>
    <t xml:space="preserve">American Workers’ Share of Total Non-Participating Working-Age Population</t>
  </si>
  <si>
    <t xml:space="preserve">non_part_share_amer = 1 - non_part_share_unauth</t>
  </si>
  <si>
    <t xml:space="preserve">Remaining share assumed American</t>
  </si>
  <si>
    <t xml:space="preserve">Estimated Opportunity Cost of Non-Participation (Unauthorized)</t>
  </si>
  <si>
    <t xml:space="preserve">opp_cost_non_part_unauth = non_part_share_unauth * PARAMETERS!TOTAL_NON_PART_OPP_COST_AL</t>
  </si>
  <si>
    <t xml:space="preserve">Simplified lost earnings estimate from non-participation</t>
  </si>
  <si>
    <t xml:space="preserve">Estimated Opportunity Cost of Non-Participation (American)</t>
  </si>
  <si>
    <t xml:space="preserve">opp_cost_non_part_amer = (1 - non_part_share_unauth) * PARAMETERS!TOTAL_NON_PART_OPP_COST_AL</t>
  </si>
  <si>
    <t xml:space="preserve">Ratio of Non-Participation Opportunity Cost per Worker: Unauthorized vs American</t>
  </si>
  <si>
    <t xml:space="preserve">non_part_opp_ratio = opp_cost_non_part_unauth / EP_unauth / (opp_cost_non_part_amer / EP_amer)</t>
  </si>
  <si>
    <t xml:space="preserve">Relative lost economic output per worker</t>
  </si>
  <si>
    <t xml:space="preserve">Total Estimated Economic Drag from Unauthorized Labor Force Characteristics</t>
  </si>
  <si>
    <t xml:space="preserve">econ_drag_unauth = econ_loss_underemp_unauth + opp_cost_non_part_unauth + long_term_unemp_cost_unauth</t>
  </si>
  <si>
    <t xml:space="preserve">Combined estimate of underemployment, non-participation, and long-term unemployment losses</t>
  </si>
  <si>
    <t xml:space="preserve">Total Estimated Economic Contribution from American Labor Force Characteristics</t>
  </si>
  <si>
    <t xml:space="preserve">econ_contrib_amer = PARAMETERS!TOTAL_GDP_CONTRIB_LABOR_AL - econ_drag_unauth</t>
  </si>
  <si>
    <t xml:space="preserve">Remaining labor-related economic contribution assumed from American workers</t>
  </si>
  <si>
    <t xml:space="preserve">Ratio of Economic Drag vs Contribution per Worker</t>
  </si>
  <si>
    <t xml:space="preserve">econ_drag_contrib_ratio = (econ_drag_unauth / EP_unauth) / (econ_contrib_amer / EP_amer)</t>
  </si>
  <si>
    <t xml:space="preserve">Relative economic impact per worker</t>
  </si>
  <si>
    <t xml:space="preserve">Validation Check: Total Nonfarm Payroll Reconciliation</t>
  </si>
  <si>
    <t xml:space="preserve">payroll_recon = SUM(T_i)</t>
  </si>
  <si>
    <t xml:space="preserve">Should ≈ PARAMETERS!TOTAL_NONFARM_AL (BLS CES Dec 2025)</t>
  </si>
  <si>
    <t xml:space="preserve">Validation Check: Statewide Labor Force Population Reconciliation</t>
  </si>
  <si>
    <t xml:space="preserve">lfp_recon = SUM(LFP_i)</t>
  </si>
  <si>
    <t xml:space="preserve">Should ≈ BLS LAUS labor force estimate for Alabama</t>
  </si>
  <si>
    <t xml:space="preserve">Validation Check: Statewide Employed Population Reconciliation</t>
  </si>
  <si>
    <t xml:space="preserve">ep_recon = SUM(EP_i)</t>
  </si>
  <si>
    <t xml:space="preserve">Should ≈ BLS LAUS employed estimate</t>
  </si>
  <si>
    <t xml:space="preserve">Validation Check: Statewide Unemployment Rate Reconciliation</t>
  </si>
  <si>
    <t xml:space="preserve">u3r_recon = 1 - (ep_recon / lfp_recon)</t>
  </si>
  <si>
    <t xml:space="preserve">Should ≈ PARAMETERS!STATE_UNEMPLOYMENT_RATE</t>
  </si>
  <si>
    <t xml:space="preserve">Validation Check: Total Federal Income Tax Revenue Reconciliation</t>
  </si>
  <si>
    <t xml:space="preserve">fpit_recon = SUM(FPIT_i)</t>
  </si>
  <si>
    <t xml:space="preserve">Should ≈ PARAMETERS!FED_PERSONAL_INCOME_TAX_AL (IRS SOI est)</t>
  </si>
  <si>
    <t xml:space="preserve">Validation Check: Total Payroll Tax Revenue Reconciliation</t>
  </si>
  <si>
    <t xml:space="preserve">fppt_recon = SUM(FPPT_i)</t>
  </si>
  <si>
    <t xml:space="preserve">Should ≈ PARAMETERS!FED_PAYROLL_TAX_AL</t>
  </si>
  <si>
    <t xml:space="preserve">Validation Check: Total EITC Refunds Reconciliation</t>
  </si>
  <si>
    <t xml:space="preserve">eitc_recon = SUM(EITC_i)</t>
  </si>
  <si>
    <t xml:space="preserve">Should ≈ PARAMETERS!EITC_TOTAL_REFUND_AL</t>
  </si>
  <si>
    <t xml:space="preserve">Validation Check: Total ACTC Refunds Reconciliation</t>
  </si>
  <si>
    <t xml:space="preserve">actc_recon = SUM(ACTC_i)</t>
  </si>
  <si>
    <t xml:space="preserve">Should ≈ PARAMETERS!ACTC_TOTAL_REFUND_AL</t>
  </si>
  <si>
    <t xml:space="preserve">Validation Check: Total AOTC Refunds Reconciliation</t>
  </si>
  <si>
    <t xml:space="preserve">aotc_recon = SUM(AOTC_i)</t>
  </si>
  <si>
    <t xml:space="preserve">Should ≈ PARAMETERS!AOTC_TOTAL_REFUND_AL</t>
  </si>
  <si>
    <t xml:space="preserve">Validation Check: Statewide Average Wage Reconciliation</t>
  </si>
  <si>
    <t xml:space="preserve">wavg_recon = SUM(WAVG_i * EP_i) / SUM(EP_i)</t>
  </si>
  <si>
    <t xml:space="preserve">Should ≈ PARAMETERS!AVG_WAGE_AL (BLS OEWS)</t>
  </si>
  <si>
    <t xml:space="preserve">Validation Check: Statewide Average Annual Income Reconciliation</t>
  </si>
  <si>
    <t xml:space="preserve">aiavg_recon = SUM(AIAVG_i * EP_i) / SUM(EP_i)</t>
  </si>
  <si>
    <t xml:space="preserve">Should ≈ PARAMETERS!AVG_ANNUAL_INCOME_AL</t>
  </si>
  <si>
    <t xml:space="preserve">Validation Check: Statewide Average Weekly Hours Reconciliation</t>
  </si>
  <si>
    <t xml:space="preserve">awhw_recon = SUM(AWHW_i * EP_i) / SUM(EP_i)</t>
  </si>
  <si>
    <t xml:space="preserve">Should ≈ PARAMETERS!AVG_WEEKLY_HOURS_AL</t>
  </si>
  <si>
    <t xml:space="preserve">Validation Check: Total Unauthorized Employment Estimate</t>
  </si>
  <si>
    <t xml:space="preserve">unauth_emp_check = SUM(U_i)</t>
  </si>
  <si>
    <t xml:space="preserve">Should ≈ MPI/Pew unauthorized employment estimate for Alabama</t>
  </si>
  <si>
    <t xml:space="preserve">Validation Check: Total Authorized Immigrant Employment Estimate</t>
  </si>
  <si>
    <t xml:space="preserve">auth_emp_check = SUM(V_i)</t>
  </si>
  <si>
    <t xml:space="preserve">Should ≈ DHS/USCIS authorized immigrant employment estimate</t>
  </si>
  <si>
    <t xml:space="preserve">Validation Check: Total American Employment Estimate</t>
  </si>
  <si>
    <t xml:space="preserve">amer_emp_check = SUM(A_i)</t>
  </si>
  <si>
    <t xml:space="preserve">Should ≈ total employment minus immigrant estimates</t>
  </si>
  <si>
    <t xml:space="preserve">Validation Check: Sum of Group Shares Within Industry</t>
  </si>
  <si>
    <t xml:space="preserve">share_check_i = A_share_i + V_share_i + U_share_i</t>
  </si>
  <si>
    <t xml:space="preserve">For each industry i, should = 1.0</t>
  </si>
  <si>
    <t xml:space="preserve">Validation Check: Statewide Group Employment Shares</t>
  </si>
  <si>
    <t xml:space="preserve">state_share_check = (EP_amer + EP_auth + EP_unauth) / EP_AL</t>
  </si>
  <si>
    <t xml:space="preserve">Should = 1.0</t>
  </si>
  <si>
    <t xml:space="preserve">Validation Check: Net Fiscal Impact Balance</t>
  </si>
  <si>
    <t xml:space="preserve">nfi_balance_check = NFI_amer + NFI_auth + NFI_unauth</t>
  </si>
  <si>
    <t xml:space="preserve">Should = NFI_AL</t>
  </si>
  <si>
    <t xml:space="preserve">Validation Check: Total Public Assistance Cost Reconciliation</t>
  </si>
  <si>
    <t xml:space="preserve">pacost_recon = SUM(PACOST_i)</t>
  </si>
  <si>
    <t xml:space="preserve">Should ≈ PARAMETERS!PUBLIC_ASSISTANCE_COST_AL</t>
  </si>
  <si>
    <t xml:space="preserve">Scenario: Fiscal Impact if Unauthorized Employment Reduced by 50%</t>
  </si>
  <si>
    <t xml:space="preserve">scenario_unauth_50pct = NFI_AL - (NFI_unauth * 0.5)</t>
  </si>
  <si>
    <t xml:space="preserve">Estimated statewide NFI if unauthorized employment halved</t>
  </si>
  <si>
    <t xml:space="preserve">Scenario: Fiscal Impact if Unauthorized Compliance Increased to 100%</t>
  </si>
  <si>
    <t xml:space="preserve">scenario_full_compliance = NFI_AL + total_tax_gap_unauth</t>
  </si>
  <si>
    <t xml:space="preserve">Estimated NFI with full tax compliance among unauthorized</t>
  </si>
  <si>
    <t xml:space="preserve">Scenario: Fiscal Impact if All Unauthorized Workers Replaced by American Workers</t>
  </si>
  <si>
    <t xml:space="preserve">scenario_replacement_amer = NFI_AL - NFI_unauth + (NFI_amer / EP_amer * EP_unauth)</t>
  </si>
  <si>
    <t xml:space="preserve">Simplified replacement assuming average American fiscal profile</t>
  </si>
  <si>
    <t xml:space="preserve">Scenario: Revenue Gain from Increased EITC/ACTC Enforcement (reduce unauthorized by 50%)</t>
  </si>
  <si>
    <t xml:space="preserve">scenario_credit_enforce_50pct = TAX_REFUNDS_unauth * 0.5</t>
  </si>
  <si>
    <t xml:space="preserve">Estimated savings from halving unauthorized refundable credits</t>
  </si>
  <si>
    <t xml:space="preserve">Scenario: Cost Increase if Unauthorized Workers Gained Full Benefit Eligibility</t>
  </si>
  <si>
    <t xml:space="preserve">scenario_full_benefits = NFI_AL - (total_public_benefit_unauth * PARAMETERS!ADDITIONAL_BENEFIT_FACTOR)</t>
  </si>
  <si>
    <t xml:space="preserve">Simplified additional cost if currently restricted benefits granted</t>
  </si>
  <si>
    <t xml:space="preserve">Sensitivity: NFI Change with +10% Wage Growth for Unauthorized</t>
  </si>
  <si>
    <t xml:space="preserve">sens_wage_up_10pct_unauth = (NFI_unauth * 0.1) * (PARAMETERS!WAGE_TAX_ELASTICITY - PARAMETERS!WAGE_BENEFIT_ELASTICITY)</t>
  </si>
  <si>
    <t xml:space="preserve">Approximate NFI delta from wage increase</t>
  </si>
  <si>
    <t xml:space="preserve">Sensitivity: NFI Change with -10% Public Assistance Cost for Unauthorized</t>
  </si>
  <si>
    <t xml:space="preserve">sens_pa_down_10pct = total_public_benefit_unauth * 0.1</t>
  </si>
  <si>
    <t xml:space="preserve">Approximate savings from reduced assistance costs</t>
  </si>
  <si>
    <t xml:space="preserve">Sensitivity: Overall NFI Elasticity to Unauthorized Employment Change</t>
  </si>
  <si>
    <t xml:space="preserve">nfi_elasticity_unauth = (NFI_unauth / EP_unauth) / (NFI_AL / EP_AL)</t>
  </si>
  <si>
    <t xml:space="preserve">Relative sensitivity of statewide NFI to unauthorized worker impact</t>
  </si>
  <si>
    <t xml:space="preserve">Break-Even Analysis: Unauthorized Wage Level for Net Zero Fiscal Impact</t>
  </si>
  <si>
    <t xml:space="preserve">break_even_wage_unauth = AIAVG_unauth * (1 + (ABS(NFI_unauth) / (FPIT_unauth + FPPT_unauth + SLTR_unauth)))</t>
  </si>
  <si>
    <t xml:space="preserve">Approximate wage needed for unauthorized group to reach fiscal break-even</t>
  </si>
  <si>
    <t xml:space="preserve">Break-Even Analysis: Compliance Rate Needed for Net Zero Fiscal Impact</t>
  </si>
  <si>
    <t xml:space="preserve">break_even_compliance_unauth = 1 + (NFI_unauth / total_tax_gap_unauth)</t>
  </si>
  <si>
    <t xml:space="preserve">Approximate compliance rate needed for fiscal break-even</t>
  </si>
  <si>
    <t xml:space="preserve">Break-Even Analysis: Unauthorized LFPR Needed for Net Zero Fiscal Impact</t>
  </si>
  <si>
    <t xml:space="preserve">break_even_lfpr_unauth = LFPR_unauth * (1 + (ABS(NFI_unauth) / (NFI_unauth / LFPR_unauth)))</t>
  </si>
  <si>
    <t xml:space="preserve">Approximate LFPR level needed for fiscal break-even</t>
  </si>
  <si>
    <t xml:space="preserve">Break-Even Analysis: Unauthorized ETPR Needed for Net Zero Fiscal Impact</t>
  </si>
  <si>
    <t xml:space="preserve">break_even_etpr_unauth = ETPR_unauth * (1 + (ABS(NFI_unauth) / (NFI_unauth / ETPR_unauth)))</t>
  </si>
  <si>
    <t xml:space="preserve">Approximate employment-to-population ratio needed for fiscal break-even</t>
  </si>
  <si>
    <t xml:space="preserve">Scenario: Impact of 25% Increase in Unauthorized Wages on Statewide NFI</t>
  </si>
  <si>
    <t xml:space="preserve">scenario_wage_25pct_up = NFI_AL + (NFI_unauth * 0.25 * PARAMETERS!WAGE_FISCAL_ELASTICITY)</t>
  </si>
  <si>
    <t xml:space="preserve">Estimated change in statewide net fiscal impact</t>
  </si>
  <si>
    <t xml:space="preserve">Scenario: Impact of 25% Decrease in Unauthorized Public Assistance Eligibility</t>
  </si>
  <si>
    <t xml:space="preserve">scenario_pa_25pct_down = NFI_AL + (total_public_benefit_unauth * 0.25)</t>
  </si>
  <si>
    <t xml:space="preserve">Estimated fiscal gain from reducing assistance access</t>
  </si>
  <si>
    <t xml:space="preserve">Scenario: Fiscal Impact if All Unauthorized Workers Were Authorized Immigrants</t>
  </si>
  <si>
    <t xml:space="preserve">scenario_all_auth = NFI_AL - NFI_unauth + (NFI_auth / EP_auth * EP_unauth)</t>
  </si>
  <si>
    <t xml:space="preserve">Simplified shift assuming unauthorized profile replaced with authorized immigrant profile</t>
  </si>
  <si>
    <t xml:space="preserve">Scenario: Fiscal Impact if Unauthorized Workers Matched American Wage &amp; Benefit Profile</t>
  </si>
  <si>
    <t xml:space="preserve">scenario_match_amer_profile = NFI_AL - NFI_unauth + (NFI_amer / EP_amer * EP_unauth)</t>
  </si>
  <si>
    <t xml:space="preserve">Simplified full assimilation to American fiscal profile</t>
  </si>
  <si>
    <t xml:space="preserve">Scenario: Revenue Loss if 20% of American Workers Reduced Participation</t>
  </si>
  <si>
    <t xml:space="preserve">scenario_amer_part_down_20pct = NFI_AL - (NFI_amer * 0.20)</t>
  </si>
  <si>
    <t xml:space="preserve">Estimated impact of declining American labor force participation</t>
  </si>
  <si>
    <t xml:space="preserve">Scenario: Fiscal Impact of Increased Enforcement Reducing Unauthorized Employment by 75%</t>
  </si>
  <si>
    <t xml:space="preserve">scenario_enforce_75pct = NFI_AL - (NFI_unauth * 0.75)</t>
  </si>
  <si>
    <t xml:space="preserve">Estimated statewide NFI change under strong enforcement scenario</t>
  </si>
  <si>
    <t xml:space="preserve">Scenario: Fiscal Impact if EITC/ACTC Eligibility Restricted for Unauthorized</t>
  </si>
  <si>
    <t xml:space="preserve">scenario_credit_restrict = NFI_AL + TAX_REFUNDS_unauth</t>
  </si>
  <si>
    <t xml:space="preserve">Estimated gain from removing unauthorized access to major refundable credits</t>
  </si>
  <si>
    <t xml:space="preserve">Sensitivity: NFI Change per 1% Increase in Unauthorized Population</t>
  </si>
  <si>
    <t xml:space="preserve">sens_nfi_per_pct_unauth = NFI_unauth / EP_unauth</t>
  </si>
  <si>
    <t xml:space="preserve">Average marginal fiscal impact per additional unauthorized worker</t>
  </si>
  <si>
    <t xml:space="preserve">Sensitivity: NFI Change per 1% Increase in American Population</t>
  </si>
  <si>
    <t xml:space="preserve">sens_nfi_per_pct_amer = NFI_amer / EP_amer</t>
  </si>
  <si>
    <t xml:space="preserve">Average marginal fiscal impact per additional American worker</t>
  </si>
  <si>
    <t xml:space="preserve">Sensitivity: Statewide NFI Elasticity to Changes in Unauthorized Wage Growth</t>
  </si>
  <si>
    <t xml:space="preserve">elasticity_wage_unauth = (NFI_unauth * PARAMETERS!WAGE_TAX_ELASTICITY) / NFI_AL</t>
  </si>
  <si>
    <t xml:space="preserve">Relative sensitivity of total NFI to unauthorized wage changes</t>
  </si>
  <si>
    <t xml:space="preserve">Sensitivity: Statewide NFI Elasticity to Changes in Unauthorized Benefit Access</t>
  </si>
  <si>
    <t xml:space="preserve">elasticity_benefit_unauth = (total_public_benefit_unauth * PARAMETERS!BENEFIT_ELASTICITY) / NFI_AL</t>
  </si>
  <si>
    <t xml:space="preserve">Relative sensitivity of total NFI to changes in benefit costs for unauthorized</t>
  </si>
  <si>
    <t xml:space="preserve">Weighted Average Wage Percentile Gap: American vs Unauthorized (90th percentile)</t>
  </si>
  <si>
    <t xml:space="preserve">wage_90th_gap = PARAMETERS!WAGE_90TH_AMER - PARAMETERS!WAGE_90TH_UNAUTH</t>
  </si>
  <si>
    <t xml:space="preserve">Estimated difference at the 90th percentile of the wage distribution</t>
  </si>
  <si>
    <t xml:space="preserve">Weighted Average Annual Income Percentile Gap: American vs Unauthorized (50th percentile)</t>
  </si>
  <si>
    <t xml:space="preserve">aiavg_median_gap = PARAMETERS!MEDIAN_AIAVG_AMER - PARAMETERS!MEDIAN_AIAVG_UNAUTH</t>
  </si>
  <si>
    <t xml:space="preserve">Estimated median income gap</t>
  </si>
  <si>
    <t xml:space="preserve">Estimated Gini Coefficient Differential (simplified)</t>
  </si>
  <si>
    <t xml:space="preserve">gini_diff_approx = PARAMETERS!GINI_AMER - PARAMETERS!GINI_UNAUTH</t>
  </si>
  <si>
    <t xml:space="preserve">Approximate difference in income inequality within groups</t>
  </si>
  <si>
    <t xml:space="preserve">Estimated Share of Total Income Earned by Top 10% of American Workers</t>
  </si>
  <si>
    <t xml:space="preserve">top10pct_income_share_amer = PARAMETERS!TOP10PCT_INCOME_SHARE_AMER</t>
  </si>
  <si>
    <t xml:space="preserve">Share of total American income held by top decile</t>
  </si>
  <si>
    <t xml:space="preserve">Estimated Share of Total Income Earned by Bottom 20% of Unauthorized Workers</t>
  </si>
  <si>
    <t xml:space="preserve">bottom20pct_income_share_unauth = PARAMETERS!BOTTOM20PCT_INCOME_SHARE_UNAUTH</t>
  </si>
  <si>
    <t xml:space="preserve">Share of total unauthorized income held by bottom quintile</t>
  </si>
  <si>
    <t xml:space="preserve">Ratio of Income Concentration: Top 10% American vs Bottom 20% Unauthorized</t>
  </si>
  <si>
    <t xml:space="preserve">top_bottom_ratio = top10pct_income_share_amer / bottom20pct_income_share_unauth</t>
  </si>
  <si>
    <t xml:space="preserve">Relative income concentration comparison</t>
  </si>
  <si>
    <t xml:space="preserve">Estimated Poverty Rate Differential: Unauthorized vs American</t>
  </si>
  <si>
    <t xml:space="preserve">poverty_rate_diff = PARAMETERS!POVERTY_RATE_UNAUTH - PARAMETERS!POVERTY_RATE_AMER</t>
  </si>
  <si>
    <t xml:space="preserve">Percentage point difference in estimated poverty rates</t>
  </si>
  <si>
    <t xml:space="preserve">Unauthorized Workers’ Share of Total Workers Below Federal Poverty Line</t>
  </si>
  <si>
    <t xml:space="preserve">poverty_share_unauth = (EP_unauth * PARAMETERS!POVERTY_RATE_UNAUTH) / (EP_AL * PARAMETERS!POVERTY_RATE_AL)</t>
  </si>
  <si>
    <t xml:space="preserve">Proportion of all workers in poverty who are unauthorized</t>
  </si>
  <si>
    <t xml:space="preserve">American Workers’ Share of Total Workers Below Federal Poverty Line</t>
  </si>
  <si>
    <t xml:space="preserve">poverty_share_amer = 1 - poverty_share_unauth</t>
  </si>
  <si>
    <t xml:space="preserve">Proportion of all workers in poverty who are American</t>
  </si>
  <si>
    <t xml:space="preserve">Ratio of Poverty Rate per Worker: Unauthorized vs American</t>
  </si>
  <si>
    <t xml:space="preserve">poverty_rate_ratio = PARAMETERS!POVERTY_RATE_UNAUTH / PARAMETERS!POVERTY_RATE_AMER</t>
  </si>
  <si>
    <t xml:space="preserve">Relative likelihood of being in poverty</t>
  </si>
  <si>
    <t xml:space="preserve">Estimated Child Poverty Rate Attributable to Unauthorized Households</t>
  </si>
  <si>
    <t xml:space="preserve">child_poverty_share_unauth = PARAMETERS!CHILD_POVERTY_RATE_UNAUTH_HH * (EP_unauth * PARAMETERS!AVG_CHILDREN_PER_WORKER_UNAUTH) / PARAMETERS!TOTAL_CHILDREN_AL</t>
  </si>
  <si>
    <t xml:space="preserve">Simplified share of child poverty linked to unauthorized households</t>
  </si>
  <si>
    <t xml:space="preserve">Estimated Child Poverty Rate Attributable to American Households</t>
  </si>
  <si>
    <t xml:space="preserve">child_poverty_share_amer = 1 - child_poverty_share_unauth</t>
  </si>
  <si>
    <t xml:space="preserve">Remaining share assumed American households</t>
  </si>
  <si>
    <t xml:space="preserve">Ratio of Child Poverty Contribution per Worker: Unauthorized vs American</t>
  </si>
  <si>
    <t xml:space="preserve">child_poverty_ratio = child_poverty_share_unauth / EP_unauth / (child_poverty_share_amer / EP_amer)</t>
  </si>
  <si>
    <t xml:space="preserve">Relative child poverty burden per worker</t>
  </si>
  <si>
    <t xml:space="preserve">Estimated Share of Food Insecurity Attributable to Unauthorized Households</t>
  </si>
  <si>
    <t xml:space="preserve">food_insecurity_share_unauth = PARAMETERS!FOOD_INSECURITY_RATE_UNAUTH * (EP_unauth * PARAMETERS!AVG_HH_SIZE_UNAUTH) / PARAMETERS!TOTAL_POP_AL</t>
  </si>
  <si>
    <t xml:space="preserve">Simplified estimate</t>
  </si>
  <si>
    <t xml:space="preserve">Estimated Share of Food Insecurity Attributable to American Households</t>
  </si>
  <si>
    <t xml:space="preserve">food_insecurity_share_amer = 1 - food_insecurity_share_unauth</t>
  </si>
  <si>
    <t xml:space="preserve">Ratio of Food Insecurity Contribution per Worker: Unauthorized vs American</t>
  </si>
  <si>
    <t xml:space="preserve">food_insecurity_ratio = food_insecurity_share_unauth / EP_unauth / (food_insecurity_share_amer / EP_amer)</t>
  </si>
  <si>
    <t xml:space="preserve">Relative food insecurity burden</t>
  </si>
  <si>
    <t xml:space="preserve">Estimated Share of Housing Cost Burden Attributable to Unauthorized Workers</t>
  </si>
  <si>
    <t xml:space="preserve">housing_burden_share_unauth = PARAMETERS!HOUSING_BURDEN_RATE_UNAUTH * EP_unauth / EP_AL</t>
  </si>
  <si>
    <t xml:space="preserve">Simplified share of households with housing cost burden &gt;30% of income</t>
  </si>
  <si>
    <t xml:space="preserve">Estimated Share of Housing Cost Burden Attributable to American Workers</t>
  </si>
  <si>
    <t xml:space="preserve">housing_burden_share_amer = 1 - housing_burden_share_unauth</t>
  </si>
  <si>
    <t xml:space="preserve">Remaining share assumed American workers</t>
  </si>
  <si>
    <t xml:space="preserve">Ratio of Housing Cost Burden per Worker: Unauthorized vs American</t>
  </si>
  <si>
    <t xml:space="preserve">housing_burden_ratio = housing_burden_share_unauth / EP_unauth / (housing_burden_share_amer / EP_amer)</t>
  </si>
  <si>
    <t xml:space="preserve">Relative housing affordability burden</t>
  </si>
  <si>
    <t xml:space="preserve">Estimated Share of Uninsured Rate Attributable to Unauthorized Workers</t>
  </si>
  <si>
    <t xml:space="preserve">uninsured_share_unauth = PARAMETERS!UNINSURED_RATE_UNAUTH * EP_unauth / EP_AL</t>
  </si>
  <si>
    <t xml:space="preserve">Simplified share of uninsured population</t>
  </si>
  <si>
    <t xml:space="preserve">Estimated Share of Uninsured Rate Attributable to American Workers</t>
  </si>
  <si>
    <t xml:space="preserve">uninsured_share_amer = 1 - uninsured_share_unauth</t>
  </si>
  <si>
    <t xml:space="preserve">Ratio of Uninsured Rate per Worker: Unauthorized vs American</t>
  </si>
  <si>
    <t xml:space="preserve">uninsured_ratio = PARAMETERS!UNINSURED_RATE_UNAUTH / PARAMETERS!UNINSURED_RATE_AMER</t>
  </si>
  <si>
    <t xml:space="preserve">Relative likelihood of lacking health insurance</t>
  </si>
  <si>
    <t xml:space="preserve">Estimated Share of Workers Without Paid Sick Leave: Unauthorized</t>
  </si>
  <si>
    <t xml:space="preserve">no_sick_leave_share_unauth = PARAMETERS!NO_SICK_LEAVE_RATE_UNAUTH * EP_unauth / EP_AL</t>
  </si>
  <si>
    <t xml:space="preserve">Simplified share of workers without paid sick leave</t>
  </si>
  <si>
    <t xml:space="preserve">Estimated Share of Workers Without Paid Sick Leave: American</t>
  </si>
  <si>
    <t xml:space="preserve">no_sick_leave_share_amer = 1 - no_sick_leave_share_unauth</t>
  </si>
  <si>
    <t xml:space="preserve">Ratio of Lack of Paid Sick Leave per Worker: Unauthorized vs American</t>
  </si>
  <si>
    <t xml:space="preserve">no_sick_leave_ratio = PARAMETERS!NO_SICK_LEAVE_RATE_UNAUTH / PARAMETERS!NO_SICK_LEAVE_RATE_AMER</t>
  </si>
  <si>
    <t xml:space="preserve">Relative lack of basic workplace benefits</t>
  </si>
  <si>
    <t xml:space="preserve">Estimated Share of Workers Without Employer-Sponsored Retirement Plan: Unauthorized</t>
  </si>
  <si>
    <t xml:space="preserve">no_retirement_share_unauth = PARAMETERS!NO_RETIREMENT_RATE_UNAUTH * EP_unauth / EP_AL</t>
  </si>
  <si>
    <t xml:space="preserve">Simplified share without retirement benefits</t>
  </si>
  <si>
    <t xml:space="preserve">Estimated Share of Workers Without Employer-Sponsored Retirement Plan: American</t>
  </si>
  <si>
    <t xml:space="preserve">no_retirement_share_amer = 1 - no_retirement_share_unauth</t>
  </si>
  <si>
    <t xml:space="preserve">Ratio of Lack of Retirement Benefits per Worker: Unauthorized vs American</t>
  </si>
  <si>
    <t xml:space="preserve">no_retirement_ratio = PARAMETERS!NO_RETIREMENT_RATE_UNAUTH / PARAMETERS!NO_RETIREMENT_RATE_AMER</t>
  </si>
  <si>
    <t xml:space="preserve">Relative lack of long-term financial security benefits</t>
  </si>
  <si>
    <t xml:space="preserve">Estimated Average Savings Rate Differential</t>
  </si>
  <si>
    <t xml:space="preserve">savings_rate_diff = PARAMETERS!SAVINGS_RATE_AMER - PARAMETERS!SAVINGS_RATE_UNAUTH</t>
  </si>
  <si>
    <t xml:space="preserve">Percentage point difference in estimated personal savings rate</t>
  </si>
  <si>
    <t xml:space="preserve">Estimated Average Net Worth Differential (simplified)</t>
  </si>
  <si>
    <t xml:space="preserve">net_worth_diff = PARAMETERS!AVG_NET_WORTH_AMER - PARAMETERS!AVG_NET_WORTH_UNAUTH</t>
  </si>
  <si>
    <t xml:space="preserve">Approximate gap in household net worth</t>
  </si>
  <si>
    <t xml:space="preserve">Ratio of Average Net Worth: American vs Unauthorized</t>
  </si>
  <si>
    <t xml:space="preserve">net_worth_ratio = PARAMETERS!AVG_NET_WORTH_AMER / PARAMETERS!AVG_NET_WORTH_UNAUTH</t>
  </si>
  <si>
    <t xml:space="preserve">Relative wealth accumulation</t>
  </si>
  <si>
    <t xml:space="preserve">Estimated Share of Workers Receiving Public Transit Subsidies or Assistance</t>
  </si>
  <si>
    <t xml:space="preserve">transit_assist_share_unauth = PARAMETERS!TRANSIT_ASSIST_RATE_UNAUTH * EP_unauth / EP_AL</t>
  </si>
  <si>
    <t xml:space="preserve">Simplified share receiving transit-related aid</t>
  </si>
  <si>
    <t xml:space="preserve">Estimated Share of Workers Receiving Energy / Utility Assistance</t>
  </si>
  <si>
    <t xml:space="preserve">energy_assist_share_unauth = PARAMETERS!ENERGY_ASSIST_RATE_UNAUTH * EP_unauth / EP_AL</t>
  </si>
  <si>
    <t xml:space="preserve">Simplified share receiving utility bill assistance</t>
  </si>
  <si>
    <t xml:space="preserve">Estimated Share of Workers Receiving Child Care Subsidies</t>
  </si>
  <si>
    <t xml:space="preserve">childcare_assist_share_unauth = PARAMETERS!CHILDCARE_ASSIST_RATE_UNAUTH * EP_unauth / EP_AL</t>
  </si>
  <si>
    <t xml:space="preserve">Simplified share receiving child care assistance</t>
  </si>
  <si>
    <t xml:space="preserve">Estimated Total Transportation, Energy &amp; Child Care Assistance Cost (Unauthorized)</t>
  </si>
  <si>
    <t xml:space="preserve">misc_assist_unauth = (transit_assist_share_unauth + energy_assist_share_unauth + childcare_assist_share_unauth) * PARAMETERS!AVG_MISC_ASSIST_PER_RECIPIENT</t>
  </si>
  <si>
    <t xml:space="preserve">Combined miscellaneous assistance cost estimate</t>
  </si>
  <si>
    <t xml:space="preserve">Ratio of Miscellaneous Public Assistance Cost per Worker: Unauthorized vs American</t>
  </si>
  <si>
    <t xml:space="preserve">misc_assist_ratio = misc_assist_unauth / EP_unauth / ((PARAMETERS!TOTAL_MISC_ASSIST_AL - misc_assist_unauth) / EP_amer)</t>
  </si>
  <si>
    <t xml:space="preserve">Relative burden of smaller, miscellaneous assistance programs</t>
  </si>
  <si>
    <t xml:space="preserve">Final Summary Metric: Comprehensive Fiscal Multiplier Differential</t>
  </si>
  <si>
    <t xml:space="preserve">comprehensive_multiplier_diff = (NFI_after_all_benefits_amer / EP_amer) - (NFI_after_all_benefits_unauth / EP_unauth)</t>
  </si>
  <si>
    <t xml:space="preserve">Overall per-worker fiscal impact difference after all major adjustments</t>
  </si>
  <si>
    <t xml:space="preserve">Estimated Share of Workers Without Health Insurance Coverage (Unauthorized)</t>
  </si>
  <si>
    <t xml:space="preserve">uninsured_rate_unauth = PARAMETERS!UNINSURED_RATE_UNAUTH</t>
  </si>
  <si>
    <t xml:space="preserve">Direct parameter-based uninsured rate for unauthorized workers</t>
  </si>
  <si>
    <t xml:space="preserve">Estimated Share of Workers Without Health Insurance Coverage (American)</t>
  </si>
  <si>
    <t xml:space="preserve">uninsured_rate_amer = PARAMETERS!UNINSURED_RATE_AMER</t>
  </si>
  <si>
    <t xml:space="preserve">Direct parameter-based uninsured rate for American workers</t>
  </si>
  <si>
    <t xml:space="preserve">Ratio of Uninsured Workers: Unauthorized vs American</t>
  </si>
  <si>
    <t xml:space="preserve">uninsured_rate_ratio_final = uninsured_rate_unauth / uninsured_rate_amer</t>
  </si>
  <si>
    <t xml:space="preserve">Final relative uninsured rate comparison</t>
  </si>
  <si>
    <t xml:space="preserve">Estimated Annual Cost of Uncompensated Care Attributable to Unauthorized Workers</t>
  </si>
  <si>
    <t xml:space="preserve">uncompensated_care_unauth = uninsured_rate_unauth * EP_unauth * PARAMETERS!AVG_UNCOMPENSATED_CARE_COST</t>
  </si>
  <si>
    <t xml:space="preserve">Simplified estimate of uncompensated medical care burden</t>
  </si>
  <si>
    <t xml:space="preserve">Estimated Annual Cost of Uncompensated Care Attributable to American Workers</t>
  </si>
  <si>
    <t xml:space="preserve">uncompensated_care_amer = uninsured_rate_amer * EP_amer * PARAMETERS!AVG_UNCOMPENSATED_CARE_COST</t>
  </si>
  <si>
    <t xml:space="preserve">Ratio of Uncompensated Care Cost per Worker: Unauthorized vs American</t>
  </si>
  <si>
    <t xml:space="preserve">uncompensated_care_ratio = uncompensated_care_unauth / EP_unauth / (uncompensated_care_amer / EP_amer)</t>
  </si>
  <si>
    <t xml:space="preserve">Relative uncompensated care burden per worker</t>
  </si>
  <si>
    <t xml:space="preserve">Estimated Share of Workers Living in Overcrowded Housing (Unauthorized)</t>
  </si>
  <si>
    <t xml:space="preserve">overcrowded_housing_share_unauth = PARAMETERS!OVERCROWDED_HOUSING_RATE_UNAUTH * EP_unauth / EP_AL</t>
  </si>
  <si>
    <t xml:space="preserve">Simplified share living in overcrowded conditions</t>
  </si>
  <si>
    <t xml:space="preserve">Estimated Share of Workers Living in Overcrowded Housing (American)</t>
  </si>
  <si>
    <t xml:space="preserve">overcrowded_housing_share_amer = 1 - overcrowded_housing_share_unauth</t>
  </si>
  <si>
    <t xml:space="preserve">Ratio of Overcrowded Housing Burden per Worker: Unauthorized vs American</t>
  </si>
  <si>
    <t xml:space="preserve">overcrowded_housing_ratio = PARAMETERS!OVERCROWDED_HOUSING_RATE_UNAUTH / PARAMETERS!OVERCROWDED_HOUSING_RATE_AMER</t>
  </si>
  <si>
    <t xml:space="preserve">Relative housing crowding burden</t>
  </si>
  <si>
    <t xml:space="preserve">Estimated Share of Workers Using Food Assistance Programs (SNAP / WIC) (Unauthorized)</t>
  </si>
  <si>
    <t xml:space="preserve">food_assist_program_share_unauth = PARAMETERS!SNAP_WIC_USAGE_RATE_UNAUTH * EP_unauth / EP_AL</t>
  </si>
  <si>
    <t xml:space="preserve">Simplified participation rate in major food programs</t>
  </si>
  <si>
    <t xml:space="preserve">Estimated Share of Workers Using Food Assistance Programs (American)</t>
  </si>
  <si>
    <t xml:space="preserve">food_assist_program_share_amer = 1 - food_assist_program_share_unauth</t>
  </si>
  <si>
    <t xml:space="preserve">Ratio of Food Assistance Program Usage per Worker: Unauthorized vs American</t>
  </si>
  <si>
    <t xml:space="preserve">food_assist_usage_ratio = PARAMETERS!SNAP_WIC_USAGE_RATE_UNAUTH / PARAMETERS!SNAP_WIC_USAGE_RATE_AMER</t>
  </si>
  <si>
    <t xml:space="preserve">Relative usage of SNAP/WIC programs</t>
  </si>
  <si>
    <t xml:space="preserve">Estimated Share of Workers Receiving TANF or General Cash Assistance (Unauthorized)</t>
  </si>
  <si>
    <t xml:space="preserve">tanf_cash_assist_share_unauth = PARAMETERS!TANF_USAGE_RATE_UNAUTH * EP_unauth / EP_AL</t>
  </si>
  <si>
    <t xml:space="preserve">Simplified participation in cash welfare programs</t>
  </si>
  <si>
    <t xml:space="preserve">Estimated Share of Workers Receiving TANF or General Cash Assistance (American)</t>
  </si>
  <si>
    <t xml:space="preserve">tanf_cash_assist_share_amer = 1 - tanf_cash_assist_share_unauth</t>
  </si>
  <si>
    <t xml:space="preserve">Ratio of Cash Assistance Usage per Worker: Unauthorized vs American</t>
  </si>
  <si>
    <t xml:space="preserve">tanf_cash_ratio = PARAMETERS!TANF_USAGE_RATE_UNAUTH / PARAMETERS!TANF_USAGE_RATE_AMER</t>
  </si>
  <si>
    <t xml:space="preserve">Relative cash welfare program usage</t>
  </si>
  <si>
    <t xml:space="preserve">Estimated Total Cost of Major Safety-Net Programs Attributable to Unauthorized Workers</t>
  </si>
  <si>
    <t xml:space="preserve">safety_net_cost_unauth = (food_assist_program_share_unauth + tanf_cash_assist_share_unauth + medicaid_cost_unauth_est / PARAMETERS!TOTAL_MEDICAID_ENROLL_AL) * PARAMETERS!TOTAL_SAFETY_NET_COST_AL</t>
  </si>
  <si>
    <t xml:space="preserve">Combined major safety-net cost estimate</t>
  </si>
  <si>
    <t xml:space="preserve">Ratio of Major Safety-Net Program Cost per Worker: Unauthorized vs American</t>
  </si>
  <si>
    <t xml:space="preserve">safety_net_cost_ratio = safety_net_cost_unauth / EP_unauth / ((PARAMETERS!TOTAL_SAFETY_NET_COST_AL - safety_net_cost_unauth) / EP_amer)</t>
  </si>
  <si>
    <t xml:space="preserve">Relative burden of safety-net programs</t>
  </si>
  <si>
    <t xml:space="preserve">Estimated Share of Workers Without Paid Family Leave Access (Unauthorized)</t>
  </si>
  <si>
    <t xml:space="preserve">no_paid_family_leave_unauth = PARAMETERS!NO_PAID_FAMILY_LEAVE_RATE_UNAUTH * EP_unauth / EP_AL</t>
  </si>
  <si>
    <t xml:space="preserve">Simplified share lacking paid family leave</t>
  </si>
  <si>
    <t xml:space="preserve">Estimated Share of Workers Without Paid Family Leave Access (American)</t>
  </si>
  <si>
    <t xml:space="preserve">no_paid_family_leave_amer = 1 - no_paid_family_leave_unauth</t>
  </si>
  <si>
    <t xml:space="preserve">Ratio of Lack of Paid Family Leave per Worker: Unauthorized vs American</t>
  </si>
  <si>
    <t xml:space="preserve">no_paid_family_leave_ratio = PARAMETERS!NO_PAID_FAMILY_LEAVE_RATE_UNAUTH / PARAMETERS!NO_PAID_FAMILY_LEAVE_RATE_AMER</t>
  </si>
  <si>
    <t xml:space="preserve">Relative access to family leave benefits</t>
  </si>
  <si>
    <t xml:space="preserve">Estimated Share of Workers in Jobs With No Minimum Wage Protection (Unauthorized)</t>
  </si>
  <si>
    <t xml:space="preserve">no_min_wage_protection_unauth = PARAMETERS!NO_MIN_WAGE_PROTECTION_RATE_UNAUTH * EP_unauth / EP_AL</t>
  </si>
  <si>
    <t xml:space="preserve">Simplified share in jobs potentially below minimum wage (e.g., cash economy)</t>
  </si>
  <si>
    <t xml:space="preserve">Estimated Share of Workers in Jobs With No Minimum Wage Protection (American)</t>
  </si>
  <si>
    <t xml:space="preserve">no_min_wage_protection_amer = 1 - no_min_wage_protection_unauth</t>
  </si>
  <si>
    <t xml:space="preserve">Ratio of Lack of Minimum Wage Protection per Worker: Unauthorized vs American</t>
  </si>
  <si>
    <t xml:space="preserve">no_min_wage_ratio = PARAMETERS!NO_MIN_WAGE_PROTECTION_RATE_UNAUTH / PARAMETERS!NO_MIN_WAGE_PROTECTION_RATE_AMER</t>
  </si>
  <si>
    <t xml:space="preserve">Relative exposure to sub-minimum wage conditions</t>
  </si>
  <si>
    <t xml:space="preserve">Estimated Share of Workers Experiencing Wage Theft (Unauthorized)</t>
  </si>
  <si>
    <t xml:space="preserve">wage_theft_share_unauth = PARAMETERS!WAGE_THEFT_RATE_UNAUTH * EP_unauth / EP_AL</t>
  </si>
  <si>
    <t xml:space="preserve">Simplified estimate of wage theft prevalence</t>
  </si>
  <si>
    <t xml:space="preserve">Estimated Share of Workers Experiencing Wage Theft (American)</t>
  </si>
  <si>
    <t xml:space="preserve">wage_theft_share_amer = 1 - wage_theft_share_unauth</t>
  </si>
  <si>
    <t xml:space="preserve">Ratio of Wage Theft Prevalence per Worker: Unauthorized vs American</t>
  </si>
  <si>
    <t xml:space="preserve">wage_theft_ratio = PARAMETERS!WAGE_THEFT_RATE_UNAUTH / PARAMETERS!WAGE_THEFT_RATE_AMER</t>
  </si>
  <si>
    <t xml:space="preserve">Relative exposure to wage theft</t>
  </si>
  <si>
    <t xml:space="preserve">Estimated Annual Economic Loss from Wage Theft (Unauthorized)</t>
  </si>
  <si>
    <t xml:space="preserve">wage_theft_loss_unauth = wage_theft_share_unauth * PARAMETERS!TOTAL_WAGE_THEFT_LOSS_AL</t>
  </si>
  <si>
    <t xml:space="preserve">Simplified economic loss estimate</t>
  </si>
  <si>
    <t xml:space="preserve">Estimated Annual Economic Loss from Wage Theft (American)</t>
  </si>
  <si>
    <t xml:space="preserve">wage_theft_loss_amer = (1 - wage_theft_share_unauth) * PARAMETERS!TOTAL_WAGE_THEFT_LOSS_AL</t>
  </si>
  <si>
    <t xml:space="preserve">Ratio of Wage Theft Economic Loss per Worker: Unauthorized vs American</t>
  </si>
  <si>
    <t xml:space="preserve">wage_theft_loss_ratio = wage_theft_loss_unauth / EP_unauth / (wage_theft_loss_amer / EP_amer)</t>
  </si>
  <si>
    <t xml:space="preserve">Relative economic impact of wage theft per worker</t>
  </si>
  <si>
    <t xml:space="preserve">Estimated Share of Workers in Informal / Cash Economy (Unauthorized)</t>
  </si>
  <si>
    <t xml:space="preserve">informal_economy_share_unauth = PARAMETERS!INFORMAL_ECONOMY_RATE_UNAUTH * EP_unauth / EP_AL</t>
  </si>
  <si>
    <t xml:space="preserve">Simplified share working off-the-books</t>
  </si>
  <si>
    <t xml:space="preserve">Estimated Share of Workers in Informal / Cash Economy (American)</t>
  </si>
  <si>
    <t xml:space="preserve">informal_economy_share_amer = 1 - informal_economy_share_unauth</t>
  </si>
  <si>
    <t xml:space="preserve">Ratio of Informal Economy Participation per Worker: Unauthorized vs American</t>
  </si>
  <si>
    <t xml:space="preserve">informal_economy_ratio = PARAMETERS!INFORMAL_ECONOMY_RATE_UNAUTH / PARAMETERS!INFORMAL_ECONOMY_RATE_AMER</t>
  </si>
  <si>
    <t xml:space="preserve">Relative participation in informal sector</t>
  </si>
  <si>
    <t xml:space="preserve">Estimated Tax Revenue Loss from Informal Economy (Unauthorized)</t>
  </si>
  <si>
    <t xml:space="preserve">informal_tax_loss_unauth = informal_economy_share_unauth * PARAMETERS!TOTAL_INFORMAL_TAX_LOSS_AL</t>
  </si>
  <si>
    <t xml:space="preserve">Simplified lost tax revenue estimate</t>
  </si>
  <si>
    <t xml:space="preserve">Estimated Tax Revenue Loss from Informal Economy (American)</t>
  </si>
  <si>
    <t xml:space="preserve">informal_tax_loss_amer = (1 - informal_economy_share_unauth) * PARAMETERS!TOTAL_INFORMAL_TAX_LOSS_AL</t>
  </si>
  <si>
    <t xml:space="preserve">Ratio of Informal Economy Tax Loss per Worker: Unauthorized vs American</t>
  </si>
  <si>
    <t xml:space="preserve">informal_tax_loss_ratio = informal_tax_loss_unauth / EP_unauth / (informal_tax_loss_amer / EP_amer)</t>
  </si>
  <si>
    <t xml:space="preserve">Relative tax loss per worker from informal work</t>
  </si>
  <si>
    <t xml:space="preserve">Final Summary Metric: Overall Labor Market Disadvantage Index (Unauthorized)</t>
  </si>
  <si>
    <t xml:space="preserve">labor_disadvantage_index_unauth = (wage_theft_ratio + informal_economy_ratio + uninsured_ratio + no_paid_family_leave_ratio + overcrowded_housing_ratio) / 5</t>
  </si>
  <si>
    <t xml:space="preserve">Composite index of labor market disadvantage (higher = greater disadvantage)</t>
  </si>
  <si>
    <t xml:space="preserve">Final Summary Metric: Overall Labor Market Advantage Index (American)</t>
  </si>
  <si>
    <t xml:space="preserve">labor_advantage_index_amer = (1 / labor_disadvantage_index_unauth)</t>
  </si>
  <si>
    <t xml:space="preserve">Reciprocal index showing relative advantage</t>
  </si>
  <si>
    <t xml:space="preserve">Final Summary Metric: Comprehensive Fiscal &amp; Economic Impact Differential</t>
  </si>
  <si>
    <t xml:space="preserve">comprehensive_impact_diff = comprehensive_multiplier_diff + (labor_disadvantage_index_unauth * PARAMETERS!DISADVANTAGE_IMPACT_WEIGHT)</t>
  </si>
  <si>
    <t xml:space="preserve">Final blended fiscal + labor-market disadvantage differential</t>
  </si>
  <si>
    <t xml:space="preserve">Final Summary Metric: Net Fiscal Contribution Ratio (American vs Unauthorized, adjusted)</t>
  </si>
  <si>
    <t xml:space="preserve">final_nfi_contribution_ratio = (NFI_after_all_benefits_amer / EP_amer) / (NFI_after_all_benefits_unauth / EP_unauth)</t>
  </si>
  <si>
    <t xml:space="preserve">Final adjusted per-worker net fiscal contribution ratio</t>
  </si>
  <si>
    <t xml:space="preserve">Final Summary Metric: Total Estimated Annual Fiscal Drain from Unauthorized Labor Force (if negative)</t>
  </si>
  <si>
    <t xml:space="preserve">final_annual_drain_unauth = IF(NFI_after_all_benefits_unauth &lt; 0, ABS(NFI_after_all_benefits_unauth), 0)</t>
  </si>
  <si>
    <t xml:space="preserve">Final annual net cost estimate</t>
  </si>
  <si>
    <t xml:space="preserve">Final Summary Metric: Total Estimated Annual Fiscal Surplus from American Labor Force (if positive)</t>
  </si>
  <si>
    <t xml:space="preserve">final_annual_surplus_amer = IF(NFI_after_all_benefits_amer &gt; 0, NFI_after_all_benefits_amer, 0)</t>
  </si>
  <si>
    <t xml:space="preserve">Final annual net contribution estimate</t>
  </si>
  <si>
    <t xml:space="preserve">Final Summary Metric: Statewide Net Fiscal Position per Capita (Labor Force Only)</t>
  </si>
  <si>
    <t xml:space="preserve">final_nfi_per_capita = NFI_AL / LFP_AL</t>
  </si>
  <si>
    <t xml:space="preserve">Final per-capita net fiscal impact of the entire labor force</t>
  </si>
  <si>
    <t xml:space="preserve">Final Summary Metric: Statewide Net Fiscal Position per Capita (American Workers Only)</t>
  </si>
  <si>
    <t xml:space="preserve">final_nfi_per_capita_amer = NFI_amer / LFP_amer</t>
  </si>
  <si>
    <t xml:space="preserve">Final per-capita impact for American workers</t>
  </si>
  <si>
    <t xml:space="preserve">Final Summary Metric: Statewide Net Fiscal Position per Capita (Unauthorized Workers Only)</t>
  </si>
  <si>
    <t xml:space="preserve">final_nfi_per_capita_unauth = NFI_unauth / LFP_unauth</t>
  </si>
  <si>
    <t xml:space="preserve">Final per-capita impact for unauthorized workers</t>
  </si>
  <si>
    <t xml:space="preserve">Final Summary Metric: Ratio of Per-Capita Fiscal Impact (American vs Unauthorized)</t>
  </si>
  <si>
    <t xml:space="preserve">final_per_capita_ratio = final_nfi_per_capita_amer / final_nfi_per_capita_unauth</t>
  </si>
  <si>
    <t xml:space="preserve">Final per-capita fiscal impact ratio</t>
  </si>
  <si>
    <t xml:space="preserve">Final Summary Metric: Share of Statewide Fiscal Surplus / Deficit from Unauthorized Workers</t>
  </si>
  <si>
    <t xml:space="preserve">final_fiscal_share_unauth = IF(NFI_AL &lt; 0, ABS(NFI_unauth) / ABS(NFI_AL), NFI_unauth / NFI_AL)</t>
  </si>
  <si>
    <t xml:space="preserve">Final share of fiscal position attributable to unauthorized workers</t>
  </si>
  <si>
    <t xml:space="preserve">Final Summary Metric: Share of Statewide Fiscal Surplus / Deficit from American Workers</t>
  </si>
  <si>
    <t xml:space="preserve">final_fiscal_share_amer = IF(NFI_AL &lt; 0, ABS(NFI_amer) / ABS(NFI_AL), NFI_amer / NFI_AL)</t>
  </si>
  <si>
    <t xml:space="preserve">Final share attributable to American workers</t>
  </si>
  <si>
    <t xml:space="preserve">Final Summary Metric: Estimated Annual Net Fiscal Contribution per American Worker (adjusted)</t>
  </si>
  <si>
    <t xml:space="preserve">final_net_contrib_amer = NFI_after_all_benefits_amer / EP_amer</t>
  </si>
  <si>
    <t xml:space="preserve">Final adjusted contribution per American worker</t>
  </si>
  <si>
    <t xml:space="preserve">Final Summary Metric: Estimated Annual Net Fiscal Cost per Unauthorized Worker (adjusted)</t>
  </si>
  <si>
    <t xml:space="preserve">final_net_cost_unauth = NFI_after_all_benefits_unauth / EP_unauth</t>
  </si>
  <si>
    <t xml:space="preserve">Final adjusted cost per unauthorized worker (negative = net cost)</t>
  </si>
  <si>
    <t xml:space="preserve">Final Summary Metric: Comprehensive Fiscal Advantage Ratio (American vs Unauthorized)</t>
  </si>
  <si>
    <t xml:space="preserve">final_comprehensive_advantage_ratio = final_net_contrib_amer / final_net_cost_unauth</t>
  </si>
  <si>
    <t xml:space="preserve">Final overall fiscal advantage ratio</t>
  </si>
  <si>
    <t xml:space="preserve">Final Summary Metric: Estimated Lifetime Net Fiscal Contribution Ratio (American vs Unauthorized)</t>
  </si>
  <si>
    <t xml:space="preserve">final_lifetime_nfi_ratio = lifetime_NFI_after_benefits_amer / lifetime_NFI_after_benefits_unauth</t>
  </si>
  <si>
    <t xml:space="preserve">Final simplified lifetime fiscal contribution ratio after all major benefit adjustments</t>
  </si>
  <si>
    <t xml:space="preserve">Final Summary Metric: Comprehensive Labor Market &amp; Fiscal Disadvantage Index (Unauthorized)</t>
  </si>
  <si>
    <t xml:space="preserve">final_disadvantage_index_unauth = labor_disadvantage_index_unauth + (ABS(final_net_cost_unauth) * PARAMETERS!FISCAL_WEIGHT_IN_DISADV_INDEX)</t>
  </si>
  <si>
    <t xml:space="preserve">Blended labor-market + fiscal disadvantage score for unauthorized workers</t>
  </si>
  <si>
    <t xml:space="preserve">Final Summary Metric: Comprehensive Labor Market &amp; Fiscal Advantage Index (American)</t>
  </si>
  <si>
    <t xml:space="preserve">final_advantage_index_amer = labor_advantage_index_amer + (final_net_contrib_amer * PARAMETERS!FISCAL_WEIGHT_IN_ADV_INDEX)</t>
  </si>
  <si>
    <t xml:space="preserve">Blended labor-market + fiscal advantage score for American workers</t>
  </si>
  <si>
    <t xml:space="preserve">Final Summary Metric: Overall Net Fiscal Impact of Unauthorized Labor Force (incl. dependents &amp; indirect costs)</t>
  </si>
  <si>
    <t xml:space="preserve">final_total_nfi_unauth_incl_indirect = NFI_after_all_benefits_unauth - (edu_cost_unauth_est + medicaid_cost_unauth_est + uncompensated_care_unauth + wage_theft_loss_unauth)</t>
  </si>
  <si>
    <t xml:space="preserve">Most comprehensive net fiscal position estimate including education, health, uncompensated care, and wage theft</t>
  </si>
  <si>
    <t xml:space="preserve">Final Summary Metric: Overall Net Fiscal Impact of American Labor Force (incl. dependents &amp; indirect costs)</t>
  </si>
  <si>
    <t xml:space="preserve">final_total_nfi_amer_incl_indirect = NFI_after_all_benefits_amer - (edu_cost_amer_est + (1-medicaid_share_unauth)*PARAMETERS!AVG_MEDICAID_COST_PER_ENROLLEE*PARAMETERS!TOTAL_MEDICAID_ENROLL_AL + uncompensated_care_amer + wage_theft_loss_amer)</t>
  </si>
  <si>
    <t xml:space="preserve">Most comprehensive counterpart for American workers</t>
  </si>
  <si>
    <t xml:space="preserve">Final Summary Metric: Ratio of Comprehensive Net Fiscal Impact (American vs Unauthorized)</t>
  </si>
  <si>
    <t xml:space="preserve">final_comprehensive_nfi_ratio = final_total_nfi_amer_incl_indirect / final_total_nfi_unauth_incl_indirect</t>
  </si>
  <si>
    <t xml:space="preserve">Final overall fiscal impact ratio after broadest adjustments</t>
  </si>
  <si>
    <t xml:space="preserve">Final Summary Metric: Estimated Annual State &amp; Local Fiscal Drain from Unauthorized Labor Force</t>
  </si>
  <si>
    <t xml:space="preserve">final_state_local_drain_unauth = (SLTR_unauth - PACOST_unauth - (edu_cost_unauth_est + medicaid_cost_unauth_est * PARAMETERS!STATE_SHARE_OF_MEDICAID))</t>
  </si>
  <si>
    <t xml:space="preserve">Estimated net state/local fiscal position for unauthorized workers</t>
  </si>
  <si>
    <t xml:space="preserve">Final Summary Metric: Estimated Annual State &amp; Local Fiscal Surplus from American Labor Force</t>
  </si>
  <si>
    <t xml:space="preserve">final_state_local_surplus_amer = (SLTR_amer - PACOST_amer - (edu_cost_amer_est + (1-medicaid_share_unauth)*PARAMETERS!STATE_SHARE_OF_MEDICAID*PARAMETERS!AVG_MEDICAID_COST_PER_ENROLLEE*PARAMETERS!TOTAL_MEDICAID_ENROLL_AL))</t>
  </si>
  <si>
    <t xml:space="preserve">Estimated net state/local fiscal position for American workers</t>
  </si>
  <si>
    <t xml:space="preserve">Final Summary Metric: State/Local Fiscal Balance Ratio (American vs Unauthorized)</t>
  </si>
  <si>
    <t xml:space="preserve">final_state_local_ratio = final_state_local_surplus_amer / final_state_local_drain_unauth</t>
  </si>
  <si>
    <t xml:space="preserve">Final state/local fiscal balance comparison</t>
  </si>
  <si>
    <t xml:space="preserve">Final Summary Metric: Estimated Share of Alabama State Budget Deficit Attributable to Unauthorized Labor Force (if deficit exists)</t>
  </si>
  <si>
    <t xml:space="preserve">final_state_deficit_share_unauth = IF(PARAMETERS!STATE_BUDGET_BALANCE &lt; 0, ABS(final_state_local_drain_unauth) / ABS(PARAMETERS!STATE_BUDGET_BALANCE), 0)</t>
  </si>
  <si>
    <t xml:space="preserve">Proportion of state-level fiscal gap linked to unauthorized workers</t>
  </si>
  <si>
    <t xml:space="preserve">Final Summary Metric: Estimated Share of Alabama State Budget Surplus Attributable to American Labor Force (if surplus exists)</t>
  </si>
  <si>
    <t xml:space="preserve">final_state_surplus_share_amer = IF(PARAMETERS!STATE_BUDGET_BALANCE &gt; 0, final_state_local_surplus_amer / PARAMETERS!STATE_BUDGET_BALANCE, 0)</t>
  </si>
  <si>
    <t xml:space="preserve">Proportion of state-level fiscal surplus linked to American workers</t>
  </si>
  <si>
    <t xml:space="preserve">Final Summary Metric: Estimated Per-Worker Tax Contribution to State &amp; Local Government (American)</t>
  </si>
  <si>
    <t xml:space="preserve">final_state_tax_per_amer = (SLTR_amer + SSMC_amer * PARAMETERS!STATE_SHARE_OF_SSMC) / EP_amer</t>
  </si>
  <si>
    <t xml:space="preserve">Combined state/local tax + share of payroll contributions per American worker</t>
  </si>
  <si>
    <t xml:space="preserve">Final Summary Metric: Estimated Per-Worker Tax Contribution to State &amp; Local Government (Unauthorized)</t>
  </si>
  <si>
    <t xml:space="preserve">final_state_tax_per_unauth = (SLTR_unauth + SSMC_unauth * PARAMETERS!STATE_SHARE_OF_SSMC) / EP_unauth</t>
  </si>
  <si>
    <t xml:space="preserve">Combined state/local tax + share of payroll contributions per unauthorized worker</t>
  </si>
  <si>
    <t xml:space="preserve">Final Summary Metric: Ratio of State/Local Tax Contribution per Worker (American vs Unauthorized)</t>
  </si>
  <si>
    <t xml:space="preserve">final_state_tax_contrib_ratio = final_state_tax_per_amer / final_state_tax_per_unauth</t>
  </si>
  <si>
    <t xml:space="preserve">Relative state/local tax payment per worker</t>
  </si>
  <si>
    <t xml:space="preserve">Final Summary Metric: Estimated Per-Worker Cost to State &amp; Local Government (Unauthorized)</t>
  </si>
  <si>
    <t xml:space="preserve">final_state_cost_per_unauth = (PACOST_unauth + edu_cost_unauth_est + medicaid_cost_unauth_est * PARAMETERS!STATE_SHARE_OF_MEDICAID) / EP_unauth</t>
  </si>
  <si>
    <t xml:space="preserve">Combined major state/local costs per unauthorized worker</t>
  </si>
  <si>
    <t xml:space="preserve">Final Summary Metric: Estimated Per-Worker Cost to State &amp; Local Government (American)</t>
  </si>
  <si>
    <t xml:space="preserve">final_state_cost_per_amer = (PACOST_amer + edu_cost_amer_est + (1-medicaid_share_unauth)*PARAMETERS!STATE_SHARE_OF_MEDICAID*PARAMETERS!AVG_MEDICAID_COST_PER_ENROLLEE*PARAMETERS!TOTAL_MEDICAID_ENROLL_AL) / EP_amer</t>
  </si>
  <si>
    <t xml:space="preserve">Combined major state/local costs per American worker</t>
  </si>
  <si>
    <t xml:space="preserve">Final Summary Metric: Ratio of State/Local Cost Burden per Worker (Unauthorized vs American)</t>
  </si>
  <si>
    <t xml:space="preserve">final_state_cost_ratio = final_state_cost_per_unauth / final_state_cost_per_amer</t>
  </si>
  <si>
    <t xml:space="preserve">Relative state/local expenditure burden per worker</t>
  </si>
  <si>
    <t xml:space="preserve">Final Summary Metric: Net State/Local Fiscal Impact per Worker (American vs Unauthorized)</t>
  </si>
  <si>
    <t xml:space="preserve">final_net_state_local_per_worker_ratio = (final_state_tax_per_amer - final_state_cost_per_amer) / (final_state_tax_per_unauth - final_state_cost_per_unauth)</t>
  </si>
  <si>
    <t xml:space="preserve">Final net state/local fiscal balance per worker comparison</t>
  </si>
  <si>
    <t xml:space="preserve">Final Summary Metric: Estimated Total Annual Net State/Local Fiscal Gain from American Labor Force</t>
  </si>
  <si>
    <t xml:space="preserve">final_net_state_gain_amer = final_state_local_surplus_amer</t>
  </si>
  <si>
    <t xml:space="preserve">Final net state/local contribution from American workers</t>
  </si>
  <si>
    <t xml:space="preserve">Final Summary Metric: Estimated Total Annual Net State/Local Fiscal Cost from Unauthorized Labor Force</t>
  </si>
  <si>
    <t xml:space="preserve">final_net_state_cost_unauth = final_state_local_drain_unauth</t>
  </si>
  <si>
    <t xml:space="preserve">Final net state/local cost from unauthorized workers</t>
  </si>
  <si>
    <t xml:space="preserve">Final Summary Metric: State/Local Fiscal Multiplier Differential</t>
  </si>
  <si>
    <t xml:space="preserve">final_state_local_multiplier_diff = (final_net_state_gain_amer / EP_amer) - (final_net_state_cost_unauth / EP_unauth)</t>
  </si>
  <si>
    <t xml:space="preserve">Final per-worker state/local fiscal impact difference</t>
  </si>
  <si>
    <t xml:space="preserve">Validation Check – Aggregate Employment by Role (Worker vs Support)</t>
  </si>
  <si>
    <t xml:space="preserve">worker_support_ratio_check = SUM(EP,i where Role = "Worker") / SUM(EP,i where Role = "Support")</t>
  </si>
  <si>
    <t xml:space="preserve">Should approximate expected ratio from industry structure (PARAMETERS!EXPECTED_WORKER_SUPPORT_RATIO)</t>
  </si>
  <si>
    <t xml:space="preserve">Validation Check – Weighted Average ETPR Reconciliation</t>
  </si>
  <si>
    <t xml:space="preserve">etpr_weighted_recon = SUM(ETPR_i * LFP_i) / SUM(LFP_i)</t>
  </si>
  <si>
    <t xml:space="preserve">Should match overall statewide ETPR</t>
  </si>
  <si>
    <t xml:space="preserve">Validation Check – Weighted Average LFPR Reconciliation</t>
  </si>
  <si>
    <t xml:space="preserve">lfpr_weighted_recon = SUM(LFPR_i * LFP_i) / SUM(LFP_i)</t>
  </si>
  <si>
    <t xml:space="preserve">Should match overall statewide LFPR</t>
  </si>
  <si>
    <t xml:space="preserve">Validation Check – Weighted Average U3R Reconciliation</t>
  </si>
  <si>
    <t xml:space="preserve">u3r_weighted_recon = SUM(U3R_i * LFP_i) / SUM(LFP_i)</t>
  </si>
  <si>
    <t xml:space="preserve">Should match overall statewide U3R</t>
  </si>
  <si>
    <t xml:space="preserve">Validation Check – Weighted Average U6R Reconciliation</t>
  </si>
  <si>
    <t xml:space="preserve">u6r_weighted_recon = SUM(U6R_i * LFP_i) / SUM(LFP_i)</t>
  </si>
  <si>
    <t xml:space="preserve">Should match overall statewide U6R</t>
  </si>
  <si>
    <t xml:space="preserve">Validation Check – Weighted Average Wage Reconciliation (final)</t>
  </si>
  <si>
    <t xml:space="preserve">wavg_final_recon = SUM(WAVG_i * EP_i) / SUM(EP_i)</t>
  </si>
  <si>
    <t xml:space="preserve">Final cross-check against BLS OEWS statewide average</t>
  </si>
  <si>
    <t xml:space="preserve">Validation Check – Total FPIT + FPPT vs IRS/DERIVED Estimates</t>
  </si>
  <si>
    <t xml:space="preserve">fed_tax_total_recon = SUM(FPIT_i) + SUM(FPPT_i)</t>
  </si>
  <si>
    <t xml:space="preserve">Should be within tolerance of PARAMETERS!FED_PERSONAL_INCOME_TAX_AL + PARAMETERS!FED_PAYROLL_TAX_AL</t>
  </si>
  <si>
    <t xml:space="preserve">Validation Check – Total Refundable Credits vs IRS Estimates</t>
  </si>
  <si>
    <t xml:space="preserve">refundable_credits_total_recon = SUM(EITC_i) + SUM(ACTC_i) + SUM(AOTC_i)</t>
  </si>
  <si>
    <t xml:space="preserve">Should be within tolerance of PARAMETERS!EITC_TOTAL_REFUND_AL + ACTC + AOTC</t>
  </si>
  <si>
    <t xml:space="preserve">Validation Check – Total Public Assistance Cost vs Derived Estimate</t>
  </si>
  <si>
    <t xml:space="preserve">pacost_total_recon = SUM(PACOST_i)</t>
  </si>
  <si>
    <t xml:space="preserve">Should approximate PARAMETERS!PUBLIC_ASSISTANCE_COST_AL</t>
  </si>
  <si>
    <t xml:space="preserve">Validation Check – Net Fiscal Impact Consistency Check</t>
  </si>
  <si>
    <t xml:space="preserve">nfi_consistency = NFI_AL - (NFI_amer + NFI_auth + NFI_unauth)</t>
  </si>
  <si>
    <t xml:space="preserve">Should be ≈ 0</t>
  </si>
  <si>
    <t xml:space="preserve">Validation Check – Group Employment Share Sum Check</t>
  </si>
  <si>
    <t xml:space="preserve">group_ep_share_sum = EP_amer / EP_AL + EP_auth / EP_AL + EP_unauth / EP_AL</t>
  </si>
  <si>
    <t xml:space="preserve">Final Derived Metric: Estimated Effective Tax Rate Differential (Federal)</t>
  </si>
  <si>
    <t xml:space="preserve">effective_fed_tax_rate_diff = ((FPIT_amer + FPPT_amer) / (AIAVG_amer * EP_amer)) - ((FPIT_unauth + FPPT_unauth) / (AIAVG_unauth * EP_unauth))</t>
  </si>
  <si>
    <t xml:space="preserve">Difference in effective federal tax rate paid</t>
  </si>
  <si>
    <t xml:space="preserve">Final Derived Metric: Estimated Effective State/Local Tax Rate Differential</t>
  </si>
  <si>
    <t xml:space="preserve">effective_state_tax_rate_diff = (SLTR_amer / (AIAVG_amer * EP_amer)) - (SLTR_unauth / (AIAVG_unauth * EP_unauth))</t>
  </si>
  <si>
    <t xml:space="preserve">Difference in effective state/local tax rate</t>
  </si>
  <si>
    <t xml:space="preserve">Final Derived Metric: Net Effective Tax Rate After Benefits (American)</t>
  </si>
  <si>
    <t xml:space="preserve">net_effective_rate_amer = ((FPIT_amer + FPPT_amer + SLTR_amer) - (EITC_amer + ACTC_amer + AOTC_amer + PACOST_amer / EP_amer)) / (AIAVG_amer)</t>
  </si>
  <si>
    <t xml:space="preserve">Final Derived Metric: Net Effective Tax Rate After Benefits (Unauthorized)</t>
  </si>
  <si>
    <t xml:space="preserve">net_effective_rate_unauth = ((FPIT_unauth + FPPT_unauth + SLTR_unauth) - (EITC_unauth + ACTC_unauth + AOTC_unauth + PACOST_unauth / EP_unauth)) / (AIAVG_unauth)</t>
  </si>
  <si>
    <t xml:space="preserve">Final Derived Metric: Net Effective Tax Rate Advantage (American vs Unauthorized)</t>
  </si>
  <si>
    <t xml:space="preserve">net_effective_rate_advantage = net_effective_rate_amer - net_effective_rate_unauth</t>
  </si>
  <si>
    <t xml:space="preserve">Final net tax rate comparison after credits &amp; assistance</t>
  </si>
  <si>
    <t xml:space="preserve">Final Derived Metric: Average Hourly Wage After Benefits Adjustment (American)</t>
  </si>
  <si>
    <t xml:space="preserve">wavg_after_benefits_amer = WAVG_amer + (PACOST_amer / EP_amer / PARAMETERS!AVG_WEEKLY_HOURS_AL)</t>
  </si>
  <si>
    <t xml:space="preserve">Approximate effective hourly compensation including assistance value</t>
  </si>
  <si>
    <t xml:space="preserve">Final Derived Metric: Average Hourly Wage After Benefits Adjustment (Unauthorized)</t>
  </si>
  <si>
    <t xml:space="preserve">wavg_after_benefits_unauth = WAVG_unauth + (PACOST_unauth / EP_unauth / PARAMETERS!AVG_WEEKLY_HOURS_AL)</t>
  </si>
  <si>
    <t xml:space="preserve">Approximate counterpart</t>
  </si>
  <si>
    <t xml:space="preserve">Final Derived Metric: Effective Hourly Compensation Differential</t>
  </si>
  <si>
    <t xml:space="preserve">effective_hourly_comp_diff = wavg_after_benefits_amer - wavg_after_benefits_unauth</t>
  </si>
  <si>
    <t xml:space="preserve">Difference in total effective hourly value (wages + assistance)</t>
  </si>
  <si>
    <t xml:space="preserve">Final Derived Metric: Estimated Annual Total Compensation Differential (incl. benefits)</t>
  </si>
  <si>
    <t xml:space="preserve">total_comp_diff_annual = (wavg_after_benefits_amer - wavg_after_benefits_unauth) * PARAMETERS!AVG_WEEKLY_HOURS_AL * 52</t>
  </si>
  <si>
    <t xml:space="preserve">Annualized effective compensation gap</t>
  </si>
  <si>
    <t xml:space="preserve">Final Derived Metric: Ratio of Effective Total Compensation (American vs Unauthorized)</t>
  </si>
  <si>
    <t xml:space="preserve">total_comp_ratio_final = wavg_after_benefits_amer / wavg_after_benefits_unauth</t>
  </si>
  <si>
    <t xml:space="preserve">Final relative effective compensation</t>
  </si>
  <si>
    <t xml:space="preserve">Final Derived Metric: Labor Share of Income Differential (simplified)</t>
  </si>
  <si>
    <t xml:space="preserve">labor_share_diff = (SUM(AIAVG_i * EP_i) / PARAMETERS!TOTAL_GDP_AL) - PARAMETERS!EXPECTED_LABOR_SHARE</t>
  </si>
  <si>
    <t xml:space="preserve">Deviation from expected labor share of income</t>
  </si>
  <si>
    <t xml:space="preserve">Final Derived Metric: Capital Share Implied by Wage &amp; Immigration Structure</t>
  </si>
  <si>
    <t xml:space="preserve">capital_share_implied = 1 - (SUM(AIAVG_i * EP_i) / PARAMETERS!TOTAL_GDP_AL)</t>
  </si>
  <si>
    <t xml:space="preserve">Implied capital share given wage data</t>
  </si>
  <si>
    <t xml:space="preserve">Final Derived Metric: Estimated Remittance Outflow from Unauthorized Workers</t>
  </si>
  <si>
    <t xml:space="preserve">remittance_outflow_unauth_est = AIAVG_unauth * EP_unauth * PARAMETERS!REMITTANCE_RATE_UNAUTH</t>
  </si>
  <si>
    <t xml:space="preserve">Simplified estimate of money sent out of state/country</t>
  </si>
  <si>
    <t xml:space="preserve">Final Derived Metric: Estimated Remittance Outflow from Authorized Workers</t>
  </si>
  <si>
    <t xml:space="preserve">remittance_outflow_auth_est = AIAVG_auth * EP_auth * PARAMETERS!REMITTANCE_RATE_AUTH</t>
  </si>
  <si>
    <t xml:space="preserve">Simplified counterpart for authorized immigrants</t>
  </si>
  <si>
    <t xml:space="preserve">Final Derived Metric: Total Estimated Remittance Outflow from Immigrant Workers</t>
  </si>
  <si>
    <t xml:space="preserve">remittance_total_outflow = remittance_outflow_unauth_est + remittance_outflow_auth_est</t>
  </si>
  <si>
    <t xml:space="preserve">Combined remittance loss to state economy</t>
  </si>
  <si>
    <t xml:space="preserve">Final Derived Metric: Remittance Outflow as % of Total Labor Income</t>
  </si>
  <si>
    <t xml:space="preserve">remittance_pct_labor_income = remittance_total_outflow / SUM(AIAVG_i * EP_i) * 100</t>
  </si>
  <si>
    <t xml:space="preserve">Proportion of labor income leaving the state via remittances</t>
  </si>
  <si>
    <t xml:space="preserve">Final Derived Metric: Net Economic Multiplier from American vs Unauthorized Labor</t>
  </si>
  <si>
    <t xml:space="preserve">forward_multiplier_ratio = (PARAMETERS!ECONOMIC_MULTIPLIER_AMER) / (PARAMETERS!ECONOMIC_MULTIPLIER_UNAUTH)</t>
  </si>
  <si>
    <t xml:space="preserve">Relative economic stimulus effect per dollar earned</t>
  </si>
  <si>
    <t xml:space="preserve">Final Derived Metric: Overall Economic Impact Advantage Ratio (American vs Unauthorized)</t>
  </si>
  <si>
    <t xml:space="preserve">final_econ_impact_advantage_ratio = forward_multiplier_ratio * total_comp_ratio_final</t>
  </si>
  <si>
    <t xml:space="preserve">Blended wage + multiplier advantage ratio</t>
  </si>
  <si>
    <t xml:space="preserve">Final Derived Metric: Estimated Total Remittance Outflow Impact on Alabama GDP</t>
  </si>
  <si>
    <t xml:space="preserve">remittance_gdp_impact_pct = remittance_total_outflow / PARAMETERS!TOTAL_GDP_AL * 100</t>
  </si>
  <si>
    <t xml:space="preserve">Percentage of state GDP potentially leaving via immigrant remittances</t>
  </si>
  <si>
    <t xml:space="preserve">Final Derived Metric: Net Economic Retention Rate (American vs Immigrant Labor)</t>
  </si>
  <si>
    <t xml:space="preserve">econ_retention_ratio_amer_vs_imm = 1 / (remittance_outflow_unauth_est + remittance_outflow_auth_est) / SUM(AIAVG_i * EP_i)</t>
  </si>
  <si>
    <t xml:space="preserve">Simplified measure of how much labor income stays in the state economy</t>
  </si>
  <si>
    <t xml:space="preserve">Final Derived Metric: Estimated Multiplier-Adjusted Economic Contribution (American)</t>
  </si>
  <si>
    <t xml:space="preserve">multiplier_adj_contrib_amer = econ_contrib_amer * PARAMETERS!ECONOMIC_MULTIPLIER_AMER</t>
  </si>
  <si>
    <t xml:space="preserve">Forward-looking economic impact after multiplier effects</t>
  </si>
  <si>
    <t xml:space="preserve">Final Derived Metric: Estimated Multiplier-Adjusted Economic Contribution (Unauthorized)</t>
  </si>
  <si>
    <t xml:space="preserve">multiplier_adj_contrib_unauth = (AIAVG_unauth * EP_unauth) * PARAMETERS!ECONOMIC_MULTIPLIER_UNAUTH</t>
  </si>
  <si>
    <t xml:space="preserve">Forward-looking impact after multiplier (lower due to remittances &amp; lower local spending)</t>
  </si>
  <si>
    <t xml:space="preserve">Final Derived Metric: Multiplier-Adjusted Economic Advantage Ratio</t>
  </si>
  <si>
    <t xml:space="preserve">multiplier_adj_advantage_ratio = multiplier_adj_contrib_amer / (econ_contrib_amer + multiplier_adj_contrib_unauth)</t>
  </si>
  <si>
    <t xml:space="preserve">Final relative economic stimulus power</t>
  </si>
  <si>
    <t xml:space="preserve">Final Derived Metric: Estimated Annual Local Spending Retention Differential</t>
  </si>
  <si>
    <t xml:space="preserve">local_spending_retention_diff = (AIAVG_amer * EP_amer * PARAMETERS!LOCAL_SPENDING_RATE_AMER) - (AIAVG_unauth * EP_unauth * PARAMETERS!LOCAL_SPENDING_RATE_UNAUTH)</t>
  </si>
  <si>
    <t xml:space="preserve">Difference in dollars likely spent locally</t>
  </si>
  <si>
    <t xml:space="preserve">Final Derived Metric: Ratio of Local Economic Circulation per Worker</t>
  </si>
  <si>
    <t xml:space="preserve">local_circulation_ratio = (AIAVG_amer * PARAMETERS!LOCAL_SPENDING_RATE_AMER) / (AIAVG_unauth * PARAMETERS!LOCAL_SPENDING_RATE_UNAUTH)</t>
  </si>
  <si>
    <t xml:space="preserve">Relative local economic recirculation per worker</t>
  </si>
  <si>
    <t xml:space="preserve">Final Derived Metric: Estimated Total State GDP Contribution Gap Due to Remittances &amp; Spending Patterns</t>
  </si>
  <si>
    <t xml:space="preserve">gdp_contrib_gap = local_spending_retention_diff + (remittance_total_outflow * PARAMETERS!REMITTANCE_MULTIPLIER_LOSS)</t>
  </si>
  <si>
    <t xml:space="preserve">Combined GDP reduction from lower local spending and remittances</t>
  </si>
  <si>
    <t xml:space="preserve">Final Derived Metric: Share of State GDP Gap Attributable to Unauthorized Workers</t>
  </si>
  <si>
    <t xml:space="preserve">gdp_gap_share_unauth = (remittance_outflow_unauth_est * PARAMETERS!REMITTANCE_MULTIPLIER_LOSS + (AIAVG_unauth * EP_unauth * (1 - PARAMETERS!LOCAL_SPENDING_RATE_UNAUTH))) / gdp_contrib_gap</t>
  </si>
  <si>
    <t xml:space="preserve">Proportion of estimated GDP leakage from unauthorized labor</t>
  </si>
  <si>
    <t xml:space="preserve">Final Derived Metric: Share of State GDP Gap Attributable to American Workers</t>
  </si>
  <si>
    <t xml:space="preserve">gdp_gap_share_amer = 1 - gdp_gap_share_unauth</t>
  </si>
  <si>
    <t xml:space="preserve">Remaining share assumed from American labor patterns</t>
  </si>
  <si>
    <t xml:space="preserve">Final Derived Metric: Net Local Economic Multiplier Advantage (American vs Unauthorized)</t>
  </si>
  <si>
    <t xml:space="preserve">local_multiplier_advantage = PARAMETERS!ECONOMIC_MULTIPLIER_AMER / PARAMETERS!ECONOMIC_MULTIPLIER_UNAUTH</t>
  </si>
  <si>
    <t xml:space="preserve">Final relative local economic stimulus power per dollar earned</t>
  </si>
  <si>
    <t xml:space="preserve">Final Derived Metric: Comprehensive Economic &amp; Fiscal Advantage Ratio (American vs Unauthorized)</t>
  </si>
  <si>
    <t xml:space="preserve">final_econ_fiscal_advantage = final_comprehensive_advantage_ratio * local_multiplier_advantage</t>
  </si>
  <si>
    <t xml:space="preserve">Blended final metric combining fiscal, compensation, and economic multiplier effects</t>
  </si>
  <si>
    <t xml:space="preserve">Final Derived Metric: Estimated Annual Net Economic Loss per Unauthorized Worker (incl. multipliers &amp; remittances)</t>
  </si>
  <si>
    <t xml:space="preserve">final_econ_loss_per_unauth = (multiplier_adj_contrib_unauth * -1) + (remittance_outflow_unauth_est / EP_unauth)</t>
  </si>
  <si>
    <t xml:space="preserve">Approximate net economic drag per unauthorized worker</t>
  </si>
  <si>
    <t xml:space="preserve">Final Derived Metric: Estimated Annual Net Economic Gain per American Worker (incl. multipliers)</t>
  </si>
  <si>
    <t xml:space="preserve">final_econ_gain_per_amer = multiplier_adj_contrib_amer / EP_amer</t>
  </si>
  <si>
    <t xml:space="preserve">Approximate net economic gain per American worker</t>
  </si>
  <si>
    <t xml:space="preserve">Final Derived Metric: Ratio of Net Economic Impact per Worker (American vs Unauthorized)</t>
  </si>
  <si>
    <t xml:space="preserve">final_econ_impact_per_worker_ratio = final_econ_gain_per_amer / final_econ_loss_per_unauth</t>
  </si>
  <si>
    <t xml:space="preserve">Final per-worker economic impact comparison</t>
  </si>
  <si>
    <t xml:space="preserve">Final Derived Metric: Total Estimated Annual Statewide Economic Gain from American Labor Force</t>
  </si>
  <si>
    <t xml:space="preserve">final_total_econ_gain_amer = multiplier_adj_contrib_amer</t>
  </si>
  <si>
    <t xml:space="preserve">Final aggregate economic contribution estimate</t>
  </si>
  <si>
    <t xml:space="preserve">Final Derived Metric: Total Estimated Annual Statewide Economic Drag from Unauthorized Labor Force</t>
  </si>
  <si>
    <t xml:space="preserve">final_total_econ_drag_unauth = multiplier_adj_contrib_unauth * -1 + remittance_total_outflow</t>
  </si>
  <si>
    <t xml:space="preserve">Final aggregate economic drag estimate</t>
  </si>
  <si>
    <t xml:space="preserve">Final Derived Metric: Net Statewide Economic Impact Differential</t>
  </si>
  <si>
    <t xml:space="preserve">final_net_econ_impact_diff = final_total_econ_gain_amer - final_total_econ_drag_unauth</t>
  </si>
  <si>
    <t xml:space="preserve">Final net economic effect of the labor force composition</t>
  </si>
  <si>
    <t xml:space="preserve">Final Derived Metric: Economic Impact Share Attributable to Unauthorized Labor</t>
  </si>
  <si>
    <t xml:space="preserve">forward_econ_share_unauth = final_total_econ_drag_unauth / (final_total_econ_gain_amer + final_total_econ_drag_unauth)</t>
  </si>
  <si>
    <t xml:space="preserve">Proportion of net economic outcome linked to unauthorized workers</t>
  </si>
  <si>
    <t xml:space="preserve">Final Derived Metric: Economic Impact Share Attributable to American Labor</t>
  </si>
  <si>
    <t xml:space="preserve">forward_econ_share_amer = 1 - forward_econ_share_unauth</t>
  </si>
  <si>
    <t xml:space="preserve">Proportion linked to American workers</t>
  </si>
  <si>
    <t xml:space="preserve">Final Derived Metric: Estimated Long-Term GDP Growth Penalty from Current Labor Composition</t>
  </si>
  <si>
    <t xml:space="preserve">gdp_growth_penalty_pct = PARAMETERS!BASE_GDP_GROWTH_RATE - (PARAMETERS!BASE_GDP_GROWTH_RATE * (1 + final_net_econ_impact_diff / PARAMETERS!TOTAL_GDP_AL))</t>
  </si>
  <si>
    <t xml:space="preserve">Simplified long-term growth impact estimate</t>
  </si>
  <si>
    <t xml:space="preserve">Final Derived Metric: Break-Even Unauthorized Population Share for Neutral Economic Impact</t>
  </si>
  <si>
    <t xml:space="preserve">break_even_unauth_pop_share = PARAMETERS!TOTAL_LABOR_FORCE_AL / (EP_unauth + (EP_unauth * final_econ_impact_per_worker_ratio))</t>
  </si>
  <si>
    <t xml:space="preserve">Approximate unauthorized share that would produce zero net economic drag</t>
  </si>
  <si>
    <t xml:space="preserve">Final Derived Metric: Recommended Policy Threshold for Net Positive Economic Contribution</t>
  </si>
  <si>
    <t xml:space="preserve">positive_econ_threshold_unauth = break_even_unauth_pop_share * PARAMETERS!POSITIVE_CONTRIB_MARGIN</t>
  </si>
  <si>
    <t xml:space="preserve">Conservative upper bound for unauthorized share to remain net positive</t>
  </si>
  <si>
    <t xml:space="preserve">Final Derived Metric: Estimated Annual Economic Gain if Unauthorized Share Reduced to Threshold Level</t>
  </si>
  <si>
    <t xml:space="preserve">scenario_reduce_to_threshold = final_net_econ_impact_diff * (EP_unauth / (EP_unauth + EP_amer)) * PARAMETERS!THRESHOLD_REDUCTION_FACTOR</t>
  </si>
  <si>
    <t xml:space="preserve">Simplified gain from reducing unauthorized share</t>
  </si>
  <si>
    <t xml:space="preserve">Final Derived Metric: Estimated Annual Economic Loss if Unauthorized Share Increased by 50%</t>
  </si>
  <si>
    <t xml:space="preserve">scenario_increase_50pct = final_net_econ_impact_diff * -0.5</t>
  </si>
  <si>
    <t xml:space="preserve">Simplified loss from expanding unauthorized share</t>
  </si>
  <si>
    <t xml:space="preserve">Final Derived Metric: Fiscal + Economic Blended Advantage Multiplier</t>
  </si>
  <si>
    <t xml:space="preserve">final_blended_advantage_multiplier = final_comprehensive_advantage_ratio * final_econ_impact_per_worker_ratio</t>
  </si>
  <si>
    <t xml:space="preserve">Combined fiscal and forward-looking economic advantage</t>
  </si>
  <si>
    <t xml:space="preserve">Final Derived Metric: Comprehensive Statewide Labor Force Impact Score</t>
  </si>
  <si>
    <t xml:space="preserve">final_labor_force_impact_score = (final_blended_advantage_multiplier * PARAMETERS!AMER_WEIGHT) + (final_econ_loss_per_unauth * PARAMETERS!UNAUTH_WEIGHT)</t>
  </si>
  <si>
    <t xml:space="preserve">Weighted overall labor composition score</t>
  </si>
  <si>
    <t xml:space="preserve">Final Derived Metric: Policy Recommendation Index (Net Positive Contribution Threshold)</t>
  </si>
  <si>
    <t xml:space="preserve">policy_recommendation_index = final_labor_force_impact_score / PARAMETERS!NEUTRAL_IMPACT_THRESHOLD</t>
  </si>
  <si>
    <t xml:space="preserve">Index above 1.0 = current composition net positive; below 1.0 = net drag</t>
  </si>
  <si>
    <t xml:space="preserve">Final Derived Metric: Estimated Break-Even Year for Lifetime Fiscal &amp; Economic Neutrality (Unauthorized)</t>
  </si>
  <si>
    <t xml:space="preserve">break_even_year_unauth = PARAMETERS!AVG_WORKING_YEARS_UNAUTH * (ABS(final_net_cost_unauth) / final_econ_loss_per_unauth)</t>
  </si>
  <si>
    <t xml:space="preserve">Approximate years needed to offset lifetime drag (if ever)</t>
  </si>
  <si>
    <t xml:space="preserve">Final Derived Metric: Estimated Break-Even Year for Lifetime Fiscal &amp; Economic Neutrality (American)</t>
  </si>
  <si>
    <t xml:space="preserve">break_even_year_amer = PARAMETERS!AVG_WORKING_YEARS_AMER * (final_net_contrib_amer / final_econ_gain_per_amer)</t>
  </si>
  <si>
    <t xml:space="preserve">Approximate years to reach lifetime neutrality (should be much lower)</t>
  </si>
  <si>
    <t xml:space="preserve">Final Derived Metric: Lifetime Net Economic &amp; Fiscal Advantage Ratio (American vs Unauthorized)</t>
  </si>
  <si>
    <t xml:space="preserve">lifetime_blended_advantage_ratio = (final_net_contrib_amer * break_even_year_amer) / (final_net_cost_unauth * break_even_year_unauth)</t>
  </si>
  <si>
    <t xml:space="preserve">Final lifetime blended advantage</t>
  </si>
  <si>
    <t xml:space="preserve">Final Derived Metric: Projected 10-Year Cumulative Fiscal &amp; Economic Impact Differential (American vs Unauthorized)</t>
  </si>
  <si>
    <t xml:space="preserve">ten_year_impact_diff = (final_net_contrib_amer - final_net_cost_unauth) * 10</t>
  </si>
  <si>
    <t xml:space="preserve">Simplified 10-year cumulative difference</t>
  </si>
  <si>
    <t xml:space="preserve">Final Derived Metric: Projected 30-Year Cumulative Fiscal &amp; Economic Impact Differential (American vs Unauthorized)</t>
  </si>
  <si>
    <t xml:space="preserve">thirty_year_impact_diff = (final_net_contrib_amer - final_net_cost_unauth) * 30</t>
  </si>
  <si>
    <t xml:space="preserve">Simplified 30-year cumulative difference</t>
  </si>
  <si>
    <t xml:space="preserve">Final Derived Metric: Annualized Blended ROI per American Worker (fiscal + economic)</t>
  </si>
  <si>
    <t xml:space="preserve">annualized_roi_amer = (final_net_contrib_amer + final_econ_gain_per_amer) / PARAMETERS!AVG_PUBLIC_INVESTMENT_PER_WORKER</t>
  </si>
  <si>
    <t xml:space="preserve">Approximate return on public investment per American worker</t>
  </si>
  <si>
    <t xml:space="preserve">Final Derived Metric: Annualized Blended ROI per Unauthorized Worker (fiscal + economic)</t>
  </si>
  <si>
    <t xml:space="preserve">annualized_roi_unauth = (final_net_cost_unauth + final_econ_loss_per_unauth) / PARAMETERS!AVG_PUBLIC_INVESTMENT_PER_WORKER</t>
  </si>
  <si>
    <t xml:space="preserve">Approximate return (negative = net loss) per unauthorized worker</t>
  </si>
  <si>
    <t xml:space="preserve">Final Derived Metric: ROI Differential per Worker (American vs Unauthorized)</t>
  </si>
  <si>
    <t xml:space="preserve">roi_differential = annualized_roi_amer - annualized_roi_unauth</t>
  </si>
  <si>
    <t xml:space="preserve">Final per-worker return on public investment difference</t>
  </si>
  <si>
    <t xml:space="preserve">Final Derived Metric: Total Estimated Public Investment ROI Gap (Statewide)</t>
  </si>
  <si>
    <t xml:space="preserve">total_roi_gap = (annualized_roi_amer * EP_amer) - (annualized_roi_unauth * EP_unauth)</t>
  </si>
  <si>
    <t xml:space="preserve">Aggregate annual ROI gap across the labor force</t>
  </si>
  <si>
    <t xml:space="preserve">Final Derived Metric: Policy Break-Even ROI Threshold</t>
  </si>
  <si>
    <t xml:space="preserve">policy_breakeven_roi = 0</t>
  </si>
  <si>
    <t xml:space="preserve">Target annualized ROI needed for fiscal/economic neutrality</t>
  </si>
  <si>
    <t xml:space="preserve">Final Derived Metric: Distance to Neutrality (American Workers)</t>
  </si>
  <si>
    <t xml:space="preserve">distance_to_neutrality_amer = annualized_roi_amer - policy_breakeven_roi</t>
  </si>
  <si>
    <t xml:space="preserve">How far above neutral the average American worker is</t>
  </si>
  <si>
    <t xml:space="preserve">Final Derived Metric: Distance to Neutrality (Unauthorized Workers)</t>
  </si>
  <si>
    <t xml:space="preserve">distance_to_neutrality_unauth = annualized_roi_unauth - policy_breakeven_roi</t>
  </si>
  <si>
    <t xml:space="preserve">How far below neutral the average unauthorized worker is</t>
  </si>
  <si>
    <t xml:space="preserve">Final Derived Metric: Required Wage Increase for Unauthorized Workers to Reach Neutral ROI</t>
  </si>
  <si>
    <t xml:space="preserve">required_wage_increase_pct = (policy_breakeven_roi - annualized_roi_unauth) / PARAMETERS!WAGE_TO_ROI_ELASTICITY</t>
  </si>
  <si>
    <t xml:space="preserve">Approximate wage increase needed for neutrality</t>
  </si>
  <si>
    <t xml:space="preserve">Final Derived Metric: Required Compliance Increase for Unauthorized Workers to Reach Neutral ROI</t>
  </si>
  <si>
    <t xml:space="preserve">required_compliance_increase_pct = (policy_breakeven_roi - annualized_roi_unauth) / PARAMETERS!COMPLIANCE_TO_ROI_ELASTICITY</t>
  </si>
  <si>
    <t xml:space="preserve">Approximate compliance rate increase needed</t>
  </si>
  <si>
    <t xml:space="preserve">Final Derived Metric: Required Benefit Reduction for Unauthorized Workers to Reach Neutral ROI</t>
  </si>
  <si>
    <t xml:space="preserve">required_benefit_reduction_pct = (annualized_roi_unauth - policy_breakeven_roi) / PARAMETERS!BENEFIT_TO_ROI_ELASTICITY</t>
  </si>
  <si>
    <t xml:space="preserve">Approximate reduction in public benefits needed for neutrality</t>
  </si>
  <si>
    <t xml:space="preserve">Final Derived Metric: Combined Policy Adjustment Needed for Neutrality (Weighted)</t>
  </si>
  <si>
    <t xml:space="preserve">policy_adjustment_index_unauth = (required_wage_increase_pct * 0.4) + (required_compliance_increase_pct * 0.4) + (required_benefit_reduction_pct * 0.2)</t>
  </si>
  <si>
    <t xml:space="preserve">Blended policy change index needed to reach fiscal/economic neutrality</t>
  </si>
  <si>
    <t xml:space="preserve">Final Derived Metric: Estimated Time to Neutrality Under Current Trends</t>
  </si>
  <si>
    <t xml:space="preserve">years_to_neutrality_current = PARAMETERS!AVG_WORKING_YEARS_REMAINING_UNAUTH / (annualized_roi_unauth - policy_breakeven_roi)</t>
  </si>
  <si>
    <t xml:space="preserve">Approximate years until natural neutrality (if ever)</t>
  </si>
  <si>
    <t xml:space="preserve">Final Derived Metric: Estimated Time to Neutrality Under Moderate Policy Adjustment</t>
  </si>
  <si>
    <t xml:space="preserve">years_to_neutrality_moderate = PARAMETERS!AVG_WORKING_YEARS_REMAINING_UNAUTH / (annualized_roi_unauth + policy_adjustment_index_unauth * PARAMETERS!POLICY_IMPACT_FACTOR)</t>
  </si>
  <si>
    <t xml:space="preserve">Approximate years with moderate policy changes</t>
  </si>
  <si>
    <t xml:space="preserve">Final Derived Metric: Projected Cumulative Net Fiscal &amp; Economic Gain Over 20 Years (American Workers)</t>
  </si>
  <si>
    <t xml:space="preserve">cumulative_gain_20yr_amer = final_net_contrib_amer * 20 + final_econ_gain_per_amer * 20</t>
  </si>
  <si>
    <t xml:space="preserve">Simplified 20-year cumulative contribution</t>
  </si>
  <si>
    <t xml:space="preserve">Final Derived Metric: Projected Cumulative Net Fiscal &amp; Economic Loss Over 20 Years (Unauthorized Workers)</t>
  </si>
  <si>
    <t xml:space="preserve">cumulative_loss_20yr_unauth = final_net_cost_unauth * 20 + final_econ_loss_per_unauth * 20</t>
  </si>
  <si>
    <t xml:space="preserve">Simplified 20-year cumulative cost</t>
  </si>
  <si>
    <t xml:space="preserve">Final Derived Metric: 20-Year Net Impact Differential (American vs Unauthorized)</t>
  </si>
  <si>
    <t xml:space="preserve">twenty_year_net_diff = cumulative_gain_20yr_amer - cumulative_loss_20yr_unauth</t>
  </si>
  <si>
    <t xml:space="preserve">Final 20-year net difference</t>
  </si>
  <si>
    <t xml:space="preserve">Final Derived Metric: Annualized Blended Advantage per Worker Over 20-Year Horizon</t>
  </si>
  <si>
    <t xml:space="preserve">annualized_20yr_advantage = twenty_year_net_diff / (EP_amer + EP_unauth) / 20</t>
  </si>
  <si>
    <t xml:space="preserve">Final annualized advantage per worker across the labor force</t>
  </si>
  <si>
    <t xml:space="preserve">Final Derived Metric: Projected 50-Year Cumulative Net Fiscal &amp; Economic Impact Differential (American vs Unauthorized)</t>
  </si>
  <si>
    <t xml:space="preserve">fifty_year_net_diff = (final_net_contrib_amer - final_net_cost_unauth) * 50</t>
  </si>
  <si>
    <t xml:space="preserve">Simplified 50-year cumulative fiscal + economic difference</t>
  </si>
  <si>
    <t xml:space="preserve">Final Derived Metric: Lifetime Blended ROI Differential (American vs Unauthorized)</t>
  </si>
  <si>
    <t xml:space="preserve">lifetime_roi_diff = annualized_roi_amer - annualized_roi_unauth</t>
  </si>
  <si>
    <t xml:space="preserve">Final lifetime return-on-investment gap per worker</t>
  </si>
  <si>
    <t xml:space="preserve">Final Derived Metric: Required Policy Adjustment Index to Reach Lifetime Neutrality (Unauthorized)</t>
  </si>
  <si>
    <t xml:space="preserve">lifetime_policy_adjust_index = (lifetime_roi_diff / PARAMETERS!LIFETIME_ROI_ELASTICITY) * PARAMETERS!POLICY_IMPACT_FACTOR</t>
  </si>
  <si>
    <t xml:space="preserve">Blended lifetime policy change needed for neutrality</t>
  </si>
  <si>
    <t xml:space="preserve">Final Derived Metric: Estimated Break-Even Immigration Level for Zero Net Lifetime Drag</t>
  </si>
  <si>
    <t xml:space="preserve">breakeven_imm_level = EP_unauth * (1 - (lifetime_roi_diff / (lifetime_roi_diff + annualized_roi_amer)))</t>
  </si>
  <si>
    <t xml:space="preserve">Approximate maximum unauthorized workforce share for lifetime neutrality</t>
  </si>
  <si>
    <t xml:space="preserve">Final Derived Metric: Projected 20-Year Cumulative GDP Impact Differential</t>
  </si>
  <si>
    <t xml:space="preserve">gdp_impact_20yr_diff = twenty_year_net_diff * PARAMETERS!GDP_MULTIPLIER_LONG_TERM</t>
  </si>
  <si>
    <t xml:space="preserve">Forward-looking 20-year GDP effect estimate</t>
  </si>
  <si>
    <t xml:space="preserve">Final Derived Metric: Projected 50-Year Cumulative GDP Impact Differential</t>
  </si>
  <si>
    <t xml:space="preserve">gdp_impact_50yr_diff = fifty_year_net_diff * PARAMETERS!GDP_MULTIPLIER_LONG_TERM</t>
  </si>
  <si>
    <t xml:space="preserve">Forward-looking 50-year GDP effect estimate</t>
  </si>
  <si>
    <t xml:space="preserve">Final Derived Metric: Long-Term Economic Growth Penalty per Percentage Point Unauthorized Share</t>
  </si>
  <si>
    <t xml:space="preserve">growth_penalty_per_pct_unauth = gdp_growth_penalty_pct / (EP_unauth / EP_AL * 100)</t>
  </si>
  <si>
    <t xml:space="preserve">Annual GDP growth rate reduction per additional percentage point of unauthorized share</t>
  </si>
  <si>
    <t xml:space="preserve">Final Derived Metric: Net Present Value of 30-Year Fiscal &amp; Economic Differential (American vs Unauthorized)</t>
  </si>
  <si>
    <t xml:space="preserve">npv_30yr_diff = twenty_year_net_diff * (1 + PARAMETERS!DISCOUNT_RATE) + thirty_year_impact_diff * (1 + PARAMETERS!DISCOUNT_RATE)^(-10)</t>
  </si>
  <si>
    <t xml:space="preserve">Discounted net present value of 30-year differential</t>
  </si>
  <si>
    <t xml:space="preserve">Final Derived Metric: Internal Rate of Return Differential (American vs Unauthorized Labor)</t>
  </si>
  <si>
    <t xml:space="preserve">irr_diff_approx = PARAMETERS!BASE_IRR_AMER - PARAMETERS!BASE_IRR_UNAUTH</t>
  </si>
  <si>
    <t xml:space="preserve">Approximate IRR gap in labor force composition</t>
  </si>
  <si>
    <t xml:space="preserve">Final Derived Metric: Net Present Value Break-Even Year for Current Composition</t>
  </si>
  <si>
    <t xml:space="preserve">npv_breakeven_year = PARAMETERS!BASE_YEAR + LOG(1 + ABS(npv_30yr_diff) / PARAMETERS!INITIAL_INVESTMENT) / LOG(1 + PARAMETERS!DISCOUNT_RATE)</t>
  </si>
  <si>
    <t xml:space="preserve">Approximate year when cumulative NPV turns neutral</t>
  </si>
  <si>
    <t xml:space="preserve">Final Derived Metric: Fiscal &amp; Economic Payback Period for American Workers</t>
  </si>
  <si>
    <t xml:space="preserve">payback_period_amer = PARAMETERS!AVG_PUBLIC_INVESTMENT_PER_WORKER / final_net_contrib_amer</t>
  </si>
  <si>
    <t xml:space="preserve">Years to recover public investment per American worker</t>
  </si>
  <si>
    <t xml:space="preserve">Final Derived Metric: Fiscal &amp; Economic Payback Period for Unauthorized Workers</t>
  </si>
  <si>
    <t xml:space="preserve">payback_period_unauth = PARAMETERS!AVG_PUBLIC_INVESTMENT_PER_WORKER / ABS(final_net_cost_unauth)</t>
  </si>
  <si>
    <t xml:space="preserve">Years to offset public cost per unauthorized worker (if ever)</t>
  </si>
  <si>
    <t xml:space="preserve">Final Derived Metric: Payback Period Ratio (American vs Unauthorized)</t>
  </si>
  <si>
    <t xml:space="preserve">payback_ratio = payback_period_amer / payback_period_unauth</t>
  </si>
  <si>
    <t xml:space="preserve">Relative speed of fiscal/economic payback</t>
  </si>
  <si>
    <t xml:space="preserve">Final Derived Metric: Estimated Total Public Investment Recovery Rate (American)</t>
  </si>
  <si>
    <t xml:space="preserve">recovery_rate_amer = final_net_contrib_amer / PARAMETERS!AVG_PUBLIC_INVESTMENT_PER_WORKER</t>
  </si>
  <si>
    <t xml:space="preserve">Annual recovery percentage of public investment</t>
  </si>
  <si>
    <t xml:space="preserve">Final Derived Metric: Estimated Total Public Investment Recovery Rate (Unauthorized)</t>
  </si>
  <si>
    <t xml:space="preserve">recovery_rate_unauth = final_net_cost_unauth / PARAMETERS!AVG_PUBLIC_INVESTMENT_PER_WORKER</t>
  </si>
  <si>
    <t xml:space="preserve">Annual loss percentage (negative)</t>
  </si>
  <si>
    <t xml:space="preserve">Final Derived Metric: Comprehensive Public Investment ROI Advantage (American vs Unauthorized)</t>
  </si>
  <si>
    <t xml:space="preserve">public_invest_roi_advantage = recovery_rate_amer - recovery_rate_unauth</t>
  </si>
  <si>
    <t xml:space="preserve">Final blended ROI advantage</t>
  </si>
  <si>
    <t xml:space="preserve">Final Derived Metric: Net Present Value of Public Investment per American Worker (30-year horizon)</t>
  </si>
  <si>
    <t xml:space="preserve">npv_public_invest_amer = final_net_contrib_amer * (1 - (1 + PARAMETERS!DISCOUNT_RATE)^(-30)) / PARAMETERS!DISCOUNT_RATE</t>
  </si>
  <si>
    <t xml:space="preserve">Discounted NPV of contribution</t>
  </si>
  <si>
    <t xml:space="preserve">Final Derived Metric: Net Present Value of Public Investment per Unauthorized Worker (30-year horizon)</t>
  </si>
  <si>
    <t xml:space="preserve">npv_public_invest_unauth = final_net_cost_unauth * (1 - (1 + PARAMETERS!DISCOUNT_RATE)^(-30)) / PARAMETERS!DISCOUNT_RATE</t>
  </si>
  <si>
    <t xml:space="preserve">Discounted NPV of cost (negative)</t>
  </si>
  <si>
    <t xml:space="preserve">Final Derived Metric: NPV per Worker Advantage Ratio (American vs Unauthorized)</t>
  </si>
  <si>
    <t xml:space="preserve">npv_per_worker_advantage = npv_public_invest_amer / ABS(npv_public_invest_unauth)</t>
  </si>
  <si>
    <t xml:space="preserve">Final NPV advantage ratio</t>
  </si>
  <si>
    <t xml:space="preserve">Final Derived Metric: Total Statewide NPV of Labor Force Composition (30-year)</t>
  </si>
  <si>
    <t xml:space="preserve">total_npv_labor = (npv_public_invest_amer * EP_amer) + (npv_public_invest_unauth * EP_unauth)</t>
  </si>
  <si>
    <t xml:space="preserve">Discounted aggregate value of current labor mix</t>
  </si>
  <si>
    <t xml:space="preserve">Final Derived Metric: NPV Improvement if Unauthorized Share Reduced by 50%</t>
  </si>
  <si>
    <t xml:space="preserve">npv_improvement_50pct_reduction = total_npv_labor + (ABS(npv_public_invest_unauth) * EP_unauth * 0.5)</t>
  </si>
  <si>
    <t xml:space="preserve">Estimated NPV gain from halving unauthorized share</t>
  </si>
  <si>
    <t xml:space="preserve">Final Derived Metric: NPV Improvement if Unauthorized Compliance &amp; Wages Matched American Average</t>
  </si>
  <si>
    <t xml:space="preserve">npv_improvement_match_amer = total_npv_labor + (npv_public_invest_unauth * -1 + npv_public_invest_amer * EP_unauth)</t>
  </si>
  <si>
    <t xml:space="preserve">Estimated NPV gain from full assimilation profile</t>
  </si>
  <si>
    <t xml:space="preserve">Final Derived Metric: NPV Break-Even Unauthorized Employment Level</t>
  </si>
  <si>
    <t xml:space="preserve">npv_breakeven_unauth_level = EP_unauth * (total_npv_labor / (total_npv_labor + ABS(npv_public_invest_unauth)))</t>
  </si>
  <si>
    <t xml:space="preserve">Maximum unauthorized employment for NPV neutrality</t>
  </si>
  <si>
    <t xml:space="preserve">Final Derived Metric: Sensitivity of NPV to 1% Change in Unauthorized Wage Growth</t>
  </si>
  <si>
    <t xml:space="preserve">npv_sensitivity_wage_unauth = npv_public_invest_unauth * PARAMETERS!WAGE_TO_NPV_ELASTICITY</t>
  </si>
  <si>
    <t xml:space="preserve">NPV change per 1% unauthorized wage increase</t>
  </si>
  <si>
    <t xml:space="preserve">Final Derived Metric: Sensitivity of NPV to 1% Change in Unauthorized Benefit Cost</t>
  </si>
  <si>
    <t xml:space="preserve">npv_sensitivity_benefit_unauth = npv_public_invest_unauth * PARAMETERS!BENEFIT_TO_NPV_ELASTICITY</t>
  </si>
  <si>
    <t xml:space="preserve">NPV change per 1% benefit cost change</t>
  </si>
  <si>
    <t xml:space="preserve">Final Derived Metric: Sensitivity of NPV to 1% Change in Unauthorized Population Share</t>
  </si>
  <si>
    <t xml:space="preserve">npv_sensitivity_pop_share = total_npv_labor * PARAMETERS!POP_SHARE_TO_NPV_ELASTICITY</t>
  </si>
  <si>
    <t xml:space="preserve">NPV change per 1% shift in unauthorized population share</t>
  </si>
  <si>
    <t xml:space="preserve">Final Derived Metric: Monte Carlo Simulation Proxy – Lower Bound NPV (Pessimistic Unauthorized Scenario)</t>
  </si>
  <si>
    <t xml:space="preserve">npv_lower_bound = total_npv_labor * (1 - PARAMETERS!PESSIMISTIC_UNAUTH_FACTOR)</t>
  </si>
  <si>
    <t xml:space="preserve">Conservative lower-bound NPV estimate</t>
  </si>
  <si>
    <t xml:space="preserve">Final Derived Metric: Monte Carlo Simulation Proxy – Upper Bound NPV (Optimistic Unauthorized Scenario)</t>
  </si>
  <si>
    <t xml:space="preserve">npv_upper_bound = total_npv_labor * (1 + PARAMETERS!OPTIMISTIC_UNAUTH_FACTOR)</t>
  </si>
  <si>
    <t xml:space="preserve">Optimistic upper-bound NPV estimate</t>
  </si>
  <si>
    <t xml:space="preserve">Final Derived Metric: NPV Confidence Interval Width</t>
  </si>
  <si>
    <t xml:space="preserve">npv_conf_interval_width = npv_upper_bound - npv_lower_bound</t>
  </si>
  <si>
    <t xml:space="preserve">Range of uncertainty in NPV estimate</t>
  </si>
  <si>
    <t xml:space="preserve">Final Derived Metric: NPV per Capita (Statewide Labor Force, 30-year horizon)</t>
  </si>
  <si>
    <t xml:space="preserve">npv_per_capita_final = total_npv_labor / LFP_AL</t>
  </si>
  <si>
    <t xml:space="preserve">Discounted per-capita NPV of the labor force</t>
  </si>
  <si>
    <t xml:space="preserve">Final Derived Metric: NPV per Capita Advantage (American vs Unauthorized)</t>
  </si>
  <si>
    <t xml:space="preserve">npv_per_capita_advantage = npv_public_invest_amer - npv_public_invest_unauth</t>
  </si>
  <si>
    <t xml:space="preserve">Final per-capita NPV difference</t>
  </si>
  <si>
    <t xml:space="preserve">Final Derived Metric: Total NPV of Alabama Labor Force Composition (American Workers Contribution)</t>
  </si>
  <si>
    <t xml:space="preserve">total_npv_amer_contrib = npv_public_invest_amer * EP_amer</t>
  </si>
  <si>
    <t xml:space="preserve">Discounted contribution from American workers</t>
  </si>
  <si>
    <t xml:space="preserve">Final Derived Metric: Total NPV of Alabama Labor Force Composition (Unauthorized Workers Cost)</t>
  </si>
  <si>
    <t xml:space="preserve">total_npv_unauth_cost = npv_public_invest_unauth * EP_unauth</t>
  </si>
  <si>
    <t xml:space="preserve">Discounted cost from unauthorized workers</t>
  </si>
  <si>
    <t xml:space="preserve">Final Derived Metric: NPV Net Contribution Ratio (American vs Unauthorized)</t>
  </si>
  <si>
    <t xml:space="preserve">npv_net_contrib_ratio = total_npv_amer_contrib / ABS(total_npv_unauth_cost)</t>
  </si>
  <si>
    <t xml:space="preserve">Final NPV-based net contribution ratio</t>
  </si>
  <si>
    <t xml:space="preserve">Final Derived Metric: NPV Break-Even Wage Growth Rate for Unauthorized Workers</t>
  </si>
  <si>
    <t xml:space="preserve">npv_breakeven_wage_growth = (ABS(npv_public_invest_unauth) / npv_public_invest_unauth) / PARAMETERS!WAGE_GROWTH_ELASTICITY</t>
  </si>
  <si>
    <t xml:space="preserve">Required long-term wage growth rate for neutrality</t>
  </si>
  <si>
    <t xml:space="preserve">Final Derived Metric: NPV Break-Even Benefit Reduction Rate for Unauthorized Workers</t>
  </si>
  <si>
    <t xml:space="preserve">npv_breakeven_benefit_reduction = (ABS(npv_public_invest_unauth) / npv_public_invest_unauth) / PARAMETERS!BENEFIT_REDUCTION_ELASTICITY</t>
  </si>
  <si>
    <t xml:space="preserve">Required long-term benefit reduction rate for neutrality</t>
  </si>
  <si>
    <t xml:space="preserve">Final Derived Metric: NPV Break-Even Compliance Improvement Rate for Unauthorized Workers</t>
  </si>
  <si>
    <t xml:space="preserve">npv_breakeven_compliance_improve = (ABS(npv_public_invest_unauth) / npv_public_invest_unauth) / PARAMETERS!COMPLIANCE_ELASTICITY</t>
  </si>
  <si>
    <t xml:space="preserve">Required long-term compliance increase for neutrality</t>
  </si>
  <si>
    <t xml:space="preserve">Final Derived Metric: Combined NPV Neutrality Policy Mix Index</t>
  </si>
  <si>
    <t xml:space="preserve">npv_neutrality_policy_mix = (npv_breakeven_wage_growth * 0.35) + (npv_breakeven_benefit_reduction * 0.35) + (npv_breakeven_compliance_improve * 0.30)</t>
  </si>
  <si>
    <t xml:space="preserve">Blended policy mix needed to achieve NPV neutrality</t>
  </si>
  <si>
    <t xml:space="preserve">Final Derived Metric: Estimated NPV Gain from 10-Year Policy Adjustment Package</t>
  </si>
  <si>
    <t xml:space="preserve">npv_gain_10yr_policy = npv_neutrality_policy_mix * PARAMETERS!POLICY_IMPLEMENTATION_EFFECTIVENESS * 10</t>
  </si>
  <si>
    <t xml:space="preserve">Projected NPV improvement over 10 years under policy changes</t>
  </si>
  <si>
    <t xml:space="preserve">Final Derived Metric: NPV per Worker (American) vs State Average</t>
  </si>
  <si>
    <t xml:space="preserve">npv_per_worker_vs_avg_amer = npv_public_invest_amer / (total_npv_labor / EP_AL)</t>
  </si>
  <si>
    <t xml:space="preserve">Relative performance of American workers vs statewide average</t>
  </si>
  <si>
    <t xml:space="preserve">Final Derived Metric: NPV per Worker (Unauthorized) vs State Average</t>
  </si>
  <si>
    <t xml:space="preserve">npv_per_worker_vs_avg_unauth = npv_public_invest_unauth / (total_npv_labor / EP_AL)</t>
  </si>
  <si>
    <t xml:space="preserve">Relative performance of unauthorized workers vs statewide average</t>
  </si>
  <si>
    <t xml:space="preserve">Final Derived Metric: NPV Contribution Share – American Workers</t>
  </si>
  <si>
    <t xml:space="preserve">npv_contrib_share_amer = total_npv_amer_contrib / total_npv_labor</t>
  </si>
  <si>
    <t xml:space="preserve">Proportion of total discounted value from American workers</t>
  </si>
  <si>
    <t xml:space="preserve">Final Derived Metric: NPV Contribution Share – Unauthorized Workers</t>
  </si>
  <si>
    <t xml:space="preserve">npv_contrib_share_unauth = total_npv_unauth_cost / total_npv_labor</t>
  </si>
  <si>
    <t xml:space="preserve">Proportion of total discounted value (negative) from unauthorized workers</t>
  </si>
  <si>
    <t xml:space="preserve">Final Derived Metric: NPV Leverage Ratio (American Contribution per Dollar Invested)</t>
  </si>
  <si>
    <t xml:space="preserve">npv_leverage_amer = total_npv_amer_contrib / (PARAMETERS!AVG_PUBLIC_INVESTMENT_PER_WORKER * EP_amer)</t>
  </si>
  <si>
    <t xml:space="preserve">Leverage of public investment in American labor</t>
  </si>
  <si>
    <t xml:space="preserve">Final Derived Metric: NPV Leverage Ratio (Unauthorized Cost per Dollar Invested)</t>
  </si>
  <si>
    <t xml:space="preserve">npv_leverage_unauth = total_npv_unauth_cost / (PARAMETERS!AVG_PUBLIC_INVESTMENT_PER_WORKER * EP_unauth)</t>
  </si>
  <si>
    <t xml:space="preserve">Leverage (negative) of public investment in unauthorized labor</t>
  </si>
  <si>
    <t xml:space="preserve">Final Derived Metric: NPV Leverage Differential</t>
  </si>
  <si>
    <t xml:space="preserve">npv_leverage_diff = npv_leverage_amer - npv_leverage_unauth</t>
  </si>
  <si>
    <t xml:space="preserve">Final leverage advantage</t>
  </si>
  <si>
    <t xml:space="preserve">Final Derived Metric: Total NPV of Alabama Economy Attributable to Labor Force Composition</t>
  </si>
  <si>
    <t xml:space="preserve">total_npv_labor_contrib = total_npv_labor</t>
  </si>
  <si>
    <t xml:space="preserve">Final discounted value added by current labor mix</t>
  </si>
  <si>
    <t xml:space="preserve">Final Derived Metric: NPV Improvement Potential (to American-Only Baseline)</t>
  </si>
  <si>
    <t xml:space="preserve">npv_improvement_potential = total_npv_labor_contrib + ABS(total_npv_unauth_cost)</t>
  </si>
  <si>
    <t xml:space="preserve">Maximum theoretical NPV if labor composition were entirely American-profile</t>
  </si>
  <si>
    <t xml:space="preserve">Final Derived Metric: Percentage of NPV Potential Achieved Under Current Composition</t>
  </si>
  <si>
    <t xml:space="preserve">npv_potential_achieved_pct = total_npv_labor_contrib / (total_npv_labor_contrib + ABS(total_npv_unauth_cost)) * 100</t>
  </si>
  <si>
    <t xml:space="preserve">How close current mix is to theoretical maximum NPV</t>
  </si>
  <si>
    <t xml:space="preserve">Final Derived Metric: NPV per Capita Improvement Potential (to American-Only Baseline)</t>
  </si>
  <si>
    <t xml:space="preserve">npv_per_capita_improvement = npv_improvement_potential / LFP_AL</t>
  </si>
  <si>
    <t xml:space="preserve">Per-capita gain possible under full assimilation scenario</t>
  </si>
  <si>
    <t xml:space="preserve">Final Derived Metric: NPV per Capita Improvement Potential (to Neutral Baseline)</t>
  </si>
  <si>
    <t xml:space="preserve">npv_per_capita_to_neutral = npv_per_capita_final - (total_npv_labor / LFP_AL * PARAMETERS!NEUTRAL_NPV_FACTOR)</t>
  </si>
  <si>
    <t xml:space="preserve">Per-capita gain possible if labor composition reached NPV-neutral point</t>
  </si>
  <si>
    <t xml:space="preserve">Final Derived Metric: NPV per Capita Loss if Unauthorized Share Increased by 25%</t>
  </si>
  <si>
    <t xml:space="preserve">npv_per_capita_loss_25pct_increase = npv_per_capita_final * (1 - PARAMETERS!UNAUTH_SHARE_INCREASE_IMPACT)</t>
  </si>
  <si>
    <t xml:space="preserve">Per-capita NPV reduction under moderate unauthorized population growth scenario</t>
  </si>
  <si>
    <t xml:space="preserve">Final Derived Metric: NPV per Capita Gain if Unauthorized Share Reduced by 50%</t>
  </si>
  <si>
    <t xml:space="preserve">npv_per_capita_gain_50pct_reduce = npv_per_capita_final * (1 + PARAMETERS!UNAUTH_SHARE_REDUCTION_IMPACT)</t>
  </si>
  <si>
    <t xml:space="preserve">Per-capita NPV increase under strong enforcement / attrition scenario</t>
  </si>
  <si>
    <t xml:space="preserve">Final Derived Metric: NPV Elasticity to Unauthorized Employment Share</t>
  </si>
  <si>
    <t xml:space="preserve">npv_elasticity_unauth_share = npv_per_capita_final * PARAMETERS!UNAUTH_SHARE_TO_NPV_ELASTICITY</t>
  </si>
  <si>
    <t xml:space="preserve">Percentage change in per-capita NPV per 1% change in unauthorized employment share</t>
  </si>
  <si>
    <t xml:space="preserve">Final Derived Metric: NPV Break-Even Point – Unauthorized Employment Share for Zero NPV Drag</t>
  </si>
  <si>
    <t xml:space="preserve">npv_breakeven_unauth_share = PARAMETERS!ZERO_NPV_UNAUTH_SHARE_THRESHOLD</t>
  </si>
  <si>
    <t xml:space="preserve">Maximum sustainable unauthorized share for NPV neutrality</t>
  </si>
  <si>
    <t xml:space="preserve">Final Derived Metric: NPV Sensitivity to Discount Rate (±1%)</t>
  </si>
  <si>
    <t xml:space="preserve">npv_sensitivity_discount_rate = total_npv_labor * PARAMETERS!DISCOUNT_RATE_SENSITIVITY_FACTOR</t>
  </si>
  <si>
    <t xml:space="preserve">Approximate NPV change if discount rate shifts by 1 percentage point</t>
  </si>
  <si>
    <t xml:space="preserve">Final Derived Metric: NPV Sensitivity to Long-Term Wage Growth Differential</t>
  </si>
  <si>
    <t xml:space="preserve">wage_growth_npv_sensitivity = total_npv_labor * (PARAMETERS!WAGE_GROWTH_DIFF * PARAMETERS!WAGE_TO_NPV_ELASTICITY)</t>
  </si>
  <si>
    <t xml:space="preserve">NPV impact of persistent wage growth gap between groups</t>
  </si>
  <si>
    <t xml:space="preserve">Final Derived Metric: NPV Sensitivity to Benefit Cost Inflation Rate</t>
  </si>
  <si>
    <t xml:space="preserve">benefit_inflation_npv_sensitivity = total_npv_labor * PARAMETERS!BENEFIT_INFLATION_RATE * PARAMETERS!BENEFIT_TO_NPV_ELASTICITY</t>
  </si>
  <si>
    <t xml:space="preserve">NPV impact if public benefits grow faster than wages</t>
  </si>
  <si>
    <t xml:space="preserve">Final Derived Metric: NPV Stress Test – High Remittance Scenario</t>
  </si>
  <si>
    <t xml:space="preserve">npv_stress_high_remittance = total_npv_labor - (remittance_total_outflow * PARAMETERS!HIGH_REMITTANCE_MULTIPLIER)</t>
  </si>
  <si>
    <t xml:space="preserve">NPV under pessimistic remittance outflow assumption</t>
  </si>
  <si>
    <t xml:space="preserve">Final Derived Metric: NPV Stress Test – Low Compliance Scenario</t>
  </si>
  <si>
    <t xml:space="preserve">npv_stress_low_compliance = total_npv_labor - (total_tax_gap_unauth * PARAMETERS!LOW_COMPLIANCE_FACTOR)</t>
  </si>
  <si>
    <t xml:space="preserve">NPV under worse-than-expected tax compliance</t>
  </si>
  <si>
    <t xml:space="preserve">Final Derived Metric: NPV Stress Test – High Public Assistance Uptake</t>
  </si>
  <si>
    <t xml:space="preserve">npv_stress_high_assistance = total_npv_labor - (total_public_benefit_unauth * PARAMETERS!HIGH_ASSISTANCE_UPTAKE_FACTOR)</t>
  </si>
  <si>
    <t xml:space="preserve">NPV under scenario of broader benefit access</t>
  </si>
  <si>
    <t xml:space="preserve">Final Derived Metric: NPV Optimistic Scenario – Full Compliance &amp; High Local Spending</t>
  </si>
  <si>
    <t xml:space="preserve">npv_optimistic_full = total_npv_labor + (total_tax_gap_unauth * PARAMETERS!FULL_COMPLIANCE_GAIN) + (remittance_total_outflow * PARAMETERS!HIGH_LOCAL_SPEND_GAIN)</t>
  </si>
  <si>
    <t xml:space="preserve">Best-case NPV assuming policy success</t>
  </si>
  <si>
    <t xml:space="preserve">Final Derived Metric: NPV Range (Stress Test to Optimistic)</t>
  </si>
  <si>
    <t xml:space="preserve">npv_full_range = npv_optimistic_full - npv_stress_high_remittance</t>
  </si>
  <si>
    <t xml:space="preserve">Total plausible NPV uncertainty band</t>
  </si>
  <si>
    <t xml:space="preserve">Final Derived Metric: Probability-Weighted Expected NPV (simplified Bayesian proxy)</t>
  </si>
  <si>
    <t xml:space="preserve">expected_npv = (npv_optimistic_full * 0.25) + (total_npv_labor * 0.50) + (npv_stress_high_remittance * 0.25)</t>
  </si>
  <si>
    <t xml:space="preserve">Approximate expected value under subjective scenario probabilities</t>
  </si>
  <si>
    <t xml:space="preserve">Final Derived Metric: NPV per Worker Required for Statewide Economic Neutrality</t>
  </si>
  <si>
    <t xml:space="preserve">npv_per_worker_neutral = total_npv_labor / EP_AL</t>
  </si>
  <si>
    <t xml:space="preserve">Average NPV per worker needed to maintain current statewide economic position</t>
  </si>
  <si>
    <t xml:space="preserve">Final Derived Metric: NPV Shortfall per Unauthorized Worker</t>
  </si>
  <si>
    <t xml:space="preserve">npv_shortfall_unauth = npv_per_worker_neutral - npv_public_invest_unauth</t>
  </si>
  <si>
    <t xml:space="preserve">How far each unauthorized worker is from contributing to neutrality</t>
  </si>
  <si>
    <t xml:space="preserve">Final Derived Metric: NPV Excess per American Worker</t>
  </si>
  <si>
    <t xml:space="preserve">npv_excess_amer = npv_public_invest_amer - npv_per_worker_neutral</t>
  </si>
  <si>
    <t xml:space="preserve">How much extra each American worker contributes above neutrality</t>
  </si>
  <si>
    <t xml:space="preserve">Final Derived Metric: NPV Neutrality Gap Closure Rate per Policy Point</t>
  </si>
  <si>
    <t xml:space="preserve">neutrality_gap_closure_rate = (npv_shortfall_unauth / policy_adjustment_index_unauth)</t>
  </si>
  <si>
    <t xml:space="preserve">NPV improvement per unit of blended policy effort</t>
  </si>
  <si>
    <t xml:space="preserve">Final Derived Metric: NPV per Capita Under American-Only Baseline</t>
  </si>
  <si>
    <t xml:space="preserve">npv_per_capita_amer_only = (npv_public_invest_amer * EP_AL) / LFP_AL</t>
  </si>
  <si>
    <t xml:space="preserve">Theoretical per-capita NPV if entire labor force matched American profile</t>
  </si>
  <si>
    <t xml:space="preserve">Final Derived Metric: NPV per Capita Gap to American-Only Baseline</t>
  </si>
  <si>
    <t xml:space="preserve">npv_per_capita_gap_to_amer = npv_per_capita_amer_only - npv_per_capita_final</t>
  </si>
  <si>
    <t xml:space="preserve">Per-capita loss due to current labor composition</t>
  </si>
  <si>
    <t xml:space="preserve">Final Derived Metric: Percentage of Theoretical Maximum NPV Currently Achieved</t>
  </si>
  <si>
    <t xml:space="preserve">pct_max_npv_achieved = (npv_per_capita_final / npv_per_capita_amer_only) * 100</t>
  </si>
  <si>
    <t xml:space="preserve">How close current composition is to the theoretical American-only maximum</t>
  </si>
  <si>
    <t xml:space="preserve">Final Derived Metric: NPV per Capita Improvement if Compliance Matched Average Rate</t>
  </si>
  <si>
    <t xml:space="preserve">npv_gain_compliance = total_npv_labor + (total_tax_gap_unauth * PARAMETERS!COMPLIANCE_GAIN_FACTOR)</t>
  </si>
  <si>
    <t xml:space="preserve">Per-capita NPV increase under full compliance scenario</t>
  </si>
  <si>
    <t xml:space="preserve">Final Derived Metric: NPV per Capita Improvement if Remittances Reduced to Zero</t>
  </si>
  <si>
    <t xml:space="preserve">npv_gain_zero_remittance = total_npv_labor + (remittance_total_outflow * PARAMETERS!REMITTANCE_RETENTION_FACTOR)</t>
  </si>
  <si>
    <t xml:space="preserve">Per-capita gain if all immigrant earnings stayed in-state</t>
  </si>
  <si>
    <t xml:space="preserve">Final Derived Metric: Combined NPV Improvement Potential (Compliance + Remittance + Wages)</t>
  </si>
  <si>
    <t xml:space="preserve">npv_improvement_max_policy = npv_gain_compliance + npv_gain_zero_remittance + (npv_shortfall_unauth * EP_unauth * PARAMETERS!WAGE_POLICY_GAIN_FACTOR)</t>
  </si>
  <si>
    <t xml:space="preserve">Maximum plausible per-capita NPV gain under multi-pronged policy</t>
  </si>
  <si>
    <t xml:space="preserve">Final Derived Metric: NPV per Capita Under Neutral Labor Composition Scenario</t>
  </si>
  <si>
    <t xml:space="preserve">npv_per_capita_neutral_scenario = npv_per_capita_final + (npv_improvement_max_policy * 0.6)</t>
  </si>
  <si>
    <t xml:space="preserve">Approximate per-capita NPV if moderate policy package implemented</t>
  </si>
  <si>
    <t xml:space="preserve">Final Derived Metric: NPV per Capita Long-Term Growth Penalty</t>
  </si>
  <si>
    <t xml:space="preserve">npv_per_capita_growth_penalty = npv_per_capita_final * growth_penalty_per_pct_unauth * PARAMETERS!LONG_TERM_UNAUTH_SHARE</t>
  </si>
  <si>
    <t xml:space="preserve">Estimated per-capita NPV reduction from sustained labor composition effect</t>
  </si>
  <si>
    <t xml:space="preserve">Final Derived Metric: NPV Break-Even Discount Rate for Neutrality</t>
  </si>
  <si>
    <t xml:space="preserve">npv_breakeven_discount_rate = PARAMETERS!DISCOUNT_RATE + (npv_per_capita_gap_to_amer / total_npv_labor * PARAMETERS!DISCOUNT_RATE_SENSITIVITY_FACTOR)</t>
  </si>
  <si>
    <t xml:space="preserve">Discount rate at which current composition would appear neutral</t>
  </si>
  <si>
    <t xml:space="preserve">Final Derived Metric: NPV Break-Even Wage Growth Rate for Neutrality (Long-Term)</t>
  </si>
  <si>
    <t xml:space="preserve">npv_breakeven_longterm_wage_growth = growth_penalty_per_pct_unauth / PARAMETERS!WAGE_GROWTH_TO_GDP_ELASTICITY</t>
  </si>
  <si>
    <t xml:space="preserve">Required long-term wage convergence rate to eliminate growth penalty</t>
  </si>
  <si>
    <t xml:space="preserve">Final Derived Metric: NPV Break-Even Benefit Growth Rate for Neutrality</t>
  </si>
  <si>
    <t xml:space="preserve">npv_breakeven_benefit_growth = PARAMETERS!BENEFIT_INFLATION_RATE - (npv_shortfall_unauth / total_npv_labor * PARAMETERS!BENEFIT_ELASTICITY)</t>
  </si>
  <si>
    <t xml:space="preserve">Maximum sustainable benefit growth rate without worsening NPV</t>
  </si>
  <si>
    <t xml:space="preserve">Final Derived Metric: NPV Neutrality Timeline under Status Quo</t>
  </si>
  <si>
    <t xml:space="preserve">trend_neutrality_years_status_quo = years_to_neutrality_current</t>
  </si>
  <si>
    <t xml:space="preserve">Years until natural neutrality under current trends (often infinite/negative)</t>
  </si>
  <si>
    <t xml:space="preserve">Final Derived Metric: NPV Neutrality Timeline under Moderate Policy Package</t>
  </si>
  <si>
    <t xml:space="preserve">trend_neutrality_years_moderate = years_to_neutrality_moderate</t>
  </si>
  <si>
    <t xml:space="preserve">Years until neutrality under moderate policy changes</t>
  </si>
  <si>
    <t xml:space="preserve">Final Derived Metric: NPV Neutrality Timeline under Aggressive Policy Package</t>
  </si>
  <si>
    <t xml:space="preserve">trend_neutrality_years_aggressive = PARAMETERS!AVG_WORKING_YEARS_REMAINING_UNAUTH / (annualized_roi_unauth + policy_adjustment_index_unauth * 2)</t>
  </si>
  <si>
    <t xml:space="preserve">Years under strong enforcement / assimilation policy</t>
  </si>
  <si>
    <t xml:space="preserve">Final Derived Metric: NPV per Capita Forecast – 2035 (Moderate Policy)</t>
  </si>
  <si>
    <t xml:space="preserve">npv_per_capita_2035_moderate = npv_per_capita_final * (1 + PARAMETERS!BASE_GDP_GROWTH_RATE * 9) + npv_improvement_max_policy * 0.6</t>
  </si>
  <si>
    <t xml:space="preserve">Projected per-capita NPV in 2035 under moderate scenario</t>
  </si>
  <si>
    <t xml:space="preserve">Final Derived Metric: NPV per Capita Forecast – 2055 (Long-Term Moderate Policy)</t>
  </si>
  <si>
    <t xml:space="preserve">npv_per_capita_2055_moderate = npv_per_capita_2035_moderate * (1 + PARAMETERS!BASE_GDP_GROWTH_RATE * 20)</t>
  </si>
  <si>
    <t xml:space="preserve">Extended 30-year projection</t>
  </si>
  <si>
    <t xml:space="preserve">Final Derived Metric: NPV per Capita Forecast – 2035 (No Policy Change)</t>
  </si>
  <si>
    <t xml:space="preserve">npv_per_capita_2035_no_policy = npv_per_capita_final * (1 + (PARAMETERS!BASE_GDP_GROWTH_RATE - growth_penalty_per_pct_unauth) * 9)</t>
  </si>
  <si>
    <t xml:space="preserve">Projection under status quo</t>
  </si>
  <si>
    <t xml:space="preserve">Final Derived Metric: NPV per Capita Forecast Gap – Policy vs No Policy (2035)</t>
  </si>
  <si>
    <t xml:space="preserve">npv_2035_policy_gap = npv_per_capita_2035_moderate - npv_per_capita_2035_no_policy</t>
  </si>
  <si>
    <t xml:space="preserve">Projected per-capita gain from implementing policy</t>
  </si>
  <si>
    <t xml:space="preserve">Final Derived Metric: NPV per Capita Forecast Gap – Policy vs No Policy (2055)</t>
  </si>
  <si>
    <t xml:space="preserve">npv_2055_policy_gap = npv_per_capita_2055_moderate - (npv_per_capita_final * (1 + (PARAMETERS!BASE_GDP_GROWTH_RATE - growth_penalty_per_pct_unauth) * 29))</t>
  </si>
  <si>
    <t xml:space="preserve">Extended long-term gain projection</t>
  </si>
  <si>
    <t xml:space="preserve">Final Derived Metric: Total Statewide NPV Gain Potential by 2055 (Cumulative)</t>
  </si>
  <si>
    <t xml:space="preserve">cumulative_npv_gain_2055 = npv_2055_policy_gap * LFP_AL * 30</t>
  </si>
  <si>
    <t xml:space="preserve">Approximate total discounted value gain over 30 years</t>
  </si>
  <si>
    <t xml:space="preserve">Final Derived Metric: Annualized NPV Gain per Capita by 2055</t>
  </si>
  <si>
    <t xml:space="preserve">annualized_npv_gain_2055 = cumulative_npv_gain_2055 / 30 / LFP_AL</t>
  </si>
  <si>
    <t xml:space="preserve">Average annual per-capita gain under policy scenario</t>
  </si>
  <si>
    <t xml:space="preserve">Final Derived Metric: NPV per Capita Ratio (Policy Scenario vs Status Quo 2055)</t>
  </si>
  <si>
    <t xml:space="preserve">npv_2055_policy_vs_status_quo = npv_per_capita_2055_moderate / (npv_per_capita_final * (1 + (PARAMETERS!BASE_GDP_GROWTH_RATE - growth_penalty_per_pct_unauth) * 29))</t>
  </si>
  <si>
    <t xml:space="preserve">Relative improvement in per-capita wealth</t>
  </si>
  <si>
    <t xml:space="preserve">Final Derived Metric: Final Comprehensive Labor Composition Index (Higher = Better)</t>
  </si>
  <si>
    <t xml:space="preserve">final_labor_composition_index = (final_blended_advantage_multiplier + final_econ_impact_per_worker_ratio + npv_per_capita_final / PARAMETERS!NEUTRAL_NPV_PER_CAPITA) / 3</t>
  </si>
  <si>
    <t xml:space="preserve">Normalized composite score of current labor mix</t>
  </si>
  <si>
    <t xml:space="preserve">Final Derived Metric: Final Policy Urgency Index (Higher = Greater Need for Adjustment)</t>
  </si>
  <si>
    <t xml:space="preserve">final_policy_urgency_index = 1 / final_labor_composition_index</t>
  </si>
  <si>
    <t xml:space="preserve">Inverse of composition index – higher score indicates greater structural imbalance</t>
  </si>
  <si>
    <t xml:space="preserve">Final Derived Metric: Recommended Maximum Sustainable Unauthorized Employment Share</t>
  </si>
  <si>
    <t xml:space="preserve">recommended_max_unauth_share = positive_econ_threshold_unauth * PARAMETERS!SAFETY_MARGIN_FACTOR</t>
  </si>
  <si>
    <t xml:space="preserve">Conservative policy target share</t>
  </si>
  <si>
    <t xml:space="preserve">Final Derived Metric: Current Deviation from Recommended Share</t>
  </si>
  <si>
    <t xml:space="preserve">current_deviation_from_recommended = (EP_unauth / EP_AL) - recommended_max_unauth_share</t>
  </si>
  <si>
    <t xml:space="preserve">Percentage point gap between current and target unauthorized share</t>
  </si>
  <si>
    <t xml:space="preserve">Final Derived Metric: Estimated Annual Fiscal &amp; Economic Gain to Reach Recommended Share</t>
  </si>
  <si>
    <t xml:space="preserve">annual_gain_to_recommended = current_deviation_from_recommended * EP_AL * (final_net_contrib_amer - final_net_cost_unauth)</t>
  </si>
  <si>
    <t xml:space="preserve">Annual gain if unauthorized share adjusted to target</t>
  </si>
  <si>
    <t xml:space="preserve">Final Derived Metric: Estimated 10-Year Cumulative Gain to Reach Recommended Share</t>
  </si>
  <si>
    <t xml:space="preserve">cumulative_gain_10yr_target = annual_gain_to_recommended * 10</t>
  </si>
  <si>
    <t xml:space="preserve">10-year total gain under target adjustment</t>
  </si>
  <si>
    <t xml:space="preserve">Final Derived Metric: Estimated 30-Year Cumulative Gain to Reach Recommended Share</t>
  </si>
  <si>
    <t xml:space="preserve">cumulative_gain_30yr_target = annual_gain_to_recommended * 30</t>
  </si>
  <si>
    <t xml:space="preserve">30-year total gain under target adjustment</t>
  </si>
  <si>
    <t xml:space="preserve">Final Derived Metric: NPV Gain Potential from Reaching Recommended Share</t>
  </si>
  <si>
    <t xml:space="preserve">npv_gain_recommended_share = cumulative_gain_30yr_target * (1 - (1 + PARAMETERS!DISCOUNT_RATE)^(-30)) / PARAMETERS!DISCOUNT_RATE</t>
  </si>
  <si>
    <t xml:space="preserve">Discounted value of long-term adjustment</t>
  </si>
  <si>
    <t xml:space="preserve">Final Derived Metric: Final Comprehensive Net Advantage Score (American Labor Dominance)</t>
  </si>
  <si>
    <t xml:space="preserve">final_net_advantage_score = final_comprehensive_advantage_ratio * final_labor_composition_index * (1 + current_deviation_from_recommended)</t>
  </si>
  <si>
    <t xml:space="preserve">Blended final score combining fiscal, economic, NPV, and policy alignment</t>
  </si>
  <si>
    <t xml:space="preserve">Final Derived Metric: Alabama Labor Force Composition – Overall Assessment Grade</t>
  </si>
  <si>
    <t xml:space="preserve">final_assessment_grade = IF(final_net_advantage_score &gt; 1.5, "Strong", IF(final_net_advantage_score &gt; 1.0, "Moderate Positive", IF(final_net_advantage_score &gt; 0.5, "Marginal", "Net Negative")))</t>
  </si>
  <si>
    <t xml:space="preserve">Categorical final judgment of current labor force composition</t>
  </si>
  <si>
    <t xml:space="preserve">Final Derived Metric: NPV per Capita Forecast – 2035 (Aggressive Policy Scenario)</t>
  </si>
  <si>
    <t xml:space="preserve">npv_per_capita_2035_aggressive = npv_per_capita_final * (1 + PARAMETERS!BASE_GDP_GROWTH_RATE * 9) + npv_improvement_max_policy * 0.9</t>
  </si>
  <si>
    <t xml:space="preserve">Projected per-capita NPV in 2035 under strong policy changes</t>
  </si>
  <si>
    <t xml:space="preserve">Final Derived Metric: NPV per Capita Forecast – 2055 (Aggressive Policy Scenario)</t>
  </si>
  <si>
    <t xml:space="preserve">npv_per_capita_2055_aggressive = npv_per_capita_2035_aggressive * (1 + PARAMETERS!BASE_GDP_GROWTH_RATE * 20)</t>
  </si>
  <si>
    <t xml:space="preserve">Extended 30-year projection under aggressive scenario</t>
  </si>
  <si>
    <t xml:space="preserve">Final Derived Metric: NPV per Capita Forecast Gap – Aggressive Policy vs Status Quo (2055)</t>
  </si>
  <si>
    <t xml:space="preserve">npv_2055_aggressive_vs_status = npv_per_capita_2055_aggressive - (npv_per_capita_final * (1 + (PARAMETERS!BASE_GDP_GROWTH_RATE - growth_penalty_per_pct_unauth) * 29))</t>
  </si>
  <si>
    <t xml:space="preserve">Long-term per-capita gain under aggressive enforcement/assimilation</t>
  </si>
  <si>
    <t xml:space="preserve">Final Derived Metric: Cumulative NPV Gain Potential by 2055 (Aggressive Policy)</t>
  </si>
  <si>
    <t xml:space="preserve">cumulative_npv_gain_2055_aggressive = (npv_2055_aggressive_vs_status * LFP_AL) * 30</t>
  </si>
  <si>
    <t xml:space="preserve">Total discounted value gain over 30 years under strong policy</t>
  </si>
  <si>
    <t xml:space="preserve">Final Derived Metric: Annualized NPV Gain per Capita by 2055 (Aggressive)</t>
  </si>
  <si>
    <t xml:space="preserve">annualized_npv_gain_2055_aggressive = cumulative_npv_gain_2055_aggressive / 30 / LFP_AL</t>
  </si>
  <si>
    <t xml:space="preserve">Average annual per-capita gain under aggressive scenario</t>
  </si>
  <si>
    <t xml:space="preserve">Final Derived Metric: NPV per Capita Ratio (Aggressive Policy vs Status Quo 2055)</t>
  </si>
  <si>
    <t xml:space="preserve">npv_2055_aggressive_ratio = npv_per_capita_2055_aggressive / (npv_per_capita_final * (1 + (PARAMETERS!BASE_GDP_GROWTH_RATE - growth_penalty_per_pct_unauth) * 29))</t>
  </si>
  <si>
    <t xml:space="preserve">Relative long-term improvement under aggressive policy</t>
  </si>
  <si>
    <t xml:space="preserve">Final Derived Metric: NPV per Capita Forecast – 2035 (Pessimistic Scenario)</t>
  </si>
  <si>
    <t xml:space="preserve">npv_per_capita_2035_pessimistic = npv_per_capita_final * (1 + (PARAMETERS!BASE_GDP_GROWTH_RATE - PARAMETERS!PESSIMISTIC_GROWTH_PENALTY) * 9)</t>
  </si>
  <si>
    <t xml:space="preserve">Projection under worst-case assumptions</t>
  </si>
  <si>
    <t xml:space="preserve">Final Derived Metric: NPV per Capita Forecast – 2055 (Pessimistic Scenario)</t>
  </si>
  <si>
    <t xml:space="preserve">npv_per_capita_2055_pessimistic = npv_per_capita_2035_pessimistic * (1 + (PARAMETERS!BASE_GDP_GROWTH_RATE - PARAMETERS!PESSIMISTIC_GROWTH_PENALTY) * 20)</t>
  </si>
  <si>
    <t xml:space="preserve">Extended pessimistic long-term projection</t>
  </si>
  <si>
    <t xml:space="preserve">Final Derived Metric: NPV per Capita Forecast Gap – Moderate Policy vs Pessimistic (2055)</t>
  </si>
  <si>
    <t xml:space="preserve">npv_2055_moderate_vs_pessimistic = npv_per_capita_2055_moderate - npv_per_capita_2055_pessimistic</t>
  </si>
  <si>
    <t xml:space="preserve">Relative gain of moderate policy over do-nothing decline</t>
  </si>
  <si>
    <t xml:space="preserve">Final Derived Metric: NPV per Capita Forecast Gap – Aggressive Policy vs Pessimistic (2055)</t>
  </si>
  <si>
    <t xml:space="preserve">npv_2055_aggressive_vs_pessimistic = npv_per_capita_2055_aggressive - npv_per_capita_2055_pessimistic</t>
  </si>
  <si>
    <t xml:space="preserve">Relative gain of aggressive policy over do-nothing decline</t>
  </si>
  <si>
    <t xml:space="preserve">Final Derived Metric: Long-Term NPV per Capita Divergence under Status Quo</t>
  </si>
  <si>
    <t xml:space="preserve">npv_per_capita_divergence_status_quo = npv_per_capita_2055_pessimistic - npv_per_capita_final</t>
  </si>
  <si>
    <t xml:space="preserve">Projected per-capita NPV loss under no-policy trajectory</t>
  </si>
  <si>
    <t xml:space="preserve">Final Derived Metric: Long-Term NPV per Capita Divergence under Moderate Policy</t>
  </si>
  <si>
    <t xml:space="preserve">npv_per_capita_divergence_moderate = npv_per_capita_2055_moderate - npv_per_capita_final</t>
  </si>
  <si>
    <t xml:space="preserve">Projected per-capita NPV change under moderate policy</t>
  </si>
  <si>
    <t xml:space="preserve">Final Derived Metric: Long-Term NPV per Capita Divergence under Aggressive Policy</t>
  </si>
  <si>
    <t xml:space="preserve">npv_per_capita_divergence_aggressive = npv_per_capita_2055_aggressive - npv_per_capita_final</t>
  </si>
  <si>
    <t xml:space="preserve">Projected per-capita NPV change under aggressive policy</t>
  </si>
  <si>
    <t xml:space="preserve">Final Derived Metric: NPV per Capita Required to Maintain Current Standard of Living</t>
  </si>
  <si>
    <t xml:space="preserve">npv_per_capita_required_maintain = npv_per_capita_final * (1 + PARAMETERS!INFLATION_ADJUSTED_GROWTH)</t>
  </si>
  <si>
    <t xml:space="preserve">Per-capita NPV needed to keep real living standards constant</t>
  </si>
  <si>
    <t xml:space="preserve">Final Derived Metric: NPV per Capita Shortfall to Maintain Living Standards (Status Quo)</t>
  </si>
  <si>
    <t xml:space="preserve">npv_shortfall_maintain_status = npv_per_capita_required_maintain - npv_per_capita_2055_pessimistic</t>
  </si>
  <si>
    <t xml:space="preserve">Projected shortfall under no-policy path</t>
  </si>
  <si>
    <t xml:space="preserve">Final Derived Metric: NPV per Capita Shortfall to Maintain Living Standards (Moderate Policy)</t>
  </si>
  <si>
    <t xml:space="preserve">npv_shortfall_maintain_moderate = npv_per_capita_required_maintain - npv_per_capita_2055_moderate</t>
  </si>
  <si>
    <t xml:space="preserve">Projected shortfall/gain under moderate policy</t>
  </si>
  <si>
    <t xml:space="preserve">Final Derived Metric: NPV per Capita Shortfall to Maintain Living Standards (Aggressive Policy)</t>
  </si>
  <si>
    <t xml:space="preserve">npv_shortfall_maintain_aggressive = npv_per_capita_required_maintain - npv_per_capita_2055_aggressive</t>
  </si>
  <si>
    <t xml:space="preserve">Projected shortfall/gain under aggressive policy</t>
  </si>
  <si>
    <t xml:space="preserve">Final Derived Metric: Annual Real Per Capita Income Growth Needed to Offset Status Quo Decline</t>
  </si>
  <si>
    <t xml:space="preserve">required_growth_offset_status = (npv_shortfall_maintain_status / npv_per_capita_final) / 30</t>
  </si>
  <si>
    <t xml:space="preserve">Required annual real growth rate to prevent decline under status quo</t>
  </si>
  <si>
    <t xml:space="preserve">Final Derived Metric: Annual Real Per Capita Income Growth Needed to Offset Moderate Policy Path</t>
  </si>
  <si>
    <t xml:space="preserve">required_growth_offset_moderate = (npv_shortfall_maintain_moderate / npv_per_capita_final) / 30</t>
  </si>
  <si>
    <t xml:space="preserve">Required growth rate under moderate policy</t>
  </si>
  <si>
    <t xml:space="preserve">Final Derived Metric: Annual Real Per Capita Income Growth Needed to Offset Aggressive Policy Path</t>
  </si>
  <si>
    <t xml:space="preserve">required_growth_offset_aggressive = (npv_shortfall_maintain_aggressive / npv_per_capita_final) / 30</t>
  </si>
  <si>
    <t xml:space="preserve">Required growth rate under aggressive policy (likely negative = surplus)</t>
  </si>
  <si>
    <t xml:space="preserve">Final Derived Metric: NPV per Capita Forecast – 2035 (Zero Remittance Scenario)</t>
  </si>
  <si>
    <t xml:space="preserve">npv_per_capita_2035_zero_remit = npv_per_capita_final * (1 + PARAMETERS!BASE_GDP_GROWTH_RATE * 9) + (remittance_total_outflow * PARAMETERS!REMITTANCE_RETENTION_FACTOR)</t>
  </si>
  <si>
    <t xml:space="preserve">Projection assuming no remittances leave the state</t>
  </si>
  <si>
    <t xml:space="preserve">Final Derived Metric: NPV per Capita Forecast – 2055 (Zero Remittance Scenario)</t>
  </si>
  <si>
    <t xml:space="preserve">npv_per_capita_2055_zero_remit = npv_per_capita_2035_zero_remit * (1 + PARAMETERS!BASE_GDP_GROWTH_RATE * 20)</t>
  </si>
  <si>
    <t xml:space="preserve">Extended projection under zero-remittance assumption</t>
  </si>
  <si>
    <t xml:space="preserve">Final Derived Metric: NPV per Capita Gain from Eliminating Remittance Outflow (2055)</t>
  </si>
  <si>
    <t xml:space="preserve">npv_gain_zero_remit_2055 = npv_per_capita_2055_zero_remit - npv_per_capita_2055_moderate</t>
  </si>
  <si>
    <t xml:space="preserve">Additional long-term per-capita gain if all earnings retained locally</t>
  </si>
  <si>
    <t xml:space="preserve">Final Derived Metric: NPV per Capita Forecast – 2035 (Full Compliance Scenario)</t>
  </si>
  <si>
    <t xml:space="preserve">npv_per_capita_2035_full_compl = npv_per_capita_final * (1 + PARAMETERS!BASE_GDP_GROWTH_RATE * 9) + (total_tax_gap_unauth * PARAMETERS!FULL_COMPLIANCE_GAIN)</t>
  </si>
  <si>
    <t xml:space="preserve">Projection assuming 100% tax compliance</t>
  </si>
  <si>
    <t xml:space="preserve">Final Derived Metric: NPV per Capita Forecast – 2055 (Full Compliance Scenario)</t>
  </si>
  <si>
    <t xml:space="preserve">npv_per_capita_2055_full_compl = npv_per_capita_2035_full_compl * (1 + PARAMETERS!BASE_GDP_GROWTH_RATE * 20)</t>
  </si>
  <si>
    <t xml:space="preserve">Extended projection under full compliance</t>
  </si>
  <si>
    <t xml:space="preserve">Final Derived Metric: NPV per Capita Gain from Full Tax Compliance (2055)</t>
  </si>
  <si>
    <t xml:space="preserve">npv_gain_full_compl_2055 = npv_per_capita_2055_full_compl - npv_per_capita_2055_moderate</t>
  </si>
  <si>
    <t xml:space="preserve">Long-term per-capita benefit of achieving average compliance</t>
  </si>
  <si>
    <t xml:space="preserve">Final Derived Metric: NPV per Capita Forecast – 2035 (Combined Moderate Policy + Full Compliance + Zero Remittance)</t>
  </si>
  <si>
    <t xml:space="preserve">npv_per_capita_2035_best_case = npv_per_capita_final * (1 + PARAMETERS!BASE_GDP_GROWTH_RATE * 9) + npv_improvement_max_policy * 0.6 + (total_tax_gap_unauth * PARAMETERS!FULL_COMPLIANCE_GAIN) + (remittance_total_outflow * PARAMETERS!REMITTANCE_RETENTION_FACTOR)</t>
  </si>
  <si>
    <t xml:space="preserve">Best plausible combined scenario projection</t>
  </si>
  <si>
    <t xml:space="preserve">Final Derived Metric: NPV per Capita Forecast – 2055 (Combined Best-Case Scenario)</t>
  </si>
  <si>
    <t xml:space="preserve">npv_per_capita_2055_best_case = npv_per_capita_2035_best_case * (1 + PARAMETERS!BASE_GDP_GROWTH_RATE * 20)</t>
  </si>
  <si>
    <t xml:space="preserve">Extended best-case long-term projection</t>
  </si>
  <si>
    <t xml:space="preserve">Final Derived Metric: NPV per Capita Gap – Best-Case vs Status Quo (2055)</t>
  </si>
  <si>
    <t xml:space="preserve">npv_2055_best_vs_status = npv_per_capita_2055_best_case - npv_per_capita_2055_pessimistic</t>
  </si>
  <si>
    <t xml:space="preserve">Maximum plausible long-term per-capita gain from policy + compliance + retention</t>
  </si>
  <si>
    <t xml:space="preserve">Final Derived Metric: Total Cumulative NPV Gain Potential by 2055 (Best-Case)</t>
  </si>
  <si>
    <t xml:space="preserve">cumulative_npv_gain_2055_best = (npv_2055_best_vs_status * LFP_AL) * 30</t>
  </si>
  <si>
    <t xml:space="preserve">Total discounted value gain under most favorable combined scenario</t>
  </si>
  <si>
    <t xml:space="preserve">Final Derived Metric: Annualized NPV Gain per Capita by 2055 (Best-Case)</t>
  </si>
  <si>
    <t xml:space="preserve">annualized_npv_gain_2055_best = cumulative_npv_gain_2055_best / 30 / LFP_AL</t>
  </si>
  <si>
    <t xml:space="preserve">Average annual per-capita gain in best-case scenario</t>
  </si>
  <si>
    <t xml:space="preserve">Final Derived Metric: NPV per Capita Ratio – Best-Case vs Status Quo (2055)</t>
  </si>
  <si>
    <t xml:space="preserve">npv_2055_best_ratio = npv_per_capita_2055_best_case / npv_per_capita_2055_pessimistic</t>
  </si>
  <si>
    <t xml:space="preserve">Relative long-term improvement under optimal conditions</t>
  </si>
  <si>
    <t xml:space="preserve">Final Derived Metric: NPV per Capita Forecast – 2035 (High Immigration Growth Scenario)</t>
  </si>
  <si>
    <t xml:space="preserve">npv_per_capita_2035_high_imm = npv_per_capita_final * (1 + (PARAMETERS!BASE_GDP_GROWTH_RATE - PARAMETERS!HIGH_UNAUTH_GROWTH_PENALTY) * 9)</t>
  </si>
  <si>
    <t xml:space="preserve">Projection under rapid unauthorized population growth</t>
  </si>
  <si>
    <t xml:space="preserve">Final Derived Metric: NPV per Capita Forecast – 2055 (High Immigration Growth Scenario)</t>
  </si>
  <si>
    <t xml:space="preserve">npv_per_capita_2055_high_imm = npv_per_capita_2035_high_imm * (1 + (PARAMETERS!BASE_GDP_GROWTH_RATE - PARAMETERS!HIGH_UNAUTH_GROWTH_PENALTY) * 20)</t>
  </si>
  <si>
    <t xml:space="preserve">Extended high-immigration long-term projection</t>
  </si>
  <si>
    <t xml:space="preserve">Final Derived Metric: NPV per Capita Forecast Gap – Moderate Policy vs High Immigration (2055)</t>
  </si>
  <si>
    <t xml:space="preserve">npv_2055_moderate_vs_high_imm = npv_per_capita_2055_moderate - npv_per_capita_2055_high_imm</t>
  </si>
  <si>
    <t xml:space="preserve">Relative gain of moderate policy over uncontrolled growth scenario</t>
  </si>
  <si>
    <t xml:space="preserve">Final Derived Metric: NPV per Capita Forecast Gap – Aggressive Policy vs High Immigration (2055)</t>
  </si>
  <si>
    <t xml:space="preserve">npv_2055_aggressive_vs_high_imm = npv_per_capita_2055_aggressive - npv_per_capita_2055_high_imm</t>
  </si>
  <si>
    <t xml:space="preserve">Relative gain of aggressive policy over uncontrolled growth</t>
  </si>
  <si>
    <t xml:space="preserve">Final Derived Metric: Long-Term NPV per Capita Divergence under High Immigration Scenario</t>
  </si>
  <si>
    <t xml:space="preserve">npv_per_capita_divergence_high_imm = npv_per_capita_2055_high_imm - npv_per_capita_final</t>
  </si>
  <si>
    <t xml:space="preserve">Projected per-capita NPV loss under rapid unauthorized growth</t>
  </si>
  <si>
    <t xml:space="preserve">Final Derived Metric: Annual Real Per Capita Income Growth Needed to Offset High Immigration Decline</t>
  </si>
  <si>
    <t xml:space="preserve">required_growth_offset_high_imm = (npv_per_capita_divergence_high_imm / npv_per_capita_final) / 30</t>
  </si>
  <si>
    <t xml:space="preserve">Required growth rate to neutralize high-immigration path</t>
  </si>
  <si>
    <t xml:space="preserve">Final Derived Metric: NPV per Capita Forecast – 2035 (Zero Unauthorized Scenario)</t>
  </si>
  <si>
    <t xml:space="preserve">npv_per_capita_2035_zero_unauth = npv_per_capita_final * (1 + PARAMETERS!BASE_GDP_GROWTH_RATE * 9) + (ABS(npv_public_invest_unauth) * EP_unauth)</t>
  </si>
  <si>
    <t xml:space="preserve">Projection if unauthorized labor entirely removed/replaced</t>
  </si>
  <si>
    <t xml:space="preserve">Final Derived Metric: NPV per Capita Forecast – 2055 (Zero Unauthorized Scenario)</t>
  </si>
  <si>
    <t xml:space="preserve">npv_per_capita_2055_zero_unauth = npv_per_capita_2035_zero_unauth * (1 + PARAMETERS!BASE_GDP_GROWTH_RATE * 20)</t>
  </si>
  <si>
    <t xml:space="preserve">Extended zero-unauthorized long-term projection</t>
  </si>
  <si>
    <t xml:space="preserve">Final Derived Metric: NPV per Capita Gain from Zero Unauthorized Labor (2055)</t>
  </si>
  <si>
    <t xml:space="preserve">npv_gain_zero_unauth_2055 = npv_per_capita_2055_zero_unauth - npv_per_capita_2055_moderate</t>
  </si>
  <si>
    <t xml:space="preserve">Additional long-term per-capita gain under complete removal scenario</t>
  </si>
  <si>
    <t xml:space="preserve">Final Derived Metric: NPV per Capita Forecast Gap – Zero Unauthorized vs Status Quo (2055)</t>
  </si>
  <si>
    <t xml:space="preserve">npv_2055_zero_vs_status = npv_per_capita_2055_zero_unauth - npv_per_capita_2055_pessimistic</t>
  </si>
  <si>
    <t xml:space="preserve">Relative gain of zero-unauthorized vs no-policy path</t>
  </si>
  <si>
    <t xml:space="preserve">Final Derived Metric: NPV per Capita Forecast Gap – Zero Unauthorized vs Aggressive Policy (2055)</t>
  </si>
  <si>
    <t xml:space="preserve">npv_2055_zero_vs_aggressive = npv_per_capita_2055_zero_unauth - npv_per_capita_2055_aggressive</t>
  </si>
  <si>
    <t xml:space="preserve">Relative gain of complete removal vs strong enforcement</t>
  </si>
  <si>
    <t xml:space="preserve">Final Derived Metric: NPV per Capita Forecast – 2035 (American-Only Baseline)</t>
  </si>
  <si>
    <t xml:space="preserve">npv_per_capita_2035_amer_only = npv_per_capita_amer_only * (1 + PARAMETERS!BASE_GDP_GROWTH_RATE * 9)</t>
  </si>
  <si>
    <t xml:space="preserve">Theoretical American-only projection in 2035</t>
  </si>
  <si>
    <t xml:space="preserve">Final Derived Metric: NPV per Capita Forecast – 2055 (American-Only Baseline)</t>
  </si>
  <si>
    <t xml:space="preserve">npv_per_capita_2055_amer_only = npv_per_capita_2035_amer_only * (1 + PARAMETERS!BASE_GDP_GROWTH_RATE * 20)</t>
  </si>
  <si>
    <t xml:space="preserve">Extended theoretical American-only long-term projection</t>
  </si>
  <si>
    <t xml:space="preserve">Final Derived Metric: NPV per Capita Gap – American-Only vs Status Quo (2055)</t>
  </si>
  <si>
    <t xml:space="preserve">npv_2055_amer_only_vs_status = npv_per_capita_2055_amer_only - npv_per_capita_2055_pessimistic</t>
  </si>
  <si>
    <t xml:space="preserve">Maximum theoretical long-term per-capita gain under full American profile</t>
  </si>
  <si>
    <t xml:space="preserve">Final Derived Metric: NPV per Capita Gap – American-Only vs Moderate Policy (2055)</t>
  </si>
  <si>
    <t xml:space="preserve">npv_2055_amer_only_vs_moderate = npv_per_capita_2055_amer_only - npv_per_capita_2055_moderate</t>
  </si>
  <si>
    <t xml:space="preserve">Remaining gap even under moderate policy</t>
  </si>
  <si>
    <t xml:space="preserve">Final Derived Metric: NPV per Capita Gap – American-Only vs Aggressive Policy (2055)</t>
  </si>
  <si>
    <t xml:space="preserve">npv_2055_amer_only_vs_aggressive = npv_per_capita_2055_amer_only - npv_per_capita_2055_aggressive</t>
  </si>
  <si>
    <t xml:space="preserve">Remaining gap under aggressive policy</t>
  </si>
  <si>
    <t xml:space="preserve">Final Derived Metric: NPV per Capita Gap – American-Only vs Zero Unauthorized (2055)</t>
  </si>
  <si>
    <t xml:space="preserve">npv_2055_amer_only_vs_zero = npv_per_capita_2055_amer_only - npv_per_capita_2055_zero_unauth</t>
  </si>
  <si>
    <t xml:space="preserve">Difference between pure American profile and removal scenario</t>
  </si>
  <si>
    <t xml:space="preserve">Final Derived Metric: Final NPV per Capita Theoretical Ceiling (American-Only Long-Term)</t>
  </si>
  <si>
    <t xml:space="preserve">npv_per_capita_ceiling = npv_per_capita_2055_amer_only</t>
  </si>
  <si>
    <t xml:space="preserve">Absolute maximum plausible per-capita NPV under idealized labor composition</t>
  </si>
  <si>
    <t xml:space="preserve">Final Derived Metric: NPV per Capita Forecast – 2035 (Zero Unauthorized + Full Compliance)</t>
  </si>
  <si>
    <t xml:space="preserve">npv_per_capita_2035_zero_full = npv_per_capita_2035_zero_unauth + (total_tax_gap_unauth * PARAMETERS!FULL_COMPLIANCE_GAIN)</t>
  </si>
  <si>
    <t xml:space="preserve">Projection combining complete removal of unauthorized labor + full tax compliance</t>
  </si>
  <si>
    <t xml:space="preserve">Final Derived Metric: NPV per Capita Forecast – 2055 (Zero Unauthorized + Full Compliance)</t>
  </si>
  <si>
    <t xml:space="preserve">npv_per_capita_2055_zero_full = npv_per_capita_2035_zero_full * (1 + PARAMETERS!BASE_GDP_GROWTH_RATE * 20)</t>
  </si>
  <si>
    <t xml:space="preserve">Extended long-term projection under zero unauthorized + full compliance</t>
  </si>
  <si>
    <t xml:space="preserve">Final Derived Metric: NPV per Capita Gain from Zero Unauthorized + Full Compliance (2055)</t>
  </si>
  <si>
    <t xml:space="preserve">npv_gain_zero_full_2055 = npv_per_capita_2055_zero_full - npv_per_capita_2055_moderate</t>
  </si>
  <si>
    <t xml:space="preserve">Additional long-term per-capita gain under most aggressive combined scenario</t>
  </si>
  <si>
    <t xml:space="preserve">Final Derived Metric: NPV per Capita Forecast Gap – Zero Unauthorized + Full Compliance vs Aggressive Policy (2055)</t>
  </si>
  <si>
    <t xml:space="preserve">npv_2055_zero_full_vs_aggressive = npv_per_capita_2055_zero_full - npv_per_capita_2055_aggressive</t>
  </si>
  <si>
    <t xml:space="preserve">Relative gain of complete removal + compliance vs strong enforcement alone</t>
  </si>
  <si>
    <t xml:space="preserve">Final Derived Metric: NPV per Capita Forecast – 2035 (American-Only + High Local Spending)</t>
  </si>
  <si>
    <t xml:space="preserve">npv_per_capita_2035_amer_high_spend = npv_per_capita_2035_amer_only * (1 + PARAMETERS!HIGH_LOCAL_SPEND_GAIN)</t>
  </si>
  <si>
    <t xml:space="preserve">Projection under American-only baseline with maximized local circulation</t>
  </si>
  <si>
    <t xml:space="preserve">Final Derived Metric: NPV per Capita Forecast – 2055 (American-Only + High Local Spending)</t>
  </si>
  <si>
    <t xml:space="preserve">npv_per_capita_2055_amer_high_spend = npv_per_capita_2035_amer_high_spend * (1 + PARAMETERS!BASE_GDP_GROWTH_RATE * 20)</t>
  </si>
  <si>
    <t xml:space="preserve">Extended theoretical maximum projection</t>
  </si>
  <si>
    <t xml:space="preserve">Final Derived Metric: NPV per Capita Ceiling under Idealized Conditions (2055)</t>
  </si>
  <si>
    <t xml:space="preserve">npv_per_capita_absolute_ceiling = npv_per_capita_2055_amer_high_spend</t>
  </si>
  <si>
    <t xml:space="preserve">Upper theoretical bound per-capita NPV under perfect labor &amp; spending profile</t>
  </si>
  <si>
    <t xml:space="preserve">Final Derived Metric: NPV per Capita Gap to Absolute Ceiling (Current vs Ideal 2055)</t>
  </si>
  <si>
    <t xml:space="preserve">npv_ceiling_gap_2055 = npv_per_capita_absolute_ceiling - npv_per_capita_2055_pessimistic</t>
  </si>
  <si>
    <t xml:space="preserve">Total long-term per-capita gap between status quo and idealized scenario</t>
  </si>
  <si>
    <t xml:space="preserve">Final Derived Metric: NPV per Capita Gap to Absolute Ceiling (Moderate Policy vs Ideal 2055)</t>
  </si>
  <si>
    <t xml:space="preserve">npv_ceiling_gap_moderate_2055 = npv_per_capita_absolute_ceiling - npv_per_capita_2055_moderate</t>
  </si>
  <si>
    <t xml:space="preserve">Remaining gap under moderate policy</t>
  </si>
  <si>
    <t xml:space="preserve">Final Derived Metric: NPV per Capita Gap to Absolute Ceiling (Aggressive Policy vs Ideal 2055)</t>
  </si>
  <si>
    <t xml:space="preserve">npv_ceiling_gap_aggressive_2055 = npv_per_capita_absolute_ceiling - npv_per_capita_2055_aggressive</t>
  </si>
  <si>
    <t xml:space="preserve">Final Derived Metric: Percentage of Absolute NPV Ceiling Achieved under Current Composition</t>
  </si>
  <si>
    <t xml:space="preserve">pct_ceiling_achieved_current = (npv_per_capita_final / npv_per_capita_absolute_ceiling) * 100</t>
  </si>
  <si>
    <t xml:space="preserve">How close current mix is to the theoretical maximum</t>
  </si>
  <si>
    <t xml:space="preserve">Final Derived Metric: Percentage of Absolute NPV Ceiling Achieved under Aggressive Policy</t>
  </si>
  <si>
    <t xml:space="preserve">pct_ceiling_achieved_aggressive = (npv_per_capita_2055_aggressive / npv_per_capita_absolute_ceiling) * 100</t>
  </si>
  <si>
    <t xml:space="preserve">How close aggressive policy gets to theoretical maximum</t>
  </si>
  <si>
    <t xml:space="preserve">Final Derived Metric: Percentage of Absolute NPV Ceiling Achieved under Zero Unauthorized Scenario</t>
  </si>
  <si>
    <t xml:space="preserve">pct_ceiling_achieved_zero_unauth = (npv_per_capita_2055_zero_unauth / npv_per_capita_absolute_ceiling) * 100</t>
  </si>
  <si>
    <t xml:space="preserve">How close complete removal gets to theoretical maximum</t>
  </si>
  <si>
    <t xml:space="preserve">Final Derived Metric: NPV per Capita Improvement Needed to Reach 90% of Ceiling</t>
  </si>
  <si>
    <t xml:space="preserve">npv_improvement_to_90pct_ceiling = (npv_per_capita_absolute_ceiling * 0.9) - npv_per_capita_final</t>
  </si>
  <si>
    <t xml:space="preserve">Per-capita gain required to achieve 90% of theoretical maximum</t>
  </si>
  <si>
    <t xml:space="preserve">Final Derived Metric: Policy Effort Index Required to Reach 90% of Ceiling</t>
  </si>
  <si>
    <t xml:space="preserve">policy_effort_to_90pct = npv_improvement_to_90pct_ceiling / npv_improvement_max_policy</t>
  </si>
  <si>
    <t xml:space="preserve">Multiple of current maximum plausible policy effect needed</t>
  </si>
  <si>
    <t xml:space="preserve">Final Derived Metric: NPV per Capita Forecast – 2035 (High Wage Convergence Scenario)</t>
  </si>
  <si>
    <t xml:space="preserve">npv_per_capita_2035_wage_conv = npv_per_capita_final * (1 + PARAMETERS!BASE_GDP_GROWTH_RATE * 9) + (npv_shortfall_unauth * EP_unauth * PARAMETERS!WAGE_CONVERGENCE_FACTOR)</t>
  </si>
  <si>
    <t xml:space="preserve">Projection assuming rapid wage convergence between groups</t>
  </si>
  <si>
    <t xml:space="preserve">Final Derived Metric: NPV per Capita Forecast – 2055 (High Wage Convergence Scenario)</t>
  </si>
  <si>
    <t xml:space="preserve">npv_per_capita_2055_wage_conv = npv_per_capita_2035_wage_conv * (1 + PARAMETERS!BASE_GDP_GROWTH_RATE * 20)</t>
  </si>
  <si>
    <t xml:space="preserve">Extended projection under high wage convergence</t>
  </si>
  <si>
    <t xml:space="preserve">Final Derived Metric: NPV per Capita Gain from High Wage Convergence (2055)</t>
  </si>
  <si>
    <t xml:space="preserve">npv_gain_wage_conv_2055 = npv_per_capita_2055_wage_conv - npv_per_capita_2055_moderate</t>
  </si>
  <si>
    <t xml:space="preserve">Long-term per-capita benefit from closing wage gap</t>
  </si>
  <si>
    <t xml:space="preserve">Final Derived Metric: NPV per Capita Forecast – 2035 (High Compliance Convergence Scenario)</t>
  </si>
  <si>
    <t xml:space="preserve">npv_per_capita_2035_compl_conv = npv_per_capita_final * (1 + PARAMETERS!BASE_GDP_GROWTH_RATE * 9) + (total_tax_gap_unauth * PARAMETERS!COMPLIANCE_CONVERGENCE_FACTOR)</t>
  </si>
  <si>
    <t xml:space="preserve">Projection assuming rapid compliance convergence</t>
  </si>
  <si>
    <t xml:space="preserve">Final Derived Metric: NPV per Capita Forecast – 2055 (High Compliance Convergence Scenario)</t>
  </si>
  <si>
    <t xml:space="preserve">npv_per_capita_2055_compl_conv = npv_per_capita_2035_compl_conv * (1 + PARAMETERS!BASE_GDP_GROWTH_RATE * 20)</t>
  </si>
  <si>
    <t xml:space="preserve">Extended projection under high compliance convergence</t>
  </si>
  <si>
    <t xml:space="preserve">Final Derived Metric: NPV per Capita Gain from High Compliance Convergence (2055)</t>
  </si>
  <si>
    <t xml:space="preserve">npv_gain_compl_conv_2055 = npv_per_capita_2055_compl_conv - npv_per_capita_2055_moderate</t>
  </si>
  <si>
    <t xml:space="preserve">Long-term per-capita benefit from closing compliance gap</t>
  </si>
  <si>
    <t xml:space="preserve">Final Derived Metric: Combined Convergence Gain (Wage + Compliance) (2055)</t>
  </si>
  <si>
    <t xml:space="preserve">npv_gain_combined_conv_2055 = npv_gain_wage_conv_2055 + npv_gain_compl_conv_2055</t>
  </si>
  <si>
    <t xml:space="preserve">Total long-term gain from wage &amp; compliance convergence</t>
  </si>
  <si>
    <t xml:space="preserve">Final Derived Metric: NPV per Capita Forecast Gap – Combined Convergence vs Status Quo (2055)</t>
  </si>
  <si>
    <t xml:space="preserve">npv_2055_conv_vs_status = npv_per_capita_2055_wage_conv + npv_gain_compl_conv_2055 - npv_per_capita_2055_pessimistic</t>
  </si>
  <si>
    <t xml:space="preserve">Relative gain of convergence path vs no-policy decline</t>
  </si>
  <si>
    <t xml:space="preserve">Final Derived Metric: NPV per Capita Forecast – 2035 (High Local Spending Convergence)</t>
  </si>
  <si>
    <t xml:space="preserve">npv_per_capita_2035_spend_conv = npv_per_capita_final * (1 + PARAMETERS!BASE_GDP_GROWTH_RATE * 9) + (remittance_total_outflow * PARAMETERS!SPENDING_CONVERGENCE_FACTOR)</t>
  </si>
  <si>
    <t xml:space="preserve">Projection assuming rapid increase in local spending retention</t>
  </si>
  <si>
    <t xml:space="preserve">Final Derived Metric: NPV per Capita Forecast – 2055 (High Local Spending Convergence)</t>
  </si>
  <si>
    <t xml:space="preserve">npv_per_capita_2055_spend_conv = npv_per_capita_2035_spend_conv * (1 + PARAMETERS!BASE_GDP_GROWTH_RATE * 20)</t>
  </si>
  <si>
    <t xml:space="preserve">Extended projection under high local spending convergence</t>
  </si>
  <si>
    <t xml:space="preserve">Final Derived Metric: NPV per Capita Gain from High Local Spending Convergence (2055)</t>
  </si>
  <si>
    <t xml:space="preserve">npv_gain_spend_conv_2055 = npv_per_capita_2055_spend_conv - npv_per_capita_2055_moderate</t>
  </si>
  <si>
    <t xml:space="preserve">Long-term per-capita benefit from reducing remittance leakage</t>
  </si>
  <si>
    <t xml:space="preserve">Final Derived Metric: NPV per Capita Forecast Gap – Triple Convergence vs Status Quo (2055)</t>
  </si>
  <si>
    <t xml:space="preserve">npv_2055_triple_conv_vs_status = npv_per_capita_2055_wage_conv + npv_gain_compl_conv_2055 + npv_gain_spend_conv_2055 - npv_per_capita_2055_pessimistic</t>
  </si>
  <si>
    <t xml:space="preserve">Relative gain of combined wage + compliance + spending convergence</t>
  </si>
  <si>
    <t xml:space="preserve">Final Derived Metric: Final Triple Convergence NPV Ceiling (2055)</t>
  </si>
  <si>
    <t xml:space="preserve">npv_triple_ceiling_2055 = npv_per_capita_2055_wage_conv + npv_gain_compl_conv_2055 + npv_gain_spend_conv_2055</t>
  </si>
  <si>
    <t xml:space="preserve">Upper bound under idealized convergence of wages, compliance, and spending</t>
  </si>
  <si>
    <t xml:space="preserve">Final Derived Metric: Percentage of Triple Convergence Ceiling Achieved under Current Composition</t>
  </si>
  <si>
    <t xml:space="preserve">pct_triple_ceiling_current = (npv_per_capita_final / npv_triple_ceiling_2055) * 100</t>
  </si>
  <si>
    <t xml:space="preserve">How close current situation is to convergence ideal</t>
  </si>
  <si>
    <t xml:space="preserve">Final Derived Metric: Percentage of Triple Convergence Ceiling Achieved under Aggressive Policy</t>
  </si>
  <si>
    <t xml:space="preserve">pct_triple_ceiling_aggressive = (npv_per_capita_2055_aggressive / npv_triple_ceiling_2055) * 100</t>
  </si>
  <si>
    <t xml:space="preserve">How close aggressive policy gets to convergence ideal</t>
  </si>
  <si>
    <t xml:space="preserve">Final Derived Metric: Triple Convergence NPV per Capita Gap to Current (2055)</t>
  </si>
  <si>
    <t xml:space="preserve">triple_conv_gap_2055 = npv_triple_ceiling_2055 - npv_per_capita_2055_pessimistic</t>
  </si>
  <si>
    <t xml:space="preserve">Total long-term per-capita gap to convergence ideal</t>
  </si>
  <si>
    <t xml:space="preserve">Final Derived Metric: Annualized Triple Convergence Gain per Capita (2055)</t>
  </si>
  <si>
    <t xml:space="preserve">annualized_triple_gain_2055 = triple_conv_gap_2055 / 30</t>
  </si>
  <si>
    <t xml:space="preserve">Average annual per-capita gain needed to reach convergence ceiling</t>
  </si>
  <si>
    <t xml:space="preserve">Final Derived Metric: Required Annual Policy Convergence Rate to Reach Triple Ceiling</t>
  </si>
  <si>
    <t xml:space="preserve">annual_convergence_rate_needed = (triple_conv_gap_2055 / npv_per_capita_final) / 30</t>
  </si>
  <si>
    <t xml:space="preserve">Required annual rate of convergence progress</t>
  </si>
  <si>
    <t xml:space="preserve">Final Derived Metric: NPV per Capita Forecast – 2035 (Stagnant Wage Scenario)</t>
  </si>
  <si>
    <t xml:space="preserve">npv_per_capita_2035_stagnant = npv_per_capita_final * (1 + (PARAMETERS!BASE_GDP_GROWTH_RATE - PARAMETERS!STAGNANT_WAGE_PENALTY) * 9)</t>
  </si>
  <si>
    <t xml:space="preserve">Projection under no real wage growth</t>
  </si>
  <si>
    <t xml:space="preserve">Final Derived Metric: NPV per Capita Forecast – 2055 (Stagnant Wage Scenario)</t>
  </si>
  <si>
    <t xml:space="preserve">npv_per_capita_2055_stagnant = npv_per_capita_2035_stagnant * (1 + (PARAMETERS!BASE_GDP_GROWTH_RATE - PARAMETERS!STAGNANT_WAGE_PENALTY) * 20)</t>
  </si>
  <si>
    <t xml:space="preserve">Extended stagnant-wage long-term projection</t>
  </si>
  <si>
    <t xml:space="preserve">Final Derived Metric: NPV per Capita Forecast Gap – Moderate Policy vs Stagnant Wage (2055)</t>
  </si>
  <si>
    <t xml:space="preserve">npv_2055_moderate_vs_stagnant = npv_per_capita_2055_moderate - npv_per_capita_2055_stagnant</t>
  </si>
  <si>
    <t xml:space="preserve">Relative gain of moderate policy over wage stagnation path</t>
  </si>
  <si>
    <t xml:space="preserve">Final Derived Metric: NPV per Capita Forecast Gap – Aggressive Policy vs Stagnant Wage (2055)</t>
  </si>
  <si>
    <t xml:space="preserve">npv_2055_aggressive_vs_stagnant = npv_per_capita_2055_aggressive - npv_per_capita_2055_stagnant</t>
  </si>
  <si>
    <t xml:space="preserve">Relative gain of aggressive policy over wage stagnation path</t>
  </si>
  <si>
    <t xml:space="preserve">Final Derived Metric: NPV per Capita Forecast – 2035 (High Inflation Scenario)</t>
  </si>
  <si>
    <t xml:space="preserve">npv_per_capita_2035_high_infl = npv_per_capita_final * (1 + (PARAMETERS!BASE_GDP_GROWTH_RATE - PARAMETERS!HIGH_INFLATION_PENALTY) * 9)</t>
  </si>
  <si>
    <t xml:space="preserve">Projection under elevated inflation eroding real gains</t>
  </si>
  <si>
    <t xml:space="preserve">Final Derived Metric: NPV per Capita Forecast – 2055 (High Inflation Scenario)</t>
  </si>
  <si>
    <t xml:space="preserve">npv_per_capita_2055_high_infl = npv_per_capita_2035_high_infl * (1 + (PARAMETERS!BASE_GDP_GROWTH_RATE - PARAMETERS!HIGH_INFLATION_PENALTY) * 20)</t>
  </si>
  <si>
    <t xml:space="preserve">Extended high-inflation long-term projection</t>
  </si>
  <si>
    <t xml:space="preserve">Final Derived Metric: NPV per Capita Forecast Gap – Moderate Policy vs High Inflation (2055)</t>
  </si>
  <si>
    <t xml:space="preserve">npv_2055_moderate_vs_high_infl = npv_per_capita_2055_moderate - npv_per_capita_2055_high_infl</t>
  </si>
  <si>
    <t xml:space="preserve">Relative gain of moderate policy over high-inflation path</t>
  </si>
  <si>
    <t xml:space="preserve">Final Derived Metric: NPV per Capita Forecast Gap – Aggressive Policy vs High Inflation (2055)</t>
  </si>
  <si>
    <t xml:space="preserve">npv_2055_aggressive_vs_high_infl = npv_per_capita_2055_aggressive - npv_per_capita_2055_high_infl</t>
  </si>
  <si>
    <t xml:space="preserve">Relative gain of aggressive policy over high-inflation path</t>
  </si>
  <si>
    <t xml:space="preserve">Final Derived Metric: Final NPV per Capita Resilience Score (Higher = More Robust)</t>
  </si>
  <si>
    <t xml:space="preserve">final_npv_resilience_score = (npv_per_capita_2055_moderate - npv_per_capita_2055_pessimistic) / (npv_per_capita_2055_high_infl - npv_per_capita_2055_stagnant)</t>
  </si>
  <si>
    <t xml:space="preserve">Normalized resilience to downside scenarios</t>
  </si>
  <si>
    <t xml:space="preserve">Final Derived Metric: NPV per Capita Forecast – 2035 (Optimistic Convergence + High Growth)</t>
  </si>
  <si>
    <t xml:space="preserve">npv_per_capita_2035_opt_conv_high_growth = npv_per_capita_2035_best_case * (1 + PARAMETERS!OPTIMISTIC_GROWTH_BOOST)</t>
  </si>
  <si>
    <t xml:space="preserve">Projection under best-case convergence + above-trend growth</t>
  </si>
  <si>
    <t xml:space="preserve">Final Derived Metric: NPV per Capita Forecast – 2055 (Optimistic Convergence + High Growth)</t>
  </si>
  <si>
    <t xml:space="preserve">npv_per_capita_2055_opt_conv_high_growth = npv_per_capita_2035_opt_conv_high_growth * (1 + PARAMETERS!OPTIMISTIC_GROWTH_BOOST * 2)</t>
  </si>
  <si>
    <t xml:space="preserve">Extended optimistic long-term projection</t>
  </si>
  <si>
    <t xml:space="preserve">Final Derived Metric: NPV per Capita Forecast Gap – Optimistic Convergence vs Aggressive Policy (2055)</t>
  </si>
  <si>
    <t xml:space="preserve">npv_2055_opt_conv_vs_aggressive = npv_per_capita_2055_opt_conv_high_growth - npv_per_capita_2055_aggressive</t>
  </si>
  <si>
    <t xml:space="preserve">Relative gain of optimistic convergence + high growth vs aggressive policy alone</t>
  </si>
  <si>
    <t xml:space="preserve">Final Derived Metric: NPV per Capita Ceiling under Optimistic Conditions (2055)</t>
  </si>
  <si>
    <t xml:space="preserve">npv_per_capita_optimistic_ceiling = npv_per_capita_2055_opt_conv_high_growth</t>
  </si>
  <si>
    <t xml:space="preserve">Upper plausible bound per-capita NPV under ideal convergence + strong growth</t>
  </si>
  <si>
    <t xml:space="preserve">Final Derived Metric: Percentage of Optimistic NPV Ceiling Achieved under Aggressive Policy</t>
  </si>
  <si>
    <t xml:space="preserve">pct_optimistic_ceiling_aggressive = (npv_per_capita_2055_aggressive / npv_per_capita_optimistic_ceiling) * 100</t>
  </si>
  <si>
    <t xml:space="preserve">How close aggressive policy gets to optimistic ideal</t>
  </si>
  <si>
    <t xml:space="preserve">Final Derived Metric: Final NPV per Capita Optimism-Adjusted Score</t>
  </si>
  <si>
    <t xml:space="preserve">final_npv_optimism_adj_score = (npv_per_capita_2055_aggressive + npv_per_capita_2055_opt_conv_high_growth) / 2</t>
  </si>
  <si>
    <t xml:space="preserve">Blended score balancing aggressive policy and optimistic convergence</t>
  </si>
  <si>
    <t xml:space="preserve">Final Derived Metric: NPV per Capita Forecast Uncertainty Band Width (2055)</t>
  </si>
  <si>
    <t xml:space="preserve">npv_2055_uncertainty_band = npv_per_capita_2055_opt_conv_high_growth - npv_per_capita_2055_pessimistic</t>
  </si>
  <si>
    <t xml:space="preserve">Total plausible range of long-term per-capita NPV outcomes</t>
  </si>
  <si>
    <t xml:space="preserve">Final Derived Metric: NPV per Capita Forecast Confidence Level (Moderate vs Extreme Scenarios)</t>
  </si>
  <si>
    <t xml:space="preserve">final_npv_confidence_level = 1 - (npv_2055_uncertainty_band / npv_per_capita_2055_moderate)</t>
  </si>
  <si>
    <t xml:space="preserve">Normalized confidence in moderate-policy projection vs extremes</t>
  </si>
  <si>
    <t xml:space="preserve">Final Derived Metric: NPV per Capita Forecast – 2035 (High Remittance Retention Scenario)</t>
  </si>
  <si>
    <t xml:space="preserve">npv_per_capita_2035_high_retention = npv_per_capita_final * (1 + PARAMETERS!BASE_GDP_GROWTH_RATE * 9) + (remittance_total_outflow * PARAMETERS!HIGH_REMITTANCE_RETENTION_FACTOR)</t>
  </si>
  <si>
    <t xml:space="preserve">Projection assuming significantly reduced remittance outflows</t>
  </si>
  <si>
    <t xml:space="preserve">Final Derived Metric: NPV per Capita Forecast – 2055 (High Remittance Retention Scenario)</t>
  </si>
  <si>
    <t xml:space="preserve">npv_per_capita_2055_high_retention = npv_per_capita_2035_high_retention * (1 + PARAMETERS!BASE_GDP_GROWTH_RATE * 20)</t>
  </si>
  <si>
    <t xml:space="preserve">Extended projection under high retention</t>
  </si>
  <si>
    <t xml:space="preserve">Final Derived Metric: NPV per Capita Gain from High Remittance Retention (2055)</t>
  </si>
  <si>
    <t xml:space="preserve">npv_gain_high_retention_2055 = npv_per_capita_2055_high_retention - npv_per_capita_2055_moderate</t>
  </si>
  <si>
    <t xml:space="preserve">Long-term per-capita benefit from retaining more earnings locally</t>
  </si>
  <si>
    <t xml:space="preserve">Final Derived Metric: NPV per Capita Forecast – 2035 (Low Benefit Growth Scenario)</t>
  </si>
  <si>
    <t xml:space="preserve">npv_per_capita_2035_low_benefit = npv_per_capita_final * (1 + PARAMETERS!BASE_GDP_GROWTH_RATE * 9) - (total_public_benefit_unauth * PARAMETERS!LOW_BENEFIT_GROWTH_FACTOR)</t>
  </si>
  <si>
    <t xml:space="preserve">Projection assuming slower growth in public assistance costs</t>
  </si>
  <si>
    <t xml:space="preserve">Final Derived Metric: NPV per Capita Forecast – 2055 (Low Benefit Growth Scenario)</t>
  </si>
  <si>
    <t xml:space="preserve">npv_per_capita_2055_low_benefit = npv_per_capita_2035_low_benefit * (1 + PARAMETERS!BASE_GDP_GROWTH_RATE * 20)</t>
  </si>
  <si>
    <t xml:space="preserve">Extended projection under low benefit growth</t>
  </si>
  <si>
    <t xml:space="preserve">Final Derived Metric: NPV per Capita Gain from Low Benefit Growth (2055)</t>
  </si>
  <si>
    <t xml:space="preserve">npv_gain_low_benefit_2055 = npv_per_capita_2055_low_benefit - npv_per_capita_2055_moderate</t>
  </si>
  <si>
    <t xml:space="preserve">Long-term per-capita benefit from constrained benefit expansion</t>
  </si>
  <si>
    <t xml:space="preserve">Final Derived Metric: NPV per Capita Forecast – 2035 (High Productivity Convergence Scenario)</t>
  </si>
  <si>
    <t xml:space="preserve">npv_per_capita_2035_prod_conv = npv_per_capita_final * (1 + PARAMETERS!BASE_GDP_GROWTH_RATE * 9) + (LP_diff_amer_unauth * EP_unauth * PARAMETERS!PRODUCTIVITY_GAIN_FACTOR)</t>
  </si>
  <si>
    <t xml:space="preserve">Projection assuming rapid productivity convergence</t>
  </si>
  <si>
    <t xml:space="preserve">Final Derived Metric: NPV per Capita Forecast – 2055 (High Productivity Convergence Scenario)</t>
  </si>
  <si>
    <t xml:space="preserve">npv_per_capita_2055_prod_conv = npv_per_capita_2035_prod_conv * (1 + PARAMETERS!BASE_GDP_GROWTH_RATE * 20)</t>
  </si>
  <si>
    <t xml:space="preserve">Extended projection under high productivity convergence</t>
  </si>
  <si>
    <t xml:space="preserve">Final Derived Metric: NPV per Capita Gain from High Productivity Convergence (2055)</t>
  </si>
  <si>
    <t xml:space="preserve">npv_gain_prod_conv_2055 = npv_per_capita_2055_prod_conv - npv_per_capita_2055_moderate</t>
  </si>
  <si>
    <t xml:space="preserve">Long-term per-capita benefit from closing productivity gap</t>
  </si>
  <si>
    <t xml:space="preserve">Final Derived Metric: NPV per Capita Forecast – 2035 (Combined High Convergence Scenario)</t>
  </si>
  <si>
    <t xml:space="preserve">npv_per_capita_2035_high_all_conv = npv_per_capita_final * (1 + PARAMETERS!BASE_GDP_GROWTH_RATE * 9) + (npv_shortfall_unauth * EP_unauth * PARAMETERS!ALL_CONVERGENCE_FACTOR)</t>
  </si>
  <si>
    <t xml:space="preserve">Projection assuming simultaneous wage, compliance, spending, and productivity convergence</t>
  </si>
  <si>
    <t xml:space="preserve">Final Derived Metric: NPV per Capita Forecast – 2055 (Combined High Convergence Scenario)</t>
  </si>
  <si>
    <t xml:space="preserve">npv_per_capita_2055_high_all_conv = npv_per_capita_2035_high_all_conv * (1 + PARAMETERS!BASE_GDP_GROWTH_RATE * 20)</t>
  </si>
  <si>
    <t xml:space="preserve">Extended projection under multi-dimensional convergence</t>
  </si>
  <si>
    <t xml:space="preserve">Final Derived Metric: NPV per Capita Gain from Combined High Convergence (2055)</t>
  </si>
  <si>
    <t xml:space="preserve">npv_gain_high_all_conv_2055 = npv_per_capita_2055_high_all_conv - npv_per_capita_2055_moderate</t>
  </si>
  <si>
    <t xml:space="preserve">Long-term per-capita benefit from broad convergence</t>
  </si>
  <si>
    <t xml:space="preserve">Final Derived Metric: NPV per Capita Forecast Gap – Combined High Convergence vs Aggressive Policy (2055)</t>
  </si>
  <si>
    <t xml:space="preserve">npv_2055_high_all_conv_vs_aggressive = npv_per_capita_2055_high_all_conv - npv_per_capita_2055_aggressive</t>
  </si>
  <si>
    <t xml:space="preserve">Relative gain of full convergence vs aggressive policy alone</t>
  </si>
  <si>
    <t xml:space="preserve">Final Derived Metric: Final NPV per Capita Convergence Ceiling (2055)</t>
  </si>
  <si>
    <t xml:space="preserve">npv_convergence_ceiling_2055 = npv_per_capita_2055_high_all_conv</t>
  </si>
  <si>
    <t xml:space="preserve">Upper bound under maximum plausible convergence</t>
  </si>
  <si>
    <t xml:space="preserve">Final Derived Metric: Percentage of Convergence Ceiling Achieved under Aggressive Policy</t>
  </si>
  <si>
    <t xml:space="preserve">pct_convergence_ceiling_aggressive = (npv_per_capita_2055_aggressive / npv_convergence_ceiling_2055) * 100</t>
  </si>
  <si>
    <t xml:space="preserve">How close aggressive policy gets to convergence ceiling</t>
  </si>
  <si>
    <t xml:space="preserve">Final Derived Metric: Convergence Ceiling NPV per Capita Gap to Current (2055)</t>
  </si>
  <si>
    <t xml:space="preserve">convergence_ceiling_gap_2055 = npv_convergence_ceiling_2055 - npv_per_capita_2055_pessimistic</t>
  </si>
  <si>
    <t xml:space="preserve">Total long-term per-capita gap to convergence ceiling</t>
  </si>
  <si>
    <t xml:space="preserve">Final Derived Metric: Annualized Convergence Gain per Capita (2055)</t>
  </si>
  <si>
    <t xml:space="preserve">annualized_convergence_gain_2055 = convergence_ceiling_gap_2055 / 30</t>
  </si>
  <si>
    <t xml:space="preserve">Final Derived Metric: Required Annual Convergence Effort Rate to Reach Ceiling</t>
  </si>
  <si>
    <t xml:space="preserve">annual_convergence_effort_rate = (convergence_ceiling_gap_2055 / npv_per_capita_final) / 30</t>
  </si>
  <si>
    <t xml:space="preserve">Final Derived Metric: NPV per Capita Forecast – 2035 (Low Immigration Growth Scenario)</t>
  </si>
  <si>
    <t xml:space="preserve">npv_per_capita_2035_low_imm = npv_per_capita_final * (1 + (PARAMETERS!BASE_GDP_GROWTH_RATE - PARAMETERS!LOW_UNAUTH_GROWTH_BOOST) * 9)</t>
  </si>
  <si>
    <t xml:space="preserve">Projection under slower unauthorized population growth</t>
  </si>
  <si>
    <t xml:space="preserve">Final Derived Metric: NPV per Capita Forecast – 2055 (Low Immigration Growth Scenario)</t>
  </si>
  <si>
    <t xml:space="preserve">npv_per_capita_2055_low_imm = npv_per_capita_2035_low_imm * (1 + (PARAMETERS!BASE_GDP_GROWTH_RATE - PARAMETERS!LOW_UNAUTH_GROWTH_BOOST) * 20)</t>
  </si>
  <si>
    <t xml:space="preserve">Extended low-immigration long-term projection</t>
  </si>
  <si>
    <t xml:space="preserve">Final Derived Metric: NPV per Capita Forecast Gap – Moderate Policy vs Low Immigration (2055)</t>
  </si>
  <si>
    <t xml:space="preserve">npv_2055_moderate_vs_low_imm = npv_per_capita_2055_moderate - npv_per_capita_2055_low_imm</t>
  </si>
  <si>
    <t xml:space="preserve">Relative gain of moderate policy over low-growth path</t>
  </si>
  <si>
    <t xml:space="preserve">Final Derived Metric: NPV per Capita Forecast Gap – Aggressive Policy vs Low Immigration (2055)</t>
  </si>
  <si>
    <t xml:space="preserve">npv_2055_aggressive_vs_low_imm = npv_per_capita_2055_aggressive - npv_per_capita_2055_low_imm</t>
  </si>
  <si>
    <t xml:space="preserve">Relative gain of aggressive policy over low-growth path</t>
  </si>
  <si>
    <t xml:space="preserve">Final Derived Metric: Long-Term NPV per Capita Divergence under Low Immigration Scenario</t>
  </si>
  <si>
    <t xml:space="preserve">npv_per_capita_divergence_low_imm = npv_per_capita_2055_low_imm - npv_per_capita_final</t>
  </si>
  <si>
    <t xml:space="preserve">Projected per-capita NPV gain under slower unauthorized growth</t>
  </si>
  <si>
    <t xml:space="preserve">Final Derived Metric: NPV per Capita Forecast – 2035 (Balanced Immigration Scenario)</t>
  </si>
  <si>
    <t xml:space="preserve">npv_per_capita_2035_balanced_imm = npv_per_capita_final * (1 + PARAMETERS!BASE_GDP_GROWTH_RATE * 9) + (EP_unauth * PARAMETERS!BALANCED_UNAUTH_IMPACT)</t>
  </si>
  <si>
    <t xml:space="preserve">Projection under moderate, balanced immigration flow</t>
  </si>
  <si>
    <t xml:space="preserve">Final Derived Metric: NPV per Capita Forecast – 2055 (Balanced Immigration Scenario)</t>
  </si>
  <si>
    <t xml:space="preserve">npv_per_capita_2055_balanced_imm = npv_per_capita_2035_balanced_imm * (1 + PARAMETERS!BASE_GDP_GROWTH_RATE * 20)</t>
  </si>
  <si>
    <t xml:space="preserve">Extended balanced-immigration long-term projection</t>
  </si>
  <si>
    <t xml:space="preserve">Final Derived Metric: NPV per Capita Forecast Gap – Moderate Policy vs Balanced Immigration (2055)</t>
  </si>
  <si>
    <t xml:space="preserve">npv_2055_moderate_vs_balanced = npv_per_capita_2055_moderate - npv_per_capita_2055_balanced_imm</t>
  </si>
  <si>
    <t xml:space="preserve">Relative gain of moderate policy over balanced path</t>
  </si>
  <si>
    <t xml:space="preserve">Final Derived Metric: NPV per Capita Forecast – 2035 (High American Labor Force Participation Scenario)</t>
  </si>
  <si>
    <t xml:space="preserve">npv_per_capita_2035_high_amer_lfpr = npv_per_capita_final * (1 + PARAMETERS!BASE_GDP_GROWTH_RATE * 9) + (EP_amer * PARAMETERS!HIGH_AMER_LFPR_BOOST)</t>
  </si>
  <si>
    <t xml:space="preserve">Projection under increased American LFPR</t>
  </si>
  <si>
    <t xml:space="preserve">Final Derived Metric: NPV per Capita Forecast – 2055 (High American Labor Force Participation Scenario)</t>
  </si>
  <si>
    <t xml:space="preserve">npv_per_capita_2055_high_amer_lfpr = npv_per_capita_2035_high_amer_lfpr * (1 + PARAMETERS!BASE_GDP_GROWTH_RATE * 20)</t>
  </si>
  <si>
    <t xml:space="preserve">Extended high-American-participation long-term projection</t>
  </si>
  <si>
    <t xml:space="preserve">Final Derived Metric: NPV per Capita Gain from High American LFPR (2055)</t>
  </si>
  <si>
    <t xml:space="preserve">npv_gain_high_amer_lfpr_2055 = npv_per_capita_2055_high_amer_lfpr - npv_per_capita_2055_moderate</t>
  </si>
  <si>
    <t xml:space="preserve">Long-term per-capita benefit from boosting American participation</t>
  </si>
  <si>
    <t xml:space="preserve">Final Derived Metric: NPV per Capita Forecast – 2035 (Low Unauthorized LFPR Scenario)</t>
  </si>
  <si>
    <t xml:space="preserve">npv_per_capita_2035_low_unauth_lfpr = npv_per_capita_final * (1 + PARAMETERS!BASE_GDP_GROWTH_RATE * 9) - (EP_unauth * PARAMETERS!LOW_UNAUTH_LFPR_IMPACT)</t>
  </si>
  <si>
    <t xml:space="preserve">Projection under reduced unauthorized participation</t>
  </si>
  <si>
    <t xml:space="preserve">Final Derived Metric: NPV per Capita Forecast – 2055 (Low Unauthorized LFPR Scenario)</t>
  </si>
  <si>
    <t xml:space="preserve">npv_per_capita_2055_low_unauth_lfpr = npv_per_capita_2035_low_unauth_lfpr * (1 + PARAMETERS!BASE_GDP_GROWTH_RATE * 20)</t>
  </si>
  <si>
    <t xml:space="preserve">Extended low-unauthorized-participation long-term projection</t>
  </si>
  <si>
    <t xml:space="preserve">Final Derived Metric: NPV per Capita Gain from Low Unauthorized LFPR (2055)</t>
  </si>
  <si>
    <t xml:space="preserve">npv_gain_low_unauth_lfpr_2055 = npv_per_capita_2055_low_unauth_lfpr - npv_per_capita_2055_moderate</t>
  </si>
  <si>
    <t xml:space="preserve">Long-term per-capita benefit from lower unauthorized participation</t>
  </si>
  <si>
    <t xml:space="preserve">Final Derived Metric: NPV per Capita Forecast – 2035 (High Education Convergence Scenario)</t>
  </si>
  <si>
    <t xml:space="preserve">npv_per_capita_2035_edu_conv = npv_per_capita_final * (1 + PARAMETERS!BASE_GDP_GROWTH_RATE * 9) + (ELR_diff_amer_unauth * EP_unauth * PARAMETERS!EDUCATION_GAIN_FACTOR)</t>
  </si>
  <si>
    <t xml:space="preserve">Projection assuming rapid education-level convergence</t>
  </si>
  <si>
    <t xml:space="preserve">Final Derived Metric: NPV per Capita Forecast – 2055 (High Education Convergence Scenario)</t>
  </si>
  <si>
    <t xml:space="preserve">npv_per_capita_2055_edu_conv = npv_per_capita_2035_edu_conv * (1 + PARAMETERS!BASE_GDP_GROWTH_RATE * 20)</t>
  </si>
  <si>
    <t xml:space="preserve">Extended projection under high education convergence</t>
  </si>
  <si>
    <t xml:space="preserve">Final Derived Metric: NPV per Capita Gain from High Education Convergence (2055)</t>
  </si>
  <si>
    <t xml:space="preserve">npv_gain_edu_conv_2055 = npv_per_capita_2055_edu_conv - npv_per_capita_2055_moderate</t>
  </si>
  <si>
    <t xml:space="preserve">Long-term per-capita benefit from closing education gap</t>
  </si>
  <si>
    <t xml:space="preserve">Final Derived Metric: NPV per Capita Forecast – 2035 (High Turnover Convergence Scenario)</t>
  </si>
  <si>
    <t xml:space="preserve">npv_per_capita_2035_turnover_conv = npv_per_capita_final * (1 + PARAMETERS!BASE_GDP_GROWTH_RATE * 9) + (TR_diff_amer_unauth * EP_unauth * PARAMETERS!TURNOVER_GAIN_FACTOR)</t>
  </si>
  <si>
    <t xml:space="preserve">Projection assuming convergence in job stability/turnover rates</t>
  </si>
  <si>
    <t xml:space="preserve">Final Derived Metric: NPV per Capita Forecast – 2055 (High Turnover Convergence Scenario)</t>
  </si>
  <si>
    <t xml:space="preserve">npv_per_capita_2055_turnover_conv = npv_per_capita_2035_turnover_conv * (1 + PARAMETERS!BASE_GDP_GROWTH_RATE * 20)</t>
  </si>
  <si>
    <t xml:space="preserve">Extended projection under high turnover convergence</t>
  </si>
  <si>
    <t xml:space="preserve">Final Derived Metric: NPV per Capita Gain from High Turnover Convergence (2055)</t>
  </si>
  <si>
    <t xml:space="preserve">npv_gain_turnover_conv_2055 = npv_per_capita_2055_turnover_conv - npv_per_capita_2055_moderate</t>
  </si>
  <si>
    <t xml:space="preserve">Long-term per-capita benefit from reducing turnover gap</t>
  </si>
  <si>
    <t xml:space="preserve">Final Derived Metric: NPV per Capita Forecast – 2035 (Quadruple Convergence Scenario)</t>
  </si>
  <si>
    <t xml:space="preserve">npv_per_capita_2035_quad_conv = npv_per_capita_final * (1 + PARAMETERS!BASE_GDP_GROWTH_RATE * 9) + (npv_shortfall_unauth * EP_unauth * PARAMETERS!QUADRUPLE_CONVERGENCE_FACTOR)</t>
  </si>
  <si>
    <t xml:space="preserve">Projection assuming simultaneous wage, compliance, spending, productivity, education, and turnover convergence</t>
  </si>
  <si>
    <t xml:space="preserve">Final Derived Metric: NPV per Capita Forecast – 2055 (Quadruple Convergence Scenario)</t>
  </si>
  <si>
    <t xml:space="preserve">npv_per_capita_2055_quad_conv = npv_per_capita_2035_quad_conv * (1 + PARAMETERS!BASE_GDP_GROWTH_RATE * 20)</t>
  </si>
  <si>
    <t xml:space="preserve">Extended projection under quadruple convergence</t>
  </si>
  <si>
    <t xml:space="preserve">Final Derived Metric: NPV per Capita Gain from Quadruple Convergence (2055)</t>
  </si>
  <si>
    <t xml:space="preserve">npv_gain_quad_conv_2055 = npv_per_capita_2055_quad_conv - npv_per_capita_2055_moderate</t>
  </si>
  <si>
    <t xml:space="preserve">Long-term per-capita benefit from broad multi-dimensional convergence</t>
  </si>
  <si>
    <t xml:space="preserve">Final Derived Metric: NPV per Capita Forecast Gap – Quadruple Convergence vs Aggressive Policy (2055)</t>
  </si>
  <si>
    <t xml:space="preserve">npv_2055_quad_conv_vs_aggressive = npv_per_capita_2055_quad_conv - npv_per_capita_2055_aggressive</t>
  </si>
  <si>
    <t xml:space="preserve">Relative gain of quadruple convergence vs aggressive policy alone</t>
  </si>
  <si>
    <t xml:space="preserve">Final Derived Metric: Final Quadruple Convergence NPV Ceiling (2055)</t>
  </si>
  <si>
    <t xml:space="preserve">npv_quad_ceiling_2055 = npv_per_capita_2055_quad_conv</t>
  </si>
  <si>
    <t xml:space="preserve">Upper bound under maximum plausible multi-dimensional convergence</t>
  </si>
  <si>
    <t xml:space="preserve">Final Derived Metric: Percentage of Quadruple Convergence Ceiling Achieved under Aggressive Policy</t>
  </si>
  <si>
    <t xml:space="preserve">pct_quad_ceiling_aggressive = (npv_per_capita_2055_aggressive / npv_quad_ceiling_2055) * 100</t>
  </si>
  <si>
    <t xml:space="preserve">How close aggressive policy gets to quadruple convergence ceiling</t>
  </si>
  <si>
    <t xml:space="preserve">Final Derived Metric: Quadruple Convergence NPV per Capita Gap to Current (2055)</t>
  </si>
  <si>
    <t xml:space="preserve">quad_conv_gap_2055 = npv_quad_ceiling_2055 - npv_per_capita_2055_pessimistic</t>
  </si>
  <si>
    <t xml:space="preserve">Total long-term per-capita gap to quadruple convergence ideal</t>
  </si>
  <si>
    <t xml:space="preserve">Final Derived Metric: Annualized Quadruple Convergence Gain per Capita (2055)</t>
  </si>
  <si>
    <t xml:space="preserve">annualized_quad_gain_2055 = quad_conv_gap_2055 / 30</t>
  </si>
  <si>
    <t xml:space="preserve">Average annual per-capita gain needed to reach quadruple convergence ceiling</t>
  </si>
  <si>
    <t xml:space="preserve">Final Derived Metric: Required Annual Multi-Dimensional Convergence Rate to Reach Quadruple Ceiling</t>
  </si>
  <si>
    <t xml:space="preserve">annual_quad_convergence_rate = (quad_conv_gap_2055 / npv_per_capita_final) / 30</t>
  </si>
  <si>
    <t xml:space="preserve">Required annual rate of broad convergence progress</t>
  </si>
  <si>
    <t xml:space="preserve">Final Derived Metric: NPV per Capita Forecast – 2035 (High Full-Time Employment Convergence)</t>
  </si>
  <si>
    <t xml:space="preserve">npv_per_capita_2035_ft_conv = npv_per_capita_final * (1 + PARAMETERS!BASE_GDP_GROWTH_RATE * 9) + (FTER_diff_amer_unauth * EP_unauth * PARAMETERS!FT_EMPLOYMENT_GAIN_FACTOR)</t>
  </si>
  <si>
    <t xml:space="preserve">Projection assuming convergence in full-time employment rates</t>
  </si>
  <si>
    <t xml:space="preserve">Final Derived Metric: NPV per Capita Forecast – 2055 (High Full-Time Employment Convergence)</t>
  </si>
  <si>
    <t xml:space="preserve">npv_per_capita_2055_ft_conv = npv_per_capita_2035_ft_conv * (1 + PARAMETERS!BASE_GDP_GROWTH_RATE * 20)</t>
  </si>
  <si>
    <t xml:space="preserve">Extended projection under high full-time employment convergence</t>
  </si>
  <si>
    <t xml:space="preserve">Final Derived Metric: NPV per Capita Gain from High Full-Time Employment Convergence (2055)</t>
  </si>
  <si>
    <t xml:space="preserve">npv_gain_ft_conv_2055 = npv_per_capita_2055_ft_conv - npv_per_capita_2055_moderate</t>
  </si>
  <si>
    <t xml:space="preserve">Long-term per-capita benefit from closing full-time employment gap</t>
  </si>
  <si>
    <t xml:space="preserve">Final Derived Metric: NPV per Capita Forecast – 2035 (High Job Tenure Convergence Scenario)</t>
  </si>
  <si>
    <t xml:space="preserve">npv_per_capita_2035_tenure_conv = npv_per_capita_final * (1 + PARAMETERS!BASE_GDP_GROWTH_RATE * 9) + (JTA_diff_amer_unauth * EP_unauth * PARAMETERS!TENURE_GAIN_FACTOR)</t>
  </si>
  <si>
    <t xml:space="preserve">Projection assuming convergence in average job tenure</t>
  </si>
  <si>
    <t xml:space="preserve">Final Derived Metric: NPV per Capita Forecast – 2055 (High Job Tenure Convergence Scenario)</t>
  </si>
  <si>
    <t xml:space="preserve">npv_per_capita_2055_tenure_conv = npv_per_capita_2035_tenure_conv * (1 + PARAMETERS!BASE_GDP_GROWTH_RATE * 20)</t>
  </si>
  <si>
    <t xml:space="preserve">Extended projection under high job tenure convergence</t>
  </si>
  <si>
    <t xml:space="preserve">Final Derived Metric: NPV per Capita Gain from High Job Tenure Convergence (2055)</t>
  </si>
  <si>
    <t xml:space="preserve">npv_gain_tenure_conv_2055 = npv_per_capita_2055_tenure_conv - npv_per_capita_2055_moderate</t>
  </si>
  <si>
    <t xml:space="preserve">Long-term per-capita benefit from closing job tenure gap</t>
  </si>
  <si>
    <t xml:space="preserve">Final Derived Metric: NPV per Capita Forecast – 2035 (High Underemployment Convergence Scenario)</t>
  </si>
  <si>
    <t xml:space="preserve">npv_per_capita_2035_underemp_conv = npv_per_capita_final * (1 + PARAMETERS!BASE_GDP_GROWTH_RATE * 9) + (U6R_diff_amer_unauth * -1 * EP_unauth * PARAMETERS!UNDEREMP_GAIN_FACTOR)</t>
  </si>
  <si>
    <t xml:space="preserve">Projection assuming reduction in underemployment gap</t>
  </si>
  <si>
    <t xml:space="preserve">Final Derived Metric: NPV per Capita Forecast – 2055 (High Underemployment Convergence Scenario)</t>
  </si>
  <si>
    <t xml:space="preserve">npv_per_capita_2055_underemp_conv = npv_per_capita_2035_underemp_conv * (1 + PARAMETERS!BASE_GDP_GROWTH_RATE * 20)</t>
  </si>
  <si>
    <t xml:space="preserve">Extended projection under high underemployment convergence</t>
  </si>
  <si>
    <t xml:space="preserve">Final Derived Metric: NPV per Capita Gain from High Underemployment Convergence (2055)</t>
  </si>
  <si>
    <t xml:space="preserve">npv_gain_underemp_conv_2055 = npv_per_capita_2055_underemp_conv - npv_per_capita_2055_moderate</t>
  </si>
  <si>
    <t xml:space="preserve">Long-term per-capita benefit from closing underemployment gap</t>
  </si>
  <si>
    <t xml:space="preserve">Final Derived Metric: NPV per Capita Forecast – 2035 (Quintuple Convergence Scenario)</t>
  </si>
  <si>
    <t xml:space="preserve">npv_per_capita_2035_quint_conv = npv_per_capita_final * (1 + PARAMETERS!BASE_GDP_GROWTH_RATE * 9) + (npv_shortfall_unauth * EP_unauth * PARAMETERS!QUINTUPLE_CONVERGENCE_FACTOR)</t>
  </si>
  <si>
    <t xml:space="preserve">Projection assuming convergence across wage, compliance, spending, productivity, education, turnover, tenure, and underemployment</t>
  </si>
  <si>
    <t xml:space="preserve">Final Derived Metric: NPV per Capita Forecast – 2055 (Quintuple Convergence Scenario)</t>
  </si>
  <si>
    <t xml:space="preserve">npv_per_capita_2055_quint_conv = npv_per_capita_2035_quint_conv * (1 + PARAMETERS!BASE_GDP_GROWTH_RATE * 20)</t>
  </si>
  <si>
    <t xml:space="preserve">Extended projection under quintuple convergence</t>
  </si>
  <si>
    <t xml:space="preserve">Final Derived Metric: NPV per Capita Gain from Quintuple Convergence (2055)</t>
  </si>
  <si>
    <t xml:space="preserve">npv_gain_quint_conv_2055 = npv_per_capita_2055_quint_conv - npv_per_capita_2055_moderate</t>
  </si>
  <si>
    <t xml:space="preserve">Long-term per-capita benefit from very broad convergence</t>
  </si>
  <si>
    <t xml:space="preserve">Final Derived Metric: NPV per Capita Forecast Gap – Quintuple Convergence vs Aggressive Policy (2055)</t>
  </si>
  <si>
    <t xml:space="preserve">npv_2055_quint_conv_vs_aggressive = npv_per_capita_2055_quint_conv - npv_per_capita_2055_aggressive</t>
  </si>
  <si>
    <t xml:space="preserve">Relative gain of quintuple convergence vs aggressive policy alone</t>
  </si>
  <si>
    <t xml:space="preserve">Final Derived Metric: Final Quintuple Convergence NPV Ceiling (2055)</t>
  </si>
  <si>
    <t xml:space="preserve">npv_quint_ceiling_2055 = npv_per_capita_2055_quint_conv</t>
  </si>
  <si>
    <t xml:space="preserve">Upper bound under maximum plausible five-dimensional convergence</t>
  </si>
  <si>
    <t xml:space="preserve">Final Derived Metric: Percentage of Quintuple Convergence Ceiling Achieved under Aggressive Policy</t>
  </si>
  <si>
    <t xml:space="preserve">pct_quint_ceiling_aggressive = (npv_per_capita_2055_aggressive / npv_quint_ceiling_2055) * 100</t>
  </si>
  <si>
    <t xml:space="preserve">How close aggressive policy gets to quintuple convergence ceiling</t>
  </si>
  <si>
    <t xml:space="preserve">Final Derived Metric: Quintuple Convergence NPV per Capita Gap to Current (2055)</t>
  </si>
  <si>
    <t xml:space="preserve">quint_conv_gap_2055 = npv_quint_ceiling_2055 - npv_per_capita_2055_pessimistic</t>
  </si>
  <si>
    <t xml:space="preserve">Total long-term per-capita gap to quintuple convergence ideal</t>
  </si>
  <si>
    <t xml:space="preserve">Final Derived Metric: Annualized Quintuple Convergence Gain per Capita (2055)</t>
  </si>
  <si>
    <t xml:space="preserve">annualized_quint_gain_2055 = quint_conv_gap_2055 / 30</t>
  </si>
  <si>
    <t xml:space="preserve">Average annual per-capita gain needed to reach quintuple convergence ceiling</t>
  </si>
  <si>
    <t xml:space="preserve">Final Derived Metric: Required Annual Quintuple Convergence Rate to Reach Ceiling</t>
  </si>
  <si>
    <t xml:space="preserve">annual_quint_convergence_rate = (quint_conv_gap_2055 / npv_per_capita_final) / 30</t>
  </si>
  <si>
    <t xml:space="preserve">Required annual rate of five-dimensional convergence progress</t>
  </si>
  <si>
    <t xml:space="preserve">Final Derived Metric: NPV per Capita Forecast – 2035 (High LFPR Convergence Scenario)</t>
  </si>
  <si>
    <t xml:space="preserve">npv_per_capita_2035_lfpr_conv = npv_per_capita_final * (1 + PARAMETERS!BASE_GDP_GROWTH_RATE * 9) + (LFPR_diff_amer_unauth * EP_unauth * PARAMETERS!LFPR_GAIN_FACTOR)</t>
  </si>
  <si>
    <t xml:space="preserve">Projection assuming convergence in labor force participation rates</t>
  </si>
  <si>
    <t xml:space="preserve">Final Derived Metric: NPV per Capita Forecast – 2055 (High LFPR Convergence Scenario)</t>
  </si>
  <si>
    <t xml:space="preserve">npv_per_capita_2055_lfpr_conv = npv_per_capita_2035_lfpr_conv * (1 + PARAMETERS!BASE_GDP_GROWTH_RATE * 20)</t>
  </si>
  <si>
    <t xml:space="preserve">Extended projection under high LFPR convergence</t>
  </si>
  <si>
    <t xml:space="preserve">Final Derived Metric: NPV per Capita Gain from High LFPR Convergence (2055)</t>
  </si>
  <si>
    <t xml:space="preserve">npv_gain_lfpr_conv_2055 = npv_per_capita_2055_lfpr_conv - npv_per_capita_2055_moderate</t>
  </si>
  <si>
    <t xml:space="preserve">Long-term per-capita benefit from closing LFPR gap</t>
  </si>
  <si>
    <t xml:space="preserve">Final Derived Metric: NPV per Capita Forecast – 2035 (High ETPR Convergence Scenario)</t>
  </si>
  <si>
    <t xml:space="preserve">npv_per_capita_2035_etpr_conv = npv_per_capita_final * (1 + PARAMETERS!BASE_GDP_GROWTH_RATE * 9) + (ETPR_diff_amer_unauth * EP_unauth * PARAMETERS!ETPR_GAIN_FACTOR)</t>
  </si>
  <si>
    <t xml:space="preserve">Projection assuming convergence in employment-to-population ratios</t>
  </si>
  <si>
    <t xml:space="preserve">Final Derived Metric: NPV per Capita Forecast – 2055 (High ETPR Convergence Scenario)</t>
  </si>
  <si>
    <t xml:space="preserve">npv_per_capita_2055_etpr_conv = npv_per_capita_2035_etpr_conv * (1 + PARAMETERS!BASE_GDP_GROWTH_RATE * 20)</t>
  </si>
  <si>
    <t xml:space="preserve">Extended projection under high ETPR convergence</t>
  </si>
  <si>
    <t xml:space="preserve">Final Derived Metric: NPV per Capita Gain from High ETPR Convergence (2055)</t>
  </si>
  <si>
    <t xml:space="preserve">npv_gain_etpr_conv_2055 = npv_per_capita_2055_etpr_conv - npv_per_capita_2055_moderate</t>
  </si>
  <si>
    <t xml:space="preserve">Long-term per-capita benefit from closing ETPR gap</t>
  </si>
  <si>
    <t xml:space="preserve">Final Derived Metric: NPV per Capita Forecast – 2035 (Sextuple Convergence Scenario)</t>
  </si>
  <si>
    <t xml:space="preserve">npv_per_capita_2035_sext_conv = npv_per_capita_final * (1 + PARAMETERS!BASE_GDP_GROWTH_RATE * 9) + (npv_shortfall_unauth * EP_unauth * PARAMETERS!SEXTUPLE_CONVERGENCE_FACTOR)</t>
  </si>
  <si>
    <t xml:space="preserve">Projection assuming convergence across six major dimensions (wage, compliance, spending, productivity, education/turnover, LFPR/ETPR)</t>
  </si>
  <si>
    <t xml:space="preserve">Final Derived Metric: NPV per Capita Forecast – 2055 (Sextuple Convergence Scenario)</t>
  </si>
  <si>
    <t xml:space="preserve">npv_per_capita_2055_sext_conv = npv_per_capita_2035_sext_conv * (1 + PARAMETERS!BASE_GDP_GROWTH_RATE * 20)</t>
  </si>
  <si>
    <t xml:space="preserve">Extended projection under sextuple convergence</t>
  </si>
  <si>
    <t xml:space="preserve">Final Derived Metric: NPV per Capita Gain from Sextuple Convergence (2055)</t>
  </si>
  <si>
    <t xml:space="preserve">npv_gain_sext_conv_2055 = npv_per_capita_2055_sext_conv - npv_per_capita_2055_moderate</t>
  </si>
  <si>
    <t xml:space="preserve">Long-term per-capita benefit from very broad six-dimensional convergence</t>
  </si>
  <si>
    <t xml:space="preserve">Final Derived Metric: NPV per Capita Forecast Gap – Sextuple Convergence vs Aggressive Policy (2055)</t>
  </si>
  <si>
    <t xml:space="preserve">npv_2055_sext_conv_vs_aggressive = npv_per_capita_2055_sext_conv - npv_per_capita_2055_aggressive</t>
  </si>
  <si>
    <t xml:space="preserve">Relative gain of sextuple convergence vs aggressive policy alone</t>
  </si>
  <si>
    <t xml:space="preserve">Final Derived Metric: Final Sextuple Convergence NPV Ceiling (2055)</t>
  </si>
  <si>
    <t xml:space="preserve">npv_sext_ceiling_2055 = npv_per_capita_2055_sext_conv</t>
  </si>
  <si>
    <t xml:space="preserve">Upper bound under maximum plausible six-dimensional convergence</t>
  </si>
  <si>
    <t xml:space="preserve">Final Derived Metric: Percentage of Sextuple Convergence Ceiling Achieved under Aggressive Policy</t>
  </si>
  <si>
    <t xml:space="preserve">pct_sext_ceiling_aggressive = (npv_per_capita_2055_aggressive / npv_sext_ceiling_2055) * 100</t>
  </si>
  <si>
    <t xml:space="preserve">How close aggressive policy gets to sextuple convergence ceiling</t>
  </si>
  <si>
    <t xml:space="preserve">Final Derived Metric: Sextuple Convergence NPV per Capita Gap to Current (2055)</t>
  </si>
  <si>
    <t xml:space="preserve">sext_conv_gap_2055 = npv_sext_ceiling_2055 - npv_per_capita_2055_pessimistic</t>
  </si>
  <si>
    <t xml:space="preserve">Total long-term per-capita gap to sextuple convergence ideal</t>
  </si>
  <si>
    <t xml:space="preserve">Final Derived Metric: Annualized Sextuple Convergence Gain per Capita (2055)</t>
  </si>
  <si>
    <t xml:space="preserve">annualized_sext_gain_2055 = sext_conv_gap_2055 / 30</t>
  </si>
  <si>
    <t xml:space="preserve">Average annual per-capita gain needed to reach sextuple convergence ceiling</t>
  </si>
  <si>
    <t xml:space="preserve">Final Derived Metric: Required Annual Sextuple Convergence Rate to Reach Ceiling</t>
  </si>
  <si>
    <t xml:space="preserve">annual_sext_convergence_rate = (sext_conv_gap_2055 / npv_per_capita_final) / 30</t>
  </si>
  <si>
    <t xml:space="preserve">Required annual rate of six-dimensional convergence progress</t>
  </si>
  <si>
    <t xml:space="preserve">Final Derived Metric: NPV per Capita Forecast – 2035 (High Wage Growth Scenario for All Groups)</t>
  </si>
  <si>
    <t xml:space="preserve">npv_per_capita_2035_high_wage_all = npv_per_capita_final * (1 + (PARAMETERS!BASE_GDP_GROWTH_RATE + PARAMETERS!HIGH_WAGE_GROWTH_BOOST) * 9)</t>
  </si>
  <si>
    <t xml:space="preserve">Projection assuming strong wage growth across all labor groups</t>
  </si>
  <si>
    <t xml:space="preserve">Final Derived Metric: NPV per Capita Forecast – 2055 (High Wage Growth Scenario for All Groups)</t>
  </si>
  <si>
    <t xml:space="preserve">npv_per_capita_2055_high_wage_all = npv_per_capita_2035_high_wage_all * (1 + (PARAMETERS!BASE_GDP_GROWTH_RATE + PARAMETERS!HIGH_WAGE_GROWTH_BOOST) * 20)</t>
  </si>
  <si>
    <t xml:space="preserve">Extended projection under high wage growth for all</t>
  </si>
  <si>
    <t xml:space="preserve">Final Derived Metric: NPV per Capita Forecast – 2035 (Low Wage Growth Scenario for All Groups)</t>
  </si>
  <si>
    <t xml:space="preserve">npv_per_capita_2035_low_wage_all = npv_per_capita_final * (1 + (PARAMETERS!BASE_GDP_GROWTH_RATE - PARAMETERS!LOW_WAGE_GROWTH_PENALTY) * 9)</t>
  </si>
  <si>
    <t xml:space="preserve">Projection assuming weak wage growth across all groups</t>
  </si>
  <si>
    <t xml:space="preserve">Final Derived Metric: NPV per Capita Forecast – 2055 (Low Wage Growth Scenario for All Groups)</t>
  </si>
  <si>
    <t xml:space="preserve">npv_per_capita_2055_low_wage_all = npv_per_capita_2035_low_wage_all * (1 + (PARAMETERS!BASE_GDP_GROWTH_RATE - PARAMETERS!LOW_WAGE_GROWTH_PENALTY) * 20)</t>
  </si>
  <si>
    <t xml:space="preserve">Extended projection under low wage growth for all</t>
  </si>
  <si>
    <t xml:space="preserve">Final Derived Metric: NPV per Capita Forecast Gap – Moderate Policy vs Low Wage Growth All (2055)</t>
  </si>
  <si>
    <t xml:space="preserve">npv_2055_moderate_vs_low_wage_all = npv_per_capita_2055_moderate - npv_per_capita_2055_low_wage_all</t>
  </si>
  <si>
    <t xml:space="preserve">Relative gain of moderate policy over broad wage stagnation</t>
  </si>
  <si>
    <t xml:space="preserve">Final Derived Metric: NPV per Capita Forecast Gap – Aggressive Policy vs Low Wage Growth All (2055)</t>
  </si>
  <si>
    <t xml:space="preserve">npv_2055_aggressive_vs_low_wage_all = npv_per_capita_2055_aggressive - npv_per_capita_2055_low_wage_all</t>
  </si>
  <si>
    <t xml:space="preserve">Relative gain of aggressive policy over broad wage stagnation</t>
  </si>
  <si>
    <t xml:space="preserve">Final Derived Metric: NPV per Capita Forecast – 2035 (High Labor Productivity Growth Scenario)</t>
  </si>
  <si>
    <t xml:space="preserve">npv_per_capita_2035_high_prod_growth = npv_per_capita_final * (1 + (PARAMETERS!BASE_GDP_GROWTH_RATE + PARAMETERS!HIGH_PROD_GROWTH_BOOST) * 9)</t>
  </si>
  <si>
    <t xml:space="preserve">Projection assuming strong overall labor productivity gains</t>
  </si>
  <si>
    <t xml:space="preserve">Final Derived Metric: NPV per Capita Forecast – 2055 (High Labor Productivity Growth Scenario)</t>
  </si>
  <si>
    <t xml:space="preserve">npv_per_capita_2055_high_prod_growth = npv_per_capita_2035_high_prod_growth * (1 + (PARAMETERS!BASE_GDP_GROWTH_RATE + PARAMETERS!HIGH_PROD_GROWTH_BOOST) * 20)</t>
  </si>
  <si>
    <t xml:space="preserve">Extended projection under high productivity growth</t>
  </si>
  <si>
    <t xml:space="preserve">Final Derived Metric: NPV per Capita Forecast – 2035 (Low Labor Productivity Growth Scenario)</t>
  </si>
  <si>
    <t xml:space="preserve">npv_per_capita_2035_low_prod_growth = npv_per_capita_final * (1 + (PARAMETERS!BASE_GDP_GROWTH_RATE - PARAMETERS!LOW_PROD_GROWTH_PENALTY) * 9)</t>
  </si>
  <si>
    <t xml:space="preserve">Projection assuming weak overall labor productivity gains</t>
  </si>
  <si>
    <t xml:space="preserve">Final Derived Metric: NPV per Capita Forecast – 2055 (Low Labor Productivity Growth Scenario)</t>
  </si>
  <si>
    <t xml:space="preserve">npv_per_capita_2055_low_prod_growth = npv_per_capita_2035_low_prod_growth * (1 + (PARAMETERS!BASE_GDP_GROWTH_RATE - PARAMETERS!LOW_PROD_GROWTH_PENALTY) * 20)</t>
  </si>
  <si>
    <t xml:space="preserve">Extended projection under low productivity growth</t>
  </si>
  <si>
    <t xml:space="preserve">Final Derived Metric: NPV per Capita Forecast Gap – Moderate Policy vs Low Productivity Growth (2055)</t>
  </si>
  <si>
    <t xml:space="preserve">npv_2055_moderate_vs_low_prod = npv_per_capita_2055_moderate - npv_per_capita_2055_low_prod_growth</t>
  </si>
  <si>
    <t xml:space="preserve">Relative gain of moderate policy over weak productivity path</t>
  </si>
  <si>
    <t xml:space="preserve">Final Derived Metric: NPV per Capita Forecast Gap – Aggressive Policy vs Low Productivity Growth (2055)</t>
  </si>
  <si>
    <t xml:space="preserve">npv_2055_aggressive_vs_low_prod = npv_per_capita_2055_aggressive - npv_per_capita_2055_low_prod_growth</t>
  </si>
  <si>
    <t xml:space="preserve">Relative gain of aggressive policy over weak productivity path</t>
  </si>
  <si>
    <t xml:space="preserve">Final Derived Metric: NPV per Capita Forecast – 2035 (High Overall GDP Growth Scenario)</t>
  </si>
  <si>
    <t xml:space="preserve">npv_per_capita_2035_high_gdp = npv_per_capita_final * (1 + (PARAMETERS!BASE_GDP_GROWTH_RATE + PARAMETERS!HIGH_GDP_GROWTH_BOOST) * 9)</t>
  </si>
  <si>
    <t xml:space="preserve">Projection assuming strong statewide GDP growth</t>
  </si>
  <si>
    <t xml:space="preserve">Final Derived Metric: NPV per Capita Forecast – 2055 (High Overall GDP Growth Scenario)</t>
  </si>
  <si>
    <t xml:space="preserve">npv_per_capita_2055_high_gdp = npv_per_capita_2035_high_gdp * (1 + (PARAMETERS!BASE_GDP_GROWTH_RATE + PARAMETERS!HIGH_GDP_GROWTH_BOOST) * 20)</t>
  </si>
  <si>
    <t xml:space="preserve">Extended projection under high GDP growth</t>
  </si>
  <si>
    <t xml:space="preserve">Final Derived Metric: NPV per Capita Forecast – 2035 (Low Overall GDP Growth Scenario)</t>
  </si>
  <si>
    <t xml:space="preserve">npv_per_capita_2035_low_gdp = npv_per_capita_final * (1 + (PARAMETERS!BASE_GDP_GROWTH_RATE - PARAMETERS!LOW_GDP_GROWTH_PENALTY) * 9)</t>
  </si>
  <si>
    <t xml:space="preserve">Projection assuming weak statewide GDP growth</t>
  </si>
  <si>
    <t xml:space="preserve">Final Derived Metric: NPV per Capita Forecast – 2055 (Low Overall GDP Growth Scenario)</t>
  </si>
  <si>
    <t xml:space="preserve">npv_per_capita_2055_low_gdp = npv_per_capita_2035_low_gdp * (1 + (PARAMETERS!BASE_GDP_GROWTH_RATE - PARAMETERS!LOW_GDP_GROWTH_PENALTY) * 20)</t>
  </si>
  <si>
    <t xml:space="preserve">Extended projection under low GDP growth</t>
  </si>
  <si>
    <t xml:space="preserve">Final Derived Metric: NPV per Capita Forecast Gap – Moderate Policy vs Low GDP Growth (2055)</t>
  </si>
  <si>
    <t xml:space="preserve">npv_2055_moderate_vs_low_gdp = npv_per_capita_2055_moderate - npv_per_capita_2055_low_gdp</t>
  </si>
  <si>
    <t xml:space="preserve">Relative gain of moderate policy over weak GDP path</t>
  </si>
  <si>
    <t xml:space="preserve">Final Derived Metric: NPV per Capita Forecast Gap – Aggressive Policy vs Low GDP Growth (2055)</t>
  </si>
  <si>
    <t xml:space="preserve">npv_2055_aggressive_vs_low_gdp = npv_per_capita_2055_aggressive - npv_per_capita_2055_low_gdp</t>
  </si>
  <si>
    <t xml:space="preserve">Relative gain of aggressive policy over weak GDP path</t>
  </si>
  <si>
    <t xml:space="preserve">Final Derived Metric: NPV per Capita Forecast Uncertainty Band Width under High Growth (2055)</t>
  </si>
  <si>
    <t xml:space="preserve">npv_2055_high_growth_uncertainty = npv_per_capita_2055_high_gdp - npv_per_capita_2055_low_gdp</t>
  </si>
  <si>
    <t xml:space="preserve">Total plausible range of long-term per-capita NPV under varying GDP growth assumptions</t>
  </si>
  <si>
    <t xml:space="preserve">Final Derived Metric: Final NPV per Capita Growth-Adjusted Resilience Score</t>
  </si>
  <si>
    <t xml:space="preserve">final_npv_growth_resilience_score = (npv_per_capita_2055_moderate - npv_per_capita_2055_low_gdp) / (npv_per_capita_2055_high_gdp - npv_per_capita_2055_low_gdp)</t>
  </si>
  <si>
    <t xml:space="preserve">Normalized resilience to GDP growth variation</t>
  </si>
  <si>
    <t xml:space="preserve">Final Derived Metric: NPV per Capita Forecast – 2035 (High Overall Employment Growth Scenario)</t>
  </si>
  <si>
    <t xml:space="preserve">npv_per_capita_2035_high_emp_growth = npv_per_capita_final * (1 + (PARAMETERS!BASE_GDP_GROWTH_RATE + PARAMETERS!HIGH_EMP_GROWTH_BOOST) * 9)</t>
  </si>
  <si>
    <t xml:space="preserve">Projection assuming strong statewide employment growth across all groups</t>
  </si>
  <si>
    <t xml:space="preserve">Final Derived Metric: NPV per Capita Forecast – 2055 (High Overall Employment Growth Scenario)</t>
  </si>
  <si>
    <t xml:space="preserve">npv_per_capita_2055_high_emp_growth = npv_per_capita_2035_high_emp_growth * (1 + (PARAMETERS!BASE_GDP_GROWTH_RATE + PARAMETERS!HIGH_EMP_GROWTH_BOOST) * 20)</t>
  </si>
  <si>
    <t xml:space="preserve">Extended projection under high employment growth</t>
  </si>
  <si>
    <t xml:space="preserve">Final Derived Metric: NPV per Capita Forecast – 2035 (Low Overall Employment Growth Scenario)</t>
  </si>
  <si>
    <t xml:space="preserve">npv_per_capita_2035_low_emp_growth = npv_per_capita_final * (1 + (PARAMETERS!BASE_GDP_GROWTH_RATE - PARAMETERS!LOW_EMP_GROWTH_PENALTY) * 9)</t>
  </si>
  <si>
    <t xml:space="preserve">Projection assuming weak statewide employment growth</t>
  </si>
  <si>
    <t xml:space="preserve">Final Derived Metric: NPV per Capita Forecast – 2055 (Low Overall Employment Growth Scenario)</t>
  </si>
  <si>
    <t xml:space="preserve">npv_per_capita_2055_low_emp_growth = npv_per_capita_2035_low_emp_growth * (1 + (PARAMETERS!BASE_GDP_GROWTH_RATE - PARAMETERS!LOW_EMP_GROWTH_PENALTY) * 20)</t>
  </si>
  <si>
    <t xml:space="preserve">Extended projection under low employment growth</t>
  </si>
  <si>
    <t xml:space="preserve">Final Derived Metric: NPV per Capita Forecast Gap – Moderate Policy vs Low Employment Growth (2055)</t>
  </si>
  <si>
    <t xml:space="preserve">npv_2055_moderate_vs_low_emp = npv_per_capita_2055_moderate - npv_per_capita_2055_low_emp_growth</t>
  </si>
  <si>
    <t xml:space="preserve">Relative gain of moderate policy over weak employment path</t>
  </si>
  <si>
    <t xml:space="preserve">Final Derived Metric: NPV per Capita Forecast Gap – Aggressive Policy vs Low Employment Growth (2055)</t>
  </si>
  <si>
    <t xml:space="preserve">npv_2055_aggressive_vs_low_emp = npv_per_capita_2055_aggressive - npv_per_capita_2055_low_emp_growth</t>
  </si>
  <si>
    <t xml:space="preserve">Relative gain of aggressive policy over weak employment path</t>
  </si>
  <si>
    <t xml:space="preserve">Final Derived Metric: NPV per Capita Forecast – 2035 (High American Employment Share Scenario)</t>
  </si>
  <si>
    <t xml:space="preserve">npv_per_capita_2035_high_amer_share = npv_per_capita_final * (1 + PARAMETERS!BASE_GDP_GROWTH_RATE * 9) + (EP_amer * PARAMETERS!HIGH_AMER_SHARE_BOOST)</t>
  </si>
  <si>
    <t xml:space="preserve">Projection assuming increased share of employment held by American workers</t>
  </si>
  <si>
    <t xml:space="preserve">Final Derived Metric: NPV per Capita Forecast – 2055 (High American Employment Share Scenario)</t>
  </si>
  <si>
    <t xml:space="preserve">npv_per_capita_2055_high_amer_share = npv_per_capita_2035_high_amer_share * (1 + PARAMETERS!BASE_GDP_GROWTH_RATE * 20)</t>
  </si>
  <si>
    <t xml:space="preserve">Extended projection under high American employment share</t>
  </si>
  <si>
    <t xml:space="preserve">Final Derived Metric: NPV per Capita Gain from High American Employment Share (2055)</t>
  </si>
  <si>
    <t xml:space="preserve">npv_gain_high_amer_share_2055 = npv_per_capita_2055_high_amer_share - npv_per_capita_2055_moderate</t>
  </si>
  <si>
    <t xml:space="preserve">Long-term per-capita benefit from increasing American employment share</t>
  </si>
  <si>
    <t xml:space="preserve">Final Derived Metric: NPV per Capita Forecast – 2035 (Low Unauthorized Employment Share Scenario)</t>
  </si>
  <si>
    <t xml:space="preserve">npv_per_capita_2035_low_unauth_share = npv_per_capita_final * (1 + PARAMETERS!BASE_GDP_GROWTH_RATE * 9) - (EP_unauth * PARAMETERS!LOW_UNAUTH_SHARE_IMPACT)</t>
  </si>
  <si>
    <t xml:space="preserve">Projection under reduced unauthorized employment share</t>
  </si>
  <si>
    <t xml:space="preserve">Final Derived Metric: NPV per Capita Forecast – 2055 (Low Unauthorized Employment Share Scenario)</t>
  </si>
  <si>
    <t xml:space="preserve">npv_per_capita_2055_low_unauth_share = npv_per_capita_2035_low_unauth_share * (1 + PARAMETERS!BASE_GDP_GROWTH_RATE * 20)</t>
  </si>
  <si>
    <t xml:space="preserve">Extended projection under low unauthorized employment share</t>
  </si>
  <si>
    <t xml:space="preserve">Final Derived Metric: NPV per Capita Gain from Low Unauthorized Employment Share (2055)</t>
  </si>
  <si>
    <t xml:space="preserve">npv_gain_low_unauth_share_2055 = npv_per_capita_2055_low_unauth_share - npv_per_capita_2055_moderate</t>
  </si>
  <si>
    <t xml:space="preserve">Long-term per-capita benefit from reducing unauthorized employment share</t>
  </si>
  <si>
    <t xml:space="preserve">Final Derived Metric: NPV per Capita Forecast – 2035 (High Wage-to-Productivity Ratio Convergence)</t>
  </si>
  <si>
    <t xml:space="preserve">npv_per_capita_2035_wage_prod_conv = npv_per_capita_final * (1 + PARAMETERS!BASE_GDP_GROWTH_RATE * 9) + ((WAVG_amer / LP_amer) - (WAVG_unauth / LP_unauth)) * EP_unauth * PARAMETERS!WAGE_PROD_GAIN_FACTOR</t>
  </si>
  <si>
    <t xml:space="preserve">Projection assuming convergence in wage-to-productivity efficiency</t>
  </si>
  <si>
    <t xml:space="preserve">Final Derived Metric: NPV per Capita Forecast – 2055 (High Wage-to-Productivity Ratio Convergence)</t>
  </si>
  <si>
    <t xml:space="preserve">npv_per_capita_2055_wage_prod_conv = npv_per_capita_2035_wage_prod_conv * (1 + PARAMETERS!BASE_GDP_GROWTH_RATE * 20)</t>
  </si>
  <si>
    <t xml:space="preserve">Extended projection under high wage-productivity convergence</t>
  </si>
  <si>
    <t xml:space="preserve">Final Derived Metric: NPV per Capita Gain from High Wage-to-Productivity Convergence (2055)</t>
  </si>
  <si>
    <t xml:space="preserve">npv_gain_wage_prod_conv_2055 = npv_per_capita_2055_wage_prod_conv - npv_per_capita_2055_moderate</t>
  </si>
  <si>
    <t xml:space="preserve">Long-term per-capita benefit from closing wage-productivity efficiency gap</t>
  </si>
  <si>
    <t xml:space="preserve">Final Derived Metric: NPV per Capita Forecast – 2035 (High Full-Time / Part-Time Balance Convergence)</t>
  </si>
  <si>
    <t xml:space="preserve">npv_per_capita_2035_ft_pt_conv = npv_per_capita_final * (1 + PARAMETERS!BASE_GDP_GROWTH_RATE * 9) + ((FTER_diff_amer_unauth + PTER_diff_unauth_amer) * EP_unauth * PARAMETERS!FT_PT_GAIN_FACTOR)</t>
  </si>
  <si>
    <t xml:space="preserve">Projection assuming convergence in full-time/part-time employment balance</t>
  </si>
  <si>
    <t xml:space="preserve">Final Derived Metric: NPV per Capita Forecast – 2055 (High Full-Time / Part-Time Balance Convergence)</t>
  </si>
  <si>
    <t xml:space="preserve">npv_per_capita_2055_ft_pt_conv = npv_per_capita_2035_ft_pt_conv * (1 + PARAMETERS!BASE_GDP_GROWTH_RATE * 20)</t>
  </si>
  <si>
    <t xml:space="preserve">Extended projection under high full/part-time balance convergence</t>
  </si>
  <si>
    <t xml:space="preserve">Final Derived Metric: NPV per Capita Gain from High FT/PT Balance Convergence (2055)</t>
  </si>
  <si>
    <t xml:space="preserve">npv_gain_ft_pt_conv_2055 = npv_per_capita_2055_ft_pt_conv - npv_per_capita_2055_moderate</t>
  </si>
  <si>
    <t xml:space="preserve">Long-term per-capita benefit from balancing full/part-time employment</t>
  </si>
  <si>
    <t xml:space="preserve">Final Derived Metric: NPV per Capita Forecast – 2035 (Septuple Convergence Scenario)</t>
  </si>
  <si>
    <t xml:space="preserve">npv_per_capita_2035_sept_conv = npv_per_capita_final * (1 + PARAMETERS!BASE_GDP_GROWTH_RATE * 9) + (npv_shortfall_unauth * EP_unauth * PARAMETERS!SEPTUPLE_CONVERGENCE_FACTOR)</t>
  </si>
  <si>
    <t xml:space="preserve">Projection assuming convergence across seven major dimensions</t>
  </si>
  <si>
    <t xml:space="preserve">Final Derived Metric: NPV per Capita Forecast – 2055 (Septuple Convergence Scenario)</t>
  </si>
  <si>
    <t xml:space="preserve">npv_per_capita_2055_sept_conv = npv_per_capita_2035_sept_conv * (1 + PARAMETERS!BASE_GDP_GROWTH_RATE * 20)</t>
  </si>
  <si>
    <t xml:space="preserve">Extended projection under septuple convergence</t>
  </si>
  <si>
    <t xml:space="preserve">Final Derived Metric: NPV per Capita Gain from Septuple Convergence (2055)</t>
  </si>
  <si>
    <t xml:space="preserve">npv_gain_sept_conv_2055 = npv_per_capita_2055_sept_conv - npv_per_capita_2055_moderate</t>
  </si>
  <si>
    <t xml:space="preserve">Long-term per-capita benefit from very broad seven-dimensional convergence</t>
  </si>
  <si>
    <t xml:space="preserve">Final Derived Metric: NPV per Capita Forecast Gap – Septuple Convergence vs Aggressive Policy (2055)</t>
  </si>
  <si>
    <t xml:space="preserve">npv_2055_sept_conv_vs_aggressive = npv_per_capita_2055_sept_conv - npv_per_capita_2055_aggressive</t>
  </si>
  <si>
    <t xml:space="preserve">Relative gain of septuple convergence vs aggressive policy alone</t>
  </si>
  <si>
    <t xml:space="preserve">Final Derived Metric: Final Septuple Convergence NPV Ceiling (2055)</t>
  </si>
  <si>
    <t xml:space="preserve">npv_sept_ceiling_2055 = npv_per_capita_2055_sept_conv</t>
  </si>
  <si>
    <t xml:space="preserve">Upper bound under maximum plausible seven-dimensional convergence</t>
  </si>
  <si>
    <t xml:space="preserve">Final Derived Metric: Percentage of Septuple Convergence Ceiling Achieved under Aggressive Policy</t>
  </si>
  <si>
    <t xml:space="preserve">pct_sept_ceiling_aggressive = (npv_per_capita_2055_aggressive / npv_sept_ceiling_2055) * 100</t>
  </si>
  <si>
    <t xml:space="preserve">How close aggressive policy gets to septuple convergence ceiling</t>
  </si>
  <si>
    <t xml:space="preserve">Final Derived Metric: Septuple Convergence NPV per Capita Gap to Current (2055)</t>
  </si>
  <si>
    <t xml:space="preserve">sept_conv_gap_2055 = npv_sept_ceiling_2055 - npv_per_capita_2055_pessimistic</t>
  </si>
  <si>
    <t xml:space="preserve">Total long-term per-capita gap to septuple convergence ideal</t>
  </si>
  <si>
    <t xml:space="preserve">Final Derived Metric: Annualized Septuple Convergence Gain per Capita (2055)</t>
  </si>
  <si>
    <t xml:space="preserve">annualized_sept_gain_2055 = sept_conv_gap_2055 / 30</t>
  </si>
  <si>
    <t xml:space="preserve">Average annual per-capita gain needed to reach septuple convergence ceiling</t>
  </si>
  <si>
    <t xml:space="preserve">Final Derived Metric: Required Annual Septuple Convergence Rate to Reach Ceiling</t>
  </si>
  <si>
    <t xml:space="preserve">annual_sept_convergence_rate = (sept_conv_gap_2055 / npv_per_capita_final) / 30</t>
  </si>
  <si>
    <t xml:space="preserve">Required annual rate of seven-dimensional convergence progress</t>
  </si>
  <si>
    <t xml:space="preserve">Final Derived Metric: NPV per Capita Forecast – 2035 (High Education Level Convergence for Unauthorized)</t>
  </si>
  <si>
    <t xml:space="preserve">npv_per_capita_2035_edu_level_conv = npv_per_capita_final * (1 + PARAMETERS!BASE_GDP_GROWTH_RATE * 9) + (ELR_unauth * PARAMETERS!HIGH_EDU_CONV_BOOST)</t>
  </si>
  <si>
    <t xml:space="preserve">Projection assuming significant increase in unauthorized worker education levels</t>
  </si>
  <si>
    <t xml:space="preserve">Final Derived Metric: NPV per Capita Forecast – 2055 (High Education Level Convergence for Unauthorized)</t>
  </si>
  <si>
    <t xml:space="preserve">npv_per_capita_2055_edu_level_conv = npv_per_capita_2035_edu_level_conv * (1 + PARAMETERS!BASE_GDP_GROWTH_RATE * 20)</t>
  </si>
  <si>
    <t xml:space="preserve">Extended projection under high unauthorized education convergence</t>
  </si>
  <si>
    <t xml:space="preserve">Final Derived Metric: NPV per Capita Gain from High Unauthorized Education Convergence (2055)</t>
  </si>
  <si>
    <t xml:space="preserve">npv_gain_edu_level_conv_2055 = npv_per_capita_2055_edu_level_conv - npv_per_capita_2055_moderate</t>
  </si>
  <si>
    <t xml:space="preserve">Long-term per-capita benefit from raising unauthorized education levels</t>
  </si>
  <si>
    <t xml:space="preserve">Final Derived Metric: NPV per Capita Forecast – 2035 (High Industry Shift Convergence Scenario)</t>
  </si>
  <si>
    <t xml:space="preserve">npv_per_capita_2035_industry_shift = npv_per_capita_final * (1 + PARAMETERS!BASE_GDP_GROWTH_RATE * 9) + (unauth_share_highskill * PARAMETERS!INDUSTRY_SHIFT_GAIN_FACTOR)</t>
  </si>
  <si>
    <t xml:space="preserve">Projection assuming unauthorized workers shift to higher-skill/higher-wage industries</t>
  </si>
  <si>
    <t xml:space="preserve">Final Derived Metric: NPV per Capita Forecast – 2055 (High Industry Shift Convergence Scenario)</t>
  </si>
  <si>
    <t xml:space="preserve">npv_per_capita_2055_industry_shift = npv_per_capita_2035_industry_shift * (1 + PARAMETERS!BASE_GDP_GROWTH_RATE * 20)</t>
  </si>
  <si>
    <t xml:space="preserve">Extended projection under high industry shift convergence</t>
  </si>
  <si>
    <t xml:space="preserve">Final Derived Metric: NPV per Capita Gain from High Industry Shift Convergence (2055)</t>
  </si>
  <si>
    <t xml:space="preserve">npv_gain_industry_shift_2055 = npv_per_capita_2055_industry_shift - npv_per_capita_2055_moderate</t>
  </si>
  <si>
    <t xml:space="preserve">Long-term per-capita benefit from occupational/industry convergence</t>
  </si>
  <si>
    <t xml:space="preserve">Final Derived Metric: NPV per Capita Forecast – 2035 (High Labor Market Integration Scenario)</t>
  </si>
  <si>
    <t xml:space="preserve">npv_per_capita_2035_integration = npv_per_capita_final * (1 + PARAMETERS!BASE_GDP_GROWTH_RATE * 9) + (EP_unauth * PARAMETERS!INTEGRATION_GAIN_FACTOR)</t>
  </si>
  <si>
    <t xml:space="preserve">Projection assuming improved labor market integration for unauthorized workers</t>
  </si>
  <si>
    <t xml:space="preserve">Final Derived Metric: NPV per Capita Forecast – 2055 (High Labor Market Integration Scenario)</t>
  </si>
  <si>
    <t xml:space="preserve">npv_per_capita_2055_integration = npv_per_capita_2035_integration * (1 + PARAMETERS!BASE_GDP_GROWTH_RATE * 20)</t>
  </si>
  <si>
    <t xml:space="preserve">Extended projection under high integration</t>
  </si>
  <si>
    <t xml:space="preserve">Final Derived Metric: NPV per Capita Gain from High Labor Market Integration (2055)</t>
  </si>
  <si>
    <t xml:space="preserve">npv_gain_integration_2055 = npv_per_capita_2055_integration - npv_per_capita_2055_moderate</t>
  </si>
  <si>
    <t xml:space="preserve">Long-term per-capita benefit from better integration</t>
  </si>
  <si>
    <t xml:space="preserve">Final Derived Metric: NPV per Capita Forecast – 2035 (High Unionization Convergence Scenario)</t>
  </si>
  <si>
    <t xml:space="preserve">npv_per_capita_2035_union_conv = npv_per_capita_final * (1 + PARAMETERS!BASE_GDP_GROWTH_RATE * 9) + (PARAMETERS!UNION_RATE_DIFF * EP_unauth * PARAMETERS!UNION_GAIN_FACTOR)</t>
  </si>
  <si>
    <t xml:space="preserve">Projection assuming convergence in unionization rates</t>
  </si>
  <si>
    <t xml:space="preserve">Final Derived Metric: NPV per Capita Forecast – 2055 (High Unionization Convergence Scenario)</t>
  </si>
  <si>
    <t xml:space="preserve">npv_per_capita_2055_union_conv = npv_per_capita_2035_union_conv * (1 + PARAMETERS!BASE_GDP_GROWTH_RATE * 20)</t>
  </si>
  <si>
    <t xml:space="preserve">Extended projection under high unionization convergence</t>
  </si>
  <si>
    <t xml:space="preserve">Final Derived Metric: NPV per Capita Gain from High Unionization Convergence (2055)</t>
  </si>
  <si>
    <t xml:space="preserve">npv_gain_union_conv_2055 = npv_per_capita_2055_union_conv - npv_per_capita_2055_moderate</t>
  </si>
  <si>
    <t xml:space="preserve">Long-term per-capita benefit from closing unionization gap</t>
  </si>
  <si>
    <t xml:space="preserve">Final Derived Metric: NPV per Capita Forecast – 2035 (High Job Quality Convergence Scenario)</t>
  </si>
  <si>
    <t xml:space="preserve">npv_per_capita_2035_job_quality_conv = npv_per_capita_final * (1 + PARAMETERS!BASE_GDP_GROWTH_RATE * 9) + (WAVG_diff_amer_unauth * EP_unauth * PARAMETERS!JOB_QUALITY_GAIN_FACTOR)</t>
  </si>
  <si>
    <t xml:space="preserve">Projection assuming convergence in overall job quality metrics</t>
  </si>
  <si>
    <t xml:space="preserve">Final Derived Metric: NPV per Capita Forecast – 2055 (High Job Quality Convergence Scenario)</t>
  </si>
  <si>
    <t xml:space="preserve">npv_per_capita_2055_job_quality_conv = npv_per_capita_2035_job_quality_conv * (1 + PARAMETERS!BASE_GDP_GROWTH_RATE * 20)</t>
  </si>
  <si>
    <t xml:space="preserve">Extended projection under high job quality convergence</t>
  </si>
  <si>
    <t xml:space="preserve">Final Derived Metric: NPV per Capita Gain from High Job Quality Convergence (2055)</t>
  </si>
  <si>
    <t xml:space="preserve">npv_gain_job_quality_conv_2055 = npv_per_capita_2055_job_quality_conv - npv_per_capita_2055_moderate</t>
  </si>
  <si>
    <t xml:space="preserve">Long-term per-capita benefit from closing job quality gap</t>
  </si>
  <si>
    <t xml:space="preserve">Final Derived Metric: NPV per Capita Forecast – 2035 (Decuple Convergence Scenario)</t>
  </si>
  <si>
    <t xml:space="preserve">npv_per_capita_2035_dec_conv = npv_per_capita_final * (1 + PARAMETERS!BASE_GDP_GROWTH_RATE * 9) + (npv_shortfall_unauth * EP_unauth * PARAMETERS!DECUPLE_CONVERGENCE_FACTOR)</t>
  </si>
  <si>
    <t xml:space="preserve">Projection assuming convergence across ten major dimensions</t>
  </si>
  <si>
    <t xml:space="preserve">Final Derived Metric: NPV per Capita Forecast – 2055 (Decuple Convergence Scenario)</t>
  </si>
  <si>
    <t xml:space="preserve">npv_per_capita_2055_dec_conv = npv_per_capita_2035_dec_conv * (1 + PARAMETERS!BASE_GDP_GROWTH_RATE * 20)</t>
  </si>
  <si>
    <t xml:space="preserve">Extended projection under decuple convergence</t>
  </si>
  <si>
    <t xml:space="preserve">Final Derived Metric: NPV per Capita Gain from Decuple Convergence (2055)</t>
  </si>
  <si>
    <t xml:space="preserve">npv_gain_dec_conv_2055 = npv_per_capita_2055_dec_conv - npv_per_capita_2055_moderate</t>
  </si>
  <si>
    <t xml:space="preserve">Long-term per-capita benefit from extremely broad convergence</t>
  </si>
  <si>
    <t xml:space="preserve">Final Derived Metric: NPV per Capita Forecast Gap – Decuple Convergence vs Aggressive Policy (2055)</t>
  </si>
  <si>
    <t xml:space="preserve">npv_2055_dec_conv_vs_aggressive = npv_per_capita_2055_dec_conv - npv_per_capita_2055_aggressive</t>
  </si>
  <si>
    <t xml:space="preserve">Relative gain of decuple convergence vs aggressive policy alone</t>
  </si>
  <si>
    <t xml:space="preserve">Final Derived Metric: Final Decuple Convergence NPV Ceiling (2055)</t>
  </si>
  <si>
    <t xml:space="preserve">npv_dec_ceiling_2055 = npv_per_capita_2055_dec_conv</t>
  </si>
  <si>
    <t xml:space="preserve">Upper bound under maximum plausible ten-dimensional convergence</t>
  </si>
  <si>
    <t xml:space="preserve">Final Derived Metric: Percentage of Decuple Convergence Ceiling Achieved under Aggressive Policy</t>
  </si>
  <si>
    <t xml:space="preserve">pct_dec_ceiling_aggressive = (npv_per_capita_2055_aggressive / npv_dec_ceiling_2055) * 100</t>
  </si>
  <si>
    <t xml:space="preserve">How close aggressive policy gets to decuple convergence ceiling</t>
  </si>
  <si>
    <t xml:space="preserve">Final Derived Metric: Decuple Convergence NPV per Capita Gap to Current (2055)</t>
  </si>
  <si>
    <t xml:space="preserve">dec_conv_gap_2055 = npv_dec_ceiling_2055 - npv_per_capita_2055_pessimistic</t>
  </si>
  <si>
    <t xml:space="preserve">Total long-term per-capita gap to decuple convergence ideal</t>
  </si>
  <si>
    <t xml:space="preserve">Final Derived Metric: Annualized Decuple Convergence Gain per Capita (2055)</t>
  </si>
  <si>
    <t xml:space="preserve">annualized_dec_gain_2055 = dec_conv_gap_2055 / 30</t>
  </si>
  <si>
    <t xml:space="preserve">Average annual per-capita gain needed to reach decuple convergence ceiling</t>
  </si>
  <si>
    <t xml:space="preserve">Final Derived Metric: Required Annual Decuple Convergence Rate to Reach Ceiling</t>
  </si>
  <si>
    <t xml:space="preserve">annual_dec_convergence_rate = (dec_conv_gap_2055 / npv_per_capita_final) / 30</t>
  </si>
  <si>
    <t xml:space="preserve">Required annual rate of ten-dimensional convergence progress</t>
  </si>
  <si>
    <t xml:space="preserve">Final Derived Metric: NPV per Capita Forecast – 2035 (High Labor Force Participation Convergence for Unauthorized)</t>
  </si>
  <si>
    <t xml:space="preserve">npv_per_capita_2035_unauth_lfpr_conv = npv_per_capita_final * (1 + PARAMETERS!BASE_GDP_GROWTH_RATE * 9) + ((LFPR_unauth - LFPR_amer) * -1 * EP_unauth * PARAMETERS!UNAUTH_LFPR_GAIN_FACTOR)</t>
  </si>
  <si>
    <t xml:space="preserve">Projection assuming significant increase in unauthorized LFPR</t>
  </si>
  <si>
    <t xml:space="preserve">Final Derived Metric: NPV per Capita Forecast – 2055 (High Labor Force Participation Convergence for Unauthorized)</t>
  </si>
  <si>
    <t xml:space="preserve">npv_per_capita_2055_unauth_lfpr_conv = npv_per_capita_2035_unauth_lfpr_conv * (1 + PARAMETERS!BASE_GDP_GROWTH_RATE * 20)</t>
  </si>
  <si>
    <t xml:space="preserve">Extended projection under high unauthorized LFPR convergence</t>
  </si>
  <si>
    <t xml:space="preserve">Final Derived Metric: NPV per Capita Gain from High Unauthorized LFPR Convergence (2055)</t>
  </si>
  <si>
    <t xml:space="preserve">npv_gain_unauth_lfpr_conv_2055 = npv_per_capita_2055_unauth_lfpr_conv - npv_per_capita_2055_moderate</t>
  </si>
  <si>
    <t xml:space="preserve">Long-term per-capita benefit from raising unauthorized participation rate</t>
  </si>
  <si>
    <t xml:space="preserve">Final Derived Metric: NPV per Capita Forecast – 2035 (High Employment-to-Population Ratio Convergence for Unauthorized)</t>
  </si>
  <si>
    <t xml:space="preserve">npv_per_capita_2035_unauth_etpr_conv = npv_per_capita_final * (1 + PARAMETERS!BASE_GDP_GROWTH_RATE * 9) + ((ETPR_unauth - ETPR_amer) * -1 * EP_unauth * PARAMETERS!UNAUTH_ETPR_GAIN_FACTOR)</t>
  </si>
  <si>
    <t xml:space="preserve">Projection assuming significant increase in unauthorized ETPR</t>
  </si>
  <si>
    <t xml:space="preserve">Final Derived Metric: NPV per Capita Forecast – 2055 (High Employment-to-Population Ratio Convergence for Unauthorized)</t>
  </si>
  <si>
    <t xml:space="preserve">npv_per_capita_2055_unauth_etpr_conv = npv_per_capita_2035_unauth_etpr_conv * (1 + PARAMETERS!BASE_GDP_GROWTH_RATE * 20)</t>
  </si>
  <si>
    <t xml:space="preserve">Extended projection under high unauthorized ETPR convergence</t>
  </si>
  <si>
    <t xml:space="preserve">Final Derived Metric: NPV per Capita Gain from High Unauthorized ETPR Convergence (2055)</t>
  </si>
  <si>
    <t xml:space="preserve">npv_gain_unauth_etpr_conv_2055 = npv_per_capita_2055_unauth_etpr_conv - npv_per_capita_2055_moderate</t>
  </si>
  <si>
    <t xml:space="preserve">Long-term per-capita benefit from raising unauthorized employment-to-population ratio</t>
  </si>
  <si>
    <t xml:space="preserve">Final Derived Metric: NPV per Capita Forecast – 2035 (High Full-Time Employment Rate Convergence for Unauthorized)</t>
  </si>
  <si>
    <t xml:space="preserve">npv_per_capita_2035_unauth_fte_conv = npv_per_capita_final * (1 + PARAMETERS!BASE_GDP_GROWTH_RATE * 9) + ((FTER_unauth - FTER_amer) * -1 * EP_unauth * PARAMETERS!UNAUTH_FTE_GAIN_FACTOR)</t>
  </si>
  <si>
    <t xml:space="preserve">Projection assuming increase in unauthorized full-time employment rate</t>
  </si>
  <si>
    <t xml:space="preserve">Final Derived Metric: NPV per Capita Forecast – 2055 (High Full-Time Employment Rate Convergence for Unauthorized)</t>
  </si>
  <si>
    <t xml:space="preserve">npv_per_capita_2055_unauth_fte_conv = npv_per_capita_2035_unauth_fte_conv * (1 + PARAMETERS!BASE_GDP_GROWTH_RATE * 20)</t>
  </si>
  <si>
    <t xml:space="preserve">Extended projection under high unauthorized full-time rate convergence</t>
  </si>
  <si>
    <t xml:space="preserve">Final Derived Metric: NPV per Capita Gain from High Unauthorized FTE Convergence (2055)</t>
  </si>
  <si>
    <t xml:space="preserve">npv_gain_unauth_fte_conv_2055 = npv_per_capita_2055_unauth_fte_conv - npv_per_capita_2055_moderate</t>
  </si>
  <si>
    <t xml:space="preserve">Long-term per-capita benefit from raising unauthorized full-time employment share</t>
  </si>
  <si>
    <t xml:space="preserve">Final Derived Metric: NPV per Capita Forecast – 2035 (High Average Weekly Hours Convergence for Unauthorized)</t>
  </si>
  <si>
    <t xml:space="preserve">npv_per_capita_2035_unauth_awhw_conv = npv_per_capita_final * (1 + PARAMETERS!BASE_GDP_GROWTH_RATE * 9) + ((AWHW_unauth - AWHW_amer) * -1 * EP_unauth * PARAMETERS!UNAUTH_AWHW_GAIN_FACTOR)</t>
  </si>
  <si>
    <t xml:space="preserve">Projection assuming increase in unauthorized average weekly hours</t>
  </si>
  <si>
    <t xml:space="preserve">Final Derived Metric: NPV per Capita Forecast – 2055 (High Average Weekly Hours Convergence for Unauthorized)</t>
  </si>
  <si>
    <t xml:space="preserve">npv_per_capita_2055_unauth_awhw_conv = npv_per_capita_2035_unauth_awhw_conv * (1 + PARAMETERS!BASE_GDP_GROWTH_RATE * 20)</t>
  </si>
  <si>
    <t xml:space="preserve">Extended projection under high unauthorized hours convergence</t>
  </si>
  <si>
    <t xml:space="preserve">Final Derived Metric: NPV per Capita Gain from High Unauthorized AWHW Convergence (2055)</t>
  </si>
  <si>
    <t xml:space="preserve">npv_gain_unauth_awhw_conv_2055 = npv_per_capita_2055_unauth_awhw_conv - npv_per_capita_2055_moderate</t>
  </si>
  <si>
    <t xml:space="preserve">Long-term per-capita benefit from raising unauthorized weekly hours</t>
  </si>
  <si>
    <t xml:space="preserve">Final Derived Metric: NPV per Capita Forecast – 2035 (High Annual Income Convergence for Unauthorized)</t>
  </si>
  <si>
    <t xml:space="preserve">npv_per_capita_2035_unauth_aiavg_conv = npv_per_capita_final * (1 + PARAMETERS!BASE_GDP_GROWTH_RATE * 9) + ((AIAVG_unauth - AIAVG_amer) * -1 * EP_unauth * PARAMETERS!UNAUTH_AIAVG_GAIN_FACTOR)</t>
  </si>
  <si>
    <t xml:space="preserve">Projection assuming increase in unauthorized annual income</t>
  </si>
  <si>
    <t xml:space="preserve">Final Derived Metric: NPV per Capita Forecast – 2055 (High Annual Income Convergence for Unauthorized)</t>
  </si>
  <si>
    <t xml:space="preserve">npv_per_capita_2055_unauth_aiavg_conv = npv_per_capita_2035_unauth_aiavg_conv * (1 + PARAMETERS!BASE_GDP_GROWTH_RATE * 20)</t>
  </si>
  <si>
    <t xml:space="preserve">Extended projection under high unauthorized annual income convergence</t>
  </si>
  <si>
    <t xml:space="preserve">Final Derived Metric: NPV per Capita Gain from High Unauthorized Annual Income Convergence (2055)</t>
  </si>
  <si>
    <t xml:space="preserve">npv_gain_unauth_aiavg_conv_2055 = npv_per_capita_2055_unauth_aiavg_conv - npv_per_capita_2055_moderate</t>
  </si>
  <si>
    <t xml:space="preserve">Long-term per-capita benefit from raising unauthorized annual earnings</t>
  </si>
  <si>
    <t xml:space="preserve">Final Derived Metric: NPV per Capita Forecast – 2035 (High Wage Convergence for Unauthorized)</t>
  </si>
  <si>
    <t xml:space="preserve">npv_per_capita_2035_unauth_wavg_conv = npv_per_capita_final * (1 + PARAMETERS!BASE_GDP_GROWTH_RATE * 9) + ((WAVG_unauth - WAVG_amer) * -1 * EP_unauth * PARAMETERS!UNAUTH_WAVG_GAIN_FACTOR)</t>
  </si>
  <si>
    <t xml:space="preserve">Projection assuming increase in unauthorized hourly wage</t>
  </si>
  <si>
    <t xml:space="preserve">Final Derived Metric: NPV per Capita Forecast – 2055 (High Wage Convergence for Unauthorized)</t>
  </si>
  <si>
    <t xml:space="preserve">npv_per_capita_2055_unauth_wavg_conv = npv_per_capita_2035_unauth_wavg_conv * (1 + PARAMETERS!BASE_GDP_GROWTH_RATE * 20)</t>
  </si>
  <si>
    <t xml:space="preserve">Extended projection under high unauthorized wage convergence</t>
  </si>
  <si>
    <t xml:space="preserve">Final Derived Metric: NPV per Capita Gain from High Unauthorized Wage Convergence (2055)</t>
  </si>
  <si>
    <t xml:space="preserve">npv_gain_unauth_wavg_conv_2055 = npv_per_capita_2055_unauth_wavg_conv - npv_per_capita_2055_moderate</t>
  </si>
  <si>
    <t xml:space="preserve">Long-term per-capita benefit from raising unauthorized hourly earnings</t>
  </si>
  <si>
    <t xml:space="preserve">Final Derived Metric: NPV per Capita Forecast – 2035 (High Labor Productivity Convergence for Unauthorized)</t>
  </si>
  <si>
    <t xml:space="preserve">npv_per_capita_2035_unauth_lp_conv = npv_per_capita_final * (1 + PARAMETERS!BASE_GDP_GROWTH_RATE * 9) + ((LP_unauth - LP_amer) * -1 * EP_unauth * PARAMETERS!UNAUTH_LP_GAIN_FACTOR)</t>
  </si>
  <si>
    <t xml:space="preserve">Projection assuming increase in unauthorized labor productivity</t>
  </si>
  <si>
    <t xml:space="preserve">Final Derived Metric: NPV per Capita Forecast – 2055 (High Labor Productivity Convergence for Unauthorized)</t>
  </si>
  <si>
    <t xml:space="preserve">npv_per_capita_2055_unauth_lp_conv = npv_per_capita_2035_unauth_lp_conv * (1 + PARAMETERS!BASE_GDP_GROWTH_RATE * 20)</t>
  </si>
  <si>
    <t xml:space="preserve">Extended projection under high unauthorized productivity convergence</t>
  </si>
  <si>
    <t xml:space="preserve">Final Derived Metric: NPV per Capita Gain from High Unauthorized Productivity Convergence (2055)</t>
  </si>
  <si>
    <t xml:space="preserve">npv_gain_unauth_lp_conv_2055 = npv_per_capita_2055_unauth_lp_conv - npv_per_capita_2055_moderate</t>
  </si>
  <si>
    <t xml:space="preserve">Long-term per-capita benefit from raising unauthorized productivity</t>
  </si>
  <si>
    <t xml:space="preserve">Final Derived Metric: NPV per Capita Forecast – 2035 (High Job Stability Convergence for Unauthorized)</t>
  </si>
  <si>
    <t xml:space="preserve">npv_per_capita_2035_unauth_stability_conv = npv_per_capita_final * (1 + PARAMETERS!BASE_GDP_GROWTH_RATE * 9) + ((TR_unauth - TR_amer) * -1 * EP_unauth * PARAMETERS!UNAUTH_STABILITY_GAIN_FACTOR)</t>
  </si>
  <si>
    <t xml:space="preserve">Projection assuming reduction in unauthorized job turnover rate</t>
  </si>
  <si>
    <t xml:space="preserve">Final Derived Metric: NPV per Capita Forecast – 2055 (High Job Stability Convergence for Unauthorized)</t>
  </si>
  <si>
    <t xml:space="preserve">npv_per_capita_2055_unauth_stability_conv = npv_per_capita_2035_unauth_stability_conv * (1 + PARAMETERS!BASE_GDP_GROWTH_RATE * 20)</t>
  </si>
  <si>
    <t xml:space="preserve">Extended projection under high unauthorized job stability convergence</t>
  </si>
  <si>
    <t xml:space="preserve">Final Derived Metric: NPV per Capita Gain from High Unauthorized Job Stability Convergence (2055)</t>
  </si>
  <si>
    <t xml:space="preserve">npv_gain_unauth_stability_conv_2055 = npv_per_capita_2055_unauth_stability_conv - npv_per_capita_2055_moderate</t>
  </si>
  <si>
    <t xml:space="preserve">Long-term per-capita benefit from reducing unauthorized turnover</t>
  </si>
  <si>
    <t xml:space="preserve">Final Derived Metric: NPV per Capita Forecast – 2035 (High Education-to-Wage Return Convergence)</t>
  </si>
  <si>
    <t xml:space="preserve">npv_per_capita_2035_edu_wage_conv = npv_per_capita_final * (1 + PARAMETERS!BASE_GDP_GROWTH_RATE * 9) + ((WAVG_amer / ELR_amer) - (WAVG_unauth / ELR_unauth)) * EP_unauth * PARAMETERS!EDU_WAGE_RETURN_GAIN_FACTOR</t>
  </si>
  <si>
    <t xml:space="preserve">Projection assuming convergence in return on education (wage per year of education required)</t>
  </si>
  <si>
    <t xml:space="preserve">Final Derived Metric: NPV per Capita Forecast – 2055 (High Education-to-Wage Return Convergence)</t>
  </si>
  <si>
    <t xml:space="preserve">npv_per_capita_2055_edu_wage_conv = npv_per_capita_2035_edu_wage_conv * (1 + PARAMETERS!BASE_GDP_GROWTH_RATE * 20)</t>
  </si>
  <si>
    <t xml:space="preserve">Extended projection under high education-to-wage return convergence</t>
  </si>
  <si>
    <t xml:space="preserve">Final Derived Metric: NPV per Capita Gain from High Education-to-Wage Return Convergence (2055)</t>
  </si>
  <si>
    <t xml:space="preserve">npv_gain_edu_wage_conv_2055 = npv_per_capita_2055_edu_wage_conv - npv_per_capita_2055_moderate</t>
  </si>
  <si>
    <t xml:space="preserve">Long-term per-capita benefit from improving unauthorized return on education</t>
  </si>
  <si>
    <t xml:space="preserve">Final Derived Metric: NPV per Capita Forecast – 2035 (High Full-Time Employment Share Convergence for Unauthorized)</t>
  </si>
  <si>
    <t xml:space="preserve">npv_per_capita_2035_unauth_ft_share_conv = npv_per_capita_final * (1 + PARAMETERS!BASE_GDP_GROWTH_RATE * 9) + ((FTER_unauth - FTER_amer) * -1 * EP_unauth * PARAMETERS!UNAUTH_FT_SHARE_GAIN_FACTOR)</t>
  </si>
  <si>
    <t xml:space="preserve">Projection assuming increase in unauthorized full-time share</t>
  </si>
  <si>
    <t xml:space="preserve">Final Derived Metric: NPV per Capita Forecast – 2055 (High Full-Time Employment Share Convergence for Unauthorized)</t>
  </si>
  <si>
    <t xml:space="preserve">npv_per_capita_2055_unauth_ft_share_conv = npv_per_capita_2035_unauth_ft_share_conv * (1 + PARAMETERS!BASE_GDP_GROWTH_RATE * 20)</t>
  </si>
  <si>
    <t xml:space="preserve">Extended projection under high unauthorized full-time share convergence</t>
  </si>
  <si>
    <t xml:space="preserve">Final Derived Metric: NPV per Capita Gain from High Unauthorized FT Share Convergence (2055)</t>
  </si>
  <si>
    <t xml:space="preserve">npv_gain_unauth_ft_share_conv_2055 = npv_per_capita_2055_unauth_ft_share_conv - npv_per_capita_2055_moderate</t>
  </si>
  <si>
    <t xml:space="preserve">Long-term per-capita benefit from increasing unauthorized full-time employment share</t>
  </si>
  <si>
    <t xml:space="preserve">Final Derived Metric: NPV per Capita Forecast – 2035 (High Average Annual Income Convergence for Unauthorized)</t>
  </si>
  <si>
    <t xml:space="preserve">Final Derived Metric: NPV per Capita Forecast – 2055 (High Average Annual Income Convergence for Unauthorized)</t>
  </si>
  <si>
    <t xml:space="preserve">Final Derived Metric: NPV per Capita Forecast – 2035 (High Hourly Wage Convergence for Unauthorized)</t>
  </si>
  <si>
    <t xml:space="preserve">Final Derived Metric: NPV per Capita Forecast – 2055 (High Hourly Wage Convergence for Unauthorized)</t>
  </si>
  <si>
    <t xml:space="preserve">Extended projection under high unauthorized hourly wage convergence</t>
  </si>
  <si>
    <t xml:space="preserve">Final Derived Metric: NPV per Capita Gain from High Unauthorized Hourly Wage Convergence (2055)</t>
  </si>
  <si>
    <t xml:space="preserve">Final Derived Metric: NPV per Capita Forecast – 2035 (High Education-to-Wage Return Convergence for Unauthorized)</t>
  </si>
  <si>
    <t xml:space="preserve">npv_per_capita_2035_unauth_edu_wage_conv = npv_per_capita_final * (1 + PARAMETERS!BASE_GDP_GROWTH_RATE * 9) + (((WAVG_amer / ELR_amer) - (WAVG_unauth / ELR_unauth)) * -1 * EP_unauth * PARAMETERS!UNAUTH_EDU_WAGE_RETURN_GAIN_FACTOR)</t>
  </si>
  <si>
    <t xml:space="preserve">Projection assuming improvement in unauthorized return on education</t>
  </si>
  <si>
    <t xml:space="preserve">Final Derived Metric: NPV per Capita Forecast – 2055 (High Education-to-Wage Return Convergence for Unauthorized)</t>
  </si>
  <si>
    <t xml:space="preserve">npv_per_capita_2055_unauth_edu_wage_conv = npv_per_capita_2035_unauth_edu_wage_conv * (1 + PARAMETERS!BASE_GDP_GROWTH_RATE * 20)</t>
  </si>
  <si>
    <t xml:space="preserve">Extended projection under high unauthorized education-to-wage return convergence</t>
  </si>
  <si>
    <t xml:space="preserve">Final Derived Metric: NPV per Capita Gain from High Unauthorized Education-to-Wage Return Convergence (2055)</t>
  </si>
  <si>
    <t xml:space="preserve">npv_gain_unauth_edu_wage_conv_2055 = npv_per_capita_2055_unauth_edu_wage_conv - npv_per_capita_2055_moderate</t>
  </si>
  <si>
    <t xml:space="preserve">Final Derived Metric: NPV per Capita Forecast – 2035 (High Full-Time Share Convergence for Unauthorized)</t>
  </si>
  <si>
    <t xml:space="preserve">npv_per_capita_2035_unauth_ft_conv = npv_per_capita_final * (1 + PARAMETERS!BASE_GDP_GROWTH_RATE * 9) + ((FTER_unauth - FTER_amer) * -1 * EP_unauth * PARAMETERS!UNAUTH_FT_SHARE_GAIN_FACTOR)</t>
  </si>
  <si>
    <t xml:space="preserve">Projection assuming increase in unauthorized full-time employment share</t>
  </si>
  <si>
    <t xml:space="preserve">Final Derived Metric: NPV per Capita Forecast – 2055 (High Full-Time Share Convergence for Unauthorized)</t>
  </si>
  <si>
    <t xml:space="preserve">npv_per_capita_2055_unauth_ft_conv = npv_per_capita_2035_unauth_ft_conv * (1 + PARAMETERS!BASE_GDP_GROWTH_RATE * 20)</t>
  </si>
  <si>
    <t xml:space="preserve">Final Derived Metric: NPV per Capita Gain from High Unauthorized Full-Time Share Convergence (2055)</t>
  </si>
  <si>
    <t xml:space="preserve">npv_gain_unauth_ft_conv_2055 = npv_per_capita_2055_unauth_ft_conv - npv_per_capita_2055_moderate</t>
  </si>
  <si>
    <t xml:space="preserve">LSD.REF.AL.PARAM</t>
  </si>
  <si>
    <t xml:space="preserve">PID</t>
  </si>
  <si>
    <t xml:space="preserve">Parameter Name</t>
  </si>
  <si>
    <t xml:space="preserve">Value</t>
  </si>
  <si>
    <t xml:space="preserve">State / Description</t>
  </si>
  <si>
    <t xml:space="preserve">Notes / Sources</t>
  </si>
  <si>
    <t xml:space="preserve">Confidence Rating</t>
  </si>
  <si>
    <t xml:space="preserve">Last Updated / Source Note</t>
  </si>
  <si>
    <t xml:space="preserve">Base Employment Totals</t>
  </si>
  <si>
    <t xml:space="preserve">P001</t>
  </si>
  <si>
    <t xml:space="preserve">TOTAL_NONFARM_AL</t>
  </si>
  <si>
    <t xml:space="preserve">AL / Total nonfarm payroll (thousands)</t>
  </si>
  <si>
    <t xml:space="preserve">BLS CES December 2025 High</t>
  </si>
  <si>
    <t xml:space="preserve">BLS CES SA Dec 2025 release</t>
  </si>
  <si>
    <t xml:space="preserve">P002</t>
  </si>
  <si>
    <t xml:space="preserve">AG_EMPLOYMENT_AL</t>
  </si>
  <si>
    <t xml:space="preserve">AL / Ag employment (thousands)</t>
  </si>
  <si>
    <t xml:space="preserve">BLS CES estimate (nonfarm adj) Medium</t>
  </si>
  <si>
    <t xml:space="preserve">BLS CES + Census of Agriculture adj</t>
  </si>
  <si>
    <t xml:space="preserve">P003</t>
  </si>
  <si>
    <t xml:space="preserve">CONSTR_EMPLOYMENT_AL</t>
  </si>
  <si>
    <t xml:space="preserve">AL / Construction employment</t>
  </si>
  <si>
    <t xml:space="preserve">BLS CES Dec 2025</t>
  </si>
  <si>
    <t xml:space="preserve">High</t>
  </si>
  <si>
    <t xml:space="preserve">BLS CES SA Dec 2025</t>
  </si>
  <si>
    <t xml:space="preserve">P004</t>
  </si>
  <si>
    <t xml:space="preserve">HOSP_EMPLOYMENT_AL</t>
  </si>
  <si>
    <t xml:space="preserve">AL / Accommodation &amp; Food Services (Hospitality)</t>
  </si>
  <si>
    <t xml:space="preserve">P005</t>
  </si>
  <si>
    <t xml:space="preserve">CLEAN_EMPLOYMENT_AL</t>
  </si>
  <si>
    <t xml:space="preserve">AL / Cleaning &amp; Maintenance Services</t>
  </si>
  <si>
    <t xml:space="preserve">BLS CES + OES estimate</t>
  </si>
  <si>
    <t xml:space="preserve">Medium</t>
  </si>
  <si>
    <t xml:space="preserve">BLS CES + O*NET crosswalk</t>
  </si>
  <si>
    <t xml:space="preserve">P006</t>
  </si>
  <si>
    <t xml:space="preserve">MFG_EMPLOYMENT_AL</t>
  </si>
  <si>
    <t xml:space="preserve">AL / Manufacturing employment</t>
  </si>
  <si>
    <t xml:space="preserve">P007</t>
  </si>
  <si>
    <t xml:space="preserve">TRANS_EMPLOYMENT_AL</t>
  </si>
  <si>
    <t xml:space="preserve">AL / Transportation &amp; Warehousing</t>
  </si>
  <si>
    <t xml:space="preserve">P008</t>
  </si>
  <si>
    <t xml:space="preserve">RETAIL_EMPLOYMENT_AL</t>
  </si>
  <si>
    <t xml:space="preserve">AL / Retail Trade employment</t>
  </si>
  <si>
    <t xml:space="preserve">P009</t>
  </si>
  <si>
    <t xml:space="preserve">LAND_EMPLOYMENT_AL</t>
  </si>
  <si>
    <t xml:space="preserve">AL / Landscaping &amp; Groundskeeping</t>
  </si>
  <si>
    <t xml:space="preserve">BLS CES + O*NET landscaping subset</t>
  </si>
  <si>
    <t xml:space="preserve">P010</t>
  </si>
  <si>
    <t xml:space="preserve">AUTO_EMPLOYMENT_AL</t>
  </si>
  <si>
    <t xml:space="preserve">AL / Automotive Repair &amp; Maintenance</t>
  </si>
  <si>
    <t xml:space="preserve">BLS CES + O*NET auto repair subset</t>
  </si>
  <si>
    <t xml:space="preserve">P011</t>
  </si>
  <si>
    <t xml:space="preserve">HEALTH_EMPLOYMENT_AL</t>
  </si>
  <si>
    <t xml:space="preserve">AL / Health Care &amp; Social Assistance</t>
  </si>
  <si>
    <t xml:space="preserve">P012</t>
  </si>
  <si>
    <t xml:space="preserve">PROF_EMPLOYMENT_AL</t>
  </si>
  <si>
    <t xml:space="preserve">AL / Professional, Scientific &amp; Technical Services</t>
  </si>
  <si>
    <t xml:space="preserve">P013</t>
  </si>
  <si>
    <t xml:space="preserve">EDUC_EMPLOYMENT_AL</t>
  </si>
  <si>
    <t xml:space="preserve">AL / Educational Services</t>
  </si>
  <si>
    <t xml:space="preserve">P014</t>
  </si>
  <si>
    <t xml:space="preserve">FIN_EMPLOYMENT_AL</t>
  </si>
  <si>
    <t xml:space="preserve">AL / Finance &amp; Insurance</t>
  </si>
  <si>
    <t xml:space="preserve">P015</t>
  </si>
  <si>
    <t xml:space="preserve">MEDIA_IT_EMPLOYMENT_AL</t>
  </si>
  <si>
    <t xml:space="preserve">AL / Information (Media &amp; IT subset)</t>
  </si>
  <si>
    <t xml:space="preserve">P016</t>
  </si>
  <si>
    <t xml:space="preserve">GOV_EMPLOYMENT_AL</t>
  </si>
  <si>
    <t xml:space="preserve">AL / Government employment</t>
  </si>
  <si>
    <t xml:space="preserve">P017</t>
  </si>
  <si>
    <t xml:space="preserve">SELF_EMPLOYMENT_AL</t>
  </si>
  <si>
    <t xml:space="preserve">AL / Self-employed (non-employer)</t>
  </si>
  <si>
    <t xml:space="preserve">ACS 1-year estimate</t>
  </si>
  <si>
    <t xml:space="preserve">ACS 2024 + BLS self-employment adj</t>
  </si>
  <si>
    <t xml:space="preserve">P018</t>
  </si>
  <si>
    <t xml:space="preserve">OTHER_EMPLOYMENT_AL</t>
  </si>
  <si>
    <t xml:space="preserve">AL / Other Services (except Public Admin)</t>
  </si>
  <si>
    <t xml:space="preserve">P019</t>
  </si>
  <si>
    <t xml:space="preserve">MINING_EMPLOYMENT_AL</t>
  </si>
  <si>
    <t xml:space="preserve">AL / Mining, Quarrying, Oil &amp; Gas</t>
  </si>
  <si>
    <t xml:space="preserve">P020</t>
  </si>
  <si>
    <t xml:space="preserve">UTIL_EMPLOYMENT_AL</t>
  </si>
  <si>
    <t xml:space="preserve">AL / Utilities</t>
  </si>
  <si>
    <t xml:space="preserve">P021</t>
  </si>
  <si>
    <t xml:space="preserve">WHOLESALE_EMPLOYMENT_AL</t>
  </si>
  <si>
    <t xml:space="preserve">AL / Wholesale Trade</t>
  </si>
  <si>
    <t xml:space="preserve">P022</t>
  </si>
  <si>
    <t xml:space="preserve">INFO_EMPLOYMENT_AL</t>
  </si>
  <si>
    <t xml:space="preserve">AL / Information</t>
  </si>
  <si>
    <t xml:space="preserve">P023</t>
  </si>
  <si>
    <t xml:space="preserve">REALEST_EMPLOYMENT_AL</t>
  </si>
  <si>
    <t xml:space="preserve">AL / Real Estate &amp; Rental &amp; Leasing</t>
  </si>
  <si>
    <t xml:space="preserve">P024</t>
  </si>
  <si>
    <t xml:space="preserve">ADMIN_EMPLOYMENT_AL</t>
  </si>
  <si>
    <t xml:space="preserve">AL / Administrative &amp; Support &amp; Waste Management</t>
  </si>
  <si>
    <t xml:space="preserve">P025</t>
  </si>
  <si>
    <t xml:space="preserve">ARTS_EMPLOYMENT_AL</t>
  </si>
  <si>
    <t xml:space="preserve">AL / Arts, Entertainment &amp; Recreation</t>
  </si>
  <si>
    <t xml:space="preserve">Adjustment Factors</t>
  </si>
  <si>
    <t xml:space="preserve">P026</t>
  </si>
  <si>
    <t xml:space="preserve">ACCOM_EMPLOYMENT_AL</t>
  </si>
  <si>
    <t xml:space="preserve">AL / Accommodation &amp; Food Services</t>
  </si>
  <si>
    <t xml:space="preserve">BLS CES SA Dec 2025 (includes hospitality overlap)</t>
  </si>
  <si>
    <t xml:space="preserve">P027</t>
  </si>
  <si>
    <t xml:space="preserve">PUBADMIN_EMPLOYMENT_AL</t>
  </si>
  <si>
    <t xml:space="preserve">AL / Public Administration</t>
  </si>
  <si>
    <t xml:space="preserve">P028</t>
  </si>
  <si>
    <t xml:space="preserve">ADJUSTMENT_FACTOR_AG</t>
  </si>
  <si>
    <t xml:space="preserve">AL / Ag underreporting adjustment</t>
  </si>
  <si>
    <t xml:space="preserve">Census ACS farmworker adj</t>
  </si>
  <si>
    <t xml:space="preserve">Census ACS 2024 + MPI undercount est</t>
  </si>
  <si>
    <t xml:space="preserve">P029</t>
  </si>
  <si>
    <t xml:space="preserve">ADJUSTMENT_FACTOR_CONSTR</t>
  </si>
  <si>
    <t xml:space="preserve">AL / Construction informal adj</t>
  </si>
  <si>
    <t xml:space="preserve">Census ACS</t>
  </si>
  <si>
    <t xml:space="preserve">Census ACS 2024 + Pew informal est</t>
  </si>
  <si>
    <t xml:space="preserve">P030</t>
  </si>
  <si>
    <t xml:space="preserve">ADJUSTMENT_FACTOR_HOSP</t>
  </si>
  <si>
    <t xml:space="preserve">AL / Hospitality underreporting adj</t>
  </si>
  <si>
    <t xml:space="preserve">Census ACS 2024</t>
  </si>
  <si>
    <t xml:space="preserve">P031</t>
  </si>
  <si>
    <t xml:space="preserve">ADJUSTMENT_FACTOR_CLEAN</t>
  </si>
  <si>
    <t xml:space="preserve">AL / Cleaning &amp; Maintenance adj</t>
  </si>
  <si>
    <t xml:space="preserve">P032</t>
  </si>
  <si>
    <t xml:space="preserve">ADJUSTMENT_FACTOR_MFG</t>
  </si>
  <si>
    <t xml:space="preserve">AL / Manufacturing adj</t>
  </si>
  <si>
    <t xml:space="preserve">P033</t>
  </si>
  <si>
    <t xml:space="preserve">ADJUSTMENT_FACTOR_TRANS</t>
  </si>
  <si>
    <t xml:space="preserve">AL / Transportation &amp; Warehousing adj</t>
  </si>
  <si>
    <t xml:space="preserve">P034</t>
  </si>
  <si>
    <t xml:space="preserve">ADJUSTMENT_FACTOR_RETAIL</t>
  </si>
  <si>
    <t xml:space="preserve">AL / Retail Trade adj</t>
  </si>
  <si>
    <t xml:space="preserve">P035</t>
  </si>
  <si>
    <t xml:space="preserve">ADJUSTMENT_FACTOR_LAND</t>
  </si>
  <si>
    <t xml:space="preserve">AL / Landscaping adj</t>
  </si>
  <si>
    <t xml:space="preserve">P036</t>
  </si>
  <si>
    <t xml:space="preserve">ADJUSTMENT_FACTOR_AUTO</t>
  </si>
  <si>
    <t xml:space="preserve">AL / Automotive Repair adj</t>
  </si>
  <si>
    <t xml:space="preserve">P037</t>
  </si>
  <si>
    <t xml:space="preserve">ADJUSTMENT_FACTOR_HEALTH</t>
  </si>
  <si>
    <t xml:space="preserve">AL / Health &amp; Social Assistance adj</t>
  </si>
  <si>
    <t xml:space="preserve">P038</t>
  </si>
  <si>
    <t xml:space="preserve">ADJUSTMENT_FACTOR_PROF</t>
  </si>
  <si>
    <t xml:space="preserve">AL / Professional Services adj</t>
  </si>
  <si>
    <t xml:space="preserve">P039</t>
  </si>
  <si>
    <t xml:space="preserve">ADJUSTMENT_FACTOR_EDUC</t>
  </si>
  <si>
    <t xml:space="preserve">AL / Educational Services adj</t>
  </si>
  <si>
    <t xml:space="preserve">P040</t>
  </si>
  <si>
    <t xml:space="preserve">ADJUSTMENT_FACTOR_FIN</t>
  </si>
  <si>
    <t xml:space="preserve">AL / Finance &amp; Insurance adj</t>
  </si>
  <si>
    <t xml:space="preserve">P041</t>
  </si>
  <si>
    <t xml:space="preserve">ADJUSTMENT_FACTOR_MEDIA_IT</t>
  </si>
  <si>
    <t xml:space="preserve">AL / Information (Media/IT) adj</t>
  </si>
  <si>
    <t xml:space="preserve">P042</t>
  </si>
  <si>
    <t xml:space="preserve">ADJUSTMENT_FACTOR_GOV</t>
  </si>
  <si>
    <t xml:space="preserve">AL / Government adj</t>
  </si>
  <si>
    <t xml:space="preserve">P043</t>
  </si>
  <si>
    <t xml:space="preserve">ADJUSTMENT_FACTOR_SELF</t>
  </si>
  <si>
    <t xml:space="preserve">AL / Self-employed underreporting adj</t>
  </si>
  <si>
    <t xml:space="preserve">Census ACS 2024 + BLS undercount est</t>
  </si>
  <si>
    <t xml:space="preserve">P044</t>
  </si>
  <si>
    <t xml:space="preserve">ADJUSTMENT_FACTOR_OTHER</t>
  </si>
  <si>
    <t xml:space="preserve">AL / Other Services adj</t>
  </si>
  <si>
    <t xml:space="preserve">P045</t>
  </si>
  <si>
    <t xml:space="preserve">ADJUSTMENT_FACTOR_MINING</t>
  </si>
  <si>
    <t xml:space="preserve">AL / Mining adj</t>
  </si>
  <si>
    <t xml:space="preserve">P046</t>
  </si>
  <si>
    <t xml:space="preserve">ADJUSTMENT_FACTOR_UTIL</t>
  </si>
  <si>
    <t xml:space="preserve">AL / Utilities adj</t>
  </si>
  <si>
    <t xml:space="preserve">P047</t>
  </si>
  <si>
    <t xml:space="preserve">ADJUSTMENT_FACTOR_WHOLESALE</t>
  </si>
  <si>
    <t xml:space="preserve">AL / Wholesale Trade adj</t>
  </si>
  <si>
    <t xml:space="preserve">P048</t>
  </si>
  <si>
    <t xml:space="preserve">ADJUSTMENT_FACTOR_INFO</t>
  </si>
  <si>
    <t xml:space="preserve">AL / Information adj</t>
  </si>
  <si>
    <t xml:space="preserve">P049</t>
  </si>
  <si>
    <t xml:space="preserve">ADJUSTMENT_FACTOR_REALEST</t>
  </si>
  <si>
    <t xml:space="preserve">AL / Real Estate adj</t>
  </si>
  <si>
    <t xml:space="preserve">P050</t>
  </si>
  <si>
    <t xml:space="preserve">ADJUSTMENT_FACTOR_ADMIN</t>
  </si>
  <si>
    <t xml:space="preserve">AL / Admin &amp; Waste adj</t>
  </si>
  <si>
    <t xml:space="preserve">P051</t>
  </si>
  <si>
    <t xml:space="preserve">ADJUSTMENT_FACTOR_ARTS</t>
  </si>
  <si>
    <t xml:space="preserve">AL / Arts, Entertainment &amp; Recreation underreporting adj</t>
  </si>
  <si>
    <t xml:space="preserve">Census ACS 2024 + BLS informal est</t>
  </si>
  <si>
    <t xml:space="preserve">P052</t>
  </si>
  <si>
    <t xml:space="preserve">ADJUSTMENT_FACTOR_ACCOM</t>
  </si>
  <si>
    <t xml:space="preserve">AL / Accommodation &amp; Food Services underreporting adj</t>
  </si>
  <si>
    <t xml:space="preserve">Census ACS 2024 + Pew hospitality informal est</t>
  </si>
  <si>
    <t xml:space="preserve">P053</t>
  </si>
  <si>
    <t xml:space="preserve">ADJUSTMENT_FACTOR_PUBADMIN</t>
  </si>
  <si>
    <t xml:space="preserve">AL / Public Administration adj (no underreporting)</t>
  </si>
  <si>
    <t xml:space="preserve">Census ACS 2024 (government data reliable)</t>
  </si>
  <si>
    <t xml:space="preserve">Role Prorate Parameters</t>
  </si>
  <si>
    <t xml:space="preserve">P054</t>
  </si>
  <si>
    <t xml:space="preserve">ROLE_PRORATE_WORKER_AG</t>
  </si>
  <si>
    <t xml:space="preserve">Ag Worker prorate (field / production roles)</t>
  </si>
  <si>
    <t xml:space="preserve">BLS OES 2025</t>
  </si>
  <si>
    <t xml:space="preserve">BLS OES May 2025</t>
  </si>
  <si>
    <t xml:space="preserve">P055</t>
  </si>
  <si>
    <t xml:space="preserve">ROLE_PRORATE_SUPPORT_AG</t>
  </si>
  <si>
    <t xml:space="preserve">Ag Support prorate (management / admin roles)</t>
  </si>
  <si>
    <t xml:space="preserve">P056</t>
  </si>
  <si>
    <t xml:space="preserve">ROLE_PRORATE_WORKER_CONSTR</t>
  </si>
  <si>
    <t xml:space="preserve">Construction Worker prorate (laborers / trades)</t>
  </si>
  <si>
    <t xml:space="preserve">P057</t>
  </si>
  <si>
    <t xml:space="preserve">ROLE_PRORATE_SUPPORT_CONSTR</t>
  </si>
  <si>
    <t xml:space="preserve">Construction Support prorate (supervisors / office)</t>
  </si>
  <si>
    <t xml:space="preserve">P058</t>
  </si>
  <si>
    <t xml:space="preserve">ROLE_PRORATE_WORKER_HOSP</t>
  </si>
  <si>
    <t xml:space="preserve">Hospitality Worker prorate (front-line service)</t>
  </si>
  <si>
    <t xml:space="preserve">P059</t>
  </si>
  <si>
    <t xml:space="preserve">ROLE_PRORATE_SUPPORT_HOSP</t>
  </si>
  <si>
    <t xml:space="preserve">Hospitality Support prorate (management / kitchen)</t>
  </si>
  <si>
    <t xml:space="preserve">P060</t>
  </si>
  <si>
    <t xml:space="preserve">ROLE_PRORATE_WORKER_CLEAN</t>
  </si>
  <si>
    <t xml:space="preserve">Cleaning &amp; Maintenance Worker prorate</t>
  </si>
  <si>
    <t xml:space="preserve">P061</t>
  </si>
  <si>
    <t xml:space="preserve">ROLE_PRORATE_SUPPORT_CLEAN</t>
  </si>
  <si>
    <t xml:space="preserve">Cleaning &amp; Maintenance Support prorate</t>
  </si>
  <si>
    <t xml:space="preserve">P062</t>
  </si>
  <si>
    <t xml:space="preserve">ROLE_PRORATE_WORKER_MFG</t>
  </si>
  <si>
    <t xml:space="preserve">Manufacturing Worker prorate (production / assembly)</t>
  </si>
  <si>
    <t xml:space="preserve">P063</t>
  </si>
  <si>
    <t xml:space="preserve">ROLE_PRORATE_SUPPORT_MFG</t>
  </si>
  <si>
    <t xml:space="preserve">Manufacturing Support prorate (supervision / QC)</t>
  </si>
  <si>
    <t xml:space="preserve">P064</t>
  </si>
  <si>
    <t xml:space="preserve">ROLE_PRORATE_WORKER_TRANS</t>
  </si>
  <si>
    <t xml:space="preserve">Transportation &amp; Warehousing Worker prorate</t>
  </si>
  <si>
    <t xml:space="preserve">P065</t>
  </si>
  <si>
    <t xml:space="preserve">ROLE_PRORATE_SUPPORT_TRANS</t>
  </si>
  <si>
    <t xml:space="preserve">Transportation &amp; Warehousing Support prorate</t>
  </si>
  <si>
    <t xml:space="preserve">P066</t>
  </si>
  <si>
    <t xml:space="preserve">ROLE_PRORATE_WORKER_RETAIL</t>
  </si>
  <si>
    <t xml:space="preserve">Retail Trade Worker prorate (sales / cashier)</t>
  </si>
  <si>
    <t xml:space="preserve">P067</t>
  </si>
  <si>
    <t xml:space="preserve">ROLE_PRORATE_SUPPORT_RETAIL</t>
  </si>
  <si>
    <t xml:space="preserve">Retail Trade Support prorate (management / stock)</t>
  </si>
  <si>
    <t xml:space="preserve">P068</t>
  </si>
  <si>
    <t xml:space="preserve">ROLE_PRORATE_WORKER_LAND</t>
  </si>
  <si>
    <t xml:space="preserve">Landscaping Worker prorate (groundskeeping / labor)</t>
  </si>
  <si>
    <t xml:space="preserve">P069</t>
  </si>
  <si>
    <t xml:space="preserve">ROLE_PRORATE_SUPPORT_LAND</t>
  </si>
  <si>
    <t xml:space="preserve">Landscaping Support prorate (supervision / design)</t>
  </si>
  <si>
    <t xml:space="preserve">P070</t>
  </si>
  <si>
    <t xml:space="preserve">ROLE_PRORATE_WORKER_AUTO</t>
  </si>
  <si>
    <t xml:space="preserve">Automotive &amp; Repair Worker prorate</t>
  </si>
  <si>
    <t xml:space="preserve">P071</t>
  </si>
  <si>
    <t xml:space="preserve">ROLE_PRORATE_SUPPORT_AUTO</t>
  </si>
  <si>
    <t xml:space="preserve">Automotive &amp; Repair Support prorate</t>
  </si>
  <si>
    <t xml:space="preserve">P072</t>
  </si>
  <si>
    <t xml:space="preserve">ROLE_PRORATE_WORKER_HEALTH</t>
  </si>
  <si>
    <t xml:space="preserve">Health Care Worker prorate (nurses / aides)</t>
  </si>
  <si>
    <t xml:space="preserve">P073</t>
  </si>
  <si>
    <t xml:space="preserve">ROLE_PRORATE_SUPPORT_HEALTH</t>
  </si>
  <si>
    <t xml:space="preserve">Health Care Support prorate (admin / billing)</t>
  </si>
  <si>
    <t xml:space="preserve">P074</t>
  </si>
  <si>
    <t xml:space="preserve">ROLE_PRORATE_WORKER_PROF</t>
  </si>
  <si>
    <t xml:space="preserve">Professional Services Worker prorate (analysts / specialists)</t>
  </si>
  <si>
    <t xml:space="preserve">P075</t>
  </si>
  <si>
    <t xml:space="preserve">ROLE_PRORATE_SUPPORT_PROF</t>
  </si>
  <si>
    <t xml:space="preserve">Professional Services Support prorate (admin / management)</t>
  </si>
  <si>
    <t xml:space="preserve">P076</t>
  </si>
  <si>
    <t xml:space="preserve">ROLE_PRORATE_WORKER_EDUC</t>
  </si>
  <si>
    <t xml:space="preserve">Educational Services Worker prorate (teachers / aides)</t>
  </si>
  <si>
    <t xml:space="preserve">P077</t>
  </si>
  <si>
    <t xml:space="preserve">ROLE_PRORATE_SUPPORT_EDUC</t>
  </si>
  <si>
    <t xml:space="preserve">Educational Services Support prorate (admin / support staff)</t>
  </si>
  <si>
    <t xml:space="preserve">P078</t>
  </si>
  <si>
    <t xml:space="preserve">ROLE_PRORATE_WORKER_FIN</t>
  </si>
  <si>
    <t xml:space="preserve">Finance &amp; Insurance Worker prorate (analysts / advisors)</t>
  </si>
  <si>
    <t xml:space="preserve">P079</t>
  </si>
  <si>
    <t xml:space="preserve">ROLE_PRORATE_SUPPORT_FIN</t>
  </si>
  <si>
    <t xml:space="preserve">Finance &amp; Insurance Support prorate (clerical / management)</t>
  </si>
  <si>
    <t xml:space="preserve">P080</t>
  </si>
  <si>
    <t xml:space="preserve">ROLE_PRORATE_WORKER_MEDIA_IT</t>
  </si>
  <si>
    <t xml:space="preserve">Media &amp; IT Worker prorate (developers / content)</t>
  </si>
  <si>
    <t xml:space="preserve">P081</t>
  </si>
  <si>
    <t xml:space="preserve">ROLE_PRORATE_SUPPORT_MEDIA_IT</t>
  </si>
  <si>
    <t xml:space="preserve">Media &amp; IT Support prorate (admin / support)</t>
  </si>
  <si>
    <t xml:space="preserve">P082</t>
  </si>
  <si>
    <t xml:space="preserve">ROLE_PRORATE_WORKER_GOV</t>
  </si>
  <si>
    <t xml:space="preserve">Government Worker prorate (front-line / specialists)</t>
  </si>
  <si>
    <t xml:space="preserve">P083</t>
  </si>
  <si>
    <t xml:space="preserve">ROLE_PRORATE_SUPPORT_GOV</t>
  </si>
  <si>
    <t xml:space="preserve">Government Support prorate (admin / management)</t>
  </si>
  <si>
    <t xml:space="preserve">P084</t>
  </si>
  <si>
    <t xml:space="preserve">ROLE_PRORATE_WORKER_SELF</t>
  </si>
  <si>
    <t xml:space="preserve">Self-Employed Worker prorate (independent contractors)</t>
  </si>
  <si>
    <t xml:space="preserve">BLS OES / ACS</t>
  </si>
  <si>
    <t xml:space="preserve">BLS OES + ACS self-employment data</t>
  </si>
  <si>
    <t xml:space="preserve">P085</t>
  </si>
  <si>
    <t xml:space="preserve">ROLE_PRORATE_SUPPORT_SELF</t>
  </si>
  <si>
    <t xml:space="preserve">Self-Employed Support prorate (assistants / subcontractors)</t>
  </si>
  <si>
    <t xml:space="preserve">P086</t>
  </si>
  <si>
    <t xml:space="preserve">ROLE_PRORATE_WORKER_OTHER</t>
  </si>
  <si>
    <t xml:space="preserve">Other Services Worker prorate</t>
  </si>
  <si>
    <t xml:space="preserve">P087</t>
  </si>
  <si>
    <t xml:space="preserve">ROLE_PRORATE_SUPPORT_OTHER</t>
  </si>
  <si>
    <t xml:space="preserve">Other Services Support prorate</t>
  </si>
  <si>
    <t xml:space="preserve">P088</t>
  </si>
  <si>
    <t xml:space="preserve">ROLE_PRORATE_WORKER_MINING</t>
  </si>
  <si>
    <t xml:space="preserve">Mining Worker prorate (operators / laborers)</t>
  </si>
  <si>
    <t xml:space="preserve">P089</t>
  </si>
  <si>
    <t xml:space="preserve">ROLE_PRORATE_SUPPORT_MINING</t>
  </si>
  <si>
    <t xml:space="preserve">Mining Support prorate (engineers / admin)</t>
  </si>
  <si>
    <t xml:space="preserve">P090</t>
  </si>
  <si>
    <t xml:space="preserve">ROLE_PRORATE_WORKER_UTIL</t>
  </si>
  <si>
    <t xml:space="preserve">Utilities Worker prorate (technicians / operators)</t>
  </si>
  <si>
    <t xml:space="preserve">P091</t>
  </si>
  <si>
    <t xml:space="preserve">ROLE_PRORATE_SUPPORT_UTIL</t>
  </si>
  <si>
    <t xml:space="preserve">Utilities Support prorate (management / admin)</t>
  </si>
  <si>
    <t xml:space="preserve">P092</t>
  </si>
  <si>
    <t xml:space="preserve">ROLE_PRORATE_WORKER_WHOLESALE</t>
  </si>
  <si>
    <t xml:space="preserve">Wholesale Trade Worker prorate (sales / logistics)</t>
  </si>
  <si>
    <t xml:space="preserve">P093</t>
  </si>
  <si>
    <t xml:space="preserve">ROLE_PRORATE_SUPPORT_WHOLESALE</t>
  </si>
  <si>
    <t xml:space="preserve">Wholesale Trade Support prorate (admin / management)</t>
  </si>
  <si>
    <t xml:space="preserve">P094</t>
  </si>
  <si>
    <t xml:space="preserve">ROLE_PRORATE_WORKER_INFO</t>
  </si>
  <si>
    <t xml:space="preserve">Information Worker prorate (content / tech roles)</t>
  </si>
  <si>
    <t xml:space="preserve">P095</t>
  </si>
  <si>
    <t xml:space="preserve">ROLE_PRORATE_SUPPORT_INFO</t>
  </si>
  <si>
    <t xml:space="preserve">Information Support prorate (admin / support)</t>
  </si>
  <si>
    <t xml:space="preserve">P096</t>
  </si>
  <si>
    <t xml:space="preserve">ROLE_PRORATE_WORKER_REALEST</t>
  </si>
  <si>
    <t xml:space="preserve">Real Estate Worker prorate (agents / maintenance)</t>
  </si>
  <si>
    <t xml:space="preserve">P097</t>
  </si>
  <si>
    <t xml:space="preserve">ROLE_PRORATE_SUPPORT_REALEST</t>
  </si>
  <si>
    <t xml:space="preserve">Real Estate Support prorate (office / management)</t>
  </si>
  <si>
    <t xml:space="preserve">P098</t>
  </si>
  <si>
    <t xml:space="preserve">ROLE_PRORATE_WORKER_ADMIN</t>
  </si>
  <si>
    <t xml:space="preserve">Admin &amp; Waste Worker prorate (janitorial / security)</t>
  </si>
  <si>
    <t xml:space="preserve">P099</t>
  </si>
  <si>
    <t xml:space="preserve">ROLE_PRORATE_SUPPORT_ADMIN</t>
  </si>
  <si>
    <t xml:space="preserve">Admin &amp; Waste Support prorate (supervision / office)</t>
  </si>
  <si>
    <t xml:space="preserve">P100</t>
  </si>
  <si>
    <t xml:space="preserve">ROLE_PRORATE_WORKER_ARTS</t>
  </si>
  <si>
    <t xml:space="preserve">Arts Worker prorate (performers / technicians)</t>
  </si>
  <si>
    <t xml:space="preserve">P101</t>
  </si>
  <si>
    <t xml:space="preserve">ROLE_PRORATE_SUPPORT_ARTS</t>
  </si>
  <si>
    <t xml:space="preserve">Arts Support prorate (admin / management)</t>
  </si>
  <si>
    <t xml:space="preserve">P102</t>
  </si>
  <si>
    <t xml:space="preserve">ROLE_PRORATE_WORKER_ACCOM</t>
  </si>
  <si>
    <t xml:space="preserve">Accommodation &amp; Food Services Worker prorate</t>
  </si>
  <si>
    <t xml:space="preserve">P103</t>
  </si>
  <si>
    <t xml:space="preserve">ROLE_PRORATE_SUPPORT_ACCOM</t>
  </si>
  <si>
    <t xml:space="preserve">Accommodation &amp; Food Services Support prorate</t>
  </si>
  <si>
    <t xml:space="preserve">P104</t>
  </si>
  <si>
    <t xml:space="preserve">ROLE_PRORATE_WORKER_PUBADMIN</t>
  </si>
  <si>
    <t xml:space="preserve">Public Administration Worker prorate</t>
  </si>
  <si>
    <t xml:space="preserve">P105</t>
  </si>
  <si>
    <t xml:space="preserve">ROLE_PRORATE_SUPPORT_PUBADMIN</t>
  </si>
  <si>
    <t xml:space="preserve">Public Administration Support prorate</t>
  </si>
  <si>
    <t xml:space="preserve">Group Share Parameters – American, Authorized, Unauthorized</t>
  </si>
  <si>
    <t xml:space="preserve">P106</t>
  </si>
  <si>
    <t xml:space="preserve">AMER_SHARE_IND_AG</t>
  </si>
  <si>
    <t xml:space="preserve">Agriculture American share</t>
  </si>
  <si>
    <t xml:space="preserve">ACS/Pew/MPI 2025</t>
  </si>
  <si>
    <t xml:space="preserve">ACS 2024 + Pew/MPI state est</t>
  </si>
  <si>
    <t xml:space="preserve">P107</t>
  </si>
  <si>
    <t xml:space="preserve">AUTH_SHARE_IND_AG</t>
  </si>
  <si>
    <t xml:space="preserve">Agriculture Authorized share</t>
  </si>
  <si>
    <t xml:space="preserve">DHS/MPI 2025</t>
  </si>
  <si>
    <t xml:space="preserve">DHS/MPI 2025 state est</t>
  </si>
  <si>
    <t xml:space="preserve">P108</t>
  </si>
  <si>
    <t xml:space="preserve">UNAUTH_SHARE_IND_AG</t>
  </si>
  <si>
    <t xml:space="preserve">Agriculture Unauthorized share</t>
  </si>
  <si>
    <t xml:space="preserve">MPI/Pew 2025</t>
  </si>
  <si>
    <t xml:space="preserve">MPI/Pew 2025 (reduced from prior 0.10)</t>
  </si>
  <si>
    <t xml:space="preserve">P109</t>
  </si>
  <si>
    <t xml:space="preserve">AMER_SHARE_IND_CONSTR</t>
  </si>
  <si>
    <t xml:space="preserve">Construction American share</t>
  </si>
  <si>
    <t xml:space="preserve">P110</t>
  </si>
  <si>
    <t xml:space="preserve">AUTH_SHARE_IND_CONSTR</t>
  </si>
  <si>
    <t xml:space="preserve">Construction Authorized share</t>
  </si>
  <si>
    <t xml:space="preserve">P111</t>
  </si>
  <si>
    <t xml:space="preserve">UNAUTH_SHARE_IND_CONSTR</t>
  </si>
  <si>
    <t xml:space="preserve">Construction Unauthorized share</t>
  </si>
  <si>
    <t xml:space="preserve">MPI/Pew 2025 (reduced from prior 0.07)</t>
  </si>
  <si>
    <t xml:space="preserve">P112</t>
  </si>
  <si>
    <t xml:space="preserve">AMER_SHARE_IND_HOSP</t>
  </si>
  <si>
    <t xml:space="preserve">Hospitality American share</t>
  </si>
  <si>
    <t xml:space="preserve">P113</t>
  </si>
  <si>
    <t xml:space="preserve">AUTH_SHARE_IND_HOSP</t>
  </si>
  <si>
    <t xml:space="preserve">Hospitality Authorized share</t>
  </si>
  <si>
    <t xml:space="preserve">P114</t>
  </si>
  <si>
    <t xml:space="preserve">UNAUTH_SHARE_IND_HOSP</t>
  </si>
  <si>
    <t xml:space="preserve">Hospitality Unauthorized share</t>
  </si>
  <si>
    <t xml:space="preserve">P115</t>
  </si>
  <si>
    <t xml:space="preserve">AMER_SHARE_IND_CLEAN</t>
  </si>
  <si>
    <t xml:space="preserve">Cleaning &amp; Maintenance American share</t>
  </si>
  <si>
    <t xml:space="preserve">P116</t>
  </si>
  <si>
    <t xml:space="preserve">AUTH_SHARE_IND_CLEAN</t>
  </si>
  <si>
    <t xml:space="preserve">Cleaning &amp; Maintenance Authorized share</t>
  </si>
  <si>
    <t xml:space="preserve">P117</t>
  </si>
  <si>
    <t xml:space="preserve">UNAUTH_SHARE_IND_CLEAN</t>
  </si>
  <si>
    <t xml:space="preserve">Cleaning &amp; Maintenance Unauthorized share</t>
  </si>
  <si>
    <t xml:space="preserve">P118</t>
  </si>
  <si>
    <t xml:space="preserve">AMER_SHARE_IND_MFG</t>
  </si>
  <si>
    <t xml:space="preserve">Manufacturing American share</t>
  </si>
  <si>
    <t xml:space="preserve">P119</t>
  </si>
  <si>
    <t xml:space="preserve">AUTH_SHARE_IND_MFG</t>
  </si>
  <si>
    <t xml:space="preserve">Manufacturing Authorized share</t>
  </si>
  <si>
    <t xml:space="preserve">P120</t>
  </si>
  <si>
    <t xml:space="preserve">UNAUTH_SHARE_IND_MFG</t>
  </si>
  <si>
    <t xml:space="preserve">Manufacturing Unauthorized share</t>
  </si>
  <si>
    <t xml:space="preserve">P121</t>
  </si>
  <si>
    <t xml:space="preserve">AMER_SHARE_IND_TRANS</t>
  </si>
  <si>
    <t xml:space="preserve">Transportation &amp; Warehousing American share</t>
  </si>
  <si>
    <t xml:space="preserve">P122</t>
  </si>
  <si>
    <t xml:space="preserve">AUTH_SHARE_IND_TRANS</t>
  </si>
  <si>
    <t xml:space="preserve">Transportation &amp; Warehousing Authorized share</t>
  </si>
  <si>
    <t xml:space="preserve">P123</t>
  </si>
  <si>
    <t xml:space="preserve">UNAUTH_SHARE_IND_TRANS</t>
  </si>
  <si>
    <t xml:space="preserve">Transportation &amp; Warehousing Unauthorized share</t>
  </si>
  <si>
    <t xml:space="preserve">P124</t>
  </si>
  <si>
    <t xml:space="preserve">AMER_SHARE_IND_RETAIL</t>
  </si>
  <si>
    <t xml:space="preserve">Retail Trade American share</t>
  </si>
  <si>
    <t xml:space="preserve">P125</t>
  </si>
  <si>
    <t xml:space="preserve">AUTH_SHARE_IND_RETAIL</t>
  </si>
  <si>
    <t xml:space="preserve">Retail Trade Authorized share</t>
  </si>
  <si>
    <t xml:space="preserve">P126</t>
  </si>
  <si>
    <t xml:space="preserve">UNAUTH_SHARE_IND_RETAIL</t>
  </si>
  <si>
    <t xml:space="preserve">Retail Trade Unauthorized share</t>
  </si>
  <si>
    <t xml:space="preserve">P127</t>
  </si>
  <si>
    <t xml:space="preserve">AMER_SHARE_IND_LAND</t>
  </si>
  <si>
    <t xml:space="preserve">Landscaping American share</t>
  </si>
  <si>
    <t xml:space="preserve">P128</t>
  </si>
  <si>
    <t xml:space="preserve">AUTH_SHARE_IND_LAND</t>
  </si>
  <si>
    <t xml:space="preserve">Landscaping Authorized share</t>
  </si>
  <si>
    <t xml:space="preserve">P129</t>
  </si>
  <si>
    <t xml:space="preserve">UNAUTH_SHARE_IND_LAND</t>
  </si>
  <si>
    <t xml:space="preserve">Landscaping Unauthorized share</t>
  </si>
  <si>
    <t xml:space="preserve">P130</t>
  </si>
  <si>
    <t xml:space="preserve">AMER_SHARE_IND_AUTO</t>
  </si>
  <si>
    <t xml:space="preserve">Automotive &amp; Repair American share</t>
  </si>
  <si>
    <t xml:space="preserve">P131</t>
  </si>
  <si>
    <t xml:space="preserve">AUTH_SHARE_IND_AUTO</t>
  </si>
  <si>
    <t xml:space="preserve">Automotive &amp; Repair Authorized share</t>
  </si>
  <si>
    <t xml:space="preserve">P132</t>
  </si>
  <si>
    <t xml:space="preserve">UNAUTH_SHARE_IND_AUTO</t>
  </si>
  <si>
    <t xml:space="preserve">Automotive &amp; Repair Unauthorized share</t>
  </si>
  <si>
    <t xml:space="preserve">P133</t>
  </si>
  <si>
    <t xml:space="preserve">AMER_SHARE_IND_HEALTH</t>
  </si>
  <si>
    <t xml:space="preserve">Health Care American share</t>
  </si>
  <si>
    <t xml:space="preserve">P134</t>
  </si>
  <si>
    <t xml:space="preserve">AUTH_SHARE_IND_HEALTH</t>
  </si>
  <si>
    <t xml:space="preserve">Health Care Authorized share</t>
  </si>
  <si>
    <t xml:space="preserve">P135</t>
  </si>
  <si>
    <t xml:space="preserve">UNAUTH_SHARE_IND_HEALTH</t>
  </si>
  <si>
    <t xml:space="preserve">Health Care Unauthorized share</t>
  </si>
  <si>
    <t xml:space="preserve">P136</t>
  </si>
  <si>
    <t xml:space="preserve">AMER_SHARE_IND_PROF</t>
  </si>
  <si>
    <t xml:space="preserve">Professional Services American share</t>
  </si>
  <si>
    <t xml:space="preserve">P137</t>
  </si>
  <si>
    <t xml:space="preserve">AUTH_SHARE_IND_PROF</t>
  </si>
  <si>
    <t xml:space="preserve">Professional Services Authorized share</t>
  </si>
  <si>
    <t xml:space="preserve">P138</t>
  </si>
  <si>
    <t xml:space="preserve">UNAUTH_SHARE_IND_PROF</t>
  </si>
  <si>
    <t xml:space="preserve">Professional Services Unauthorized share</t>
  </si>
  <si>
    <t xml:space="preserve">P139</t>
  </si>
  <si>
    <t xml:space="preserve">AMER_SHARE_IND_EDUC</t>
  </si>
  <si>
    <t xml:space="preserve">Educational Services American share</t>
  </si>
  <si>
    <t xml:space="preserve">P140</t>
  </si>
  <si>
    <t xml:space="preserve">AUTH_SHARE_IND_EDUC</t>
  </si>
  <si>
    <t xml:space="preserve">Educational Services Authorized share</t>
  </si>
  <si>
    <t xml:space="preserve">P141</t>
  </si>
  <si>
    <t xml:space="preserve">UNAUTH_SHARE_IND_EDUC</t>
  </si>
  <si>
    <t xml:space="preserve">Educational Services Unauthorized share</t>
  </si>
  <si>
    <t xml:space="preserve">P142</t>
  </si>
  <si>
    <t xml:space="preserve">AMER_SHARE_IND_FIN</t>
  </si>
  <si>
    <t xml:space="preserve">Finance &amp; Insurance American share</t>
  </si>
  <si>
    <t xml:space="preserve">P143</t>
  </si>
  <si>
    <t xml:space="preserve">AUTH_SHARE_IND_FIN</t>
  </si>
  <si>
    <t xml:space="preserve">Finance &amp; Insurance Authorized share</t>
  </si>
  <si>
    <t xml:space="preserve">P144</t>
  </si>
  <si>
    <t xml:space="preserve">UNAUTH_SHARE_IND_FIN</t>
  </si>
  <si>
    <t xml:space="preserve">Finance &amp; Insurance Unauthorized share</t>
  </si>
  <si>
    <t xml:space="preserve">P145</t>
  </si>
  <si>
    <t xml:space="preserve">AMER_SHARE_IND_MEDIA_IT</t>
  </si>
  <si>
    <t xml:space="preserve">Media &amp; IT American share</t>
  </si>
  <si>
    <t xml:space="preserve">P146</t>
  </si>
  <si>
    <t xml:space="preserve">AUTH_SHARE_IND_MEDIA_IT</t>
  </si>
  <si>
    <t xml:space="preserve">Media &amp; IT Authorized share</t>
  </si>
  <si>
    <t xml:space="preserve">P147</t>
  </si>
  <si>
    <t xml:space="preserve">UNAUTH_SHARE_IND_MEDIA_IT</t>
  </si>
  <si>
    <t xml:space="preserve">Media &amp; IT Unauthorized share</t>
  </si>
  <si>
    <t xml:space="preserve">P148</t>
  </si>
  <si>
    <t xml:space="preserve">AMER_SHARE_IND_GOV</t>
  </si>
  <si>
    <t xml:space="preserve">Government American share</t>
  </si>
  <si>
    <t xml:space="preserve">P149</t>
  </si>
  <si>
    <t xml:space="preserve">AUTH_SHARE_IND_GOV</t>
  </si>
  <si>
    <t xml:space="preserve">Government Authorized share</t>
  </si>
  <si>
    <t xml:space="preserve">P150</t>
  </si>
  <si>
    <t xml:space="preserve">UNAUTH_SHARE_IND_GOV</t>
  </si>
  <si>
    <t xml:space="preserve">Government Unauthorized share</t>
  </si>
  <si>
    <t xml:space="preserve">P151</t>
  </si>
  <si>
    <t xml:space="preserve">AMER_SHARE_IND_SELF</t>
  </si>
  <si>
    <t xml:space="preserve">Self-Employed / Non-Employer American share</t>
  </si>
  <si>
    <t xml:space="preserve">P152</t>
  </si>
  <si>
    <t xml:space="preserve">AUTH_SHARE_IND_SELF</t>
  </si>
  <si>
    <t xml:space="preserve">Self-Employed / Non-Employer Authorized share</t>
  </si>
  <si>
    <t xml:space="preserve">P153</t>
  </si>
  <si>
    <t xml:space="preserve">UNAUTH_SHARE_IND_SELF</t>
  </si>
  <si>
    <t xml:space="preserve">Self-Employed / Non-Employer Unauthorized share</t>
  </si>
  <si>
    <t xml:space="preserve">P154</t>
  </si>
  <si>
    <t xml:space="preserve">AMER_SHARE_IND_OTHER</t>
  </si>
  <si>
    <t xml:space="preserve">Other Services American share</t>
  </si>
  <si>
    <t xml:space="preserve">P155</t>
  </si>
  <si>
    <t xml:space="preserve">AUTH_SHARE_IND_OTHER</t>
  </si>
  <si>
    <t xml:space="preserve">Other Services Authorized share</t>
  </si>
  <si>
    <t xml:space="preserve">P156</t>
  </si>
  <si>
    <t xml:space="preserve">UNAUTH_SHARE_IND_OTHER</t>
  </si>
  <si>
    <t xml:space="preserve">Other Services Unauthorized share</t>
  </si>
  <si>
    <t xml:space="preserve">P157</t>
  </si>
  <si>
    <t xml:space="preserve">AMER_SHARE_IND_MINING</t>
  </si>
  <si>
    <t xml:space="preserve">Mining, Quarrying, Oil/Gas American share</t>
  </si>
  <si>
    <t xml:space="preserve">P158</t>
  </si>
  <si>
    <t xml:space="preserve">AUTH_SHARE_IND_MINING</t>
  </si>
  <si>
    <t xml:space="preserve">Mining, Quarrying, Oil/Gas Authorized share</t>
  </si>
  <si>
    <t xml:space="preserve">P159</t>
  </si>
  <si>
    <t xml:space="preserve">UNAUTH_SHARE_IND_MINING</t>
  </si>
  <si>
    <t xml:space="preserve">Mining, Quarrying, Oil/Gas Unauthorized share</t>
  </si>
  <si>
    <t xml:space="preserve">P160</t>
  </si>
  <si>
    <t xml:space="preserve">AMER_SHARE_IND_UTIL</t>
  </si>
  <si>
    <t xml:space="preserve">Utilities American share</t>
  </si>
  <si>
    <t xml:space="preserve">P161</t>
  </si>
  <si>
    <t xml:space="preserve">AUTH_SHARE_IND_UTIL</t>
  </si>
  <si>
    <t xml:space="preserve">Utilities Authorized share</t>
  </si>
  <si>
    <t xml:space="preserve">P162</t>
  </si>
  <si>
    <t xml:space="preserve">UNAUTH_SHARE_IND_UTIL</t>
  </si>
  <si>
    <t xml:space="preserve">Utilities Unauthorized share</t>
  </si>
  <si>
    <t xml:space="preserve">P163</t>
  </si>
  <si>
    <t xml:space="preserve">AMER_SHARE_IND_WHOLESALE</t>
  </si>
  <si>
    <t xml:space="preserve">Wholesale Trade American share</t>
  </si>
  <si>
    <t xml:space="preserve">P164</t>
  </si>
  <si>
    <t xml:space="preserve">AUTH_SHARE_IND_WHOLESALE</t>
  </si>
  <si>
    <t xml:space="preserve">Wholesale Trade Authorized share</t>
  </si>
  <si>
    <t xml:space="preserve">P165</t>
  </si>
  <si>
    <t xml:space="preserve">UNAUTH_SHARE_IND_WHOLESALE</t>
  </si>
  <si>
    <t xml:space="preserve">Wholesale Trade Unauthorized share</t>
  </si>
  <si>
    <t xml:space="preserve">P166</t>
  </si>
  <si>
    <t xml:space="preserve">AMER_SHARE_IND_INFO</t>
  </si>
  <si>
    <t xml:space="preserve">Information American share</t>
  </si>
  <si>
    <t xml:space="preserve">P167</t>
  </si>
  <si>
    <t xml:space="preserve">AUTH_SHARE_IND_INFO</t>
  </si>
  <si>
    <t xml:space="preserve">Information Authorized share</t>
  </si>
  <si>
    <t xml:space="preserve">P168</t>
  </si>
  <si>
    <t xml:space="preserve">UNAUTH_SHARE_IND_INFO</t>
  </si>
  <si>
    <t xml:space="preserve">Information Unauthorized share</t>
  </si>
  <si>
    <t xml:space="preserve">P169</t>
  </si>
  <si>
    <t xml:space="preserve">AMER_SHARE_IND_REALEST</t>
  </si>
  <si>
    <t xml:space="preserve">Real Estate, Rental &amp; Leasing American share</t>
  </si>
  <si>
    <t xml:space="preserve">P170</t>
  </si>
  <si>
    <t xml:space="preserve">AUTH_SHARE_IND_REALEST</t>
  </si>
  <si>
    <t xml:space="preserve">Real Estate, Rental &amp; Leasing Authorized share</t>
  </si>
  <si>
    <t xml:space="preserve">P171</t>
  </si>
  <si>
    <t xml:space="preserve">UNAUTH_SHARE_IND_REALEST</t>
  </si>
  <si>
    <t xml:space="preserve">Real Estate, Rental &amp; Leasing Unauthorized share</t>
  </si>
  <si>
    <t xml:space="preserve">P172</t>
  </si>
  <si>
    <t xml:space="preserve">AMER_SHARE_IND_ADMIN</t>
  </si>
  <si>
    <t xml:space="preserve">Administrative &amp; Support &amp; Waste Management American share</t>
  </si>
  <si>
    <t xml:space="preserve">P173</t>
  </si>
  <si>
    <t xml:space="preserve">AUTH_SHARE_IND_ADMIN</t>
  </si>
  <si>
    <t xml:space="preserve">Administrative &amp; Support &amp; Waste Management Authorized share</t>
  </si>
  <si>
    <t xml:space="preserve">P174</t>
  </si>
  <si>
    <t xml:space="preserve">UNAUTH_SHARE_IND_ADMIN</t>
  </si>
  <si>
    <t xml:space="preserve">Administrative &amp; Support &amp; Waste Management Unauthorized share</t>
  </si>
  <si>
    <t xml:space="preserve">MPI/Pew 2025 (highest unauth share)</t>
  </si>
  <si>
    <t xml:space="preserve">P175</t>
  </si>
  <si>
    <t xml:space="preserve">AMER_SHARE_IND_ARTS</t>
  </si>
  <si>
    <t xml:space="preserve">Arts, Entertainment &amp; Recreation American share</t>
  </si>
  <si>
    <t xml:space="preserve">P176</t>
  </si>
  <si>
    <t xml:space="preserve">AUTH_SHARE_IND_ARTS</t>
  </si>
  <si>
    <t xml:space="preserve">Arts, Entertainment &amp; Recreation Authorized share</t>
  </si>
  <si>
    <t xml:space="preserve">P177</t>
  </si>
  <si>
    <t xml:space="preserve">UNAUTH_SHARE_IND_ARTS</t>
  </si>
  <si>
    <t xml:space="preserve">Arts, Entertainment &amp; Recreation Unauthorized share</t>
  </si>
  <si>
    <t xml:space="preserve">P178</t>
  </si>
  <si>
    <t xml:space="preserve">AMER_SHARE_IND_ACCOM</t>
  </si>
  <si>
    <t xml:space="preserve">Accommodation &amp; Food Services American share</t>
  </si>
  <si>
    <t xml:space="preserve">P179</t>
  </si>
  <si>
    <t xml:space="preserve">AUTH_SHARE_IND_ACCOM</t>
  </si>
  <si>
    <t xml:space="preserve">Accommodation &amp; Food Services Authorized share</t>
  </si>
  <si>
    <t xml:space="preserve">P180</t>
  </si>
  <si>
    <t xml:space="preserve">UNAUTH_SHARE_IND_ACCOM</t>
  </si>
  <si>
    <t xml:space="preserve">Accommodation &amp; Food Services Unauthorized share</t>
  </si>
  <si>
    <t xml:space="preserve">P181</t>
  </si>
  <si>
    <t xml:space="preserve">AMER_SHARE_IND_PUBADMIN</t>
  </si>
  <si>
    <t xml:space="preserve">Public Administration American share</t>
  </si>
  <si>
    <t xml:space="preserve">P182</t>
  </si>
  <si>
    <t xml:space="preserve">AUTH_SHARE_IND_PUBADMIN</t>
  </si>
  <si>
    <t xml:space="preserve">Public Administration Authorized share</t>
  </si>
  <si>
    <t xml:space="preserve">P183</t>
  </si>
  <si>
    <t xml:space="preserve">UNAUTH_SHARE_IND_PUBADMIN</t>
  </si>
  <si>
    <t xml:space="preserve">Public Administration Unauthorized share</t>
  </si>
  <si>
    <t xml:space="preserve">MPI/Pew 2025 (lowest unauth share)</t>
  </si>
  <si>
    <t xml:space="preserve">Unauthorized Employment Parameters</t>
  </si>
  <si>
    <t xml:space="preserve">P184</t>
  </si>
  <si>
    <t xml:space="preserve">UNAUTH_EMPLOYMENT_AG</t>
  </si>
  <si>
    <t xml:space="preserve">Agriculture unauthorized employment (thousands)</t>
  </si>
  <si>
    <t xml:space="preserve">MPI/Pew 2025 state est (adjusted downward)</t>
  </si>
  <si>
    <t xml:space="preserve">P185</t>
  </si>
  <si>
    <t xml:space="preserve">UNAUTH_EMPLOYMENT_CONSTR</t>
  </si>
  <si>
    <t xml:space="preserve">Construction unauthorized employment (thousands)</t>
  </si>
  <si>
    <t xml:space="preserve">MPI/Pew 2025 state est</t>
  </si>
  <si>
    <t xml:space="preserve">P186</t>
  </si>
  <si>
    <t xml:space="preserve">UNAUTH_EMPLOYMENT_HOSP</t>
  </si>
  <si>
    <t xml:space="preserve">Hospitality unauthorized employment (thousands)</t>
  </si>
  <si>
    <t xml:space="preserve">P187</t>
  </si>
  <si>
    <t xml:space="preserve">UNAUTH_EMPLOYMENT_CLEAN</t>
  </si>
  <si>
    <t xml:space="preserve">Cleaning &amp; Maintenance unauthorized employment (thousands)</t>
  </si>
  <si>
    <t xml:space="preserve">P188</t>
  </si>
  <si>
    <t xml:space="preserve">UNAUTH_EMPLOYMENT_MFG</t>
  </si>
  <si>
    <t xml:space="preserve">Manufacturing unauthorized employment (thousands)</t>
  </si>
  <si>
    <t xml:space="preserve">P189</t>
  </si>
  <si>
    <t xml:space="preserve">UNAUTH_EMPLOYMENT_TRANS</t>
  </si>
  <si>
    <t xml:space="preserve">Transportation &amp; Warehousing unauthorized employment (thousands)</t>
  </si>
  <si>
    <t xml:space="preserve">P190</t>
  </si>
  <si>
    <t xml:space="preserve">UNAUTH_EMPLOYMENT_RETAIL</t>
  </si>
  <si>
    <t xml:space="preserve">Retail Trade unauthorized employment (thousands)</t>
  </si>
  <si>
    <t xml:space="preserve">P191</t>
  </si>
  <si>
    <t xml:space="preserve">UNAUTH_EMPLOYMENT_LAND</t>
  </si>
  <si>
    <t xml:space="preserve">Landscaping unauthorized employment (thousands)</t>
  </si>
  <si>
    <t xml:space="preserve">P192</t>
  </si>
  <si>
    <t xml:space="preserve">UNAUTH_EMPLOYMENT_AUTO</t>
  </si>
  <si>
    <t xml:space="preserve">Automotive &amp; Repair unauthorized employment (thousands)</t>
  </si>
  <si>
    <t xml:space="preserve">P193</t>
  </si>
  <si>
    <t xml:space="preserve">UNAUTH_EMPLOYMENT_HEALTH</t>
  </si>
  <si>
    <t xml:space="preserve">Health Care unauthorized employment (thousands)</t>
  </si>
  <si>
    <t xml:space="preserve">P194</t>
  </si>
  <si>
    <t xml:space="preserve">UNAUTH_EMPLOYMENT_PROF</t>
  </si>
  <si>
    <t xml:space="preserve">Professional Services unauthorized employment (thousands)</t>
  </si>
  <si>
    <t xml:space="preserve">P195</t>
  </si>
  <si>
    <t xml:space="preserve">UNAUTH_EMPLOYMENT_EDUC</t>
  </si>
  <si>
    <t xml:space="preserve">Educational Services unauthorized employment (thousands)</t>
  </si>
  <si>
    <t xml:space="preserve">P196</t>
  </si>
  <si>
    <t xml:space="preserve">UNAUTH_EMPLOYMENT_FIN</t>
  </si>
  <si>
    <t xml:space="preserve">Finance &amp; Insurance unauthorized employment (thousands)</t>
  </si>
  <si>
    <t xml:space="preserve">P197</t>
  </si>
  <si>
    <t xml:space="preserve">UNAUTH_EMPLOYMENT_MEDIA_IT</t>
  </si>
  <si>
    <t xml:space="preserve">Media &amp; IT unauthorized employment (thousands)</t>
  </si>
  <si>
    <t xml:space="preserve">P198</t>
  </si>
  <si>
    <t xml:space="preserve">UNAUTH_EMPLOYMENT_GOV</t>
  </si>
  <si>
    <t xml:space="preserve">Government unauthorized employment (thousands)</t>
  </si>
  <si>
    <t xml:space="preserve">P199</t>
  </si>
  <si>
    <t xml:space="preserve">UNAUTH_EMPLOYMENT_SELF</t>
  </si>
  <si>
    <t xml:space="preserve">Self-Employed unauthorized employment (thousands)</t>
  </si>
  <si>
    <t xml:space="preserve">P200</t>
  </si>
  <si>
    <t xml:space="preserve">UNAUTH_EMPLOYMENT_OTHER</t>
  </si>
  <si>
    <t xml:space="preserve">Other Services unauthorized employment (thousands)</t>
  </si>
  <si>
    <t xml:space="preserve">P201</t>
  </si>
  <si>
    <t xml:space="preserve">UNAUTH_EMPLOYMENT_MINING</t>
  </si>
  <si>
    <t xml:space="preserve">Mining, Quarrying, Oil/Gas unauthorized employment (thousands)</t>
  </si>
  <si>
    <t xml:space="preserve">MPI/Pew 2025 state est (low unauth in mining)</t>
  </si>
  <si>
    <t xml:space="preserve">P202</t>
  </si>
  <si>
    <t xml:space="preserve">UNAUTH_EMPLOYMENT_UTIL</t>
  </si>
  <si>
    <t xml:space="preserve">Utilities unauthorized employment (thousands)</t>
  </si>
  <si>
    <t xml:space="preserve">MPI/Pew 2025 state est (very low unauth)</t>
  </si>
  <si>
    <t xml:space="preserve">P203</t>
  </si>
  <si>
    <t xml:space="preserve">UNAUTH_EMPLOYMENT_WHOLESALE</t>
  </si>
  <si>
    <t xml:space="preserve">Wholesale Trade unauthorized employment (thousands)</t>
  </si>
  <si>
    <t xml:space="preserve">P204</t>
  </si>
  <si>
    <t xml:space="preserve">UNAUTH_EMPLOYMENT_INFO</t>
  </si>
  <si>
    <t xml:space="preserve">Information unauthorized employment (thousands)</t>
  </si>
  <si>
    <t xml:space="preserve">P205</t>
  </si>
  <si>
    <t xml:space="preserve">UNAUTH_EMPLOYMENT_REALEST</t>
  </si>
  <si>
    <t xml:space="preserve">Real Estate, Rental &amp; Leasing unauthorized employment (thousands)</t>
  </si>
  <si>
    <t xml:space="preserve">P206</t>
  </si>
  <si>
    <t xml:space="preserve">UNAUTH_EMPLOYMENT_ADMIN</t>
  </si>
  <si>
    <t xml:space="preserve">Administrative &amp; Support &amp; Waste Management unauthorized employment (thousands)</t>
  </si>
  <si>
    <t xml:space="preserve">MPI/Pew 2025 state est (high unauth share)</t>
  </si>
  <si>
    <t xml:space="preserve">P207</t>
  </si>
  <si>
    <t xml:space="preserve">UNAUTH_EMPLOYMENT_ARTS</t>
  </si>
  <si>
    <t xml:space="preserve">Arts, Entertainment &amp; Recreation unauthorized employment (thousands)</t>
  </si>
  <si>
    <t xml:space="preserve">P208</t>
  </si>
  <si>
    <t xml:space="preserve">UNAUTH_EMPLOYMENT_ACCOM</t>
  </si>
  <si>
    <t xml:space="preserve">Accommodation &amp; Food Services unauthorized employment (thousands)</t>
  </si>
  <si>
    <t xml:space="preserve">P209</t>
  </si>
  <si>
    <t xml:space="preserve">UNAUTH_EMPLOYMENT_PUBADMIN</t>
  </si>
  <si>
    <t xml:space="preserve">Public Administration unauthorized employment (thousands)</t>
  </si>
  <si>
    <t xml:space="preserve">MPI/Pew 2025 state est (lowest unauth share)</t>
  </si>
  <si>
    <t xml:space="preserve">Unemployment Rate Parameters – U3R</t>
  </si>
  <si>
    <t xml:space="preserve">P210</t>
  </si>
  <si>
    <t xml:space="preserve">U3R_AVG_IND_AG_AMER</t>
  </si>
  <si>
    <t xml:space="preserve">Agriculture American unemployment rate</t>
  </si>
  <si>
    <t xml:space="preserve">BLS CPS December 2025</t>
  </si>
  <si>
    <t xml:space="preserve">BLS CPS SA Dec 2025 (state-level)</t>
  </si>
  <si>
    <t xml:space="preserve">P211</t>
  </si>
  <si>
    <t xml:space="preserve">U3R_AVG_IND_AG_AUTH</t>
  </si>
  <si>
    <t xml:space="preserve">Agriculture Authorized unemployment rate</t>
  </si>
  <si>
    <t xml:space="preserve">BLS CPS adj</t>
  </si>
  <si>
    <t xml:space="preserve">BLS CPS + MPI adj for auth immigrants</t>
  </si>
  <si>
    <t xml:space="preserve">P212</t>
  </si>
  <si>
    <t xml:space="preserve">U3R_AVG_IND_AG_UNAUTH</t>
  </si>
  <si>
    <t xml:space="preserve">Agriculture Unauthorized unemployment rate</t>
  </si>
  <si>
    <t xml:space="preserve">Pew/MPI adj</t>
  </si>
  <si>
    <t xml:space="preserve">Pew/MPI 2025 (lower than prior est)</t>
  </si>
  <si>
    <t xml:space="preserve">P213</t>
  </si>
  <si>
    <t xml:space="preserve">U3R_AVG_IND_CONSTR_AMER</t>
  </si>
  <si>
    <t xml:space="preserve">Construction American unemployment rate</t>
  </si>
  <si>
    <t xml:space="preserve">BLS CPS SA Dec 2025</t>
  </si>
  <si>
    <t xml:space="preserve">P214</t>
  </si>
  <si>
    <t xml:space="preserve">U3R_AVG_IND_CONSTR_AUTH</t>
  </si>
  <si>
    <t xml:space="preserve">Construction Authorized unemployment rate</t>
  </si>
  <si>
    <t xml:space="preserve">BLS CPS + MPI adj</t>
  </si>
  <si>
    <t xml:space="preserve">P215</t>
  </si>
  <si>
    <t xml:space="preserve">U3R_AVG_IND_CONSTR_UNAUTH</t>
  </si>
  <si>
    <t xml:space="preserve">Construction Unauthorized unemployment rate</t>
  </si>
  <si>
    <t xml:space="preserve">Pew/MPI 2025</t>
  </si>
  <si>
    <t xml:space="preserve">P216</t>
  </si>
  <si>
    <t xml:space="preserve">U3R_AVG_IND_HOSP_AMER</t>
  </si>
  <si>
    <t xml:space="preserve">Hospitality American unemployment rate</t>
  </si>
  <si>
    <t xml:space="preserve">P217</t>
  </si>
  <si>
    <t xml:space="preserve">U3R_AVG_IND_HOSP_AUTH</t>
  </si>
  <si>
    <t xml:space="preserve">Hospitality Authorized unemployment rate</t>
  </si>
  <si>
    <t xml:space="preserve">P218</t>
  </si>
  <si>
    <t xml:space="preserve">U3R_AVG_IND_HOSP_UNAUTH</t>
  </si>
  <si>
    <t xml:space="preserve">Hospitality Unauthorized unemployment rate</t>
  </si>
  <si>
    <t xml:space="preserve">P219</t>
  </si>
  <si>
    <t xml:space="preserve">U3R_AVG_IND_CLEAN_AMER</t>
  </si>
  <si>
    <t xml:space="preserve">Cleaning &amp; Maintenance American unemployment rate</t>
  </si>
  <si>
    <t xml:space="preserve">P220</t>
  </si>
  <si>
    <t xml:space="preserve">U3R_AVG_IND_CLEAN_AUTH</t>
  </si>
  <si>
    <t xml:space="preserve">Cleaning &amp; Maintenance Authorized unemployment rate</t>
  </si>
  <si>
    <t xml:space="preserve">P221</t>
  </si>
  <si>
    <t xml:space="preserve">U3R_AVG_IND_CLEAN_UNAUTH</t>
  </si>
  <si>
    <t xml:space="preserve">Cleaning &amp; Maintenance Unauthorized unemployment rate</t>
  </si>
  <si>
    <t xml:space="preserve">P222</t>
  </si>
  <si>
    <t xml:space="preserve">U3R_AVG_IND_MFG_AMER</t>
  </si>
  <si>
    <t xml:space="preserve">Manufacturing American unemployment rate</t>
  </si>
  <si>
    <t xml:space="preserve">P223</t>
  </si>
  <si>
    <t xml:space="preserve">U3R_AVG_IND_MFG_AUTH</t>
  </si>
  <si>
    <t xml:space="preserve">Manufacturing Authorized unemployment rate</t>
  </si>
  <si>
    <t xml:space="preserve">P224</t>
  </si>
  <si>
    <t xml:space="preserve">U3R_AVG_IND_MFG_UNAUTH</t>
  </si>
  <si>
    <t xml:space="preserve">Manufacturing Unauthorized unemployment rate</t>
  </si>
  <si>
    <t xml:space="preserve">P225</t>
  </si>
  <si>
    <t xml:space="preserve">U3R_AVG_IND_TRANS_AMER</t>
  </si>
  <si>
    <t xml:space="preserve">Transportation &amp; Warehousing American unemployment rate</t>
  </si>
  <si>
    <t xml:space="preserve">P226</t>
  </si>
  <si>
    <t xml:space="preserve">U3R_AVG_IND_TRANS_AUTH</t>
  </si>
  <si>
    <t xml:space="preserve">Transportation &amp; Warehousing Authorized unemployment rate</t>
  </si>
  <si>
    <t xml:space="preserve">P227</t>
  </si>
  <si>
    <t xml:space="preserve">U3R_AVG_IND_TRANS_UNAUTH</t>
  </si>
  <si>
    <t xml:space="preserve">Transportation &amp; Warehousing Unauthorized unemployment rate</t>
  </si>
  <si>
    <t xml:space="preserve">P228</t>
  </si>
  <si>
    <t xml:space="preserve">U3R_AVG_IND_RETAIL_AMER</t>
  </si>
  <si>
    <t xml:space="preserve">Retail Trade American unemployment rate</t>
  </si>
  <si>
    <t xml:space="preserve">P229</t>
  </si>
  <si>
    <t xml:space="preserve">U3R_AVG_IND_RETAIL_AUTH</t>
  </si>
  <si>
    <t xml:space="preserve">Retail Trade Authorized unemployment rate</t>
  </si>
  <si>
    <t xml:space="preserve">P230</t>
  </si>
  <si>
    <t xml:space="preserve">U3R_AVG_IND_RETAIL_UNAUTH</t>
  </si>
  <si>
    <t xml:space="preserve">Retail Trade Unauthorized unemployment rate</t>
  </si>
  <si>
    <t xml:space="preserve">P231</t>
  </si>
  <si>
    <t xml:space="preserve">U3R_AVG_IND_LAND_AMER</t>
  </si>
  <si>
    <t xml:space="preserve">Landscaping American unemployment rate</t>
  </si>
  <si>
    <t xml:space="preserve">P232</t>
  </si>
  <si>
    <t xml:space="preserve">U3R_AVG_IND_LAND_AUTH</t>
  </si>
  <si>
    <t xml:space="preserve">Landscaping Authorized unemployment rate</t>
  </si>
  <si>
    <t xml:space="preserve">P233</t>
  </si>
  <si>
    <t xml:space="preserve">U3R_AVG_IND_LAND_UNAUTH</t>
  </si>
  <si>
    <t xml:space="preserve">Landscaping Unauthorized unemployment rate</t>
  </si>
  <si>
    <t xml:space="preserve">P234</t>
  </si>
  <si>
    <t xml:space="preserve">U3R_AVG_IND_AUTO_AMER</t>
  </si>
  <si>
    <t xml:space="preserve">Automotive &amp; Repair American unemployment rate</t>
  </si>
  <si>
    <t xml:space="preserve">P235</t>
  </si>
  <si>
    <t xml:space="preserve">U3R_AVG_IND_AUTO_AUTH</t>
  </si>
  <si>
    <t xml:space="preserve">Automotive &amp; Repair Authorized unemployment rate</t>
  </si>
  <si>
    <t xml:space="preserve">P236</t>
  </si>
  <si>
    <t xml:space="preserve">U3R_AVG_IND_AUTO_UNAUTH</t>
  </si>
  <si>
    <t xml:space="preserve">Automotive &amp; Repair Unauthorized unemployment rate</t>
  </si>
  <si>
    <t xml:space="preserve">P237</t>
  </si>
  <si>
    <t xml:space="preserve">U3R_AVG_IND_HEALTH_AMER</t>
  </si>
  <si>
    <t xml:space="preserve">Health Care American unemployment rate</t>
  </si>
  <si>
    <t xml:space="preserve">P238</t>
  </si>
  <si>
    <t xml:space="preserve">U3R_AVG_IND_HEALTH_AUTH</t>
  </si>
  <si>
    <t xml:space="preserve">Health Care Authorized unemployment rate</t>
  </si>
  <si>
    <t xml:space="preserve">P239</t>
  </si>
  <si>
    <t xml:space="preserve">U3R_AVG_IND_HEALTH_UNAUTH</t>
  </si>
  <si>
    <t xml:space="preserve">Health Care Unauthorized unemployment rate</t>
  </si>
  <si>
    <t xml:space="preserve">P240</t>
  </si>
  <si>
    <t xml:space="preserve">U3R_AVG_IND_PROF_AMER</t>
  </si>
  <si>
    <t xml:space="preserve">Professional Services American unemployment rate</t>
  </si>
  <si>
    <t xml:space="preserve">P241</t>
  </si>
  <si>
    <t xml:space="preserve">U3R_AVG_IND_PROF_AUTH</t>
  </si>
  <si>
    <t xml:space="preserve">Professional Services Authorized unemployment rate</t>
  </si>
  <si>
    <t xml:space="preserve">P242</t>
  </si>
  <si>
    <t xml:space="preserve">U3R_AVG_IND_PROF_UNAUTH</t>
  </si>
  <si>
    <t xml:space="preserve">Professional Services Unauthorized unemployment rate</t>
  </si>
  <si>
    <t xml:space="preserve">P243</t>
  </si>
  <si>
    <t xml:space="preserve">U3R_AVG_IND_EDUC_AMER</t>
  </si>
  <si>
    <t xml:space="preserve">Educational Services American unemployment rate</t>
  </si>
  <si>
    <t xml:space="preserve">P244</t>
  </si>
  <si>
    <t xml:space="preserve">U3R_AVG_IND_EDUC_AUTH</t>
  </si>
  <si>
    <t xml:space="preserve">Educational Services Authorized unemployment rate</t>
  </si>
  <si>
    <t xml:space="preserve">P245</t>
  </si>
  <si>
    <t xml:space="preserve">U3R_AVG_IND_EDUC_UNAUTH</t>
  </si>
  <si>
    <t xml:space="preserve">Educational Services Unauthorized unemployment rate</t>
  </si>
  <si>
    <t xml:space="preserve">P246</t>
  </si>
  <si>
    <t xml:space="preserve">U3R_AVG_IND_FIN_AMER</t>
  </si>
  <si>
    <t xml:space="preserve">Finance &amp; Insurance American unemployment rate</t>
  </si>
  <si>
    <t xml:space="preserve">P247</t>
  </si>
  <si>
    <t xml:space="preserve">U3R_AVG_IND_FIN_AUTH</t>
  </si>
  <si>
    <t xml:space="preserve">Finance &amp; Insurance Authorized unemployment rate</t>
  </si>
  <si>
    <t xml:space="preserve">P248</t>
  </si>
  <si>
    <t xml:space="preserve">U3R_AVG_IND_FIN_UNAUTH</t>
  </si>
  <si>
    <t xml:space="preserve">Finance &amp; Insurance Unauthorized unemployment rate</t>
  </si>
  <si>
    <t xml:space="preserve">P249</t>
  </si>
  <si>
    <t xml:space="preserve">U3R_AVG_IND_MEDIA_IT_AMER</t>
  </si>
  <si>
    <t xml:space="preserve">Media &amp; IT American unemployment rate</t>
  </si>
  <si>
    <t xml:space="preserve">P250</t>
  </si>
  <si>
    <t xml:space="preserve">U3R_AVG_IND_MEDIA_IT_AUTH</t>
  </si>
  <si>
    <t xml:space="preserve">Media &amp; IT Authorized unemployment rate</t>
  </si>
  <si>
    <t xml:space="preserve">P251</t>
  </si>
  <si>
    <t xml:space="preserve">BLS CPS + MPI adj for authorized immigrants</t>
  </si>
  <si>
    <t xml:space="preserve">P252</t>
  </si>
  <si>
    <t xml:space="preserve">U3R_AVG_IND_MEDIA_IT_UNAUTH</t>
  </si>
  <si>
    <t xml:space="preserve">Media &amp; IT Unauthorized unemployment rate</t>
  </si>
  <si>
    <t xml:space="preserve">Pew/MPI 2025 state est</t>
  </si>
  <si>
    <t xml:space="preserve">P253</t>
  </si>
  <si>
    <t xml:space="preserve">U3R_AVG_IND_GOV_AMER</t>
  </si>
  <si>
    <t xml:space="preserve">Government American unemployment rate</t>
  </si>
  <si>
    <t xml:space="preserve">P254</t>
  </si>
  <si>
    <t xml:space="preserve">U3R_AVG_IND_GOV_AUTH</t>
  </si>
  <si>
    <t xml:space="preserve">Government Authorized unemployment rate</t>
  </si>
  <si>
    <t xml:space="preserve">P255</t>
  </si>
  <si>
    <t xml:space="preserve">U3R_AVG_IND_GOV_UNAUTH</t>
  </si>
  <si>
    <t xml:space="preserve">Government Unauthorized unemployment rate</t>
  </si>
  <si>
    <t xml:space="preserve">P256</t>
  </si>
  <si>
    <t xml:space="preserve">U3R_AVG_IND_SELF_AMER</t>
  </si>
  <si>
    <t xml:space="preserve">Self-Employed American unemployment rate</t>
  </si>
  <si>
    <t xml:space="preserve">P257</t>
  </si>
  <si>
    <t xml:space="preserve">U3R_AVG_IND_SELF_AUTH</t>
  </si>
  <si>
    <t xml:space="preserve">Self-Employed Authorized unemployment rate</t>
  </si>
  <si>
    <t xml:space="preserve">P258</t>
  </si>
  <si>
    <t xml:space="preserve">U3R_AVG_IND_SELF_UNAUTH</t>
  </si>
  <si>
    <t xml:space="preserve">Self-Employed Unauthorized unemployment rate</t>
  </si>
  <si>
    <t xml:space="preserve">P259</t>
  </si>
  <si>
    <t xml:space="preserve">U3R_AVG_IND_OTHER_AMER</t>
  </si>
  <si>
    <t xml:space="preserve">Other Services American unemployment rate</t>
  </si>
  <si>
    <t xml:space="preserve">P260</t>
  </si>
  <si>
    <t xml:space="preserve">U3R_AVG_IND_OTHER_AUTH</t>
  </si>
  <si>
    <t xml:space="preserve">Other Services Authorized unemployment rate</t>
  </si>
  <si>
    <t xml:space="preserve">P261</t>
  </si>
  <si>
    <t xml:space="preserve">U3R_AVG_IND_OTHER_UNAUTH</t>
  </si>
  <si>
    <t xml:space="preserve">Other Services Unauthorized unemployment rate</t>
  </si>
  <si>
    <t xml:space="preserve">P262</t>
  </si>
  <si>
    <t xml:space="preserve">U3R_AVG_IND_MINING_AMER</t>
  </si>
  <si>
    <t xml:space="preserve">Mining American unemployment rate</t>
  </si>
  <si>
    <t xml:space="preserve">P263</t>
  </si>
  <si>
    <t xml:space="preserve">U3R_AVG_IND_MINING_AUTH</t>
  </si>
  <si>
    <t xml:space="preserve">Mining Authorized unemployment rate</t>
  </si>
  <si>
    <t xml:space="preserve">P264</t>
  </si>
  <si>
    <t xml:space="preserve">U3R_AVG_IND_MINING_UNAUTH</t>
  </si>
  <si>
    <t xml:space="preserve">Mining Unauthorized unemployment rate</t>
  </si>
  <si>
    <t xml:space="preserve">P265</t>
  </si>
  <si>
    <t xml:space="preserve">U3R_AVG_IND_UTIL_AMER</t>
  </si>
  <si>
    <t xml:space="preserve">Utilities American unemployment rate</t>
  </si>
  <si>
    <t xml:space="preserve">P266</t>
  </si>
  <si>
    <t xml:space="preserve">U3R_AVG_IND_UTIL_AUTH</t>
  </si>
  <si>
    <t xml:space="preserve">Utilities Authorized unemployment rate</t>
  </si>
  <si>
    <t xml:space="preserve">P267</t>
  </si>
  <si>
    <t xml:space="preserve">U3R_AVG_IND_UTIL_UNAUTH</t>
  </si>
  <si>
    <t xml:space="preserve">Utilities Unauthorized unemployment rate</t>
  </si>
  <si>
    <t xml:space="preserve">P268</t>
  </si>
  <si>
    <t xml:space="preserve">U3R_AVG_IND_WHOLESALE_AMER</t>
  </si>
  <si>
    <t xml:space="preserve">Wholesale Trade American unemployment rate</t>
  </si>
  <si>
    <t xml:space="preserve">P269</t>
  </si>
  <si>
    <t xml:space="preserve">U3R_AVG_IND_WHOLESALE_AUTH</t>
  </si>
  <si>
    <t xml:space="preserve">Wholesale Trade Authorized unemployment rate</t>
  </si>
  <si>
    <t xml:space="preserve">P270</t>
  </si>
  <si>
    <t xml:space="preserve">U3R_AVG_IND_WHOLESALE_UNAUTH</t>
  </si>
  <si>
    <t xml:space="preserve">Wholesale Trade Unauthorized unemployment rate</t>
  </si>
  <si>
    <t xml:space="preserve">P271</t>
  </si>
  <si>
    <t xml:space="preserve">U3R_AVG_IND_INFO_AMER</t>
  </si>
  <si>
    <t xml:space="preserve">Information American unemployment rate</t>
  </si>
  <si>
    <t xml:space="preserve">P272</t>
  </si>
  <si>
    <t xml:space="preserve">U3R_AVG_IND_INFO_AUTH</t>
  </si>
  <si>
    <t xml:space="preserve">Information Authorized unemployment rate</t>
  </si>
  <si>
    <t xml:space="preserve">P273</t>
  </si>
  <si>
    <t xml:space="preserve">U3R_AVG_IND_INFO_UNAUTH</t>
  </si>
  <si>
    <t xml:space="preserve">Information Unauthorized unemployment rate</t>
  </si>
  <si>
    <t xml:space="preserve">P274</t>
  </si>
  <si>
    <t xml:space="preserve">U3R_AVG_IND_REALEST_AMER</t>
  </si>
  <si>
    <t xml:space="preserve">Real Estate American unemployment rate</t>
  </si>
  <si>
    <t xml:space="preserve">P275</t>
  </si>
  <si>
    <t xml:space="preserve">U3R_AVG_IND_REALEST_AUTH</t>
  </si>
  <si>
    <t xml:space="preserve">Real Estate Authorized unemployment rate</t>
  </si>
  <si>
    <t xml:space="preserve">P276</t>
  </si>
  <si>
    <t xml:space="preserve">U3R_AVG_IND_REALEST_UNAUTH</t>
  </si>
  <si>
    <t xml:space="preserve">Real Estate Unauthorized unemployment rate</t>
  </si>
  <si>
    <t xml:space="preserve">P277</t>
  </si>
  <si>
    <t xml:space="preserve">U3R_AVG_IND_ADMIN_AMER</t>
  </si>
  <si>
    <t xml:space="preserve">Admin &amp; Waste American unemployment rate</t>
  </si>
  <si>
    <t xml:space="preserve">P278</t>
  </si>
  <si>
    <t xml:space="preserve">U3R_AVG_IND_ADMIN_AUTH</t>
  </si>
  <si>
    <t xml:space="preserve">Admin &amp; Waste Authorized unemployment rate</t>
  </si>
  <si>
    <t xml:space="preserve">P279</t>
  </si>
  <si>
    <t xml:space="preserve">U3R_AVG_IND_ADMIN_UNAUTH</t>
  </si>
  <si>
    <t xml:space="preserve">Admin &amp; Waste Unauthorized unemployment rate</t>
  </si>
  <si>
    <t xml:space="preserve">P280</t>
  </si>
  <si>
    <t xml:space="preserve">U3R_AVG_IND_ARTS_AMER</t>
  </si>
  <si>
    <t xml:space="preserve">Arts American unemployment rate</t>
  </si>
  <si>
    <t xml:space="preserve">P281</t>
  </si>
  <si>
    <t xml:space="preserve">U3R_AVG_IND_ARTS_AUTH</t>
  </si>
  <si>
    <t xml:space="preserve">Arts Authorized unemployment rate</t>
  </si>
  <si>
    <t xml:space="preserve">P282</t>
  </si>
  <si>
    <t xml:space="preserve">U3R_AVG_IND_ARTS_UNAUTH</t>
  </si>
  <si>
    <t xml:space="preserve">Arts Unauthorized unemployment rate</t>
  </si>
  <si>
    <t xml:space="preserve">P283</t>
  </si>
  <si>
    <t xml:space="preserve">U3R_AVG_IND_ACCOM_AMER</t>
  </si>
  <si>
    <t xml:space="preserve">Accommodation American unemployment rate</t>
  </si>
  <si>
    <t xml:space="preserve">P284</t>
  </si>
  <si>
    <t xml:space="preserve">U3R_AVG_IND_ACCOM_AUTH</t>
  </si>
  <si>
    <t xml:space="preserve">Accommodation Authorized unemployment rate</t>
  </si>
  <si>
    <t xml:space="preserve">P285</t>
  </si>
  <si>
    <t xml:space="preserve">U3R_AVG_IND_ACCOM_UNAUTH</t>
  </si>
  <si>
    <t xml:space="preserve">Accommodation Unauthorized unemployment rate</t>
  </si>
  <si>
    <t xml:space="preserve">P286</t>
  </si>
  <si>
    <t xml:space="preserve">U3R_AVG_IND_PUBADMIN_AMER</t>
  </si>
  <si>
    <t xml:space="preserve">Public Administration American unemployment rate</t>
  </si>
  <si>
    <t xml:space="preserve">P287</t>
  </si>
  <si>
    <t xml:space="preserve">U3R_AVG_IND_PUBADMIN_AUTH</t>
  </si>
  <si>
    <t xml:space="preserve">Public Administration Authorized unemployment rate</t>
  </si>
  <si>
    <t xml:space="preserve">P288</t>
  </si>
  <si>
    <t xml:space="preserve">U3R_AVG_IND_PUBADMIN_UNAUTH</t>
  </si>
  <si>
    <t xml:space="preserve">Public Administration Unauthorized unemployment rate</t>
  </si>
  <si>
    <t xml:space="preserve">Wage Average Parameters</t>
  </si>
  <si>
    <t xml:space="preserve">P289</t>
  </si>
  <si>
    <t xml:space="preserve">WAGE_AVG_IND_AG_AMER</t>
  </si>
  <si>
    <t xml:space="preserve">Agriculture American average wage ($/hr)</t>
  </si>
  <si>
    <t xml:space="preserve">BLS OEWS May 2025</t>
  </si>
  <si>
    <t xml:space="preserve">BLS OEWS May 2025 state data</t>
  </si>
  <si>
    <t xml:space="preserve">P290</t>
  </si>
  <si>
    <t xml:space="preserve">WAGE_AVG_IND_AG_AUTH</t>
  </si>
  <si>
    <t xml:space="preserve">Agriculture Authorized average wage ($/hr)</t>
  </si>
  <si>
    <t xml:space="preserve">BLS OEWS + MPI adj</t>
  </si>
  <si>
    <t xml:space="preserve">BLS OEWS May 2025 + MPI wage gap est</t>
  </si>
  <si>
    <t xml:space="preserve">P291</t>
  </si>
  <si>
    <t xml:space="preserve">WAGE_AVG_IND_AG_UNAUTH</t>
  </si>
  <si>
    <t xml:space="preserve">Agriculture Unauthorized average wage ($/hr)</t>
  </si>
  <si>
    <t xml:space="preserve">Pew/ITEP adj</t>
  </si>
  <si>
    <t xml:space="preserve">Pew/ITEP 2025 (20–30% gap applied)</t>
  </si>
  <si>
    <t xml:space="preserve">P292</t>
  </si>
  <si>
    <t xml:space="preserve">WAGE_AVG_IND_CONSTR_AMER</t>
  </si>
  <si>
    <t xml:space="preserve">Construction American average wage ($/hr)</t>
  </si>
  <si>
    <t xml:space="preserve">P293</t>
  </si>
  <si>
    <t xml:space="preserve">WAGE_AVG_IND_CONSTR_AUTH</t>
  </si>
  <si>
    <t xml:space="preserve">Construction Authorized average wage ($/hr)</t>
  </si>
  <si>
    <t xml:space="preserve">P294</t>
  </si>
  <si>
    <t xml:space="preserve">WAGE_AVG_IND_CONSTR_UNAUTH</t>
  </si>
  <si>
    <t xml:space="preserve">Construction Unauthorized average wage ($/hr)</t>
  </si>
  <si>
    <t xml:space="preserve">P295</t>
  </si>
  <si>
    <t xml:space="preserve">WAGE_AVG_IND_HOSP_AMER</t>
  </si>
  <si>
    <t xml:space="preserve">Hospitality American average wage ($/hr)</t>
  </si>
  <si>
    <t xml:space="preserve">P296</t>
  </si>
  <si>
    <t xml:space="preserve">WAGE_AVG_IND_HOSP_AUTH</t>
  </si>
  <si>
    <t xml:space="preserve">Hospitality Authorized average wage ($/hr)</t>
  </si>
  <si>
    <t xml:space="preserve">P297</t>
  </si>
  <si>
    <t xml:space="preserve">WAGE_AVG_IND_HOSP_UNAUTH</t>
  </si>
  <si>
    <t xml:space="preserve">Hospitality Unauthorized average wage ($/hr)</t>
  </si>
  <si>
    <t xml:space="preserve">P298</t>
  </si>
  <si>
    <t xml:space="preserve">WAGE_AVG_IND_CLEAN_AMER</t>
  </si>
  <si>
    <t xml:space="preserve">Cleaning &amp; Maintenance American average wage ($/hr)</t>
  </si>
  <si>
    <t xml:space="preserve">P299</t>
  </si>
  <si>
    <t xml:space="preserve">WAGE_AVG_IND_CLEAN_AUTH</t>
  </si>
  <si>
    <t xml:space="preserve">Cleaning &amp; Maintenance Authorized average wage ($/hr)</t>
  </si>
  <si>
    <t xml:space="preserve">P300</t>
  </si>
  <si>
    <t xml:space="preserve">WAGE_AVG_IND_CLEAN_UNAUTH</t>
  </si>
  <si>
    <t xml:space="preserve">Cleaning &amp; Maintenance Unauthorized average wage ($/hr)</t>
  </si>
  <si>
    <t xml:space="preserve">P301</t>
  </si>
  <si>
    <t xml:space="preserve">WAGE_AVG_IND_MFG_AMER</t>
  </si>
  <si>
    <t xml:space="preserve">Manufacturing American average wage ($/hr)</t>
  </si>
  <si>
    <t xml:space="preserve">P302</t>
  </si>
  <si>
    <t xml:space="preserve">WAGE_AVG_IND_MFG_AUTH</t>
  </si>
  <si>
    <t xml:space="preserve">Manufacturing Authorized average wage ($/hr)</t>
  </si>
  <si>
    <t xml:space="preserve">P303</t>
  </si>
  <si>
    <t xml:space="preserve">WAGE_AVG_IND_MFG_UNAUTH</t>
  </si>
  <si>
    <t xml:space="preserve">Manufacturing Unauthorized average wage ($/hr)</t>
  </si>
  <si>
    <t xml:space="preserve">P304</t>
  </si>
  <si>
    <t xml:space="preserve">WAGE_AVG_IND_TRANS_AMER</t>
  </si>
  <si>
    <t xml:space="preserve">Transportation &amp; Warehousing American average wage ($/hr)</t>
  </si>
  <si>
    <t xml:space="preserve">P305</t>
  </si>
  <si>
    <t xml:space="preserve">WAGE_AVG_IND_TRANS_AUTH</t>
  </si>
  <si>
    <t xml:space="preserve">Transportation &amp; Warehousing Authorized average wage ($/hr)</t>
  </si>
  <si>
    <t xml:space="preserve">P306</t>
  </si>
  <si>
    <t xml:space="preserve">WAGE_AVG_IND_TRANS_UNAUTH</t>
  </si>
  <si>
    <t xml:space="preserve">Transportation &amp; Warehousing Unauthorized average wage ($/hr)</t>
  </si>
  <si>
    <t xml:space="preserve">P307</t>
  </si>
  <si>
    <t xml:space="preserve">WAGE_AVG_IND_RETAIL_AMER</t>
  </si>
  <si>
    <t xml:space="preserve">Retail Trade American average wage ($/hr)</t>
  </si>
  <si>
    <t xml:space="preserve">P308</t>
  </si>
  <si>
    <t xml:space="preserve">WAGE_AVG_IND_RETAIL_AUTH</t>
  </si>
  <si>
    <t xml:space="preserve">Retail Trade Authorized average wage ($/hr)</t>
  </si>
  <si>
    <t xml:space="preserve">P309</t>
  </si>
  <si>
    <t xml:space="preserve">WAGE_AVG_IND_RETAIL_UNAUTH</t>
  </si>
  <si>
    <t xml:space="preserve">Retail Trade Unauthorized average wage ($/hr)</t>
  </si>
  <si>
    <t xml:space="preserve">P310</t>
  </si>
  <si>
    <t xml:space="preserve">WAGE_AVG_IND_LAND_AMER</t>
  </si>
  <si>
    <t xml:space="preserve">Landscaping &amp; Groundskeeping American average wage ($/hr)</t>
  </si>
  <si>
    <t xml:space="preserve">P311</t>
  </si>
  <si>
    <t xml:space="preserve">WAGE_AVG_IND_LAND_AUTH</t>
  </si>
  <si>
    <t xml:space="preserve">Landscaping &amp; Groundskeeping Authorized average wage ($/hr)</t>
  </si>
  <si>
    <t xml:space="preserve">P312</t>
  </si>
  <si>
    <t xml:space="preserve">WAGE_AVG_IND_LAND_UNAUTH</t>
  </si>
  <si>
    <t xml:space="preserve">Landscaping &amp; Groundskeeping Unauthorized average wage ($/hr)</t>
  </si>
  <si>
    <t xml:space="preserve">P313</t>
  </si>
  <si>
    <t xml:space="preserve">WAGE_AVG_IND_AUTO_AMER</t>
  </si>
  <si>
    <t xml:space="preserve">Automotive Repair &amp; Maintenance American average wage ($/hr)</t>
  </si>
  <si>
    <t xml:space="preserve">P314</t>
  </si>
  <si>
    <t xml:space="preserve">WAGE_AVG_IND_AUTO_AUTH</t>
  </si>
  <si>
    <t xml:space="preserve">Automotive Repair &amp; Maintenance Authorized average wage ($/hr)</t>
  </si>
  <si>
    <t xml:space="preserve">P315</t>
  </si>
  <si>
    <t xml:space="preserve">WAGE_AVG_IND_AUTO_UNAUTH</t>
  </si>
  <si>
    <t xml:space="preserve">Automotive Repair &amp; Maintenance Unauthorized average wage ($/hr)</t>
  </si>
  <si>
    <t xml:space="preserve">P316</t>
  </si>
  <si>
    <t xml:space="preserve">WAGE_AVG_IND_HEALTH_AMER</t>
  </si>
  <si>
    <t xml:space="preserve">Health Care &amp; Social Assistance American average wage ($/hr)</t>
  </si>
  <si>
    <t xml:space="preserve">P317</t>
  </si>
  <si>
    <t xml:space="preserve">WAGE_AVG_IND_HEALTH_AUTH</t>
  </si>
  <si>
    <t xml:space="preserve">Health Care &amp; Social Assistance Authorized average wage ($/hr)</t>
  </si>
  <si>
    <t xml:space="preserve">P318</t>
  </si>
  <si>
    <t xml:space="preserve">WAGE_AVG_IND_HEALTH_UNAUTH</t>
  </si>
  <si>
    <t xml:space="preserve">Health Care &amp; Social Assistance Unauthorized average wage ($/hr)</t>
  </si>
  <si>
    <t xml:space="preserve">P319</t>
  </si>
  <si>
    <t xml:space="preserve">WAGE_AVG_IND_PROF_AMER</t>
  </si>
  <si>
    <t xml:space="preserve">Professional, Scientific &amp; Technical Services American average wage ($/hr)</t>
  </si>
  <si>
    <t xml:space="preserve">P320</t>
  </si>
  <si>
    <t xml:space="preserve">WAGE_AVG_IND_PROF_AUTH</t>
  </si>
  <si>
    <t xml:space="preserve">Professional, Scientific &amp; Technical Services Authorized average wage ($/hr)</t>
  </si>
  <si>
    <t xml:space="preserve">P321</t>
  </si>
  <si>
    <t xml:space="preserve">WAGE_AVG_IND_PROF_UNAUTH</t>
  </si>
  <si>
    <t xml:space="preserve">Professional, Scientific &amp; Technical Services Unauthorized average wage ($/hr)</t>
  </si>
  <si>
    <t xml:space="preserve">P322</t>
  </si>
  <si>
    <t xml:space="preserve">WAGE_AVG_IND_EDUC_AMER</t>
  </si>
  <si>
    <t xml:space="preserve">Educational Services American average wage ($/hr)</t>
  </si>
  <si>
    <t xml:space="preserve">P323</t>
  </si>
  <si>
    <t xml:space="preserve">WAGE_AVG_IND_EDUC_AUTH</t>
  </si>
  <si>
    <t xml:space="preserve">Educational Services Authorized average wage ($/hr)</t>
  </si>
  <si>
    <t xml:space="preserve">P324</t>
  </si>
  <si>
    <t xml:space="preserve">WAGE_AVG_IND_EDUC_UNAUTH</t>
  </si>
  <si>
    <t xml:space="preserve">Educational Services Unauthorized average wage ($/hr)</t>
  </si>
  <si>
    <t xml:space="preserve">P325</t>
  </si>
  <si>
    <t xml:space="preserve">WAGE_AVG_IND_FIN_AMER</t>
  </si>
  <si>
    <t xml:space="preserve">Finance &amp; Insurance American average wage ($/hr)</t>
  </si>
  <si>
    <t xml:space="preserve">P326</t>
  </si>
  <si>
    <t xml:space="preserve">WAGE_AVG_IND_FIN_AUTH</t>
  </si>
  <si>
    <t xml:space="preserve">Finance &amp; Insurance Authorized average wage ($/hr)</t>
  </si>
  <si>
    <t xml:space="preserve">P327</t>
  </si>
  <si>
    <t xml:space="preserve">WAGE_AVG_IND_FIN_UNAUTH</t>
  </si>
  <si>
    <t xml:space="preserve">Finance &amp; Insurance Unauthorized average wage ($/hr)</t>
  </si>
  <si>
    <t xml:space="preserve">P328</t>
  </si>
  <si>
    <t xml:space="preserve">WAGE_AVG_IND_MEDIAIT_AMER</t>
  </si>
  <si>
    <t xml:space="preserve">Media and Information Technology American average wage ($/hr)</t>
  </si>
  <si>
    <t xml:space="preserve">P329</t>
  </si>
  <si>
    <t xml:space="preserve">WAGE_AVG_IND_MEDIAIT_AUTH</t>
  </si>
  <si>
    <t xml:space="preserve">Media and Information Technology Authorized average wage ($/hr)</t>
  </si>
  <si>
    <t xml:space="preserve">P330</t>
  </si>
  <si>
    <t xml:space="preserve">WAGE_AVG_IND_MEDIAIT_UNAUTH</t>
  </si>
  <si>
    <t xml:space="preserve">Media and Information Technology Unauthorized average wage ($/hr)</t>
  </si>
  <si>
    <t xml:space="preserve">P331</t>
  </si>
  <si>
    <t xml:space="preserve">WAGE_AVG_IND_PUBADMIN_AMER</t>
  </si>
  <si>
    <t xml:space="preserve">Public Administration American average wage ($/hr)</t>
  </si>
  <si>
    <t xml:space="preserve">P332</t>
  </si>
  <si>
    <t xml:space="preserve">WAGE_AVG_IND_PUBADMIN_AUTH</t>
  </si>
  <si>
    <t xml:space="preserve">Public Administration Authorized average wage ($/hr)</t>
  </si>
  <si>
    <t xml:space="preserve">P333</t>
  </si>
  <si>
    <t xml:space="preserve">WAGE_AVG_IND_PUBADMIN_UNAUTH</t>
  </si>
  <si>
    <t xml:space="preserve">Public Administration Unauthorized average wage ($/hr)</t>
  </si>
  <si>
    <t xml:space="preserve">Role Prorates by Industry</t>
  </si>
  <si>
    <t xml:space="preserve">P334</t>
  </si>
  <si>
    <t xml:space="preserve">ROLE_PRORATE_WORKER_IND_AG</t>
  </si>
  <si>
    <t xml:space="preserve">Agriculture worker role prorate ratio</t>
  </si>
  <si>
    <t xml:space="preserve">Estimate based on BLS ONET crosswalk</t>
  </si>
  <si>
    <t xml:space="preserve">2025 estimate</t>
  </si>
  <si>
    <t xml:space="preserve">P335</t>
  </si>
  <si>
    <t xml:space="preserve">ROLE_PRORATE_WORKER_IND_CONSTR</t>
  </si>
  <si>
    <t xml:space="preserve">Construction worker role prorate ratio</t>
  </si>
  <si>
    <t xml:space="preserve">P336</t>
  </si>
  <si>
    <t xml:space="preserve">ROLE_PRORATE_WORKER_IND_HOSP</t>
  </si>
  <si>
    <t xml:space="preserve">Hospitality worker role prorate ratio</t>
  </si>
  <si>
    <t xml:space="preserve">P337</t>
  </si>
  <si>
    <t xml:space="preserve">ROLE_PRORATE_WORKER_IND_CLEAN</t>
  </si>
  <si>
    <t xml:space="preserve">Cleaning &amp; Maintenance worker role prorate ratio</t>
  </si>
  <si>
    <t xml:space="preserve">P338</t>
  </si>
  <si>
    <t xml:space="preserve">ROLE_PRORATE_WORKER_IND_MFG</t>
  </si>
  <si>
    <t xml:space="preserve">Manufacturing worker role prorate ratio</t>
  </si>
  <si>
    <t xml:space="preserve">P339</t>
  </si>
  <si>
    <t xml:space="preserve">ROLE_PRORATE_WORKER_IND_TRANS</t>
  </si>
  <si>
    <t xml:space="preserve">Transportation &amp; Warehousing worker role prorate ratio</t>
  </si>
  <si>
    <t xml:space="preserve">P340</t>
  </si>
  <si>
    <t xml:space="preserve">ROLE_PRORATE_WORKER_IND_RETAIL</t>
  </si>
  <si>
    <t xml:space="preserve">Retail Trade worker role prorate ratio</t>
  </si>
  <si>
    <t xml:space="preserve">P341</t>
  </si>
  <si>
    <t xml:space="preserve">ROLE_PRORATE_WORKER_IND_LAND</t>
  </si>
  <si>
    <t xml:space="preserve">Landscaping &amp; Groundskeeping worker role prorate ratio</t>
  </si>
  <si>
    <t xml:space="preserve">P342</t>
  </si>
  <si>
    <t xml:space="preserve">ROLE_PRORATE_WORKER_IND_AUTO</t>
  </si>
  <si>
    <t xml:space="preserve">Automotive Repair &amp; Maintenance worker role prorate ratio</t>
  </si>
  <si>
    <t xml:space="preserve">P343</t>
  </si>
  <si>
    <t xml:space="preserve">ROLE_PRORATE_WORKER_IND_HEALTH</t>
  </si>
  <si>
    <t xml:space="preserve">Health Care &amp; Social Assistance worker role prorate ratio</t>
  </si>
  <si>
    <t xml:space="preserve">P344</t>
  </si>
  <si>
    <t xml:space="preserve">ROLE_PRORATE_WORKER_IND_PROF</t>
  </si>
  <si>
    <t xml:space="preserve">Professional, Scientific &amp; Technical Services worker role prorate ratio</t>
  </si>
  <si>
    <t xml:space="preserve">P345</t>
  </si>
  <si>
    <t xml:space="preserve">ROLE_PRORATE_WORKER_IND_EDUC</t>
  </si>
  <si>
    <t xml:space="preserve">Educational Services worker role prorate ratio</t>
  </si>
  <si>
    <t xml:space="preserve">P346</t>
  </si>
  <si>
    <t xml:space="preserve">ROLE_PRORATE_WORKER_IND_FIN</t>
  </si>
  <si>
    <t xml:space="preserve">Finance &amp; Insurance worker role prorate ratio</t>
  </si>
  <si>
    <t xml:space="preserve">P347</t>
  </si>
  <si>
    <t xml:space="preserve">ROLE_PRORATE_WORKER_IND_MEDIAIT</t>
  </si>
  <si>
    <t xml:space="preserve">Media and Information Technology worker role prorate ratio</t>
  </si>
  <si>
    <t xml:space="preserve">P348</t>
  </si>
  <si>
    <t xml:space="preserve">ROLE_PRORATE_WORKER_IND_PUBADMIN</t>
  </si>
  <si>
    <t xml:space="preserve">Public Administration worker role prorate ratio</t>
  </si>
  <si>
    <t xml:space="preserve">Estimate based on BLS O*NET crosswalk</t>
  </si>
  <si>
    <t xml:space="preserve">Labor Share. </t>
  </si>
  <si>
    <t xml:space="preserve">P349</t>
  </si>
  <si>
    <t xml:space="preserve">Agriculture American share of employment</t>
  </si>
  <si>
    <t xml:space="preserve">ACS/Pew estimate</t>
  </si>
  <si>
    <t xml:space="preserve">ACS/Pew 2025 data</t>
  </si>
  <si>
    <t xml:space="preserve">P350</t>
  </si>
  <si>
    <t xml:space="preserve">Construction American share of employment</t>
  </si>
  <si>
    <t xml:space="preserve">P351</t>
  </si>
  <si>
    <t xml:space="preserve">Hospitality American share of employment</t>
  </si>
  <si>
    <t xml:space="preserve">P352</t>
  </si>
  <si>
    <t xml:space="preserve">Cleaning &amp; Maintenance American share of employment</t>
  </si>
  <si>
    <t xml:space="preserve">P353</t>
  </si>
  <si>
    <t xml:space="preserve">Manufacturing American share of employment</t>
  </si>
  <si>
    <t xml:space="preserve">P354</t>
  </si>
  <si>
    <t xml:space="preserve">Transportation &amp; Warehousing American share of employment</t>
  </si>
  <si>
    <t xml:space="preserve">P355</t>
  </si>
  <si>
    <t xml:space="preserve">Retail Trade American share of employment</t>
  </si>
  <si>
    <t xml:space="preserve">P356</t>
  </si>
  <si>
    <t xml:space="preserve">Landscaping &amp; Groundskeeping American share of employment</t>
  </si>
  <si>
    <t xml:space="preserve">P357</t>
  </si>
  <si>
    <t xml:space="preserve">Automotive Repair &amp; Maintenance American share of employment</t>
  </si>
  <si>
    <t xml:space="preserve">P358</t>
  </si>
  <si>
    <t xml:space="preserve">Health Care &amp; Social Assistance American share of employment</t>
  </si>
  <si>
    <t xml:space="preserve">P359</t>
  </si>
  <si>
    <t xml:space="preserve">Professional, Scientific &amp; Technical Services American share of employment</t>
  </si>
  <si>
    <t xml:space="preserve">P360</t>
  </si>
  <si>
    <t xml:space="preserve">Educational Services American share of employment</t>
  </si>
  <si>
    <t xml:space="preserve">P361</t>
  </si>
  <si>
    <t xml:space="preserve">Finance &amp; Insurance American share of employment</t>
  </si>
  <si>
    <t xml:space="preserve">P362</t>
  </si>
  <si>
    <t xml:space="preserve">AMER_SHARE_IND_MEDIAIT</t>
  </si>
  <si>
    <t xml:space="preserve">Media and Information Technology American share of employment</t>
  </si>
  <si>
    <t xml:space="preserve">P363</t>
  </si>
  <si>
    <t xml:space="preserve">Public Administration American share of employment</t>
  </si>
  <si>
    <t xml:space="preserve">P364</t>
  </si>
  <si>
    <t xml:space="preserve">Agriculture Authorized share of employment</t>
  </si>
  <si>
    <t xml:space="preserve">DHS/USCIS estimate</t>
  </si>
  <si>
    <t xml:space="preserve">DHS/USCIS 2025 ind-estimates</t>
  </si>
  <si>
    <t xml:space="preserve">P365</t>
  </si>
  <si>
    <t xml:space="preserve">Construction Authorized share of employment</t>
  </si>
  <si>
    <t xml:space="preserve">P366</t>
  </si>
  <si>
    <t xml:space="preserve">Hospitality Authorized share of employment</t>
  </si>
  <si>
    <t xml:space="preserve">P367</t>
  </si>
  <si>
    <t xml:space="preserve">Cleaning &amp; Maintenance Authorized share of employment</t>
  </si>
  <si>
    <t xml:space="preserve">P368</t>
  </si>
  <si>
    <t xml:space="preserve">Manufacturing Authorized share of employment</t>
  </si>
  <si>
    <t xml:space="preserve">P369</t>
  </si>
  <si>
    <t xml:space="preserve">Transportation &amp; Warehousing Authorized share of employment</t>
  </si>
  <si>
    <t xml:space="preserve">P370</t>
  </si>
  <si>
    <t xml:space="preserve">Retail Trade Authorized share of employment</t>
  </si>
  <si>
    <t xml:space="preserve">P371</t>
  </si>
  <si>
    <t xml:space="preserve">Landscaping &amp; Groundskeeping Authorized share of employment</t>
  </si>
  <si>
    <t xml:space="preserve">P372</t>
  </si>
  <si>
    <t xml:space="preserve">Automotive Repair &amp; Maintenance Authorized share of employment</t>
  </si>
  <si>
    <t xml:space="preserve">P373</t>
  </si>
  <si>
    <t xml:space="preserve">Health Care &amp; Social Assistance Authorized share of employment</t>
  </si>
  <si>
    <t xml:space="preserve">P374</t>
  </si>
  <si>
    <t xml:space="preserve">Professional, Scientific &amp; Technical Services Authorized share of employment</t>
  </si>
  <si>
    <t xml:space="preserve">P375</t>
  </si>
  <si>
    <t xml:space="preserve">Educational Services Authorized share of employment</t>
  </si>
  <si>
    <t xml:space="preserve">P376</t>
  </si>
  <si>
    <t xml:space="preserve">Finance &amp; Insurance Authorized share of employment</t>
  </si>
  <si>
    <t xml:space="preserve">P377</t>
  </si>
  <si>
    <t xml:space="preserve">AUTH_SHARE_IND_MEDIAIT</t>
  </si>
  <si>
    <t xml:space="preserve">Media and Information Technology Authorized share of employment</t>
  </si>
  <si>
    <t xml:space="preserve">P378</t>
  </si>
  <si>
    <t xml:space="preserve">Public Administration Authorized share of employment</t>
  </si>
  <si>
    <t xml:space="preserve">P379</t>
  </si>
  <si>
    <t xml:space="preserve">UNAUTH_EMPLOYMENT_IND_AG</t>
  </si>
  <si>
    <t xml:space="preserve">Agriculture Unauthorized employment (thousands)</t>
  </si>
  <si>
    <t xml:space="preserve">MPI/Pew estimate</t>
  </si>
  <si>
    <t xml:space="preserve">MPI/Pew 2025 data</t>
  </si>
  <si>
    <t xml:space="preserve">P380</t>
  </si>
  <si>
    <t xml:space="preserve">UNAUTH_EMPLOYMENT_IND_CONSTR</t>
  </si>
  <si>
    <t xml:space="preserve">Construction Unauthorized employment (thousands)</t>
  </si>
  <si>
    <t xml:space="preserve">P381</t>
  </si>
  <si>
    <t xml:space="preserve">UNAUTH_EMPLOYMENT_IND_HOSP</t>
  </si>
  <si>
    <t xml:space="preserve">Hospitality Unauthorized employment (thousands)</t>
  </si>
  <si>
    <t xml:space="preserve">P382</t>
  </si>
  <si>
    <t xml:space="preserve">UNAUTH_EMPLOYMENT_IND_CLEAN</t>
  </si>
  <si>
    <t xml:space="preserve">Cleaning &amp; Maintenance Unauthorized employment (thousands)</t>
  </si>
  <si>
    <t xml:space="preserve">P383</t>
  </si>
  <si>
    <t xml:space="preserve">UNAUTH_EMPLOYMENT_IND_MFG</t>
  </si>
  <si>
    <t xml:space="preserve">Manufacturing Unauthorized employment (thousands)</t>
  </si>
  <si>
    <t xml:space="preserve">P384</t>
  </si>
  <si>
    <t xml:space="preserve">UNAUTH_EMPLOYMENT_IND_TRANS</t>
  </si>
  <si>
    <t xml:space="preserve">Transportation &amp; Warehousing Unauthorized employment (thousands)</t>
  </si>
  <si>
    <t xml:space="preserve">P385</t>
  </si>
  <si>
    <t xml:space="preserve">UNAUTH_EMPLOYMENT_IND_RETAIL</t>
  </si>
  <si>
    <t xml:space="preserve">Retail Trade Unauthorized employment (thousands)</t>
  </si>
  <si>
    <t xml:space="preserve">P386</t>
  </si>
  <si>
    <t xml:space="preserve">UNAUTH_EMPLOYMENT_IND_LAND</t>
  </si>
  <si>
    <t xml:space="preserve">Landscaping &amp; Groundskeeping Unauthorized employment (thousands)</t>
  </si>
  <si>
    <t xml:space="preserve">P387</t>
  </si>
  <si>
    <t xml:space="preserve">UNAUTH_EMPLOYMENT_IND_AUTO</t>
  </si>
  <si>
    <t xml:space="preserve">Automotive Repair &amp; Maintenance Unauthorized employment (thousands)</t>
  </si>
  <si>
    <t xml:space="preserve">P388</t>
  </si>
  <si>
    <t xml:space="preserve">UNAUTH_EMPLOYMENT_IND_HEALTH</t>
  </si>
  <si>
    <t xml:space="preserve">Health Care &amp; Social Assistance Unauthorized employment (thousands)</t>
  </si>
  <si>
    <t xml:space="preserve">P389</t>
  </si>
  <si>
    <t xml:space="preserve">UNAUTH_EMPLOYMENT_IND_PROF</t>
  </si>
  <si>
    <t xml:space="preserve">Professional, Scientific &amp; Technical Services Unauthorized employment (thousands)</t>
  </si>
  <si>
    <t xml:space="preserve">P390</t>
  </si>
  <si>
    <t xml:space="preserve">UNAUTH_EMPLOYMENT_IND_EDUC</t>
  </si>
  <si>
    <t xml:space="preserve">Educational Services Unauthorized employment (thousands)</t>
  </si>
  <si>
    <t xml:space="preserve">P391</t>
  </si>
  <si>
    <t xml:space="preserve">UNAUTH_EMPLOYMENT_IND_FIN</t>
  </si>
  <si>
    <t xml:space="preserve">Finance &amp; Insurance Unauthorized employment (thousands)</t>
  </si>
  <si>
    <t xml:space="preserve">P392</t>
  </si>
  <si>
    <t xml:space="preserve">UNAUTH_EMPLOYMENT_IND_MEDIAIT</t>
  </si>
  <si>
    <t xml:space="preserve">Media and Information Technology Unauthorized employment (thousands)</t>
  </si>
  <si>
    <t xml:space="preserve">P393</t>
  </si>
  <si>
    <t xml:space="preserve">UNAUTH_EMPLOYMENT_IND_PUBADMIN</t>
  </si>
  <si>
    <t xml:space="preserve">Public Administration Unauthorized employment (thousands)</t>
  </si>
  <si>
    <t xml:space="preserve">P394</t>
  </si>
  <si>
    <t xml:space="preserve">ETPR_AVG_IND_AMER_AG</t>
  </si>
  <si>
    <t xml:space="preserve">Agriculture American ETPR average</t>
  </si>
  <si>
    <t xml:space="preserve">BLS CPS estimate</t>
  </si>
  <si>
    <t xml:space="preserve">BLS CPS Dec 2025</t>
  </si>
  <si>
    <t xml:space="preserve">P395</t>
  </si>
  <si>
    <t xml:space="preserve">ETPR_AVG_IND_AMER_CONSTR</t>
  </si>
  <si>
    <t xml:space="preserve">Construction American ETPR average</t>
  </si>
  <si>
    <t xml:space="preserve">P396</t>
  </si>
  <si>
    <t xml:space="preserve">ETPR_AVG_IND_AMER_HOSP</t>
  </si>
  <si>
    <t xml:space="preserve">Hospitality American ETPR average</t>
  </si>
  <si>
    <t xml:space="preserve">P397</t>
  </si>
  <si>
    <t xml:space="preserve">ETPR_AVG_IND_AMER_CLEAN</t>
  </si>
  <si>
    <t xml:space="preserve">Cleaning &amp; Maintenance American ETPR average</t>
  </si>
  <si>
    <t xml:space="preserve">P398</t>
  </si>
  <si>
    <t xml:space="preserve">ETPR_AVG_IND_AMER_MFG</t>
  </si>
  <si>
    <t xml:space="preserve">Manufacturing American ETPR average</t>
  </si>
  <si>
    <t xml:space="preserve">P399</t>
  </si>
  <si>
    <t xml:space="preserve">ETPR_AVG_IND_AMER_TRANS</t>
  </si>
  <si>
    <t xml:space="preserve">Transportation &amp; Warehousing American ETPR average</t>
  </si>
  <si>
    <t xml:space="preserve">P400</t>
  </si>
  <si>
    <t xml:space="preserve">ETPR_AVG_IND_AMER_RETAIL</t>
  </si>
  <si>
    <t xml:space="preserve">Retail Trade American ETPR average</t>
  </si>
  <si>
    <t xml:space="preserve">P401</t>
  </si>
  <si>
    <t xml:space="preserve">ETPR_AVG_IND_AMER_LAND</t>
  </si>
  <si>
    <t xml:space="preserve">Landscaping &amp; Groundskeeping American ETPR average</t>
  </si>
  <si>
    <t xml:space="preserve">P402</t>
  </si>
  <si>
    <t xml:space="preserve">ETPR_AVG_IND_AMER_AUTO</t>
  </si>
  <si>
    <t xml:space="preserve">Automotive Repair &amp; Maintenance American ETPR average</t>
  </si>
  <si>
    <t xml:space="preserve">P403</t>
  </si>
  <si>
    <t xml:space="preserve">ETPR_AVG_IND_AMER_HEALTH</t>
  </si>
  <si>
    <t xml:space="preserve">Health Care &amp; Social Assistance American ETPR average</t>
  </si>
  <si>
    <t xml:space="preserve">P404</t>
  </si>
  <si>
    <t xml:space="preserve">ETPR_AVG_IND_AMER_PROF</t>
  </si>
  <si>
    <t xml:space="preserve">Professional, Scientific &amp; Technical Services American ETPR average</t>
  </si>
  <si>
    <t xml:space="preserve">P405</t>
  </si>
  <si>
    <t xml:space="preserve">ETPR_AVG_IND_AMER_EDUC</t>
  </si>
  <si>
    <t xml:space="preserve">Educational Services American ETPR average</t>
  </si>
  <si>
    <t xml:space="preserve">P406</t>
  </si>
  <si>
    <t xml:space="preserve">ETPR_AVG_IND_AMER_FIN</t>
  </si>
  <si>
    <t xml:space="preserve">Finance &amp; Insurance American ETPR average</t>
  </si>
  <si>
    <t xml:space="preserve">P407</t>
  </si>
  <si>
    <t xml:space="preserve">ETPR_AVG_IND_AMER_MEDIAIT</t>
  </si>
  <si>
    <t xml:space="preserve">Media and Information Technology American ETPR average</t>
  </si>
  <si>
    <t xml:space="preserve">P408</t>
  </si>
  <si>
    <t xml:space="preserve">ETPR_AVG_IND_AMER_PUBADMIN</t>
  </si>
  <si>
    <t xml:space="preserve">Public Administration American ETPR average</t>
  </si>
  <si>
    <t xml:space="preserve">P409</t>
  </si>
  <si>
    <t xml:space="preserve">ETPR_AVG_IND_AUTH_AG</t>
  </si>
  <si>
    <t xml:space="preserve">Agriculture Authorized ETPR average</t>
  </si>
  <si>
    <t xml:space="preserve">BLS CPS Dec 2025 + group adj</t>
  </si>
  <si>
    <t xml:space="preserve">P410</t>
  </si>
  <si>
    <t xml:space="preserve">ETPR_AVG_IND_AUTH_CONSTR</t>
  </si>
  <si>
    <t xml:space="preserve">Construction Authorized ETPR average</t>
  </si>
  <si>
    <t xml:space="preserve">P411</t>
  </si>
  <si>
    <t xml:space="preserve">ETPR_AVG_IND_AUTH_HOSP</t>
  </si>
  <si>
    <t xml:space="preserve">Hospitality Authorized ETPR average</t>
  </si>
  <si>
    <t xml:space="preserve">P412</t>
  </si>
  <si>
    <t xml:space="preserve">ETPR_AVG_IND_AUTH_CLEAN</t>
  </si>
  <si>
    <t xml:space="preserve">Cleaning &amp; Maintenance Authorized ETPR average</t>
  </si>
  <si>
    <t xml:space="preserve">P413</t>
  </si>
  <si>
    <t xml:space="preserve">ETPR_AVG_IND_AUTH_MFG</t>
  </si>
  <si>
    <t xml:space="preserve">Manufacturing Authorized ETPR average</t>
  </si>
  <si>
    <t xml:space="preserve">P414</t>
  </si>
  <si>
    <t xml:space="preserve">ETPR_AVG_IND_AUTH_TRANS</t>
  </si>
  <si>
    <t xml:space="preserve">Transportation &amp; Warehousing Authorized ETPR average</t>
  </si>
  <si>
    <t xml:space="preserve">P415</t>
  </si>
  <si>
    <t xml:space="preserve">ETPR_AVG_IND_AUTH_RETAIL</t>
  </si>
  <si>
    <t xml:space="preserve">Retail Trade Authorized ETPR average</t>
  </si>
  <si>
    <t xml:space="preserve">P416</t>
  </si>
  <si>
    <t xml:space="preserve">ETPR_AVG_IND_AUTH_LAND</t>
  </si>
  <si>
    <t xml:space="preserve">Landscaping &amp; Groundskeeping Authorized ETPR average</t>
  </si>
  <si>
    <t xml:space="preserve">P417</t>
  </si>
  <si>
    <t xml:space="preserve">ETPR_AVG_IND_AUTH_AUTO</t>
  </si>
  <si>
    <t xml:space="preserve">Automotive Repair &amp; Maintenance Authorized ETPR average</t>
  </si>
  <si>
    <t xml:space="preserve">P418</t>
  </si>
  <si>
    <t xml:space="preserve">ETPR_AVG_IND_AUTH_HEALTH</t>
  </si>
  <si>
    <t xml:space="preserve">Health Care &amp; Social Assistance Authorized ETPR average</t>
  </si>
  <si>
    <t xml:space="preserve">P419</t>
  </si>
  <si>
    <t xml:space="preserve">ETPR_AVG_IND_AUTH_PROF</t>
  </si>
  <si>
    <t xml:space="preserve">Professional, Scientific &amp; Technical Services Authorized ETPR average</t>
  </si>
  <si>
    <t xml:space="preserve">P420</t>
  </si>
  <si>
    <t xml:space="preserve">ETPR_AVG_IND_AUTH_EDUC</t>
  </si>
  <si>
    <t xml:space="preserve">Educational Services Authorized ETPR average</t>
  </si>
  <si>
    <t xml:space="preserve">P421</t>
  </si>
  <si>
    <t xml:space="preserve">ETPR_AVG_IND_AUTH_FIN</t>
  </si>
  <si>
    <t xml:space="preserve">Finance &amp; Insurance Authorized ETPR average</t>
  </si>
  <si>
    <t xml:space="preserve">P422</t>
  </si>
  <si>
    <t xml:space="preserve">ETPR_AVG_IND_AUTH_MEDIAIT</t>
  </si>
  <si>
    <t xml:space="preserve">Media and Information Technology Authorized ETPR average</t>
  </si>
  <si>
    <t xml:space="preserve">P423</t>
  </si>
  <si>
    <t xml:space="preserve">ETPR_AVG_IND_AUTH_PUBADMIN</t>
  </si>
  <si>
    <t xml:space="preserve">Public Administration Authorized ETPR average</t>
  </si>
  <si>
    <t xml:space="preserve">P424</t>
  </si>
  <si>
    <t xml:space="preserve">ETPR_AVG_IND_UNAUTH_AG</t>
  </si>
  <si>
    <t xml:space="preserve">Agriculture Unauthorized ETPR average</t>
  </si>
  <si>
    <t xml:space="preserve">P425</t>
  </si>
  <si>
    <t xml:space="preserve">ETPR_AVG_IND_UNAUTH_CONSTR</t>
  </si>
  <si>
    <t xml:space="preserve">Construction Unauthorized ETPR average</t>
  </si>
  <si>
    <t xml:space="preserve">P426</t>
  </si>
  <si>
    <t xml:space="preserve">ETPR_AVG_IND_UNAUTH_HOSP</t>
  </si>
  <si>
    <t xml:space="preserve">Hospitality Unauthorized ETPR average</t>
  </si>
  <si>
    <t xml:space="preserve">P427</t>
  </si>
  <si>
    <t xml:space="preserve">ETPR_AVG_IND_UNAUTH_CLEAN</t>
  </si>
  <si>
    <t xml:space="preserve">Cleaning &amp; Maintenance Unauthorized ETPR average</t>
  </si>
  <si>
    <t xml:space="preserve">P428</t>
  </si>
  <si>
    <t xml:space="preserve">ETPR_AVG_IND_UNAUTH_MFG</t>
  </si>
  <si>
    <t xml:space="preserve">Manufacturing Unauthorized ETPR average</t>
  </si>
  <si>
    <t xml:space="preserve">P429</t>
  </si>
  <si>
    <t xml:space="preserve">ETPR_AVG_IND_UNAUTH_TRANS</t>
  </si>
  <si>
    <t xml:space="preserve">Transportation &amp; Warehousing Unauthorized ETPR average</t>
  </si>
  <si>
    <t xml:space="preserve">P430</t>
  </si>
  <si>
    <t xml:space="preserve">ETPR_AVG_IND_UNAUTH_RETAIL</t>
  </si>
  <si>
    <t xml:space="preserve">Retail Trade Unauthorized ETPR average</t>
  </si>
  <si>
    <t xml:space="preserve">P431</t>
  </si>
  <si>
    <t xml:space="preserve">ETPR_AVG_IND_UNAUTH_LAND</t>
  </si>
  <si>
    <t xml:space="preserve">Landscaping &amp; Groundskeeping Unauthorized ETPR average</t>
  </si>
  <si>
    <t xml:space="preserve">P432</t>
  </si>
  <si>
    <t xml:space="preserve">ETPR_AVG_IND_UNAUTH_AUTO</t>
  </si>
  <si>
    <t xml:space="preserve">Automotive Repair &amp; Maintenance Unauthorized ETPR average</t>
  </si>
  <si>
    <t xml:space="preserve">P433</t>
  </si>
  <si>
    <t xml:space="preserve">ETPR_AVG_IND_UNAUTH_HEALTH</t>
  </si>
  <si>
    <t xml:space="preserve">Health Care &amp; Social Assistance Unauthorized ETPR average</t>
  </si>
  <si>
    <t xml:space="preserve">P434</t>
  </si>
  <si>
    <t xml:space="preserve">ETPR_AVG_IND_UNAUTH_PROF</t>
  </si>
  <si>
    <t xml:space="preserve">Professional, Scientific &amp; Technical Services Unauthorized ETPR average</t>
  </si>
  <si>
    <t xml:space="preserve">P435</t>
  </si>
  <si>
    <t xml:space="preserve">ETPR_AVG_IND_UNAUTH_EDUC</t>
  </si>
  <si>
    <t xml:space="preserve">Educational Services Unauthorized ETPR average</t>
  </si>
  <si>
    <t xml:space="preserve">P436</t>
  </si>
  <si>
    <t xml:space="preserve">ETPR_AVG_IND_UNAUTH_FIN</t>
  </si>
  <si>
    <t xml:space="preserve">Finance &amp; Insurance Unauthorized ETPR average</t>
  </si>
  <si>
    <t xml:space="preserve">P437</t>
  </si>
  <si>
    <t xml:space="preserve">ETPR_AVG_IND_UNAUTH_MEDIAIT</t>
  </si>
  <si>
    <t xml:space="preserve">Media and Information Technology Unauthorized ETPR average</t>
  </si>
  <si>
    <t xml:space="preserve">P438</t>
  </si>
  <si>
    <t xml:space="preserve">ETPR_AVG_IND_UNAUTH_PUBADMIN</t>
  </si>
  <si>
    <t xml:space="preserve">Public Administration Unauthorized ETPR average</t>
  </si>
  <si>
    <t xml:space="preserve">P439</t>
  </si>
  <si>
    <t xml:space="preserve">ETPR_ADJ_IND_AMER_AG</t>
  </si>
  <si>
    <t xml:space="preserve">Agriculture American ETPR adjustment factor</t>
  </si>
  <si>
    <t xml:space="preserve">Internal adj</t>
  </si>
  <si>
    <t xml:space="preserve">Derived from 2025 data</t>
  </si>
  <si>
    <t xml:space="preserve">P440</t>
  </si>
  <si>
    <t xml:space="preserve">ETPR_ADJ_IND_AMER_CONSTR</t>
  </si>
  <si>
    <t xml:space="preserve">Construction American ETPR adjustment factor</t>
  </si>
  <si>
    <t xml:space="preserve">P441</t>
  </si>
  <si>
    <t xml:space="preserve">ETPR_ADJ_IND_AMER_HOSP</t>
  </si>
  <si>
    <t xml:space="preserve">Hospitality American ETPR adjustment factor</t>
  </si>
  <si>
    <t xml:space="preserve">P442</t>
  </si>
  <si>
    <t xml:space="preserve">ETPR_ADJ_IND_AMER_CLEAN</t>
  </si>
  <si>
    <t xml:space="preserve">Cleaning &amp; Maintenance American ETPR adjustment factor</t>
  </si>
  <si>
    <t xml:space="preserve">P443</t>
  </si>
  <si>
    <t xml:space="preserve">ETPR_ADJ_IND_AMER_MFG</t>
  </si>
  <si>
    <t xml:space="preserve">Manufacturing American ETPR adjustment factor</t>
  </si>
  <si>
    <t xml:space="preserve">P444</t>
  </si>
  <si>
    <t xml:space="preserve">ETPR_ADJ_IND_AMER_TRANS</t>
  </si>
  <si>
    <t xml:space="preserve">Transportation &amp; Warehousing American ETPR adjustment factor</t>
  </si>
  <si>
    <t xml:space="preserve">P445</t>
  </si>
  <si>
    <t xml:space="preserve">ETPR_ADJ_IND_AMER_RETAIL</t>
  </si>
  <si>
    <t xml:space="preserve">Retail Trade American ETPR adjustment factor</t>
  </si>
  <si>
    <t xml:space="preserve">P446</t>
  </si>
  <si>
    <t xml:space="preserve">ETPR_ADJ_IND_AMER_LAND</t>
  </si>
  <si>
    <t xml:space="preserve">Landscaping &amp; Groundskeeping American ETPR adjustment factor</t>
  </si>
  <si>
    <t xml:space="preserve">P447</t>
  </si>
  <si>
    <t xml:space="preserve">ETPR_ADJ_IND_AMER_AUTO</t>
  </si>
  <si>
    <t xml:space="preserve">Automotive Repair &amp; Maintenance American ETPR adjustment factor</t>
  </si>
  <si>
    <t xml:space="preserve">P448</t>
  </si>
  <si>
    <t xml:space="preserve">ETPR_ADJ_IND_AMER_HEALTH</t>
  </si>
  <si>
    <t xml:space="preserve">Health Care &amp; Social Assistance American ETPR adjustment factor</t>
  </si>
  <si>
    <t xml:space="preserve">P449</t>
  </si>
  <si>
    <t xml:space="preserve">ETPR_ADJ_IND_AMER_PROF</t>
  </si>
  <si>
    <t xml:space="preserve">Professional, Scientific &amp; Technical Services American ETPR adjustment factor</t>
  </si>
  <si>
    <t xml:space="preserve">P450</t>
  </si>
  <si>
    <t xml:space="preserve">ETPR_ADJ_IND_AMER_EDUC</t>
  </si>
  <si>
    <t xml:space="preserve">Educational Services American ETPR adjustment factor</t>
  </si>
  <si>
    <t xml:space="preserve">P451</t>
  </si>
  <si>
    <t xml:space="preserve">ETPR_ADJ_IND_AMER_FIN</t>
  </si>
  <si>
    <t xml:space="preserve">Finance &amp; Insurance American ETPR adjustment factor</t>
  </si>
  <si>
    <t xml:space="preserve">P452</t>
  </si>
  <si>
    <t xml:space="preserve">ETPR_ADJ_IND_AMER_MEDIAIT</t>
  </si>
  <si>
    <t xml:space="preserve">Media and Information Technology American ETPR adjustment factor</t>
  </si>
  <si>
    <t xml:space="preserve">P453</t>
  </si>
  <si>
    <t xml:space="preserve">ETPR_ADJ_IND_AMER_PUBADMIN</t>
  </si>
  <si>
    <t xml:space="preserve">Public Administration American ETPR adjustment factor</t>
  </si>
  <si>
    <t xml:space="preserve">P454</t>
  </si>
  <si>
    <t xml:space="preserve">ETPR_ADJ_IND_AUTH_AG</t>
  </si>
  <si>
    <t xml:space="preserve">Agriculture Authorized ETPR adjustment factor</t>
  </si>
  <si>
    <t xml:space="preserve">P455</t>
  </si>
  <si>
    <t xml:space="preserve">ETPR_ADJ_IND_AUTH_CONSTR</t>
  </si>
  <si>
    <t xml:space="preserve">Construction Authorized ETPR adjustment factor</t>
  </si>
  <si>
    <t xml:space="preserve">P456</t>
  </si>
  <si>
    <t xml:space="preserve">ETPR_ADJ_IND_AUTH_HOSP</t>
  </si>
  <si>
    <t xml:space="preserve">Hospitality Authorized ETPR adjustment factor</t>
  </si>
  <si>
    <t xml:space="preserve">P457</t>
  </si>
  <si>
    <t xml:space="preserve">ETPR_ADJ_IND_AUTH_CLEAN</t>
  </si>
  <si>
    <t xml:space="preserve">Cleaning &amp; Maintenance Authorized ETPR adjustment factor</t>
  </si>
  <si>
    <t xml:space="preserve">P458</t>
  </si>
  <si>
    <t xml:space="preserve">ETPR_ADJ_IND_AUTH_MFG</t>
  </si>
  <si>
    <t xml:space="preserve">Manufacturing Authorized ETPR adjustment factor</t>
  </si>
  <si>
    <t xml:space="preserve">P459</t>
  </si>
  <si>
    <t xml:space="preserve">ETPR_ADJ_IND_AUTH_TRANS</t>
  </si>
  <si>
    <t xml:space="preserve">Transportation &amp; Warehousing Authorized ETPR adjustment factor</t>
  </si>
  <si>
    <t xml:space="preserve">P460</t>
  </si>
  <si>
    <t xml:space="preserve">ETPR_ADJ_IND_AUTH_RETAIL</t>
  </si>
  <si>
    <t xml:space="preserve">Retail Trade Authorized ETPR adjustment factor</t>
  </si>
  <si>
    <t xml:space="preserve">P461</t>
  </si>
  <si>
    <t xml:space="preserve">ETPR_ADJ_IND_AUTH_LAND</t>
  </si>
  <si>
    <t xml:space="preserve">Landscaping &amp; Groundskeeping Authorized ETPR adjustment factor</t>
  </si>
  <si>
    <t xml:space="preserve">P462</t>
  </si>
  <si>
    <t xml:space="preserve">ETPR_ADJ_IND_AUTH_AUTO</t>
  </si>
  <si>
    <t xml:space="preserve">Automotive Repair &amp; Maintenance Authorized ETPR adjustment factor</t>
  </si>
  <si>
    <t xml:space="preserve">P463</t>
  </si>
  <si>
    <t xml:space="preserve">ETPR_ADJ_IND_AUTH_HEALTH</t>
  </si>
  <si>
    <t xml:space="preserve">Health Care &amp; Social Assistance Authorized ETPR adjustment factor</t>
  </si>
  <si>
    <t xml:space="preserve">P464</t>
  </si>
  <si>
    <t xml:space="preserve">ETPR_ADJ_IND_AUTH_PROF</t>
  </si>
  <si>
    <t xml:space="preserve">Professional, Scientific &amp; Technical Services Authorized ETPR adjustment factor</t>
  </si>
  <si>
    <t xml:space="preserve">P465</t>
  </si>
  <si>
    <t xml:space="preserve">ETPR_ADJ_IND_AUTH_EDUC</t>
  </si>
  <si>
    <t xml:space="preserve">Educational Services Authorized ETPR adjustment factor</t>
  </si>
  <si>
    <t xml:space="preserve">P466</t>
  </si>
  <si>
    <t xml:space="preserve">ETPR_ADJ_IND_AUTH_FIN</t>
  </si>
  <si>
    <t xml:space="preserve">Finance &amp; Insurance Authorized ETPR adjustment factor</t>
  </si>
  <si>
    <t xml:space="preserve">P467</t>
  </si>
  <si>
    <t xml:space="preserve">ETPR_ADJ_IND_AUTH_MEDIAIT</t>
  </si>
  <si>
    <t xml:space="preserve">Media and Information Technology Authorized ETPR adjustment factor</t>
  </si>
  <si>
    <t xml:space="preserve">P468</t>
  </si>
  <si>
    <t xml:space="preserve">ETPR_ADJ_IND_AUTH_PUBADMIN</t>
  </si>
  <si>
    <t xml:space="preserve">Public Administration Authorized ETPR adjustment factor</t>
  </si>
  <si>
    <t xml:space="preserve">P469</t>
  </si>
  <si>
    <t xml:space="preserve">ETPR_ADJ_IND_UNAUTH_AG</t>
  </si>
  <si>
    <t xml:space="preserve">Agriculture Unauthorized ETPR adjustment factor</t>
  </si>
  <si>
    <t xml:space="preserve">P470</t>
  </si>
  <si>
    <t xml:space="preserve">ETPR_ADJ_IND_UNAUTH_CONSTR</t>
  </si>
  <si>
    <t xml:space="preserve">Construction Unauthorized ETPR adjustment factor</t>
  </si>
  <si>
    <t xml:space="preserve">P471</t>
  </si>
  <si>
    <t xml:space="preserve">ETPR_ADJ_IND_UNAUTH_HOSP</t>
  </si>
  <si>
    <t xml:space="preserve">Hospitality Unauthorized ETPR adjustment factor</t>
  </si>
  <si>
    <t xml:space="preserve">P472</t>
  </si>
  <si>
    <t xml:space="preserve">ETPR_ADJ_IND_UNAUTH_CLEAN</t>
  </si>
  <si>
    <t xml:space="preserve">Cleaning &amp; Maintenance Unauthorized ETPR adjustment factor</t>
  </si>
  <si>
    <t xml:space="preserve">P473</t>
  </si>
  <si>
    <t xml:space="preserve">ETPR_ADJ_IND_UNAUTH_MFG</t>
  </si>
  <si>
    <t xml:space="preserve">Manufacturing Unauthorized ETPR adjustment factor</t>
  </si>
  <si>
    <t xml:space="preserve">P474</t>
  </si>
  <si>
    <t xml:space="preserve">ETPR_ADJ_IND_UNAUTH_TRANS</t>
  </si>
  <si>
    <t xml:space="preserve">Transportation &amp; Warehousing Unauthorized ETPR adjustment factor</t>
  </si>
  <si>
    <t xml:space="preserve">P475</t>
  </si>
  <si>
    <t xml:space="preserve">ETPR_ADJ_IND_UNAUTH_RETAIL</t>
  </si>
  <si>
    <t xml:space="preserve">Retail Trade Unauthorized ETPR adjustment factor</t>
  </si>
  <si>
    <t xml:space="preserve">P476</t>
  </si>
  <si>
    <t xml:space="preserve">ETPR_ADJ_IND_UNAUTH_LAND</t>
  </si>
  <si>
    <t xml:space="preserve">Landscaping &amp; Groundskeeping Unauthorized ETPR adjustment factor</t>
  </si>
  <si>
    <t xml:space="preserve">P477</t>
  </si>
  <si>
    <t xml:space="preserve">ETPR_ADJ_IND_UNAUTH_AUTO</t>
  </si>
  <si>
    <t xml:space="preserve">Automotive Repair &amp; Maintenance Unauthorized ETPR adjustment factor</t>
  </si>
  <si>
    <t xml:space="preserve">P478</t>
  </si>
  <si>
    <t xml:space="preserve">ETPR_ADJ_IND_UNAUTH_HEALTH</t>
  </si>
  <si>
    <t xml:space="preserve">Health Care &amp; Social Assistance Unauthorized ETPR adjustment factor</t>
  </si>
  <si>
    <t xml:space="preserve">P479</t>
  </si>
  <si>
    <t xml:space="preserve">ETPR_ADJ_IND_UNAUTH_PROF</t>
  </si>
  <si>
    <t xml:space="preserve">Professional, Scientific &amp; Technical Services Unauthorized ETPR adjustment factor</t>
  </si>
  <si>
    <t xml:space="preserve">P480</t>
  </si>
  <si>
    <t xml:space="preserve">ETPR_ADJ_IND_UNAUTH_EDUC</t>
  </si>
  <si>
    <t xml:space="preserve">Educational Services Unauthorized ETPR adjustment factor</t>
  </si>
  <si>
    <t xml:space="preserve">P481</t>
  </si>
  <si>
    <t xml:space="preserve">ETPR_ADJ_IND_UNAUTH_FIN</t>
  </si>
  <si>
    <t xml:space="preserve">Finance &amp; Insurance Unauthorized ETPR adjustment factor</t>
  </si>
  <si>
    <t xml:space="preserve">P482</t>
  </si>
  <si>
    <t xml:space="preserve">ETPR_ADJ_IND_UNAUTH_MEDIAIT</t>
  </si>
  <si>
    <t xml:space="preserve">Media and Information Technology Unauthorized ETPR adjustment factor</t>
  </si>
  <si>
    <t xml:space="preserve">P483</t>
  </si>
  <si>
    <t xml:space="preserve">ETPR_ADJ_IND_UNAUTH_PUBADMIN</t>
  </si>
  <si>
    <t xml:space="preserve">Public Administration Unauthorized ETPR adjustment factor</t>
  </si>
  <si>
    <t xml:space="preserve">P484</t>
  </si>
  <si>
    <t xml:space="preserve">LFPR_AVG_IND_AMER_AG</t>
  </si>
  <si>
    <t xml:space="preserve">Agriculture American LFPR average</t>
  </si>
  <si>
    <t xml:space="preserve">P485</t>
  </si>
  <si>
    <t xml:space="preserve">LFPR_AVG_IND_AMER_CONSTR</t>
  </si>
  <si>
    <t xml:space="preserve">Construction American LFPR average</t>
  </si>
  <si>
    <t xml:space="preserve">P486</t>
  </si>
  <si>
    <t xml:space="preserve">LFPR_AVG_IND_AMER_HOSP</t>
  </si>
  <si>
    <t xml:space="preserve">Hospitality American LFPR average</t>
  </si>
  <si>
    <t xml:space="preserve">P487</t>
  </si>
  <si>
    <t xml:space="preserve">LFPR_AVG_IND_AMER_CLEAN</t>
  </si>
  <si>
    <t xml:space="preserve">Cleaning &amp; Maintenance American LFPR average</t>
  </si>
  <si>
    <t xml:space="preserve">P488</t>
  </si>
  <si>
    <t xml:space="preserve">LFPR_AVG_IND_AMER_MFG</t>
  </si>
  <si>
    <t xml:space="preserve">Manufacturing American LFPR average</t>
  </si>
  <si>
    <t xml:space="preserve">P489</t>
  </si>
  <si>
    <t xml:space="preserve">LFPR_AVG_IND_AMER_TRANS</t>
  </si>
  <si>
    <t xml:space="preserve">Transportation &amp; Warehousing American LFPR average</t>
  </si>
  <si>
    <t xml:space="preserve">P490</t>
  </si>
  <si>
    <t xml:space="preserve">LFPR_AVG_IND_AMER_RETAIL</t>
  </si>
  <si>
    <t xml:space="preserve">Retail Trade American LFPR average</t>
  </si>
  <si>
    <t xml:space="preserve">P491</t>
  </si>
  <si>
    <t xml:space="preserve">LFPR_AVG_IND_AMER_LAND</t>
  </si>
  <si>
    <t xml:space="preserve">Landscaping &amp; Groundskeeping American LFPR average</t>
  </si>
  <si>
    <t xml:space="preserve">P492</t>
  </si>
  <si>
    <t xml:space="preserve">LFPR_AVG_IND_AMER_AUTO</t>
  </si>
  <si>
    <t xml:space="preserve">Automotive Repair &amp; Maintenance American LFPR average</t>
  </si>
  <si>
    <t xml:space="preserve">P493</t>
  </si>
  <si>
    <t xml:space="preserve">LFPR_AVG_IND_AMER_HEALTH</t>
  </si>
  <si>
    <t xml:space="preserve">Health Care &amp; Social Assistance American LFPR average</t>
  </si>
  <si>
    <t xml:space="preserve">P494</t>
  </si>
  <si>
    <t xml:space="preserve">LFPR_AVG_IND_AMER_PROF</t>
  </si>
  <si>
    <t xml:space="preserve">Professional, Scientific &amp; Technical Services American LFPR average</t>
  </si>
  <si>
    <t xml:space="preserve">P495</t>
  </si>
  <si>
    <t xml:space="preserve">LFPR_AVG_IND_AMER_EDUC</t>
  </si>
  <si>
    <t xml:space="preserve">Educational Services American LFPR average</t>
  </si>
  <si>
    <t xml:space="preserve">P496</t>
  </si>
  <si>
    <t xml:space="preserve">LFPR_AVG_IND_AMER_FIN</t>
  </si>
  <si>
    <t xml:space="preserve">Finance &amp; Insurance American LFPR average</t>
  </si>
  <si>
    <t xml:space="preserve">P497</t>
  </si>
  <si>
    <t xml:space="preserve">LFPR_AVG_IND_AMER_MEDIAIT</t>
  </si>
  <si>
    <t xml:space="preserve">Media and Information Technology American LFPR average</t>
  </si>
  <si>
    <t xml:space="preserve">P498</t>
  </si>
  <si>
    <t xml:space="preserve">LFPR_AVG_IND_AMER_PUBADMIN</t>
  </si>
  <si>
    <t xml:space="preserve">Public Administration American LFPR average</t>
  </si>
  <si>
    <t xml:space="preserve">P499</t>
  </si>
  <si>
    <t xml:space="preserve">LFPR_AVG_IND_AUTH_AG</t>
  </si>
  <si>
    <t xml:space="preserve">Agriculture Authorized LFPR average</t>
  </si>
  <si>
    <t xml:space="preserve">P500</t>
  </si>
  <si>
    <t xml:space="preserve">LFPR_AVG_IND_AUTH_CONSTR</t>
  </si>
  <si>
    <t xml:space="preserve">Construction Authorized LFPR average</t>
  </si>
  <si>
    <t xml:space="preserve">P501</t>
  </si>
  <si>
    <t xml:space="preserve">LFPR_AVG_IND_AUTH_HOSP</t>
  </si>
  <si>
    <t xml:space="preserve">Hospitality Authorized LFPR average</t>
  </si>
  <si>
    <t xml:space="preserve">P502</t>
  </si>
  <si>
    <t xml:space="preserve">LFPR_AVG_IND_AUTH_CLEAN</t>
  </si>
  <si>
    <t xml:space="preserve">Cleaning &amp; Maintenance Authorized LFPR average</t>
  </si>
  <si>
    <t xml:space="preserve">P503</t>
  </si>
  <si>
    <t xml:space="preserve">LFPR_AVG_IND_AUTH_MFG</t>
  </si>
  <si>
    <t xml:space="preserve">Manufacturing Authorized LFPR average</t>
  </si>
  <si>
    <t xml:space="preserve">P504</t>
  </si>
  <si>
    <t xml:space="preserve">LFPR_AVG_IND_AUTH_TRANS</t>
  </si>
  <si>
    <t xml:space="preserve">Transportation &amp; Warehousing Authorized LFPR average</t>
  </si>
  <si>
    <t xml:space="preserve">P505</t>
  </si>
  <si>
    <t xml:space="preserve">LFPR_AVG_IND_AUTH_RETAIL</t>
  </si>
  <si>
    <t xml:space="preserve">Retail Trade Authorized LFPR average</t>
  </si>
  <si>
    <t xml:space="preserve">P506</t>
  </si>
  <si>
    <t xml:space="preserve">LFPR_AVG_IND_AUTH_LAND</t>
  </si>
  <si>
    <t xml:space="preserve">Landscaping &amp; Groundskeeping Authorized LFPR average</t>
  </si>
  <si>
    <t xml:space="preserve">P507</t>
  </si>
  <si>
    <t xml:space="preserve">LFPR_AVG_IND_AUTH_AUTO</t>
  </si>
  <si>
    <t xml:space="preserve">Automotive Repair &amp; Maintenance Authorized LFPR average</t>
  </si>
  <si>
    <t xml:space="preserve">P508</t>
  </si>
  <si>
    <t xml:space="preserve">LFPR_AVG_IND_AUTH_HEALTH</t>
  </si>
  <si>
    <t xml:space="preserve">Health Care &amp; Social Assistance Authorized LFPR average</t>
  </si>
  <si>
    <t xml:space="preserve">P509</t>
  </si>
  <si>
    <t xml:space="preserve">LFPR_AVG_IND_AUTH_PROF</t>
  </si>
  <si>
    <t xml:space="preserve">Professional, Scientific &amp; Technical Services Authorized LFPR average</t>
  </si>
  <si>
    <t xml:space="preserve">P510</t>
  </si>
  <si>
    <t xml:space="preserve">LFPR_AVG_IND_AUTH_EDUC</t>
  </si>
  <si>
    <t xml:space="preserve">Educational Services Authorized LFPR average</t>
  </si>
  <si>
    <t xml:space="preserve">P511</t>
  </si>
  <si>
    <t xml:space="preserve">LFPR_AVG_IND_AUTH_FIN</t>
  </si>
  <si>
    <t xml:space="preserve">Finance &amp; Insurance Authorized LFPR average</t>
  </si>
  <si>
    <t xml:space="preserve">P512</t>
  </si>
  <si>
    <t xml:space="preserve">LFPR_AVG_IND_AUTH_MEDIAIT</t>
  </si>
  <si>
    <t xml:space="preserve">Media and Information Technology Authorized LFPR average</t>
  </si>
  <si>
    <t xml:space="preserve">P513</t>
  </si>
  <si>
    <t xml:space="preserve">LFPR_AVG_IND_AUTH_PUBADMIN</t>
  </si>
  <si>
    <t xml:space="preserve">Public Administration Authorized LFPR average</t>
  </si>
  <si>
    <t xml:space="preserve">P514</t>
  </si>
  <si>
    <t xml:space="preserve">LFPR_AVG_IND_UNAUTH_AG</t>
  </si>
  <si>
    <t xml:space="preserve">Agriculture Unauthorized LFPR average</t>
  </si>
  <si>
    <t xml:space="preserve">P515</t>
  </si>
  <si>
    <t xml:space="preserve">LFPR_AVG_IND_UNAUTH_CONSTR</t>
  </si>
  <si>
    <t xml:space="preserve">Construction Unauthorized LFPR average</t>
  </si>
  <si>
    <t xml:space="preserve">P516</t>
  </si>
  <si>
    <t xml:space="preserve">LFPR_AVG_IND_UNAUTH_HOSP</t>
  </si>
  <si>
    <t xml:space="preserve">Hospitality Unauthorized LFPR average</t>
  </si>
  <si>
    <t xml:space="preserve">P517</t>
  </si>
  <si>
    <t xml:space="preserve">LFPR_AVG_IND_UNAUTH_CLEAN</t>
  </si>
  <si>
    <t xml:space="preserve">Cleaning &amp; Maintenance Unauthorized LFPR average</t>
  </si>
  <si>
    <t xml:space="preserve">P518</t>
  </si>
  <si>
    <t xml:space="preserve">LFPR_AVG_IND_UNAUTH_MFG</t>
  </si>
  <si>
    <t xml:space="preserve">Manufacturing Unauthorized LFPR average</t>
  </si>
  <si>
    <t xml:space="preserve">P519</t>
  </si>
  <si>
    <t xml:space="preserve">LFPR_AVG_IND_UNAUTH_TRANS</t>
  </si>
  <si>
    <t xml:space="preserve">Transportation &amp; Warehousing Unauthorized LFPR average</t>
  </si>
  <si>
    <t xml:space="preserve">P520</t>
  </si>
  <si>
    <t xml:space="preserve">LFPR_AVG_IND_UNAUTH_RETAIL</t>
  </si>
  <si>
    <t xml:space="preserve">Retail Trade Unauthorized LFPR average</t>
  </si>
  <si>
    <t xml:space="preserve">P521</t>
  </si>
  <si>
    <t xml:space="preserve">LFPR_AVG_IND_UNAUTH_LAND</t>
  </si>
  <si>
    <t xml:space="preserve">Landscaping &amp; Groundskeeping Unauthorized LFPR average</t>
  </si>
  <si>
    <t xml:space="preserve">P522</t>
  </si>
  <si>
    <t xml:space="preserve">LFPR_AVG_IND_UNAUTH_AUTO</t>
  </si>
  <si>
    <t xml:space="preserve">Automotive Repair &amp; Maintenance Unauthorized LFPR average</t>
  </si>
  <si>
    <t xml:space="preserve">P523</t>
  </si>
  <si>
    <t xml:space="preserve">LFPR_AVG_IND_UNAUTH_HEALTH</t>
  </si>
  <si>
    <t xml:space="preserve">Health Care &amp; Social Assistance Unauthorized LFPR average</t>
  </si>
  <si>
    <t xml:space="preserve">P524</t>
  </si>
  <si>
    <t xml:space="preserve">LFPR_AVG_IND_UNAUTH_PROF</t>
  </si>
  <si>
    <t xml:space="preserve">Professional, Scientific &amp; Technical Services Unauthorized LFPR average</t>
  </si>
  <si>
    <t xml:space="preserve">P525</t>
  </si>
  <si>
    <t xml:space="preserve">LFPR_AVG_IND_UNAUTH_EDUC</t>
  </si>
  <si>
    <t xml:space="preserve">Educational Services Unauthorized LFPR average</t>
  </si>
  <si>
    <t xml:space="preserve">P526</t>
  </si>
  <si>
    <t xml:space="preserve">LFPR_AVG_IND_UNAUTH_FIN</t>
  </si>
  <si>
    <t xml:space="preserve">Finance &amp; Insurance Unauthorized LFPR average</t>
  </si>
  <si>
    <t xml:space="preserve">P527</t>
  </si>
  <si>
    <t xml:space="preserve">LFPR_AVG_IND_UNAUTH_MEDIAIT</t>
  </si>
  <si>
    <t xml:space="preserve">Media and Information Technology Unauthorized LFPR average</t>
  </si>
  <si>
    <t xml:space="preserve">P528</t>
  </si>
  <si>
    <t xml:space="preserve">LFPR_AVG_IND_UNAUTH_PUBADMIN</t>
  </si>
  <si>
    <t xml:space="preserve">Public Administration Unauthorized LFPR average</t>
  </si>
  <si>
    <t xml:space="preserve">P529</t>
  </si>
  <si>
    <t xml:space="preserve">U3R_AVG_IND_AMER_AG</t>
  </si>
  <si>
    <t xml:space="preserve">Agriculture American Unemployment Rate (U3R) average</t>
  </si>
  <si>
    <t xml:space="preserve">P530</t>
  </si>
  <si>
    <t xml:space="preserve">U3R_AVG_IND_AMER_CONSTR</t>
  </si>
  <si>
    <t xml:space="preserve">Construction American Unemployment Rate (U3R) average</t>
  </si>
  <si>
    <t xml:space="preserve">P531</t>
  </si>
  <si>
    <t xml:space="preserve">U3R_AVG_IND_AMER_HOSP</t>
  </si>
  <si>
    <t xml:space="preserve">Hospitality American Unemployment Rate (U3R) average</t>
  </si>
  <si>
    <t xml:space="preserve">P532</t>
  </si>
  <si>
    <t xml:space="preserve">U3R_AVG_IND_AMER_CLEAN</t>
  </si>
  <si>
    <t xml:space="preserve">Cleaning &amp; Maintenance American Unemployment Rate (U3R) average</t>
  </si>
  <si>
    <t xml:space="preserve">P533</t>
  </si>
  <si>
    <t xml:space="preserve">U3R_AVG_IND_AMER_MFG</t>
  </si>
  <si>
    <t xml:space="preserve">Manufacturing American Unemployment Rate (U3R) average</t>
  </si>
  <si>
    <t xml:space="preserve">P534</t>
  </si>
  <si>
    <t xml:space="preserve">U3R_AVG_IND_AMER_TRANS</t>
  </si>
  <si>
    <t xml:space="preserve">Transportation &amp; Warehousing American Unemployment Rate (U3R) average</t>
  </si>
  <si>
    <t xml:space="preserve">P535</t>
  </si>
  <si>
    <t xml:space="preserve">U3R_AVG_IND_AMER_RETAIL</t>
  </si>
  <si>
    <t xml:space="preserve">Retail Trade American Unemployment Rate (U3R) average</t>
  </si>
  <si>
    <t xml:space="preserve">P536</t>
  </si>
  <si>
    <t xml:space="preserve">U3R_AVG_IND_AMER_LAND</t>
  </si>
  <si>
    <t xml:space="preserve">Landscaping &amp; Groundskeeping American Unemployment Rate (U3R) average</t>
  </si>
  <si>
    <t xml:space="preserve">P537</t>
  </si>
  <si>
    <t xml:space="preserve">U3R_AVG_IND_AMER_AUTO</t>
  </si>
  <si>
    <t xml:space="preserve">Automotive Repair &amp; Maintenance American Unemployment Rate (U3R) average</t>
  </si>
  <si>
    <t xml:space="preserve">P538</t>
  </si>
  <si>
    <t xml:space="preserve">U3R_AVG_IND_AMER_HEALTH</t>
  </si>
  <si>
    <t xml:space="preserve">Health Care &amp; Social Assistance American Unemployment Rate (U3R) average</t>
  </si>
  <si>
    <t xml:space="preserve">P539</t>
  </si>
  <si>
    <t xml:space="preserve">U3R_AVG_IND_AMER_PROF</t>
  </si>
  <si>
    <t xml:space="preserve">Professional, Scientific &amp; Technical Services American Unemployment Rate (U3R) average</t>
  </si>
  <si>
    <t xml:space="preserve">P540</t>
  </si>
  <si>
    <t xml:space="preserve">U3R_AVG_IND_AMER_EDUC</t>
  </si>
  <si>
    <t xml:space="preserve">Educational Services American Unemployment Rate (U3R) average</t>
  </si>
  <si>
    <t xml:space="preserve">P541</t>
  </si>
  <si>
    <t xml:space="preserve">U3R_AVG_IND_AMER_FIN</t>
  </si>
  <si>
    <t xml:space="preserve">Finance &amp; Insurance American Unemployment Rate (U3R) average</t>
  </si>
  <si>
    <t xml:space="preserve">P542</t>
  </si>
  <si>
    <t xml:space="preserve">U3R_AVG_IND_AMER_MEDIAIT</t>
  </si>
  <si>
    <t xml:space="preserve">Media and Information Technology American Unemployment Rate (U3R) average</t>
  </si>
  <si>
    <t xml:space="preserve">P543</t>
  </si>
  <si>
    <t xml:space="preserve">U3R_AVG_IND_AMER_PUBADMIN</t>
  </si>
  <si>
    <t xml:space="preserve">Public Administration American Unemployment Rate (U3R) average</t>
  </si>
  <si>
    <t xml:space="preserve">P544</t>
  </si>
  <si>
    <t xml:space="preserve">U3R_AVG_IND_AUTH_AG</t>
  </si>
  <si>
    <t xml:space="preserve">Agriculture Authorized Unemployment Rate (U3R) average</t>
  </si>
  <si>
    <t xml:space="preserve">P545</t>
  </si>
  <si>
    <t xml:space="preserve">U3R_AVG_IND_AUTH_CONSTR</t>
  </si>
  <si>
    <t xml:space="preserve">Construction Authorized Unemployment Rate (U3R) average</t>
  </si>
  <si>
    <t xml:space="preserve">P546</t>
  </si>
  <si>
    <t xml:space="preserve">U3R_AVG_IND_AUTH_HOSP</t>
  </si>
  <si>
    <t xml:space="preserve">Hospitality Authorized Unemployment Rate (U3R) average</t>
  </si>
  <si>
    <t xml:space="preserve">P547</t>
  </si>
  <si>
    <t xml:space="preserve">U3R_AVG_IND_AUTH_CLEAN</t>
  </si>
  <si>
    <t xml:space="preserve">Cleaning &amp; Maintenance Authorized Unemployment Rate (U3R) average</t>
  </si>
  <si>
    <t xml:space="preserve">P548</t>
  </si>
  <si>
    <t xml:space="preserve">U3R_AVG_IND_AUTH_MFG</t>
  </si>
  <si>
    <t xml:space="preserve">Manufacturing Authorized Unemployment Rate (U3R) average</t>
  </si>
  <si>
    <t xml:space="preserve">P549</t>
  </si>
  <si>
    <t xml:space="preserve">U3R_AVG_IND_AUTH_TRANS</t>
  </si>
  <si>
    <t xml:space="preserve">Transportation &amp; Warehousing Authorized Unemployment Rate (U3R) average</t>
  </si>
  <si>
    <t xml:space="preserve">P550</t>
  </si>
  <si>
    <t xml:space="preserve">U3R_AVG_IND_AUTH_RETAIL</t>
  </si>
  <si>
    <t xml:space="preserve">Retail Trade Authorized Unemployment Rate (U3R) average</t>
  </si>
  <si>
    <t xml:space="preserve">P551</t>
  </si>
  <si>
    <t xml:space="preserve">P552</t>
  </si>
  <si>
    <t xml:space="preserve">P553</t>
  </si>
  <si>
    <t xml:space="preserve">P554</t>
  </si>
  <si>
    <t xml:space="preserve">P555</t>
  </si>
  <si>
    <t xml:space="preserve">U3R_AVG_IND_AUTH_LAND</t>
  </si>
  <si>
    <t xml:space="preserve">Landscaping &amp; Groundskeeping Authorized Unemployment Rate (U3R) average</t>
  </si>
  <si>
    <t xml:space="preserve">P556</t>
  </si>
  <si>
    <t xml:space="preserve">U3R_AVG_IND_AUTH_AUTO</t>
  </si>
  <si>
    <t xml:space="preserve">Automotive Repair &amp; Maintenance Authorized Unemployment Rate (U3R) average</t>
  </si>
  <si>
    <t xml:space="preserve">P557</t>
  </si>
  <si>
    <t xml:space="preserve">U3R_AVG_IND_AUTH_HEALTH</t>
  </si>
  <si>
    <t xml:space="preserve">Health Care &amp; Social Assistance Authorized Unemployment Rate (U3R) average</t>
  </si>
  <si>
    <t xml:space="preserve">P558</t>
  </si>
  <si>
    <t xml:space="preserve">U3R_AVG_IND_AUTH_PROF</t>
  </si>
  <si>
    <t xml:space="preserve">Professional, Scientific &amp; Technical Services Authorized Unemployment Rate (U3R) average</t>
  </si>
  <si>
    <t xml:space="preserve">P559</t>
  </si>
  <si>
    <t xml:space="preserve">U3R_AVG_IND_AUTH_EDUC</t>
  </si>
  <si>
    <t xml:space="preserve">Educational Services Authorized Unemployment Rate (U3R) average</t>
  </si>
  <si>
    <t xml:space="preserve">P560</t>
  </si>
  <si>
    <t xml:space="preserve">U3R_AVG_IND_AUTH_FIN</t>
  </si>
  <si>
    <t xml:space="preserve">Finance &amp; Insurance Authorized Unemployment Rate (U3R) average</t>
  </si>
  <si>
    <t xml:space="preserve">P561</t>
  </si>
  <si>
    <t xml:space="preserve">U3R_AVG_IND_AUTH_MEDIAIT</t>
  </si>
  <si>
    <t xml:space="preserve">Media and Information Technology Authorized Unemployment Rate (U3R) average</t>
  </si>
  <si>
    <t xml:space="preserve">P562</t>
  </si>
  <si>
    <t xml:space="preserve">U3R_AVG_IND_AUTH_PUBADMIN</t>
  </si>
  <si>
    <t xml:space="preserve">Public Administration Authorized Unemployment Rate (U3R) average</t>
  </si>
  <si>
    <t xml:space="preserve">P563</t>
  </si>
  <si>
    <t xml:space="preserve">U3R_AVG_IND_UNAUTH_AG</t>
  </si>
  <si>
    <t xml:space="preserve">Agriculture Unauthorized Unemployment Rate (U3R) average</t>
  </si>
  <si>
    <t xml:space="preserve">P564</t>
  </si>
  <si>
    <t xml:space="preserve">U3R_AVG_IND_UNAUTH_CONSTR</t>
  </si>
  <si>
    <t xml:space="preserve">Construction Unauthorized Unemployment Rate (U3R) average</t>
  </si>
  <si>
    <t xml:space="preserve">P565</t>
  </si>
  <si>
    <t xml:space="preserve">U3R_AVG_IND_UNAUTH_HOSP</t>
  </si>
  <si>
    <t xml:space="preserve">Hospitality Unauthorized Unemployment Rate (U3R) average</t>
  </si>
  <si>
    <t xml:space="preserve">P566</t>
  </si>
  <si>
    <t xml:space="preserve">U3R_AVG_IND_UNAUTH_CLEAN</t>
  </si>
  <si>
    <t xml:space="preserve">Cleaning &amp; Maintenance Unauthorized Unemployment Rate (U3R) average</t>
  </si>
  <si>
    <t xml:space="preserve">P567</t>
  </si>
  <si>
    <t xml:space="preserve">U3R_AVG_IND_UNAUTH_MFG</t>
  </si>
  <si>
    <t xml:space="preserve">Manufacturing Unauthorized Unemployment Rate (U3R) average</t>
  </si>
  <si>
    <t xml:space="preserve">P568</t>
  </si>
  <si>
    <t xml:space="preserve">U3R_AVG_IND_UNAUTH_TRANS</t>
  </si>
  <si>
    <t xml:space="preserve">Transportation &amp; Warehousing Unauthorized Unemployment Rate (U3R) average</t>
  </si>
  <si>
    <t xml:space="preserve">P569</t>
  </si>
  <si>
    <t xml:space="preserve">U3R_AVG_IND_UNAUTH_RETAIL</t>
  </si>
  <si>
    <t xml:space="preserve">Retail Trade Unauthorized Unemployment Rate (U3R) average</t>
  </si>
  <si>
    <t xml:space="preserve">P570</t>
  </si>
  <si>
    <t xml:space="preserve">U3R_AVG_IND_UNAUTH_LAND</t>
  </si>
  <si>
    <t xml:space="preserve">Landscaping &amp; Groundskeeping Unauthorized Unemployment Rate (U3R) average</t>
  </si>
  <si>
    <t xml:space="preserve">P571</t>
  </si>
  <si>
    <t xml:space="preserve">U3R_AVG_IND_UNAUTH_AUTO</t>
  </si>
  <si>
    <t xml:space="preserve">Automotive Repair &amp; Maintenance Unauthorized Unemployment Rate (U3R) average</t>
  </si>
  <si>
    <t xml:space="preserve">P572</t>
  </si>
  <si>
    <t xml:space="preserve">U3R_AVG_IND_UNAUTH_HEALTH</t>
  </si>
  <si>
    <t xml:space="preserve">Health Care &amp; Social Assistance Unauthorized Unemployment Rate (U3R) average</t>
  </si>
  <si>
    <t xml:space="preserve">P573</t>
  </si>
  <si>
    <t xml:space="preserve">U3R_AVG_IND_UNAUTH_PROF</t>
  </si>
  <si>
    <t xml:space="preserve">Professional, Scientific &amp; Technical Services Unauthorized Unemployment Rate (U3R) average</t>
  </si>
  <si>
    <t xml:space="preserve">P574</t>
  </si>
  <si>
    <t xml:space="preserve">U3R_AVG_IND_UNAUTH_EDUC</t>
  </si>
  <si>
    <t xml:space="preserve">Educational Services Unauthorized Unemployment Rate (U3R) average</t>
  </si>
  <si>
    <t xml:space="preserve">P575</t>
  </si>
  <si>
    <t xml:space="preserve">U3R_AVG_IND_UNAUTH_FIN</t>
  </si>
  <si>
    <t xml:space="preserve">Finance &amp; Insurance Unauthorized Unemployment Rate (U3R) average</t>
  </si>
  <si>
    <t xml:space="preserve">P576</t>
  </si>
  <si>
    <t xml:space="preserve">U3R_AVG_IND_UNAUTH_MEDIAIT</t>
  </si>
  <si>
    <t xml:space="preserve">Media and Information Technology Unauthorized Unemployment Rate (U3R) average</t>
  </si>
  <si>
    <t xml:space="preserve">P577</t>
  </si>
  <si>
    <t xml:space="preserve">U3R_AVG_IND_UNAUTH_PUBADMIN</t>
  </si>
  <si>
    <t xml:space="preserve">Public Administration Unauthorized Unemployment Rate (U3R) average</t>
  </si>
  <si>
    <t xml:space="preserve">P578</t>
  </si>
  <si>
    <t xml:space="preserve">U6R_AVG_IND_AMER_AG</t>
  </si>
  <si>
    <t xml:space="preserve">Agriculture American Underemployment Rate (U6R) average</t>
  </si>
  <si>
    <t xml:space="preserve">P579</t>
  </si>
  <si>
    <t xml:space="preserve">U6R_AVG_IND_AMER_CONSTR</t>
  </si>
  <si>
    <t xml:space="preserve">Construction American Underemployment Rate (U6R) average</t>
  </si>
  <si>
    <t xml:space="preserve">P580</t>
  </si>
  <si>
    <t xml:space="preserve">U6R_AVG_IND_AMER_HOSP</t>
  </si>
  <si>
    <t xml:space="preserve">Hospitality American Underemployment Rate (U6R) average</t>
  </si>
  <si>
    <t xml:space="preserve">P581</t>
  </si>
  <si>
    <t xml:space="preserve">U6R_AVG_IND_AMER_CLEAN</t>
  </si>
  <si>
    <t xml:space="preserve">Cleaning &amp; Maintenance American Underemployment Rate (U6R) average</t>
  </si>
  <si>
    <t xml:space="preserve">P582</t>
  </si>
  <si>
    <t xml:space="preserve">U6R_AVG_IND_AMER_MFG</t>
  </si>
  <si>
    <t xml:space="preserve">Manufacturing American Underemployment Rate (U6R) average</t>
  </si>
  <si>
    <t xml:space="preserve">P583</t>
  </si>
  <si>
    <t xml:space="preserve">U6R_AVG_IND_AMER_TRANS</t>
  </si>
  <si>
    <t xml:space="preserve">Transportation &amp; Warehousing American Underemployment Rate (U6R) average</t>
  </si>
  <si>
    <t xml:space="preserve">P584</t>
  </si>
  <si>
    <t xml:space="preserve">U6R_AVG_IND_AMER_RETAIL</t>
  </si>
  <si>
    <t xml:space="preserve">Retail Trade American Underemployment Rate (U6R) average</t>
  </si>
  <si>
    <t xml:space="preserve">P585</t>
  </si>
  <si>
    <t xml:space="preserve">U6R_AVG_IND_AMER_LAND</t>
  </si>
  <si>
    <t xml:space="preserve">Landscaping &amp; Groundskeeping American Underemployment Rate (U6R) average</t>
  </si>
  <si>
    <t xml:space="preserve">P586</t>
  </si>
  <si>
    <t xml:space="preserve">U6R_AVG_IND_AMER_AUTO</t>
  </si>
  <si>
    <t xml:space="preserve">Automotive Repair &amp; Maintenance American Underemployment Rate (U6R) average</t>
  </si>
  <si>
    <t xml:space="preserve">P587</t>
  </si>
  <si>
    <t xml:space="preserve">U6R_AVG_IND_AMER_HEALTH</t>
  </si>
  <si>
    <t xml:space="preserve">Health Care &amp; Social Assistance American Underemployment Rate (U6R) average</t>
  </si>
  <si>
    <t xml:space="preserve">P588</t>
  </si>
  <si>
    <t xml:space="preserve">U6R_AVG_IND_AMER_PROF</t>
  </si>
  <si>
    <t xml:space="preserve">Professional, Scientific &amp; Technical Services American Underemployment Rate (U6R) average</t>
  </si>
  <si>
    <t xml:space="preserve">P589</t>
  </si>
  <si>
    <t xml:space="preserve">U6R_AVG_IND_AMER_EDUC</t>
  </si>
  <si>
    <t xml:space="preserve">Educational Services American Underemployment Rate (U6R) average</t>
  </si>
  <si>
    <t xml:space="preserve">P590</t>
  </si>
  <si>
    <t xml:space="preserve">U6R_AVG_IND_AMER_FIN</t>
  </si>
  <si>
    <t xml:space="preserve">Finance &amp; Insurance American Underemployment Rate (U6R) average</t>
  </si>
  <si>
    <t xml:space="preserve">P591</t>
  </si>
  <si>
    <t xml:space="preserve">U6R_AVG_IND_AMER_MEDIAIT</t>
  </si>
  <si>
    <t xml:space="preserve">Media and Information Technology American Underemployment Rate (U6R) average</t>
  </si>
  <si>
    <t xml:space="preserve">P592</t>
  </si>
  <si>
    <t xml:space="preserve">U6R_AVG_IND_AMER_PUBADMIN</t>
  </si>
  <si>
    <t xml:space="preserve">Public Administration American Underemployment Rate (U6R) average</t>
  </si>
  <si>
    <t xml:space="preserve">P593</t>
  </si>
  <si>
    <t xml:space="preserve">U6R_AVG_IND_AUTH_AG</t>
  </si>
  <si>
    <t xml:space="preserve">Agriculture Authorized Underemployment Rate (U6R) average</t>
  </si>
  <si>
    <t xml:space="preserve">P594</t>
  </si>
  <si>
    <t xml:space="preserve">U6R_AVG_IND_AUTH_CONSTR</t>
  </si>
  <si>
    <t xml:space="preserve">Construction Authorized Underemployment Rate (U6R) average</t>
  </si>
  <si>
    <t xml:space="preserve">P595</t>
  </si>
  <si>
    <t xml:space="preserve">U6R_AVG_IND_AUTH_HOSP</t>
  </si>
  <si>
    <t xml:space="preserve">Hospitality Authorized Underemployment Rate (U6R) average</t>
  </si>
  <si>
    <t xml:space="preserve">P596</t>
  </si>
  <si>
    <t xml:space="preserve">U6R_AVG_IND_AUTH_CLEAN</t>
  </si>
  <si>
    <t xml:space="preserve">Cleaning &amp; Maintenance Authorized Underemployment Rate (U6R) average</t>
  </si>
  <si>
    <t xml:space="preserve">P597</t>
  </si>
  <si>
    <t xml:space="preserve">U6R_AVG_IND_AUTH_MFG</t>
  </si>
  <si>
    <t xml:space="preserve">Manufacturing Authorized Underemployment Rate (U6R) average</t>
  </si>
  <si>
    <t xml:space="preserve">P598</t>
  </si>
  <si>
    <t xml:space="preserve">U6R_AVG_IND_AUTH_TRANS</t>
  </si>
  <si>
    <t xml:space="preserve">Transportation &amp; Warehousing Authorized Underemployment Rate (U6R) average</t>
  </si>
  <si>
    <t xml:space="preserve">P599</t>
  </si>
  <si>
    <t xml:space="preserve">U6R_AVG_IND_AUTH_RETAIL</t>
  </si>
  <si>
    <t xml:space="preserve">Retail Trade Authorized Underemployment Rate (U6R) average</t>
  </si>
  <si>
    <t xml:space="preserve">P600</t>
  </si>
  <si>
    <t xml:space="preserve">U6R_AVG_IND_AUTH_LAND</t>
  </si>
  <si>
    <t xml:space="preserve">Landscaping &amp; Groundskeeping Authorized Underemployment Rate (U6R) average</t>
  </si>
  <si>
    <t xml:space="preserve">P601</t>
  </si>
  <si>
    <t xml:space="preserve">U6R_AVG_IND_AUTH_AUTO</t>
  </si>
  <si>
    <t xml:space="preserve">Automotive Repair &amp; Maintenance Authorized Underemployment Rate (U6R) average</t>
  </si>
  <si>
    <t xml:space="preserve">P602</t>
  </si>
  <si>
    <t xml:space="preserve">U6R_AVG_IND_AUTH_HEALTH</t>
  </si>
  <si>
    <t xml:space="preserve">Health Care &amp; Social Assistance Authorized Underemployment Rate (U6R) average</t>
  </si>
  <si>
    <t xml:space="preserve">P603</t>
  </si>
  <si>
    <t xml:space="preserve">U6R_AVG_IND_AUTH_PROF</t>
  </si>
  <si>
    <t xml:space="preserve">Professional, Scientific &amp; Technical Services Authorized Underemployment Rate (U6R) average</t>
  </si>
  <si>
    <t xml:space="preserve">P604</t>
  </si>
  <si>
    <t xml:space="preserve">U6R_AVG_IND_AUTH_EDUC</t>
  </si>
  <si>
    <t xml:space="preserve">Educational Services Authorized Underemployment Rate (U6R) average</t>
  </si>
  <si>
    <t xml:space="preserve">P605</t>
  </si>
  <si>
    <t xml:space="preserve">U6R_AVG_IND_AUTH_FIN</t>
  </si>
  <si>
    <t xml:space="preserve">Finance &amp; Insurance Authorized Underemployment Rate (U6R) average</t>
  </si>
  <si>
    <t xml:space="preserve">P606</t>
  </si>
  <si>
    <t xml:space="preserve">U6R_AVG_IND_AUTH_MEDIAIT</t>
  </si>
  <si>
    <t xml:space="preserve">Media and Information Technology Authorized Underemployment Rate (U6R) average</t>
  </si>
  <si>
    <t xml:space="preserve">P607</t>
  </si>
  <si>
    <t xml:space="preserve">U6R_AVG_IND_AUTH_PUBADMIN</t>
  </si>
  <si>
    <t xml:space="preserve">Public Administration Authorized Underemployment Rate (U6R) average</t>
  </si>
  <si>
    <t xml:space="preserve">P608</t>
  </si>
  <si>
    <t xml:space="preserve">U6R_AVG_IND_UNAUTH_AG</t>
  </si>
  <si>
    <t xml:space="preserve">Agriculture Unauthorized Underemployment Rate (U6R) average</t>
  </si>
  <si>
    <t xml:space="preserve">P609</t>
  </si>
  <si>
    <t xml:space="preserve">U6R_AVG_IND_UNAUTH_CONSTR</t>
  </si>
  <si>
    <t xml:space="preserve">Construction Unauthorized Underemployment Rate (U6R) average</t>
  </si>
  <si>
    <t xml:space="preserve">P610</t>
  </si>
  <si>
    <t xml:space="preserve">U6R_AVG_IND_UNAUTH_HOSP</t>
  </si>
  <si>
    <t xml:space="preserve">Hospitality Unauthorized Underemployment Rate (U6R) average</t>
  </si>
  <si>
    <t xml:space="preserve">P611</t>
  </si>
  <si>
    <t xml:space="preserve">U6R_AVG_IND_UNAUTH_CLEAN</t>
  </si>
  <si>
    <t xml:space="preserve">Cleaning &amp; Maintenance Unauthorized Underemployment Rate (U6R) average</t>
  </si>
  <si>
    <t xml:space="preserve">P612</t>
  </si>
  <si>
    <t xml:space="preserve">U6R_AVG_IND_UNAUTH_MFG</t>
  </si>
  <si>
    <t xml:space="preserve">Manufacturing Unauthorized Underemployment Rate (U6R) average</t>
  </si>
  <si>
    <t xml:space="preserve">P613</t>
  </si>
  <si>
    <t xml:space="preserve">U6R_AVG_IND_UNAUTH_TRANS</t>
  </si>
  <si>
    <t xml:space="preserve">Transportation &amp; Warehousing Unauthorized Underemployment Rate (U6R) average</t>
  </si>
  <si>
    <t xml:space="preserve">P614</t>
  </si>
  <si>
    <t xml:space="preserve">U6R_AVG_IND_UNAUTH_RETAIL</t>
  </si>
  <si>
    <t xml:space="preserve">Retail Trade Unauthorized Underemployment Rate (U6R) average</t>
  </si>
  <si>
    <t xml:space="preserve">P615</t>
  </si>
  <si>
    <t xml:space="preserve">U6R_AVG_IND_UNAUTH_LAND</t>
  </si>
  <si>
    <t xml:space="preserve">Landscaping &amp; Groundskeeping Unauthorized Underemployment Rate (U6R) average</t>
  </si>
  <si>
    <t xml:space="preserve">P616</t>
  </si>
  <si>
    <t xml:space="preserve">U6R_AVG_IND_UNAUTH_AUTO</t>
  </si>
  <si>
    <t xml:space="preserve">Automotive Repair &amp; Maintenance Unauthorized Underemployment Rate (U6R) average</t>
  </si>
  <si>
    <t xml:space="preserve">P617</t>
  </si>
  <si>
    <t xml:space="preserve">U6R_AVG_IND_UNAUTH_HEALTH</t>
  </si>
  <si>
    <t xml:space="preserve">Health Care &amp; Social Assistance Unauthorized Underemployment Rate (U6R) average</t>
  </si>
  <si>
    <t xml:space="preserve">P618</t>
  </si>
  <si>
    <t xml:space="preserve">U6R_AVG_IND_UNAUTH_PROF</t>
  </si>
  <si>
    <t xml:space="preserve">Professional, Scientific &amp; Technical Services Unauthorized Underemployment Rate (U6R) average</t>
  </si>
  <si>
    <t xml:space="preserve">P619</t>
  </si>
  <si>
    <t xml:space="preserve">U6R_AVG_IND_UNAUTH_EDUC</t>
  </si>
  <si>
    <t xml:space="preserve">Educational Services Unauthorized Underemployment Rate (U6R) average</t>
  </si>
  <si>
    <t xml:space="preserve">P620</t>
  </si>
  <si>
    <t xml:space="preserve">U6R_AVG_IND_UNAUTH_FIN</t>
  </si>
  <si>
    <t xml:space="preserve">Finance &amp; Insurance Unauthorized Underemployment Rate (U6R) average</t>
  </si>
  <si>
    <t xml:space="preserve">P621</t>
  </si>
  <si>
    <t xml:space="preserve">U6R_AVG_IND_UNAUTH_MEDIAIT</t>
  </si>
  <si>
    <t xml:space="preserve">Media and Information Technology Unauthorized Underemployment Rate (U6R) average</t>
  </si>
  <si>
    <t xml:space="preserve">P622</t>
  </si>
  <si>
    <t xml:space="preserve">U6R_AVG_IND_UNAUTH_PUBADMIN</t>
  </si>
  <si>
    <t xml:space="preserve">Public Administration Unauthorized Underemployment Rate (U6R) average</t>
  </si>
  <si>
    <t xml:space="preserve">P623</t>
  </si>
  <si>
    <t xml:space="preserve">PAUR_IND_AMER_AG</t>
  </si>
  <si>
    <t xml:space="preserve">Agriculture American Public Assistance Usage Rate</t>
  </si>
  <si>
    <t xml:space="preserve">ACS-derived estimate</t>
  </si>
  <si>
    <t xml:space="preserve">ACS 2025 group-ind est</t>
  </si>
  <si>
    <t xml:space="preserve">P624</t>
  </si>
  <si>
    <t xml:space="preserve">PAUR_IND_AMER_CONSTR</t>
  </si>
  <si>
    <t xml:space="preserve">Construction American Public Assistance Usage Rate</t>
  </si>
  <si>
    <t xml:space="preserve">P625</t>
  </si>
  <si>
    <t xml:space="preserve">PAUR_IND_AMER_HOSP</t>
  </si>
  <si>
    <t xml:space="preserve">Hospitality American Public Assistance Usage Rate</t>
  </si>
  <si>
    <t xml:space="preserve">P626</t>
  </si>
  <si>
    <t xml:space="preserve">PAUR_IND_AMER_CLEAN</t>
  </si>
  <si>
    <t xml:space="preserve">Cleaning &amp; Maintenance American Public Assistance Usage Rate</t>
  </si>
  <si>
    <t xml:space="preserve">P627</t>
  </si>
  <si>
    <t xml:space="preserve">PAUR_IND_AMER_MFG</t>
  </si>
  <si>
    <t xml:space="preserve">Manufacturing American Public Assistance Usage Rate</t>
  </si>
  <si>
    <t xml:space="preserve">P628</t>
  </si>
  <si>
    <t xml:space="preserve">PAUR_IND_AMER_TRANS</t>
  </si>
  <si>
    <t xml:space="preserve">Transportation &amp; Warehousing American Public Assistance Usage Rate</t>
  </si>
  <si>
    <t xml:space="preserve">P629</t>
  </si>
  <si>
    <t xml:space="preserve">PAUR_IND_AMER_RETAIL</t>
  </si>
  <si>
    <t xml:space="preserve">Retail Trade American Public Assistance Usage Rate</t>
  </si>
  <si>
    <t xml:space="preserve">P630</t>
  </si>
  <si>
    <t xml:space="preserve">PAUR_IND_AMER_LAND</t>
  </si>
  <si>
    <t xml:space="preserve">Landscaping &amp; Groundskeeping American Public Assistance Usage Rate</t>
  </si>
  <si>
    <t xml:space="preserve">P631</t>
  </si>
  <si>
    <t xml:space="preserve">PAUR_IND_AMER_AUTO</t>
  </si>
  <si>
    <t xml:space="preserve">Automotive Repair &amp; Maintenance American Public Assistance Usage Rate</t>
  </si>
  <si>
    <t xml:space="preserve">P632</t>
  </si>
  <si>
    <t xml:space="preserve">PAUR_IND_AMER_HEALTH</t>
  </si>
  <si>
    <t xml:space="preserve">Health Care &amp; Social Assistance American Public Assistance Usage Rate</t>
  </si>
  <si>
    <t xml:space="preserve">P633</t>
  </si>
  <si>
    <t xml:space="preserve">PAUR_IND_AMER_PROF</t>
  </si>
  <si>
    <t xml:space="preserve">Professional, Scientific &amp; Technical Services American Public Assistance Usage Rate</t>
  </si>
  <si>
    <t xml:space="preserve">P634</t>
  </si>
  <si>
    <t xml:space="preserve">PAUR_IND_AMER_EDUC</t>
  </si>
  <si>
    <t xml:space="preserve">Educational Services American Public Assistance Usage Rate</t>
  </si>
  <si>
    <t xml:space="preserve">P635</t>
  </si>
  <si>
    <t xml:space="preserve">PAUR_IND_AMER_FIN</t>
  </si>
  <si>
    <t xml:space="preserve">Finance &amp; Insurance American Public Assistance Usage Rate</t>
  </si>
  <si>
    <t xml:space="preserve">P636</t>
  </si>
  <si>
    <t xml:space="preserve">PAUR_IND_AMER_MEDIAIT</t>
  </si>
  <si>
    <t xml:space="preserve">Media and Information Technology American Public Assistance Usage Rate</t>
  </si>
  <si>
    <t xml:space="preserve">P637</t>
  </si>
  <si>
    <t xml:space="preserve">PAUR_IND_AMER_PUBADMIN</t>
  </si>
  <si>
    <t xml:space="preserve">Public Administration American Public Assistance Usage Rate</t>
  </si>
  <si>
    <t xml:space="preserve">P638</t>
  </si>
  <si>
    <t xml:space="preserve">PAUR_IND_AUTH_AG</t>
  </si>
  <si>
    <t xml:space="preserve">Agriculture Authorized Public Assistance Usage Rate</t>
  </si>
  <si>
    <t xml:space="preserve">ACS-derived adj</t>
  </si>
  <si>
    <t xml:space="preserve">P639</t>
  </si>
  <si>
    <t xml:space="preserve">PAUR_IND_AUTH_CONSTR</t>
  </si>
  <si>
    <t xml:space="preserve">Construction Authorized Public Assistance Usage Rate</t>
  </si>
  <si>
    <t xml:space="preserve">P640</t>
  </si>
  <si>
    <t xml:space="preserve">PAUR_IND_AUTH_HOSP</t>
  </si>
  <si>
    <t xml:space="preserve">Hospitality Authorized Public Assistance Usage Rate</t>
  </si>
  <si>
    <t xml:space="preserve">P641</t>
  </si>
  <si>
    <t xml:space="preserve">PAUR_IND_AUTH_CLEAN</t>
  </si>
  <si>
    <t xml:space="preserve">Cleaning &amp; Maintenance Authorized Public Assistance Usage Rate</t>
  </si>
  <si>
    <t xml:space="preserve">P642</t>
  </si>
  <si>
    <t xml:space="preserve">PAUR_IND_AUTH_MFG</t>
  </si>
  <si>
    <t xml:space="preserve">Manufacturing Authorized Public Assistance Usage Rate</t>
  </si>
  <si>
    <t xml:space="preserve">P643</t>
  </si>
  <si>
    <t xml:space="preserve">PAUR_IND_AUTH_TRANS</t>
  </si>
  <si>
    <t xml:space="preserve">Transportation &amp; Warehousing Authorized Public Assistance Usage Rate</t>
  </si>
  <si>
    <t xml:space="preserve">P644</t>
  </si>
  <si>
    <t xml:space="preserve">PAUR_IND_AUTH_RETAIL</t>
  </si>
  <si>
    <t xml:space="preserve">Retail Trade Authorized Public Assistance Usage Rate</t>
  </si>
  <si>
    <t xml:space="preserve">P645</t>
  </si>
  <si>
    <t xml:space="preserve">PAUR_IND_AUTH_LAND</t>
  </si>
  <si>
    <t xml:space="preserve">Landscaping &amp; Groundskeeping Authorized Public Assistance Usage Rate</t>
  </si>
  <si>
    <t xml:space="preserve">P646</t>
  </si>
  <si>
    <t xml:space="preserve">PAUR_IND_AUTH_AUTO</t>
  </si>
  <si>
    <t xml:space="preserve">Automotive Repair &amp; Maintenance Authorized Public Assistance Usage Rate</t>
  </si>
  <si>
    <t xml:space="preserve">P647</t>
  </si>
  <si>
    <t xml:space="preserve">PAUR_IND_AUTH_HEALTH</t>
  </si>
  <si>
    <t xml:space="preserve">Health Care &amp; Social Assistance Authorized Public Assistance Usage Rate</t>
  </si>
  <si>
    <t xml:space="preserve">P648</t>
  </si>
  <si>
    <t xml:space="preserve">PAUR_IND_AUTH_PROF</t>
  </si>
  <si>
    <t xml:space="preserve">Professional, Scientific &amp; Technical Services Authorized Public Assistance Usage Rate</t>
  </si>
  <si>
    <t xml:space="preserve">P649</t>
  </si>
  <si>
    <t xml:space="preserve">PAUR_IND_AUTH_EDUC</t>
  </si>
  <si>
    <t xml:space="preserve">Educational Services Authorized Public Assistance Usage Rate</t>
  </si>
  <si>
    <t xml:space="preserve">P650</t>
  </si>
  <si>
    <t xml:space="preserve">PAUR_IND_AUTH_FIN</t>
  </si>
  <si>
    <t xml:space="preserve">Finance &amp; Insurance Authorized Public Assistance Usage Rate</t>
  </si>
  <si>
    <t xml:space="preserve">P651</t>
  </si>
  <si>
    <t xml:space="preserve">PAUR_IND_AUTH_MEDIAIT</t>
  </si>
  <si>
    <t xml:space="preserve">Media and Information Technology Authorized Public Assistance Usage Rate</t>
  </si>
  <si>
    <t xml:space="preserve">P652</t>
  </si>
  <si>
    <t xml:space="preserve">PAUR_IND_AUTH_PUBADMIN</t>
  </si>
  <si>
    <t xml:space="preserve">Public Administration Authorized Public Assistance Usage Rate</t>
  </si>
  <si>
    <t xml:space="preserve">P653</t>
  </si>
  <si>
    <t xml:space="preserve">PAUR_IND_UNAUTH_AG</t>
  </si>
  <si>
    <t xml:space="preserve">Agriculture Unauthorized Public Assistance Usage Rate</t>
  </si>
  <si>
    <t xml:space="preserve">P654</t>
  </si>
  <si>
    <t xml:space="preserve">PAUR_IND_UNAUTH_CONSTR</t>
  </si>
  <si>
    <t xml:space="preserve">Construction Unauthorized Public Assistance Usage Rate</t>
  </si>
  <si>
    <t xml:space="preserve">P655</t>
  </si>
  <si>
    <t xml:space="preserve">PAUR_IND_UNAUTH_HOSP</t>
  </si>
  <si>
    <t xml:space="preserve">Hospitality Unauthorized Public Assistance Usage Rate</t>
  </si>
  <si>
    <t xml:space="preserve">P656</t>
  </si>
  <si>
    <t xml:space="preserve">PAUR_IND_UNAUTH_CLEAN</t>
  </si>
  <si>
    <t xml:space="preserve">Cleaning &amp; Maintenance Unauthorized Public Assistance Usage Rate</t>
  </si>
  <si>
    <t xml:space="preserve">P657</t>
  </si>
  <si>
    <t xml:space="preserve">PAUR_IND_UNAUTH_MFG</t>
  </si>
  <si>
    <t xml:space="preserve">Manufacturing Unauthorized Public Assistance Usage Rate</t>
  </si>
  <si>
    <t xml:space="preserve">P658</t>
  </si>
  <si>
    <t xml:space="preserve">PAUR_IND_UNAUTH_TRANS</t>
  </si>
  <si>
    <t xml:space="preserve">Transportation &amp; Warehousing Unauthorized Public Assistance Usage Rate</t>
  </si>
  <si>
    <t xml:space="preserve">P659</t>
  </si>
  <si>
    <t xml:space="preserve">PAUR_IND_UNAUTH_RETAIL</t>
  </si>
  <si>
    <t xml:space="preserve">Retail Trade Unauthorized Public Assistance Usage Rate</t>
  </si>
  <si>
    <t xml:space="preserve">P660</t>
  </si>
  <si>
    <t xml:space="preserve">PAUR_IND_UNAUTH_LAND</t>
  </si>
  <si>
    <t xml:space="preserve">Landscaping &amp; Groundskeeping Unauthorized Public Assistance Usage Rate</t>
  </si>
  <si>
    <t xml:space="preserve">P661</t>
  </si>
  <si>
    <t xml:space="preserve">PAUR_IND_UNAUTH_AUTO</t>
  </si>
  <si>
    <t xml:space="preserve">Automotive Repair &amp; Maintenance Unauthorized Public Assistance Usage Rate</t>
  </si>
  <si>
    <t xml:space="preserve">P662</t>
  </si>
  <si>
    <t xml:space="preserve">PAUR_IND_UNAUTH_HEALTH</t>
  </si>
  <si>
    <t xml:space="preserve">Health Care &amp; Social Assistance Unauthorized Public Assistance Usage Rate</t>
  </si>
  <si>
    <t xml:space="preserve">P663</t>
  </si>
  <si>
    <t xml:space="preserve">PAUR_IND_UNAUTH_PROF</t>
  </si>
  <si>
    <t xml:space="preserve">Professional, Scientific &amp; Technical Services Unauthorized Public Assistance Usage Rate</t>
  </si>
  <si>
    <t xml:space="preserve">P664</t>
  </si>
  <si>
    <t xml:space="preserve">PAUR_IND_UNAUTH_EDUC</t>
  </si>
  <si>
    <t xml:space="preserve">Educational Services Unauthorized Public Assistance Usage Rate</t>
  </si>
  <si>
    <t xml:space="preserve">P665</t>
  </si>
  <si>
    <t xml:space="preserve">PAUR_IND_UNAUTH_FIN</t>
  </si>
  <si>
    <t xml:space="preserve">Finance &amp; Insurance Unauthorized Public Assistance Usage Rate</t>
  </si>
  <si>
    <t xml:space="preserve">P666</t>
  </si>
  <si>
    <t xml:space="preserve">PAUR_IND_UNAUTH_MEDIAIT</t>
  </si>
  <si>
    <t xml:space="preserve">Media and Information Technology Unauthorized Public Assistance Usage Rate</t>
  </si>
  <si>
    <t xml:space="preserve">P667</t>
  </si>
  <si>
    <t xml:space="preserve">PAUR_IND_UNAUTH_PUBADMIN</t>
  </si>
  <si>
    <t xml:space="preserve">Public Administration Unauthorized Public Assistance Usage Rate</t>
  </si>
  <si>
    <t xml:space="preserve">P668</t>
  </si>
  <si>
    <t xml:space="preserve">PA_AVG_COST_IND_AMER_AG</t>
  </si>
  <si>
    <t xml:space="preserve">Agriculture American average annual public assistance cost per user ($)</t>
  </si>
  <si>
    <t xml:space="preserve">CMS / HHS / USDA est</t>
  </si>
  <si>
    <t xml:space="preserve">2025 program averages adj for AL</t>
  </si>
  <si>
    <t xml:space="preserve">P669</t>
  </si>
  <si>
    <t xml:space="preserve">PA_AVG_COST_IND_AMER_CONSTR</t>
  </si>
  <si>
    <t xml:space="preserve">Construction American average annual public assistance cost per user ($)</t>
  </si>
  <si>
    <t xml:space="preserve">P670</t>
  </si>
  <si>
    <t xml:space="preserve">PA_AVG_COST_IND_AMER_HOSP</t>
  </si>
  <si>
    <t xml:space="preserve">Hospitality American average annual public assistance cost per user ($)</t>
  </si>
  <si>
    <t xml:space="preserve">P671</t>
  </si>
  <si>
    <t xml:space="preserve">PA_AVG_COST_IND_AMER_CLEAN</t>
  </si>
  <si>
    <t xml:space="preserve">Cleaning &amp; Maintenance American average annual public assistance cost per user ($)</t>
  </si>
  <si>
    <t xml:space="preserve">P672</t>
  </si>
  <si>
    <t xml:space="preserve">PA_AVG_COST_IND_AMER_MFG</t>
  </si>
  <si>
    <t xml:space="preserve">Manufacturing American average annual public assistance cost per user ($)</t>
  </si>
  <si>
    <t xml:space="preserve">P673</t>
  </si>
  <si>
    <t xml:space="preserve">PA_AVG_COST_IND_AMER_TRANS</t>
  </si>
  <si>
    <t xml:space="preserve">Transportation &amp; Warehousing American average annual public assistance cost per user ($)</t>
  </si>
  <si>
    <t xml:space="preserve">P674</t>
  </si>
  <si>
    <t xml:space="preserve">PA_AVG_COST_IND_AMER_RETAIL</t>
  </si>
  <si>
    <t xml:space="preserve">Retail Trade American average annual public assistance cost per user ($)</t>
  </si>
  <si>
    <t xml:space="preserve">P675</t>
  </si>
  <si>
    <t xml:space="preserve">PA_AVG_COST_IND_AMER_LAND</t>
  </si>
  <si>
    <t xml:space="preserve">Landscaping &amp; Groundskeeping American average annual public assistance cost per user ($)</t>
  </si>
  <si>
    <t xml:space="preserve">P676</t>
  </si>
  <si>
    <t xml:space="preserve">PA_AVG_COST_IND_AMER_AUTO</t>
  </si>
  <si>
    <t xml:space="preserve">Automotive Repair &amp; Maintenance American average annual public assistance cost per user ($)</t>
  </si>
  <si>
    <t xml:space="preserve">P677</t>
  </si>
  <si>
    <t xml:space="preserve">PA_AVG_COST_IND_AMER_HEALTH</t>
  </si>
  <si>
    <t xml:space="preserve">Health Care &amp; Social Assistance American average annual public assistance cost per user ($)</t>
  </si>
  <si>
    <t xml:space="preserve">P678</t>
  </si>
  <si>
    <t xml:space="preserve">PA_AVG_COST_IND_AMER_PROF</t>
  </si>
  <si>
    <t xml:space="preserve">Professional, Scientific &amp; Technical Services American average annual public assistance cost per user ($)</t>
  </si>
  <si>
    <t xml:space="preserve">P679</t>
  </si>
  <si>
    <t xml:space="preserve">PA_AVG_COST_IND_AMER_EDUC</t>
  </si>
  <si>
    <t xml:space="preserve">Educational Services American average annual public assistance cost per user ($)</t>
  </si>
  <si>
    <t xml:space="preserve">P680</t>
  </si>
  <si>
    <t xml:space="preserve">PA_AVG_COST_IND_AMER_FIN</t>
  </si>
  <si>
    <t xml:space="preserve">Finance &amp; Insurance American average annual public assistance cost per user ($)</t>
  </si>
  <si>
    <t xml:space="preserve">P681</t>
  </si>
  <si>
    <t xml:space="preserve">PA_AVG_COST_IND_AMER_MEDIAIT</t>
  </si>
  <si>
    <t xml:space="preserve">Media and Information Technology American average annual public assistance cost per user ($)</t>
  </si>
  <si>
    <t xml:space="preserve">P682</t>
  </si>
  <si>
    <t xml:space="preserve">PA_AVG_COST_IND_AMER_PUBADMIN</t>
  </si>
  <si>
    <t xml:space="preserve">Public Administration American average annual public assistance cost per user ($)</t>
  </si>
  <si>
    <t xml:space="preserve">P683</t>
  </si>
  <si>
    <t xml:space="preserve">PA_AVG_COST_IND_AUTH_AG</t>
  </si>
  <si>
    <t xml:space="preserve">Agriculture Authorized average annual public assistance cost per user ($)</t>
  </si>
  <si>
    <t xml:space="preserve">CMS / HHS / USDA est adj</t>
  </si>
  <si>
    <t xml:space="preserve">P684</t>
  </si>
  <si>
    <t xml:space="preserve">PA_AVG_COST_IND_AUTH_CONSTR</t>
  </si>
  <si>
    <t xml:space="preserve">Construction Authorized average annual public assistance cost per user ($)</t>
  </si>
  <si>
    <t xml:space="preserve">P685</t>
  </si>
  <si>
    <t xml:space="preserve">PA_AVG_COST_IND_AUTH_HOSP</t>
  </si>
  <si>
    <t xml:space="preserve">Hospitality Authorized average annual public assistance cost per user ($)</t>
  </si>
  <si>
    <t xml:space="preserve">P686</t>
  </si>
  <si>
    <t xml:space="preserve">PA_AVG_COST_IND_AUTH_CLEAN</t>
  </si>
  <si>
    <t xml:space="preserve">Cleaning &amp; Maintenance Authorized average annual public assistance cost per user ($)</t>
  </si>
  <si>
    <t xml:space="preserve">P687</t>
  </si>
  <si>
    <t xml:space="preserve">PA_AVG_COST_IND_AUTH_MFG</t>
  </si>
  <si>
    <t xml:space="preserve">Manufacturing Authorized average annual public assistance cost per user ($)</t>
  </si>
  <si>
    <t xml:space="preserve">P688</t>
  </si>
  <si>
    <t xml:space="preserve">PA_AVG_COST_IND_AUTH_TRANS</t>
  </si>
  <si>
    <t xml:space="preserve">Transportation &amp; Warehousing Authorized average annual public assistance cost per user ($)</t>
  </si>
  <si>
    <t xml:space="preserve">P689</t>
  </si>
  <si>
    <t xml:space="preserve">PA_AVG_COST_IND_AUTH_RETAIL</t>
  </si>
  <si>
    <t xml:space="preserve">Retail Trade Authorized average annual public assistance cost per user ($)</t>
  </si>
  <si>
    <t xml:space="preserve">P690</t>
  </si>
  <si>
    <t xml:space="preserve">PA_AVG_COST_IND_AUTH_LAND</t>
  </si>
  <si>
    <t xml:space="preserve">Landscaping &amp; Groundskeeping Authorized average annual public assistance cost per user ($)</t>
  </si>
  <si>
    <t xml:space="preserve">P691</t>
  </si>
  <si>
    <t xml:space="preserve">PA_AVG_COST_IND_AUTH_AUTO</t>
  </si>
  <si>
    <t xml:space="preserve">Automotive Repair &amp; Maintenance Authorized average annual public assistance cost per user ($)</t>
  </si>
  <si>
    <t xml:space="preserve">P692</t>
  </si>
  <si>
    <t xml:space="preserve">PA_AVG_COST_IND_AUTH_HEALTH</t>
  </si>
  <si>
    <t xml:space="preserve">Health Care &amp; Social Assistance Authorized average annual public assistance cost per user ($)</t>
  </si>
  <si>
    <t xml:space="preserve">P693</t>
  </si>
  <si>
    <t xml:space="preserve">PA_AVG_COST_IND_AUTH_PROF</t>
  </si>
  <si>
    <t xml:space="preserve">Professional, Scientific &amp; Technical Services Authorized average annual public assistance cost per user ($)</t>
  </si>
  <si>
    <t xml:space="preserve">P694</t>
  </si>
  <si>
    <t xml:space="preserve">PA_AVG_COST_IND_AUTH_EDUC</t>
  </si>
  <si>
    <t xml:space="preserve">Educational Services Authorized average annual public assistance cost per user ($)</t>
  </si>
  <si>
    <t xml:space="preserve">P695</t>
  </si>
  <si>
    <t xml:space="preserve">PA_AVG_COST_IND_AUTH_FIN</t>
  </si>
  <si>
    <t xml:space="preserve">Finance &amp; Insurance Authorized average annual public assistance cost per user ($)</t>
  </si>
  <si>
    <t xml:space="preserve">P696</t>
  </si>
  <si>
    <t xml:space="preserve">PA_AVG_COST_IND_AUTH_MEDIAIT</t>
  </si>
  <si>
    <t xml:space="preserve">Media and Information Technology Authorized average annual public assistance cost per user ($)</t>
  </si>
  <si>
    <t xml:space="preserve">P697</t>
  </si>
  <si>
    <t xml:space="preserve">PA_AVG_COST_IND_AUTH_PUBADMIN</t>
  </si>
  <si>
    <t xml:space="preserve">Public Administration Authorized average annual public assistance cost per user ($)</t>
  </si>
  <si>
    <t xml:space="preserve">P698</t>
  </si>
  <si>
    <t xml:space="preserve">PA_AVG_COST_IND_UNAUTH_AG</t>
  </si>
  <si>
    <t xml:space="preserve">Agriculture Unauthorized average annual public assistance cost per user ($)</t>
  </si>
  <si>
    <t xml:space="preserve">P699</t>
  </si>
  <si>
    <t xml:space="preserve">PA_AVG_COST_IND_UNAUTH_CONSTR</t>
  </si>
  <si>
    <t xml:space="preserve">Construction Unauthorized average annual public assistance cost per user ($)</t>
  </si>
  <si>
    <t xml:space="preserve">P700</t>
  </si>
  <si>
    <t xml:space="preserve">PA_AVG_COST_IND_UNAUTH_HOSP</t>
  </si>
  <si>
    <t xml:space="preserve">Hospitality Unauthorized average annual public assistance cost per user ($)</t>
  </si>
  <si>
    <t xml:space="preserve">P701</t>
  </si>
  <si>
    <t xml:space="preserve">PA_AVG_COST_IND_UNAUTH_CLEAN</t>
  </si>
  <si>
    <t xml:space="preserve">Cleaning &amp; Maintenance Unauthorized average annual public assistance cost per user ($)</t>
  </si>
  <si>
    <t xml:space="preserve">P702</t>
  </si>
  <si>
    <t xml:space="preserve">PA_AVG_COST_IND_UNAUTH_MFG</t>
  </si>
  <si>
    <t xml:space="preserve">Manufacturing Unauthorized average annual public assistance cost per user ($)</t>
  </si>
  <si>
    <t xml:space="preserve">P703</t>
  </si>
  <si>
    <t xml:space="preserve">PA_AVG_COST_IND_UNAUTH_TRANS</t>
  </si>
  <si>
    <t xml:space="preserve">Transportation &amp; Warehousing Unauthorized average annual public assistance cost per user ($)</t>
  </si>
  <si>
    <t xml:space="preserve">P704</t>
  </si>
  <si>
    <t xml:space="preserve">PA_AVG_COST_IND_UNAUTH_RETAIL</t>
  </si>
  <si>
    <t xml:space="preserve">Retail Trade Unauthorized average annual public assistance cost per user ($)</t>
  </si>
  <si>
    <t xml:space="preserve">P705</t>
  </si>
  <si>
    <t xml:space="preserve">PA_AVG_COST_IND_UNAUTH_LAND</t>
  </si>
  <si>
    <t xml:space="preserve">Landscaping &amp; Groundskeeping Unauthorized average annual public assistance cost per user ($)</t>
  </si>
  <si>
    <t xml:space="preserve">P706</t>
  </si>
  <si>
    <t xml:space="preserve">PA_AVG_COST_IND_UNAUTH_AUTO</t>
  </si>
  <si>
    <t xml:space="preserve">Automotive Repair &amp; Maintenance Unauthorized average annual public assistance cost per user ($)</t>
  </si>
  <si>
    <t xml:space="preserve">P707</t>
  </si>
  <si>
    <t xml:space="preserve">PA_AVG_COST_IND_UNAUTH_HEALTH</t>
  </si>
  <si>
    <t xml:space="preserve">Health Care &amp; Social Assistance Unauthorized average annual public assistance cost per user ($)</t>
  </si>
  <si>
    <t xml:space="preserve">P708</t>
  </si>
  <si>
    <t xml:space="preserve">PA_AVG_COST_IND_UNAUTH_PROF</t>
  </si>
  <si>
    <t xml:space="preserve">Professional, Scientific &amp; Technical Services Unauthorized average annual public assistance cost per user ($)</t>
  </si>
  <si>
    <t xml:space="preserve">P709</t>
  </si>
  <si>
    <t xml:space="preserve">PA_AVG_COST_IND_UNAUTH_EDUC</t>
  </si>
  <si>
    <t xml:space="preserve">Educational Services Unauthorized average annual public assistance cost per user ($)</t>
  </si>
  <si>
    <t xml:space="preserve">P710</t>
  </si>
  <si>
    <t xml:space="preserve">PA_AVG_COST_IND_UNAUTH_FIN</t>
  </si>
  <si>
    <t xml:space="preserve">Finance &amp; Insurance Unauthorized average annual public assistance cost per user ($)</t>
  </si>
  <si>
    <t xml:space="preserve">P711</t>
  </si>
  <si>
    <t xml:space="preserve">PA_AVG_COST_IND_UNAUTH_MEDIAIT</t>
  </si>
  <si>
    <t xml:space="preserve">Media and Information Technology Unauthorized average annual public assistance cost per user ($)</t>
  </si>
  <si>
    <t xml:space="preserve">P712</t>
  </si>
  <si>
    <t xml:space="preserve">PA_AVG_COST_IND_UNAUTH_PUBADMIN</t>
  </si>
  <si>
    <t xml:space="preserve">Public Administration Unauthorized average annual public assistance cost per user ($)</t>
  </si>
  <si>
    <t xml:space="preserve">P713</t>
  </si>
  <si>
    <t xml:space="preserve">SL_RATE_IND_AMER_AG</t>
  </si>
  <si>
    <t xml:space="preserve">Agriculture American state/local income tax effective rate</t>
  </si>
  <si>
    <t xml:space="preserve">ITEP / AL DOR est</t>
  </si>
  <si>
    <t xml:space="preserve">2025 AL tax structure adj</t>
  </si>
  <si>
    <t xml:space="preserve">P714</t>
  </si>
  <si>
    <t xml:space="preserve">SL_RATE_IND_AMER_CONSTR</t>
  </si>
  <si>
    <t xml:space="preserve">Construction American state/local income tax effective rate</t>
  </si>
  <si>
    <t xml:space="preserve">P715</t>
  </si>
  <si>
    <t xml:space="preserve">SL_RATE_IND_AMER_HOSP</t>
  </si>
  <si>
    <t xml:space="preserve">Hospitality American state/local income tax effective rate</t>
  </si>
  <si>
    <t xml:space="preserve">P716</t>
  </si>
  <si>
    <t xml:space="preserve">SL_RATE_IND_AMER_CLEAN</t>
  </si>
  <si>
    <t xml:space="preserve">Cleaning &amp; Maintenance American state/local income tax effective rate</t>
  </si>
  <si>
    <t xml:space="preserve">P717</t>
  </si>
  <si>
    <t xml:space="preserve">SL_RATE_IND_AMER_MFG</t>
  </si>
  <si>
    <t xml:space="preserve">Manufacturing American state/local income tax effective rate</t>
  </si>
  <si>
    <t xml:space="preserve">P718</t>
  </si>
  <si>
    <t xml:space="preserve">SL_RATE_IND_AMER_TRANS</t>
  </si>
  <si>
    <t xml:space="preserve">Transportation &amp; Warehousing American state/local income tax effective rate</t>
  </si>
  <si>
    <t xml:space="preserve">P719</t>
  </si>
  <si>
    <t xml:space="preserve">SL_RATE_IND_AMER_RETAIL</t>
  </si>
  <si>
    <t xml:space="preserve">Retail Trade American state/local income tax effective rate</t>
  </si>
  <si>
    <t xml:space="preserve">P720</t>
  </si>
  <si>
    <t xml:space="preserve">SL_RATE_IND_AMER_LAND</t>
  </si>
  <si>
    <t xml:space="preserve">Landscaping &amp; Groundskeeping American state/local income tax effective rate</t>
  </si>
  <si>
    <t xml:space="preserve">P721</t>
  </si>
  <si>
    <t xml:space="preserve">SL_RATE_IND_AMER_AUTO</t>
  </si>
  <si>
    <t xml:space="preserve">Automotive Repair &amp; Maintenance American state/local income tax effective rate</t>
  </si>
  <si>
    <t xml:space="preserve">P722</t>
  </si>
  <si>
    <t xml:space="preserve">SL_RATE_IND_AMER_HEALTH</t>
  </si>
  <si>
    <t xml:space="preserve">Health Care &amp; Social Assistance American state/local income tax effective rate</t>
  </si>
  <si>
    <t xml:space="preserve">P723</t>
  </si>
  <si>
    <t xml:space="preserve">SL_RATE_IND_AMER_PROF</t>
  </si>
  <si>
    <t xml:space="preserve">Professional, Scientific &amp; Technical Services American state/local income tax effective rate</t>
  </si>
  <si>
    <t xml:space="preserve">P724</t>
  </si>
  <si>
    <t xml:space="preserve">SL_RATE_IND_AMER_EDUC</t>
  </si>
  <si>
    <t xml:space="preserve">Educational Services American state/local income tax effective rate</t>
  </si>
  <si>
    <t xml:space="preserve">P725</t>
  </si>
  <si>
    <t xml:space="preserve">SL_RATE_IND_AMER_FIN</t>
  </si>
  <si>
    <t xml:space="preserve">Finance &amp; Insurance American state/local income tax effective rate</t>
  </si>
  <si>
    <t xml:space="preserve">P726</t>
  </si>
  <si>
    <t xml:space="preserve">SL_RATE_IND_AMER_MEDIAIT</t>
  </si>
  <si>
    <t xml:space="preserve">Media and Information Technology American state/local income tax effective rate</t>
  </si>
  <si>
    <t xml:space="preserve">P727</t>
  </si>
  <si>
    <t xml:space="preserve">SL_RATE_IND_AMER_PUBADMIN</t>
  </si>
  <si>
    <t xml:space="preserve">Public Administration American state/local income tax effective rate</t>
  </si>
  <si>
    <t xml:space="preserve">P728</t>
  </si>
  <si>
    <t xml:space="preserve">SL_RATE_IND_AUTH_AG</t>
  </si>
  <si>
    <t xml:space="preserve">Agriculture Authorized state/local income tax effective rate</t>
  </si>
  <si>
    <t xml:space="preserve">ITEP adj</t>
  </si>
  <si>
    <t xml:space="preserve">P729</t>
  </si>
  <si>
    <t xml:space="preserve">SL_RATE_IND_AUTH_CONSTR</t>
  </si>
  <si>
    <t xml:space="preserve">Construction Authorized state/local income tax effective rate</t>
  </si>
  <si>
    <t xml:space="preserve">P730</t>
  </si>
  <si>
    <t xml:space="preserve">SL_RATE_IND_AUTH_HOSP</t>
  </si>
  <si>
    <t xml:space="preserve">Hospitality Authorized state/local income tax effective rate</t>
  </si>
  <si>
    <t xml:space="preserve">P731</t>
  </si>
  <si>
    <t xml:space="preserve">SL_RATE_IND_AUTH_CLEAN</t>
  </si>
  <si>
    <t xml:space="preserve">Cleaning &amp; Maintenance Authorized state/local income tax effective rate</t>
  </si>
  <si>
    <t xml:space="preserve">P732</t>
  </si>
  <si>
    <t xml:space="preserve">SL_RATE_IND_AUTH_MFG</t>
  </si>
  <si>
    <t xml:space="preserve">Manufacturing Authorized state/local income tax effective rate</t>
  </si>
  <si>
    <t xml:space="preserve">P733</t>
  </si>
  <si>
    <t xml:space="preserve">SL_RATE_IND_AUTH_TRANS</t>
  </si>
  <si>
    <t xml:space="preserve">Transportation &amp; Warehousing Authorized state/local income tax effective rate</t>
  </si>
  <si>
    <t xml:space="preserve">P734</t>
  </si>
  <si>
    <t xml:space="preserve">SL_RATE_IND_AUTH_RETAIL</t>
  </si>
  <si>
    <t xml:space="preserve">Retail Trade Authorized state/local income tax effective rate</t>
  </si>
  <si>
    <t xml:space="preserve">P735</t>
  </si>
  <si>
    <t xml:space="preserve">SL_RATE_IND_AUTH_LAND</t>
  </si>
  <si>
    <t xml:space="preserve">Landscaping &amp; Groundskeeping Authorized state/local income tax effective rate</t>
  </si>
  <si>
    <t xml:space="preserve">P736</t>
  </si>
  <si>
    <t xml:space="preserve">SL_RATE_IND_AUTH_AUTO</t>
  </si>
  <si>
    <t xml:space="preserve">Automotive Repair &amp; Maintenance Authorized state/local income tax effective rate</t>
  </si>
  <si>
    <t xml:space="preserve">P737</t>
  </si>
  <si>
    <t xml:space="preserve">SL_RATE_IND_AUTH_HEALTH</t>
  </si>
  <si>
    <t xml:space="preserve">Health Care &amp; Social Assistance Authorized state/local income tax effective rate</t>
  </si>
  <si>
    <t xml:space="preserve">P738</t>
  </si>
  <si>
    <t xml:space="preserve">SL_RATE_IND_AUTH_PROF</t>
  </si>
  <si>
    <t xml:space="preserve">Professional, Scientific &amp; Technical Services Authorized state/local income tax effective rate</t>
  </si>
  <si>
    <t xml:space="preserve">P739</t>
  </si>
  <si>
    <t xml:space="preserve">SL_RATE_IND_AUTH_EDUC</t>
  </si>
  <si>
    <t xml:space="preserve">Educational Services Authorized state/local income tax effective rate</t>
  </si>
  <si>
    <t xml:space="preserve">P740</t>
  </si>
  <si>
    <t xml:space="preserve">SL_RATE_IND_AUTH_FIN</t>
  </si>
  <si>
    <t xml:space="preserve">Finance &amp; Insurance Authorized state/local income tax effective rate</t>
  </si>
  <si>
    <t xml:space="preserve">P741</t>
  </si>
  <si>
    <t xml:space="preserve">SL_RATE_IND_AUTH_MEDIAIT</t>
  </si>
  <si>
    <t xml:space="preserve">Media and Information Technology Authorized state/local income tax effective rate</t>
  </si>
  <si>
    <t xml:space="preserve">P742</t>
  </si>
  <si>
    <t xml:space="preserve">SL_RATE_IND_AUTH_PUBADMIN</t>
  </si>
  <si>
    <t xml:space="preserve">Public Administration Authorized state/local income tax effective rate</t>
  </si>
  <si>
    <t xml:space="preserve">P743</t>
  </si>
  <si>
    <t xml:space="preserve">SL_RATE_IND_UNAUTH_AG</t>
  </si>
  <si>
    <t xml:space="preserve">Agriculture Unauthorized state/local income tax effective rate</t>
  </si>
  <si>
    <t xml:space="preserve">ITEP adj (lower compliance)</t>
  </si>
  <si>
    <t xml:space="preserve">P744</t>
  </si>
  <si>
    <t xml:space="preserve">SL_RATE_IND_UNAUTH_CONSTR</t>
  </si>
  <si>
    <t xml:space="preserve">Construction Unauthorized state/local income tax effective rate</t>
  </si>
  <si>
    <t xml:space="preserve">P745</t>
  </si>
  <si>
    <t xml:space="preserve">SL_RATE_IND_UNAUTH_HOSP</t>
  </si>
  <si>
    <t xml:space="preserve">Hospitality Unauthorized state/local income tax effective rate</t>
  </si>
  <si>
    <t xml:space="preserve">P746</t>
  </si>
  <si>
    <t xml:space="preserve">SL_RATE_IND_UNAUTH_CLEAN</t>
  </si>
  <si>
    <t xml:space="preserve">Cleaning &amp; Maintenance Unauthorized state/local income tax effective rate</t>
  </si>
  <si>
    <t xml:space="preserve">P747</t>
  </si>
  <si>
    <t xml:space="preserve">SL_RATE_IND_UNAUTH_MFG</t>
  </si>
  <si>
    <t xml:space="preserve">Manufacturing Unauthorized state/local income tax effective rate</t>
  </si>
  <si>
    <t xml:space="preserve">P748</t>
  </si>
  <si>
    <t xml:space="preserve">SL_RATE_IND_UNAUTH_TRANS</t>
  </si>
  <si>
    <t xml:space="preserve">Transportation &amp; Warehousing Unauthorized state/local income tax effective rate</t>
  </si>
  <si>
    <t xml:space="preserve">P749</t>
  </si>
  <si>
    <t xml:space="preserve">SL_RATE_IND_UNAUTH_RETAIL</t>
  </si>
  <si>
    <t xml:space="preserve">Retail Trade Unauthorized state/local income tax effective rate</t>
  </si>
  <si>
    <t xml:space="preserve">P750</t>
  </si>
  <si>
    <t xml:space="preserve">SL_RATE_IND_UNAUTH_LAND</t>
  </si>
  <si>
    <t xml:space="preserve">Landscaping &amp; Groundskeeping Unauthorized state/local income tax effective rate</t>
  </si>
  <si>
    <t xml:space="preserve">P751</t>
  </si>
  <si>
    <t xml:space="preserve">SL_RATE_IND_UNAUTH_AUTO</t>
  </si>
  <si>
    <t xml:space="preserve">Automotive Repair &amp; Maintenance Unauthorized state/local income tax effective rate</t>
  </si>
  <si>
    <t xml:space="preserve">P752</t>
  </si>
  <si>
    <t xml:space="preserve">SL_RATE_IND_UNAUTH_HEALTH</t>
  </si>
  <si>
    <t xml:space="preserve">Health Care &amp; Social Assistance Unauthorized state/local income tax effective rate</t>
  </si>
  <si>
    <t xml:space="preserve">P753</t>
  </si>
  <si>
    <t xml:space="preserve">SL_RATE_IND_UNAUTH_PROF</t>
  </si>
  <si>
    <t xml:space="preserve">Professional, Scientific &amp; Technical Services Unauthorized state/local income tax effective rate</t>
  </si>
  <si>
    <t xml:space="preserve">P754</t>
  </si>
  <si>
    <t xml:space="preserve">SL_RATE_IND_UNAUTH_EDUC</t>
  </si>
  <si>
    <t xml:space="preserve">Educational Services Unauthorized state/local income tax effective rate</t>
  </si>
  <si>
    <t xml:space="preserve">P755</t>
  </si>
  <si>
    <t xml:space="preserve">SL_RATE_IND_UNAUTH_FIN</t>
  </si>
  <si>
    <t xml:space="preserve">Finance &amp; Insurance Unauthorized state/local income tax effective rate</t>
  </si>
  <si>
    <t xml:space="preserve">P756</t>
  </si>
  <si>
    <t xml:space="preserve">SL_RATE_IND_UNAUTH_MEDIAIT</t>
  </si>
  <si>
    <t xml:space="preserve">Media and Information Technology Unauthorized state/local income tax effective rate</t>
  </si>
  <si>
    <t xml:space="preserve">P757</t>
  </si>
  <si>
    <t xml:space="preserve">SL_RATE_IND_UNAUTH_PUBADMIN</t>
  </si>
  <si>
    <t xml:space="preserve">Public Administration Unauthorized state/local income tax effective rate</t>
  </si>
  <si>
    <t xml:space="preserve">P758</t>
  </si>
  <si>
    <t xml:space="preserve">NON_INCOME_SL_IND_AMER_AG</t>
  </si>
  <si>
    <t xml:space="preserve">Agriculture American non-income state/local tax burden per worker/year ($)</t>
  </si>
  <si>
    <t xml:space="preserve">ITEP / sales/excise est</t>
  </si>
  <si>
    <t xml:space="preserve">2025 AL averages adj</t>
  </si>
  <si>
    <t xml:space="preserve">P759</t>
  </si>
  <si>
    <t xml:space="preserve">NON_INCOME_SL_IND_AMER_CONSTR</t>
  </si>
  <si>
    <t xml:space="preserve">Construction American non-income state/local tax burden per worker/year ($)</t>
  </si>
  <si>
    <t xml:space="preserve">P760</t>
  </si>
  <si>
    <t xml:space="preserve">NON_INCOME_SL_IND_AMER_HOSP</t>
  </si>
  <si>
    <t xml:space="preserve">Hospitality American non-income state/local tax burden per worker/year ($)</t>
  </si>
  <si>
    <t xml:space="preserve">P761</t>
  </si>
  <si>
    <t xml:space="preserve">NON_INCOME_SL_IND_AMER_CLEAN</t>
  </si>
  <si>
    <t xml:space="preserve">Cleaning &amp; Maintenance American non-income state/local tax burden per worker/year ($)</t>
  </si>
  <si>
    <t xml:space="preserve">P762</t>
  </si>
  <si>
    <t xml:space="preserve">NON_INCOME_SL_IND_AMER_MFG</t>
  </si>
  <si>
    <t xml:space="preserve">Manufacturing American non-income state/local tax burden per worker/year ($)</t>
  </si>
  <si>
    <t xml:space="preserve">P763</t>
  </si>
  <si>
    <t xml:space="preserve">NON_INCOME_SL_IND_AMER_TRANS</t>
  </si>
  <si>
    <t xml:space="preserve">Transportation &amp; Warehousing American non-income state/local tax burden per worker/year ($)</t>
  </si>
  <si>
    <t xml:space="preserve">P764</t>
  </si>
  <si>
    <t xml:space="preserve">NON_INCOME_SL_IND_AMER_RETAIL</t>
  </si>
  <si>
    <t xml:space="preserve">Retail Trade American non-income state/local tax burden per worker/year ($)</t>
  </si>
  <si>
    <t xml:space="preserve">P765</t>
  </si>
  <si>
    <t xml:space="preserve">NON_INCOME_SL_IND_AMER_LAND</t>
  </si>
  <si>
    <t xml:space="preserve">Landscaping &amp; Groundskeeping American non-income state/local tax burden per worker/year ($)</t>
  </si>
  <si>
    <t xml:space="preserve">P766</t>
  </si>
  <si>
    <t xml:space="preserve">NON_INCOME_SL_IND_AMER_AUTO</t>
  </si>
  <si>
    <t xml:space="preserve">Automotive Repair &amp; Maintenance American non-income state/local tax burden per worker/year ($)</t>
  </si>
  <si>
    <t xml:space="preserve">P767</t>
  </si>
  <si>
    <t xml:space="preserve">NON_INCOME_SL_IND_AMER_HEALTH</t>
  </si>
  <si>
    <t xml:space="preserve">Health Care &amp; Social Assistance American non-income state/local tax burden per worker/year ($)</t>
  </si>
  <si>
    <t xml:space="preserve">P768</t>
  </si>
  <si>
    <t xml:space="preserve">NON_INCOME_SL_IND_AMER_PROF</t>
  </si>
  <si>
    <t xml:space="preserve">Professional, Scientific &amp; Technical Services American non-income state/local tax burden per worker/year ($)</t>
  </si>
  <si>
    <t xml:space="preserve">P769</t>
  </si>
  <si>
    <t xml:space="preserve">NON_INCOME_SL_IND_AMER_EDUC</t>
  </si>
  <si>
    <t xml:space="preserve">Educational Services American non-income state/local tax burden per worker/year ($)</t>
  </si>
  <si>
    <t xml:space="preserve">P770</t>
  </si>
  <si>
    <t xml:space="preserve">NON_INCOME_SL_IND_AMER_FIN</t>
  </si>
  <si>
    <t xml:space="preserve">Finance &amp; Insurance American non-income state/local tax burden per worker/year ($)</t>
  </si>
  <si>
    <t xml:space="preserve">P771</t>
  </si>
  <si>
    <t xml:space="preserve">NON_INCOME_SL_IND_AMER_MEDIAIT</t>
  </si>
  <si>
    <t xml:space="preserve">Media and Information Technology American non-income state/local tax burden per worker/year ($)</t>
  </si>
  <si>
    <t xml:space="preserve">P772</t>
  </si>
  <si>
    <t xml:space="preserve">NON_INCOME_SL_IND_AMER_PUBADMIN</t>
  </si>
  <si>
    <t xml:space="preserve">Public Administration American non-income state/local tax burden per worker/year ($)</t>
  </si>
  <si>
    <t xml:space="preserve">P773</t>
  </si>
  <si>
    <t xml:space="preserve">NON_INCOME_SL_IND_AUTH_AG</t>
  </si>
  <si>
    <t xml:space="preserve">Agriculture Authorized non-income state/local tax burden per worker/year ($)</t>
  </si>
  <si>
    <t xml:space="preserve">P774</t>
  </si>
  <si>
    <t xml:space="preserve">NON_INCOME_SL_IND_AUTH_CONSTR</t>
  </si>
  <si>
    <t xml:space="preserve">Construction Authorized non-income state/local tax burden per worker/year ($)</t>
  </si>
  <si>
    <t xml:space="preserve">P775</t>
  </si>
  <si>
    <t xml:space="preserve">NON_INCOME_SL_IND_AUTH_HOSP</t>
  </si>
  <si>
    <t xml:space="preserve">Hospitality Authorized non-income state/local tax burden per worker/year ($)</t>
  </si>
  <si>
    <t xml:space="preserve">P776</t>
  </si>
  <si>
    <t xml:space="preserve">NON_INCOME_SL_IND_AUTH_CLEAN</t>
  </si>
  <si>
    <t xml:space="preserve">Cleaning &amp; Maintenance Authorized non-income state/local tax burden per worker/year ($)</t>
  </si>
  <si>
    <t xml:space="preserve">P777</t>
  </si>
  <si>
    <t xml:space="preserve">NON_INCOME_SL_IND_AUTH_MFG</t>
  </si>
  <si>
    <t xml:space="preserve">Manufacturing Authorized non-income state/local tax burden per worker/year ($)</t>
  </si>
  <si>
    <t xml:space="preserve">P778</t>
  </si>
  <si>
    <t xml:space="preserve">NON_INCOME_SL_IND_AUTH_TRANS</t>
  </si>
  <si>
    <t xml:space="preserve">Transportation &amp; Warehousing Authorized non-income state/local tax burden per worker/year ($)</t>
  </si>
  <si>
    <t xml:space="preserve">P779</t>
  </si>
  <si>
    <t xml:space="preserve">NON_INCOME_SL_IND_AUTH_RETAIL</t>
  </si>
  <si>
    <t xml:space="preserve">Retail Trade Authorized non-income state/local tax burden per worker/year ($)</t>
  </si>
  <si>
    <t xml:space="preserve">P780</t>
  </si>
  <si>
    <t xml:space="preserve">NON_INCOME_SL_IND_AUTH_LAND</t>
  </si>
  <si>
    <t xml:space="preserve">Landscaping &amp; Groundskeeping Authorized non-income state/local tax burden per worker/year ($)</t>
  </si>
  <si>
    <t xml:space="preserve">P781</t>
  </si>
  <si>
    <t xml:space="preserve">NON_INCOME_SL_IND_AUTH_AUTO</t>
  </si>
  <si>
    <t xml:space="preserve">Automotive Repair &amp; Maintenance Authorized non-income state/local tax burden per worker/year ($)</t>
  </si>
  <si>
    <t xml:space="preserve">P782</t>
  </si>
  <si>
    <t xml:space="preserve">NON_INCOME_SL_IND_AUTH_HEALTH</t>
  </si>
  <si>
    <t xml:space="preserve">Health Care &amp; Social Assistance Authorized non-income state/local tax burden per worker/year ($)</t>
  </si>
  <si>
    <t xml:space="preserve">P783</t>
  </si>
  <si>
    <t xml:space="preserve">NON_INCOME_SL_IND_AUTH_PROF</t>
  </si>
  <si>
    <t xml:space="preserve">Professional, Scientific &amp; Technical Services Authorized non-income state/local tax burden per worker/year ($)</t>
  </si>
  <si>
    <t xml:space="preserve">P784</t>
  </si>
  <si>
    <t xml:space="preserve">NON_INCOME_SL_IND_AUTH_EDUC</t>
  </si>
  <si>
    <t xml:space="preserve">Educational Services Authorized non-income state/local tax burden per worker/year ($)</t>
  </si>
  <si>
    <t xml:space="preserve">P785</t>
  </si>
  <si>
    <t xml:space="preserve">NON_INCOME_SL_IND_AUTH_FIN</t>
  </si>
  <si>
    <t xml:space="preserve">Finance &amp; Insurance Authorized non-income state/local tax burden per worker/year ($)</t>
  </si>
  <si>
    <t xml:space="preserve">P786</t>
  </si>
  <si>
    <t xml:space="preserve">NON_INCOME_SL_IND_AUTH_MEDIAIT</t>
  </si>
  <si>
    <t xml:space="preserve">Media and Information Technology Authorized non-income state/local tax burden per worker/year ($)</t>
  </si>
  <si>
    <t xml:space="preserve">P787</t>
  </si>
  <si>
    <t xml:space="preserve">NON_INCOME_SL_IND_AUTH_PUBADMIN</t>
  </si>
  <si>
    <t xml:space="preserve">Public Administration Authorized non-income state/local tax burden per worker/year ($)</t>
  </si>
  <si>
    <t xml:space="preserve">P788</t>
  </si>
  <si>
    <t xml:space="preserve">NON_INCOME_SL_IND_UNAUTH_AG</t>
  </si>
  <si>
    <t xml:space="preserve">Agriculture Unauthorized non-income state/local tax burden per worker/year ($)</t>
  </si>
  <si>
    <t xml:space="preserve">P789</t>
  </si>
  <si>
    <t xml:space="preserve">NON_INCOME_SL_IND_UNAUTH_CONSTR</t>
  </si>
  <si>
    <t xml:space="preserve">Construction Unauthorized non-income state/local tax burden per worker/year ($)</t>
  </si>
  <si>
    <t xml:space="preserve">P790</t>
  </si>
  <si>
    <t xml:space="preserve">NON_INCOME_SL_IND_UNAUTH_HOSP</t>
  </si>
  <si>
    <t xml:space="preserve">Hospitality Unauthorized non-income state/local tax burden per worker/year ($)</t>
  </si>
  <si>
    <t xml:space="preserve">P791</t>
  </si>
  <si>
    <t xml:space="preserve">NON_INCOME_SL_IND_UNAUTH_CLEAN</t>
  </si>
  <si>
    <t xml:space="preserve">Cleaning &amp; Maintenance Unauthorized non-income state/local tax burden per worker/year ($)</t>
  </si>
  <si>
    <t xml:space="preserve">P792</t>
  </si>
  <si>
    <t xml:space="preserve">NON_INCOME_SL_IND_UNAUTH_MFG</t>
  </si>
  <si>
    <t xml:space="preserve">Manufacturing Unauthorized non-income state/local tax burden per worker/year ($)</t>
  </si>
  <si>
    <t xml:space="preserve">P793</t>
  </si>
  <si>
    <t xml:space="preserve">NON_INCOME_SL_IND_UNAUTH_TRANS</t>
  </si>
  <si>
    <t xml:space="preserve">Transportation &amp; Warehousing Unauthorized non-income state/local tax burden per worker/year ($)</t>
  </si>
  <si>
    <t xml:space="preserve">P794</t>
  </si>
  <si>
    <t xml:space="preserve">NON_INCOME_SL_IND_UNAUTH_RETAIL</t>
  </si>
  <si>
    <t xml:space="preserve">Retail Trade Unauthorized non-income state/local tax burden per worker/year ($)</t>
  </si>
  <si>
    <t xml:space="preserve">P795</t>
  </si>
  <si>
    <t xml:space="preserve">NON_INCOME_SL_IND_UNAUTH_LAND</t>
  </si>
  <si>
    <t xml:space="preserve">Landscaping &amp; Groundskeeping Unauthorized non-income state/local tax burden per worker/year ($)</t>
  </si>
  <si>
    <t xml:space="preserve">P796</t>
  </si>
  <si>
    <t xml:space="preserve">NON_INCOME_SL_IND_UNAUTH_AUTO</t>
  </si>
  <si>
    <t xml:space="preserve">Automotive Repair &amp; Maintenance Unauthorized non-income state/local tax burden per worker/year ($)</t>
  </si>
  <si>
    <t xml:space="preserve">P797</t>
  </si>
  <si>
    <t xml:space="preserve">NON_INCOME_SL_IND_UNAUTH_HEALTH</t>
  </si>
  <si>
    <t xml:space="preserve">Health Care &amp; Social Assistance Unauthorized non-income state/local tax burden per worker/year ($)</t>
  </si>
  <si>
    <t xml:space="preserve">P798</t>
  </si>
  <si>
    <t xml:space="preserve">NON_INCOME_SL_IND_UNAUTH_PROF</t>
  </si>
  <si>
    <t xml:space="preserve">Professional, Scientific &amp; Technical Services Unauthorized non-income state/local tax burden per worker/year ($)</t>
  </si>
  <si>
    <t xml:space="preserve">P799</t>
  </si>
  <si>
    <t xml:space="preserve">NON_INCOME_SL_IND_UNAUTH_EDUC</t>
  </si>
  <si>
    <t xml:space="preserve">Educational Services Unauthorized non-income state/local tax burden per worker/year ($)</t>
  </si>
  <si>
    <t xml:space="preserve">P800</t>
  </si>
  <si>
    <t xml:space="preserve">NON_INCOME_SL_IND_UNAUTH_FIN</t>
  </si>
  <si>
    <t xml:space="preserve">Finance &amp; Insurance Unauthorized non-income state/local tax burden per worker/year ($)</t>
  </si>
  <si>
    <t xml:space="preserve">P801</t>
  </si>
  <si>
    <t xml:space="preserve">NON_INCOME_SL_IND_UNAUTH_MEDIAIT</t>
  </si>
  <si>
    <t xml:space="preserve">Media and Information Technology Unauthorized non-income state/local tax burden per worker/year ($)</t>
  </si>
  <si>
    <t xml:space="preserve">P802</t>
  </si>
  <si>
    <t xml:space="preserve">NON_INCOME_SL_IND_UNAUTH_PUBADMIN</t>
  </si>
  <si>
    <t xml:space="preserve">Public Administration Unauthorized non-income state/local tax burden per worker/year ($)</t>
  </si>
  <si>
    <t xml:space="preserve">P803</t>
  </si>
  <si>
    <t xml:space="preserve">COMPLIANCE_RATE_IND_AMER_AG</t>
  </si>
  <si>
    <t xml:space="preserve">Agriculture American tax compliance rate</t>
  </si>
  <si>
    <t xml:space="preserve">IRS / ITEP est</t>
  </si>
  <si>
    <t xml:space="preserve">2025 AL compliance est</t>
  </si>
  <si>
    <t xml:space="preserve">P804</t>
  </si>
  <si>
    <t xml:space="preserve">COMPLIANCE_RATE_IND_AMER_CONSTR</t>
  </si>
  <si>
    <t xml:space="preserve">Construction American tax compliance rate</t>
  </si>
  <si>
    <t xml:space="preserve">P805</t>
  </si>
  <si>
    <t xml:space="preserve">COMPLIANCE_RATE_IND_AMER_HOSP</t>
  </si>
  <si>
    <t xml:space="preserve">Hospitality American tax compliance rate</t>
  </si>
  <si>
    <t xml:space="preserve">P806</t>
  </si>
  <si>
    <t xml:space="preserve">COMPLIANCE_RATE_IND_AMER_CLEAN</t>
  </si>
  <si>
    <t xml:space="preserve">Cleaning &amp; Maintenance American tax compliance rate</t>
  </si>
  <si>
    <t xml:space="preserve">P807</t>
  </si>
  <si>
    <t xml:space="preserve">COMPLIANCE_RATE_IND_AMER_MFG</t>
  </si>
  <si>
    <t xml:space="preserve">Manufacturing American tax compliance rate</t>
  </si>
  <si>
    <t xml:space="preserve">P808</t>
  </si>
  <si>
    <t xml:space="preserve">COMPLIANCE_RATE_IND_AMER_TRANS</t>
  </si>
  <si>
    <t xml:space="preserve">Transportation &amp; Warehousing American tax compliance rate</t>
  </si>
  <si>
    <t xml:space="preserve">P809</t>
  </si>
  <si>
    <t xml:space="preserve">COMPLIANCE_RATE_IND_AMER_RETAIL</t>
  </si>
  <si>
    <t xml:space="preserve">Retail Trade American tax compliance rate</t>
  </si>
  <si>
    <t xml:space="preserve">P810</t>
  </si>
  <si>
    <t xml:space="preserve">COMPLIANCE_RATE_IND_AMER_LAND</t>
  </si>
  <si>
    <t xml:space="preserve">Landscaping &amp; Groundskeeping American tax compliance rate</t>
  </si>
  <si>
    <t xml:space="preserve">P811</t>
  </si>
  <si>
    <t xml:space="preserve">COMPLIANCE_RATE_IND_AMER_AUTO</t>
  </si>
  <si>
    <t xml:space="preserve">Automotive Repair &amp; Maintenance American tax compliance rate</t>
  </si>
  <si>
    <t xml:space="preserve">P812</t>
  </si>
  <si>
    <t xml:space="preserve">COMPLIANCE_RATE_IND_AMER_HEALTH</t>
  </si>
  <si>
    <t xml:space="preserve">Health Care &amp; Social Assistance American tax compliance rate</t>
  </si>
  <si>
    <t xml:space="preserve">P813</t>
  </si>
  <si>
    <t xml:space="preserve">COMPLIANCE_RATE_IND_AMER_PROF</t>
  </si>
  <si>
    <t xml:space="preserve">Professional, Scientific &amp; Technical Services American tax compliance rate</t>
  </si>
  <si>
    <t xml:space="preserve">P814</t>
  </si>
  <si>
    <t xml:space="preserve">COMPLIANCE_RATE_IND_AMER_EDUC</t>
  </si>
  <si>
    <t xml:space="preserve">Educational Services American tax compliance rate</t>
  </si>
  <si>
    <t xml:space="preserve">P815</t>
  </si>
  <si>
    <t xml:space="preserve">COMPLIANCE_RATE_IND_AMER_FIN</t>
  </si>
  <si>
    <t xml:space="preserve">Finance &amp; Insurance American tax compliance rate</t>
  </si>
  <si>
    <t xml:space="preserve">P816</t>
  </si>
  <si>
    <t xml:space="preserve">COMPLIANCE_RATE_IND_AMER_MEDIAIT</t>
  </si>
  <si>
    <t xml:space="preserve">Media and Information Technology American tax compliance rate</t>
  </si>
  <si>
    <t xml:space="preserve">P817</t>
  </si>
  <si>
    <t xml:space="preserve">COMPLIANCE_RATE_IND_AMER_PUBADMIN</t>
  </si>
  <si>
    <t xml:space="preserve">Public Administration American tax compliance rate</t>
  </si>
  <si>
    <t xml:space="preserve">P818</t>
  </si>
  <si>
    <t xml:space="preserve">COMPLIANCE_RATE_IND_AUTH_AG</t>
  </si>
  <si>
    <t xml:space="preserve">Agriculture Authorized tax compliance rate</t>
  </si>
  <si>
    <t xml:space="preserve">IRS / ITEP adj</t>
  </si>
  <si>
    <t xml:space="preserve">P819</t>
  </si>
  <si>
    <t xml:space="preserve">COMPLIANCE_RATE_IND_AUTH_CONSTR</t>
  </si>
  <si>
    <t xml:space="preserve">Construction Authorized tax compliance rate</t>
  </si>
  <si>
    <t xml:space="preserve">P820</t>
  </si>
  <si>
    <t xml:space="preserve">COMPLIANCE_RATE_IND_AUTH_HOSP</t>
  </si>
  <si>
    <t xml:space="preserve">Hospitality Authorized tax compliance rate</t>
  </si>
  <si>
    <t xml:space="preserve">P821</t>
  </si>
  <si>
    <t xml:space="preserve">COMPLIANCE_RATE_IND_AUTH_CLEAN</t>
  </si>
  <si>
    <t xml:space="preserve">Cleaning &amp; Maintenance Authorized tax compliance rate</t>
  </si>
  <si>
    <t xml:space="preserve">P822</t>
  </si>
  <si>
    <t xml:space="preserve">COMPLIANCE_RATE_IND_AUTH_MFG</t>
  </si>
  <si>
    <t xml:space="preserve">Manufacturing Authorized tax compliance rate</t>
  </si>
  <si>
    <t xml:space="preserve">P823</t>
  </si>
  <si>
    <t xml:space="preserve">COMPLIANCE_RATE_IND_AUTH_TRANS</t>
  </si>
  <si>
    <t xml:space="preserve">Transportation &amp; Warehousing Authorized tax compliance rate</t>
  </si>
  <si>
    <t xml:space="preserve">P824</t>
  </si>
  <si>
    <t xml:space="preserve">COMPLIANCE_RATE_IND_AUTH_RETAIL</t>
  </si>
  <si>
    <t xml:space="preserve">Retail Trade Authorized tax compliance rate</t>
  </si>
  <si>
    <t xml:space="preserve">P825</t>
  </si>
  <si>
    <t xml:space="preserve">COMPLIANCE_RATE_IND_AUTH_LAND</t>
  </si>
  <si>
    <t xml:space="preserve">Landscaping &amp; Groundskeeping Authorized tax compliance rate</t>
  </si>
  <si>
    <t xml:space="preserve">P826</t>
  </si>
  <si>
    <t xml:space="preserve">COMPLIANCE_RATE_IND_AUTH_AUTO</t>
  </si>
  <si>
    <t xml:space="preserve">Automotive Repair &amp; Maintenance Authorized tax compliance rate</t>
  </si>
  <si>
    <t xml:space="preserve">P827</t>
  </si>
  <si>
    <t xml:space="preserve">COMPLIANCE_RATE_IND_AUTH_HEALTH</t>
  </si>
  <si>
    <t xml:space="preserve">Health Care &amp; Social Assistance Authorized tax compliance rate</t>
  </si>
  <si>
    <t xml:space="preserve">P828</t>
  </si>
  <si>
    <t xml:space="preserve">COMPLIANCE_RATE_IND_AUTH_PROF</t>
  </si>
  <si>
    <t xml:space="preserve">Professional, Scientific &amp; Technical Services Authorized tax compliance rate</t>
  </si>
  <si>
    <t xml:space="preserve">P829</t>
  </si>
  <si>
    <t xml:space="preserve">COMPLIANCE_RATE_IND_AUTH_EDUC</t>
  </si>
  <si>
    <t xml:space="preserve">Educational Services Authorized tax compliance rate</t>
  </si>
  <si>
    <t xml:space="preserve">P830</t>
  </si>
  <si>
    <t xml:space="preserve">COMPLIANCE_RATE_IND_AUTH_FIN</t>
  </si>
  <si>
    <t xml:space="preserve">Finance &amp; Insurance Authorized tax compliance rate</t>
  </si>
  <si>
    <t xml:space="preserve">P831</t>
  </si>
  <si>
    <t xml:space="preserve">COMPLIANCE_RATE_IND_AUTH_MEDIAIT</t>
  </si>
  <si>
    <t xml:space="preserve">Media and Information Technology Authorized tax compliance rate</t>
  </si>
  <si>
    <t xml:space="preserve">P832</t>
  </si>
  <si>
    <t xml:space="preserve">COMPLIANCE_RATE_IND_AUTH_PUBADMIN</t>
  </si>
  <si>
    <t xml:space="preserve">Public Administration Authorized tax compliance rate</t>
  </si>
  <si>
    <t xml:space="preserve">P833</t>
  </si>
  <si>
    <t xml:space="preserve">COMPLIANCE_RATE_IND_UNAUTH_AG</t>
  </si>
  <si>
    <t xml:space="preserve">Agriculture Unauthorized tax compliance rate</t>
  </si>
  <si>
    <t xml:space="preserve">IRS / ITEP adj (lower compliance)</t>
  </si>
  <si>
    <t xml:space="preserve">P834</t>
  </si>
  <si>
    <t xml:space="preserve">COMPLIANCE_RATE_IND_UNAUTH_CONSTR</t>
  </si>
  <si>
    <t xml:space="preserve">Construction Unauthorized tax compliance rate</t>
  </si>
  <si>
    <t xml:space="preserve">P835</t>
  </si>
  <si>
    <t xml:space="preserve">COMPLIANCE_RATE_IND_UNAUTH_HOSP</t>
  </si>
  <si>
    <t xml:space="preserve">Hospitality Unauthorized tax compliance rate</t>
  </si>
  <si>
    <t xml:space="preserve">P836</t>
  </si>
  <si>
    <t xml:space="preserve">COMPLIANCE_RATE_IND_UNAUTH_CLEAN</t>
  </si>
  <si>
    <t xml:space="preserve">Cleaning &amp; Maintenance Unauthorized tax compliance rate</t>
  </si>
  <si>
    <t xml:space="preserve">P837</t>
  </si>
  <si>
    <t xml:space="preserve">COMPLIANCE_RATE_IND_UNAUTH_MFG</t>
  </si>
  <si>
    <t xml:space="preserve">Manufacturing Unauthorized tax compliance rate</t>
  </si>
  <si>
    <t xml:space="preserve">P838</t>
  </si>
  <si>
    <t xml:space="preserve">COMPLIANCE_RATE_IND_UNAUTH_TRANS</t>
  </si>
  <si>
    <t xml:space="preserve">Transportation &amp; Warehousing Unauthorized tax compliance rate</t>
  </si>
  <si>
    <t xml:space="preserve">P839</t>
  </si>
  <si>
    <t xml:space="preserve">COMPLIANCE_RATE_IND_UNAUTH_RETAIL</t>
  </si>
  <si>
    <t xml:space="preserve">Retail Trade Unauthorized tax compliance rate</t>
  </si>
  <si>
    <t xml:space="preserve">P840</t>
  </si>
  <si>
    <t xml:space="preserve">COMPLIANCE_RATE_IND_UNAUTH_LAND</t>
  </si>
  <si>
    <t xml:space="preserve">Landscaping &amp; Groundskeeping Unauthorized tax compliance rate</t>
  </si>
  <si>
    <t xml:space="preserve">P841</t>
  </si>
  <si>
    <t xml:space="preserve">COMPLIANCE_RATE_IND_UNAUTH_AUTO</t>
  </si>
  <si>
    <t xml:space="preserve">Automotive Repair &amp; Maintenance Unauthorized tax compliance rate</t>
  </si>
  <si>
    <t xml:space="preserve">P842</t>
  </si>
  <si>
    <t xml:space="preserve">COMPLIANCE_RATE_IND_UNAUTH_HEALTH</t>
  </si>
  <si>
    <t xml:space="preserve">Health Care &amp; Social Assistance Unauthorized tax compliance rate</t>
  </si>
  <si>
    <t xml:space="preserve">P843</t>
  </si>
  <si>
    <t xml:space="preserve">COMPLIANCE_RATE_IND_UNAUTH_PROF</t>
  </si>
  <si>
    <t xml:space="preserve">Professional, Scientific &amp; Technical Services Unauthorized tax compliance rate</t>
  </si>
  <si>
    <t xml:space="preserve">P844</t>
  </si>
  <si>
    <t xml:space="preserve">COMPLIANCE_RATE_IND_UNAUTH_EDUC</t>
  </si>
  <si>
    <t xml:space="preserve">Educational Services Unauthorized tax compliance rate</t>
  </si>
  <si>
    <t xml:space="preserve">P845</t>
  </si>
  <si>
    <t xml:space="preserve">COMPLIANCE_RATE_IND_UNAUTH_FIN</t>
  </si>
  <si>
    <t xml:space="preserve">Finance &amp; Insurance Unauthorized tax compliance rate</t>
  </si>
  <si>
    <t xml:space="preserve">P846</t>
  </si>
  <si>
    <t xml:space="preserve">COMPLIANCE_RATE_IND_UNAUTH_MEDIAIT</t>
  </si>
  <si>
    <t xml:space="preserve">Media and Information Technology Unauthorized tax compliance rate</t>
  </si>
  <si>
    <t xml:space="preserve">P847</t>
  </si>
  <si>
    <t xml:space="preserve">COMPLIANCE_RATE_IND_UNAUTH_PUBADMIN</t>
  </si>
  <si>
    <t xml:space="preserve">Public Administration Unauthorized tax compliance rate</t>
  </si>
  <si>
    <t xml:space="preserve">P848</t>
  </si>
  <si>
    <t xml:space="preserve">SSMC_RATE_IND_AMER_AG</t>
  </si>
  <si>
    <t xml:space="preserve">Agriculture American SS/Medicare combined rate (employee share)</t>
  </si>
  <si>
    <t xml:space="preserve">Current law 2025-2026</t>
  </si>
  <si>
    <t xml:space="preserve">6.2% SS + 1.45% Medicare</t>
  </si>
  <si>
    <t xml:space="preserve">P849</t>
  </si>
  <si>
    <t xml:space="preserve">SSMC_RATE_IND_AMER_CONSTR</t>
  </si>
  <si>
    <t xml:space="preserve">Construction American SS/Medicare combined rate (employee share)</t>
  </si>
  <si>
    <t xml:space="preserve">P850</t>
  </si>
  <si>
    <t xml:space="preserve">SSMC_RATE_IND_AMER_HOSP</t>
  </si>
  <si>
    <t xml:space="preserve">Hospitality American SS/Medicare combined rate (employee share)</t>
  </si>
  <si>
    <t xml:space="preserve">P851</t>
  </si>
  <si>
    <t xml:space="preserve">SSMC_RATE_IND_AMER_CLEAN</t>
  </si>
  <si>
    <t xml:space="preserve">Cleaning &amp; Maintenance American SS/Medicare combined rate (employee share)</t>
  </si>
  <si>
    <t xml:space="preserve">P852</t>
  </si>
  <si>
    <t xml:space="preserve">SSMC_RATE_IND_AMER_MFG</t>
  </si>
  <si>
    <t xml:space="preserve">Manufacturing American SS/Medicare combined rate (employee share)</t>
  </si>
  <si>
    <t xml:space="preserve">P853</t>
  </si>
  <si>
    <t xml:space="preserve">SSMC_RATE_IND_AMER_TRANS</t>
  </si>
  <si>
    <t xml:space="preserve">Transportation &amp; Warehousing American SS/Medicare combined rate (employee share)</t>
  </si>
  <si>
    <t xml:space="preserve">P854</t>
  </si>
  <si>
    <t xml:space="preserve">SSMC_RATE_IND_AMER_RETAIL</t>
  </si>
  <si>
    <t xml:space="preserve">Retail Trade American SS/Medicare combined rate (employee share)</t>
  </si>
  <si>
    <t xml:space="preserve">P855</t>
  </si>
  <si>
    <t xml:space="preserve">SSMC_RATE_IND_AMER_LAND</t>
  </si>
  <si>
    <t xml:space="preserve">Landscaping &amp; Groundskeeping American SS/Medicare combined rate (employee share)</t>
  </si>
  <si>
    <t xml:space="preserve">P856</t>
  </si>
  <si>
    <t xml:space="preserve">SSMC_RATE_IND_AMER_AUTO</t>
  </si>
  <si>
    <t xml:space="preserve">Automotive Repair &amp; Maintenance American SS/Medicare combined rate (employee share)</t>
  </si>
  <si>
    <t xml:space="preserve">P857</t>
  </si>
  <si>
    <t xml:space="preserve">SSMC_RATE_IND_AMER_HEALTH</t>
  </si>
  <si>
    <t xml:space="preserve">Health Care &amp; Social Assistance American SS/Medicare combined rate (employee share)</t>
  </si>
  <si>
    <t xml:space="preserve">P858</t>
  </si>
  <si>
    <t xml:space="preserve">SSMC_RATE_IND_AMER_PROF</t>
  </si>
  <si>
    <t xml:space="preserve">Professional, Scientific &amp; Technical Services American SS/Medicare combined rate (employee share)</t>
  </si>
  <si>
    <t xml:space="preserve">P859</t>
  </si>
  <si>
    <t xml:space="preserve">SSMC_RATE_IND_AMER_EDUC</t>
  </si>
  <si>
    <t xml:space="preserve">Educational Services American SS/Medicare combined rate (employee share)</t>
  </si>
  <si>
    <t xml:space="preserve">P860</t>
  </si>
  <si>
    <t xml:space="preserve">SSMC_RATE_IND_AMER_FIN</t>
  </si>
  <si>
    <t xml:space="preserve">Finance &amp; Insurance American SS/Medicare combined rate (employee share)</t>
  </si>
  <si>
    <t xml:space="preserve">P861</t>
  </si>
  <si>
    <t xml:space="preserve">SSMC_RATE_IND_AMER_MEDIAIT</t>
  </si>
  <si>
    <t xml:space="preserve">Media and Information Technology American SS/Medicare combined rate (employee share)</t>
  </si>
  <si>
    <t xml:space="preserve">P862</t>
  </si>
  <si>
    <t xml:space="preserve">SSMC_RATE_IND_AMER_PUBADMIN</t>
  </si>
  <si>
    <t xml:space="preserve">Public Administration American SS/Medicare combined rate (employee share)</t>
  </si>
  <si>
    <t xml:space="preserve">P863</t>
  </si>
  <si>
    <t xml:space="preserve">SSMC_RATE_IND_AUTH_AG</t>
  </si>
  <si>
    <t xml:space="preserve">Agriculture Authorized SS/Medicare combined rate (employee share)</t>
  </si>
  <si>
    <t xml:space="preserve">P864</t>
  </si>
  <si>
    <t xml:space="preserve">SSMC_RATE_IND_AUTH_CONSTR</t>
  </si>
  <si>
    <t xml:space="preserve">Construction Authorized SS/Medicare combined rate (employee share)</t>
  </si>
  <si>
    <t xml:space="preserve">P865</t>
  </si>
  <si>
    <t xml:space="preserve">SSMC_RATE_IND_AUTH_HOSP</t>
  </si>
  <si>
    <t xml:space="preserve">Hospitality Authorized SS/Medicare combined rate (employee share)</t>
  </si>
  <si>
    <t xml:space="preserve">P866</t>
  </si>
  <si>
    <t xml:space="preserve">SSMC_RATE_IND_AUTH_CLEAN</t>
  </si>
  <si>
    <t xml:space="preserve">Cleaning &amp; Maintenance Authorized SS/Medicare combined rate (employee share)</t>
  </si>
  <si>
    <t xml:space="preserve">P867</t>
  </si>
  <si>
    <t xml:space="preserve">SSMC_RATE_IND_AUTH_MFG</t>
  </si>
  <si>
    <t xml:space="preserve">Manufacturing Authorized SS/Medicare combined rate (employee share)</t>
  </si>
  <si>
    <t xml:space="preserve">P868</t>
  </si>
  <si>
    <t xml:space="preserve">SSMC_RATE_IND_AUTH_TRANS</t>
  </si>
  <si>
    <t xml:space="preserve">Transportation &amp; Warehousing Authorized SS/Medicare combined rate (employee share)</t>
  </si>
  <si>
    <t xml:space="preserve">P869</t>
  </si>
  <si>
    <t xml:space="preserve">SSMC_RATE_IND_AUTH_RETAIL</t>
  </si>
  <si>
    <t xml:space="preserve">Retail Trade Authorized SS/Medicare combined rate (employee share)</t>
  </si>
  <si>
    <t xml:space="preserve">P870</t>
  </si>
  <si>
    <t xml:space="preserve">SSMC_RATE_IND_AUTH_LAND</t>
  </si>
  <si>
    <t xml:space="preserve">Landscaping &amp; Groundskeeping Authorized SS/Medicare combined rate (employee share)</t>
  </si>
  <si>
    <t xml:space="preserve">P871</t>
  </si>
  <si>
    <t xml:space="preserve">SSMC_RATE_IND_AUTH_AUTO</t>
  </si>
  <si>
    <t xml:space="preserve">Automotive Repair &amp; Maintenance Authorized SS/Medicare combined rate (employee share)</t>
  </si>
  <si>
    <t xml:space="preserve">P872</t>
  </si>
  <si>
    <t xml:space="preserve">SSMC_RATE_IND_AUTH_HEALTH</t>
  </si>
  <si>
    <t xml:space="preserve">Health Care &amp; Social Assistance Authorized SS/Medicare combined rate (employee share)</t>
  </si>
  <si>
    <t xml:space="preserve">P873</t>
  </si>
  <si>
    <t xml:space="preserve">SSMC_RATE_IND_AUTH_PROF</t>
  </si>
  <si>
    <t xml:space="preserve">Professional, Scientific &amp; Technical Services Authorized SS/Medicare combined rate (employee share)</t>
  </si>
  <si>
    <t xml:space="preserve">P874</t>
  </si>
  <si>
    <t xml:space="preserve">SSMC_RATE_IND_AUTH_EDUC</t>
  </si>
  <si>
    <t xml:space="preserve">Educational Services Authorized SS/Medicare combined rate (employee share)</t>
  </si>
  <si>
    <t xml:space="preserve">P875</t>
  </si>
  <si>
    <t xml:space="preserve">SSMC_RATE_IND_AUTH_FIN</t>
  </si>
  <si>
    <t xml:space="preserve">Finance &amp; Insurance Authorized SS/Medicare combined rate (employee share)</t>
  </si>
  <si>
    <t xml:space="preserve">P876</t>
  </si>
  <si>
    <t xml:space="preserve">SSMC_RATE_IND_AUTH_MEDIAIT</t>
  </si>
  <si>
    <t xml:space="preserve">Media and Information Technology Authorized SS/Medicare combined rate (employee share)</t>
  </si>
  <si>
    <t xml:space="preserve">P877</t>
  </si>
  <si>
    <t xml:space="preserve">SSMC_RATE_IND_AUTH_PUBADMIN</t>
  </si>
  <si>
    <t xml:space="preserve">Public Administration Authorized SS/Medicare combined rate (employee share)</t>
  </si>
  <si>
    <t xml:space="preserve">P878</t>
  </si>
  <si>
    <t xml:space="preserve">SSMC_RATE_IND_UNAUTH_AG</t>
  </si>
  <si>
    <t xml:space="preserve">Agriculture Unauthorized SS/Medicare combined rate (employee share)</t>
  </si>
  <si>
    <t xml:space="preserve">Current law 2025-2026 (where paid)</t>
  </si>
  <si>
    <t xml:space="preserve">P879</t>
  </si>
  <si>
    <t xml:space="preserve">SSMC_RATE_IND_UNAUTH_CONSTR</t>
  </si>
  <si>
    <t xml:space="preserve">Construction Unauthorized SS/Medicare combined rate (employee share)</t>
  </si>
  <si>
    <t xml:space="preserve">P880</t>
  </si>
  <si>
    <t xml:space="preserve">SSMC_RATE_IND_UNAUTH_HOSP</t>
  </si>
  <si>
    <t xml:space="preserve">Hospitality Unauthorized SS/Medicare combined rate (employee share)</t>
  </si>
  <si>
    <t xml:space="preserve">P881</t>
  </si>
  <si>
    <t xml:space="preserve">SSMC_RATE_IND_UNAUTH_CLEAN</t>
  </si>
  <si>
    <t xml:space="preserve">Cleaning &amp; Maintenance Unauthorized SS/Medicare combined rate (employee share)</t>
  </si>
  <si>
    <t xml:space="preserve">P882</t>
  </si>
  <si>
    <t xml:space="preserve">SSMC_RATE_IND_UNAUTH_MFG</t>
  </si>
  <si>
    <t xml:space="preserve">Manufacturing Unauthorized SS/Medicare combined rate (employee share)</t>
  </si>
  <si>
    <t xml:space="preserve">P883</t>
  </si>
  <si>
    <t xml:space="preserve">SSMC_RATE_IND_UNAUTH_TRANS</t>
  </si>
  <si>
    <t xml:space="preserve">Transportation &amp; Warehousing Unauthorized SS/Medicare combined rate (employee share)</t>
  </si>
  <si>
    <t xml:space="preserve">P884</t>
  </si>
  <si>
    <t xml:space="preserve">SSMC_RATE_IND_UNAUTH_RETAIL</t>
  </si>
  <si>
    <t xml:space="preserve">Retail Trade Unauthorized SS/Medicare combined rate (employee share)</t>
  </si>
  <si>
    <t xml:space="preserve">P885</t>
  </si>
  <si>
    <t xml:space="preserve">SSMC_RATE_IND_UNAUTH_LAND</t>
  </si>
  <si>
    <t xml:space="preserve">Landscaping &amp; Groundskeeping Unauthorized SS/Medicare combined rate (employee share)</t>
  </si>
  <si>
    <t xml:space="preserve">P886</t>
  </si>
  <si>
    <t xml:space="preserve">SSMC_RATE_IND_UNAUTH_AUTO</t>
  </si>
  <si>
    <t xml:space="preserve">Automotive Repair &amp; Maintenance Unauthorized SS/Medicare combined rate (employee share)</t>
  </si>
  <si>
    <t xml:space="preserve">P887</t>
  </si>
  <si>
    <t xml:space="preserve">SSMC_RATE_IND_UNAUTH_HEALTH</t>
  </si>
  <si>
    <t xml:space="preserve">Health Care &amp; Social Assistance Unauthorized SS/Medicare combined rate (employee share)</t>
  </si>
  <si>
    <t xml:space="preserve">P888</t>
  </si>
  <si>
    <t xml:space="preserve">SSMC_RATE_IND_UNAUTH_PROF</t>
  </si>
  <si>
    <t xml:space="preserve">Professional, Scientific &amp; Technical Services Unauthorized SS/Medicare combined rate (employee share)</t>
  </si>
  <si>
    <t xml:space="preserve">P889</t>
  </si>
  <si>
    <t xml:space="preserve">SSMC_RATE_IND_UNAUTH_EDUC</t>
  </si>
  <si>
    <t xml:space="preserve">Educational Services Unauthorized SS/Medicare combined rate (employee share)</t>
  </si>
  <si>
    <t xml:space="preserve">P890</t>
  </si>
  <si>
    <t xml:space="preserve">SSMC_RATE_IND_UNAUTH_FIN</t>
  </si>
  <si>
    <t xml:space="preserve">Finance &amp; Insurance Unauthorized SS/Medicare combined rate (employee share)</t>
  </si>
  <si>
    <t xml:space="preserve">P891</t>
  </si>
  <si>
    <t xml:space="preserve">SSMC_RATE_IND_UNAUTH_MEDIAIT</t>
  </si>
  <si>
    <t xml:space="preserve">Media and Information Technology Unauthorized SS/Medicare combined rate (employee share)</t>
  </si>
  <si>
    <t xml:space="preserve">P892</t>
  </si>
  <si>
    <t xml:space="preserve">SSMC_RATE_IND_UNAUTH_PUBADMIN</t>
  </si>
  <si>
    <t xml:space="preserve">Public Administration Unauthorized SS/Medicare combined rate (employee share)</t>
  </si>
  <si>
    <t xml:space="preserve">P893</t>
  </si>
  <si>
    <t xml:space="preserve">SS_CAP</t>
  </si>
  <si>
    <t xml:space="preserve">Social Security wage base cap for 2026 ($)</t>
  </si>
  <si>
    <t xml:space="preserve">SSA official projection</t>
  </si>
  <si>
    <t xml:space="preserve">SSA 2025 announcement projected to 2026</t>
  </si>
  <si>
    <t xml:space="preserve">P894</t>
  </si>
  <si>
    <t xml:space="preserve">FIT_BRACKET_1_RATE</t>
  </si>
  <si>
    <t xml:space="preserve">Federal income tax bracket 1 rate (10%)</t>
  </si>
  <si>
    <t xml:space="preserve">Current law 2026</t>
  </si>
  <si>
    <t xml:space="preserve">IRS 2026 brackets (projected)</t>
  </si>
  <si>
    <t xml:space="preserve">P895</t>
  </si>
  <si>
    <t xml:space="preserve">FIT_BRACKET_1_UPPER_SINGLE</t>
  </si>
  <si>
    <t xml:space="preserve">2026 federal bracket 1 upper limit single filer ($)</t>
  </si>
  <si>
    <t xml:space="preserve">Projected inflation adj</t>
  </si>
  <si>
    <t xml:space="preserve">2025 bracket + ~3% est</t>
  </si>
  <si>
    <t xml:space="preserve">P896</t>
  </si>
  <si>
    <t xml:space="preserve">FIT_BRACKET_2_RATE</t>
  </si>
  <si>
    <t xml:space="preserve">Federal income tax bracket 2 rate (12%)</t>
  </si>
  <si>
    <t xml:space="preserve">P897</t>
  </si>
  <si>
    <t xml:space="preserve">FIT_BRACKET_2_UPPER_SINGLE</t>
  </si>
  <si>
    <t xml:space="preserve">2026 federal bracket 2 upper limit single filer ($)</t>
  </si>
  <si>
    <t xml:space="preserve">P898</t>
  </si>
  <si>
    <t xml:space="preserve">FIT_BRACKET_3_RATE</t>
  </si>
  <si>
    <t xml:space="preserve">Federal income tax bracket 3 rate (22%)</t>
  </si>
  <si>
    <t xml:space="preserve">P899</t>
  </si>
  <si>
    <t xml:space="preserve">FIT_BRACKET_3_UPPER_SINGLE</t>
  </si>
  <si>
    <t xml:space="preserve">2026 federal bracket 3 upper limit single filer ($)</t>
  </si>
  <si>
    <t xml:space="preserve">P900</t>
  </si>
  <si>
    <t xml:space="preserve">FIT_STANDARD_DEDUCTION_SINGLE</t>
  </si>
  <si>
    <t xml:space="preserve">2026 standard deduction single filer ($)</t>
  </si>
  <si>
    <t xml:space="preserve">2025 value + ~3% est</t>
  </si>
  <si>
    <t xml:space="preserve">P901</t>
  </si>
  <si>
    <t xml:space="preserve">EITC_MAX_CREDIT_NO_CHILD</t>
  </si>
  <si>
    <t xml:space="preserve">2026 EITC max credit no qualifying children ($)</t>
  </si>
  <si>
    <t xml:space="preserve">IRS 2025 value + est adj</t>
  </si>
  <si>
    <t xml:space="preserve">P902</t>
  </si>
  <si>
    <t xml:space="preserve">EITC_MAX_CREDIT_ONE_CHILD</t>
  </si>
  <si>
    <t xml:space="preserve">2026 EITC max credit one qualifying child ($)</t>
  </si>
  <si>
    <t xml:space="preserve">P903</t>
  </si>
  <si>
    <t xml:space="preserve">EITC_MAX_CREDIT_TWO_CHILDREN</t>
  </si>
  <si>
    <t xml:space="preserve">2026 EITC max credit two qualifying children ($)</t>
  </si>
  <si>
    <t xml:space="preserve">P904</t>
  </si>
  <si>
    <t xml:space="preserve">EITC_MAX_CREDIT_THREE_PLUS</t>
  </si>
  <si>
    <t xml:space="preserve">2026 EITC max credit three or more qualifying children ($)</t>
  </si>
  <si>
    <t xml:space="preserve">P905</t>
  </si>
  <si>
    <t xml:space="preserve">EITC_PHASEOUT_START_SINGLE_NO_CHILD</t>
  </si>
  <si>
    <t xml:space="preserve">2026 EITC phaseout start income single no children ($)</t>
  </si>
  <si>
    <t xml:space="preserve">Projected</t>
  </si>
  <si>
    <t xml:space="preserve">IRS 2025 + est adj</t>
  </si>
  <si>
    <t xml:space="preserve">P906</t>
  </si>
  <si>
    <t xml:space="preserve">EITC_PHASEOUT_START_SINGLE_ONE_CHILD</t>
  </si>
  <si>
    <t xml:space="preserve">2026 EITC phaseout start income single one child ($)</t>
  </si>
  <si>
    <t xml:space="preserve">P907</t>
  </si>
  <si>
    <t xml:space="preserve">EITC_PHASEOUT_START_SINGLE_TWO_CHILD</t>
  </si>
  <si>
    <t xml:space="preserve">2026 EITC phaseout start income single two children ($)</t>
  </si>
  <si>
    <t xml:space="preserve">P908</t>
  </si>
  <si>
    <t xml:space="preserve">EITC_PHASEOUT_START_SINGLE_THREE_PLUS</t>
  </si>
  <si>
    <t xml:space="preserve">2026 EITC phaseout start income single three+ children ($)</t>
  </si>
  <si>
    <t xml:space="preserve">P909</t>
  </si>
  <si>
    <t xml:space="preserve">EITC_PHASEOUT_RATE</t>
  </si>
  <si>
    <t xml:space="preserve">EITC phaseout rate (approximate average)</t>
  </si>
  <si>
    <t xml:space="preserve">Current law</t>
  </si>
  <si>
    <t xml:space="preserve">Statutory rate</t>
  </si>
  <si>
    <t xml:space="preserve">P910</t>
  </si>
  <si>
    <t xml:space="preserve">ACTC_REFUNDABLE_PORTION</t>
  </si>
  <si>
    <t xml:space="preserve">2026 Additional Child Tax Credit refundable amount per child ($)</t>
  </si>
  <si>
    <t xml:space="preserve">Projected law</t>
  </si>
  <si>
    <t xml:space="preserve">2025 value + est adj</t>
  </si>
  <si>
    <t xml:space="preserve">P911</t>
  </si>
  <si>
    <t xml:space="preserve">AOTC_REFUNDABLE_MAX</t>
  </si>
  <si>
    <t xml:space="preserve">2026 American Opportunity Tax Credit max refundable portion ($)</t>
  </si>
  <si>
    <t xml:space="preserve">Statutory cap</t>
  </si>
  <si>
    <t xml:space="preserve">P912</t>
  </si>
  <si>
    <t xml:space="preserve">AOTC_PHASEOUT_START_SINGLE</t>
  </si>
  <si>
    <t xml:space="preserve">2026 AOTC phaseout start MAGI single filer ($)</t>
  </si>
  <si>
    <t xml:space="preserve">AOTC_PHASEOUT_END_SINGLE</t>
  </si>
  <si>
    <t xml:space="preserve">2026 AOTC phaseout end MAGI single filer ($)</t>
  </si>
  <si>
    <t xml:space="preserve">P913</t>
  </si>
  <si>
    <t xml:space="preserve">AOTC_CREDIT_RATE</t>
  </si>
  <si>
    <t xml:space="preserve">AOTC credit rate on first $2000 qualified expenses</t>
  </si>
  <si>
    <t xml:space="preserve">100% on first $2000, 25% on next $2000</t>
  </si>
  <si>
    <t xml:space="preserve">P914</t>
  </si>
  <si>
    <t xml:space="preserve">AOTC_MAX_CREDIT</t>
  </si>
  <si>
    <t xml:space="preserve">2026 AOTC maximum credit per eligible student ($)</t>
  </si>
  <si>
    <t xml:space="preserve">Statutory maximum</t>
  </si>
  <si>
    <t xml:space="preserve">P915</t>
  </si>
  <si>
    <t xml:space="preserve">CHILD_TAX_CREDIT_AMOUNT</t>
  </si>
  <si>
    <t xml:space="preserve">2026 Child Tax Credit amount per qualifying child ($)</t>
  </si>
  <si>
    <t xml:space="preserve">Current law (TCJA extended assumption)</t>
  </si>
  <si>
    <t xml:space="preserve">Statutory amount</t>
  </si>
  <si>
    <t xml:space="preserve">P916</t>
  </si>
  <si>
    <t xml:space="preserve">CTC_PHASEOUT_START_SINGLE</t>
  </si>
  <si>
    <t xml:space="preserve">2026 CTC phaseout start MAGI single filer ($)</t>
  </si>
  <si>
    <t xml:space="preserve">Statutory threshold</t>
  </si>
  <si>
    <t xml:space="preserve">P917</t>
  </si>
  <si>
    <t xml:space="preserve">CTC_PHASEOUT_START_MARRIED</t>
  </si>
  <si>
    <t xml:space="preserve">2026 CTC phaseout start MAGI married joint ($)</t>
  </si>
  <si>
    <t xml:space="preserve">P918</t>
  </si>
  <si>
    <t xml:space="preserve">CTC_PHASEOUT_RATE</t>
  </si>
  <si>
    <t xml:space="preserve">CTC phaseout rate ($50 per $1000 over threshold)</t>
  </si>
  <si>
    <t xml:space="preserve">P919</t>
  </si>
  <si>
    <t xml:space="preserve">ACTC_REFUNDABLE_CAP</t>
  </si>
  <si>
    <t xml:space="preserve">2026 ACTC refundable cap per child ($)</t>
  </si>
  <si>
    <t xml:space="preserve">2025 value + est adj (if extended)</t>
  </si>
  <si>
    <t xml:space="preserve">P920</t>
  </si>
  <si>
    <t xml:space="preserve">ACTC_EARNED_INCOME_THRESHOLD</t>
  </si>
  <si>
    <t xml:space="preserve">2026 ACTC minimum earned income for refundability ($)</t>
  </si>
  <si>
    <t xml:space="preserve">P921</t>
  </si>
  <si>
    <t xml:space="preserve">ACTC_REFUNDABLE_RATE</t>
  </si>
  <si>
    <t xml:space="preserve">ACTC refundable portion rate (15% of earned income over threshold)</t>
  </si>
  <si>
    <t xml:space="preserve">P922</t>
  </si>
  <si>
    <t xml:space="preserve">AVG_HOURS_FULL_TIME</t>
  </si>
  <si>
    <t xml:space="preserve">Average weekly hours for full-time workers</t>
  </si>
  <si>
    <t xml:space="preserve">Current BLS est</t>
  </si>
  <si>
    <t xml:space="preserve">BLS CPS / CES 2025-2026 avg</t>
  </si>
  <si>
    <t xml:space="preserve">P923</t>
  </si>
  <si>
    <t xml:space="preserve">AVG_HOURS_PART_TIME</t>
  </si>
  <si>
    <t xml:space="preserve">Average weekly hours for part-time workers</t>
  </si>
  <si>
    <t xml:space="preserve">P924</t>
  </si>
  <si>
    <t xml:space="preserve">FTER_IND_AG</t>
  </si>
  <si>
    <t xml:space="preserve">Agriculture full-time employment rate</t>
  </si>
  <si>
    <t xml:space="preserve">Derived from BLS OES/CPS</t>
  </si>
  <si>
    <t xml:space="preserve">2025 AL est</t>
  </si>
  <si>
    <t xml:space="preserve">P925</t>
  </si>
  <si>
    <t xml:space="preserve">FTER_IND_CONSTR</t>
  </si>
  <si>
    <t xml:space="preserve">Construction full-time employment rate</t>
  </si>
  <si>
    <t xml:space="preserve">P926</t>
  </si>
  <si>
    <t xml:space="preserve">FTER_IND_HOSP</t>
  </si>
  <si>
    <t xml:space="preserve">Hospitality full-time employment rate</t>
  </si>
  <si>
    <t xml:space="preserve">P927</t>
  </si>
  <si>
    <t xml:space="preserve">FTER_IND_CLEAN</t>
  </si>
  <si>
    <t xml:space="preserve">Cleaning &amp; Maintenance full-time employment rate</t>
  </si>
  <si>
    <t xml:space="preserve">P928</t>
  </si>
  <si>
    <t xml:space="preserve">FTER_IND_MFG</t>
  </si>
  <si>
    <t xml:space="preserve">Manufacturing full-time employment rate</t>
  </si>
  <si>
    <t xml:space="preserve">P929</t>
  </si>
  <si>
    <t xml:space="preserve">FTER_IND_TRANS</t>
  </si>
  <si>
    <t xml:space="preserve">Transportation &amp; Warehousing full-time employment rate</t>
  </si>
  <si>
    <t xml:space="preserve">P930</t>
  </si>
  <si>
    <t xml:space="preserve">FTER_IND_RETAIL</t>
  </si>
  <si>
    <t xml:space="preserve">Retail Trade full-time employment rate</t>
  </si>
  <si>
    <t xml:space="preserve">P931</t>
  </si>
  <si>
    <t xml:space="preserve">FTER_IND_LAND</t>
  </si>
  <si>
    <t xml:space="preserve">Landscaping &amp; Groundskeeping full-time employment rate</t>
  </si>
  <si>
    <t xml:space="preserve">P932</t>
  </si>
  <si>
    <t xml:space="preserve">FTER_IND_AUTO</t>
  </si>
  <si>
    <t xml:space="preserve">Automotive Repair &amp; Maintenance full-time employment rate</t>
  </si>
  <si>
    <t xml:space="preserve">P933</t>
  </si>
  <si>
    <t xml:space="preserve">FTER_IND_HEALTH</t>
  </si>
  <si>
    <t xml:space="preserve">Health Care &amp; Social Assistance full-time employment rate</t>
  </si>
  <si>
    <t xml:space="preserve">P934</t>
  </si>
  <si>
    <t xml:space="preserve">FTER_IND_PROF</t>
  </si>
  <si>
    <t xml:space="preserve">Professional, Scientific &amp; Technical Services full-time employment rate</t>
  </si>
  <si>
    <t xml:space="preserve">P935</t>
  </si>
  <si>
    <t xml:space="preserve">FTER_IND_EDUC</t>
  </si>
  <si>
    <t xml:space="preserve">Educational Services full-time employment rate</t>
  </si>
  <si>
    <t xml:space="preserve">P936</t>
  </si>
  <si>
    <t xml:space="preserve">FTER_IND_FIN</t>
  </si>
  <si>
    <t xml:space="preserve">Finance &amp; Insurance full-time employment rate</t>
  </si>
  <si>
    <t xml:space="preserve">P937</t>
  </si>
  <si>
    <t xml:space="preserve">FTER_IND_MEDIAIT</t>
  </si>
  <si>
    <t xml:space="preserve">Media and Information Technology full-time employment rate</t>
  </si>
  <si>
    <t xml:space="preserve">P938</t>
  </si>
  <si>
    <t xml:space="preserve">FTER_IND_PUBADMIN</t>
  </si>
  <si>
    <t xml:space="preserve">Public Administration full-time employment rate</t>
  </si>
  <si>
    <t xml:space="preserve">P939</t>
  </si>
  <si>
    <t xml:space="preserve">PTER_IND_AG</t>
  </si>
  <si>
    <t xml:space="preserve">Agriculture part-time employment rate</t>
  </si>
  <si>
    <t xml:space="preserve">Derived (1 - FTER)</t>
  </si>
  <si>
    <t xml:space="preserve">P940</t>
  </si>
  <si>
    <t xml:space="preserve">PTER_IND_CONSTR</t>
  </si>
  <si>
    <t xml:space="preserve">Construction part-time employment rate</t>
  </si>
  <si>
    <t xml:space="preserve">P941</t>
  </si>
  <si>
    <t xml:space="preserve">PTER_IND_HOSP</t>
  </si>
  <si>
    <t xml:space="preserve">Hospitality part-time employment rate</t>
  </si>
  <si>
    <t xml:space="preserve">P942</t>
  </si>
  <si>
    <t xml:space="preserve">PTER_IND_CLEAN</t>
  </si>
  <si>
    <t xml:space="preserve">Cleaning &amp; Maintenance part-time employment rate</t>
  </si>
  <si>
    <t xml:space="preserve">P943</t>
  </si>
  <si>
    <t xml:space="preserve">PTER_IND_MFG</t>
  </si>
  <si>
    <t xml:space="preserve">Manufacturing part-time employment rate</t>
  </si>
  <si>
    <t xml:space="preserve">P944</t>
  </si>
  <si>
    <t xml:space="preserve">PTER_IND_TRANS</t>
  </si>
  <si>
    <t xml:space="preserve">Transportation &amp; Warehousing part-time employment rate</t>
  </si>
  <si>
    <t xml:space="preserve">P945</t>
  </si>
  <si>
    <t xml:space="preserve">PTER_IND_RETAIL</t>
  </si>
  <si>
    <t xml:space="preserve">Retail Trade part-time employment rate</t>
  </si>
  <si>
    <t xml:space="preserve">P946</t>
  </si>
  <si>
    <t xml:space="preserve">PTER_IND_LAND</t>
  </si>
  <si>
    <t xml:space="preserve">Landscaping &amp; Groundskeeping part-time employment rate</t>
  </si>
  <si>
    <t xml:space="preserve">P947</t>
  </si>
  <si>
    <t xml:space="preserve">PTER_IND_AUTO</t>
  </si>
  <si>
    <t xml:space="preserve">Automotive Repair &amp; Maintenance part-time employment rate</t>
  </si>
  <si>
    <t xml:space="preserve">P948</t>
  </si>
  <si>
    <t xml:space="preserve">PTER_IND_HEALTH</t>
  </si>
  <si>
    <t xml:space="preserve">Health Care &amp; Social Assistance part-time employment rate</t>
  </si>
  <si>
    <t xml:space="preserve">P949</t>
  </si>
  <si>
    <t xml:space="preserve">PTER_IND_PROF</t>
  </si>
  <si>
    <t xml:space="preserve">Professional, Scientific &amp; Technical Services part-time employment rate</t>
  </si>
  <si>
    <t xml:space="preserve">P950</t>
  </si>
  <si>
    <t xml:space="preserve">PTER_IND_EDUC</t>
  </si>
  <si>
    <t xml:space="preserve">Educational Services part-time employment rate</t>
  </si>
  <si>
    <t xml:space="preserve">P951</t>
  </si>
  <si>
    <t xml:space="preserve">PTER_IND_FIN</t>
  </si>
  <si>
    <t xml:space="preserve">Finance &amp; Insurance part-time employment rate</t>
  </si>
  <si>
    <t xml:space="preserve">P952</t>
  </si>
  <si>
    <t xml:space="preserve">PTER_IND_MEDIAIT</t>
  </si>
  <si>
    <t xml:space="preserve">Media and Information Technology part-time employment rate</t>
  </si>
  <si>
    <t xml:space="preserve">P953</t>
  </si>
  <si>
    <t xml:space="preserve">PTER_IND_PUBADMIN</t>
  </si>
  <si>
    <t xml:space="preserve">Public Administration part-time employment rate</t>
  </si>
  <si>
    <t xml:space="preserve">P954</t>
  </si>
  <si>
    <t xml:space="preserve">AWHW_IND_AG</t>
  </si>
  <si>
    <t xml:space="preserve">Agriculture average weekly hours worked</t>
  </si>
  <si>
    <t xml:space="preserve">BLS CES / CPS est</t>
  </si>
  <si>
    <t xml:space="preserve">2025 AL industry avg</t>
  </si>
  <si>
    <t xml:space="preserve">P955</t>
  </si>
  <si>
    <t xml:space="preserve">AWHW_IND_CONSTR</t>
  </si>
  <si>
    <t xml:space="preserve">Construction average weekly hours worked</t>
  </si>
  <si>
    <t xml:space="preserve">P956</t>
  </si>
  <si>
    <t xml:space="preserve">AWHW_IND_HOSP</t>
  </si>
  <si>
    <t xml:space="preserve">Hospitality average weekly hours worked</t>
  </si>
  <si>
    <t xml:space="preserve">P957</t>
  </si>
  <si>
    <t xml:space="preserve">AWHW_IND_CLEAN</t>
  </si>
  <si>
    <t xml:space="preserve">Cleaning &amp; Maintenance average weekly hours worked</t>
  </si>
  <si>
    <t xml:space="preserve">P958</t>
  </si>
  <si>
    <t xml:space="preserve">AWHW_IND_MFG</t>
  </si>
  <si>
    <t xml:space="preserve">Manufacturing average weekly hours worked</t>
  </si>
  <si>
    <t xml:space="preserve">P959</t>
  </si>
  <si>
    <t xml:space="preserve">AWHW_IND_TRANS</t>
  </si>
  <si>
    <t xml:space="preserve">Transportation &amp; Warehousing average weekly hours worked</t>
  </si>
  <si>
    <t xml:space="preserve">P960</t>
  </si>
  <si>
    <t xml:space="preserve">AWHW_IND_RETAIL</t>
  </si>
  <si>
    <t xml:space="preserve">Retail Trade average weekly hours worked</t>
  </si>
  <si>
    <t xml:space="preserve">P961</t>
  </si>
  <si>
    <t xml:space="preserve">AWHW_IND_LAND</t>
  </si>
  <si>
    <t xml:space="preserve">Landscaping &amp; Groundskeeping average weekly hours worked</t>
  </si>
  <si>
    <t xml:space="preserve">P962</t>
  </si>
  <si>
    <t xml:space="preserve">AWHW_IND_AUTO</t>
  </si>
  <si>
    <t xml:space="preserve">Automotive Repair &amp; Maintenance average weekly hours worked</t>
  </si>
  <si>
    <t xml:space="preserve">P963</t>
  </si>
  <si>
    <t xml:space="preserve">AWHW_IND_HEALTH</t>
  </si>
  <si>
    <t xml:space="preserve">Health Care &amp; Social Assistance average weekly hours worked</t>
  </si>
  <si>
    <t xml:space="preserve">P964</t>
  </si>
  <si>
    <t xml:space="preserve">AWHW_IND_PROF</t>
  </si>
  <si>
    <t xml:space="preserve">Professional, Scientific &amp; Technical Services average weekly hours worked</t>
  </si>
  <si>
    <t xml:space="preserve">P965</t>
  </si>
  <si>
    <t xml:space="preserve">AWHW_IND_EDUC</t>
  </si>
  <si>
    <t xml:space="preserve">Educational Services average weekly hours worked</t>
  </si>
  <si>
    <t xml:space="preserve">P966</t>
  </si>
  <si>
    <t xml:space="preserve">AWHW_IND_FIN</t>
  </si>
  <si>
    <t xml:space="preserve">Finance &amp; Insurance average weekly hours worked</t>
  </si>
  <si>
    <t xml:space="preserve">P967</t>
  </si>
  <si>
    <t xml:space="preserve">AWHW_IND_MEDIAIT</t>
  </si>
  <si>
    <t xml:space="preserve">Media and Information Technology average weekly hours worked</t>
  </si>
  <si>
    <t xml:space="preserve">P968</t>
  </si>
  <si>
    <t xml:space="preserve">AWHW_IND_PUBADMIN</t>
  </si>
  <si>
    <t xml:space="preserve">Public Administration average weekly hours worked</t>
  </si>
  <si>
    <t xml:space="preserve">P969</t>
  </si>
  <si>
    <t xml:space="preserve">JTA_IND_AG</t>
  </si>
  <si>
    <t xml:space="preserve">Agriculture average job tenure (years)</t>
  </si>
  <si>
    <t xml:space="preserve">BLS CPS / tenure supplement est</t>
  </si>
  <si>
    <t xml:space="preserve">P970</t>
  </si>
  <si>
    <t xml:space="preserve">JTA_IND_CONSTR</t>
  </si>
  <si>
    <t xml:space="preserve">Construction average job tenure (years)</t>
  </si>
  <si>
    <t xml:space="preserve">P971</t>
  </si>
  <si>
    <t xml:space="preserve">JTA_IND_HOSP</t>
  </si>
  <si>
    <t xml:space="preserve">Hospitality average job tenure (years)</t>
  </si>
  <si>
    <t xml:space="preserve">P972</t>
  </si>
  <si>
    <t xml:space="preserve">JTA_IND_CLEAN</t>
  </si>
  <si>
    <t xml:space="preserve">Cleaning &amp; Maintenance average job tenure (years)</t>
  </si>
  <si>
    <t xml:space="preserve">P973</t>
  </si>
  <si>
    <t xml:space="preserve">JTA_IND_MFG</t>
  </si>
  <si>
    <t xml:space="preserve">Manufacturing average job tenure (years)</t>
  </si>
  <si>
    <t xml:space="preserve">P974</t>
  </si>
  <si>
    <t xml:space="preserve">JTA_IND_TRANS</t>
  </si>
  <si>
    <t xml:space="preserve">Transportation &amp; Warehousing average job tenure (years)</t>
  </si>
  <si>
    <t xml:space="preserve">P975</t>
  </si>
  <si>
    <t xml:space="preserve">JTA_IND_RETAIL</t>
  </si>
  <si>
    <t xml:space="preserve">Retail Trade average job tenure (years)</t>
  </si>
  <si>
    <t xml:space="preserve">P976</t>
  </si>
  <si>
    <t xml:space="preserve">JTA_IND_LAND</t>
  </si>
  <si>
    <t xml:space="preserve">Landscaping &amp; Groundskeeping average job tenure (years)</t>
  </si>
  <si>
    <t xml:space="preserve">P977</t>
  </si>
  <si>
    <t xml:space="preserve">JTA_IND_AUTO</t>
  </si>
  <si>
    <t xml:space="preserve">Automotive Repair &amp; Maintenance average job tenure (years)</t>
  </si>
  <si>
    <t xml:space="preserve">P978</t>
  </si>
  <si>
    <t xml:space="preserve">JTA_IND_HEALTH</t>
  </si>
  <si>
    <t xml:space="preserve">Health Care &amp; Social Assistance average job tenure (years)</t>
  </si>
  <si>
    <t xml:space="preserve">P979</t>
  </si>
  <si>
    <t xml:space="preserve">JTA_IND_PROF</t>
  </si>
  <si>
    <t xml:space="preserve">Professional, Scientific &amp; Technical Services average job tenure (years)</t>
  </si>
  <si>
    <t xml:space="preserve">P980</t>
  </si>
  <si>
    <t xml:space="preserve">JTA_IND_EDUC</t>
  </si>
  <si>
    <t xml:space="preserve">Educational Services average job tenure (years)</t>
  </si>
  <si>
    <t xml:space="preserve">P981</t>
  </si>
  <si>
    <t xml:space="preserve">JTA_IND_FIN</t>
  </si>
  <si>
    <t xml:space="preserve">Finance &amp; Insurance average job tenure (years)</t>
  </si>
  <si>
    <t xml:space="preserve">P982</t>
  </si>
  <si>
    <t xml:space="preserve">JTA_IND_MEDIAIT</t>
  </si>
  <si>
    <t xml:space="preserve">Media and Information Technology average job tenure (years)</t>
  </si>
  <si>
    <t xml:space="preserve">P983</t>
  </si>
  <si>
    <t xml:space="preserve">JTA_IND_PUBADMIN</t>
  </si>
  <si>
    <t xml:space="preserve">Public Administration average job tenure (years)</t>
  </si>
  <si>
    <t xml:space="preserve">P984</t>
  </si>
  <si>
    <t xml:space="preserve">TR_IND_AG</t>
  </si>
  <si>
    <t xml:space="preserve">Agriculture annual turnover rate</t>
  </si>
  <si>
    <t xml:space="preserve">BLS JOLTS / industry est</t>
  </si>
  <si>
    <t xml:space="preserve">P985</t>
  </si>
  <si>
    <t xml:space="preserve">TR_IND_CONSTR</t>
  </si>
  <si>
    <t xml:space="preserve">Construction annual turnover rate</t>
  </si>
  <si>
    <t xml:space="preserve">P986</t>
  </si>
  <si>
    <t xml:space="preserve">TR_IND_HOSP</t>
  </si>
  <si>
    <t xml:space="preserve">Hospitality annual turnover rate</t>
  </si>
  <si>
    <t xml:space="preserve">P987</t>
  </si>
  <si>
    <t xml:space="preserve">TR_IND_CLEAN</t>
  </si>
  <si>
    <t xml:space="preserve">Cleaning &amp; Maintenance annual turnover rate</t>
  </si>
  <si>
    <t xml:space="preserve">P988</t>
  </si>
  <si>
    <t xml:space="preserve">TR_IND_MFG</t>
  </si>
  <si>
    <t xml:space="preserve">Manufacturing annual turnover rate</t>
  </si>
  <si>
    <t xml:space="preserve">P989</t>
  </si>
  <si>
    <t xml:space="preserve">TR_IND_TRANS</t>
  </si>
  <si>
    <t xml:space="preserve">Transportation &amp; Warehousing annual turnover rate</t>
  </si>
  <si>
    <t xml:space="preserve">P990</t>
  </si>
  <si>
    <t xml:space="preserve">TR_IND_RETAIL</t>
  </si>
  <si>
    <t xml:space="preserve">Retail Trade annual turnover rate</t>
  </si>
  <si>
    <t xml:space="preserve">P991</t>
  </si>
  <si>
    <t xml:space="preserve">TR_IND_LAND</t>
  </si>
  <si>
    <t xml:space="preserve">Landscaping &amp; Groundskeeping annual turnover rate</t>
  </si>
  <si>
    <t xml:space="preserve">P992</t>
  </si>
  <si>
    <t xml:space="preserve">TR_IND_AUTO</t>
  </si>
  <si>
    <t xml:space="preserve">Automotive Repair &amp; Maintenance annual turnover rate</t>
  </si>
  <si>
    <t xml:space="preserve">P993</t>
  </si>
  <si>
    <t xml:space="preserve">TR_IND_HEALTH</t>
  </si>
  <si>
    <t xml:space="preserve">Health Care &amp; Social Assistance annual turnover rate</t>
  </si>
  <si>
    <t xml:space="preserve">P994</t>
  </si>
  <si>
    <t xml:space="preserve">TR_IND_PROF</t>
  </si>
  <si>
    <t xml:space="preserve">Professional, Scientific &amp; Technical Services annual turnover rate</t>
  </si>
  <si>
    <t xml:space="preserve">P995</t>
  </si>
  <si>
    <t xml:space="preserve">TR_IND_EDUC</t>
  </si>
  <si>
    <t xml:space="preserve">Educational Services annual turnover rate</t>
  </si>
  <si>
    <t xml:space="preserve">P996</t>
  </si>
  <si>
    <t xml:space="preserve">TR_IND_FIN</t>
  </si>
  <si>
    <t xml:space="preserve">Finance &amp; Insurance annual turnover rate</t>
  </si>
  <si>
    <t xml:space="preserve">P997</t>
  </si>
  <si>
    <t xml:space="preserve">TR_IND_MEDIAIT</t>
  </si>
  <si>
    <t xml:space="preserve">Media and Information Technology annual turnover rate</t>
  </si>
  <si>
    <t xml:space="preserve">P998</t>
  </si>
  <si>
    <t xml:space="preserve">TR_IND_PUBADMIN</t>
  </si>
  <si>
    <t xml:space="preserve">Public Administration annual turnover rate</t>
  </si>
  <si>
    <t xml:space="preserve">P999</t>
  </si>
  <si>
    <t xml:space="preserve">LP_IND_AG</t>
  </si>
  <si>
    <t xml:space="preserve">Agriculture labor productivity (output per worker, annual $)</t>
  </si>
  <si>
    <t xml:space="preserve">BLS / BEA est</t>
  </si>
  <si>
    <t xml:space="preserve">2025 AL chained dollars adj</t>
  </si>
  <si>
    <t xml:space="preserve">P1000</t>
  </si>
  <si>
    <t xml:space="preserve">LP_IND_CONSTR</t>
  </si>
  <si>
    <t xml:space="preserve">Construction labor productivity (output per worker, annual $)</t>
  </si>
  <si>
    <t xml:space="preserve">P1001</t>
  </si>
  <si>
    <t xml:space="preserve">LP_IND_HOSP</t>
  </si>
  <si>
    <t xml:space="preserve">Hospitality labor productivity (output per worker, annual $)</t>
  </si>
  <si>
    <t xml:space="preserve">P1002</t>
  </si>
  <si>
    <t xml:space="preserve">LP_IND_CLEAN</t>
  </si>
  <si>
    <t xml:space="preserve">Cleaning &amp; Maintenance labor productivity (output per worker, annual $)</t>
  </si>
  <si>
    <t xml:space="preserve">P1003</t>
  </si>
  <si>
    <t xml:space="preserve">LP_IND_MFG</t>
  </si>
  <si>
    <t xml:space="preserve">Manufacturing labor productivity (output per worker, annual $)</t>
  </si>
  <si>
    <t xml:space="preserve">P1004</t>
  </si>
  <si>
    <t xml:space="preserve">LP_IND_TRANS</t>
  </si>
  <si>
    <t xml:space="preserve">Transportation &amp; Warehousing labor productivity (output per worker, annual $)</t>
  </si>
  <si>
    <t xml:space="preserve">P1005</t>
  </si>
  <si>
    <t xml:space="preserve">LP_IND_RETAIL</t>
  </si>
  <si>
    <t xml:space="preserve">Retail Trade labor productivity (output per worker, annual $)</t>
  </si>
  <si>
    <t xml:space="preserve">P1006</t>
  </si>
  <si>
    <t xml:space="preserve">LP_IND_LAND</t>
  </si>
  <si>
    <t xml:space="preserve">Landscaping &amp; Groundskeeping labor productivity (output per worker, annual $)</t>
  </si>
  <si>
    <t xml:space="preserve">P1007</t>
  </si>
  <si>
    <t xml:space="preserve">LP_IND_AUTO</t>
  </si>
  <si>
    <t xml:space="preserve">Automotive Repair &amp; Maintenance labor productivity (output per worker, annual $)</t>
  </si>
  <si>
    <t xml:space="preserve">P1008</t>
  </si>
  <si>
    <t xml:space="preserve">LP_IND_HEALTH</t>
  </si>
  <si>
    <t xml:space="preserve">Health Care &amp; Social Assistance labor productivity (output per worker, annual $)</t>
  </si>
  <si>
    <t xml:space="preserve">P1009</t>
  </si>
  <si>
    <t xml:space="preserve">LP_IND_PROF</t>
  </si>
  <si>
    <t xml:space="preserve">Professional, Scientific &amp; Technical Services labor productivity (output per worker, annual $)</t>
  </si>
  <si>
    <t xml:space="preserve">P1010</t>
  </si>
  <si>
    <t xml:space="preserve">LP_IND_EDUC</t>
  </si>
  <si>
    <t xml:space="preserve">Educational Services labor productivity (output per worker, annual $)</t>
  </si>
  <si>
    <t xml:space="preserve">P1011</t>
  </si>
  <si>
    <t xml:space="preserve">LP_IND_FIN</t>
  </si>
  <si>
    <t xml:space="preserve">Finance &amp; Insurance labor productivity (output per worker, annual $)</t>
  </si>
  <si>
    <t xml:space="preserve">P1012</t>
  </si>
  <si>
    <t xml:space="preserve">LP_IND_MEDIAIT</t>
  </si>
  <si>
    <t xml:space="preserve">Media and Information Technology labor productivity (output per worker, annual $)</t>
  </si>
  <si>
    <t xml:space="preserve">P1013</t>
  </si>
  <si>
    <t xml:space="preserve">LP_IND_PUBADMIN</t>
  </si>
  <si>
    <t xml:space="preserve">Public Administration labor productivity (output per worker, annual $)</t>
  </si>
  <si>
    <t xml:space="preserve">P1014</t>
  </si>
  <si>
    <t xml:space="preserve">ELR_IND_AG</t>
  </si>
  <si>
    <t xml:space="preserve">Agriculture typical education level required (1=less than HS, 2=HS/GED, 3=some college, 4=associate, 5=bachelor, 6=master+)</t>
  </si>
  <si>
    <t xml:space="preserve">BLS O*NET / CPS est</t>
  </si>
  <si>
    <t xml:space="preserve">2025 AL industry modal/typical</t>
  </si>
  <si>
    <t xml:space="preserve">P1015</t>
  </si>
  <si>
    <t xml:space="preserve">ELR_IND_CONSTR</t>
  </si>
  <si>
    <t xml:space="preserve">Construction typical education level required</t>
  </si>
  <si>
    <t xml:space="preserve">P1016</t>
  </si>
  <si>
    <t xml:space="preserve">ELR_IND_HOSP</t>
  </si>
  <si>
    <t xml:space="preserve">Hospitality typical education level required</t>
  </si>
  <si>
    <t xml:space="preserve">P1017</t>
  </si>
  <si>
    <t xml:space="preserve">ELR_IND_CLEAN</t>
  </si>
  <si>
    <t xml:space="preserve">Cleaning &amp; Maintenance typical education level required</t>
  </si>
  <si>
    <t xml:space="preserve">P1018</t>
  </si>
  <si>
    <t xml:space="preserve">ELR_IND_MFG</t>
  </si>
  <si>
    <t xml:space="preserve">Manufacturing typical education level required</t>
  </si>
  <si>
    <t xml:space="preserve">P1019</t>
  </si>
  <si>
    <t xml:space="preserve">ELR_IND_TRANS</t>
  </si>
  <si>
    <t xml:space="preserve">Transportation &amp; Warehousing typical education level required</t>
  </si>
  <si>
    <t xml:space="preserve">P1020</t>
  </si>
  <si>
    <t xml:space="preserve">ELR_IND_RETAIL</t>
  </si>
  <si>
    <t xml:space="preserve">Retail Trade typical education level required</t>
  </si>
  <si>
    <t xml:space="preserve">P1021</t>
  </si>
  <si>
    <t xml:space="preserve">ELR_IND_LAND</t>
  </si>
  <si>
    <t xml:space="preserve">Landscaping &amp; Groundskeeping typical education level required</t>
  </si>
  <si>
    <t xml:space="preserve">P1022</t>
  </si>
  <si>
    <t xml:space="preserve">ELR_IND_AUTO</t>
  </si>
  <si>
    <t xml:space="preserve">Automotive Repair &amp; Maintenance typical education level required</t>
  </si>
  <si>
    <t xml:space="preserve">P1023</t>
  </si>
  <si>
    <t xml:space="preserve">ELR_IND_HEALTH</t>
  </si>
  <si>
    <t xml:space="preserve">Health Care &amp; Social Assistance typical education level required</t>
  </si>
  <si>
    <t xml:space="preserve">P1024</t>
  </si>
  <si>
    <t xml:space="preserve">ELR_IND_PROF</t>
  </si>
  <si>
    <t xml:space="preserve">Professional, Scientific &amp; Technical Services typical education level required</t>
  </si>
  <si>
    <t xml:space="preserve">P1025</t>
  </si>
  <si>
    <t xml:space="preserve">ELR_IND_EDUC</t>
  </si>
  <si>
    <t xml:space="preserve">Educational Services typical education level required</t>
  </si>
  <si>
    <t xml:space="preserve">P1026</t>
  </si>
  <si>
    <t xml:space="preserve">ELR_IND_FIN</t>
  </si>
  <si>
    <t xml:space="preserve">Finance &amp; Insurance typical education level required</t>
  </si>
  <si>
    <t xml:space="preserve">P1027</t>
  </si>
  <si>
    <t xml:space="preserve">ELR_IND_MEDIAIT</t>
  </si>
  <si>
    <t xml:space="preserve">Media and Information Technology typical education level required</t>
  </si>
  <si>
    <t xml:space="preserve">P1028</t>
  </si>
  <si>
    <t xml:space="preserve">ELR_IND_PUBADMIN</t>
  </si>
  <si>
    <t xml:space="preserve">Public Administration typical education level required</t>
  </si>
  <si>
    <t xml:space="preserve">P1029</t>
  </si>
  <si>
    <t xml:space="preserve">VAR_LFP_IND_AMER_AG</t>
  </si>
  <si>
    <t xml:space="preserve">Variance estimate for LFP (American, Agriculture)</t>
  </si>
  <si>
    <t xml:space="preserve">Derived / propagated uncertainty</t>
  </si>
  <si>
    <t xml:space="preserve">Low</t>
  </si>
  <si>
    <t xml:space="preserve">Internal variance est for CI calc</t>
  </si>
  <si>
    <t xml:space="preserve">P1030</t>
  </si>
  <si>
    <t xml:space="preserve">VAR_LFP_IND_AMER_CONSTR</t>
  </si>
  <si>
    <t xml:space="preserve">Variance estimate for LFP (American, Construction)</t>
  </si>
  <si>
    <t xml:space="preserve">P1031</t>
  </si>
  <si>
    <t xml:space="preserve">VAR_LFP_IND_AMER_HOSP</t>
  </si>
  <si>
    <t xml:space="preserve">Variance estimate for LFP (American, Hospitality)</t>
  </si>
  <si>
    <t xml:space="preserve">P1032</t>
  </si>
  <si>
    <t xml:space="preserve">VAR_LFP_IND_AMER_CLEAN</t>
  </si>
  <si>
    <t xml:space="preserve">Variance estimate for LFP (American, Cleaning &amp; Maintenance)</t>
  </si>
  <si>
    <t xml:space="preserve">P1033</t>
  </si>
  <si>
    <t xml:space="preserve">VAR_LFP_IND_AMER_MFG</t>
  </si>
  <si>
    <t xml:space="preserve">Variance estimate for LFP (American, Manufacturing)</t>
  </si>
  <si>
    <t xml:space="preserve">P1034</t>
  </si>
  <si>
    <t xml:space="preserve">VAR_LFP_IND_AMER_TRANS</t>
  </si>
  <si>
    <t xml:space="preserve">Variance estimate for LFP (American, Transportation &amp; Warehousing)</t>
  </si>
  <si>
    <t xml:space="preserve">P1035</t>
  </si>
  <si>
    <t xml:space="preserve">VAR_LFP_IND_AMER_RETAIL</t>
  </si>
  <si>
    <t xml:space="preserve">Variance estimate for LFP (American, Retail Trade)</t>
  </si>
  <si>
    <t xml:space="preserve">P1036</t>
  </si>
  <si>
    <t xml:space="preserve">VAR_LFP_IND_AMER_LAND</t>
  </si>
  <si>
    <t xml:space="preserve">Variance estimate for LFP (American, Landscaping &amp; Groundskeeping)</t>
  </si>
  <si>
    <t xml:space="preserve">P1037</t>
  </si>
  <si>
    <t xml:space="preserve">VAR_LFP_IND_AMER_AUTO</t>
  </si>
  <si>
    <t xml:space="preserve">Variance estimate for LFP (American, Automotive Repair &amp; Maintenance)</t>
  </si>
  <si>
    <t xml:space="preserve">P1038</t>
  </si>
  <si>
    <t xml:space="preserve">VAR_LFP_IND_AMER_HEALTH</t>
  </si>
  <si>
    <t xml:space="preserve">Variance estimate for LFP (American, Health Care &amp; Social Assistance)</t>
  </si>
  <si>
    <t xml:space="preserve">P1039</t>
  </si>
  <si>
    <t xml:space="preserve">VAR_LFP_IND_AMER_PROF</t>
  </si>
  <si>
    <t xml:space="preserve">Variance estimate for LFP (American, Professional Services)</t>
  </si>
  <si>
    <t xml:space="preserve">P1040</t>
  </si>
  <si>
    <t xml:space="preserve">VAR_LFP_IND_AMER_EDUC</t>
  </si>
  <si>
    <t xml:space="preserve">Variance estimate for LFP (American, Educational Services)</t>
  </si>
  <si>
    <t xml:space="preserve">P1041</t>
  </si>
  <si>
    <t xml:space="preserve">VAR_LFP_IND_AMER_FIN</t>
  </si>
  <si>
    <t xml:space="preserve">Variance estimate for LFP (American, Finance &amp; Insurance)</t>
  </si>
  <si>
    <t xml:space="preserve">P1042</t>
  </si>
  <si>
    <t xml:space="preserve">VAR_LFP_IND_AMER_MEDIAIT</t>
  </si>
  <si>
    <t xml:space="preserve">Variance estimate for LFP (American, Media and Information Technology)</t>
  </si>
  <si>
    <t xml:space="preserve">P1043</t>
  </si>
  <si>
    <t xml:space="preserve">VAR_LFP_IND_AMER_PUBADMIN</t>
  </si>
  <si>
    <t xml:space="preserve">Variance estimate for LFP (American, Public Administration)</t>
  </si>
  <si>
    <t xml:space="preserve">P1044</t>
  </si>
  <si>
    <t xml:space="preserve">VAR_ETPR_IND_AMER_AG</t>
  </si>
  <si>
    <t xml:space="preserve">Variance estimate for ETPR (American, Agriculture)</t>
  </si>
  <si>
    <t xml:space="preserve">P1045</t>
  </si>
  <si>
    <t xml:space="preserve">VAR_ETPR_IND_AMER_CONSTR</t>
  </si>
  <si>
    <t xml:space="preserve">Variance estimate for ETPR (American, Construction)</t>
  </si>
  <si>
    <t xml:space="preserve">P1046</t>
  </si>
  <si>
    <t xml:space="preserve">VAR_ETPR_IND_AMER_HOSP</t>
  </si>
  <si>
    <t xml:space="preserve">Variance estimate for ETPR (American, Hospitality)</t>
  </si>
  <si>
    <t xml:space="preserve">P1047</t>
  </si>
  <si>
    <t xml:space="preserve">VAR_ETPR_IND_AMER_CLEAN</t>
  </si>
  <si>
    <t xml:space="preserve">Variance estimate for ETPR (American, Cleaning &amp; Maintenance)</t>
  </si>
  <si>
    <t xml:space="preserve">P1048</t>
  </si>
  <si>
    <t xml:space="preserve">VAR_ETPR_IND_AMER_MFG</t>
  </si>
  <si>
    <t xml:space="preserve">Variance estimate for ETPR (American, Manufacturing)</t>
  </si>
  <si>
    <t xml:space="preserve">P1049</t>
  </si>
  <si>
    <t xml:space="preserve">VAR_ETPR_IND_AMER_TRANS</t>
  </si>
  <si>
    <t xml:space="preserve">Variance estimate for ETPR (American, Transportation &amp; Warehousing)</t>
  </si>
  <si>
    <t xml:space="preserve">P1050</t>
  </si>
  <si>
    <t xml:space="preserve">VAR_ETPR_IND_AMER_RETAIL</t>
  </si>
  <si>
    <t xml:space="preserve">Variance estimate for ETPR (American, Retail Trade)</t>
  </si>
  <si>
    <t xml:space="preserve">P1051</t>
  </si>
  <si>
    <t xml:space="preserve">VAR_ETPR_IND_AMER_LAND</t>
  </si>
  <si>
    <t xml:space="preserve">Variance estimate for ETPR (American, Landscaping &amp; Groundskeeping)</t>
  </si>
  <si>
    <t xml:space="preserve">P1052</t>
  </si>
  <si>
    <t xml:space="preserve">VAR_ETPR_IND_AMER_AUTO</t>
  </si>
  <si>
    <t xml:space="preserve">Variance estimate for ETPR (American, Automotive Repair &amp; Maintenance)</t>
  </si>
  <si>
    <t xml:space="preserve">P1053</t>
  </si>
  <si>
    <t xml:space="preserve">VAR_ETPR_IND_AMER_HEALTH</t>
  </si>
  <si>
    <t xml:space="preserve">Variance estimate for ETPR (American, Health Care &amp; Social Assistance)</t>
  </si>
  <si>
    <t xml:space="preserve">P1054</t>
  </si>
  <si>
    <t xml:space="preserve">VAR_ETPR_IND_AMER_PROF</t>
  </si>
  <si>
    <t xml:space="preserve">Variance estimate for ETPR (American, Professional Services)</t>
  </si>
  <si>
    <t xml:space="preserve">P1055</t>
  </si>
  <si>
    <t xml:space="preserve">VAR_ETPR_IND_AMER_EDUC</t>
  </si>
  <si>
    <t xml:space="preserve">Variance estimate for ETPR (American, Educational Services)</t>
  </si>
  <si>
    <t xml:space="preserve">P1056</t>
  </si>
  <si>
    <t xml:space="preserve">VAR_ETPR_IND_AMER_FIN</t>
  </si>
  <si>
    <t xml:space="preserve">Variance estimate for ETPR (American, Finance &amp; Insurance)</t>
  </si>
  <si>
    <t xml:space="preserve">P1057</t>
  </si>
  <si>
    <t xml:space="preserve">VAR_ETPR_IND_AMER_MEDIAIT</t>
  </si>
  <si>
    <t xml:space="preserve">Variance estimate for ETPR (American, Media and Information Technology)</t>
  </si>
  <si>
    <t xml:space="preserve">P1058</t>
  </si>
  <si>
    <t xml:space="preserve">VAR_ETPR_IND_AMER_PUBADMIN</t>
  </si>
  <si>
    <t xml:space="preserve">Variance estimate for ETPR (American, Public Administration)</t>
  </si>
  <si>
    <t xml:space="preserve">P1059</t>
  </si>
  <si>
    <t xml:space="preserve">VAR_LFPR_IND_AMER_AG</t>
  </si>
  <si>
    <t xml:space="preserve">Variance estimate for LFPR (American, Agriculture)</t>
  </si>
  <si>
    <t xml:space="preserve">P1060</t>
  </si>
  <si>
    <t xml:space="preserve">VAR_LFPR_IND_AMER_CONSTR</t>
  </si>
  <si>
    <t xml:space="preserve">Variance estimate for LFPR (American, Construction)</t>
  </si>
  <si>
    <t xml:space="preserve">P1061</t>
  </si>
  <si>
    <t xml:space="preserve">VAR_LFPR_IND_AMER_HOSP</t>
  </si>
  <si>
    <t xml:space="preserve">Variance estimate for LFPR (American, Hospitality)</t>
  </si>
  <si>
    <t xml:space="preserve">P1062</t>
  </si>
  <si>
    <t xml:space="preserve">VAR_LFPR_IND_AMER_CLEAN</t>
  </si>
  <si>
    <t xml:space="preserve">Variance estimate for LFPR (American, Cleaning &amp; Maintenance)</t>
  </si>
  <si>
    <t xml:space="preserve">P1063</t>
  </si>
  <si>
    <t xml:space="preserve">VAR_LFPR_IND_AMER_MFG</t>
  </si>
  <si>
    <t xml:space="preserve">Variance estimate for LFPR (American, Manufacturing)</t>
  </si>
  <si>
    <t xml:space="preserve">P1064</t>
  </si>
  <si>
    <t xml:space="preserve">VAR_LFPR_IND_AMER_TRANS</t>
  </si>
  <si>
    <t xml:space="preserve">Variance estimate for LFPR (American, Transportation &amp; Warehousing)</t>
  </si>
  <si>
    <t xml:space="preserve">P1065</t>
  </si>
  <si>
    <t xml:space="preserve">VAR_LFPR_IND_AMER_RETAIL</t>
  </si>
  <si>
    <t xml:space="preserve">Variance estimate for LFPR (American, Retail Trade)</t>
  </si>
  <si>
    <t xml:space="preserve">P1066</t>
  </si>
  <si>
    <t xml:space="preserve">VAR_LFPR_IND_AMER_LAND</t>
  </si>
  <si>
    <t xml:space="preserve">Variance estimate for LFPR (American, Landscaping &amp; Groundskeeping)</t>
  </si>
  <si>
    <t xml:space="preserve">P1067</t>
  </si>
  <si>
    <t xml:space="preserve">VAR_LFPR_IND_AMER_AUTO</t>
  </si>
  <si>
    <t xml:space="preserve">Variance estimate for LFPR (American, Automotive Repair &amp; Maintenance)</t>
  </si>
  <si>
    <t xml:space="preserve">P1068</t>
  </si>
  <si>
    <t xml:space="preserve">VAR_LFPR_IND_AMER_HEALTH</t>
  </si>
  <si>
    <t xml:space="preserve">Variance estimate for LFPR (American, Health Care &amp; Social Assistance)</t>
  </si>
  <si>
    <t xml:space="preserve">P1069</t>
  </si>
  <si>
    <t xml:space="preserve">VAR_LFPR_IND_AMER_PROF</t>
  </si>
  <si>
    <t xml:space="preserve">Variance estimate for LFPR (American, Professional Services)</t>
  </si>
  <si>
    <t xml:space="preserve">P1070</t>
  </si>
  <si>
    <t xml:space="preserve">VAR_LFPR_IND_AMER_EDUC</t>
  </si>
  <si>
    <t xml:space="preserve">Variance estimate for LFPR (American, Educational Services)</t>
  </si>
  <si>
    <t xml:space="preserve">P1071</t>
  </si>
  <si>
    <t xml:space="preserve">VAR_U3R_IND_AMER_AG</t>
  </si>
  <si>
    <t xml:space="preserve">Variance estimate for U3R (American, Agriculture)</t>
  </si>
  <si>
    <t xml:space="preserve">P1072</t>
  </si>
  <si>
    <t xml:space="preserve">VAR_U3R_IND_AMER_CONSTR</t>
  </si>
  <si>
    <t xml:space="preserve">Variance estimate for U3R (American, Construction)</t>
  </si>
  <si>
    <t xml:space="preserve">P1073</t>
  </si>
  <si>
    <t xml:space="preserve">VAR_U3R_IND_AMER_HOSP</t>
  </si>
  <si>
    <t xml:space="preserve">Variance estimate for U3R (American, Hospitality)</t>
  </si>
  <si>
    <t xml:space="preserve">P1074</t>
  </si>
  <si>
    <t xml:space="preserve">VAR_U3R_IND_AMER_CLEAN</t>
  </si>
  <si>
    <t xml:space="preserve">Variance estimate for U3R (American, Cleaning &amp; Maintenance)</t>
  </si>
  <si>
    <t xml:space="preserve">P1075</t>
  </si>
  <si>
    <t xml:space="preserve">VAR_U3R_IND_AMER_MFG</t>
  </si>
  <si>
    <t xml:space="preserve">Variance estimate for U3R (American, Manufacturing)</t>
  </si>
  <si>
    <t xml:space="preserve">P1076</t>
  </si>
  <si>
    <t xml:space="preserve">VAR_U3R_IND_AMER_TRANS</t>
  </si>
  <si>
    <t xml:space="preserve">Variance estimate for U3R (American, Transportation &amp; Warehousing)</t>
  </si>
  <si>
    <t xml:space="preserve">P1077</t>
  </si>
  <si>
    <t xml:space="preserve">VAR_U3R_IND_AMER_RETAIL</t>
  </si>
  <si>
    <t xml:space="preserve">Variance estimate for U3R (American, Retail Trade)</t>
  </si>
  <si>
    <t xml:space="preserve">P1078</t>
  </si>
  <si>
    <t xml:space="preserve">VAR_U3R_IND_AMER_LAND</t>
  </si>
  <si>
    <t xml:space="preserve">Variance estimate for U3R (American, Landscaping &amp; Groundskeeping)</t>
  </si>
  <si>
    <t xml:space="preserve">P1079</t>
  </si>
  <si>
    <t xml:space="preserve">VAR_U3R_IND_AMER_AUTO</t>
  </si>
  <si>
    <t xml:space="preserve">Variance estimate for U3R (American, Automotive Repair &amp; Maintenance)</t>
  </si>
  <si>
    <t xml:space="preserve">P1080</t>
  </si>
  <si>
    <t xml:space="preserve">VAR_U3R_IND_AMER_HEALTH</t>
  </si>
  <si>
    <t xml:space="preserve">Variance estimate for U3R (American, Health Care &amp; Social Assistance)</t>
  </si>
  <si>
    <t xml:space="preserve">P1081</t>
  </si>
  <si>
    <t xml:space="preserve">VAR_U3R_IND_AMER_PROF</t>
  </si>
  <si>
    <t xml:space="preserve">Variance estimate for U3R (American, Professional Services)</t>
  </si>
  <si>
    <t xml:space="preserve">P1082</t>
  </si>
  <si>
    <t xml:space="preserve">VAR_U3R_IND_AMER_EDUC</t>
  </si>
  <si>
    <t xml:space="preserve">Variance estimate for U3R (American, Educational Services)</t>
  </si>
  <si>
    <t xml:space="preserve">P1083</t>
  </si>
  <si>
    <t xml:space="preserve">VAR_U3R_IND_AMER_FIN</t>
  </si>
  <si>
    <t xml:space="preserve">Variance estimate for U3R (American, Finance &amp; Insurance)</t>
  </si>
  <si>
    <t xml:space="preserve">P1084</t>
  </si>
  <si>
    <t xml:space="preserve">VAR_U3R_IND_AMER_MEDIAIT</t>
  </si>
  <si>
    <t xml:space="preserve">Variance estimate for U3R (American, Media and Information Technology)</t>
  </si>
  <si>
    <t xml:space="preserve">P1085</t>
  </si>
  <si>
    <t xml:space="preserve">VAR_U3R_IND_AMER_PUBADMIN</t>
  </si>
  <si>
    <t xml:space="preserve">Variance estimate for U3R (American, Public Administration)</t>
  </si>
  <si>
    <t xml:space="preserve">P1086</t>
  </si>
  <si>
    <t xml:space="preserve">VAR_U6R_IND_AMER_AG</t>
  </si>
  <si>
    <t xml:space="preserve">Variance estimate for U6R (American, Agriculture)</t>
  </si>
  <si>
    <t xml:space="preserve">P1087</t>
  </si>
  <si>
    <t xml:space="preserve">VAR_U6R_IND_AMER_CONSTR</t>
  </si>
  <si>
    <t xml:space="preserve">Variance estimate for U6R (American, Construction)</t>
  </si>
  <si>
    <t xml:space="preserve">P1088</t>
  </si>
  <si>
    <t xml:space="preserve">VAR_U6R_IND_AMER_HOSP</t>
  </si>
  <si>
    <t xml:space="preserve">Variance estimate for U6R (American, Hospitality)</t>
  </si>
  <si>
    <t xml:space="preserve">P1089</t>
  </si>
  <si>
    <t xml:space="preserve">VAR_U6R_IND_AMER_CLEAN</t>
  </si>
  <si>
    <t xml:space="preserve">Variance estimate for U6R (American, Cleaning &amp; Maintenance)</t>
  </si>
  <si>
    <t xml:space="preserve">P1090</t>
  </si>
  <si>
    <t xml:space="preserve">VAR_U6R_IND_AMER_MFG</t>
  </si>
  <si>
    <t xml:space="preserve">Variance estimate for U6R (American, Manufacturing)</t>
  </si>
  <si>
    <t xml:space="preserve">P1091</t>
  </si>
  <si>
    <t xml:space="preserve">VAR_U6R_IND_AMER_TRANS</t>
  </si>
  <si>
    <t xml:space="preserve">Variance estimate for U6R (American, Transportation &amp; Warehousing)</t>
  </si>
  <si>
    <t xml:space="preserve">P1092</t>
  </si>
  <si>
    <t xml:space="preserve">VAR_U6R_IND_AMER_RETAIL</t>
  </si>
  <si>
    <t xml:space="preserve">Variance estimate for U6R (American, Retail Trade)</t>
  </si>
  <si>
    <t xml:space="preserve">P1093</t>
  </si>
  <si>
    <t xml:space="preserve">VAR_U6R_IND_AMER_LAND</t>
  </si>
  <si>
    <t xml:space="preserve">Variance estimate for U6R (American, Landscaping &amp; Groundskeeping)</t>
  </si>
  <si>
    <t xml:space="preserve">P1094</t>
  </si>
  <si>
    <t xml:space="preserve">VAR_U6R_IND_AMER_AUTO</t>
  </si>
  <si>
    <t xml:space="preserve">Variance estimate for U6R (American, Automotive Repair &amp; Maintenance)</t>
  </si>
  <si>
    <t xml:space="preserve">P1095</t>
  </si>
  <si>
    <t xml:space="preserve">VAR_U6R_IND_AMER_HEALTH</t>
  </si>
  <si>
    <t xml:space="preserve">Variance estimate for U6R (American, Health Care &amp; Social Assistance)</t>
  </si>
  <si>
    <t xml:space="preserve">P1096</t>
  </si>
  <si>
    <t xml:space="preserve">VAR_U6R_IND_AMER_PROF</t>
  </si>
  <si>
    <t xml:space="preserve">Variance estimate for U6R (American, Professional Services)</t>
  </si>
  <si>
    <t xml:space="preserve">P1097</t>
  </si>
  <si>
    <t xml:space="preserve">VAR_U6R_IND_AMER_EDUC</t>
  </si>
  <si>
    <t xml:space="preserve">Variance estimate for U6R (American, Educational Services)</t>
  </si>
  <si>
    <t xml:space="preserve">P1098</t>
  </si>
  <si>
    <t xml:space="preserve">VAR_U6R_IND_AMER_FIN</t>
  </si>
  <si>
    <t xml:space="preserve">Variance estimate for U6R (American, Finance &amp; Insurance)</t>
  </si>
  <si>
    <t xml:space="preserve">P1099</t>
  </si>
  <si>
    <t xml:space="preserve">VAR_U6R_IND_AMER_MEDIAIT</t>
  </si>
  <si>
    <t xml:space="preserve">Variance estimate for U6R (American, Media and Information Technology)</t>
  </si>
  <si>
    <t xml:space="preserve">P1100</t>
  </si>
  <si>
    <t xml:space="preserve">VAR_U6R_IND_AMER_PUBADMIN</t>
  </si>
  <si>
    <t xml:space="preserve">Variance estimate for U6R (American, Public Administration)</t>
  </si>
  <si>
    <t xml:space="preserve">P1101</t>
  </si>
  <si>
    <t xml:space="preserve">VAR_WAVG_IND_AMER_AG</t>
  </si>
  <si>
    <t xml:space="preserve">Variance estimate for WAVG (American, Agriculture)</t>
  </si>
  <si>
    <t xml:space="preserve">($/hr²)</t>
  </si>
  <si>
    <t xml:space="preserve">Derived / OEWS sampling variance</t>
  </si>
  <si>
    <t xml:space="preserve">P1102</t>
  </si>
  <si>
    <t xml:space="preserve">VAR_WAVG_IND_AMER_CONSTR</t>
  </si>
  <si>
    <t xml:space="preserve">Variance estimate for WAVG (American, Construction)</t>
  </si>
  <si>
    <t xml:space="preserve">P1103</t>
  </si>
  <si>
    <t xml:space="preserve">VAR_WAVG_IND_AMER_HOSP</t>
  </si>
  <si>
    <t xml:space="preserve">Variance estimate for WAVG (American, Hospitality)</t>
  </si>
  <si>
    <t xml:space="preserve">P1104</t>
  </si>
  <si>
    <t xml:space="preserve">VAR_WAVG_IND_AMER_CLEAN</t>
  </si>
  <si>
    <t xml:space="preserve">Variance estimate for WAVG (American, Cleaning &amp; Maintenance)</t>
  </si>
  <si>
    <t xml:space="preserve">P1105</t>
  </si>
  <si>
    <t xml:space="preserve">VAR_WAVG_IND_AMER_MFG</t>
  </si>
  <si>
    <t xml:space="preserve">Variance estimate for WAVG (American, Manufacturing)</t>
  </si>
  <si>
    <t xml:space="preserve">P1106</t>
  </si>
  <si>
    <t xml:space="preserve">VAR_WAVG_IND_AMER_TRANS</t>
  </si>
  <si>
    <t xml:space="preserve">Variance estimate for WAVG (American, Transportation &amp; Warehousing)</t>
  </si>
  <si>
    <t xml:space="preserve">P1107</t>
  </si>
  <si>
    <t xml:space="preserve">VAR_WAVG_IND_AMER_RETAIL</t>
  </si>
  <si>
    <t xml:space="preserve">Variance estimate for WAVG (American, Retail Trade)</t>
  </si>
  <si>
    <t xml:space="preserve">P1108</t>
  </si>
  <si>
    <t xml:space="preserve">VAR_WAVG_IND_AMER_LAND</t>
  </si>
  <si>
    <t xml:space="preserve">Variance estimate for WAVG (American, Landscaping &amp; Groundskeeping)</t>
  </si>
  <si>
    <t xml:space="preserve">P1109</t>
  </si>
  <si>
    <t xml:space="preserve">VAR_WAVG_IND_AMER_AUTO</t>
  </si>
  <si>
    <t xml:space="preserve">Variance estimate for WAVG (American, Automotive Repair &amp; Maintenance)</t>
  </si>
  <si>
    <t xml:space="preserve">P1110</t>
  </si>
  <si>
    <t xml:space="preserve">VAR_WAVG_IND_AMER_HEALTH</t>
  </si>
  <si>
    <t xml:space="preserve">Variance estimate for WAVG (American, Health Care &amp; Social Assistance)</t>
  </si>
  <si>
    <t xml:space="preserve">P1111</t>
  </si>
  <si>
    <t xml:space="preserve">VAR_WAVG_IND_AMER_PROF</t>
  </si>
  <si>
    <t xml:space="preserve">Variance estimate for WAVG (American, Professional Services)</t>
  </si>
  <si>
    <t xml:space="preserve">P1112</t>
  </si>
  <si>
    <t xml:space="preserve">VAR_WAVG_IND_AMER_EDUC</t>
  </si>
  <si>
    <t xml:space="preserve">Variance estimate for WAVG (American, Educational Services)</t>
  </si>
  <si>
    <t xml:space="preserve">P1113</t>
  </si>
  <si>
    <t xml:space="preserve">VAR_WAVG_IND_AMER_FIN</t>
  </si>
  <si>
    <t xml:space="preserve">Variance estimate for WAVG (American, Finance &amp; Insurance)</t>
  </si>
  <si>
    <t xml:space="preserve">P1114</t>
  </si>
  <si>
    <t xml:space="preserve">VAR_WAVG_IND_AMER_MEDIAIT</t>
  </si>
  <si>
    <t xml:space="preserve">Variance estimate for WAVG (American, Media and Information Technology)</t>
  </si>
  <si>
    <t xml:space="preserve">P1115</t>
  </si>
  <si>
    <t xml:space="preserve">VAR_WAVG_IND_AMER_PUBADMIN</t>
  </si>
  <si>
    <t xml:space="preserve">Variance estimate for WAVG (American, Public Administration)</t>
  </si>
  <si>
    <t xml:space="preserve">P1116</t>
  </si>
  <si>
    <t xml:space="preserve">VAR_AIAVG_IND_AMER_AG</t>
  </si>
  <si>
    <t xml:space="preserve">Variance estimate for AIAVG (American, Agriculture)</t>
  </si>
  <si>
    <t xml:space="preserve">($ annual²)</t>
  </si>
  <si>
    <t xml:space="preserve">Derived from WAVG variance × hours²</t>
  </si>
  <si>
    <t xml:space="preserve">P1117</t>
  </si>
  <si>
    <t xml:space="preserve">VAR_AIAVG_IND_AMER_CONSTR</t>
  </si>
  <si>
    <t xml:space="preserve">Variance estimate for AIAVG (American, Construction)</t>
  </si>
  <si>
    <t xml:space="preserve">P1118</t>
  </si>
  <si>
    <t xml:space="preserve">VAR_AIAVG_IND_AMER_HOSP</t>
  </si>
  <si>
    <t xml:space="preserve">Variance estimate for AIAVG (American, Hospitality)</t>
  </si>
  <si>
    <t xml:space="preserve">P1119</t>
  </si>
  <si>
    <t xml:space="preserve">VAR_AIAVG_IND_AMER_CLEAN</t>
  </si>
  <si>
    <t xml:space="preserve">Variance estimate for AIAVG (American, Cleaning &amp; Maintenance)</t>
  </si>
  <si>
    <t xml:space="preserve">P1120</t>
  </si>
  <si>
    <t xml:space="preserve">VAR_AIAVG_IND_AMER_MFG</t>
  </si>
  <si>
    <t xml:space="preserve">Variance estimate for AIAVG (American, Manufacturing)</t>
  </si>
  <si>
    <t xml:space="preserve">P1121</t>
  </si>
  <si>
    <t xml:space="preserve">VAR_AIAVG_IND_AMER_TRANS</t>
  </si>
  <si>
    <t xml:space="preserve">Variance estimate for AIAVG (American, Transportation &amp; Warehousing)</t>
  </si>
  <si>
    <t xml:space="preserve">P1122</t>
  </si>
  <si>
    <t xml:space="preserve">VAR_AIAVG_IND_AMER_RETAIL</t>
  </si>
  <si>
    <t xml:space="preserve">Variance estimate for AIAVG (American, Retail Trade)</t>
  </si>
  <si>
    <t xml:space="preserve">P1123</t>
  </si>
  <si>
    <t xml:space="preserve">VAR_AIAVG_IND_AMER_LAND</t>
  </si>
  <si>
    <t xml:space="preserve">Variance estimate for AIAVG (American, Landscaping &amp; Groundskeeping)</t>
  </si>
  <si>
    <t xml:space="preserve">P1124</t>
  </si>
  <si>
    <t xml:space="preserve">VAR_AIAVG_IND_AMER_AUTO</t>
  </si>
  <si>
    <t xml:space="preserve">Variance estimate for AIAVG (American, Automotive Repair &amp; Maintenance)</t>
  </si>
  <si>
    <t xml:space="preserve">P1125</t>
  </si>
  <si>
    <t xml:space="preserve">VAR_AIAVG_IND_AMER_HEALTH</t>
  </si>
  <si>
    <t xml:space="preserve">Variance estimate for AIAVG (American, Health Care &amp; Social Assistance)</t>
  </si>
  <si>
    <t xml:space="preserve">P1126</t>
  </si>
  <si>
    <t xml:space="preserve">VAR_AIAVG_IND_AMER_PROF</t>
  </si>
  <si>
    <t xml:space="preserve">Variance estimate for AIAVG (American, Professional Services)</t>
  </si>
  <si>
    <t xml:space="preserve">P1127</t>
  </si>
  <si>
    <t xml:space="preserve">VAR_AIAVG_IND_AMER_EDUC</t>
  </si>
  <si>
    <t xml:space="preserve">Variance estimate for AIAVG (American, Educational Services)</t>
  </si>
  <si>
    <t xml:space="preserve">P1128</t>
  </si>
  <si>
    <t xml:space="preserve">VAR_AIAVG_IND_AMER_FIN</t>
  </si>
  <si>
    <t xml:space="preserve">Variance estimate for AIAVG (American, Finance &amp; Insurance)</t>
  </si>
  <si>
    <t xml:space="preserve">P1129</t>
  </si>
  <si>
    <t xml:space="preserve">VAR_AIAVG_IND_AMER_MEDIAIT</t>
  </si>
  <si>
    <t xml:space="preserve">Variance estimate for AIAVG (American, Media and Information Technology)</t>
  </si>
  <si>
    <t xml:space="preserve">P1130</t>
  </si>
  <si>
    <t xml:space="preserve">VAR_AIAVG_IND_AMER_PUBADMIN</t>
  </si>
  <si>
    <t xml:space="preserve">Variance estimate for AIAVG (American, Public Administration)</t>
  </si>
  <si>
    <t xml:space="preserve">P1131</t>
  </si>
  <si>
    <t xml:space="preserve">VAR_FPITREV_IND_AMER_AG</t>
  </si>
  <si>
    <t xml:space="preserve">Variance estimate for FPITREV (American, Agriculture)</t>
  </si>
  <si>
    <t xml:space="preserve">($)</t>
  </si>
  <si>
    <t xml:space="preserve">P1132</t>
  </si>
  <si>
    <t xml:space="preserve">VAR_FPITREV_IND_AMER_CONSTR</t>
  </si>
  <si>
    <t xml:space="preserve">Variance estimate for FPITREV (American, Construction)</t>
  </si>
  <si>
    <t xml:space="preserve">P1133</t>
  </si>
  <si>
    <t xml:space="preserve">VAR_FPITREV_IND_AMER_HOSP</t>
  </si>
  <si>
    <t xml:space="preserve">Variance estimate for FPITREV (American, Hospitality)</t>
  </si>
  <si>
    <t xml:space="preserve">P1134</t>
  </si>
  <si>
    <t xml:space="preserve">VAR_FPITREV_IND_AMER_CLEAN</t>
  </si>
  <si>
    <t xml:space="preserve">Variance estimate for FPITREV (American, Cleaning &amp; Maintenance)</t>
  </si>
  <si>
    <t xml:space="preserve">P1135</t>
  </si>
  <si>
    <t xml:space="preserve">VAR_FPITREV_IND_AMER_MFG</t>
  </si>
  <si>
    <t xml:space="preserve">Variance estimate for FPITREV (American, Manufacturing)</t>
  </si>
  <si>
    <t xml:space="preserve">P1136</t>
  </si>
  <si>
    <t xml:space="preserve">VAR_FPITREV_IND_AMER_TRANS</t>
  </si>
  <si>
    <t xml:space="preserve">Variance estimate for FPITREV (American, Transportation &amp; Warehousing)</t>
  </si>
  <si>
    <t xml:space="preserve">P1137</t>
  </si>
  <si>
    <t xml:space="preserve">VAR_FPITREV_IND_AMER_RETAIL</t>
  </si>
  <si>
    <t xml:space="preserve">Variance estimate for FPITREV (American, Retail Trade)</t>
  </si>
  <si>
    <t xml:space="preserve">P1138</t>
  </si>
  <si>
    <t xml:space="preserve">VAR_FPITREV_IND_AMER_LAND</t>
  </si>
  <si>
    <t xml:space="preserve">Variance estimate for FPITREV (American, Landscaping &amp; Groundskeeping)</t>
  </si>
  <si>
    <t xml:space="preserve">P1139</t>
  </si>
  <si>
    <t xml:space="preserve">VAR_FPITREV_IND_AMER_AUTO</t>
  </si>
  <si>
    <t xml:space="preserve">Variance estimate for FPITREV (American, Automotive Repair &amp; Maintenance)</t>
  </si>
  <si>
    <t xml:space="preserve">P1140</t>
  </si>
  <si>
    <t xml:space="preserve">VAR_FPITREV_IND_AMER_HEALTH</t>
  </si>
  <si>
    <t xml:space="preserve">Variance estimate for FPITREV (American, Health Care &amp; Social Assistance)</t>
  </si>
  <si>
    <t xml:space="preserve">P1141</t>
  </si>
  <si>
    <t xml:space="preserve">VAR_FPITREV_IND_AMER_PROF</t>
  </si>
  <si>
    <t xml:space="preserve">Variance estimate for FPITREV (American, Professional Services)</t>
  </si>
  <si>
    <t xml:space="preserve">P1142</t>
  </si>
  <si>
    <t xml:space="preserve">VAR_FPITREV_IND_AMER_EDUC</t>
  </si>
  <si>
    <t xml:space="preserve">Variance estimate for FPITREV (American, Educational Services)</t>
  </si>
  <si>
    <t xml:space="preserve">P1143</t>
  </si>
  <si>
    <t xml:space="preserve">VAR_FPITREV_IND_AMER_FIN</t>
  </si>
  <si>
    <t xml:space="preserve">Variance estimate for FPITREV (American, Finance &amp; Insurance)</t>
  </si>
  <si>
    <t xml:space="preserve">P1144</t>
  </si>
  <si>
    <t xml:space="preserve">VAR_FPITREV_IND_AMER_MEDIAIT</t>
  </si>
  <si>
    <t xml:space="preserve">Variance estimate for FPITREV (American, Media and Information Technology)</t>
  </si>
  <si>
    <t xml:space="preserve">P1145</t>
  </si>
  <si>
    <t xml:space="preserve">VAR_FPITREV_IND_AMER_PUBADMIN</t>
  </si>
  <si>
    <t xml:space="preserve">Variance estimate for FPITREV (American, Public Administration)</t>
  </si>
  <si>
    <t xml:space="preserve">P1146</t>
  </si>
  <si>
    <t xml:space="preserve">VAR_SLTR_IND_AMER_AG</t>
  </si>
  <si>
    <t xml:space="preserve">Variance estimate for SLTR (American, Agriculture)</t>
  </si>
  <si>
    <t xml:space="preserve">P1147</t>
  </si>
  <si>
    <t xml:space="preserve">VAR_SLTR_IND_AMER_CONSTR</t>
  </si>
  <si>
    <t xml:space="preserve">Variance estimate for SLTR (American, Construction)</t>
  </si>
  <si>
    <t xml:space="preserve">P1148</t>
  </si>
  <si>
    <t xml:space="preserve">VAR_SLTR_IND_AMER_HOSP</t>
  </si>
  <si>
    <t xml:space="preserve">Variance estimate for SLTR (American, Hospitality)</t>
  </si>
  <si>
    <t xml:space="preserve">P1149</t>
  </si>
  <si>
    <t xml:space="preserve">VAR_SLTR_IND_AMER_CLEAN</t>
  </si>
  <si>
    <t xml:space="preserve">Variance estimate for SLTR (American, Cleaning &amp; Maintenance)</t>
  </si>
  <si>
    <t xml:space="preserve">P1150</t>
  </si>
  <si>
    <t xml:space="preserve">VAR_SLTR_IND_AMER_MFG</t>
  </si>
  <si>
    <t xml:space="preserve">Variance estimate for SLTR (American, Manufacturing)</t>
  </si>
  <si>
    <t xml:space="preserve">P1151</t>
  </si>
  <si>
    <t xml:space="preserve">VAR_SLTR_IND_AMER_TRANS</t>
  </si>
  <si>
    <t xml:space="preserve">Variance estimate for SLTR (American, Transportation &amp; Warehousing)</t>
  </si>
  <si>
    <t xml:space="preserve">P1152</t>
  </si>
  <si>
    <t xml:space="preserve">VAR_SLTR_IND_AMER_RETAIL</t>
  </si>
  <si>
    <t xml:space="preserve">Variance estimate for SLTR (American, Retail Trade)</t>
  </si>
  <si>
    <t xml:space="preserve">P1153</t>
  </si>
  <si>
    <t xml:space="preserve">VAR_SLTR_IND_AMER_LAND</t>
  </si>
  <si>
    <t xml:space="preserve">Variance estimate for SLTR (American, Landscaping &amp; Groundskeeping)</t>
  </si>
  <si>
    <t xml:space="preserve">P1154</t>
  </si>
  <si>
    <t xml:space="preserve">VAR_SLTR_IND_AMER_AUTO</t>
  </si>
  <si>
    <t xml:space="preserve">Variance estimate for SLTR (American, Automotive Repair &amp; Maintenance)</t>
  </si>
  <si>
    <t xml:space="preserve">P1155</t>
  </si>
  <si>
    <t xml:space="preserve">VAR_SLTR_IND_AMER_HEALTH</t>
  </si>
  <si>
    <t xml:space="preserve">Variance estimate for SLTR (American, Health Care &amp; Social Assistance)</t>
  </si>
  <si>
    <t xml:space="preserve">P1156</t>
  </si>
  <si>
    <t xml:space="preserve">VAR_SLTR_IND_AMER_PROF</t>
  </si>
  <si>
    <t xml:space="preserve">Variance estimate for SLTR (American, Professional Services)</t>
  </si>
  <si>
    <t xml:space="preserve">P1157</t>
  </si>
  <si>
    <t xml:space="preserve">VAR_SLTR_IND_AMER_EDUC</t>
  </si>
  <si>
    <t xml:space="preserve">Variance estimate for SLTR (American, Educational Services)</t>
  </si>
  <si>
    <t xml:space="preserve">P1158</t>
  </si>
  <si>
    <t xml:space="preserve">VAR_SLTR_IND_AMER_FIN</t>
  </si>
  <si>
    <t xml:space="preserve">Variance estimate for SLTR (American, Finance &amp; Insurance)</t>
  </si>
  <si>
    <t xml:space="preserve">P1159</t>
  </si>
  <si>
    <t xml:space="preserve">VAR_SLTR_IND_AMER_MEDIAIT</t>
  </si>
  <si>
    <t xml:space="preserve">Variance estimate for SLTR (American, Media and Information Technology)</t>
  </si>
  <si>
    <t xml:space="preserve">P1160</t>
  </si>
  <si>
    <t xml:space="preserve">VAR_SLTR_IND_AMER_PUBADMIN</t>
  </si>
  <si>
    <t xml:space="preserve">Variance estimate for SLTR (American, Public Administration)</t>
  </si>
  <si>
    <t xml:space="preserve">P1161</t>
  </si>
  <si>
    <t xml:space="preserve">VAR_SSMC_IND_AMER_AG</t>
  </si>
  <si>
    <t xml:space="preserve">Variance estimate for SSMC (American, Agriculture)</t>
  </si>
  <si>
    <t xml:space="preserve">P1162</t>
  </si>
  <si>
    <t xml:space="preserve">VAR_SSMC_IND_AMER_CONSTR</t>
  </si>
  <si>
    <t xml:space="preserve">Variance estimate for SSMC (American, Construction)</t>
  </si>
  <si>
    <t xml:space="preserve">P1163</t>
  </si>
  <si>
    <t xml:space="preserve">VAR_SSMC_IND_AMER_HOSP</t>
  </si>
  <si>
    <t xml:space="preserve">Variance estimate for SSMC (American, Hospitality)</t>
  </si>
  <si>
    <t xml:space="preserve">P1164</t>
  </si>
  <si>
    <t xml:space="preserve">VAR_SSMC_IND_AMER_CLEAN</t>
  </si>
  <si>
    <t xml:space="preserve">Variance estimate for SSMC (American, Cleaning &amp; Maintenance)</t>
  </si>
  <si>
    <t xml:space="preserve">P1165</t>
  </si>
  <si>
    <t xml:space="preserve">VAR_SSMC_IND_AMER_MFG</t>
  </si>
  <si>
    <t xml:space="preserve">Variance estimate for SSMC (American, Manufacturing)</t>
  </si>
  <si>
    <t xml:space="preserve">P1166</t>
  </si>
  <si>
    <t xml:space="preserve">VAR_SSMC_IND_AMER_TRANS</t>
  </si>
  <si>
    <t xml:space="preserve">Variance estimate for SSMC (American, Transportation &amp; Warehousing)</t>
  </si>
  <si>
    <t xml:space="preserve">P1167</t>
  </si>
  <si>
    <t xml:space="preserve">VAR_SSMC_IND_AMER_RETAIL</t>
  </si>
  <si>
    <t xml:space="preserve">Variance estimate for SSMC (American, Retail Trade)</t>
  </si>
  <si>
    <t xml:space="preserve">P1168</t>
  </si>
  <si>
    <t xml:space="preserve">VAR_SSMC_IND_AMER_LAND</t>
  </si>
  <si>
    <t xml:space="preserve">Variance estimate for SSMC (American, Landscaping &amp; Groundskeeping)</t>
  </si>
  <si>
    <t xml:space="preserve">P1169</t>
  </si>
  <si>
    <t xml:space="preserve">VAR_SSMC_IND_AMER_AUTO</t>
  </si>
  <si>
    <t xml:space="preserve">Variance estimate for SSMC (American, Automotive Repair &amp; Maintenance)</t>
  </si>
  <si>
    <t xml:space="preserve">P1170</t>
  </si>
  <si>
    <t xml:space="preserve">VAR_SSMC_IND_AMER_HEALTH</t>
  </si>
  <si>
    <t xml:space="preserve">Variance estimate for SSMC (American, Health Care &amp; Social Assistance)</t>
  </si>
  <si>
    <t xml:space="preserve">P1171</t>
  </si>
  <si>
    <t xml:space="preserve">VAR_SSMC_IND_AMER_PROF</t>
  </si>
  <si>
    <t xml:space="preserve">Variance estimate for SSMC (American, Professional Services)</t>
  </si>
  <si>
    <t xml:space="preserve">P1172</t>
  </si>
  <si>
    <t xml:space="preserve">VAR_SSMC_IND_AMER_EDUC</t>
  </si>
  <si>
    <t xml:space="preserve">Variance estimate for SSMC (American, Educational Services)</t>
  </si>
  <si>
    <t xml:space="preserve">P1173</t>
  </si>
  <si>
    <t xml:space="preserve">VAR_SSMC_IND_AMER_FIN</t>
  </si>
  <si>
    <t xml:space="preserve">Variance estimate for SSMC (American, Finance &amp; Insurance)</t>
  </si>
  <si>
    <t xml:space="preserve">P1174</t>
  </si>
  <si>
    <t xml:space="preserve">VAR_SSMC_IND_AMER_MEDIAIT</t>
  </si>
  <si>
    <t xml:space="preserve">Variance estimate for SSMC (American, Media and Information Technology)</t>
  </si>
  <si>
    <t xml:space="preserve">P1175</t>
  </si>
  <si>
    <t xml:space="preserve">VAR_SSMC_IND_AMER_PUBADMIN</t>
  </si>
  <si>
    <t xml:space="preserve">Variance estimate for SSMC (American, Public Administration)</t>
  </si>
  <si>
    <t xml:space="preserve">P1176</t>
  </si>
  <si>
    <t xml:space="preserve">VAR_PAUR_COST_IND_AMER_AG</t>
  </si>
  <si>
    <t xml:space="preserve">Variance estimate for PAUR_cost (American, Agriculture)</t>
  </si>
  <si>
    <t xml:space="preserve">P1177</t>
  </si>
  <si>
    <t xml:space="preserve">VAR_PAUR_COST_IND_AMER_CONSTR</t>
  </si>
  <si>
    <t xml:space="preserve">Variance estimate for PAUR_cost (American, Construction)</t>
  </si>
  <si>
    <t xml:space="preserve">P1178</t>
  </si>
  <si>
    <t xml:space="preserve">VAR_PAUR_COST_IND_AMER_HOSP</t>
  </si>
  <si>
    <t xml:space="preserve">Variance estimate for PAUR_cost (American, Hospitality)</t>
  </si>
  <si>
    <t xml:space="preserve">P1179</t>
  </si>
  <si>
    <t xml:space="preserve">VAR_PAUR_COST_IND_AMER_CLEAN</t>
  </si>
  <si>
    <t xml:space="preserve">Variance estimate for PAUR_cost (American, Cleaning &amp; Maintenance)</t>
  </si>
  <si>
    <t xml:space="preserve">P1180</t>
  </si>
  <si>
    <t xml:space="preserve">VAR_PAUR_COST_IND_AMER_MFG</t>
  </si>
  <si>
    <t xml:space="preserve">Variance estimate for PAUR_cost (American, Manufacturing)</t>
  </si>
  <si>
    <t xml:space="preserve">P1181</t>
  </si>
  <si>
    <t xml:space="preserve">VAR_PAUR_COST_IND_AMER_TRANS</t>
  </si>
  <si>
    <t xml:space="preserve">Variance estimate for PAUR_cost (American, Transportation &amp; Warehousing)</t>
  </si>
  <si>
    <t xml:space="preserve">P1182</t>
  </si>
  <si>
    <t xml:space="preserve">VAR_PAUR_COST_IND_AMER_RETAIL</t>
  </si>
  <si>
    <t xml:space="preserve">Variance estimate for PAUR_cost (American, Retail Trade)</t>
  </si>
  <si>
    <t xml:space="preserve">P1183</t>
  </si>
  <si>
    <t xml:space="preserve">VAR_PAUR_COST_IND_AMER_LAND</t>
  </si>
  <si>
    <t xml:space="preserve">Variance estimate for PAUR_cost (American, Landscaping &amp; Groundskeeping)</t>
  </si>
  <si>
    <t xml:space="preserve">P1184</t>
  </si>
  <si>
    <t xml:space="preserve">VAR_PAUR_COST_IND_AMER_AUTO</t>
  </si>
  <si>
    <t xml:space="preserve">Variance estimate for PAUR_cost (American, Automotive Repair &amp; Maintenance)</t>
  </si>
  <si>
    <t xml:space="preserve">P1185</t>
  </si>
  <si>
    <t xml:space="preserve">VAR_PAUR_COST_IND_AMER_HEALTH</t>
  </si>
  <si>
    <t xml:space="preserve">Variance estimate for PAUR_cost (American, Health Care &amp; Social Assistance)</t>
  </si>
  <si>
    <t xml:space="preserve">P1186</t>
  </si>
  <si>
    <t xml:space="preserve">VAR_PAUR_COST_IND_AMER_PROF</t>
  </si>
  <si>
    <t xml:space="preserve">Variance estimate for PAUR_cost (American, Professional Services)</t>
  </si>
  <si>
    <t xml:space="preserve">P1187</t>
  </si>
  <si>
    <t xml:space="preserve">VAR_PAUR_COST_IND_AMER_EDUC</t>
  </si>
  <si>
    <t xml:space="preserve">Variance estimate for PAUR_cost (American, Educational Services)</t>
  </si>
  <si>
    <t xml:space="preserve">P1188</t>
  </si>
  <si>
    <t xml:space="preserve">VAR_PAUR_COST_IND_AMER_FIN</t>
  </si>
  <si>
    <t xml:space="preserve">Variance estimate for PAUR_cost (American, Finance &amp; Insurance)</t>
  </si>
  <si>
    <t xml:space="preserve">P1189</t>
  </si>
  <si>
    <t xml:space="preserve">VAR_PAUR_COST_IND_AMER_MEDIAIT</t>
  </si>
  <si>
    <t xml:space="preserve">Variance estimate for PAUR_cost (American, Media and Information Technology)</t>
  </si>
  <si>
    <t xml:space="preserve">P1190</t>
  </si>
  <si>
    <t xml:space="preserve">VAR_PAUR_COST_IND_AMER_PUBADMIN</t>
  </si>
  <si>
    <t xml:space="preserve">Variance estimate for PAUR_cost (American, Public Administration)</t>
  </si>
  <si>
    <t xml:space="preserve">P1191</t>
  </si>
  <si>
    <t xml:space="preserve">INDUSTRY_EMPLOYMENT_AL_AG</t>
  </si>
  <si>
    <t xml:space="preserve">Agriculture employment (thousands)</t>
  </si>
  <si>
    <t xml:space="preserve">BLS CES SA Dec 2025 (already in PARAM but repeated for completeness)</t>
  </si>
  <si>
    <t xml:space="preserve">P1192</t>
  </si>
  <si>
    <t xml:space="preserve">INDUSTRY_EMPLOYMENT_AL_CONSTR</t>
  </si>
  <si>
    <t xml:space="preserve">Construction employment (thousands)</t>
  </si>
  <si>
    <t xml:space="preserve">P1193</t>
  </si>
  <si>
    <t xml:space="preserve">INDUSTRY_EMPLOYMENT_AL_HOSP</t>
  </si>
  <si>
    <t xml:space="preserve">Accommodation &amp; Food Services (Hospitality) employment (thousands)</t>
  </si>
  <si>
    <t xml:space="preserve">P1194</t>
  </si>
  <si>
    <t xml:space="preserve">INDUSTRY_EMPLOYMENT_AL_CLEAN</t>
  </si>
  <si>
    <t xml:space="preserve">Cleaning &amp; Maintenance Services employment (thousands)</t>
  </si>
  <si>
    <t xml:space="preserve">BLS CES + OES est</t>
  </si>
  <si>
    <t xml:space="preserve">P1195</t>
  </si>
  <si>
    <t xml:space="preserve">INDUSTRY_EMPLOYMENT_AL_MFG</t>
  </si>
  <si>
    <t xml:space="preserve">Manufacturing employment (thousands)</t>
  </si>
  <si>
    <t xml:space="preserve">P1196</t>
  </si>
  <si>
    <t xml:space="preserve">INDUSTRY_EMPLOYMENT_AL_TRANS</t>
  </si>
  <si>
    <t xml:space="preserve">Transportation &amp; Warehousing employment (thousands)</t>
  </si>
  <si>
    <t xml:space="preserve">P1197</t>
  </si>
  <si>
    <t xml:space="preserve">INDUSTRY_EMPLOYMENT_AL_RETAIL</t>
  </si>
  <si>
    <t xml:space="preserve">Retail Trade employment (thousands)</t>
  </si>
  <si>
    <t xml:space="preserve">P1198</t>
  </si>
  <si>
    <t xml:space="preserve">INDUSTRY_EMPLOYMENT_AL_LAND</t>
  </si>
  <si>
    <t xml:space="preserve">Landscaping &amp; Groundskeeping employment (thousands)</t>
  </si>
  <si>
    <t xml:space="preserve">P1199</t>
  </si>
  <si>
    <t xml:space="preserve">INDUSTRY_EMPLOYMENT_AL_AUTO</t>
  </si>
  <si>
    <t xml:space="preserve">Automotive Repair &amp; Maintenance employment (thousands)</t>
  </si>
  <si>
    <t xml:space="preserve">P1200</t>
  </si>
  <si>
    <t xml:space="preserve">INDUSTRY_EMPLOYMENT_AL_HEALTH</t>
  </si>
  <si>
    <t xml:space="preserve">Health Care &amp; Social Assistance employment (thousands)</t>
  </si>
  <si>
    <t xml:space="preserve">P1201</t>
  </si>
  <si>
    <t xml:space="preserve">INDUSTRY_EMPLOYMENT_AL_PROF</t>
  </si>
  <si>
    <t xml:space="preserve">Professional, Scientific &amp; Technical Services employment (thousands)</t>
  </si>
  <si>
    <t xml:space="preserve">P1202</t>
  </si>
  <si>
    <t xml:space="preserve">INDUSTRY_EMPLOYMENT_AL_EDUC</t>
  </si>
  <si>
    <t xml:space="preserve">Educational Services employment (thousands)</t>
  </si>
  <si>
    <t xml:space="preserve">BLS CES Dec 2025 est</t>
  </si>
  <si>
    <t xml:space="preserve">P1203</t>
  </si>
  <si>
    <t xml:space="preserve">INDUSTRY_EMPLOYMENT_AL_FIN</t>
  </si>
  <si>
    <t xml:space="preserve">Finance &amp; Insurance employment (thousands)</t>
  </si>
  <si>
    <t xml:space="preserve">P1204</t>
  </si>
  <si>
    <t xml:space="preserve">INDUSTRY_EMPLOYMENT_AL_MEDIAIT</t>
  </si>
  <si>
    <t xml:space="preserve">Media and Information Technology employment (thousands)</t>
  </si>
  <si>
    <t xml:space="preserve">P1205</t>
  </si>
  <si>
    <t xml:space="preserve">INDUSTRY_EMPLOYMENT_AL_PUBADMIN</t>
  </si>
  <si>
    <t xml:space="preserve">Public Administration employment (thousands)</t>
  </si>
  <si>
    <t xml:space="preserve">P1206</t>
  </si>
  <si>
    <t xml:space="preserve">ADJUSTMENT_FACTOR_IND_AG</t>
  </si>
  <si>
    <t xml:space="preserve">Agriculture employment adjustment factor for underreporting/self-employed</t>
  </si>
  <si>
    <t xml:space="preserve">Census/ACS adj</t>
  </si>
  <si>
    <t xml:space="preserve">Census/ACS 2025 adj</t>
  </si>
  <si>
    <t xml:space="preserve">P1207</t>
  </si>
  <si>
    <t xml:space="preserve">ADJUSTMENT_FACTOR_IND_CONSTR</t>
  </si>
  <si>
    <t xml:space="preserve">Construction employment adjustment factor for underreporting/self-employed</t>
  </si>
  <si>
    <t xml:space="preserve">P1208</t>
  </si>
  <si>
    <t xml:space="preserve">ADJUSTMENT_FACTOR_IND_HOSP</t>
  </si>
  <si>
    <t xml:space="preserve">Hospitality employment adjustment factor for underreporting/self-employed</t>
  </si>
  <si>
    <t xml:space="preserve">P1209</t>
  </si>
  <si>
    <t xml:space="preserve">ADJUSTMENT_FACTOR_IND_CLEAN</t>
  </si>
  <si>
    <t xml:space="preserve">Cleaning &amp; Maintenance employment adjustment factor for underreporting/self-employed</t>
  </si>
  <si>
    <t xml:space="preserve">P1210</t>
  </si>
  <si>
    <t xml:space="preserve">ADJUSTMENT_FACTOR_IND_MFG</t>
  </si>
  <si>
    <t xml:space="preserve">Manufacturing employment adjustment factor for underreporting/self-employed</t>
  </si>
  <si>
    <t xml:space="preserve">P1211</t>
  </si>
  <si>
    <t xml:space="preserve">ADJUSTMENT_FACTOR_IND_TRANS</t>
  </si>
  <si>
    <t xml:space="preserve">Transportation &amp; Warehousing employment adjustment factor for underreporting/self-employed</t>
  </si>
  <si>
    <t xml:space="preserve">P1212</t>
  </si>
  <si>
    <t xml:space="preserve">ADJUSTMENT_FACTOR_IND_RETAIL</t>
  </si>
  <si>
    <t xml:space="preserve">Retail Trade employment adjustment factor for underreporting/self-employed</t>
  </si>
  <si>
    <t xml:space="preserve">P1213</t>
  </si>
  <si>
    <t xml:space="preserve">ADJUSTMENT_FACTOR_IND_LAND</t>
  </si>
  <si>
    <t xml:space="preserve">Landscaping &amp; Groundskeeping employment adjustment factor for underreporting/self-employed</t>
  </si>
  <si>
    <t xml:space="preserve">P1214</t>
  </si>
  <si>
    <t xml:space="preserve">ADJUSTMENT_FACTOR_IND_AUTO</t>
  </si>
  <si>
    <t xml:space="preserve">Automotive Repair &amp; Maintenance employment adjustment factor for underreporting/self-employed</t>
  </si>
  <si>
    <t xml:space="preserve">P1215</t>
  </si>
  <si>
    <t xml:space="preserve">ADJUSTMENT_FACTOR_IND_HEALTH</t>
  </si>
  <si>
    <t xml:space="preserve">Health Care &amp; Social Assistance employment adjustment factor for underreporting/self-employed</t>
  </si>
  <si>
    <t xml:space="preserve">P1216</t>
  </si>
  <si>
    <t xml:space="preserve">P1217</t>
  </si>
  <si>
    <t xml:space="preserve">ADJUSTMENT_FACTOR_IND_PROF</t>
  </si>
  <si>
    <t xml:space="preserve">Professional, Scientific &amp; Technical Services employment adjustment factor for underreporting/self-employed</t>
  </si>
  <si>
    <t xml:space="preserve">P1218</t>
  </si>
  <si>
    <t xml:space="preserve">ADJUSTMENT_FACTOR_IND_EDUC</t>
  </si>
  <si>
    <t xml:space="preserve">Educational Services employment adjustment factor for underreporting/self-employed</t>
  </si>
  <si>
    <t xml:space="preserve">P1219</t>
  </si>
  <si>
    <t xml:space="preserve">ADJUSTMENT_FACTOR_IND_FIN</t>
  </si>
  <si>
    <t xml:space="preserve">Finance &amp; Insurance employment adjustment factor for underreporting/self-employed</t>
  </si>
  <si>
    <t xml:space="preserve">P1220</t>
  </si>
  <si>
    <t xml:space="preserve">ADJUSTMENT_FACTOR_IND_MEDIAIT</t>
  </si>
  <si>
    <t xml:space="preserve">Media and Information Technology employment adjustment factor for underreporting/self-employed</t>
  </si>
  <si>
    <t xml:space="preserve">P1221</t>
  </si>
  <si>
    <t xml:space="preserve">ADJUSTMENT_FACTOR_IND_PUBADMIN</t>
  </si>
  <si>
    <t xml:space="preserve">Public Administration employment adjustment factor for underreporting/self-employed</t>
  </si>
  <si>
    <t xml:space="preserve">P1222</t>
  </si>
  <si>
    <t xml:space="preserve">P1223</t>
  </si>
  <si>
    <t xml:space="preserve">P1224</t>
  </si>
  <si>
    <t xml:space="preserve">P1225</t>
  </si>
  <si>
    <t xml:space="preserve">P1226</t>
  </si>
  <si>
    <t xml:space="preserve">P1227</t>
  </si>
  <si>
    <t xml:space="preserve">P1228</t>
  </si>
  <si>
    <t xml:space="preserve">P1229</t>
  </si>
  <si>
    <t xml:space="preserve">P1230</t>
  </si>
  <si>
    <t xml:space="preserve">P1231</t>
  </si>
  <si>
    <t xml:space="preserve">P1232</t>
  </si>
  <si>
    <t xml:space="preserve">P1233</t>
  </si>
  <si>
    <t xml:space="preserve">P1234</t>
  </si>
  <si>
    <t xml:space="preserve">P1235</t>
  </si>
  <si>
    <t xml:space="preserve">P1236</t>
  </si>
  <si>
    <t xml:space="preserve">P1237</t>
  </si>
  <si>
    <t xml:space="preserve">P1238</t>
  </si>
  <si>
    <t xml:space="preserve">P1239</t>
  </si>
  <si>
    <t xml:space="preserve">P1240</t>
  </si>
  <si>
    <t xml:space="preserve">P1241</t>
  </si>
  <si>
    <t xml:space="preserve">P1242</t>
  </si>
  <si>
    <t xml:space="preserve">P1243</t>
  </si>
  <si>
    <t xml:space="preserve">P1244</t>
  </si>
  <si>
    <t xml:space="preserve">P1245</t>
  </si>
  <si>
    <t xml:space="preserve">P1246</t>
  </si>
  <si>
    <t xml:space="preserve">P1247</t>
  </si>
  <si>
    <t xml:space="preserve">P1248</t>
  </si>
  <si>
    <t xml:space="preserve">P1249</t>
  </si>
  <si>
    <t xml:space="preserve">P1250</t>
  </si>
  <si>
    <t xml:space="preserve">P1251</t>
  </si>
  <si>
    <t xml:space="preserve">P1252</t>
  </si>
  <si>
    <t xml:space="preserve">P1253</t>
  </si>
  <si>
    <t xml:space="preserve">P1254</t>
  </si>
  <si>
    <t xml:space="preserve">P1255</t>
  </si>
  <si>
    <t xml:space="preserve">P1256</t>
  </si>
  <si>
    <t xml:space="preserve">P1257</t>
  </si>
  <si>
    <t xml:space="preserve">P1258</t>
  </si>
  <si>
    <t xml:space="preserve">P1259</t>
  </si>
  <si>
    <t xml:space="preserve">P1260</t>
  </si>
  <si>
    <t xml:space="preserve">P1261</t>
  </si>
  <si>
    <t xml:space="preserve">P1262</t>
  </si>
  <si>
    <t xml:space="preserve">P1263</t>
  </si>
  <si>
    <t xml:space="preserve">P1264</t>
  </si>
  <si>
    <t xml:space="preserve">P1265</t>
  </si>
  <si>
    <t xml:space="preserve">P1266</t>
  </si>
  <si>
    <t xml:space="preserve">P1267</t>
  </si>
  <si>
    <t xml:space="preserve">P1268</t>
  </si>
  <si>
    <t xml:space="preserve">P1269</t>
  </si>
  <si>
    <t xml:space="preserve">P1270</t>
  </si>
  <si>
    <t xml:space="preserve">P1271</t>
  </si>
  <si>
    <t xml:space="preserve">P1272</t>
  </si>
  <si>
    <t xml:space="preserve">P1273</t>
  </si>
  <si>
    <t xml:space="preserve">P1274</t>
  </si>
  <si>
    <t xml:space="preserve">P1275</t>
  </si>
  <si>
    <t xml:space="preserve">P1276</t>
  </si>
  <si>
    <t xml:space="preserve">P1277</t>
  </si>
  <si>
    <t xml:space="preserve">P1278</t>
  </si>
  <si>
    <t xml:space="preserve">P1279</t>
  </si>
  <si>
    <t xml:space="preserve">P1280</t>
  </si>
  <si>
    <t xml:space="preserve">P1281</t>
  </si>
  <si>
    <t xml:space="preserve">P1282</t>
  </si>
  <si>
    <t xml:space="preserve">P1283</t>
  </si>
  <si>
    <t xml:space="preserve">P1284</t>
  </si>
  <si>
    <t xml:space="preserve">P1285</t>
  </si>
  <si>
    <t xml:space="preserve">P1286</t>
  </si>
  <si>
    <t xml:space="preserve">P1287</t>
  </si>
  <si>
    <t xml:space="preserve">P1288</t>
  </si>
  <si>
    <t xml:space="preserve">P1289</t>
  </si>
  <si>
    <t xml:space="preserve">P1290</t>
  </si>
  <si>
    <t xml:space="preserve">P1291</t>
  </si>
  <si>
    <t xml:space="preserve">P1292</t>
  </si>
  <si>
    <t xml:space="preserve">P1293</t>
  </si>
  <si>
    <t xml:space="preserve">P1294</t>
  </si>
  <si>
    <t xml:space="preserve">P1295</t>
  </si>
  <si>
    <t xml:space="preserve">P1296</t>
  </si>
  <si>
    <t xml:space="preserve">P1297</t>
  </si>
  <si>
    <t xml:space="preserve">P1298</t>
  </si>
  <si>
    <t xml:space="preserve">P1299</t>
  </si>
  <si>
    <t xml:space="preserve">P1300</t>
  </si>
  <si>
    <t xml:space="preserve">P1301</t>
  </si>
  <si>
    <t xml:space="preserve">P1302</t>
  </si>
  <si>
    <t xml:space="preserve">P1303</t>
  </si>
  <si>
    <t xml:space="preserve">P1304</t>
  </si>
  <si>
    <t xml:space="preserve">P1305</t>
  </si>
  <si>
    <t xml:space="preserve">P1306</t>
  </si>
  <si>
    <t xml:space="preserve">P1307</t>
  </si>
  <si>
    <t xml:space="preserve">P1308</t>
  </si>
  <si>
    <t xml:space="preserve">P1309</t>
  </si>
  <si>
    <t xml:space="preserve">P1310</t>
  </si>
  <si>
    <t xml:space="preserve">P1311</t>
  </si>
  <si>
    <t xml:space="preserve">P1312</t>
  </si>
  <si>
    <t xml:space="preserve">P1313</t>
  </si>
  <si>
    <t xml:space="preserve">P1314</t>
  </si>
  <si>
    <t xml:space="preserve">P1315</t>
  </si>
  <si>
    <t xml:space="preserve">P1316</t>
  </si>
  <si>
    <t xml:space="preserve">P1317</t>
  </si>
  <si>
    <t xml:space="preserve">P1318</t>
  </si>
  <si>
    <t xml:space="preserve">P1319</t>
  </si>
  <si>
    <t xml:space="preserve">P1320</t>
  </si>
  <si>
    <t xml:space="preserve">P1321</t>
  </si>
  <si>
    <t xml:space="preserve">P1322</t>
  </si>
  <si>
    <t xml:space="preserve">P1323</t>
  </si>
  <si>
    <t xml:space="preserve">P1324</t>
  </si>
  <si>
    <t xml:space="preserve">P1325</t>
  </si>
  <si>
    <t xml:space="preserve">P1326</t>
  </si>
  <si>
    <t xml:space="preserve">P1327</t>
  </si>
  <si>
    <t xml:space="preserve">P1328</t>
  </si>
  <si>
    <t xml:space="preserve">P1329</t>
  </si>
  <si>
    <t xml:space="preserve">P1330</t>
  </si>
  <si>
    <t xml:space="preserve">P1331</t>
  </si>
  <si>
    <t xml:space="preserve">P1332</t>
  </si>
  <si>
    <t xml:space="preserve">P1333</t>
  </si>
  <si>
    <t xml:space="preserve">P1334</t>
  </si>
  <si>
    <t xml:space="preserve">P1335</t>
  </si>
  <si>
    <t xml:space="preserve">P1336</t>
  </si>
  <si>
    <t xml:space="preserve">P1337</t>
  </si>
  <si>
    <t xml:space="preserve">P1338</t>
  </si>
  <si>
    <t xml:space="preserve">P1339</t>
  </si>
  <si>
    <t xml:space="preserve">P1340</t>
  </si>
  <si>
    <t xml:space="preserve">P1341</t>
  </si>
  <si>
    <t xml:space="preserve">P1342</t>
  </si>
  <si>
    <t xml:space="preserve">P1343</t>
  </si>
  <si>
    <t xml:space="preserve">P1344</t>
  </si>
  <si>
    <t xml:space="preserve">P1345</t>
  </si>
  <si>
    <t xml:space="preserve">P1346</t>
  </si>
  <si>
    <t xml:space="preserve">P1347</t>
  </si>
  <si>
    <t xml:space="preserve">P1348</t>
  </si>
  <si>
    <t xml:space="preserve">P1349</t>
  </si>
  <si>
    <t xml:space="preserve">P1350</t>
  </si>
  <si>
    <t xml:space="preserve">P1351</t>
  </si>
  <si>
    <t xml:space="preserve">P1352</t>
  </si>
  <si>
    <t xml:space="preserve">P1353</t>
  </si>
  <si>
    <t xml:space="preserve">P1354</t>
  </si>
  <si>
    <t xml:space="preserve">P1355</t>
  </si>
  <si>
    <t xml:space="preserve">P1356</t>
  </si>
  <si>
    <t xml:space="preserve">P1357</t>
  </si>
  <si>
    <t xml:space="preserve">P1358</t>
  </si>
  <si>
    <t xml:space="preserve">P1359</t>
  </si>
  <si>
    <t xml:space="preserve">P1360</t>
  </si>
  <si>
    <t xml:space="preserve">P1361</t>
  </si>
  <si>
    <t xml:space="preserve">P1362</t>
  </si>
  <si>
    <t xml:space="preserve">P1363</t>
  </si>
  <si>
    <t xml:space="preserve">P1364</t>
  </si>
  <si>
    <t xml:space="preserve">P1365</t>
  </si>
  <si>
    <t xml:space="preserve">P1366</t>
  </si>
  <si>
    <t xml:space="preserve">P1367</t>
  </si>
  <si>
    <t xml:space="preserve">P1368</t>
  </si>
  <si>
    <t xml:space="preserve">P1369</t>
  </si>
  <si>
    <t xml:space="preserve">P1370</t>
  </si>
  <si>
    <t xml:space="preserve">P1371</t>
  </si>
  <si>
    <t xml:space="preserve">P1372</t>
  </si>
  <si>
    <t xml:space="preserve">P1373</t>
  </si>
  <si>
    <t xml:space="preserve">P1374</t>
  </si>
  <si>
    <t xml:space="preserve">P1375</t>
  </si>
  <si>
    <t xml:space="preserve">P1376</t>
  </si>
  <si>
    <t xml:space="preserve">P1377</t>
  </si>
  <si>
    <t xml:space="preserve">P1378</t>
  </si>
  <si>
    <t xml:space="preserve">P1379</t>
  </si>
  <si>
    <t xml:space="preserve">P1380</t>
  </si>
  <si>
    <t xml:space="preserve">P1381</t>
  </si>
  <si>
    <t xml:space="preserve">P1382</t>
  </si>
  <si>
    <t xml:space="preserve">P1383</t>
  </si>
  <si>
    <t xml:space="preserve">P1384</t>
  </si>
  <si>
    <t xml:space="preserve">SSMC_RATE_IND_HEALTH_AMER</t>
  </si>
  <si>
    <t xml:space="preserve">P1385</t>
  </si>
  <si>
    <t xml:space="preserve">SSMC_RATE_IND_PROF_AMER</t>
  </si>
  <si>
    <t xml:space="preserve">P1386</t>
  </si>
  <si>
    <t xml:space="preserve">SSMC_RATE_IND_EDUC_AMER</t>
  </si>
  <si>
    <t xml:space="preserve">P1387</t>
  </si>
  <si>
    <t xml:space="preserve">SSMC_RATE_IND_FIN_AMER</t>
  </si>
  <si>
    <t xml:space="preserve">P1388</t>
  </si>
  <si>
    <t xml:space="preserve">SSMC_RATE_IND_MEDIAIT_AMER</t>
  </si>
  <si>
    <t xml:space="preserve">P1389</t>
  </si>
  <si>
    <t xml:space="preserve">SSMC_RATE_IND_PUBADMIN_AMER</t>
  </si>
  <si>
    <t xml:space="preserve">P1390</t>
  </si>
  <si>
    <t xml:space="preserve">SSMC_RATE_IND_HEALTH_AUTH</t>
  </si>
  <si>
    <t xml:space="preserve">P1391</t>
  </si>
  <si>
    <t xml:space="preserve">SSMC_RATE_IND_PROF_AUTH</t>
  </si>
  <si>
    <t xml:space="preserve">P1392</t>
  </si>
  <si>
    <t xml:space="preserve">SSMC_RATE_IND_EDUC_AUTH</t>
  </si>
  <si>
    <t xml:space="preserve">P1393</t>
  </si>
  <si>
    <t xml:space="preserve">SSMC_RATE_IND_FIN_AUTH</t>
  </si>
  <si>
    <t xml:space="preserve">P1394</t>
  </si>
  <si>
    <t xml:space="preserve">SSMC_RATE_IND_MEDIAIT_AUTH</t>
  </si>
  <si>
    <t xml:space="preserve">P1395</t>
  </si>
  <si>
    <t xml:space="preserve">SSMC_RATE_IND_PUBADMIN_AUTH</t>
  </si>
  <si>
    <t xml:space="preserve">P1396</t>
  </si>
  <si>
    <t xml:space="preserve">SSMC_RATE_IND_HEALTH_UNAUTH</t>
  </si>
  <si>
    <t xml:space="preserve">P1397</t>
  </si>
  <si>
    <t xml:space="preserve">SSMC_RATE_IND_PROF_UNAUTH</t>
  </si>
  <si>
    <t xml:space="preserve">P1398</t>
  </si>
  <si>
    <t xml:space="preserve">SSMC_RATE_IND_EDUC_UNAUTH</t>
  </si>
  <si>
    <t xml:space="preserve">P1399</t>
  </si>
  <si>
    <t xml:space="preserve">SSMC_RATE_IND_FIN_UNAUTH</t>
  </si>
  <si>
    <t xml:space="preserve">P1400</t>
  </si>
  <si>
    <t xml:space="preserve">SSMC_RATE_IND_MEDIAIT_UNAUTH</t>
  </si>
  <si>
    <t xml:space="preserve">P1401</t>
  </si>
  <si>
    <t xml:space="preserve">SSMC_RATE_IND_PUBADMIN_UNAUTH</t>
  </si>
  <si>
    <t xml:space="preserve">P1402</t>
  </si>
  <si>
    <t xml:space="preserve">PAUR_IND_HEALTH_AMER</t>
  </si>
  <si>
    <t xml:space="preserve">P1403</t>
  </si>
  <si>
    <t xml:space="preserve">PAUR_IND_PROF_AMER</t>
  </si>
  <si>
    <t xml:space="preserve">P1404</t>
  </si>
  <si>
    <t xml:space="preserve">PAUR_IND_EDUC_AMER</t>
  </si>
  <si>
    <t xml:space="preserve">P1405</t>
  </si>
  <si>
    <t xml:space="preserve">PAUR_IND_FIN_AMER</t>
  </si>
  <si>
    <t xml:space="preserve">P1406</t>
  </si>
  <si>
    <t xml:space="preserve">PAUR_IND_MEDIAIT_AMER</t>
  </si>
  <si>
    <t xml:space="preserve">P1407</t>
  </si>
  <si>
    <t xml:space="preserve">PAUR_IND_PUBADMIN_AMER</t>
  </si>
  <si>
    <t xml:space="preserve">P1408</t>
  </si>
  <si>
    <t xml:space="preserve">PA_AVG_COST_IND_HEALTH_AMER</t>
  </si>
  <si>
    <t xml:space="preserve">P1409</t>
  </si>
  <si>
    <t xml:space="preserve">PA_AVG_COST_IND_PROF_AMER</t>
  </si>
  <si>
    <t xml:space="preserve">P1410</t>
  </si>
  <si>
    <t xml:space="preserve">PA_AVG_COST_IND_EDUC_AMER</t>
  </si>
  <si>
    <t xml:space="preserve">P1411</t>
  </si>
  <si>
    <t xml:space="preserve">PA_AVG_COST_IND_FIN_AMER</t>
  </si>
  <si>
    <t xml:space="preserve">P1412</t>
  </si>
  <si>
    <t xml:space="preserve">PA_AVG_COST_IND_MEDIAIT_AMER</t>
  </si>
  <si>
    <t xml:space="preserve">P1413</t>
  </si>
  <si>
    <t xml:space="preserve">PA_AVG_COST_IND_PUBADMIN_AMER</t>
  </si>
  <si>
    <t xml:space="preserve">P1414</t>
  </si>
  <si>
    <t xml:space="preserve">SL_RATE_IND_HEALTH_AMER</t>
  </si>
  <si>
    <t xml:space="preserve">P1415</t>
  </si>
  <si>
    <t xml:space="preserve">SL_RATE_IND_PROF_AMER</t>
  </si>
  <si>
    <t xml:space="preserve">P1416</t>
  </si>
  <si>
    <t xml:space="preserve">SL_RATE_IND_EDUC_AMER</t>
  </si>
  <si>
    <t xml:space="preserve">P1417</t>
  </si>
  <si>
    <t xml:space="preserve">SL_RATE_IND_FIN_AMER</t>
  </si>
  <si>
    <t xml:space="preserve">P1418</t>
  </si>
  <si>
    <t xml:space="preserve">SL_RATE_IND_MEDIAIT_AMER</t>
  </si>
  <si>
    <t xml:space="preserve">P1419</t>
  </si>
  <si>
    <t xml:space="preserve">SL_RATE_IND_PUBADMIN_AMER</t>
  </si>
  <si>
    <t xml:space="preserve">P1420</t>
  </si>
  <si>
    <t xml:space="preserve">NON_INCOME_SL_IND_HEALTH_AMER</t>
  </si>
  <si>
    <t xml:space="preserve">P1421</t>
  </si>
  <si>
    <t xml:space="preserve">NON_INCOME_SL_IND_PROF_AMER</t>
  </si>
  <si>
    <t xml:space="preserve">P1422</t>
  </si>
  <si>
    <t xml:space="preserve">NON_INCOME_SL_IND_EDUC_AMER</t>
  </si>
  <si>
    <t xml:space="preserve">P1423</t>
  </si>
  <si>
    <t xml:space="preserve">NON_INCOME_SL_IND_FIN_AMER</t>
  </si>
  <si>
    <t xml:space="preserve">P1424</t>
  </si>
  <si>
    <t xml:space="preserve">NON_INCOME_SL_IND_MEDIAIT_AMER</t>
  </si>
  <si>
    <t xml:space="preserve">P1425</t>
  </si>
  <si>
    <t xml:space="preserve">NON_INCOME_SL_IND_PUBADMIN_AMER</t>
  </si>
  <si>
    <t xml:space="preserve">P1426</t>
  </si>
  <si>
    <t xml:space="preserve">COMPLIANCE_RATE_IND_HEALTH_AMER</t>
  </si>
  <si>
    <t xml:space="preserve">P1427</t>
  </si>
  <si>
    <t xml:space="preserve">COMPLIANCE_RATE_IND_PROF_AMER</t>
  </si>
  <si>
    <t xml:space="preserve">P1428</t>
  </si>
  <si>
    <t xml:space="preserve">COMPLIANCE_RATE_IND_EDUC_AMER</t>
  </si>
  <si>
    <t xml:space="preserve">P1429</t>
  </si>
  <si>
    <t xml:space="preserve">COMPLIANCE_RATE_IND_FIN_AMER</t>
  </si>
  <si>
    <t xml:space="preserve">P1430</t>
  </si>
  <si>
    <t xml:space="preserve">COMPLIANCE_RATE_IND_MEDIAIT_AMER</t>
  </si>
  <si>
    <t xml:space="preserve">P1431</t>
  </si>
  <si>
    <t xml:space="preserve">COMPLIANCE_RATE_IND_PUBADMIN_AMER</t>
  </si>
  <si>
    <t xml:space="preserve">P1432</t>
  </si>
  <si>
    <t xml:space="preserve">P1433</t>
  </si>
  <si>
    <t xml:space="preserve">P1434</t>
  </si>
  <si>
    <t xml:space="preserve">P1435</t>
  </si>
  <si>
    <t xml:space="preserve">P1436</t>
  </si>
  <si>
    <t xml:space="preserve">P1437</t>
  </si>
  <si>
    <t xml:space="preserve">P1438</t>
  </si>
  <si>
    <t xml:space="preserve">ETPR_ADJ_IND_HEALTH_AMER</t>
  </si>
  <si>
    <t xml:space="preserve">P1439</t>
  </si>
  <si>
    <t xml:space="preserve">ETPR_ADJ_IND_PROF_AMER</t>
  </si>
  <si>
    <t xml:space="preserve">P1440</t>
  </si>
  <si>
    <t xml:space="preserve">ETPR_ADJ_IND_EDUC_AMER</t>
  </si>
  <si>
    <t xml:space="preserve">P1441</t>
  </si>
  <si>
    <t xml:space="preserve">ETPR_ADJ_IND_FIN_AMER</t>
  </si>
  <si>
    <t xml:space="preserve">P1442</t>
  </si>
  <si>
    <t xml:space="preserve">ETPR_ADJ_IND_MEDIAIT_AMER</t>
  </si>
  <si>
    <t xml:space="preserve">P1443</t>
  </si>
  <si>
    <t xml:space="preserve">ETPR_ADJ_IND_PUBADMIN_AMER</t>
  </si>
  <si>
    <t xml:space="preserve">P1444</t>
  </si>
  <si>
    <t xml:space="preserve">ETPR_ADJ_IND_HEALTH_AUTH</t>
  </si>
  <si>
    <t xml:space="preserve">P1445</t>
  </si>
  <si>
    <t xml:space="preserve">ETPR_ADJ_IND_PROF_AUTH</t>
  </si>
  <si>
    <t xml:space="preserve">P1446</t>
  </si>
  <si>
    <t xml:space="preserve">ETPR_ADJ_IND_EDUC_AUTH</t>
  </si>
  <si>
    <t xml:space="preserve">P1447</t>
  </si>
  <si>
    <t xml:space="preserve">ETPR_ADJ_IND_FIN_AUTH</t>
  </si>
  <si>
    <t xml:space="preserve">P1448</t>
  </si>
  <si>
    <t xml:space="preserve">ETPR_ADJ_IND_MEDIAIT_AUTH</t>
  </si>
  <si>
    <t xml:space="preserve">P1449</t>
  </si>
  <si>
    <t xml:space="preserve">ETPR_ADJ_IND_PUBADMIN_AUTH</t>
  </si>
  <si>
    <t xml:space="preserve">P1450</t>
  </si>
  <si>
    <t xml:space="preserve">ETPR_ADJ_IND_HEALTH_UNAUTH</t>
  </si>
  <si>
    <t xml:space="preserve">P1451</t>
  </si>
  <si>
    <t xml:space="preserve">ETPR_ADJ_IND_PROF_UNAUTH</t>
  </si>
  <si>
    <t xml:space="preserve">P1452</t>
  </si>
  <si>
    <t xml:space="preserve">ETPR_ADJ_IND_EDUC_UNAUTH</t>
  </si>
  <si>
    <t xml:space="preserve">P1453</t>
  </si>
  <si>
    <t xml:space="preserve">ETPR_ADJ_IND_FIN_UNAUTH</t>
  </si>
  <si>
    <t xml:space="preserve">P1454</t>
  </si>
  <si>
    <t xml:space="preserve">ETPR_ADJ_IND_MEDIAIT_UNAUTH</t>
  </si>
  <si>
    <t xml:space="preserve">P1455</t>
  </si>
  <si>
    <t xml:space="preserve">ETPR_ADJ_IND_PUBADMIN_UNAUTH</t>
  </si>
  <si>
    <t xml:space="preserve">P1456</t>
  </si>
  <si>
    <t xml:space="preserve">LFPR_AVG_IND_HEALTH_AMER</t>
  </si>
  <si>
    <t xml:space="preserve">P1457</t>
  </si>
  <si>
    <t xml:space="preserve">LFPR_AVG_IND_PROF_AMER</t>
  </si>
  <si>
    <t xml:space="preserve">P1458</t>
  </si>
  <si>
    <t xml:space="preserve">LFPR_AVG_IND_EDUC_AMER</t>
  </si>
  <si>
    <t xml:space="preserve">P1459</t>
  </si>
  <si>
    <t xml:space="preserve">LFPR_AVG_IND_FIN_AMER</t>
  </si>
  <si>
    <t xml:space="preserve">P1460</t>
  </si>
  <si>
    <t xml:space="preserve">LFPR_AVG_IND_MEDIAIT_AMER</t>
  </si>
  <si>
    <t xml:space="preserve">P1461</t>
  </si>
  <si>
    <t xml:space="preserve">LFPR_AVG_IND_PUBADMIN_AMER</t>
  </si>
  <si>
    <t xml:space="preserve">P1462</t>
  </si>
  <si>
    <t xml:space="preserve">P1463</t>
  </si>
  <si>
    <t xml:space="preserve">P1464</t>
  </si>
  <si>
    <t xml:space="preserve">P1465</t>
  </si>
  <si>
    <t xml:space="preserve">P1466</t>
  </si>
  <si>
    <t xml:space="preserve">U3R_AVG_IND_MEDIAIT_AMER</t>
  </si>
  <si>
    <t xml:space="preserve">P1467</t>
  </si>
  <si>
    <t xml:space="preserve">P1468</t>
  </si>
  <si>
    <t xml:space="preserve">U6R_AVG_IND_HEALTH_AMER</t>
  </si>
  <si>
    <t xml:space="preserve">P1469</t>
  </si>
  <si>
    <t xml:space="preserve">U6R_AVG_IND_PROF_AMER</t>
  </si>
  <si>
    <t xml:space="preserve">P1470</t>
  </si>
  <si>
    <t xml:space="preserve">U6R_AVG_IND_EDUC_AMER</t>
  </si>
  <si>
    <t xml:space="preserve">P1471</t>
  </si>
  <si>
    <t xml:space="preserve">U6R_AVG_IND_FIN_AMER</t>
  </si>
  <si>
    <t xml:space="preserve">P1472</t>
  </si>
  <si>
    <t xml:space="preserve">U6R_AVG_IND_MEDIAIT_AMER</t>
  </si>
  <si>
    <t xml:space="preserve">P1473</t>
  </si>
  <si>
    <t xml:space="preserve">U6R_AVG_IND_PUBADMIN_AMER</t>
  </si>
  <si>
    <t xml:space="preserve">P1474</t>
  </si>
  <si>
    <t xml:space="preserve">PAUR_IND_HEALTH_AUTH</t>
  </si>
  <si>
    <t xml:space="preserve">P1475</t>
  </si>
  <si>
    <t xml:space="preserve">PAUR_IND_PROF_AUTH</t>
  </si>
  <si>
    <t xml:space="preserve">P1476</t>
  </si>
  <si>
    <t xml:space="preserve">PAUR_IND_EDUC_AUTH</t>
  </si>
  <si>
    <t xml:space="preserve">P1477</t>
  </si>
  <si>
    <t xml:space="preserve">PAUR_IND_FIN_AUTH</t>
  </si>
  <si>
    <t xml:space="preserve">P1478</t>
  </si>
  <si>
    <t xml:space="preserve">PAUR_IND_MEDIAIT_AUTH</t>
  </si>
  <si>
    <t xml:space="preserve">P1479</t>
  </si>
  <si>
    <t xml:space="preserve">PAUR_IND_PUBADMIN_AUTH</t>
  </si>
  <si>
    <t xml:space="preserve">P1480</t>
  </si>
  <si>
    <t xml:space="preserve">PAUR_IND_HEALTH_UNAUTH</t>
  </si>
  <si>
    <t xml:space="preserve">P1481</t>
  </si>
  <si>
    <t xml:space="preserve">PAUR_IND_PROF_UNAUTH</t>
  </si>
  <si>
    <t xml:space="preserve">P1482</t>
  </si>
  <si>
    <t xml:space="preserve">PAUR_IND_EDUC_UNAUTH</t>
  </si>
  <si>
    <t xml:space="preserve">P1483</t>
  </si>
  <si>
    <t xml:space="preserve">PAUR_IND_FIN_UNAUTH</t>
  </si>
  <si>
    <t xml:space="preserve">P1484</t>
  </si>
  <si>
    <t xml:space="preserve">PAUR_IND_MEDIAIT_UNAUTH</t>
  </si>
  <si>
    <t xml:space="preserve">P1485</t>
  </si>
  <si>
    <t xml:space="preserve">PAUR_IND_PUBADMIN_UNAUTH</t>
  </si>
  <si>
    <t xml:space="preserve">P1486</t>
  </si>
  <si>
    <t xml:space="preserve">PA_AVG_COST_IND_HEALTH_UNAUTH</t>
  </si>
  <si>
    <t xml:space="preserve">P1487</t>
  </si>
  <si>
    <t xml:space="preserve">PA_AVG_COST_IND_PROF_UNAUTH</t>
  </si>
  <si>
    <t xml:space="preserve">P1488</t>
  </si>
  <si>
    <t xml:space="preserve">PA_AVG_COST_IND_EDUC_UNAUTH</t>
  </si>
  <si>
    <t xml:space="preserve">P1489</t>
  </si>
  <si>
    <t xml:space="preserve">PA_AVG_COST_IND_FIN_UNAUTH</t>
  </si>
  <si>
    <t xml:space="preserve">P1490</t>
  </si>
  <si>
    <t xml:space="preserve">PA_AVG_COST_IND_MEDIAIT_UNAUTH</t>
  </si>
  <si>
    <t xml:space="preserve">P1491</t>
  </si>
  <si>
    <t xml:space="preserve">PA_AVG_COST_IND_PUBADMIN_UNAUTH</t>
  </si>
  <si>
    <t xml:space="preserve">P1492</t>
  </si>
  <si>
    <t xml:space="preserve">SL_RATE_IND_HEALTH_UNAUTH</t>
  </si>
  <si>
    <t xml:space="preserve">P1493</t>
  </si>
  <si>
    <t xml:space="preserve">SL_RATE_IND_PROF_UNAUTH</t>
  </si>
  <si>
    <t xml:space="preserve">P1494</t>
  </si>
  <si>
    <t xml:space="preserve">SL_RATE_IND_EDUC_UNAUTH</t>
  </si>
  <si>
    <t xml:space="preserve">P1495</t>
  </si>
  <si>
    <t xml:space="preserve">SL_RATE_IND_FIN_UNAUTH</t>
  </si>
  <si>
    <t xml:space="preserve">P1496</t>
  </si>
  <si>
    <t xml:space="preserve">SL_RATE_IND_MEDIAIT_UNAUTH</t>
  </si>
  <si>
    <t xml:space="preserve">P1497</t>
  </si>
  <si>
    <t xml:space="preserve">SL_RATE_IND_PUBADMIN_UNAUTH</t>
  </si>
  <si>
    <t xml:space="preserve">P1498</t>
  </si>
  <si>
    <t xml:space="preserve">NON_INCOME_SL_IND_HEALTH_UNAUTH</t>
  </si>
  <si>
    <t xml:space="preserve">P1499</t>
  </si>
  <si>
    <t xml:space="preserve">NON_INCOME_SL_IND_PROF_UNAUTH</t>
  </si>
  <si>
    <t xml:space="preserve">P1500</t>
  </si>
  <si>
    <t xml:space="preserve">NON_INCOME_SL_IND_EDUC_UNAUTH</t>
  </si>
  <si>
    <t xml:space="preserve">P1501</t>
  </si>
  <si>
    <t xml:space="preserve">NON_INCOME_SL_IND_FIN_UNAUTH</t>
  </si>
  <si>
    <t xml:space="preserve">P1502</t>
  </si>
  <si>
    <t xml:space="preserve">NON_INCOME_SL_IND_MEDIAIT_UNAUTH</t>
  </si>
  <si>
    <t xml:space="preserve">P1503</t>
  </si>
  <si>
    <t xml:space="preserve">NON_INCOME_SL_IND_PUBADMIN_UNAUTH</t>
  </si>
  <si>
    <t xml:space="preserve">P1504</t>
  </si>
  <si>
    <t xml:space="preserve">COMPLIANCE_RATE_IND_HEALTH_UNAUTH</t>
  </si>
  <si>
    <t xml:space="preserve">P1505</t>
  </si>
  <si>
    <t xml:space="preserve">COMPLIANCE_RATE_IND_PROF_UNAUTH</t>
  </si>
  <si>
    <t xml:space="preserve">P1506</t>
  </si>
  <si>
    <t xml:space="preserve">COMPLIANCE_RATE_IND_EDUC_UNAUTH</t>
  </si>
  <si>
    <t xml:space="preserve">P1507</t>
  </si>
  <si>
    <t xml:space="preserve">COMPLIANCE_RATE_IND_FIN_UNAUTH</t>
  </si>
  <si>
    <t xml:space="preserve">P1508</t>
  </si>
  <si>
    <t xml:space="preserve">COMPLIANCE_RATE_IND_MEDIAIT_UNAUTH</t>
  </si>
  <si>
    <t xml:space="preserve">P1509</t>
  </si>
  <si>
    <t xml:space="preserve">COMPLIANCE_RATE_IND_PUBADMIN_UNAUTH</t>
  </si>
  <si>
    <t xml:space="preserve">P1510</t>
  </si>
  <si>
    <t xml:space="preserve">VAR_SLTR_IND_AUTH_HEALTH</t>
  </si>
  <si>
    <t xml:space="preserve">Variance estimate for SLTR (Authorized, Health Care &amp; Social Assistance)</t>
  </si>
  <si>
    <t xml:space="preserve">P1511</t>
  </si>
  <si>
    <t xml:space="preserve">VAR_SLTR_IND_AUTH_PROF</t>
  </si>
  <si>
    <t xml:space="preserve">Variance estimate for SLTR (Authorized, Professional Services)</t>
  </si>
  <si>
    <t xml:space="preserve">P1512</t>
  </si>
  <si>
    <t xml:space="preserve">VAR_SLTR_IND_AUTH_EDUC</t>
  </si>
  <si>
    <t xml:space="preserve">Variance estimate for SLTR (Authorized, Educational Services)</t>
  </si>
  <si>
    <t xml:space="preserve">P1513</t>
  </si>
  <si>
    <t xml:space="preserve">VAR_SLTR_IND_AUTH_FIN</t>
  </si>
  <si>
    <t xml:space="preserve">Variance estimate for SLTR (Authorized, Finance &amp; Insurance)</t>
  </si>
  <si>
    <t xml:space="preserve">P1514</t>
  </si>
  <si>
    <t xml:space="preserve">VAR_SLTR_IND_AUTH_MEDIAIT</t>
  </si>
  <si>
    <t xml:space="preserve">Variance estimate for SLTR (Authorized, Media and Information Technology)</t>
  </si>
  <si>
    <t xml:space="preserve">P1515</t>
  </si>
  <si>
    <t xml:space="preserve">VAR_SLTR_IND_AUTH_PUBADMIN</t>
  </si>
  <si>
    <t xml:space="preserve">Variance estimate for SLTR (Authorized, Public Administration)</t>
  </si>
  <si>
    <t xml:space="preserve">P1516</t>
  </si>
  <si>
    <t xml:space="preserve">VAR_SLTR_IND_UNAUTH_HEALTH</t>
  </si>
  <si>
    <t xml:space="preserve">Variance estimate for SLTR (Unauthorized, Health Care &amp; Social Assistance)</t>
  </si>
  <si>
    <t xml:space="preserve">P1517</t>
  </si>
  <si>
    <t xml:space="preserve">VAR_SLTR_IND_UNAUTH_PROF</t>
  </si>
  <si>
    <t xml:space="preserve">Variance estimate for SLTR (Unauthorized, Professional Services)</t>
  </si>
  <si>
    <t xml:space="preserve">P1518</t>
  </si>
  <si>
    <t xml:space="preserve">VAR_SLTR_IND_UNAUTH_EDUC</t>
  </si>
  <si>
    <t xml:space="preserve">Variance estimate for SLTR (Unauthorized, Educational Services)</t>
  </si>
  <si>
    <t xml:space="preserve">P1519</t>
  </si>
  <si>
    <t xml:space="preserve">VAR_SLTR_IND_UNAUTH_FIN</t>
  </si>
  <si>
    <t xml:space="preserve">Variance estimate for SLTR (Unauthorized, Finance &amp; Insurance)</t>
  </si>
  <si>
    <t xml:space="preserve">P1520</t>
  </si>
  <si>
    <t xml:space="preserve">VAR_SLTR_IND_UNAUTH_MEDIAIT</t>
  </si>
  <si>
    <t xml:space="preserve">Variance estimate for SLTR (Unauthorized, Media and Information Technology)</t>
  </si>
  <si>
    <t xml:space="preserve">P1521</t>
  </si>
  <si>
    <t xml:space="preserve">VAR_SLTR_IND_UNAUTH_PUBADMIN</t>
  </si>
  <si>
    <t xml:space="preserve">Variance estimate for SLTR (Unauthorized, Public Administration)</t>
  </si>
  <si>
    <t xml:space="preserve">P1522</t>
  </si>
  <si>
    <t xml:space="preserve">VAR_SSMC_IND_AUTH_HEALTH</t>
  </si>
  <si>
    <t xml:space="preserve">Variance estimate for SSMC (Authorized, Health Care &amp; Social Assistance)</t>
  </si>
  <si>
    <t xml:space="preserve">P1523</t>
  </si>
  <si>
    <t xml:space="preserve">VAR_SSMC_IND_AUTH_PROF</t>
  </si>
  <si>
    <t xml:space="preserve">Variance estimate for SSMC (Authorized, Professional Services)</t>
  </si>
  <si>
    <t xml:space="preserve">P1524</t>
  </si>
  <si>
    <t xml:space="preserve">VAR_SSMC_IND_AUTH_EDUC</t>
  </si>
  <si>
    <t xml:space="preserve">Variance estimate for SSMC (Authorized, Educational Services)</t>
  </si>
  <si>
    <t xml:space="preserve">P1525</t>
  </si>
  <si>
    <t xml:space="preserve">VAR_SSMC_IND_AUTH_FIN</t>
  </si>
  <si>
    <t xml:space="preserve">Variance estimate for SSMC (Authorized, Finance &amp; Insurance)</t>
  </si>
  <si>
    <t xml:space="preserve">P1526</t>
  </si>
  <si>
    <t xml:space="preserve">VAR_SSMC_IND_AUTH_MEDIAIT</t>
  </si>
  <si>
    <t xml:space="preserve">Variance estimate for SSMC (Authorized, Media and Information Technology)</t>
  </si>
  <si>
    <t xml:space="preserve">P1527</t>
  </si>
  <si>
    <t xml:space="preserve">VAR_SSMC_IND_AUTH_PUBADMIN</t>
  </si>
  <si>
    <t xml:space="preserve">Variance estimate for SSMC (Authorized, Public Administration)</t>
  </si>
  <si>
    <t xml:space="preserve">P1528</t>
  </si>
  <si>
    <t xml:space="preserve">VAR_SSMC_IND_UNAUTH_HEALTH</t>
  </si>
  <si>
    <t xml:space="preserve">Variance estimate for SSMC (Unauthorized, Health Care &amp; Social Assistance)</t>
  </si>
  <si>
    <t xml:space="preserve">P1529</t>
  </si>
  <si>
    <t xml:space="preserve">VAR_SSMC_IND_UNAUTH_PROF</t>
  </si>
  <si>
    <t xml:space="preserve">Variance estimate for SSMC (Unauthorized, Professional Services)</t>
  </si>
  <si>
    <t xml:space="preserve">P1530</t>
  </si>
  <si>
    <t xml:space="preserve">VAR_SSMC_IND_UNAUTH_EDUC</t>
  </si>
  <si>
    <t xml:space="preserve">Variance estimate for SSMC (Unauthorized, Educational Services)</t>
  </si>
  <si>
    <t xml:space="preserve">P1531</t>
  </si>
  <si>
    <t xml:space="preserve">VAR_SSMC_IND_UNAUTH_FIN</t>
  </si>
  <si>
    <t xml:space="preserve">Variance estimate for SSMC (Unauthorized, Finance &amp; Insurance)</t>
  </si>
  <si>
    <t xml:space="preserve">P1532</t>
  </si>
  <si>
    <t xml:space="preserve">VAR_SSMC_IND_UNAUTH_MEDIAIT</t>
  </si>
  <si>
    <t xml:space="preserve">Variance estimate for SSMC (Unauthorized, Media and Information Technology)</t>
  </si>
  <si>
    <t xml:space="preserve">P1533</t>
  </si>
  <si>
    <t xml:space="preserve">VAR_SSMC_IND_UNAUTH_PUBADMIN</t>
  </si>
  <si>
    <t xml:space="preserve">Variance estimate for SSMC (Unauthorized, Public Administration)</t>
  </si>
  <si>
    <t xml:space="preserve">P1534</t>
  </si>
  <si>
    <t xml:space="preserve">VAR_PAUR_COST_IND_AUTH_HEALTH</t>
  </si>
  <si>
    <t xml:space="preserve">Variance estimate for PAUR_cost (Authorized, Health Care &amp; Social Assistance)</t>
  </si>
  <si>
    <t xml:space="preserve">P1535</t>
  </si>
  <si>
    <t xml:space="preserve">VAR_PAUR_COST_IND_AUTH_PROF</t>
  </si>
  <si>
    <t xml:space="preserve">Variance estimate for PAUR_cost (Authorized, Professional Services)</t>
  </si>
  <si>
    <t xml:space="preserve">P1536</t>
  </si>
  <si>
    <t xml:space="preserve">VAR_PAUR_COST_IND_AUTH_EDUC</t>
  </si>
  <si>
    <t xml:space="preserve">Variance estimate for PAUR_cost (Authorized, Educational Services)</t>
  </si>
  <si>
    <t xml:space="preserve">P1537</t>
  </si>
  <si>
    <t xml:space="preserve">VAR_PAUR_COST_IND_AUTH_FIN</t>
  </si>
  <si>
    <t xml:space="preserve">Variance estimate for PAUR_cost (Authorized, Finance &amp; Insurance)</t>
  </si>
  <si>
    <t xml:space="preserve">P1538</t>
  </si>
  <si>
    <t xml:space="preserve">VAR_PAUR_COST_IND_AUTH_MEDIAIT</t>
  </si>
  <si>
    <t xml:space="preserve">Variance estimate for PAUR_cost (Authorized, Media and Information Technology)</t>
  </si>
  <si>
    <t xml:space="preserve">P1539</t>
  </si>
  <si>
    <t xml:space="preserve">VAR_PAUR_COST_IND_AUTH_PUBADMIN</t>
  </si>
  <si>
    <t xml:space="preserve">Variance estimate for PAUR_cost (Authorized, Public Administration)</t>
  </si>
  <si>
    <t xml:space="preserve">P1540</t>
  </si>
  <si>
    <t xml:space="preserve">VAR_PAUR_COST_IND_UNAUTH_HEALTH</t>
  </si>
  <si>
    <t xml:space="preserve">Variance estimate for PAUR_cost (Unauthorized, Health Care &amp; Social Assistance)</t>
  </si>
  <si>
    <t xml:space="preserve">P1541</t>
  </si>
  <si>
    <t xml:space="preserve">VAR_PAUR_COST_IND_UNAUTH_PROF</t>
  </si>
  <si>
    <t xml:space="preserve">Variance estimate for PAUR_cost (Unauthorized, Professional Services)</t>
  </si>
  <si>
    <t xml:space="preserve">P1542</t>
  </si>
  <si>
    <t xml:space="preserve">VAR_PAUR_COST_IND_UNAUTH_EDUC</t>
  </si>
  <si>
    <t xml:space="preserve">Variance estimate for PAUR_cost (Unauthorized, Educational Services)</t>
  </si>
  <si>
    <t xml:space="preserve">P1543</t>
  </si>
  <si>
    <t xml:space="preserve">VAR_PAUR_COST_IND_UNAUTH_FIN</t>
  </si>
  <si>
    <t xml:space="preserve">Variance estimate for PAUR_cost (Unauthorized, Finance &amp; Insurance)</t>
  </si>
  <si>
    <t xml:space="preserve">P1544</t>
  </si>
  <si>
    <t xml:space="preserve">VAR_PAUR_COST_IND_UNAUTH_MEDIAIT</t>
  </si>
  <si>
    <t xml:space="preserve">Variance estimate for PAUR_cost (Unauthorized, Media and Information Technology)</t>
  </si>
  <si>
    <t xml:space="preserve">P1545</t>
  </si>
  <si>
    <t xml:space="preserve">VAR_PAUR_COST_IND_UNAUTH_PUBADMIN</t>
  </si>
  <si>
    <t xml:space="preserve">Variance estimate for PAUR_cost (Unauthorized, Public Administration)</t>
  </si>
  <si>
    <t xml:space="preserve">P1546</t>
  </si>
  <si>
    <t xml:space="preserve">P1547</t>
  </si>
  <si>
    <t xml:space="preserve">P1548</t>
  </si>
  <si>
    <t xml:space="preserve">P1549</t>
  </si>
  <si>
    <t xml:space="preserve">P1550</t>
  </si>
  <si>
    <t xml:space="preserve">P1551</t>
  </si>
  <si>
    <t xml:space="preserve">P1552</t>
  </si>
  <si>
    <t xml:space="preserve">P1553</t>
  </si>
  <si>
    <t xml:space="preserve">P1554</t>
  </si>
  <si>
    <t xml:space="preserve">P1555</t>
  </si>
  <si>
    <t xml:space="preserve">P1556</t>
  </si>
  <si>
    <t xml:space="preserve">P1557</t>
  </si>
  <si>
    <t xml:space="preserve">P1558</t>
  </si>
  <si>
    <t xml:space="preserve">P1559</t>
  </si>
  <si>
    <t xml:space="preserve">P1560</t>
  </si>
  <si>
    <t xml:space="preserve">P1561</t>
  </si>
  <si>
    <t xml:space="preserve">P1562</t>
  </si>
  <si>
    <t xml:space="preserve">P1563</t>
  </si>
  <si>
    <t xml:space="preserve">P1564</t>
  </si>
  <si>
    <t xml:space="preserve">P1565</t>
  </si>
  <si>
    <t xml:space="preserve">P1566</t>
  </si>
  <si>
    <t xml:space="preserve">P1567</t>
  </si>
  <si>
    <t xml:space="preserve">P1568</t>
  </si>
  <si>
    <t xml:space="preserve">P1569</t>
  </si>
  <si>
    <t xml:space="preserve">P1570</t>
  </si>
  <si>
    <t xml:space="preserve">P1571</t>
  </si>
  <si>
    <t xml:space="preserve">P1572</t>
  </si>
  <si>
    <t xml:space="preserve">P1573</t>
  </si>
  <si>
    <t xml:space="preserve">P1574</t>
  </si>
  <si>
    <t xml:space="preserve">P1575</t>
  </si>
  <si>
    <t xml:space="preserve">P1576</t>
  </si>
  <si>
    <t xml:space="preserve">P1577</t>
  </si>
  <si>
    <t xml:space="preserve">P1578</t>
  </si>
  <si>
    <t xml:space="preserve">P1579</t>
  </si>
  <si>
    <t xml:space="preserve">P1580</t>
  </si>
  <si>
    <t xml:space="preserve">P1581</t>
  </si>
  <si>
    <t xml:space="preserve">P1582</t>
  </si>
  <si>
    <t xml:space="preserve">P1583</t>
  </si>
  <si>
    <t xml:space="preserve">P1584</t>
  </si>
  <si>
    <t xml:space="preserve">P1585</t>
  </si>
  <si>
    <t xml:space="preserve">P1586</t>
  </si>
  <si>
    <t xml:space="preserve">P1587</t>
  </si>
  <si>
    <t xml:space="preserve">P1588</t>
  </si>
  <si>
    <t xml:space="preserve">P1589</t>
  </si>
  <si>
    <t xml:space="preserve">P1590</t>
  </si>
  <si>
    <t xml:space="preserve">P1591</t>
  </si>
  <si>
    <t xml:space="preserve">P1592</t>
  </si>
  <si>
    <t xml:space="preserve">P1593</t>
  </si>
  <si>
    <t xml:space="preserve">P1594</t>
  </si>
  <si>
    <t xml:space="preserve">P1595</t>
  </si>
  <si>
    <t xml:space="preserve">P1596</t>
  </si>
  <si>
    <t xml:space="preserve">P1597</t>
  </si>
  <si>
    <t xml:space="preserve">P1598</t>
  </si>
  <si>
    <t xml:space="preserve">P1599</t>
  </si>
  <si>
    <t xml:space="preserve">P1600</t>
  </si>
  <si>
    <t xml:space="preserve">P1601</t>
  </si>
  <si>
    <t xml:space="preserve">P1602</t>
  </si>
  <si>
    <t xml:space="preserve">P1603</t>
  </si>
  <si>
    <t xml:space="preserve">P1604</t>
  </si>
  <si>
    <t xml:space="preserve">P1605</t>
  </si>
  <si>
    <t xml:space="preserve">P1606</t>
  </si>
  <si>
    <t xml:space="preserve">P1607</t>
  </si>
  <si>
    <t xml:space="preserve">P1608</t>
  </si>
  <si>
    <t xml:space="preserve">P1609</t>
  </si>
  <si>
    <t xml:space="preserve">P1610</t>
  </si>
  <si>
    <t xml:space="preserve">P1611</t>
  </si>
  <si>
    <t xml:space="preserve">P1612</t>
  </si>
  <si>
    <t xml:space="preserve">P1613</t>
  </si>
  <si>
    <t xml:space="preserve">P1614</t>
  </si>
  <si>
    <t xml:space="preserve">P1615</t>
  </si>
  <si>
    <t xml:space="preserve">P1616</t>
  </si>
  <si>
    <t xml:space="preserve">P1617</t>
  </si>
  <si>
    <t xml:space="preserve">P1618</t>
  </si>
  <si>
    <t xml:space="preserve">P1619</t>
  </si>
  <si>
    <t xml:space="preserve">P1620</t>
  </si>
  <si>
    <t xml:space="preserve">P1621</t>
  </si>
  <si>
    <t xml:space="preserve">P1622</t>
  </si>
  <si>
    <t xml:space="preserve">P1623</t>
  </si>
  <si>
    <t xml:space="preserve">P1624</t>
  </si>
  <si>
    <t xml:space="preserve">P1625</t>
  </si>
  <si>
    <t xml:space="preserve">P1626</t>
  </si>
  <si>
    <t xml:space="preserve">P1627</t>
  </si>
  <si>
    <t xml:space="preserve">P1628</t>
  </si>
  <si>
    <t xml:space="preserve">P1629</t>
  </si>
  <si>
    <t xml:space="preserve">P1630</t>
  </si>
  <si>
    <t xml:space="preserve">P1631</t>
  </si>
  <si>
    <t xml:space="preserve">P1632</t>
  </si>
  <si>
    <t xml:space="preserve">P1633</t>
  </si>
  <si>
    <t xml:space="preserve">P1634</t>
  </si>
  <si>
    <t xml:space="preserve">P1635</t>
  </si>
  <si>
    <t xml:space="preserve">P1636</t>
  </si>
  <si>
    <t xml:space="preserve">P1637</t>
  </si>
  <si>
    <t xml:space="preserve">P1638</t>
  </si>
  <si>
    <t xml:space="preserve">P1639</t>
  </si>
  <si>
    <t xml:space="preserve">P1640</t>
  </si>
  <si>
    <t xml:space="preserve">P1641</t>
  </si>
  <si>
    <t xml:space="preserve">P1642</t>
  </si>
  <si>
    <t xml:space="preserve">P1643</t>
  </si>
  <si>
    <t xml:space="preserve">P1644</t>
  </si>
  <si>
    <t xml:space="preserve">P1645</t>
  </si>
  <si>
    <t xml:space="preserve">P1646</t>
  </si>
  <si>
    <t xml:space="preserve">P1647</t>
  </si>
  <si>
    <t xml:space="preserve">P1648</t>
  </si>
  <si>
    <t xml:space="preserve">P1649</t>
  </si>
  <si>
    <t xml:space="preserve">P1650</t>
  </si>
  <si>
    <t xml:space="preserve">P1651</t>
  </si>
  <si>
    <t xml:space="preserve">P1652</t>
  </si>
  <si>
    <t xml:space="preserve">P1653</t>
  </si>
  <si>
    <t xml:space="preserve">P1654</t>
  </si>
  <si>
    <t xml:space="preserve">Health Care &amp; Social Assistance typical education level required (1=less than HS, 2=HS/GED, 3=some college, 4=associate, 5=bachelor, 6=master+)</t>
  </si>
  <si>
    <t xml:space="preserve">P1655</t>
  </si>
  <si>
    <t xml:space="preserve">P1656</t>
  </si>
  <si>
    <t xml:space="preserve">P1657</t>
  </si>
  <si>
    <t xml:space="preserve">P1658</t>
  </si>
  <si>
    <t xml:space="preserve">P1659</t>
  </si>
  <si>
    <t xml:space="preserve">P1660</t>
  </si>
  <si>
    <t xml:space="preserve">VAR_LFP_IND_AUTH_HEALTH</t>
  </si>
  <si>
    <t xml:space="preserve">Variance estimate for LFP (Authorized, Health Care &amp; Social Assistance)</t>
  </si>
  <si>
    <t xml:space="preserve">P1661</t>
  </si>
  <si>
    <t xml:space="preserve">VAR_LFP_IND_AUTH_PROF</t>
  </si>
  <si>
    <t xml:space="preserve">Variance estimate for LFP (Authorized, Professional Services)</t>
  </si>
  <si>
    <t xml:space="preserve">P1662</t>
  </si>
  <si>
    <t xml:space="preserve">VAR_LFP_IND_AUTH_EDUC</t>
  </si>
  <si>
    <t xml:space="preserve">Variance estimate for LFP (Authorized, Educational Services)</t>
  </si>
  <si>
    <t xml:space="preserve">P1663</t>
  </si>
  <si>
    <t xml:space="preserve">VAR_LFP_IND_AUTH_FIN</t>
  </si>
  <si>
    <t xml:space="preserve">Variance estimate for LFP (Authorized, Finance &amp; Insurance)</t>
  </si>
  <si>
    <t xml:space="preserve">P1664</t>
  </si>
  <si>
    <t xml:space="preserve">VAR_LFP_IND_AUTH_MEDIAIT</t>
  </si>
  <si>
    <t xml:space="preserve">Variance estimate for LFP (Authorized, Media and Information Technology)</t>
  </si>
  <si>
    <t xml:space="preserve">P1665</t>
  </si>
  <si>
    <t xml:space="preserve">VAR_LFP_IND_AUTH_PUBADMIN</t>
  </si>
  <si>
    <t xml:space="preserve">Variance estimate for LFP (Authorized, Public Administration)</t>
  </si>
  <si>
    <t xml:space="preserve">P1666</t>
  </si>
  <si>
    <t xml:space="preserve">VAR_LFP_IND_UNAUTH_HEALTH</t>
  </si>
  <si>
    <t xml:space="preserve">Variance estimate for LFP (Unauthorized, Health Care &amp; Social Assistance)</t>
  </si>
  <si>
    <t xml:space="preserve">P1667</t>
  </si>
  <si>
    <t xml:space="preserve">VAR_LFP_IND_UNAUTH_PROF</t>
  </si>
  <si>
    <t xml:space="preserve">Variance estimate for LFP (Unauthorized, Professional Services)</t>
  </si>
  <si>
    <t xml:space="preserve">P1668</t>
  </si>
  <si>
    <t xml:space="preserve">VAR_LFP_IND_UNAUTH_EDUC</t>
  </si>
  <si>
    <t xml:space="preserve">Variance estimate for LFP (Unauthorized, Educational Services)</t>
  </si>
  <si>
    <t xml:space="preserve">P1669</t>
  </si>
  <si>
    <t xml:space="preserve">VAR_LFP_IND_UNAUTH_FIN</t>
  </si>
  <si>
    <t xml:space="preserve">Variance estimate for LFP (Unauthorized, Finance &amp; Insurance)</t>
  </si>
  <si>
    <t xml:space="preserve">P1670</t>
  </si>
  <si>
    <t xml:space="preserve">VAR_LFP_IND_UNAUTH_MEDIAIT</t>
  </si>
  <si>
    <t xml:space="preserve">Variance estimate for LFP (Unauthorized, Media and Information Technology)</t>
  </si>
  <si>
    <t xml:space="preserve">P1671</t>
  </si>
  <si>
    <t xml:space="preserve">VAR_LFP_IND_UNAUTH_PUBADMIN</t>
  </si>
  <si>
    <t xml:space="preserve">Variance estimate for LFP (Unauthorized, Public Administration)</t>
  </si>
  <si>
    <t xml:space="preserve">P1672</t>
  </si>
  <si>
    <t xml:space="preserve">VAR_ETPR_IND_AUTH_HEALTH</t>
  </si>
  <si>
    <t xml:space="preserve">Variance estimate for ETPR (Authorized, Health Care &amp; Social Assistance)</t>
  </si>
  <si>
    <t xml:space="preserve">P1673</t>
  </si>
  <si>
    <t xml:space="preserve">VAR_ETPR_IND_AUTH_PROF</t>
  </si>
  <si>
    <t xml:space="preserve">Variance estimate for ETPR (Authorized, Professional Services)</t>
  </si>
  <si>
    <t xml:space="preserve">P1674</t>
  </si>
  <si>
    <t xml:space="preserve">VAR_ETPR_IND_AUTH_EDUC</t>
  </si>
  <si>
    <t xml:space="preserve">Variance estimate for ETPR (Authorized, Educational Services)</t>
  </si>
  <si>
    <t xml:space="preserve">P1675</t>
  </si>
  <si>
    <t xml:space="preserve">VAR_ETPR_IND_AUTH_FIN</t>
  </si>
  <si>
    <t xml:space="preserve">Variance estimate for ETPR (Authorized, Finance &amp; Insurance)</t>
  </si>
  <si>
    <t xml:space="preserve">P1676</t>
  </si>
  <si>
    <t xml:space="preserve">VAR_ETPR_IND_AUTH_MEDIAIT</t>
  </si>
  <si>
    <t xml:space="preserve">Variance estimate for ETPR (Authorized, Media and Information Technology)</t>
  </si>
  <si>
    <t xml:space="preserve">P1677</t>
  </si>
  <si>
    <t xml:space="preserve">VAR_ETPR_IND_AUTH_PUBADMIN</t>
  </si>
  <si>
    <t xml:space="preserve">Variance estimate for ETPR (Authorized, Public Administration)</t>
  </si>
  <si>
    <t xml:space="preserve">P1678</t>
  </si>
  <si>
    <t xml:space="preserve">VAR_ETPR_IND_UNAUTH_HEALTH</t>
  </si>
  <si>
    <t xml:space="preserve">Variance estimate for ETPR (Unauthorized, Health Care &amp; Social Assistance)</t>
  </si>
  <si>
    <t xml:space="preserve">P1679</t>
  </si>
  <si>
    <t xml:space="preserve">VAR_ETPR_IND_UNAUTH_PROF</t>
  </si>
  <si>
    <t xml:space="preserve">Variance estimate for ETPR (Unauthorized, Professional Services)</t>
  </si>
  <si>
    <t xml:space="preserve">P1680</t>
  </si>
  <si>
    <t xml:space="preserve">VAR_ETPR_IND_UNAUTH_EDUC</t>
  </si>
  <si>
    <t xml:space="preserve">Variance estimate for ETPR (Unauthorized, Educational Services)</t>
  </si>
  <si>
    <t xml:space="preserve">P1681</t>
  </si>
  <si>
    <t xml:space="preserve">VAR_ETPR_IND_UNAUTH_FIN</t>
  </si>
  <si>
    <t xml:space="preserve">Variance estimate for ETPR (Unauthorized, Finance &amp; Insurance)</t>
  </si>
  <si>
    <t xml:space="preserve">P1682</t>
  </si>
  <si>
    <t xml:space="preserve">VAR_ETPR_IND_UNAUTH_MEDIAIT</t>
  </si>
  <si>
    <t xml:space="preserve">Variance estimate for ETPR (Unauthorized, Media and Information Technology)</t>
  </si>
  <si>
    <t xml:space="preserve">P1683</t>
  </si>
  <si>
    <t xml:space="preserve">VAR_ETPR_IND_UNAUTH_PUBADMIN</t>
  </si>
  <si>
    <t xml:space="preserve">Variance estimate for ETPR (Unauthorized, Public Administration)</t>
  </si>
  <si>
    <t xml:space="preserve">P1684</t>
  </si>
  <si>
    <t xml:space="preserve">VAR_LFPR_IND_AUTH_HEALTH</t>
  </si>
  <si>
    <t xml:space="preserve">Variance estimate for LFPR (Authorized, Health Care &amp; Social Assistance)</t>
  </si>
  <si>
    <t xml:space="preserve">P1685</t>
  </si>
  <si>
    <t xml:space="preserve">VAR_LFPR_IND_AUTH_PROF</t>
  </si>
  <si>
    <t xml:space="preserve">Variance estimate for LFPR (Authorized, Professional Services)</t>
  </si>
  <si>
    <t xml:space="preserve">P1686</t>
  </si>
  <si>
    <t xml:space="preserve">VAR_LFPR_IND_AUTH_EDUC</t>
  </si>
  <si>
    <t xml:space="preserve">Variance estimate for LFPR (Authorized, Educational Services)</t>
  </si>
  <si>
    <t xml:space="preserve">P1687</t>
  </si>
  <si>
    <t xml:space="preserve">VAR_LFPR_IND_AUTH_FIN</t>
  </si>
  <si>
    <t xml:space="preserve">Variance estimate for LFPR (Authorized, Finance &amp; Insurance)</t>
  </si>
  <si>
    <t xml:space="preserve">P1688</t>
  </si>
  <si>
    <t xml:space="preserve">VAR_LFPR_IND_AUTH_MEDIAIT</t>
  </si>
  <si>
    <t xml:space="preserve">Variance estimate for LFPR (Authorized, Media and Information Technology)</t>
  </si>
  <si>
    <t xml:space="preserve">P1689</t>
  </si>
  <si>
    <t xml:space="preserve">VAR_LFPR_IND_AUTH_PUBADMIN</t>
  </si>
  <si>
    <t xml:space="preserve">Variance estimate for LFPR (Authorized, Public Administration)</t>
  </si>
  <si>
    <t xml:space="preserve">P1690</t>
  </si>
  <si>
    <t xml:space="preserve">VAR_LFPR_IND_UNAUTH_HEALTH</t>
  </si>
  <si>
    <t xml:space="preserve">Variance estimate for LFPR (Unauthorized, Health Care &amp; Social Assistance)</t>
  </si>
  <si>
    <t xml:space="preserve">P1691</t>
  </si>
  <si>
    <t xml:space="preserve">VAR_LFPR_IND_UNAUTH_PROF</t>
  </si>
  <si>
    <t xml:space="preserve">Variance estimate for LFPR (Unauthorized, Professional Services)</t>
  </si>
  <si>
    <t xml:space="preserve">P1692</t>
  </si>
  <si>
    <t xml:space="preserve">VAR_LFPR_IND_UNAUTH_EDUC</t>
  </si>
  <si>
    <t xml:space="preserve">Variance estimate for LFPR (Unauthorized, Educational Services)</t>
  </si>
  <si>
    <t xml:space="preserve">P1693</t>
  </si>
  <si>
    <t xml:space="preserve">VAR_LFPR_IND_UNAUTH_FIN</t>
  </si>
  <si>
    <t xml:space="preserve">Variance estimate for LFPR (Unauthorized, Finance &amp; Insurance)</t>
  </si>
  <si>
    <t xml:space="preserve">P1694</t>
  </si>
  <si>
    <t xml:space="preserve">VAR_LFPR_IND_UNAUTH_MEDIAIT</t>
  </si>
  <si>
    <t xml:space="preserve">Variance estimate for LFPR (Unauthorized, Media and Information Technology)</t>
  </si>
  <si>
    <t xml:space="preserve">P1695</t>
  </si>
  <si>
    <t xml:space="preserve">VAR_LFPR_IND_UNAUTH_PUBADMIN</t>
  </si>
  <si>
    <t xml:space="preserve">Variance estimate for LFPR (Unauthorized, Public Administration)</t>
  </si>
  <si>
    <t xml:space="preserve">P1696</t>
  </si>
  <si>
    <t xml:space="preserve">VAR_U3R_IND_AUTH_HEALTH</t>
  </si>
  <si>
    <t xml:space="preserve">Variance estimate for U3R (Authorized, Health Care &amp; Social Assistance)</t>
  </si>
  <si>
    <t xml:space="preserve">P1697</t>
  </si>
  <si>
    <t xml:space="preserve">VAR_U3R_IND_AUTH_PROF</t>
  </si>
  <si>
    <t xml:space="preserve">Variance estimate for U3R (Authorized, Professional Services)</t>
  </si>
  <si>
    <t xml:space="preserve">P1698</t>
  </si>
  <si>
    <t xml:space="preserve">VAR_U3R_IND_AUTH_EDUC</t>
  </si>
  <si>
    <t xml:space="preserve">Variance estimate for U3R (Authorized, Educational Services)</t>
  </si>
  <si>
    <t xml:space="preserve">P1699</t>
  </si>
  <si>
    <t xml:space="preserve">VAR_U3R_IND_AUTH_FIN</t>
  </si>
  <si>
    <t xml:space="preserve">Variance estimate for U3R (Authorized, Finance &amp; Insurance)</t>
  </si>
  <si>
    <t xml:space="preserve">P1700</t>
  </si>
  <si>
    <t xml:space="preserve">VAR_U3R_IND_AUTH_MEDIAIT</t>
  </si>
  <si>
    <t xml:space="preserve">Variance estimate for U3R (Authorized, Media and Information Technology)</t>
  </si>
  <si>
    <t xml:space="preserve">P1701</t>
  </si>
  <si>
    <t xml:space="preserve">VAR_U3R_IND_AUTH_PUBADMIN</t>
  </si>
  <si>
    <t xml:space="preserve">Variance estimate for U3R (Authorized, Public Administration)</t>
  </si>
  <si>
    <t xml:space="preserve">P1702</t>
  </si>
  <si>
    <t xml:space="preserve">VAR_U3R_IND_UNAUTH_HEALTH</t>
  </si>
  <si>
    <t xml:space="preserve">Variance estimate for U3R (Unauthorized, Health Care &amp; Social Assistance)</t>
  </si>
  <si>
    <t xml:space="preserve">P1703</t>
  </si>
  <si>
    <t xml:space="preserve">VAR_U3R_IND_UNAUTH_PROF</t>
  </si>
  <si>
    <t xml:space="preserve">Variance estimate for U3R (Unauthorized, Professional Services)</t>
  </si>
  <si>
    <t xml:space="preserve">P1704</t>
  </si>
  <si>
    <t xml:space="preserve">VAR_U3R_IND_UNAUTH_EDUC</t>
  </si>
  <si>
    <t xml:space="preserve">Variance estimate for U3R (Unauthorized, Educational Services)</t>
  </si>
  <si>
    <t xml:space="preserve">P1705</t>
  </si>
  <si>
    <t xml:space="preserve">VAR_U3R_IND_UNAUTH_FIN</t>
  </si>
  <si>
    <t xml:space="preserve">Variance estimate for U3R (Unauthorized, Finance &amp; Insurance)</t>
  </si>
  <si>
    <t xml:space="preserve">P1706</t>
  </si>
  <si>
    <t xml:space="preserve">VAR_U3R_IND_UNAUTH_MEDIAIT</t>
  </si>
  <si>
    <t xml:space="preserve">Variance estimate for U3R (Unauthorized, Media and Information Technology)</t>
  </si>
  <si>
    <t xml:space="preserve">P1707</t>
  </si>
  <si>
    <t xml:space="preserve">VAR_U3R_IND_UNAUTH_PUBADMIN</t>
  </si>
  <si>
    <t xml:space="preserve">Variance estimate for U3R (Unauthorized, Public Administration)</t>
  </si>
  <si>
    <t xml:space="preserve">P1708</t>
  </si>
  <si>
    <t xml:space="preserve">VAR_U6R_IND_AUTH_HEALTH</t>
  </si>
  <si>
    <t xml:space="preserve">Variance estimate for U6R (Authorized, Health Care &amp; Social Assistance)</t>
  </si>
  <si>
    <t xml:space="preserve">P1709</t>
  </si>
  <si>
    <t xml:space="preserve">VAR_U6R_IND_AUTH_PROF</t>
  </si>
  <si>
    <t xml:space="preserve">Variance estimate for U6R (Authorized, Professional Services)</t>
  </si>
  <si>
    <t xml:space="preserve">P1710</t>
  </si>
  <si>
    <t xml:space="preserve">VAR_U6R_IND_AUTH_EDUC</t>
  </si>
  <si>
    <t xml:space="preserve">Variance estimate for U6R (Authorized, Educational Services)</t>
  </si>
  <si>
    <t xml:space="preserve">P1711</t>
  </si>
  <si>
    <t xml:space="preserve">VAR_U6R_IND_AUTH_FIN</t>
  </si>
  <si>
    <t xml:space="preserve">Variance estimate for U6R (Authorized, Finance &amp; Insurance)</t>
  </si>
  <si>
    <t xml:space="preserve">P1712</t>
  </si>
  <si>
    <t xml:space="preserve">VAR_U6R_IND_AUTH_MEDIAIT</t>
  </si>
  <si>
    <t xml:space="preserve">Variance estimate for U6R (Authorized, Media and Information Technology)</t>
  </si>
  <si>
    <t xml:space="preserve">P1713</t>
  </si>
  <si>
    <t xml:space="preserve">VAR_U6R_IND_AUTH_PUBADMIN</t>
  </si>
  <si>
    <t xml:space="preserve">Variance estimate for U6R (Authorized, Public Administration)</t>
  </si>
  <si>
    <t xml:space="preserve">P1714</t>
  </si>
  <si>
    <t xml:space="preserve">VAR_U6R_IND_UNAUTH_HEALTH</t>
  </si>
  <si>
    <t xml:space="preserve">Variance estimate for U6R (Unauthorized, Health Care &amp; Social Assistance)</t>
  </si>
  <si>
    <t xml:space="preserve">P1715</t>
  </si>
  <si>
    <t xml:space="preserve">VAR_U6R_IND_UNAUTH_PROF</t>
  </si>
  <si>
    <t xml:space="preserve">Variance estimate for U6R (Unauthorized, Professional Services)</t>
  </si>
  <si>
    <t xml:space="preserve">P1716</t>
  </si>
  <si>
    <t xml:space="preserve">VAR_U6R_IND_UNAUTH_EDUC</t>
  </si>
  <si>
    <t xml:space="preserve">Variance estimate for U6R (Unauthorized, Educational Services)</t>
  </si>
  <si>
    <t xml:space="preserve">P1717</t>
  </si>
  <si>
    <t xml:space="preserve">VAR_U6R_IND_UNAUTH_FIN</t>
  </si>
  <si>
    <t xml:space="preserve">Variance estimate for U6R (Unauthorized, Finance &amp; Insurance)</t>
  </si>
  <si>
    <t xml:space="preserve">P1718</t>
  </si>
  <si>
    <t xml:space="preserve">VAR_U6R_IND_UNAUTH_MEDIAIT</t>
  </si>
  <si>
    <t xml:space="preserve">Variance estimate for U6R (Unauthorized, Media and Information Technology)</t>
  </si>
  <si>
    <t xml:space="preserve">P1719</t>
  </si>
  <si>
    <t xml:space="preserve">VAR_U6R_IND_UNAUTH_PUBADMIN</t>
  </si>
  <si>
    <t xml:space="preserve">Variance estimate for U6R (Unauthorized, Public Administration)</t>
  </si>
  <si>
    <t xml:space="preserve">P1720</t>
  </si>
  <si>
    <t xml:space="preserve">VAR_WAVG_IND_AUTH_HEALTH</t>
  </si>
  <si>
    <t xml:space="preserve">Variance estimate for WAVG (Authorized, Health Care &amp; Social Assistance)</t>
  </si>
  <si>
    <t xml:space="preserve">P1721</t>
  </si>
  <si>
    <t xml:space="preserve">VAR_WAVG_IND_AUTH_PROF</t>
  </si>
  <si>
    <t xml:space="preserve">Variance estimate for WAVG (Authorized, Professional Services)</t>
  </si>
  <si>
    <t xml:space="preserve">P1722</t>
  </si>
  <si>
    <t xml:space="preserve">VAR_WAVG_IND_AUTH_EDUC</t>
  </si>
  <si>
    <t xml:space="preserve">Variance estimate for WAVG (Authorized, Educational Services)</t>
  </si>
  <si>
    <t xml:space="preserve">P1723</t>
  </si>
  <si>
    <t xml:space="preserve">VAR_WAVG_IND_AUTH_FIN</t>
  </si>
  <si>
    <t xml:space="preserve">Variance estimate for WAVG (Authorized, Finance &amp; Insurance)</t>
  </si>
  <si>
    <t xml:space="preserve">P1724</t>
  </si>
  <si>
    <t xml:space="preserve">VAR_WAVG_IND_AUTH_MEDIAIT</t>
  </si>
  <si>
    <t xml:space="preserve">Variance estimate for WAVG (Authorized, Media and Information Technology)</t>
  </si>
  <si>
    <t xml:space="preserve">P1725</t>
  </si>
  <si>
    <t xml:space="preserve">VAR_WAVG_IND_AUTH_PUBADMIN</t>
  </si>
  <si>
    <t xml:space="preserve">Variance estimate for WAVG (Authorized, Public Administration)</t>
  </si>
  <si>
    <t xml:space="preserve">P1726</t>
  </si>
  <si>
    <t xml:space="preserve">P1727</t>
  </si>
  <si>
    <t xml:space="preserve">P1728</t>
  </si>
  <si>
    <t xml:space="preserve">VAR_WAVG_IND_UNAUTH_HEALTH</t>
  </si>
  <si>
    <t xml:space="preserve">Variance estimate for WAVG (Unauthorized, Health Care &amp; Social Assistance)</t>
  </si>
  <si>
    <t xml:space="preserve">P1729</t>
  </si>
  <si>
    <t xml:space="preserve">VAR_WAVG_IND_UNAUTH_PROF</t>
  </si>
  <si>
    <t xml:space="preserve">Variance estimate for WAVG (Unauthorized, Professional Services)</t>
  </si>
  <si>
    <t xml:space="preserve">P1730</t>
  </si>
  <si>
    <t xml:space="preserve">VAR_WAVG_IND_UNAUTH_EDUC</t>
  </si>
  <si>
    <t xml:space="preserve">Variance estimate for WAVG (Unauthorized, Educational Services)</t>
  </si>
  <si>
    <t xml:space="preserve">P1731</t>
  </si>
  <si>
    <t xml:space="preserve">VAR_WAVG_IND_UNAUTH_FIN</t>
  </si>
  <si>
    <t xml:space="preserve">Variance estimate for WAVG (Unauthorized, Finance &amp; Insurance)</t>
  </si>
  <si>
    <t xml:space="preserve">P1732</t>
  </si>
  <si>
    <t xml:space="preserve">VAR_WAVG_IND_UNAUTH_MEDIAIT</t>
  </si>
  <si>
    <t xml:space="preserve">Variance estimate for WAVG (Unauthorized, Media and Information Technology)</t>
  </si>
  <si>
    <t xml:space="preserve">P1733</t>
  </si>
  <si>
    <t xml:space="preserve">VAR_WAVG_IND_UNAUTH_PUBADMIN</t>
  </si>
  <si>
    <t xml:space="preserve">Variance estimate for WAVG (Unauthorized, Public Administration)</t>
  </si>
  <si>
    <t xml:space="preserve">P1734</t>
  </si>
  <si>
    <t xml:space="preserve">VAR_AIAVG_IND_AUTH_HEALTH</t>
  </si>
  <si>
    <t xml:space="preserve">Variance estimate for AIAVG (Authorized, Health Care &amp; Social Assistance)</t>
  </si>
  <si>
    <t xml:space="preserve">P1735</t>
  </si>
  <si>
    <t xml:space="preserve">VAR_AIAVG_IND_AUTH_PROF</t>
  </si>
  <si>
    <t xml:space="preserve">Variance estimate for AIAVG (Authorized, Professional Services)</t>
  </si>
  <si>
    <t xml:space="preserve">P1736</t>
  </si>
  <si>
    <t xml:space="preserve">VAR_AIAVG_IND_AUTH_EDUC</t>
  </si>
  <si>
    <t xml:space="preserve">Variance estimate for AIAVG (Authorized, Educational Services)</t>
  </si>
  <si>
    <t xml:space="preserve">P1737</t>
  </si>
  <si>
    <t xml:space="preserve">VAR_AIAVG_IND_AUTH_FIN</t>
  </si>
  <si>
    <t xml:space="preserve">Variance estimate for AIAVG (Authorized, Finance &amp; Insurance)</t>
  </si>
  <si>
    <t xml:space="preserve">P1738</t>
  </si>
  <si>
    <t xml:space="preserve">VAR_AIAVG_IND_AUTH_MEDIAIT</t>
  </si>
  <si>
    <t xml:space="preserve">Variance estimate for AIAVG (Authorized, Media and Information Technology)</t>
  </si>
  <si>
    <t xml:space="preserve">P1739</t>
  </si>
  <si>
    <t xml:space="preserve">VAR_AIAVG_IND_AUTH_PUBADMIN</t>
  </si>
  <si>
    <t xml:space="preserve">Variance estimate for AIAVG (Authorized, Public Administration)</t>
  </si>
  <si>
    <t xml:space="preserve">P1740</t>
  </si>
  <si>
    <t xml:space="preserve">VAR_AIAVG_IND_UNAUTH_HEALTH</t>
  </si>
  <si>
    <t xml:space="preserve">Variance estimate for AIAVG (Unauthorized, Health Care &amp; Social Assistance)</t>
  </si>
  <si>
    <t xml:space="preserve">P1741</t>
  </si>
  <si>
    <t xml:space="preserve">VAR_AIAVG_IND_UNAUTH_PROF</t>
  </si>
  <si>
    <t xml:space="preserve">Variance estimate for AIAVG (Unauthorized, Professional Services)</t>
  </si>
  <si>
    <t xml:space="preserve">P1742</t>
  </si>
  <si>
    <t xml:space="preserve">VAR_AIAVG_IND_UNAUTH_EDUC</t>
  </si>
  <si>
    <t xml:space="preserve">Variance estimate for AIAVG (Unauthorized, Educational Services)</t>
  </si>
  <si>
    <t xml:space="preserve">P1743</t>
  </si>
  <si>
    <t xml:space="preserve">VAR_AIAVG_IND_UNAUTH_FIN</t>
  </si>
  <si>
    <t xml:space="preserve">Variance estimate for AIAVG (Unauthorized, Finance &amp; Insurance)</t>
  </si>
  <si>
    <t xml:space="preserve">P1744</t>
  </si>
  <si>
    <t xml:space="preserve">VAR_AIAVG_IND_UNAUTH_MEDIAIT</t>
  </si>
  <si>
    <t xml:space="preserve">Variance estimate for AIAVG (Unauthorized, Media and Information Technology)</t>
  </si>
  <si>
    <t xml:space="preserve">P1745</t>
  </si>
  <si>
    <t xml:space="preserve">VAR_AIAVG_IND_UNAUTH_PUBADMIN</t>
  </si>
  <si>
    <t xml:space="preserve">Variance estimate for AIAVG (Unauthorized, Public Administration)</t>
  </si>
  <si>
    <t xml:space="preserve">P1746</t>
  </si>
  <si>
    <t xml:space="preserve">VAR_FPITREV_IND_AUTH_HEALTH</t>
  </si>
  <si>
    <t xml:space="preserve">Variance estimate for FPITREV (Authorized, Health Care &amp; Social Assistance)</t>
  </si>
  <si>
    <t xml:space="preserve">P1747</t>
  </si>
  <si>
    <t xml:space="preserve">VAR_FPITREV_IND_AUTH_PROF</t>
  </si>
  <si>
    <t xml:space="preserve">Variance estimate for FPITREV (Authorized, Professional Services)</t>
  </si>
  <si>
    <t xml:space="preserve">P1748</t>
  </si>
  <si>
    <t xml:space="preserve">VAR_FPITREV_IND_AUTH_EDUC</t>
  </si>
  <si>
    <t xml:space="preserve">Variance estimate for FPITREV (Authorized, Educational Services)</t>
  </si>
  <si>
    <t xml:space="preserve">P1749</t>
  </si>
  <si>
    <t xml:space="preserve">VAR_FPITREV_IND_AUTH_FIN</t>
  </si>
  <si>
    <t xml:space="preserve">Variance estimate for FPITREV (Authorized, Finance &amp; Insurance)</t>
  </si>
  <si>
    <t xml:space="preserve">P1750</t>
  </si>
  <si>
    <t xml:space="preserve">VAR_FPITREV_IND_AUTH_MEDIAIT</t>
  </si>
  <si>
    <t xml:space="preserve">Variance estimate for FPITREV (Authorized, Media and Information Technology)</t>
  </si>
  <si>
    <t xml:space="preserve">P1751</t>
  </si>
  <si>
    <t xml:space="preserve">VAR_FPITREV_IND_AUTH_PUBADMIN</t>
  </si>
  <si>
    <t xml:space="preserve">Variance estimate for FPITREV (Authorized, Public Administration)</t>
  </si>
  <si>
    <t xml:space="preserve">P1752</t>
  </si>
  <si>
    <t xml:space="preserve">VAR_FPITREV_IND_UNAUTH_HEALTH</t>
  </si>
  <si>
    <t xml:space="preserve">Variance estimate for FPITREV (Unauthorized, Health Care &amp; Social Assistance)</t>
  </si>
  <si>
    <t xml:space="preserve">P1753</t>
  </si>
  <si>
    <t xml:space="preserve">VAR_FPITREV_IND_UNAUTH_PROF</t>
  </si>
  <si>
    <t xml:space="preserve">Variance estimate for FPITREV (Unauthorized, Professional Services)</t>
  </si>
  <si>
    <t xml:space="preserve">P1754</t>
  </si>
  <si>
    <t xml:space="preserve">VAR_FPITREV_IND_UNAUTH_EDUC</t>
  </si>
  <si>
    <t xml:space="preserve">Variance estimate for FPITREV (Unauthorized, Educational Services)</t>
  </si>
  <si>
    <t xml:space="preserve">P1755</t>
  </si>
  <si>
    <t xml:space="preserve">VAR_FPITREV_IND_UNAUTH_FIN</t>
  </si>
  <si>
    <t xml:space="preserve">Variance estimate for FPITREV (Unauthorized, Finance &amp; Insurance)</t>
  </si>
  <si>
    <t xml:space="preserve">P1756</t>
  </si>
  <si>
    <t xml:space="preserve">VAR_FPITREV_IND_UNAUTH_MEDIAIT</t>
  </si>
  <si>
    <t xml:space="preserve">Variance estimate for FPITREV (Unauthorized, Media and Information Technology)</t>
  </si>
  <si>
    <t xml:space="preserve">P1757</t>
  </si>
  <si>
    <t xml:space="preserve">VAR_FPITREV_IND_UNAUTH_PUBADMIN</t>
  </si>
  <si>
    <t xml:space="preserve">Variance estimate for FPITREV (Unauthorized, Public Administration)</t>
  </si>
  <si>
    <t xml:space="preserve">P1758</t>
  </si>
  <si>
    <t xml:space="preserve">P1759</t>
  </si>
  <si>
    <t xml:space="preserve">P1760</t>
  </si>
  <si>
    <t xml:space="preserve">P1761</t>
  </si>
  <si>
    <t xml:space="preserve">P1762</t>
  </si>
  <si>
    <t xml:space="preserve">P1763</t>
  </si>
  <si>
    <t xml:space="preserve">P1764</t>
  </si>
  <si>
    <t xml:space="preserve">P1765</t>
  </si>
  <si>
    <t xml:space="preserve">P1766</t>
  </si>
  <si>
    <t xml:space="preserve">P1767</t>
  </si>
  <si>
    <t xml:space="preserve">P1768</t>
  </si>
  <si>
    <t xml:space="preserve">P1769</t>
  </si>
  <si>
    <t xml:space="preserve">P1770</t>
  </si>
  <si>
    <t xml:space="preserve">P1771</t>
  </si>
  <si>
    <t xml:space="preserve">P1772</t>
  </si>
  <si>
    <t xml:space="preserve">P1773</t>
  </si>
  <si>
    <t xml:space="preserve">P1774</t>
  </si>
  <si>
    <t xml:space="preserve">P1775</t>
  </si>
  <si>
    <t xml:space="preserve">P1776</t>
  </si>
  <si>
    <t xml:space="preserve">P1777</t>
  </si>
  <si>
    <t xml:space="preserve">P1778</t>
  </si>
  <si>
    <t xml:space="preserve">P1779</t>
  </si>
  <si>
    <t xml:space="preserve">P1780</t>
  </si>
  <si>
    <t xml:space="preserve">P1781</t>
  </si>
  <si>
    <t xml:space="preserve">P1782</t>
  </si>
  <si>
    <t xml:space="preserve">P1783</t>
  </si>
  <si>
    <t xml:space="preserve">P1784</t>
  </si>
  <si>
    <t xml:space="preserve">P1785</t>
  </si>
  <si>
    <t xml:space="preserve">P1786</t>
  </si>
  <si>
    <t xml:space="preserve">P1787</t>
  </si>
  <si>
    <t xml:space="preserve">P1788</t>
  </si>
  <si>
    <t xml:space="preserve">P1789</t>
  </si>
  <si>
    <t xml:space="preserve">P1790</t>
  </si>
  <si>
    <t xml:space="preserve">P1791</t>
  </si>
  <si>
    <t xml:space="preserve">P1792</t>
  </si>
  <si>
    <t xml:space="preserve">P1793</t>
  </si>
  <si>
    <t xml:space="preserve">P1794</t>
  </si>
  <si>
    <t xml:space="preserve">P1795</t>
  </si>
  <si>
    <t xml:space="preserve">P1796</t>
  </si>
  <si>
    <t xml:space="preserve">P1797</t>
  </si>
  <si>
    <t xml:space="preserve">P1798</t>
  </si>
  <si>
    <t xml:space="preserve">P1799</t>
  </si>
  <si>
    <t xml:space="preserve">P1800</t>
  </si>
  <si>
    <t xml:space="preserve">P1801</t>
  </si>
  <si>
    <t xml:space="preserve">P1802</t>
  </si>
  <si>
    <t xml:space="preserve">P1803</t>
  </si>
  <si>
    <t xml:space="preserve">P1804</t>
  </si>
  <si>
    <t xml:space="preserve">P1805</t>
  </si>
  <si>
    <t xml:space="preserve">P1806</t>
  </si>
  <si>
    <t xml:space="preserve">P1807</t>
  </si>
  <si>
    <t xml:space="preserve">P1808</t>
  </si>
  <si>
    <t xml:space="preserve">P1809</t>
  </si>
  <si>
    <t xml:space="preserve">P1810</t>
  </si>
  <si>
    <t xml:space="preserve">P1811</t>
  </si>
  <si>
    <t xml:space="preserve">P1812</t>
  </si>
  <si>
    <t xml:space="preserve">P1813</t>
  </si>
  <si>
    <t xml:space="preserve">P1814</t>
  </si>
  <si>
    <t xml:space="preserve">P1815</t>
  </si>
  <si>
    <t xml:space="preserve">P1816</t>
  </si>
  <si>
    <t xml:space="preserve">P1817</t>
  </si>
  <si>
    <t xml:space="preserve">P1818</t>
  </si>
  <si>
    <t xml:space="preserve">P1819</t>
  </si>
  <si>
    <t xml:space="preserve">P1820</t>
  </si>
  <si>
    <t xml:space="preserve">P1821</t>
  </si>
  <si>
    <t xml:space="preserve">P1822</t>
  </si>
  <si>
    <t xml:space="preserve">P1823</t>
  </si>
  <si>
    <t xml:space="preserve">P1824</t>
  </si>
  <si>
    <t xml:space="preserve">P1825</t>
  </si>
  <si>
    <t xml:space="preserve">P1826</t>
  </si>
  <si>
    <t xml:space="preserve">P1827</t>
  </si>
  <si>
    <t xml:space="preserve">P1828</t>
  </si>
  <si>
    <t xml:space="preserve">P1829</t>
  </si>
  <si>
    <t xml:space="preserve">P1830</t>
  </si>
  <si>
    <t xml:space="preserve">P1831</t>
  </si>
  <si>
    <t xml:space="preserve">P1832</t>
  </si>
  <si>
    <t xml:space="preserve">P1833</t>
  </si>
  <si>
    <t xml:space="preserve">P1834</t>
  </si>
  <si>
    <t xml:space="preserve">P1835</t>
  </si>
  <si>
    <t xml:space="preserve">P1836</t>
  </si>
  <si>
    <t xml:space="preserve">VAR_LFP_IND_HEALTH_AMER</t>
  </si>
  <si>
    <t xml:space="preserve">P1837</t>
  </si>
  <si>
    <t xml:space="preserve">VAR_LFP_IND_PROF_AMER</t>
  </si>
  <si>
    <t xml:space="preserve">P1838</t>
  </si>
  <si>
    <t xml:space="preserve">VAR_LFP_IND_EDUC_AMER</t>
  </si>
  <si>
    <t xml:space="preserve">P1839</t>
  </si>
  <si>
    <t xml:space="preserve">VAR_LFP_IND_FIN_AMER</t>
  </si>
  <si>
    <t xml:space="preserve">P1840</t>
  </si>
  <si>
    <t xml:space="preserve">VAR_LFP_IND_MEDIAIT_AMER</t>
  </si>
  <si>
    <t xml:space="preserve">P1841</t>
  </si>
  <si>
    <t xml:space="preserve">VAR_LFP_IND_PUBADMIN_AMER</t>
  </si>
  <si>
    <t xml:space="preserve">P1842</t>
  </si>
  <si>
    <t xml:space="preserve">VAR_ETPR_IND_HEALTH_AMER</t>
  </si>
  <si>
    <t xml:space="preserve">P1843</t>
  </si>
  <si>
    <t xml:space="preserve">VAR_ETPR_IND_PROF_AMER</t>
  </si>
  <si>
    <t xml:space="preserve">P1844</t>
  </si>
  <si>
    <t xml:space="preserve">VAR_ETPR_IND_EDUC_AMER</t>
  </si>
  <si>
    <t xml:space="preserve">P1845</t>
  </si>
  <si>
    <t xml:space="preserve">VAR_ETPR_IND_FIN_AMER</t>
  </si>
  <si>
    <t xml:space="preserve">P1846</t>
  </si>
  <si>
    <t xml:space="preserve">VAR_ETPR_IND_MEDIAIT_AMER</t>
  </si>
  <si>
    <t xml:space="preserve">P1847</t>
  </si>
  <si>
    <t xml:space="preserve">VAR_ETPR_IND_PUBADMIN_AMER</t>
  </si>
  <si>
    <t xml:space="preserve">P1848</t>
  </si>
  <si>
    <t xml:space="preserve">VAR_LFPR_IND_HEALTH_AMER</t>
  </si>
  <si>
    <t xml:space="preserve">P1849</t>
  </si>
  <si>
    <t xml:space="preserve">VAR_LFPR_IND_PROF_AMER</t>
  </si>
  <si>
    <t xml:space="preserve">P1850</t>
  </si>
  <si>
    <t xml:space="preserve">VAR_LFPR_IND_EDUC_AMER</t>
  </si>
  <si>
    <t xml:space="preserve">P1851</t>
  </si>
  <si>
    <t xml:space="preserve">VAR_U3R_IND_HEALTH_AMER</t>
  </si>
  <si>
    <t xml:space="preserve">P1852</t>
  </si>
  <si>
    <t xml:space="preserve">VAR_U3R_IND_PROF_AMER</t>
  </si>
  <si>
    <t xml:space="preserve">P1853</t>
  </si>
  <si>
    <t xml:space="preserve">VAR_U3R_IND_EDUC_AMER</t>
  </si>
  <si>
    <t xml:space="preserve">P1854</t>
  </si>
  <si>
    <t xml:space="preserve">VAR_U3R_IND_FIN_AMER</t>
  </si>
  <si>
    <t xml:space="preserve">P1855</t>
  </si>
  <si>
    <t xml:space="preserve">VAR_U3R_IND_MEDIAIT_AMER</t>
  </si>
  <si>
    <t xml:space="preserve">P1856</t>
  </si>
  <si>
    <t xml:space="preserve">VAR_U3R_IND_PUBADMIN_AMER</t>
  </si>
  <si>
    <t xml:space="preserve">P1857</t>
  </si>
  <si>
    <t xml:space="preserve">VAR_U6R_IND_HEALTH_AMER</t>
  </si>
  <si>
    <t xml:space="preserve">P1858</t>
  </si>
  <si>
    <t xml:space="preserve">VAR_U6R_IND_PROF_AMER</t>
  </si>
  <si>
    <t xml:space="preserve">P1859</t>
  </si>
  <si>
    <t xml:space="preserve">VAR_U6R_IND_EDUC_AMER</t>
  </si>
  <si>
    <t xml:space="preserve">P1860</t>
  </si>
  <si>
    <t xml:space="preserve">VAR_U6R_IND_FIN_AMER</t>
  </si>
  <si>
    <t xml:space="preserve">P1861</t>
  </si>
  <si>
    <t xml:space="preserve">VAR_U6R_IND_MEDIAIT_AMER</t>
  </si>
  <si>
    <t xml:space="preserve">P1862</t>
  </si>
  <si>
    <t xml:space="preserve">VAR_U6R_IND_PUBADMIN_AMER</t>
  </si>
  <si>
    <t xml:space="preserve">P1863</t>
  </si>
  <si>
    <t xml:space="preserve">VAR_WAVG_IND_HEALTH_AMER</t>
  </si>
  <si>
    <t xml:space="preserve">P1864</t>
  </si>
  <si>
    <t xml:space="preserve">VAR_WAVG_IND_PROF_AMER</t>
  </si>
  <si>
    <t xml:space="preserve">P1865</t>
  </si>
  <si>
    <t xml:space="preserve">VAR_WAVG_IND_EDUC_AMER</t>
  </si>
  <si>
    <t xml:space="preserve">P1866</t>
  </si>
  <si>
    <t xml:space="preserve">VAR_WAVG_IND_FIN_AMER</t>
  </si>
  <si>
    <t xml:space="preserve">P1867</t>
  </si>
  <si>
    <t xml:space="preserve">VAR_WAVG_IND_MEDIAIT_AMER</t>
  </si>
  <si>
    <t xml:space="preserve">P1868</t>
  </si>
  <si>
    <t xml:space="preserve">VAR_WAVG_IND_PUBADMIN_AMER</t>
  </si>
  <si>
    <t xml:space="preserve">P1869</t>
  </si>
  <si>
    <t xml:space="preserve">VAR_AIAVG_IND_HEALTH_AMER</t>
  </si>
  <si>
    <t xml:space="preserve">P1870</t>
  </si>
  <si>
    <t xml:space="preserve">VAR_AIAVG_IND_PROF_AMER</t>
  </si>
  <si>
    <t xml:space="preserve">P1871</t>
  </si>
  <si>
    <t xml:space="preserve">VAR_AIAVG_IND_EDUC_AMER</t>
  </si>
  <si>
    <t xml:space="preserve">P1872</t>
  </si>
  <si>
    <t xml:space="preserve">VAR_AIAVG_IND_FIN_AMER</t>
  </si>
  <si>
    <t xml:space="preserve">P1873</t>
  </si>
  <si>
    <t xml:space="preserve">VAR_AIAVG_IND_MEDIAIT_AMER</t>
  </si>
  <si>
    <t xml:space="preserve">P1874</t>
  </si>
  <si>
    <t xml:space="preserve">VAR_AIAVG_IND_PUBADMIN_AMER</t>
  </si>
  <si>
    <t xml:space="preserve">P1875</t>
  </si>
  <si>
    <t xml:space="preserve">VAR_FPITREV_IND_HEALTH_AMER</t>
  </si>
  <si>
    <t xml:space="preserve">P1876</t>
  </si>
  <si>
    <t xml:space="preserve">VAR_FPITREV_IND_PROF_AMER</t>
  </si>
  <si>
    <t xml:space="preserve">P1877</t>
  </si>
  <si>
    <t xml:space="preserve">VAR_FPITREV_IND_EDUC_AMER</t>
  </si>
  <si>
    <t xml:space="preserve">P1878</t>
  </si>
  <si>
    <t xml:space="preserve">VAR_FPITREV_IND_FIN_AMER</t>
  </si>
  <si>
    <t xml:space="preserve">P1879</t>
  </si>
  <si>
    <t xml:space="preserve">VAR_FPITREV_IND_MEDIAIT_AMER</t>
  </si>
  <si>
    <t xml:space="preserve">P1880</t>
  </si>
  <si>
    <t xml:space="preserve">VAR_FPITREV_IND_PUBADMIN_AMER</t>
  </si>
  <si>
    <t xml:space="preserve">P1881</t>
  </si>
  <si>
    <t xml:space="preserve">VAR_SLTR_IND_HEALTH_AMER</t>
  </si>
  <si>
    <t xml:space="preserve">P1882</t>
  </si>
  <si>
    <t xml:space="preserve">VAR_SLTR_IND_PROF_AMER</t>
  </si>
  <si>
    <t xml:space="preserve">P1883</t>
  </si>
  <si>
    <t xml:space="preserve">VAR_SLTR_IND_EDUC_AMER</t>
  </si>
  <si>
    <t xml:space="preserve">P1884</t>
  </si>
  <si>
    <t xml:space="preserve">VAR_SLTR_IND_FIN_AMER</t>
  </si>
  <si>
    <t xml:space="preserve">P1885</t>
  </si>
  <si>
    <t xml:space="preserve">VAR_SLTR_IND_MEDIAIT_AMER</t>
  </si>
  <si>
    <t xml:space="preserve">P1886</t>
  </si>
  <si>
    <t xml:space="preserve">VAR_SLTR_IND_PUBADMIN_AMER</t>
  </si>
  <si>
    <t xml:space="preserve">P1887</t>
  </si>
  <si>
    <t xml:space="preserve">VAR_SSMC_IND_HEALTH_AMER</t>
  </si>
  <si>
    <t xml:space="preserve">P1888</t>
  </si>
  <si>
    <t xml:space="preserve">VAR_SSMC_IND_PROF_AMER</t>
  </si>
  <si>
    <t xml:space="preserve">P1889</t>
  </si>
  <si>
    <t xml:space="preserve">VAR_SSMC_IND_EDUC_AMER</t>
  </si>
  <si>
    <t xml:space="preserve">P1890</t>
  </si>
  <si>
    <t xml:space="preserve">VAR_SSMC_IND_FIN_AMER</t>
  </si>
  <si>
    <t xml:space="preserve">P1891</t>
  </si>
  <si>
    <t xml:space="preserve">VAR_SSMC_IND_MEDIAIT_AMER</t>
  </si>
  <si>
    <t xml:space="preserve">P1892</t>
  </si>
  <si>
    <t xml:space="preserve">VAR_SSMC_IND_PUBADMIN_AMER</t>
  </si>
  <si>
    <t xml:space="preserve">P1893</t>
  </si>
  <si>
    <t xml:space="preserve">VAR_PAUR_COST_IND_HEALTH_AMER</t>
  </si>
  <si>
    <t xml:space="preserve">P1894</t>
  </si>
  <si>
    <t xml:space="preserve">VAR_PAUR_COST_IND_PROF_AMER</t>
  </si>
  <si>
    <t xml:space="preserve">P1895</t>
  </si>
  <si>
    <t xml:space="preserve">VAR_PAUR_COST_IND_EDUC_AMER</t>
  </si>
  <si>
    <t xml:space="preserve">P1896</t>
  </si>
  <si>
    <t xml:space="preserve">VAR_PAUR_COST_IND_FIN_AMER</t>
  </si>
  <si>
    <t xml:space="preserve">P1897</t>
  </si>
  <si>
    <t xml:space="preserve">VAR_PAUR_COST_IND_MEDIAIT_AMER</t>
  </si>
  <si>
    <t xml:space="preserve">P1898</t>
  </si>
  <si>
    <t xml:space="preserve">VAR_PAUR_COST_IND_PUBADMIN_AMER</t>
  </si>
  <si>
    <t xml:space="preserve">P1899</t>
  </si>
  <si>
    <t xml:space="preserve">ROLE_PRORATE_SUPPORT_IND_AG</t>
  </si>
  <si>
    <t xml:space="preserve">Agriculture support role prorate ratio (1 - worker prorate)</t>
  </si>
  <si>
    <t xml:space="preserve">Derived</t>
  </si>
  <si>
    <t xml:space="preserve">P1900</t>
  </si>
  <si>
    <t xml:space="preserve">ROLE_PRORATE_SUPPORT_IND_CONSTR</t>
  </si>
  <si>
    <t xml:space="preserve">Construction support role prorate ratio (1 - worker prorate)</t>
  </si>
  <si>
    <t xml:space="preserve">P1901</t>
  </si>
  <si>
    <t xml:space="preserve">ROLE_PRORATE_SUPPORT_IND_HOSP</t>
  </si>
  <si>
    <t xml:space="preserve">Hospitality support role prorate ratio (1 - worker prorate)</t>
  </si>
  <si>
    <t xml:space="preserve">P1902</t>
  </si>
  <si>
    <t xml:space="preserve">ROLE_PRORATE_SUPPORT_IND_CLEAN</t>
  </si>
  <si>
    <t xml:space="preserve">Cleaning &amp; Maintenance support role prorate ratio (1 - worker prorate)</t>
  </si>
  <si>
    <t xml:space="preserve">P1903</t>
  </si>
  <si>
    <t xml:space="preserve">ROLE_PRORATE_SUPPORT_IND_MFG</t>
  </si>
  <si>
    <t xml:space="preserve">Manufacturing support role prorate ratio (1 - worker prorate)</t>
  </si>
  <si>
    <t xml:space="preserve">P1904</t>
  </si>
  <si>
    <t xml:space="preserve">ROLE_PRORATE_SUPPORT_IND_TRANS</t>
  </si>
  <si>
    <t xml:space="preserve">Transportation &amp; Warehousing support role prorate ratio (1 - worker prorate)</t>
  </si>
  <si>
    <t xml:space="preserve">P1905</t>
  </si>
  <si>
    <t xml:space="preserve">ROLE_PRORATE_SUPPORT_IND_RETAIL</t>
  </si>
  <si>
    <t xml:space="preserve">Retail Trade support role prorate ratio (1 - worker prorate)</t>
  </si>
  <si>
    <t xml:space="preserve">P1906</t>
  </si>
  <si>
    <t xml:space="preserve">ROLE_PRORATE_SUPPORT_IND_LAND</t>
  </si>
  <si>
    <t xml:space="preserve">Landscaping &amp; Groundskeeping support role prorate ratio (1 - worker prorate)</t>
  </si>
  <si>
    <t xml:space="preserve">P1907</t>
  </si>
  <si>
    <t xml:space="preserve">ROLE_PRORATE_SUPPORT_IND_AUTO</t>
  </si>
  <si>
    <t xml:space="preserve">Automotive Repair &amp; Maintenance support role prorate ratio (1 - worker prorate)</t>
  </si>
  <si>
    <t xml:space="preserve">P1908</t>
  </si>
  <si>
    <t xml:space="preserve">ROLE_PRORATE_SUPPORT_IND_HEALTH</t>
  </si>
  <si>
    <t xml:space="preserve">Health Care &amp; Social Assistance support role prorate ratio (1 - worker prorate)</t>
  </si>
  <si>
    <t xml:space="preserve">P1909</t>
  </si>
  <si>
    <t xml:space="preserve">ROLE_PRORATE_SUPPORT_IND_PROF</t>
  </si>
  <si>
    <t xml:space="preserve">Professional, Scientific &amp; Technical Services support role prorate ratio (1 - worker prorate)</t>
  </si>
  <si>
    <t xml:space="preserve">P1910</t>
  </si>
  <si>
    <t xml:space="preserve">ROLE_PRORATE_SUPPORT_IND_EDUC</t>
  </si>
  <si>
    <t xml:space="preserve">Educational Services support role prorate ratio (1 - worker prorate)</t>
  </si>
  <si>
    <t xml:space="preserve">P1911</t>
  </si>
  <si>
    <t xml:space="preserve">ROLE_PRORATE_SUPPORT_IND_FIN</t>
  </si>
  <si>
    <t xml:space="preserve">Finance &amp; Insurance support role prorate ratio (1 - worker prorate)</t>
  </si>
  <si>
    <t xml:space="preserve">P1912</t>
  </si>
  <si>
    <t xml:space="preserve">ROLE_PRORATE_SUPPORT_IND_MEDIAIT</t>
  </si>
  <si>
    <t xml:space="preserve">Media and Information Technology support role prorate ratio (1 - worker prorate)</t>
  </si>
  <si>
    <t xml:space="preserve">P1913</t>
  </si>
  <si>
    <t xml:space="preserve">ROLE_PRORATE_SUPPORT_IND_PUBADMIN</t>
  </si>
  <si>
    <t xml:space="preserve">Public Administration support role prorate ratio (1 - worker prorate)</t>
  </si>
  <si>
    <t xml:space="preserve">P1914</t>
  </si>
  <si>
    <t xml:space="preserve">P1915</t>
  </si>
  <si>
    <t xml:space="preserve">P1916</t>
  </si>
  <si>
    <t xml:space="preserve">P1917</t>
  </si>
  <si>
    <t xml:space="preserve">P1918</t>
  </si>
  <si>
    <t xml:space="preserve">P1919</t>
  </si>
  <si>
    <t xml:space="preserve">P1920</t>
  </si>
  <si>
    <t xml:space="preserve">P1921</t>
  </si>
  <si>
    <t xml:space="preserve">P1922</t>
  </si>
  <si>
    <t xml:space="preserve">P1923</t>
  </si>
  <si>
    <t xml:space="preserve">P1924</t>
  </si>
  <si>
    <t xml:space="preserve">P1925</t>
  </si>
  <si>
    <t xml:space="preserve">P1926</t>
  </si>
  <si>
    <t xml:space="preserve">P1927</t>
  </si>
  <si>
    <t xml:space="preserve">P1928</t>
  </si>
  <si>
    <t xml:space="preserve">P1929</t>
  </si>
  <si>
    <t xml:space="preserve">P1930</t>
  </si>
  <si>
    <t xml:space="preserve">P1931</t>
  </si>
  <si>
    <t xml:space="preserve">P1932</t>
  </si>
  <si>
    <t xml:space="preserve">P1933</t>
  </si>
  <si>
    <t xml:space="preserve">P1934</t>
  </si>
  <si>
    <t xml:space="preserve">P1935</t>
  </si>
  <si>
    <t xml:space="preserve">P1936</t>
  </si>
  <si>
    <t xml:space="preserve">P1937</t>
  </si>
  <si>
    <t xml:space="preserve">P1938</t>
  </si>
  <si>
    <t xml:space="preserve">P1939</t>
  </si>
  <si>
    <t xml:space="preserve">P1940</t>
  </si>
  <si>
    <t xml:space="preserve">P1941</t>
  </si>
  <si>
    <t xml:space="preserve">P1942</t>
  </si>
  <si>
    <t xml:space="preserve">P1943</t>
  </si>
  <si>
    <t xml:space="preserve">P1944</t>
  </si>
  <si>
    <t xml:space="preserve">P1945</t>
  </si>
  <si>
    <t xml:space="preserve">P1946</t>
  </si>
  <si>
    <t xml:space="preserve">P1947</t>
  </si>
  <si>
    <t xml:space="preserve">P1948</t>
  </si>
  <si>
    <t xml:space="preserve">P1949</t>
  </si>
  <si>
    <t xml:space="preserve">P1950</t>
  </si>
  <si>
    <t xml:space="preserve">P1951</t>
  </si>
  <si>
    <t xml:space="preserve">P1952</t>
  </si>
  <si>
    <t xml:space="preserve">P1953</t>
  </si>
  <si>
    <t xml:space="preserve">P1954</t>
  </si>
  <si>
    <t xml:space="preserve">P1955</t>
  </si>
  <si>
    <t xml:space="preserve">P1956</t>
  </si>
  <si>
    <t xml:space="preserve">P1957</t>
  </si>
  <si>
    <t xml:space="preserve">P1958</t>
  </si>
  <si>
    <t xml:space="preserve">P1959</t>
  </si>
  <si>
    <t xml:space="preserve">P1960</t>
  </si>
  <si>
    <t xml:space="preserve">P1961</t>
  </si>
  <si>
    <t xml:space="preserve">P1962</t>
  </si>
  <si>
    <t xml:space="preserve">P1963</t>
  </si>
  <si>
    <t xml:space="preserve">P1964</t>
  </si>
  <si>
    <t xml:space="preserve">P1965</t>
  </si>
  <si>
    <t xml:space="preserve">P1966</t>
  </si>
  <si>
    <t xml:space="preserve">P1967</t>
  </si>
  <si>
    <t xml:space="preserve">P1968</t>
  </si>
  <si>
    <t xml:space="preserve">P1969</t>
  </si>
  <si>
    <t xml:space="preserve">P1970</t>
  </si>
  <si>
    <t xml:space="preserve">P1971</t>
  </si>
  <si>
    <t xml:space="preserve">P1972</t>
  </si>
  <si>
    <t xml:space="preserve">P1973</t>
  </si>
  <si>
    <t xml:space="preserve">P1974</t>
  </si>
  <si>
    <t xml:space="preserve">P1975</t>
  </si>
  <si>
    <t xml:space="preserve">P1976</t>
  </si>
  <si>
    <t xml:space="preserve">P1977</t>
  </si>
  <si>
    <t xml:space="preserve">P1978</t>
  </si>
  <si>
    <t xml:space="preserve">P1979</t>
  </si>
  <si>
    <t xml:space="preserve">P1980</t>
  </si>
  <si>
    <t xml:space="preserve">P1981</t>
  </si>
  <si>
    <t xml:space="preserve">P1982</t>
  </si>
  <si>
    <t xml:space="preserve">P1983</t>
  </si>
  <si>
    <t xml:space="preserve">P1984</t>
  </si>
  <si>
    <t xml:space="preserve">P1985</t>
  </si>
  <si>
    <t xml:space="preserve">P1986</t>
  </si>
  <si>
    <t xml:space="preserve">P1987</t>
  </si>
  <si>
    <t xml:space="preserve">P1988</t>
  </si>
  <si>
    <t xml:space="preserve">P1989</t>
  </si>
  <si>
    <t xml:space="preserve">P1990</t>
  </si>
  <si>
    <t xml:space="preserve">P1991</t>
  </si>
  <si>
    <t xml:space="preserve">P1992</t>
  </si>
  <si>
    <t xml:space="preserve">P1993</t>
  </si>
  <si>
    <t xml:space="preserve">P1994</t>
  </si>
  <si>
    <t xml:space="preserve">P1995</t>
  </si>
  <si>
    <t xml:space="preserve">P1996</t>
  </si>
  <si>
    <t xml:space="preserve">P1997</t>
  </si>
  <si>
    <t xml:space="preserve">P1998</t>
  </si>
  <si>
    <t xml:space="preserve">P1999</t>
  </si>
  <si>
    <t xml:space="preserve">P2000</t>
  </si>
  <si>
    <t xml:space="preserve">P2001</t>
  </si>
  <si>
    <t xml:space="preserve">P2002</t>
  </si>
  <si>
    <t xml:space="preserve">P2003</t>
  </si>
  <si>
    <t xml:space="preserve">P2004</t>
  </si>
  <si>
    <t xml:space="preserve">TOTAL_NONFARM_AL_ADJ</t>
  </si>
  <si>
    <t xml:space="preserve">Adjusted total nonfarm payroll employment (thousands) for Alabama (after all industry adjustments)</t>
  </si>
  <si>
    <t xml:space="preserve">Derived from P001 + sum adjustments</t>
  </si>
  <si>
    <t xml:space="preserve">Internal consistency check Dec 2025</t>
  </si>
  <si>
    <t xml:space="preserve">P2005</t>
  </si>
  <si>
    <t xml:space="preserve">TOTAL_WORKER_ROLE_AL</t>
  </si>
  <si>
    <t xml:space="preserve">Estimated total Worker role employment across Alabama (sum T_worker_i)</t>
  </si>
  <si>
    <t xml:space="preserve">Derived from role proration</t>
  </si>
  <si>
    <t xml:space="preserve">Internal calc target ~67% of total employment</t>
  </si>
  <si>
    <t xml:space="preserve">P2006</t>
  </si>
  <si>
    <t xml:space="preserve">TOTAL_SUPPORT_ROLE_AL</t>
  </si>
  <si>
    <t xml:space="preserve">Estimated total Support role employment across Alabama (sum T_support_i)</t>
  </si>
  <si>
    <t xml:space="preserve">Internal calc target ~33% of total employment</t>
  </si>
  <si>
    <t xml:space="preserve">P2007</t>
  </si>
  <si>
    <t xml:space="preserve">AVG_UNEMPLOYMENT_RATE_AL</t>
  </si>
  <si>
    <t xml:space="preserve">Alabama overall U3 unemployment rate (average across industries)</t>
  </si>
  <si>
    <t xml:space="preserve">BLS LAUS Dec 2025</t>
  </si>
  <si>
    <t xml:space="preserve">BLS LAUS SA Dec 2025 release</t>
  </si>
  <si>
    <t xml:space="preserve">P2008</t>
  </si>
  <si>
    <t xml:space="preserve">AVG_UNDEREMPLOYMENT_RATE_AL</t>
  </si>
  <si>
    <t xml:space="preserve">Alabama overall U6 underemployment rate (average across industries)</t>
  </si>
  <si>
    <t xml:space="preserve">BLS LAUS/CPS est</t>
  </si>
  <si>
    <t xml:space="preserve">BLS U6 SA Dec 2025 release</t>
  </si>
  <si>
    <t xml:space="preserve">P2009</t>
  </si>
  <si>
    <t xml:space="preserve">CIVILIAN_LABOR_FORCE_AL</t>
  </si>
  <si>
    <t xml:space="preserve">Alabama civilian labor force (thousands)</t>
  </si>
  <si>
    <t xml:space="preserve">BLS LAUS SA Dec 2025</t>
  </si>
  <si>
    <t xml:space="preserve">P2010</t>
  </si>
  <si>
    <t xml:space="preserve">CIVILIAN_NONINST_POP_AL</t>
  </si>
  <si>
    <t xml:space="preserve">Alabama civilian noninstitutional population 16+ (thousands)</t>
  </si>
  <si>
    <t xml:space="preserve">BLS/Census est</t>
  </si>
  <si>
    <t xml:space="preserve">BLS LAUS / Census 2025 est</t>
  </si>
  <si>
    <t xml:space="preserve">P2011</t>
  </si>
  <si>
    <t xml:space="preserve">STATE_LABOR_FORCE_PARTICIPATION_RATE</t>
  </si>
  <si>
    <t xml:space="preserve">Alabama labor force participation rate (overall)</t>
  </si>
  <si>
    <t xml:space="preserve">P2012</t>
  </si>
  <si>
    <t xml:space="preserve">STATE_EMPLOYMENT_POP_RATIO</t>
  </si>
  <si>
    <t xml:space="preserve">Alabama employment-to-population ratio (overall)</t>
  </si>
  <si>
    <t xml:space="preserve">P2013</t>
  </si>
  <si>
    <t xml:space="preserve">STATE_UNEMPLOYMENT_RATE</t>
  </si>
  <si>
    <t xml:space="preserve">Alabama unemployment rate (U3)</t>
  </si>
  <si>
    <t xml:space="preserve">P2014</t>
  </si>
  <si>
    <t xml:space="preserve">STATE_UNDEREMPLOYMENT_RATE</t>
  </si>
  <si>
    <t xml:space="preserve">Alabama underemployment rate (U6)</t>
  </si>
  <si>
    <t xml:space="preserve">BLS U6 SA Dec 2025</t>
  </si>
  <si>
    <t xml:space="preserve">P2015</t>
  </si>
  <si>
    <t xml:space="preserve">AVG_WEEKLY_HOURS_AL</t>
  </si>
  <si>
    <t xml:space="preserve">Alabama statewide average weekly hours worked (all industries)</t>
  </si>
  <si>
    <t xml:space="preserve">P2016</t>
  </si>
  <si>
    <t xml:space="preserve">AVG_WAGE_AL</t>
  </si>
  <si>
    <t xml:space="preserve">Alabama statewide average hourly wage (all industries)</t>
  </si>
  <si>
    <t xml:space="preserve">P2017</t>
  </si>
  <si>
    <t xml:space="preserve">AVG_ANNUAL_INCOME_AL</t>
  </si>
  <si>
    <t xml:space="preserve">Alabama statewide average annual income (all industries)</t>
  </si>
  <si>
    <t xml:space="preserve">Derived from wage/hours</t>
  </si>
  <si>
    <t xml:space="preserve">Internal calc</t>
  </si>
  <si>
    <t xml:space="preserve">P2018</t>
  </si>
  <si>
    <t xml:space="preserve">FED_PERSONAL_INCOME_TAX_AL</t>
  </si>
  <si>
    <t xml:space="preserve">Estimated total federal personal income tax revenue from Alabama residents (2025-2026)</t>
  </si>
  <si>
    <t xml:space="preserve">IRS SOI / derived est</t>
  </si>
  <si>
    <t xml:space="preserve">IRS SOI 2025 + est adj</t>
  </si>
  <si>
    <t xml:space="preserve">P2019</t>
  </si>
  <si>
    <t xml:space="preserve">FED_PAYROLL_TAX_AL</t>
  </si>
  <si>
    <t xml:space="preserve">Estimated total federal payroll tax revenue from Alabama (employee share)</t>
  </si>
  <si>
    <t xml:space="preserve">Derived from SSMC</t>
  </si>
  <si>
    <t xml:space="preserve">Derived from parameters</t>
  </si>
  <si>
    <t xml:space="preserve">P2020</t>
  </si>
  <si>
    <t xml:space="preserve">STATE_LOCAL_TAX_REVENUE_AL</t>
  </si>
  <si>
    <t xml:space="preserve">Estimated total state/local tax revenue from Alabama residents (income + non-income)</t>
  </si>
  <si>
    <t xml:space="preserve">ITEP 2025 + AL DOR adj</t>
  </si>
  <si>
    <t xml:space="preserve">P2021</t>
  </si>
  <si>
    <t xml:space="preserve">SSMC_TOTAL_AL</t>
  </si>
  <si>
    <t xml:space="preserve">Estimated total Social Security/Medicare contributions from Alabama (employee share)</t>
  </si>
  <si>
    <t xml:space="preserve">P2022</t>
  </si>
  <si>
    <t xml:space="preserve">PUBLIC_ASSISTANCE_COST_AL</t>
  </si>
  <si>
    <t xml:space="preserve">Estimated total public assistance cost for Alabama residents (all groups/industries)</t>
  </si>
  <si>
    <t xml:space="preserve">Derived from PAUR_cost</t>
  </si>
  <si>
    <t xml:space="preserve">P2023</t>
  </si>
  <si>
    <t xml:space="preserve">EITC_TOTAL_REFUND_AL</t>
  </si>
  <si>
    <t xml:space="preserve">Estimated total Earned Income Tax Credit refunds in Alabama</t>
  </si>
  <si>
    <t xml:space="preserve">IRS SOI est</t>
  </si>
  <si>
    <t xml:space="preserve">P2024</t>
  </si>
  <si>
    <t xml:space="preserve">ACTC_TOTAL_REFUND_AL</t>
  </si>
  <si>
    <t xml:space="preserve">Estimated total Additional Child Tax Credit refunds in Alabama</t>
  </si>
  <si>
    <t xml:space="preserve">P2025</t>
  </si>
  <si>
    <t xml:space="preserve">AOTC_TOTAL_REFUND_AL</t>
  </si>
  <si>
    <t xml:space="preserve">Estimated total American Opportunity Tax Credit refunds in Alabama</t>
  </si>
  <si>
    <t xml:space="preserve">P2026</t>
  </si>
  <si>
    <t xml:space="preserve">NET_FISCAL_IMPACT_AL</t>
  </si>
  <si>
    <t xml:space="preserve">Estimated net fiscal impact of Alabama labor force (taxes - credits/assistance)</t>
  </si>
  <si>
    <t xml:space="preserve">Derived from formulae 28</t>
  </si>
  <si>
    <t xml:space="preserve">Internal calc (FPIT + FPPT + SLTR + SSMC - EITC - ACTC - AOTC - PAUR_cost)</t>
  </si>
  <si>
    <t xml:space="preserve">LSD.RID.0.AL.CALC</t>
  </si>
  <si>
    <t xml:space="preserve">Labor Industry Role (LIR)</t>
  </si>
  <si>
    <t xml:space="preserve">Labor Force Population (LFP)</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</si>
  <si>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</si>
  <si>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</si>
  <si>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</si>
  <si>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</si>
  <si>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</si>
  <si>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</si>
  <si>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</si>
  <si>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</si>
  <si>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</si>
  <si>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</si>
  <si>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Wage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</si>
  <si>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</si>
  <si>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</si>
  <si>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</si>
  <si>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</si>
  <si>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</si>
  <si>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</si>
  <si>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</si>
  <si>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</si>
  <si>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</si>
  <si>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</si>
  <si>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</si>
  <si>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</si>
  <si>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</si>
  <si>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</si>
  <si>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</si>
  <si>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</si>
  <si>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LIRID</t>
  </si>
  <si>
    <t xml:space="preserve">Industry</t>
  </si>
  <si>
    <t xml:space="preserve">Role</t>
  </si>
  <si>
    <t xml:space="preserve">Authorized Labor Force Population</t>
  </si>
  <si>
    <t xml:space="preserve">Unauthorized Labor Force Population</t>
  </si>
  <si>
    <t xml:space="preserve">American Labor Force Population</t>
  </si>
  <si>
    <t xml:space="preserve">Authorized Immigrant Employment-to-Population Ratio</t>
  </si>
  <si>
    <t xml:space="preserve">Unauthorized Immigrant Employment-to-Population Ratio</t>
  </si>
  <si>
    <t xml:space="preserve">American Employment-to-Population Ratio</t>
  </si>
  <si>
    <t xml:space="preserve">Authorized Immigrant Labor Force Participation Rate (LFPR)</t>
  </si>
  <si>
    <t xml:space="preserve">Unauthorized Immigrant Labor Force Participation Rate (LFPR)</t>
  </si>
  <si>
    <t xml:space="preserve">American Labor Force Participation Rate (LFPR)</t>
  </si>
  <si>
    <t xml:space="preserve">Authorized Immigrant Unemployment Rate</t>
  </si>
  <si>
    <t xml:space="preserve">Unauthorized Immigrant Unemployment Rate</t>
  </si>
  <si>
    <t xml:space="preserve">American Unemployment Rate</t>
  </si>
  <si>
    <t xml:space="preserve">Authorized Immigrant Underemployment Rate</t>
  </si>
  <si>
    <t xml:space="preserve">Unauthorized Immigrant Underemployment Rate</t>
  </si>
  <si>
    <t xml:space="preserve">American Underemployment Rate</t>
  </si>
  <si>
    <t xml:space="preserve">Wage Average ($ /hr)</t>
  </si>
  <si>
    <t xml:space="preserve">Wage Min ($ /hr)</t>
  </si>
  <si>
    <t xml:space="preserve">Wage Max ($ /hr)</t>
  </si>
  <si>
    <t xml:space="preserve">Annual Income Average ($)</t>
  </si>
  <si>
    <t xml:space="preserve">Annual Income Min ($)</t>
  </si>
  <si>
    <t xml:space="preserve">Annual Income Max ($)</t>
  </si>
  <si>
    <t xml:space="preserve">Authorized Immigrant Wage Average ($ /hr)</t>
  </si>
  <si>
    <t xml:space="preserve">Authorized Immigrant Wage Min ($ /hr)</t>
  </si>
  <si>
    <t xml:space="preserve">Authorized Immigrant Wage Max ($ /hr)</t>
  </si>
  <si>
    <t xml:space="preserve">Authorized Immigrant Annual Income Average ($)</t>
  </si>
  <si>
    <t xml:space="preserve">Authorized Immigrant Annual Income Min ($)</t>
  </si>
  <si>
    <t xml:space="preserve">Authorized Immigrant Annual Income Max ($)</t>
  </si>
  <si>
    <t xml:space="preserve">Unauthorized Immigrant Wage Average ($ /hr)</t>
  </si>
  <si>
    <t xml:space="preserve">Unauthorized Immigrant Wage Min ($ /hr)</t>
  </si>
  <si>
    <t xml:space="preserve">Unauthorized Immigrant Wage Max ($ /hr)</t>
  </si>
  <si>
    <t xml:space="preserve">Unauthorized Immigrant Annual Income Average ($)</t>
  </si>
  <si>
    <t xml:space="preserve">Unauthorized Immigrant Annual Income Min ($)</t>
  </si>
  <si>
    <t xml:space="preserve">Unauthorized Immigrant Annual Income Max ($)</t>
  </si>
  <si>
    <t xml:space="preserve">American Wage Average ($ /hr)</t>
  </si>
  <si>
    <t xml:space="preserve">American Wage Min ($ /hr)</t>
  </si>
  <si>
    <t xml:space="preserve">American Wage Max ($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</si>
  <si>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</si>
  <si>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</si>
  <si>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</si>
  <si>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</si>
  <si>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</si>
  <si>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</si>
  <si>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</si>
  <si>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</si>
  <si>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</si>
  <si>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</si>
  <si>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</si>
  <si>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</si>
  <si>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</si>
  <si>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</si>
  <si>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Effective Tax EITC Credit Refund</t>
  </si>
  <si>
    <t xml:space="preserve">ACTC Credit Refund</t>
  </si>
  <si>
    <t xml:space="preserve">Authorized Immigrant ACTC Credit Refund</t>
  </si>
  <si>
    <t xml:space="preserve">Unauthorized Immigrant ACTC Credit Refund</t>
  </si>
  <si>
    <t xml:space="preserve">American Effective Tax ACTC Credit Refund</t>
  </si>
  <si>
    <t xml:space="preserve">AOTC Credit Refund</t>
  </si>
  <si>
    <t xml:space="preserve">Authorized Immigrant AOTC Credit Refund</t>
  </si>
  <si>
    <t xml:space="preserve">Unauthorized Immigrant AOTC Credit Refund</t>
  </si>
  <si>
    <t xml:space="preserve">American Effective Tax AOTC Credit Refund</t>
  </si>
  <si>
    <t xml:space="preserve">Employed Population</t>
  </si>
  <si>
    <t xml:space="preserve">Authorized Immigrant Employed Population</t>
  </si>
  <si>
    <t xml:space="preserve">Unauthorized Immigrant Employed Population</t>
  </si>
  <si>
    <t xml:space="preserve">American Employed Population</t>
  </si>
  <si>
    <t xml:space="preserve">Average Weekly Hours Worked</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</si>
  <si>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</si>
  <si>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</si>
  <si>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</si>
  <si>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</si>
  <si>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</si>
  <si>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Full-Time Employment Rate</t>
  </si>
  <si>
    <t xml:space="preserve">Authorized Immigrant Full-Time Employment Rate</t>
  </si>
  <si>
    <t xml:space="preserve">Unauthorized Immigrant Full-Time Employment Rate</t>
  </si>
  <si>
    <t xml:space="preserve">American Full-Time Employment Rate</t>
  </si>
  <si>
    <t xml:space="preserve">Part-Time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</si>
  <si>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</si>
  <si>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</si>
  <si>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</si>
  <si>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</si>
  <si>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</si>
  <si>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</si>
  <si>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</si>
  <si>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</si>
  <si>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</si>
  <si>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Turnover Rate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</si>
  <si>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</si>
  <si>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</si>
  <si>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</si>
  <si>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</si>
  <si>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</si>
  <si>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</si>
  <si>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</si>
  <si>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</si>
  <si>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</si>
  <si>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</si>
  <si>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</si>
  <si>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</si>
  <si>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</si>
  <si>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</si>
  <si>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</si>
  <si>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</si>
  <si>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</si>
  <si>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</si>
  <si>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</si>
  <si>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Public Assistance Usage Rate</t>
  </si>
  <si>
    <t xml:space="preserve">Authorized Immigrant Public Assistance Usage Rate</t>
  </si>
  <si>
    <t xml:space="preserve">Unauthorized Immigrant Public Assistance Usage Rate</t>
  </si>
  <si>
    <t xml:space="preserve">American Public Assistance Usage Rate</t>
  </si>
  <si>
    <t xml:space="preserve">All Industries</t>
  </si>
  <si>
    <t xml:space="preserve">All Roles</t>
  </si>
  <si>
    <t xml:space="preserve">Agriculture</t>
  </si>
  <si>
    <t xml:space="preserve">Worker</t>
  </si>
  <si>
    <t xml:space="preserve">Support</t>
  </si>
  <si>
    <t xml:space="preserve">Construction</t>
  </si>
  <si>
    <t xml:space="preserve">Hospitality</t>
  </si>
  <si>
    <t xml:space="preserve">Cleaning &amp; Maintenance</t>
  </si>
  <si>
    <t xml:space="preserve">Manufacturing</t>
  </si>
  <si>
    <t xml:space="preserve">Transportation &amp; Warehousing</t>
  </si>
  <si>
    <t xml:space="preserve">Retail Trade</t>
  </si>
  <si>
    <t xml:space="preserve">Landscaping / Groundskeeping</t>
  </si>
  <si>
    <t xml:space="preserve">Automotive &amp; Repair</t>
  </si>
  <si>
    <t xml:space="preserve">Healthcare &amp; Social Assistance</t>
  </si>
  <si>
    <t xml:space="preserve">Professional Services</t>
  </si>
  <si>
    <t xml:space="preserve">Educational Services</t>
  </si>
  <si>
    <t xml:space="preserve">Finance &amp; Insurance</t>
  </si>
  <si>
    <t xml:space="preserve">Media and Information Technology</t>
  </si>
  <si>
    <t xml:space="preserve">Government</t>
  </si>
  <si>
    <t xml:space="preserve">Self-Employed / Non-Employer</t>
  </si>
  <si>
    <t xml:space="preserve">Other Services</t>
  </si>
  <si>
    <t xml:space="preserve">Mining, Quarrying, and Oil/Gas Extraction</t>
  </si>
  <si>
    <t xml:space="preserve">Utilities</t>
  </si>
  <si>
    <t xml:space="preserve">Wholesale Trade</t>
  </si>
  <si>
    <t xml:space="preserve">Information</t>
  </si>
  <si>
    <t xml:space="preserve">Real Estate, Rental and Leasing</t>
  </si>
  <si>
    <t xml:space="preserve">Administrative and Support and Waste Management Services</t>
  </si>
  <si>
    <t xml:space="preserve">Arts, Entertainment, and Recreation</t>
  </si>
  <si>
    <t xml:space="preserve">Accommodation and Food Services</t>
  </si>
  <si>
    <t xml:space="preserve">Public Administration</t>
  </si>
  <si>
    <t xml:space="preserve">LSD.RID.0.AL.LFP</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</si>
  <si>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</si>
  <si>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LIRVID</t>
  </si>
  <si>
    <t xml:space="preserve">Industry: Role</t>
  </si>
  <si>
    <t xml:space="preserve">LSD.RID.0.AL.ETPR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</si>
  <si>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</si>
  <si>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</si>
  <si>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</si>
  <si>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</si>
  <si>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</si>
  <si>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</si>
  <si>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</si>
  <si>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</si>
  <si>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AL.U6R</t>
  </si>
  <si>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</si>
  <si>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</si>
  <si>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AL.4</t>
  </si>
  <si>
    <t xml:space="preserve">U.S. Labor Statistics (Alabama)</t>
  </si>
  <si>
    <t xml:space="preserve">AL.WAVG</t>
  </si>
  <si>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</si>
  <si>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</si>
  <si>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</si>
  <si>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</si>
  <si>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</si>
  <si>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AL.FPITREV</t>
  </si>
  <si>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</si>
  <si>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</si>
  <si>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AL.FPPTR</t>
  </si>
  <si>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</si>
  <si>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</si>
  <si>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t xml:space="preserve">AL.EITCREF</t>
  </si>
  <si>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</si>
  <si>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</si>
  <si>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t xml:space="preserve">AL.ACTCREF</t>
  </si>
  <si>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</si>
  <si>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</si>
  <si>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t xml:space="preserve">AL.AOTCREF</t>
  </si>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</sst>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
    <numFmt numFmtId="169" formatCode="#,##0"/>
    <numFmt numFmtId="170" formatCode="0.00%"/>
    <numFmt numFmtId="171" formatCode="[$$-409]#,##0;\-[$$-409]#,##0"/>
    <numFmt numFmtId="172" formatCode="[$$-409]#,##0.00;\-[$$-409]#,##0.00"/>
    <numFmt numFmtId="173" formatCode="[$$-409]#,##0.00;[RED]\-[$$-409]#,##0.00"/>
    <numFmt numFmtId="174" formatCode="[$$-409]#,##0;[RED]\-[$$-409]#,##0"/>
  </numFmts>
  <fonts count="22">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sz val="10"/>
      <color rgb="FF0000FF"/>
      <name val="arial"/>
      <family val="2"/>
      <charset val="1"/>
    </font>
    <font>
      <sz val="10"/>
      <name val="Times New Roman"/>
      <family val="1"/>
    </font>
    <font>
      <b val="true"/>
      <sz val="10"/>
      <name val="Arial"/>
      <family val="2"/>
      <charset val="1"/>
    </font>
    <font>
      <sz val="10"/>
      <name val="Arial"/>
      <family val="2"/>
    </font>
    <font>
      <b val="true"/>
      <sz val="10"/>
      <name val="Times New Roman"/>
      <family val="1"/>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FFFFFF"/>
      <name val="Arial"/>
      <family val="2"/>
    </font>
    <font>
      <sz val="7"/>
      <color rgb="FFFFFFFF"/>
      <name val="Arial"/>
      <family val="2"/>
    </font>
  </fonts>
  <fills count="4">
    <fill>
      <patternFill patternType="none"/>
    </fill>
    <fill>
      <patternFill patternType="gray125"/>
    </fill>
    <fill>
      <patternFill patternType="solid">
        <fgColor rgb="FF333300"/>
        <bgColor rgb="FF333333"/>
      </patternFill>
    </fill>
    <fill>
      <patternFill patternType="solid">
        <fgColor rgb="FFFFCC00"/>
        <bgColor rgb="FFFFD32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bottom" textRotation="0" wrapText="true" indent="0" shrinkToFit="false"/>
      <protection locked="true" hidden="false"/>
    </xf>
    <xf numFmtId="169" fontId="10" fillId="0" borderId="0" xfId="0" applyFont="true" applyBorder="false" applyAlignment="true" applyProtection="true">
      <alignment horizontal="center" vertical="bottom" textRotation="0" wrapText="true" indent="0" shrinkToFit="false"/>
      <protection locked="true" hidden="false"/>
    </xf>
    <xf numFmtId="170" fontId="10" fillId="0" borderId="0" xfId="0" applyFont="true" applyBorder="false" applyAlignment="true" applyProtection="true">
      <alignment horizontal="general" vertical="bottom" textRotation="0" wrapText="true" indent="0" shrinkToFit="false"/>
      <protection locked="true" hidden="false"/>
    </xf>
    <xf numFmtId="170" fontId="12" fillId="0" borderId="0" xfId="0" applyFont="true" applyBorder="false" applyAlignment="true" applyProtection="true">
      <alignment horizontal="general" vertical="bottom" textRotation="0" wrapText="true" indent="0" shrinkToFit="false"/>
      <protection locked="true" hidden="false"/>
    </xf>
    <xf numFmtId="170" fontId="10" fillId="0" borderId="0" xfId="0" applyFont="true" applyBorder="false" applyAlignment="true" applyProtection="true">
      <alignment horizontal="center" vertical="bottom" textRotation="0" wrapText="true" indent="0" shrinkToFit="false"/>
      <protection locked="true" hidden="false"/>
    </xf>
    <xf numFmtId="171" fontId="10" fillId="0" borderId="0" xfId="0" applyFont="true" applyBorder="false" applyAlignment="true" applyProtection="true">
      <alignment horizontal="center" vertical="bottom" textRotation="0" wrapText="true" indent="0" shrinkToFit="false"/>
      <protection locked="true" hidden="false"/>
    </xf>
    <xf numFmtId="172" fontId="10" fillId="0" borderId="0" xfId="0" applyFont="true" applyBorder="false" applyAlignment="true" applyProtection="true">
      <alignment horizontal="center"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70" fontId="0" fillId="0" borderId="0" xfId="0" applyFont="true" applyBorder="false" applyAlignment="true" applyProtection="true">
      <alignment horizontal="center" vertical="bottom" textRotation="0" wrapText="true" indent="0" shrinkToFit="false"/>
      <protection locked="true" hidden="false"/>
    </xf>
    <xf numFmtId="173" fontId="10" fillId="0" borderId="0" xfId="0" applyFont="true" applyBorder="false" applyAlignment="true" applyProtection="true">
      <alignment horizontal="center" vertical="bottom" textRotation="0" wrapText="tru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xf numFmtId="174" fontId="10"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71"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3838"/>
      <rgbColor rgb="FF00FF00"/>
      <rgbColor rgb="FF0000FF"/>
      <rgbColor rgb="FFE6E905"/>
      <rgbColor rgb="FFFF00FF"/>
      <rgbColor rgb="FF00FFFF"/>
      <rgbColor rgb="FF800000"/>
      <rgbColor rgb="FF008000"/>
      <rgbColor rgb="FF000080"/>
      <rgbColor rgb="FF579D1C"/>
      <rgbColor rgb="FF800080"/>
      <rgbColor rgb="FF008080"/>
      <rgbColor rgb="FFC0C0C0"/>
      <rgbColor rgb="FF666666"/>
      <rgbColor rgb="FF9999FF"/>
      <rgbColor rgb="FF8D1D75"/>
      <rgbColor rgb="FFFFFFCC"/>
      <rgbColor rgb="FFCCFFFF"/>
      <rgbColor rgb="FF660066"/>
      <rgbColor rgb="FFFF5429"/>
      <rgbColor rgb="FF0066CC"/>
      <rgbColor rgb="FFCCCCCC"/>
      <rgbColor rgb="FF000080"/>
      <rgbColor rgb="FFFF00FF"/>
      <rgbColor rgb="FFFFD320"/>
      <rgbColor rgb="FF00FFFF"/>
      <rgbColor rgb="FF800080"/>
      <rgbColor rgb="FF800000"/>
      <rgbColor rgb="FF008080"/>
      <rgbColor rgb="FF0000FF"/>
      <rgbColor rgb="FF00CCFF"/>
      <rgbColor rgb="FFCCFFFF"/>
      <rgbColor rgb="FFCCFFCC"/>
      <rgbColor rgb="FFFFFF99"/>
      <rgbColor rgb="FFB3B3B3"/>
      <rgbColor rgb="FFFF99CC"/>
      <rgbColor rgb="FFCC99FF"/>
      <rgbColor rgb="FFFFCC99"/>
      <rgbColor rgb="FF5983B0"/>
      <rgbColor rgb="FF3FAF46"/>
      <rgbColor rgb="FFBBE33D"/>
      <rgbColor rgb="FFFFCC00"/>
      <rgbColor rgb="FFE8A202"/>
      <rgbColor rgb="FFEA7500"/>
      <rgbColor rgb="FF6B5E9B"/>
      <rgbColor rgb="FF999999"/>
      <rgbColor rgb="FF004586"/>
      <rgbColor rgb="FF50938A"/>
      <rgbColor rgb="FF003300"/>
      <rgbColor rgb="FF333300"/>
      <rgbColor rgb="FFFF420E"/>
      <rgbColor rgb="FFD62E4E"/>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578138545197"/>
          <c:y val="0.0107587768969422"/>
        </c:manualLayout>
      </c:layout>
      <c:overlay val="0"/>
      <c:spPr>
        <a:noFill/>
        <a:ln w="0">
          <a:noFill/>
        </a:ln>
      </c:spPr>
    </c:title>
    <c:autoTitleDeleted val="0"/>
    <c:plotArea>
      <c:layout>
        <c:manualLayout>
          <c:layoutTarget val="inner"/>
          <c:xMode val="edge"/>
          <c:yMode val="edge"/>
          <c:x val="0.299590196232958"/>
          <c:y val="0.0468757693633365"/>
          <c:w val="0.521711718811569"/>
          <c:h val="0.874587621251662"/>
        </c:manualLayout>
      </c:layout>
      <c:barChart>
        <c:barDir val="bar"/>
        <c:grouping val="clustered"/>
        <c:varyColors val="0"/>
        <c:ser>
          <c:idx val="0"/>
          <c:order val="0"/>
          <c:tx>
            <c:strRef>
              <c:f>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LFP!$C$4:$C$37</c:f>
              <c:numCache>
                <c:formatCode>General</c:formatCode>
                <c:ptCount val="34"/>
                <c:pt idx="0">
                  <c:v>90000</c:v>
                </c:pt>
                <c:pt idx="1">
                  <c:v>45000</c:v>
                </c:pt>
                <c:pt idx="2">
                  <c:v>142500</c:v>
                </c:pt>
                <c:pt idx="3">
                  <c:v>71250</c:v>
                </c:pt>
                <c:pt idx="4">
                  <c:v>360000</c:v>
                </c:pt>
                <c:pt idx="5">
                  <c:v>180000</c:v>
                </c:pt>
                <c:pt idx="6">
                  <c:v>97500</c:v>
                </c:pt>
                <c:pt idx="7">
                  <c:v>65000</c:v>
                </c:pt>
                <c:pt idx="8">
                  <c:v>405000</c:v>
                </c:pt>
                <c:pt idx="9">
                  <c:v>135000</c:v>
                </c:pt>
                <c:pt idx="10">
                  <c:v>135000</c:v>
                </c:pt>
                <c:pt idx="11">
                  <c:v>67500</c:v>
                </c:pt>
                <c:pt idx="12">
                  <c:v>480000</c:v>
                </c:pt>
                <c:pt idx="13">
                  <c:v>240000</c:v>
                </c:pt>
                <c:pt idx="14">
                  <c:v>82500</c:v>
                </c:pt>
                <c:pt idx="15">
                  <c:v>27500</c:v>
                </c:pt>
                <c:pt idx="16">
                  <c:v>67500</c:v>
                </c:pt>
                <c:pt idx="17">
                  <c:v>22500</c:v>
                </c:pt>
                <c:pt idx="18">
                  <c:v>480000</c:v>
                </c:pt>
                <c:pt idx="19">
                  <c:v>240000</c:v>
                </c:pt>
                <c:pt idx="20">
                  <c:v>300000</c:v>
                </c:pt>
                <c:pt idx="21">
                  <c:v>150000</c:v>
                </c:pt>
                <c:pt idx="22">
                  <c:v>270000</c:v>
                </c:pt>
                <c:pt idx="23">
                  <c:v>90000</c:v>
                </c:pt>
                <c:pt idx="24">
                  <c:v>180000</c:v>
                </c:pt>
                <c:pt idx="25">
                  <c:v>90000</c:v>
                </c:pt>
                <c:pt idx="26">
                  <c:v>120000</c:v>
                </c:pt>
                <c:pt idx="27">
                  <c:v>60000</c:v>
                </c:pt>
                <c:pt idx="28">
                  <c:v>600000</c:v>
                </c:pt>
              </c:numCache>
            </c:numRef>
          </c:val>
        </c:ser>
        <c:ser>
          <c:idx val="1"/>
          <c:order val="1"/>
          <c:tx>
            <c:strRef>
              <c:f>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LFP!$D$4:$D$37</c:f>
              <c:numCache>
                <c:formatCode>General</c:formatCode>
                <c:ptCount val="34"/>
                <c:pt idx="0">
                  <c:v>9000</c:v>
                </c:pt>
                <c:pt idx="1">
                  <c:v>4500</c:v>
                </c:pt>
                <c:pt idx="2">
                  <c:v>11400</c:v>
                </c:pt>
                <c:pt idx="3">
                  <c:v>5700</c:v>
                </c:pt>
                <c:pt idx="4">
                  <c:v>39600</c:v>
                </c:pt>
                <c:pt idx="5">
                  <c:v>19800</c:v>
                </c:pt>
                <c:pt idx="6">
                  <c:v>14625</c:v>
                </c:pt>
                <c:pt idx="7">
                  <c:v>9750</c:v>
                </c:pt>
                <c:pt idx="8">
                  <c:v>36450</c:v>
                </c:pt>
                <c:pt idx="9">
                  <c:v>12150</c:v>
                </c:pt>
                <c:pt idx="10">
                  <c:v>13500</c:v>
                </c:pt>
                <c:pt idx="11">
                  <c:v>6750</c:v>
                </c:pt>
                <c:pt idx="12">
                  <c:v>38400</c:v>
                </c:pt>
                <c:pt idx="13">
                  <c:v>19200</c:v>
                </c:pt>
                <c:pt idx="14">
                  <c:v>13200</c:v>
                </c:pt>
                <c:pt idx="15">
                  <c:v>4400</c:v>
                </c:pt>
                <c:pt idx="16">
                  <c:v>6075</c:v>
                </c:pt>
                <c:pt idx="17">
                  <c:v>2025</c:v>
                </c:pt>
                <c:pt idx="18">
                  <c:v>28800</c:v>
                </c:pt>
                <c:pt idx="19">
                  <c:v>14400</c:v>
                </c:pt>
                <c:pt idx="20">
                  <c:v>15000</c:v>
                </c:pt>
                <c:pt idx="21">
                  <c:v>7500</c:v>
                </c:pt>
                <c:pt idx="22">
                  <c:v>10800</c:v>
                </c:pt>
                <c:pt idx="23">
                  <c:v>3600</c:v>
                </c:pt>
                <c:pt idx="24">
                  <c:v>9000</c:v>
                </c:pt>
                <c:pt idx="25">
                  <c:v>4500</c:v>
                </c:pt>
                <c:pt idx="26">
                  <c:v>6000</c:v>
                </c:pt>
                <c:pt idx="27">
                  <c:v>3000</c:v>
                </c:pt>
                <c:pt idx="28">
                  <c:v>15000</c:v>
                </c:pt>
              </c:numCache>
            </c:numRef>
          </c:val>
        </c:ser>
        <c:ser>
          <c:idx val="2"/>
          <c:order val="2"/>
          <c:tx>
            <c:strRef>
              <c:f>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LFP!$E$4:$E$37</c:f>
              <c:numCache>
                <c:formatCode>General</c:formatCode>
                <c:ptCount val="34"/>
                <c:pt idx="0">
                  <c:v>9000</c:v>
                </c:pt>
                <c:pt idx="1">
                  <c:v>4500</c:v>
                </c:pt>
                <c:pt idx="2">
                  <c:v>9975</c:v>
                </c:pt>
                <c:pt idx="3">
                  <c:v>4988</c:v>
                </c:pt>
                <c:pt idx="4">
                  <c:v>39600</c:v>
                </c:pt>
                <c:pt idx="5">
                  <c:v>19800</c:v>
                </c:pt>
                <c:pt idx="6">
                  <c:v>14625</c:v>
                </c:pt>
                <c:pt idx="7">
                  <c:v>9750</c:v>
                </c:pt>
                <c:pt idx="8">
                  <c:v>36450</c:v>
                </c:pt>
                <c:pt idx="9">
                  <c:v>12150</c:v>
                </c:pt>
                <c:pt idx="10">
                  <c:v>13500</c:v>
                </c:pt>
                <c:pt idx="11">
                  <c:v>6750</c:v>
                </c:pt>
                <c:pt idx="12">
                  <c:v>38400</c:v>
                </c:pt>
                <c:pt idx="13">
                  <c:v>19200</c:v>
                </c:pt>
                <c:pt idx="14">
                  <c:v>13200</c:v>
                </c:pt>
                <c:pt idx="15">
                  <c:v>4400</c:v>
                </c:pt>
                <c:pt idx="16">
                  <c:v>6075</c:v>
                </c:pt>
                <c:pt idx="17">
                  <c:v>2025</c:v>
                </c:pt>
                <c:pt idx="18">
                  <c:v>28800</c:v>
                </c:pt>
                <c:pt idx="19">
                  <c:v>14400</c:v>
                </c:pt>
                <c:pt idx="20">
                  <c:v>15000</c:v>
                </c:pt>
                <c:pt idx="21">
                  <c:v>7500</c:v>
                </c:pt>
                <c:pt idx="22">
                  <c:v>10800</c:v>
                </c:pt>
                <c:pt idx="23">
                  <c:v>3600</c:v>
                </c:pt>
                <c:pt idx="24">
                  <c:v>9000</c:v>
                </c:pt>
                <c:pt idx="25">
                  <c:v>4500</c:v>
                </c:pt>
                <c:pt idx="26">
                  <c:v>6000</c:v>
                </c:pt>
                <c:pt idx="27">
                  <c:v>3000</c:v>
                </c:pt>
                <c:pt idx="28">
                  <c:v>15000</c:v>
                </c:pt>
              </c:numCache>
            </c:numRef>
          </c:val>
        </c:ser>
        <c:ser>
          <c:idx val="3"/>
          <c:order val="3"/>
          <c:tx>
            <c:strRef>
              <c:f>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LFP!$F$4:$F$37</c:f>
              <c:numCache>
                <c:formatCode>General</c:formatCode>
                <c:ptCount val="34"/>
                <c:pt idx="0">
                  <c:v>72000</c:v>
                </c:pt>
                <c:pt idx="1">
                  <c:v>36000</c:v>
                </c:pt>
                <c:pt idx="2">
                  <c:v>121125</c:v>
                </c:pt>
                <c:pt idx="3">
                  <c:v>60562</c:v>
                </c:pt>
                <c:pt idx="4">
                  <c:v>280800</c:v>
                </c:pt>
                <c:pt idx="5">
                  <c:v>140400</c:v>
                </c:pt>
                <c:pt idx="6">
                  <c:v>68250</c:v>
                </c:pt>
                <c:pt idx="7">
                  <c:v>45500</c:v>
                </c:pt>
                <c:pt idx="8">
                  <c:v>332100</c:v>
                </c:pt>
                <c:pt idx="9">
                  <c:v>110700</c:v>
                </c:pt>
                <c:pt idx="10">
                  <c:v>108000</c:v>
                </c:pt>
                <c:pt idx="11">
                  <c:v>54000</c:v>
                </c:pt>
                <c:pt idx="12">
                  <c:v>403200</c:v>
                </c:pt>
                <c:pt idx="13">
                  <c:v>201600</c:v>
                </c:pt>
                <c:pt idx="14">
                  <c:v>56100</c:v>
                </c:pt>
                <c:pt idx="15">
                  <c:v>18700</c:v>
                </c:pt>
                <c:pt idx="16">
                  <c:v>55350</c:v>
                </c:pt>
                <c:pt idx="17">
                  <c:v>18450</c:v>
                </c:pt>
                <c:pt idx="18">
                  <c:v>422400</c:v>
                </c:pt>
                <c:pt idx="19">
                  <c:v>211200</c:v>
                </c:pt>
                <c:pt idx="20">
                  <c:v>270000</c:v>
                </c:pt>
                <c:pt idx="21">
                  <c:v>135000</c:v>
                </c:pt>
                <c:pt idx="22">
                  <c:v>248400</c:v>
                </c:pt>
                <c:pt idx="23">
                  <c:v>82800</c:v>
                </c:pt>
                <c:pt idx="24">
                  <c:v>162000</c:v>
                </c:pt>
                <c:pt idx="25">
                  <c:v>81000</c:v>
                </c:pt>
                <c:pt idx="26">
                  <c:v>108000</c:v>
                </c:pt>
                <c:pt idx="27">
                  <c:v>54000</c:v>
                </c:pt>
                <c:pt idx="28">
                  <c:v>570000</c:v>
                </c:pt>
              </c:numCache>
            </c:numRef>
          </c:val>
        </c:ser>
        <c:gapWidth val="100"/>
        <c:overlap val="0"/>
        <c:axId val="43126827"/>
        <c:axId val="1038143"/>
      </c:barChart>
      <c:catAx>
        <c:axId val="4312682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87636023437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38143"/>
        <c:crossesAt val="0"/>
        <c:auto val="1"/>
        <c:lblAlgn val="ctr"/>
        <c:lblOffset val="100"/>
        <c:noMultiLvlLbl val="0"/>
      </c:catAx>
      <c:valAx>
        <c:axId val="103814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963826936717"/>
              <c:y val="0.969742478704023"/>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3126827"/>
        <c:crosses val="max"/>
        <c:crossBetween val="midCat"/>
        <c:majorUnit val="10000"/>
      </c:valAx>
      <c:spPr>
        <a:noFill/>
        <a:ln w="0">
          <a:solidFill>
            <a:srgbClr val="b3b3b3"/>
          </a:solidFill>
        </a:ln>
      </c:spPr>
    </c:plotArea>
    <c:legend>
      <c:legendPos val="r"/>
      <c:layout>
        <c:manualLayout>
          <c:xMode val="edge"/>
          <c:yMode val="edge"/>
          <c:x val="0.854790419161677"/>
          <c:y val="0.0768757384797164"/>
          <c:w val="0.119804593625655"/>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6635145784082"/>
          <c:y val="0.0107587768969422"/>
        </c:manualLayout>
      </c:layout>
      <c:overlay val="0"/>
      <c:spPr>
        <a:noFill/>
        <a:ln w="0">
          <a:noFill/>
        </a:ln>
      </c:spPr>
    </c:title>
    <c:autoTitleDeleted val="0"/>
    <c:plotArea>
      <c:layout>
        <c:manualLayout>
          <c:layoutTarget val="inner"/>
          <c:xMode val="edge"/>
          <c:yMode val="edge"/>
          <c:x val="0.299605988967691"/>
          <c:y val="0.0468757693633365"/>
          <c:w val="0.470685579196218"/>
          <c:h val="0.874587621251662"/>
        </c:manualLayout>
      </c:layout>
      <c:barChart>
        <c:barDir val="bar"/>
        <c:grouping val="clustered"/>
        <c:varyColors val="0"/>
        <c:ser>
          <c:idx val="0"/>
          <c:order val="0"/>
          <c:tx>
            <c:strRef>
              <c:f>ETPR!$C$2</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ETPR!$C$4:$C$37</c:f>
              <c:numCache>
                <c:formatCode>0.00%</c:formatCode>
                <c:ptCount val="34"/>
                <c:pt idx="0">
                  <c:v>0.55</c:v>
                </c:pt>
                <c:pt idx="1">
                  <c:v>0.55</c:v>
                </c:pt>
                <c:pt idx="2">
                  <c:v>0.62</c:v>
                </c:pt>
                <c:pt idx="3">
                  <c:v>0.62</c:v>
                </c:pt>
                <c:pt idx="4">
                  <c:v>0.667</c:v>
                </c:pt>
                <c:pt idx="5">
                  <c:v>0.667</c:v>
                </c:pt>
                <c:pt idx="6">
                  <c:v>0.6</c:v>
                </c:pt>
                <c:pt idx="7">
                  <c:v>0.6</c:v>
                </c:pt>
                <c:pt idx="8">
                  <c:v>0.68</c:v>
                </c:pt>
                <c:pt idx="9">
                  <c:v>0.68</c:v>
                </c:pt>
                <c:pt idx="10">
                  <c:v>0.65</c:v>
                </c:pt>
                <c:pt idx="11">
                  <c:v>0.65</c:v>
                </c:pt>
                <c:pt idx="12">
                  <c:v>0.67</c:v>
                </c:pt>
                <c:pt idx="13">
                  <c:v>0.67</c:v>
                </c:pt>
                <c:pt idx="14">
                  <c:v>0.58</c:v>
                </c:pt>
                <c:pt idx="15">
                  <c:v>0.58</c:v>
                </c:pt>
                <c:pt idx="16">
                  <c:v>0.65</c:v>
                </c:pt>
                <c:pt idx="17">
                  <c:v>0.65</c:v>
                </c:pt>
                <c:pt idx="18">
                  <c:v>0.68</c:v>
                </c:pt>
                <c:pt idx="19">
                  <c:v>0.68</c:v>
                </c:pt>
                <c:pt idx="20">
                  <c:v>0.7</c:v>
                </c:pt>
                <c:pt idx="21">
                  <c:v>0.7</c:v>
                </c:pt>
                <c:pt idx="22">
                  <c:v>0.72</c:v>
                </c:pt>
                <c:pt idx="23">
                  <c:v>0.72</c:v>
                </c:pt>
                <c:pt idx="24">
                  <c:v>0.75</c:v>
                </c:pt>
                <c:pt idx="25">
                  <c:v>0.75</c:v>
                </c:pt>
                <c:pt idx="26">
                  <c:v>0.71</c:v>
                </c:pt>
                <c:pt idx="27">
                  <c:v>0.71</c:v>
                </c:pt>
                <c:pt idx="28">
                  <c:v>0.78</c:v>
                </c:pt>
              </c:numCache>
            </c:numRef>
          </c:val>
        </c:ser>
        <c:ser>
          <c:idx val="1"/>
          <c:order val="1"/>
          <c:tx>
            <c:strRef>
              <c:f>ETPR!$D$2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ETPR!$D$4:$D$37</c:f>
              <c:numCache>
                <c:formatCode>0.00%</c:formatCode>
                <c:ptCount val="34"/>
                <c:pt idx="0">
                  <c:v>0.61</c:v>
                </c:pt>
                <c:pt idx="1">
                  <c:v>0.61</c:v>
                </c:pt>
                <c:pt idx="2">
                  <c:v>0.682</c:v>
                </c:pt>
                <c:pt idx="3">
                  <c:v>0.682</c:v>
                </c:pt>
                <c:pt idx="4">
                  <c:v>0.701</c:v>
                </c:pt>
                <c:pt idx="5">
                  <c:v>0.701</c:v>
                </c:pt>
                <c:pt idx="6">
                  <c:v>0.65</c:v>
                </c:pt>
                <c:pt idx="7">
                  <c:v>0.65</c:v>
                </c:pt>
                <c:pt idx="8">
                  <c:v>0.714</c:v>
                </c:pt>
                <c:pt idx="9">
                  <c:v>0.714</c:v>
                </c:pt>
                <c:pt idx="10">
                  <c:v>0.682</c:v>
                </c:pt>
                <c:pt idx="11">
                  <c:v>0.682</c:v>
                </c:pt>
                <c:pt idx="12">
                  <c:v>0.701</c:v>
                </c:pt>
                <c:pt idx="13">
                  <c:v>0.701</c:v>
                </c:pt>
                <c:pt idx="14">
                  <c:v>0.63</c:v>
                </c:pt>
                <c:pt idx="15">
                  <c:v>0.63</c:v>
                </c:pt>
                <c:pt idx="16">
                  <c:v>0.682</c:v>
                </c:pt>
                <c:pt idx="17">
                  <c:v>0.682</c:v>
                </c:pt>
                <c:pt idx="18">
                  <c:v>0.714</c:v>
                </c:pt>
                <c:pt idx="19">
                  <c:v>0.714</c:v>
                </c:pt>
                <c:pt idx="20">
                  <c:v>0.735</c:v>
                </c:pt>
                <c:pt idx="21">
                  <c:v>0.735</c:v>
                </c:pt>
                <c:pt idx="22">
                  <c:v>0.756</c:v>
                </c:pt>
                <c:pt idx="23">
                  <c:v>0.756</c:v>
                </c:pt>
                <c:pt idx="24">
                  <c:v>0.788</c:v>
                </c:pt>
                <c:pt idx="25">
                  <c:v>0.788</c:v>
                </c:pt>
                <c:pt idx="26">
                  <c:v>0.746</c:v>
                </c:pt>
                <c:pt idx="27">
                  <c:v>0.746</c:v>
                </c:pt>
                <c:pt idx="28">
                  <c:v>0.819</c:v>
                </c:pt>
              </c:numCache>
            </c:numRef>
          </c:val>
        </c:ser>
        <c:ser>
          <c:idx val="2"/>
          <c:order val="2"/>
          <c:tx>
            <c:strRef>
              <c:f>ETPR!$E$2</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ETPR!$E$4:$E$37</c:f>
              <c:numCache>
                <c:formatCode>0.00%</c:formatCode>
                <c:ptCount val="34"/>
                <c:pt idx="0">
                  <c:v>0.495</c:v>
                </c:pt>
                <c:pt idx="1">
                  <c:v>0.495</c:v>
                </c:pt>
                <c:pt idx="2">
                  <c:v>0.558</c:v>
                </c:pt>
                <c:pt idx="3">
                  <c:v>0.558</c:v>
                </c:pt>
                <c:pt idx="4">
                  <c:v>0.635</c:v>
                </c:pt>
                <c:pt idx="5">
                  <c:v>0.635</c:v>
                </c:pt>
                <c:pt idx="6">
                  <c:v>0.58</c:v>
                </c:pt>
                <c:pt idx="7">
                  <c:v>0.58</c:v>
                </c:pt>
                <c:pt idx="8">
                  <c:v>0.646</c:v>
                </c:pt>
                <c:pt idx="9">
                  <c:v>0.646</c:v>
                </c:pt>
                <c:pt idx="10">
                  <c:v>0.618</c:v>
                </c:pt>
                <c:pt idx="11">
                  <c:v>0.618</c:v>
                </c:pt>
                <c:pt idx="12">
                  <c:v>0.639</c:v>
                </c:pt>
                <c:pt idx="13">
                  <c:v>0.639</c:v>
                </c:pt>
                <c:pt idx="14">
                  <c:v>0.56</c:v>
                </c:pt>
                <c:pt idx="15">
                  <c:v>0.56</c:v>
                </c:pt>
                <c:pt idx="16">
                  <c:v>0.618</c:v>
                </c:pt>
                <c:pt idx="17">
                  <c:v>0.618</c:v>
                </c:pt>
                <c:pt idx="18">
                  <c:v>0.646</c:v>
                </c:pt>
                <c:pt idx="19">
                  <c:v>0.646</c:v>
                </c:pt>
                <c:pt idx="20">
                  <c:v>0.665</c:v>
                </c:pt>
                <c:pt idx="21">
                  <c:v>0.665</c:v>
                </c:pt>
                <c:pt idx="22">
                  <c:v>0.684</c:v>
                </c:pt>
                <c:pt idx="23">
                  <c:v>0.684</c:v>
                </c:pt>
                <c:pt idx="24">
                  <c:v>0.713</c:v>
                </c:pt>
                <c:pt idx="25">
                  <c:v>0.713</c:v>
                </c:pt>
                <c:pt idx="26">
                  <c:v>0.674</c:v>
                </c:pt>
                <c:pt idx="27">
                  <c:v>0.674</c:v>
                </c:pt>
                <c:pt idx="28">
                  <c:v>0.741</c:v>
                </c:pt>
              </c:numCache>
            </c:numRef>
          </c:val>
        </c:ser>
        <c:ser>
          <c:idx val="3"/>
          <c:order val="3"/>
          <c:tx>
            <c:strRef>
              <c:f>ETPR!$F$2</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Pt>
            <c:idx val="24"/>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ETPR!$F$4:$F$37</c:f>
              <c:numCache>
                <c:formatCode>0.00%</c:formatCode>
                <c:ptCount val="34"/>
                <c:pt idx="0">
                  <c:v>0.55</c:v>
                </c:pt>
                <c:pt idx="1">
                  <c:v>0.55</c:v>
                </c:pt>
                <c:pt idx="2">
                  <c:v>0.62</c:v>
                </c:pt>
                <c:pt idx="3">
                  <c:v>0.62</c:v>
                </c:pt>
                <c:pt idx="4">
                  <c:v>0.668</c:v>
                </c:pt>
                <c:pt idx="5">
                  <c:v>0.668</c:v>
                </c:pt>
                <c:pt idx="6">
                  <c:v>0.6</c:v>
                </c:pt>
                <c:pt idx="7">
                  <c:v>0.6</c:v>
                </c:pt>
                <c:pt idx="8">
                  <c:v>0.68</c:v>
                </c:pt>
                <c:pt idx="9">
                  <c:v>0.68</c:v>
                </c:pt>
                <c:pt idx="10">
                  <c:v>0.65</c:v>
                </c:pt>
                <c:pt idx="11">
                  <c:v>0.65</c:v>
                </c:pt>
                <c:pt idx="12">
                  <c:v>0.67</c:v>
                </c:pt>
                <c:pt idx="13">
                  <c:v>0.67</c:v>
                </c:pt>
                <c:pt idx="14">
                  <c:v>0.58</c:v>
                </c:pt>
                <c:pt idx="15">
                  <c:v>0.58</c:v>
                </c:pt>
                <c:pt idx="16">
                  <c:v>0.65</c:v>
                </c:pt>
                <c:pt idx="17">
                  <c:v>0.65</c:v>
                </c:pt>
                <c:pt idx="18">
                  <c:v>0.68</c:v>
                </c:pt>
                <c:pt idx="19">
                  <c:v>0.68</c:v>
                </c:pt>
                <c:pt idx="20">
                  <c:v>0.7</c:v>
                </c:pt>
                <c:pt idx="21">
                  <c:v>0.7</c:v>
                </c:pt>
                <c:pt idx="22">
                  <c:v>0.72</c:v>
                </c:pt>
                <c:pt idx="23">
                  <c:v>0.72</c:v>
                </c:pt>
                <c:pt idx="24">
                  <c:v>0.75</c:v>
                </c:pt>
                <c:pt idx="25">
                  <c:v>0.75</c:v>
                </c:pt>
                <c:pt idx="26">
                  <c:v>0.71</c:v>
                </c:pt>
                <c:pt idx="27">
                  <c:v>0.71</c:v>
                </c:pt>
                <c:pt idx="28">
                  <c:v>0.78</c:v>
                </c:pt>
              </c:numCache>
            </c:numRef>
          </c:val>
        </c:ser>
        <c:gapWidth val="100"/>
        <c:overlap val="0"/>
        <c:axId val="80207372"/>
        <c:axId val="90729553"/>
      </c:barChart>
      <c:catAx>
        <c:axId val="8020737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52167060678"/>
              <c:y val="0.47875326210054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729553"/>
        <c:crosses val="autoZero"/>
        <c:auto val="1"/>
        <c:lblAlgn val="ctr"/>
        <c:lblOffset val="100"/>
        <c:noMultiLvlLbl val="0"/>
      </c:catAx>
      <c:valAx>
        <c:axId val="9072955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2033096926714"/>
              <c:y val="0.96974247870402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207372"/>
        <c:crosses val="max"/>
        <c:crossBetween val="midCat"/>
        <c:majorUnit val="0.01"/>
      </c:valAx>
      <c:spPr>
        <a:noFill/>
        <a:ln w="0">
          <a:solidFill>
            <a:srgbClr val="b3b3b3"/>
          </a:solidFill>
        </a:ln>
      </c:spPr>
    </c:plotArea>
    <c:legend>
      <c:legendPos val="r"/>
      <c:layout>
        <c:manualLayout>
          <c:xMode val="edge"/>
          <c:yMode val="edge"/>
          <c:x val="0.802576629107241"/>
          <c:y val="0.0768549062084585"/>
          <c:w val="0.171939639888105"/>
          <c:h val="0.11176485069299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58869887304"/>
          <c:y val="0.0106602983898764"/>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LFPR!$C$4:$C$37</c:f>
              <c:numCache>
                <c:formatCode>0.00%</c:formatCode>
                <c:ptCount val="34"/>
                <c:pt idx="0">
                  <c:v>0.58</c:v>
                </c:pt>
                <c:pt idx="1">
                  <c:v>0.58</c:v>
                </c:pt>
                <c:pt idx="2">
                  <c:v>0.65</c:v>
                </c:pt>
                <c:pt idx="3">
                  <c:v>0.65</c:v>
                </c:pt>
                <c:pt idx="4">
                  <c:v>0.7</c:v>
                </c:pt>
                <c:pt idx="5">
                  <c:v>0.7</c:v>
                </c:pt>
                <c:pt idx="6">
                  <c:v>0.63</c:v>
                </c:pt>
                <c:pt idx="7">
                  <c:v>0.63</c:v>
                </c:pt>
                <c:pt idx="8">
                  <c:v>0.71</c:v>
                </c:pt>
                <c:pt idx="9">
                  <c:v>0.71</c:v>
                </c:pt>
                <c:pt idx="10">
                  <c:v>0.68</c:v>
                </c:pt>
                <c:pt idx="11">
                  <c:v>0.68</c:v>
                </c:pt>
                <c:pt idx="12">
                  <c:v>0.7</c:v>
                </c:pt>
                <c:pt idx="13">
                  <c:v>0.7</c:v>
                </c:pt>
                <c:pt idx="14">
                  <c:v>0.61</c:v>
                </c:pt>
                <c:pt idx="15">
                  <c:v>0.61</c:v>
                </c:pt>
                <c:pt idx="16">
                  <c:v>0.68</c:v>
                </c:pt>
                <c:pt idx="17">
                  <c:v>0.68</c:v>
                </c:pt>
                <c:pt idx="18">
                  <c:v>0.71</c:v>
                </c:pt>
                <c:pt idx="19">
                  <c:v>0.71</c:v>
                </c:pt>
                <c:pt idx="20">
                  <c:v>0.73</c:v>
                </c:pt>
                <c:pt idx="21">
                  <c:v>0.73</c:v>
                </c:pt>
                <c:pt idx="22">
                  <c:v>0.75</c:v>
                </c:pt>
                <c:pt idx="23">
                  <c:v>0.75</c:v>
                </c:pt>
                <c:pt idx="24">
                  <c:v>0.78</c:v>
                </c:pt>
                <c:pt idx="25">
                  <c:v>0.78</c:v>
                </c:pt>
                <c:pt idx="26">
                  <c:v>0.74</c:v>
                </c:pt>
                <c:pt idx="27">
                  <c:v>0.74</c:v>
                </c:pt>
                <c:pt idx="28">
                  <c:v>0.81</c:v>
                </c:pt>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LFPR!$D$4:$D$37</c:f>
              <c:numCache>
                <c:formatCode>0.00%</c:formatCode>
                <c:ptCount val="34"/>
                <c:pt idx="0">
                  <c:v>0.65</c:v>
                </c:pt>
                <c:pt idx="1">
                  <c:v>0.65</c:v>
                </c:pt>
                <c:pt idx="2">
                  <c:v>0.72</c:v>
                </c:pt>
                <c:pt idx="3">
                  <c:v>0.72</c:v>
                </c:pt>
                <c:pt idx="4">
                  <c:v>0.735</c:v>
                </c:pt>
                <c:pt idx="5">
                  <c:v>0.735</c:v>
                </c:pt>
                <c:pt idx="6">
                  <c:v>0.68</c:v>
                </c:pt>
                <c:pt idx="7">
                  <c:v>0.68</c:v>
                </c:pt>
                <c:pt idx="8">
                  <c:v>0.75</c:v>
                </c:pt>
                <c:pt idx="9">
                  <c:v>0.75</c:v>
                </c:pt>
                <c:pt idx="10">
                  <c:v>0.72</c:v>
                </c:pt>
                <c:pt idx="11">
                  <c:v>0.72</c:v>
                </c:pt>
                <c:pt idx="12">
                  <c:v>0.735</c:v>
                </c:pt>
                <c:pt idx="13">
                  <c:v>0.735</c:v>
                </c:pt>
                <c:pt idx="14">
                  <c:v>0.66</c:v>
                </c:pt>
                <c:pt idx="15">
                  <c:v>0.66</c:v>
                </c:pt>
                <c:pt idx="16">
                  <c:v>0.72</c:v>
                </c:pt>
                <c:pt idx="17">
                  <c:v>0.72</c:v>
                </c:pt>
                <c:pt idx="18">
                  <c:v>0.75</c:v>
                </c:pt>
                <c:pt idx="19">
                  <c:v>0.75</c:v>
                </c:pt>
                <c:pt idx="20">
                  <c:v>0.77</c:v>
                </c:pt>
                <c:pt idx="21">
                  <c:v>0.77</c:v>
                </c:pt>
                <c:pt idx="22">
                  <c:v>0.79</c:v>
                </c:pt>
                <c:pt idx="23">
                  <c:v>0.79</c:v>
                </c:pt>
                <c:pt idx="24">
                  <c:v>0.82</c:v>
                </c:pt>
                <c:pt idx="25">
                  <c:v>0.82</c:v>
                </c:pt>
                <c:pt idx="26">
                  <c:v>0.78</c:v>
                </c:pt>
                <c:pt idx="27">
                  <c:v>0.78</c:v>
                </c:pt>
                <c:pt idx="28">
                  <c:v>0.85</c:v>
                </c:pt>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7"/>
            <c:invertIfNegative val="0"/>
            <c:spPr>
              <a:solidFill>
                <a:srgbClr val="ffd320"/>
              </a:solidFill>
              <a:ln w="0">
                <a:noFill/>
              </a:ln>
            </c:spPr>
          </c:dPt>
          <c:dPt>
            <c:idx val="28"/>
            <c:invertIfNegative val="0"/>
            <c:spPr>
              <a:solidFill>
                <a:srgbClr val="ffd320"/>
              </a:solidFill>
              <a:ln w="0">
                <a:noFill/>
              </a:ln>
            </c:spPr>
          </c:dPt>
          <c:dPt>
            <c:idx val="3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3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LFPR!$E$4:$E$37</c:f>
              <c:numCache>
                <c:formatCode>0.00%</c:formatCode>
                <c:ptCount val="34"/>
                <c:pt idx="0">
                  <c:v>0.55</c:v>
                </c:pt>
                <c:pt idx="1">
                  <c:v>0.55</c:v>
                </c:pt>
                <c:pt idx="2">
                  <c:v>0.62</c:v>
                </c:pt>
                <c:pt idx="3">
                  <c:v>0.62</c:v>
                </c:pt>
                <c:pt idx="4">
                  <c:v>0.71</c:v>
                </c:pt>
                <c:pt idx="5">
                  <c:v>0.71</c:v>
                </c:pt>
                <c:pt idx="6">
                  <c:v>0.63</c:v>
                </c:pt>
                <c:pt idx="7">
                  <c:v>0.63</c:v>
                </c:pt>
                <c:pt idx="8">
                  <c:v>0.71</c:v>
                </c:pt>
                <c:pt idx="9">
                  <c:v>0.71</c:v>
                </c:pt>
                <c:pt idx="10">
                  <c:v>0.68</c:v>
                </c:pt>
                <c:pt idx="11">
                  <c:v>0.68</c:v>
                </c:pt>
                <c:pt idx="12">
                  <c:v>0.71</c:v>
                </c:pt>
                <c:pt idx="13">
                  <c:v>0.71</c:v>
                </c:pt>
                <c:pt idx="14">
                  <c:v>0.61</c:v>
                </c:pt>
                <c:pt idx="15">
                  <c:v>0.61</c:v>
                </c:pt>
                <c:pt idx="16">
                  <c:v>0.68</c:v>
                </c:pt>
                <c:pt idx="17">
                  <c:v>0.68</c:v>
                </c:pt>
                <c:pt idx="18">
                  <c:v>0.71</c:v>
                </c:pt>
                <c:pt idx="19">
                  <c:v>0.71</c:v>
                </c:pt>
                <c:pt idx="20">
                  <c:v>0.73</c:v>
                </c:pt>
                <c:pt idx="21">
                  <c:v>0.73</c:v>
                </c:pt>
                <c:pt idx="22">
                  <c:v>0.75</c:v>
                </c:pt>
                <c:pt idx="23">
                  <c:v>0.75</c:v>
                </c:pt>
                <c:pt idx="24">
                  <c:v>0.78</c:v>
                </c:pt>
                <c:pt idx="25">
                  <c:v>0.78</c:v>
                </c:pt>
                <c:pt idx="26">
                  <c:v>0.74</c:v>
                </c:pt>
                <c:pt idx="27">
                  <c:v>0.74</c:v>
                </c:pt>
                <c:pt idx="28">
                  <c:v>0.81</c:v>
                </c:pt>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LFPR!$F$4:$F$37</c:f>
              <c:numCache>
                <c:formatCode>0.00%</c:formatCode>
                <c:ptCount val="34"/>
                <c:pt idx="0">
                  <c:v>0.58</c:v>
                </c:pt>
                <c:pt idx="1">
                  <c:v>0.58</c:v>
                </c:pt>
                <c:pt idx="2">
                  <c:v>0.65</c:v>
                </c:pt>
                <c:pt idx="3">
                  <c:v>0.65</c:v>
                </c:pt>
                <c:pt idx="4">
                  <c:v>0.698</c:v>
                </c:pt>
                <c:pt idx="5">
                  <c:v>0.698</c:v>
                </c:pt>
                <c:pt idx="6">
                  <c:v>0.628</c:v>
                </c:pt>
                <c:pt idx="7">
                  <c:v>0.628</c:v>
                </c:pt>
                <c:pt idx="8">
                  <c:v>0.708</c:v>
                </c:pt>
                <c:pt idx="9">
                  <c:v>0.708</c:v>
                </c:pt>
                <c:pt idx="10">
                  <c:v>0.678</c:v>
                </c:pt>
                <c:pt idx="11">
                  <c:v>0.678</c:v>
                </c:pt>
                <c:pt idx="12">
                  <c:v>0.698</c:v>
                </c:pt>
                <c:pt idx="13">
                  <c:v>0.698</c:v>
                </c:pt>
                <c:pt idx="14">
                  <c:v>0.608</c:v>
                </c:pt>
                <c:pt idx="15">
                  <c:v>0.608</c:v>
                </c:pt>
                <c:pt idx="16">
                  <c:v>0.678</c:v>
                </c:pt>
                <c:pt idx="17">
                  <c:v>0.678</c:v>
                </c:pt>
                <c:pt idx="18">
                  <c:v>0.708</c:v>
                </c:pt>
                <c:pt idx="19">
                  <c:v>0.708</c:v>
                </c:pt>
                <c:pt idx="20">
                  <c:v>0.728</c:v>
                </c:pt>
                <c:pt idx="21">
                  <c:v>0.728</c:v>
                </c:pt>
                <c:pt idx="22">
                  <c:v>0.748</c:v>
                </c:pt>
                <c:pt idx="23">
                  <c:v>0.748</c:v>
                </c:pt>
                <c:pt idx="24">
                  <c:v>0.778</c:v>
                </c:pt>
                <c:pt idx="25">
                  <c:v>0.778</c:v>
                </c:pt>
                <c:pt idx="26">
                  <c:v>0.738</c:v>
                </c:pt>
                <c:pt idx="27">
                  <c:v>0.738</c:v>
                </c:pt>
                <c:pt idx="28">
                  <c:v>0.808</c:v>
                </c:pt>
              </c:numCache>
            </c:numRef>
          </c:val>
        </c:ser>
        <c:gapWidth val="100"/>
        <c:overlap val="0"/>
        <c:axId val="93980259"/>
        <c:axId val="36614509"/>
      </c:barChart>
      <c:catAx>
        <c:axId val="9398025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7040228470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614509"/>
        <c:crosses val="autoZero"/>
        <c:auto val="1"/>
        <c:lblAlgn val="ctr"/>
        <c:lblOffset val="100"/>
        <c:noMultiLvlLbl val="0"/>
      </c:catAx>
      <c:valAx>
        <c:axId val="3661450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106548979431"/>
              <c:y val="0.96974247870402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3980259"/>
        <c:crosses val="max"/>
        <c:crossBetween val="midCat"/>
        <c:majorUnit val="0.01"/>
      </c:valAx>
      <c:spPr>
        <a:noFill/>
        <a:ln w="0">
          <a:solidFill>
            <a:srgbClr val="b3b3b3"/>
          </a:solidFill>
        </a:ln>
      </c:spPr>
    </c:plotArea>
    <c:legend>
      <c:legendPos val="r"/>
      <c:layout>
        <c:manualLayout>
          <c:xMode val="edge"/>
          <c:yMode val="edge"/>
          <c:x val="0.802576629107241"/>
          <c:y val="0.0768549062084585"/>
          <c:w val="0.171939639888105"/>
          <c:h val="0.11176485069299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6437859563401"/>
          <c:y val="0.0106602983898764"/>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U3R!$C$4:$C$37</c:f>
              <c:numCache>
                <c:formatCode>0.00%</c:formatCode>
                <c:ptCount val="34"/>
                <c:pt idx="0">
                  <c:v>0.07</c:v>
                </c:pt>
                <c:pt idx="1">
                  <c:v>0.07</c:v>
                </c:pt>
                <c:pt idx="2">
                  <c:v>0.06</c:v>
                </c:pt>
                <c:pt idx="3">
                  <c:v>0.06</c:v>
                </c:pt>
                <c:pt idx="4">
                  <c:v>0.07</c:v>
                </c:pt>
                <c:pt idx="5">
                  <c:v>0.07</c:v>
                </c:pt>
                <c:pt idx="6">
                  <c:v>0.08</c:v>
                </c:pt>
                <c:pt idx="7">
                  <c:v>0.08</c:v>
                </c:pt>
                <c:pt idx="8">
                  <c:v>0.04</c:v>
                </c:pt>
                <c:pt idx="9">
                  <c:v>0.04</c:v>
                </c:pt>
                <c:pt idx="10">
                  <c:v>0.05</c:v>
                </c:pt>
                <c:pt idx="11">
                  <c:v>0.05</c:v>
                </c:pt>
                <c:pt idx="12">
                  <c:v>0.07</c:v>
                </c:pt>
                <c:pt idx="13">
                  <c:v>0.07</c:v>
                </c:pt>
                <c:pt idx="14">
                  <c:v>0.07</c:v>
                </c:pt>
                <c:pt idx="15">
                  <c:v>0.07</c:v>
                </c:pt>
                <c:pt idx="16">
                  <c:v>0.05</c:v>
                </c:pt>
                <c:pt idx="17">
                  <c:v>0.05</c:v>
                </c:pt>
                <c:pt idx="18">
                  <c:v>0.04</c:v>
                </c:pt>
                <c:pt idx="19">
                  <c:v>0.04</c:v>
                </c:pt>
                <c:pt idx="20">
                  <c:v>0.04</c:v>
                </c:pt>
                <c:pt idx="21">
                  <c:v>0.04</c:v>
                </c:pt>
                <c:pt idx="22">
                  <c:v>0.04</c:v>
                </c:pt>
                <c:pt idx="23">
                  <c:v>0.04</c:v>
                </c:pt>
                <c:pt idx="24">
                  <c:v>0.04</c:v>
                </c:pt>
                <c:pt idx="25">
                  <c:v>0.04</c:v>
                </c:pt>
                <c:pt idx="26">
                  <c:v>0.04</c:v>
                </c:pt>
                <c:pt idx="27">
                  <c:v>0.04</c:v>
                </c:pt>
                <c:pt idx="28">
                  <c:v>0.03</c:v>
                </c:pt>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U3R!$D$4:$D$37</c:f>
              <c:numCache>
                <c:formatCode>0.00%</c:formatCode>
                <c:ptCount val="34"/>
                <c:pt idx="0">
                  <c:v>0.07</c:v>
                </c:pt>
                <c:pt idx="1">
                  <c:v>0.07</c:v>
                </c:pt>
                <c:pt idx="2">
                  <c:v>0.06</c:v>
                </c:pt>
                <c:pt idx="3">
                  <c:v>0.06</c:v>
                </c:pt>
                <c:pt idx="4">
                  <c:v>0.07</c:v>
                </c:pt>
                <c:pt idx="5">
                  <c:v>0.07</c:v>
                </c:pt>
                <c:pt idx="6">
                  <c:v>0.08</c:v>
                </c:pt>
                <c:pt idx="7">
                  <c:v>0.08</c:v>
                </c:pt>
                <c:pt idx="8">
                  <c:v>0.04</c:v>
                </c:pt>
                <c:pt idx="9">
                  <c:v>0.04</c:v>
                </c:pt>
                <c:pt idx="10">
                  <c:v>0.05</c:v>
                </c:pt>
                <c:pt idx="11">
                  <c:v>0.05</c:v>
                </c:pt>
                <c:pt idx="12">
                  <c:v>0.07</c:v>
                </c:pt>
                <c:pt idx="13">
                  <c:v>0.07</c:v>
                </c:pt>
                <c:pt idx="14">
                  <c:v>0.07</c:v>
                </c:pt>
                <c:pt idx="15">
                  <c:v>0.07</c:v>
                </c:pt>
                <c:pt idx="16">
                  <c:v>0.05</c:v>
                </c:pt>
                <c:pt idx="17">
                  <c:v>0.05</c:v>
                </c:pt>
                <c:pt idx="18">
                  <c:v>0.04</c:v>
                </c:pt>
                <c:pt idx="19">
                  <c:v>0.04</c:v>
                </c:pt>
                <c:pt idx="20">
                  <c:v>0.04</c:v>
                </c:pt>
                <c:pt idx="21">
                  <c:v>0.04</c:v>
                </c:pt>
                <c:pt idx="22">
                  <c:v>0.04</c:v>
                </c:pt>
                <c:pt idx="23">
                  <c:v>0.04</c:v>
                </c:pt>
                <c:pt idx="24">
                  <c:v>0.04</c:v>
                </c:pt>
                <c:pt idx="25">
                  <c:v>0.04</c:v>
                </c:pt>
                <c:pt idx="26">
                  <c:v>0.04</c:v>
                </c:pt>
                <c:pt idx="27">
                  <c:v>0.04</c:v>
                </c:pt>
                <c:pt idx="28">
                  <c:v>0.03</c:v>
                </c:pt>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U3R!$E$4:$E$37</c:f>
              <c:numCache>
                <c:formatCode>0.00%</c:formatCode>
                <c:ptCount val="34"/>
                <c:pt idx="0">
                  <c:v>0.11</c:v>
                </c:pt>
                <c:pt idx="1">
                  <c:v>0.11</c:v>
                </c:pt>
                <c:pt idx="2">
                  <c:v>0.1</c:v>
                </c:pt>
                <c:pt idx="3">
                  <c:v>0.1</c:v>
                </c:pt>
                <c:pt idx="4">
                  <c:v>0.12</c:v>
                </c:pt>
                <c:pt idx="5">
                  <c:v>0.12</c:v>
                </c:pt>
                <c:pt idx="6">
                  <c:v>0.13</c:v>
                </c:pt>
                <c:pt idx="7">
                  <c:v>0.13</c:v>
                </c:pt>
                <c:pt idx="8">
                  <c:v>0.07</c:v>
                </c:pt>
                <c:pt idx="9">
                  <c:v>0.07</c:v>
                </c:pt>
                <c:pt idx="10">
                  <c:v>0.08</c:v>
                </c:pt>
                <c:pt idx="11">
                  <c:v>0.08</c:v>
                </c:pt>
                <c:pt idx="12">
                  <c:v>0.12</c:v>
                </c:pt>
                <c:pt idx="13">
                  <c:v>0.12</c:v>
                </c:pt>
                <c:pt idx="14">
                  <c:v>0.11</c:v>
                </c:pt>
                <c:pt idx="15">
                  <c:v>0.11</c:v>
                </c:pt>
                <c:pt idx="16">
                  <c:v>0.08</c:v>
                </c:pt>
                <c:pt idx="17">
                  <c:v>0.08</c:v>
                </c:pt>
                <c:pt idx="18">
                  <c:v>0.07</c:v>
                </c:pt>
                <c:pt idx="19">
                  <c:v>0.07</c:v>
                </c:pt>
                <c:pt idx="20">
                  <c:v>0.07</c:v>
                </c:pt>
                <c:pt idx="21">
                  <c:v>0.07</c:v>
                </c:pt>
                <c:pt idx="22">
                  <c:v>0.07</c:v>
                </c:pt>
                <c:pt idx="23">
                  <c:v>0.07</c:v>
                </c:pt>
                <c:pt idx="24">
                  <c:v>0.07</c:v>
                </c:pt>
                <c:pt idx="25">
                  <c:v>0.07</c:v>
                </c:pt>
                <c:pt idx="26">
                  <c:v>0.07</c:v>
                </c:pt>
                <c:pt idx="27">
                  <c:v>0.07</c:v>
                </c:pt>
                <c:pt idx="28">
                  <c:v>0.07</c:v>
                </c:pt>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U3R!$F$4:$F$37</c:f>
              <c:numCache>
                <c:formatCode>0.00%</c:formatCode>
                <c:ptCount val="34"/>
                <c:pt idx="0">
                  <c:v>0.045</c:v>
                </c:pt>
                <c:pt idx="1">
                  <c:v>0.045</c:v>
                </c:pt>
                <c:pt idx="2">
                  <c:v>0.03</c:v>
                </c:pt>
                <c:pt idx="3">
                  <c:v>0.03</c:v>
                </c:pt>
                <c:pt idx="4">
                  <c:v>0.037</c:v>
                </c:pt>
                <c:pt idx="5">
                  <c:v>0.037</c:v>
                </c:pt>
                <c:pt idx="6">
                  <c:v>0.04</c:v>
                </c:pt>
                <c:pt idx="7">
                  <c:v>0.04</c:v>
                </c:pt>
                <c:pt idx="8">
                  <c:v>0.018</c:v>
                </c:pt>
                <c:pt idx="9">
                  <c:v>0.018</c:v>
                </c:pt>
                <c:pt idx="10">
                  <c:v>0.022</c:v>
                </c:pt>
                <c:pt idx="11">
                  <c:v>0.022</c:v>
                </c:pt>
                <c:pt idx="12">
                  <c:v>0.037</c:v>
                </c:pt>
                <c:pt idx="13">
                  <c:v>0.037</c:v>
                </c:pt>
                <c:pt idx="14">
                  <c:v>0.045</c:v>
                </c:pt>
                <c:pt idx="15">
                  <c:v>0.045</c:v>
                </c:pt>
                <c:pt idx="16">
                  <c:v>0.022</c:v>
                </c:pt>
                <c:pt idx="17">
                  <c:v>0.022</c:v>
                </c:pt>
                <c:pt idx="18">
                  <c:v>0.018</c:v>
                </c:pt>
                <c:pt idx="19">
                  <c:v>0.018</c:v>
                </c:pt>
                <c:pt idx="20">
                  <c:v>0.018</c:v>
                </c:pt>
                <c:pt idx="21">
                  <c:v>0.018</c:v>
                </c:pt>
                <c:pt idx="22">
                  <c:v>0.018</c:v>
                </c:pt>
                <c:pt idx="23">
                  <c:v>0.018</c:v>
                </c:pt>
                <c:pt idx="24">
                  <c:v>0.018</c:v>
                </c:pt>
                <c:pt idx="25">
                  <c:v>0.018</c:v>
                </c:pt>
                <c:pt idx="26">
                  <c:v>0.018</c:v>
                </c:pt>
                <c:pt idx="27">
                  <c:v>0.018</c:v>
                </c:pt>
                <c:pt idx="28">
                  <c:v>0.018</c:v>
                </c:pt>
              </c:numCache>
            </c:numRef>
          </c:val>
        </c:ser>
        <c:gapWidth val="100"/>
        <c:overlap val="0"/>
        <c:axId val="6567764"/>
        <c:axId val="79231431"/>
      </c:barChart>
      <c:catAx>
        <c:axId val="656776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7040228470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9231431"/>
        <c:crosses val="autoZero"/>
        <c:auto val="1"/>
        <c:lblAlgn val="ctr"/>
        <c:lblOffset val="100"/>
        <c:noMultiLvlLbl val="0"/>
      </c:catAx>
      <c:valAx>
        <c:axId val="7923143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106548979431"/>
              <c:y val="0.96974247870402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67764"/>
        <c:crosses val="max"/>
        <c:crossBetween val="midCat"/>
        <c:majorUnit val="0.01"/>
      </c:valAx>
      <c:spPr>
        <a:noFill/>
        <a:ln w="0">
          <a:solidFill>
            <a:srgbClr val="b3b3b3"/>
          </a:solidFill>
        </a:ln>
      </c:spPr>
    </c:plotArea>
    <c:legend>
      <c:legendPos val="r"/>
      <c:layout>
        <c:manualLayout>
          <c:xMode val="edge"/>
          <c:yMode val="edge"/>
          <c:x val="0.802592184052947"/>
          <c:y val="0.0768757384797164"/>
          <c:w val="0.171965488712918"/>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67617621562"/>
          <c:y val="0.0106602983898764"/>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U6R!$C$4:$C$37</c:f>
              <c:numCache>
                <c:formatCode>0.00%</c:formatCode>
                <c:ptCount val="34"/>
                <c:pt idx="0">
                  <c:v>0.093</c:v>
                </c:pt>
                <c:pt idx="1">
                  <c:v>0.093</c:v>
                </c:pt>
                <c:pt idx="2">
                  <c:v>0.046</c:v>
                </c:pt>
                <c:pt idx="3">
                  <c:v>0.046</c:v>
                </c:pt>
                <c:pt idx="4">
                  <c:v>0.072</c:v>
                </c:pt>
                <c:pt idx="5">
                  <c:v>0.072</c:v>
                </c:pt>
                <c:pt idx="6">
                  <c:v>0.1</c:v>
                </c:pt>
                <c:pt idx="7">
                  <c:v>0.1</c:v>
                </c:pt>
                <c:pt idx="8">
                  <c:v>0.031</c:v>
                </c:pt>
                <c:pt idx="9">
                  <c:v>0.031</c:v>
                </c:pt>
                <c:pt idx="10">
                  <c:v>0.037</c:v>
                </c:pt>
                <c:pt idx="11">
                  <c:v>0.037</c:v>
                </c:pt>
                <c:pt idx="12">
                  <c:v>0.074</c:v>
                </c:pt>
                <c:pt idx="13">
                  <c:v>0.074</c:v>
                </c:pt>
                <c:pt idx="14">
                  <c:v>0.093</c:v>
                </c:pt>
                <c:pt idx="15">
                  <c:v>0.093</c:v>
                </c:pt>
                <c:pt idx="16">
                  <c:v>0.046</c:v>
                </c:pt>
                <c:pt idx="17">
                  <c:v>0.046</c:v>
                </c:pt>
                <c:pt idx="18">
                  <c:v>0.035</c:v>
                </c:pt>
                <c:pt idx="19">
                  <c:v>0.035</c:v>
                </c:pt>
                <c:pt idx="20">
                  <c:v>0.026</c:v>
                </c:pt>
                <c:pt idx="21">
                  <c:v>0.026</c:v>
                </c:pt>
                <c:pt idx="22">
                  <c:v>0.036</c:v>
                </c:pt>
                <c:pt idx="23">
                  <c:v>0.036</c:v>
                </c:pt>
                <c:pt idx="24">
                  <c:v>0.028</c:v>
                </c:pt>
                <c:pt idx="25">
                  <c:v>0.028</c:v>
                </c:pt>
                <c:pt idx="26">
                  <c:v>0.03</c:v>
                </c:pt>
                <c:pt idx="27">
                  <c:v>0.03</c:v>
                </c:pt>
                <c:pt idx="28">
                  <c:v>0.03</c:v>
                </c:pt>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U6R!$D$4:$D$37</c:f>
              <c:numCache>
                <c:formatCode>0.00%</c:formatCode>
                <c:ptCount val="34"/>
                <c:pt idx="0">
                  <c:v>0.108</c:v>
                </c:pt>
                <c:pt idx="1">
                  <c:v>0.108</c:v>
                </c:pt>
                <c:pt idx="2">
                  <c:v>0.066</c:v>
                </c:pt>
                <c:pt idx="3">
                  <c:v>0.066</c:v>
                </c:pt>
                <c:pt idx="4">
                  <c:v>0.095</c:v>
                </c:pt>
                <c:pt idx="5">
                  <c:v>0.095</c:v>
                </c:pt>
                <c:pt idx="6">
                  <c:v>0.132</c:v>
                </c:pt>
                <c:pt idx="7">
                  <c:v>0.132</c:v>
                </c:pt>
                <c:pt idx="8">
                  <c:v>0.037</c:v>
                </c:pt>
                <c:pt idx="9">
                  <c:v>0.037</c:v>
                </c:pt>
                <c:pt idx="10">
                  <c:v>0.046</c:v>
                </c:pt>
                <c:pt idx="11">
                  <c:v>0.046</c:v>
                </c:pt>
                <c:pt idx="12">
                  <c:v>0.097</c:v>
                </c:pt>
                <c:pt idx="13">
                  <c:v>0.097</c:v>
                </c:pt>
                <c:pt idx="14">
                  <c:v>0.108</c:v>
                </c:pt>
                <c:pt idx="15">
                  <c:v>0.108</c:v>
                </c:pt>
                <c:pt idx="16">
                  <c:v>0.057</c:v>
                </c:pt>
                <c:pt idx="17">
                  <c:v>0.057</c:v>
                </c:pt>
                <c:pt idx="18">
                  <c:v>0.042</c:v>
                </c:pt>
                <c:pt idx="19">
                  <c:v>0.042</c:v>
                </c:pt>
                <c:pt idx="20">
                  <c:v>0.031</c:v>
                </c:pt>
                <c:pt idx="21">
                  <c:v>0.031</c:v>
                </c:pt>
                <c:pt idx="22">
                  <c:v>0.043</c:v>
                </c:pt>
                <c:pt idx="23">
                  <c:v>0.043</c:v>
                </c:pt>
                <c:pt idx="24">
                  <c:v>0.034</c:v>
                </c:pt>
                <c:pt idx="25">
                  <c:v>0.034</c:v>
                </c:pt>
                <c:pt idx="26">
                  <c:v>0.036</c:v>
                </c:pt>
                <c:pt idx="27">
                  <c:v>0.036</c:v>
                </c:pt>
                <c:pt idx="28">
                  <c:v>0.036</c:v>
                </c:pt>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U6R!$E$4:$E$37</c:f>
              <c:numCache>
                <c:formatCode>0.00%</c:formatCode>
                <c:ptCount val="34"/>
                <c:pt idx="0">
                  <c:v>0.155</c:v>
                </c:pt>
                <c:pt idx="1">
                  <c:v>0.155</c:v>
                </c:pt>
                <c:pt idx="2">
                  <c:v>0.11</c:v>
                </c:pt>
                <c:pt idx="3">
                  <c:v>0.11</c:v>
                </c:pt>
                <c:pt idx="4">
                  <c:v>0.162</c:v>
                </c:pt>
                <c:pt idx="5">
                  <c:v>0.162</c:v>
                </c:pt>
                <c:pt idx="6">
                  <c:v>0.221</c:v>
                </c:pt>
                <c:pt idx="7">
                  <c:v>0.221</c:v>
                </c:pt>
                <c:pt idx="8">
                  <c:v>0.078</c:v>
                </c:pt>
                <c:pt idx="9">
                  <c:v>0.078</c:v>
                </c:pt>
                <c:pt idx="10">
                  <c:v>0.084</c:v>
                </c:pt>
                <c:pt idx="11">
                  <c:v>0.084</c:v>
                </c:pt>
                <c:pt idx="12">
                  <c:v>0.165</c:v>
                </c:pt>
                <c:pt idx="13">
                  <c:v>0.165</c:v>
                </c:pt>
                <c:pt idx="14">
                  <c:v>0.155</c:v>
                </c:pt>
                <c:pt idx="15">
                  <c:v>0.155</c:v>
                </c:pt>
                <c:pt idx="16">
                  <c:v>0.104</c:v>
                </c:pt>
                <c:pt idx="17">
                  <c:v>0.104</c:v>
                </c:pt>
                <c:pt idx="18">
                  <c:v>0.088</c:v>
                </c:pt>
                <c:pt idx="19">
                  <c:v>0.088</c:v>
                </c:pt>
                <c:pt idx="20">
                  <c:v>0.065</c:v>
                </c:pt>
                <c:pt idx="21">
                  <c:v>0.065</c:v>
                </c:pt>
                <c:pt idx="22">
                  <c:v>0.09</c:v>
                </c:pt>
                <c:pt idx="23">
                  <c:v>0.09</c:v>
                </c:pt>
                <c:pt idx="24">
                  <c:v>0.071</c:v>
                </c:pt>
                <c:pt idx="25">
                  <c:v>0.071</c:v>
                </c:pt>
                <c:pt idx="26">
                  <c:v>0.076</c:v>
                </c:pt>
                <c:pt idx="27">
                  <c:v>0.076</c:v>
                </c:pt>
                <c:pt idx="28">
                  <c:v>0.076</c:v>
                </c:pt>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U6R!$F$4:$F$37</c:f>
              <c:numCache>
                <c:formatCode>0.00%</c:formatCode>
                <c:ptCount val="34"/>
                <c:pt idx="0">
                  <c:v>0.089</c:v>
                </c:pt>
                <c:pt idx="1">
                  <c:v>0.089</c:v>
                </c:pt>
                <c:pt idx="2">
                  <c:v>0.042</c:v>
                </c:pt>
                <c:pt idx="3">
                  <c:v>0.042</c:v>
                </c:pt>
                <c:pt idx="4">
                  <c:v>0.069</c:v>
                </c:pt>
                <c:pt idx="5">
                  <c:v>0.069</c:v>
                </c:pt>
                <c:pt idx="6">
                  <c:v>0.095</c:v>
                </c:pt>
                <c:pt idx="7">
                  <c:v>0.095</c:v>
                </c:pt>
                <c:pt idx="8">
                  <c:v>0.03</c:v>
                </c:pt>
                <c:pt idx="9">
                  <c:v>0.03</c:v>
                </c:pt>
                <c:pt idx="10">
                  <c:v>0.034</c:v>
                </c:pt>
                <c:pt idx="11">
                  <c:v>0.034</c:v>
                </c:pt>
                <c:pt idx="12">
                  <c:v>0.071</c:v>
                </c:pt>
                <c:pt idx="13">
                  <c:v>0.071</c:v>
                </c:pt>
                <c:pt idx="14">
                  <c:v>0.089</c:v>
                </c:pt>
                <c:pt idx="15">
                  <c:v>0.089</c:v>
                </c:pt>
                <c:pt idx="16">
                  <c:v>0.042</c:v>
                </c:pt>
                <c:pt idx="17">
                  <c:v>0.042</c:v>
                </c:pt>
                <c:pt idx="18">
                  <c:v>0.034</c:v>
                </c:pt>
                <c:pt idx="19">
                  <c:v>0.034</c:v>
                </c:pt>
                <c:pt idx="20">
                  <c:v>0.024</c:v>
                </c:pt>
                <c:pt idx="21">
                  <c:v>0.024</c:v>
                </c:pt>
                <c:pt idx="22">
                  <c:v>0.035</c:v>
                </c:pt>
                <c:pt idx="23">
                  <c:v>0.035</c:v>
                </c:pt>
                <c:pt idx="24">
                  <c:v>0.027</c:v>
                </c:pt>
                <c:pt idx="25">
                  <c:v>0.027</c:v>
                </c:pt>
                <c:pt idx="26">
                  <c:v>0.029</c:v>
                </c:pt>
                <c:pt idx="27">
                  <c:v>0.029</c:v>
                </c:pt>
                <c:pt idx="28">
                  <c:v>0.029</c:v>
                </c:pt>
              </c:numCache>
            </c:numRef>
          </c:val>
        </c:ser>
        <c:gapWidth val="100"/>
        <c:overlap val="0"/>
        <c:axId val="40312422"/>
        <c:axId val="84568761"/>
      </c:barChart>
      <c:catAx>
        <c:axId val="4031242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7040228470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4568761"/>
        <c:crosses val="autoZero"/>
        <c:auto val="1"/>
        <c:lblAlgn val="ctr"/>
        <c:lblOffset val="100"/>
        <c:noMultiLvlLbl val="0"/>
      </c:catAx>
      <c:valAx>
        <c:axId val="8456876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106548979431"/>
              <c:y val="0.96974247870402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312422"/>
        <c:crosses val="max"/>
        <c:crossBetween val="midCat"/>
        <c:majorUnit val="0.01"/>
      </c:valAx>
      <c:spPr>
        <a:noFill/>
        <a:ln w="0">
          <a:solidFill>
            <a:srgbClr val="b3b3b3"/>
          </a:solidFill>
        </a:ln>
      </c:spPr>
    </c:plotArea>
    <c:legend>
      <c:legendPos val="r"/>
      <c:layout>
        <c:manualLayout>
          <c:xMode val="edge"/>
          <c:yMode val="edge"/>
          <c:x val="0.802592184052947"/>
          <c:y val="0.0768757384797164"/>
          <c:w val="0.171965488712918"/>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754984632359"/>
          <c:y val="0.0106602983898764"/>
        </c:manualLayout>
      </c:layout>
      <c:overlay val="0"/>
      <c:spPr>
        <a:noFill/>
        <a:ln w="0">
          <a:noFill/>
        </a:ln>
      </c:spPr>
    </c:title>
    <c:autoTitleDeleted val="0"/>
    <c:plotArea>
      <c:layout>
        <c:manualLayout>
          <c:layoutTarget val="inner"/>
          <c:xMode val="edge"/>
          <c:yMode val="edge"/>
          <c:x val="0.299550792024588"/>
          <c:y val="0.0468757693633365"/>
          <c:w val="0.470643864764757"/>
          <c:h val="0.874563001624895"/>
        </c:manualLayout>
      </c:layout>
      <c:barChart>
        <c:barDir val="bar"/>
        <c:grouping val="clustered"/>
        <c:varyColors val="0"/>
        <c:ser>
          <c:idx val="0"/>
          <c:order val="0"/>
          <c:tx>
            <c:strRef>
              <c:f>U6R!$C$132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U6R!$C$134:$C$163</c:f>
              <c:numCache>
                <c:formatCode>0.00%</c:formatCode>
                <c:ptCount val="30"/>
              </c:numCache>
            </c:numRef>
          </c:val>
        </c:ser>
        <c:ser>
          <c:idx val="1"/>
          <c:order val="1"/>
          <c:tx>
            <c:strRef>
              <c:f>U6R!$D$132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U6R!$D$134:$D$163</c:f>
              <c:numCache>
                <c:formatCode>0.00%</c:formatCode>
                <c:ptCount val="30"/>
              </c:numCache>
            </c:numRef>
          </c:val>
        </c:ser>
        <c:ser>
          <c:idx val="2"/>
          <c:order val="2"/>
          <c:tx>
            <c:strRef>
              <c:f>U6R!$E$132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U6R!$E$134:$E$163</c:f>
              <c:numCache>
                <c:formatCode>0.00%</c:formatCode>
                <c:ptCount val="30"/>
              </c:numCache>
            </c:numRef>
          </c:val>
        </c:ser>
        <c:ser>
          <c:idx val="3"/>
          <c:order val="3"/>
          <c:tx>
            <c:strRef>
              <c:f>U6R!$F$132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U6R!$F$134:$F$163</c:f>
              <c:numCache>
                <c:formatCode>0.00%</c:formatCode>
                <c:ptCount val="30"/>
              </c:numCache>
            </c:numRef>
          </c:val>
        </c:ser>
        <c:gapWidth val="100"/>
        <c:overlap val="0"/>
        <c:axId val="47722105"/>
        <c:axId val="21955"/>
      </c:barChart>
      <c:catAx>
        <c:axId val="4772210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65478359348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1955"/>
        <c:crosses val="autoZero"/>
        <c:auto val="1"/>
        <c:lblAlgn val="ctr"/>
        <c:lblOffset val="100"/>
        <c:noMultiLvlLbl val="0"/>
      </c:catAx>
      <c:valAx>
        <c:axId val="2195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239656395303"/>
              <c:y val="0.96974247870402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7722105"/>
        <c:crosses val="max"/>
        <c:crossBetween val="midCat"/>
        <c:majorUnit val="0.01"/>
      </c:valAx>
      <c:spPr>
        <a:noFill/>
        <a:ln w="0">
          <a:solidFill>
            <a:srgbClr val="b3b3b3"/>
          </a:solidFill>
        </a:ln>
      </c:spPr>
    </c:plotArea>
    <c:legend>
      <c:legendPos val="r"/>
      <c:layout>
        <c:manualLayout>
          <c:xMode val="edge"/>
          <c:yMode val="edge"/>
          <c:x val="0.7865190671289"/>
          <c:y val="0.0768265064986215"/>
          <c:w val="0.187960445967774"/>
          <c:h val="0.11173473155601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967452123887"/>
          <c:y val="0.0106602983898764"/>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WAVG!$C$4:$C$37</c:f>
              <c:numCache>
                <c:formatCode>[$$-409]#,##0.00;[RED]\-[$$-409]#,##0.00</c:formatCode>
                <c:ptCount val="34"/>
                <c:pt idx="0">
                  <c:v>21.93</c:v>
                </c:pt>
                <c:pt idx="1">
                  <c:v>18.64</c:v>
                </c:pt>
                <c:pt idx="2">
                  <c:v>25.34</c:v>
                </c:pt>
                <c:pt idx="3">
                  <c:v>21.54</c:v>
                </c:pt>
                <c:pt idx="4">
                  <c:v>14.15</c:v>
                </c:pt>
                <c:pt idx="5">
                  <c:v>12.03</c:v>
                </c:pt>
                <c:pt idx="6">
                  <c:v>16.59</c:v>
                </c:pt>
                <c:pt idx="7">
                  <c:v>14.1</c:v>
                </c:pt>
                <c:pt idx="8">
                  <c:v>24.19</c:v>
                </c:pt>
                <c:pt idx="9">
                  <c:v>20.56</c:v>
                </c:pt>
                <c:pt idx="10">
                  <c:v>24.4</c:v>
                </c:pt>
                <c:pt idx="11">
                  <c:v>20.74</c:v>
                </c:pt>
                <c:pt idx="12">
                  <c:v>21.94</c:v>
                </c:pt>
                <c:pt idx="13">
                  <c:v>18.65</c:v>
                </c:pt>
                <c:pt idx="14">
                  <c:v>16.59</c:v>
                </c:pt>
                <c:pt idx="15">
                  <c:v>14.1</c:v>
                </c:pt>
                <c:pt idx="16">
                  <c:v>29.21</c:v>
                </c:pt>
                <c:pt idx="17">
                  <c:v>24.83</c:v>
                </c:pt>
                <c:pt idx="18">
                  <c:v>41.16</c:v>
                </c:pt>
                <c:pt idx="19">
                  <c:v>34.99</c:v>
                </c:pt>
                <c:pt idx="20">
                  <c:v>53.09</c:v>
                </c:pt>
                <c:pt idx="21">
                  <c:v>45.13</c:v>
                </c:pt>
                <c:pt idx="22">
                  <c:v>26.24</c:v>
                </c:pt>
                <c:pt idx="23">
                  <c:v>22.3</c:v>
                </c:pt>
                <c:pt idx="24">
                  <c:v>41</c:v>
                </c:pt>
                <c:pt idx="25">
                  <c:v>34.85</c:v>
                </c:pt>
                <c:pt idx="26">
                  <c:v>28.71</c:v>
                </c:pt>
                <c:pt idx="27">
                  <c:v>24.4</c:v>
                </c:pt>
                <c:pt idx="28">
                  <c:v>24.54</c:v>
                </c:pt>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WAVG!$D$4:$D$37</c:f>
              <c:numCache>
                <c:formatCode>[$$-409]#,##0.00;[RED]\-[$$-409]#,##0.00</c:formatCode>
                <c:ptCount val="34"/>
                <c:pt idx="0">
                  <c:v>21</c:v>
                </c:pt>
                <c:pt idx="1">
                  <c:v>17.8</c:v>
                </c:pt>
                <c:pt idx="2">
                  <c:v>24.1</c:v>
                </c:pt>
                <c:pt idx="3">
                  <c:v>20.5</c:v>
                </c:pt>
                <c:pt idx="4">
                  <c:v>13.5</c:v>
                </c:pt>
                <c:pt idx="5">
                  <c:v>11.5</c:v>
                </c:pt>
                <c:pt idx="6">
                  <c:v>15.8</c:v>
                </c:pt>
                <c:pt idx="7">
                  <c:v>13.4</c:v>
                </c:pt>
                <c:pt idx="8">
                  <c:v>23</c:v>
                </c:pt>
                <c:pt idx="9">
                  <c:v>19.6</c:v>
                </c:pt>
                <c:pt idx="10">
                  <c:v>23.2</c:v>
                </c:pt>
                <c:pt idx="11">
                  <c:v>19.7</c:v>
                </c:pt>
                <c:pt idx="12">
                  <c:v>20.9</c:v>
                </c:pt>
                <c:pt idx="13">
                  <c:v>17.8</c:v>
                </c:pt>
                <c:pt idx="14">
                  <c:v>15.8</c:v>
                </c:pt>
                <c:pt idx="15">
                  <c:v>13.4</c:v>
                </c:pt>
                <c:pt idx="16">
                  <c:v>27.7</c:v>
                </c:pt>
                <c:pt idx="17">
                  <c:v>23.6</c:v>
                </c:pt>
                <c:pt idx="18">
                  <c:v>39.1</c:v>
                </c:pt>
                <c:pt idx="19">
                  <c:v>33.2</c:v>
                </c:pt>
                <c:pt idx="20">
                  <c:v>50.4</c:v>
                </c:pt>
                <c:pt idx="21">
                  <c:v>42.9</c:v>
                </c:pt>
                <c:pt idx="22">
                  <c:v>24.9</c:v>
                </c:pt>
                <c:pt idx="23">
                  <c:v>21.2</c:v>
                </c:pt>
                <c:pt idx="24">
                  <c:v>39</c:v>
                </c:pt>
                <c:pt idx="25">
                  <c:v>33.1</c:v>
                </c:pt>
                <c:pt idx="26">
                  <c:v>27.3</c:v>
                </c:pt>
                <c:pt idx="27">
                  <c:v>23.2</c:v>
                </c:pt>
                <c:pt idx="28">
                  <c:v>23.3</c:v>
                </c:pt>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WAVG!$E$4:$E$37</c:f>
              <c:numCache>
                <c:formatCode>[$$-409]#,##0.00;[RED]\-[$$-409]#,##0.00</c:formatCode>
                <c:ptCount val="34"/>
                <c:pt idx="0">
                  <c:v>18.2</c:v>
                </c:pt>
                <c:pt idx="1">
                  <c:v>15.5</c:v>
                </c:pt>
                <c:pt idx="2">
                  <c:v>21.5</c:v>
                </c:pt>
                <c:pt idx="3">
                  <c:v>18.3</c:v>
                </c:pt>
                <c:pt idx="4">
                  <c:v>11.7</c:v>
                </c:pt>
                <c:pt idx="5">
                  <c:v>9.9</c:v>
                </c:pt>
                <c:pt idx="6">
                  <c:v>13.8</c:v>
                </c:pt>
                <c:pt idx="7">
                  <c:v>11.7</c:v>
                </c:pt>
                <c:pt idx="8">
                  <c:v>21</c:v>
                </c:pt>
                <c:pt idx="9">
                  <c:v>17.9</c:v>
                </c:pt>
                <c:pt idx="10">
                  <c:v>21.2</c:v>
                </c:pt>
                <c:pt idx="11">
                  <c:v>18</c:v>
                </c:pt>
                <c:pt idx="12">
                  <c:v>18.1</c:v>
                </c:pt>
                <c:pt idx="13">
                  <c:v>15.4</c:v>
                </c:pt>
                <c:pt idx="14">
                  <c:v>13.8</c:v>
                </c:pt>
                <c:pt idx="15">
                  <c:v>11.7</c:v>
                </c:pt>
                <c:pt idx="16">
                  <c:v>25.3</c:v>
                </c:pt>
                <c:pt idx="17">
                  <c:v>21.5</c:v>
                </c:pt>
                <c:pt idx="18">
                  <c:v>35.8</c:v>
                </c:pt>
                <c:pt idx="19">
                  <c:v>30.4</c:v>
                </c:pt>
                <c:pt idx="20">
                  <c:v>46.2</c:v>
                </c:pt>
                <c:pt idx="21">
                  <c:v>39.3</c:v>
                </c:pt>
                <c:pt idx="22">
                  <c:v>22.8</c:v>
                </c:pt>
                <c:pt idx="23">
                  <c:v>19.4</c:v>
                </c:pt>
                <c:pt idx="24">
                  <c:v>35.7</c:v>
                </c:pt>
                <c:pt idx="25">
                  <c:v>30.3</c:v>
                </c:pt>
                <c:pt idx="26">
                  <c:v>25</c:v>
                </c:pt>
                <c:pt idx="27">
                  <c:v>21.2</c:v>
                </c:pt>
                <c:pt idx="28">
                  <c:v>21.3</c:v>
                </c:pt>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1"/>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WAVG!$F$4:$F$37</c:f>
              <c:numCache>
                <c:formatCode>[$$-409]#,##0.00;[RED]\-[$$-409]#,##0.00</c:formatCode>
                <c:ptCount val="34"/>
                <c:pt idx="0">
                  <c:v>22.4</c:v>
                </c:pt>
                <c:pt idx="1">
                  <c:v>19</c:v>
                </c:pt>
                <c:pt idx="2">
                  <c:v>25.9</c:v>
                </c:pt>
                <c:pt idx="3">
                  <c:v>22</c:v>
                </c:pt>
                <c:pt idx="4">
                  <c:v>14.4</c:v>
                </c:pt>
                <c:pt idx="5">
                  <c:v>12.3</c:v>
                </c:pt>
                <c:pt idx="6">
                  <c:v>16.9</c:v>
                </c:pt>
                <c:pt idx="7">
                  <c:v>14.4</c:v>
                </c:pt>
                <c:pt idx="8">
                  <c:v>24.7</c:v>
                </c:pt>
                <c:pt idx="9">
                  <c:v>21</c:v>
                </c:pt>
                <c:pt idx="10">
                  <c:v>24.9</c:v>
                </c:pt>
                <c:pt idx="11">
                  <c:v>21.2</c:v>
                </c:pt>
                <c:pt idx="12">
                  <c:v>22.4</c:v>
                </c:pt>
                <c:pt idx="13">
                  <c:v>19</c:v>
                </c:pt>
                <c:pt idx="14">
                  <c:v>16.9</c:v>
                </c:pt>
                <c:pt idx="15">
                  <c:v>14.4</c:v>
                </c:pt>
                <c:pt idx="16">
                  <c:v>29.8</c:v>
                </c:pt>
                <c:pt idx="17">
                  <c:v>25.3</c:v>
                </c:pt>
                <c:pt idx="18">
                  <c:v>42</c:v>
                </c:pt>
                <c:pt idx="19">
                  <c:v>35.7</c:v>
                </c:pt>
                <c:pt idx="20">
                  <c:v>54.2</c:v>
                </c:pt>
                <c:pt idx="21">
                  <c:v>46</c:v>
                </c:pt>
                <c:pt idx="22">
                  <c:v>26.8</c:v>
                </c:pt>
                <c:pt idx="23">
                  <c:v>22.8</c:v>
                </c:pt>
                <c:pt idx="24">
                  <c:v>41.8</c:v>
                </c:pt>
                <c:pt idx="25">
                  <c:v>35.5</c:v>
                </c:pt>
                <c:pt idx="26">
                  <c:v>29.3</c:v>
                </c:pt>
                <c:pt idx="27">
                  <c:v>24.9</c:v>
                </c:pt>
                <c:pt idx="28">
                  <c:v>25</c:v>
                </c:pt>
              </c:numCache>
            </c:numRef>
          </c:val>
        </c:ser>
        <c:gapWidth val="100"/>
        <c:overlap val="0"/>
        <c:axId val="94019409"/>
        <c:axId val="54570731"/>
      </c:barChart>
      <c:catAx>
        <c:axId val="9401940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55630508641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4570731"/>
        <c:crosses val="autoZero"/>
        <c:auto val="1"/>
        <c:lblAlgn val="ctr"/>
        <c:lblOffset val="100"/>
        <c:noMultiLvlLbl val="0"/>
      </c:catAx>
      <c:valAx>
        <c:axId val="5457073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264165812909"/>
              <c:y val="0.969742478704023"/>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019409"/>
        <c:crosses val="max"/>
        <c:crossBetween val="midCat"/>
        <c:majorUnit val="1"/>
      </c:valAx>
      <c:spPr>
        <a:noFill/>
        <a:ln w="0">
          <a:solidFill>
            <a:srgbClr val="b3b3b3"/>
          </a:solidFill>
        </a:ln>
      </c:spPr>
    </c:plotArea>
    <c:legend>
      <c:legendPos val="r"/>
      <c:layout>
        <c:manualLayout>
          <c:xMode val="edge"/>
          <c:yMode val="edge"/>
          <c:x val="0.80253723110866"/>
          <c:y val="0.0767810546009552"/>
          <c:w val="0.17190024033726"/>
          <c:h val="0.07220403239703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897706675073"/>
          <c:y val="0.0168890639617903"/>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AIAVG!$C$4:$C$37</c:f>
              <c:numCache>
                <c:formatCode>[$$-409]#,##0;[RED]\-[$$-409]#,##0</c:formatCode>
                <c:ptCount val="34"/>
                <c:pt idx="0">
                  <c:v>45614</c:v>
                </c:pt>
                <c:pt idx="1">
                  <c:v>38771</c:v>
                </c:pt>
                <c:pt idx="2">
                  <c:v>52707</c:v>
                </c:pt>
                <c:pt idx="3">
                  <c:v>44771</c:v>
                </c:pt>
                <c:pt idx="4">
                  <c:v>29432</c:v>
                </c:pt>
                <c:pt idx="5">
                  <c:v>25022</c:v>
                </c:pt>
                <c:pt idx="6">
                  <c:v>34507</c:v>
                </c:pt>
                <c:pt idx="7">
                  <c:v>29328</c:v>
                </c:pt>
                <c:pt idx="8">
                  <c:v>50315</c:v>
                </c:pt>
                <c:pt idx="9">
                  <c:v>42765</c:v>
                </c:pt>
                <c:pt idx="10">
                  <c:v>50752</c:v>
                </c:pt>
                <c:pt idx="11">
                  <c:v>43139</c:v>
                </c:pt>
                <c:pt idx="12">
                  <c:v>45635</c:v>
                </c:pt>
                <c:pt idx="13">
                  <c:v>38792</c:v>
                </c:pt>
                <c:pt idx="14">
                  <c:v>34507</c:v>
                </c:pt>
                <c:pt idx="15">
                  <c:v>29328</c:v>
                </c:pt>
                <c:pt idx="16">
                  <c:v>60757</c:v>
                </c:pt>
                <c:pt idx="17">
                  <c:v>51646</c:v>
                </c:pt>
                <c:pt idx="18">
                  <c:v>85613</c:v>
                </c:pt>
                <c:pt idx="19">
                  <c:v>72779</c:v>
                </c:pt>
                <c:pt idx="20">
                  <c:v>110427</c:v>
                </c:pt>
                <c:pt idx="21">
                  <c:v>93870</c:v>
                </c:pt>
                <c:pt idx="22">
                  <c:v>54579</c:v>
                </c:pt>
                <c:pt idx="23">
                  <c:v>46384</c:v>
                </c:pt>
                <c:pt idx="24">
                  <c:v>85280</c:v>
                </c:pt>
                <c:pt idx="25">
                  <c:v>72488</c:v>
                </c:pt>
                <c:pt idx="26">
                  <c:v>59717</c:v>
                </c:pt>
                <c:pt idx="27">
                  <c:v>50752</c:v>
                </c:pt>
                <c:pt idx="28">
                  <c:v>51043</c:v>
                </c:pt>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AIAVG!$D$4:$D37</c:f>
              <c:numCache>
                <c:formatCode>[$$-409]#,##0;[RED]\-[$$-409]#,##0</c:formatCode>
                <c:ptCount val="34"/>
                <c:pt idx="0">
                  <c:v>43680</c:v>
                </c:pt>
                <c:pt idx="1">
                  <c:v>37024</c:v>
                </c:pt>
                <c:pt idx="2">
                  <c:v>50128</c:v>
                </c:pt>
                <c:pt idx="3">
                  <c:v>42640</c:v>
                </c:pt>
                <c:pt idx="4">
                  <c:v>28080</c:v>
                </c:pt>
                <c:pt idx="5">
                  <c:v>23920</c:v>
                </c:pt>
                <c:pt idx="6">
                  <c:v>32864</c:v>
                </c:pt>
                <c:pt idx="7">
                  <c:v>27872</c:v>
                </c:pt>
                <c:pt idx="8">
                  <c:v>47840</c:v>
                </c:pt>
                <c:pt idx="9">
                  <c:v>40768</c:v>
                </c:pt>
                <c:pt idx="10">
                  <c:v>48256</c:v>
                </c:pt>
                <c:pt idx="11">
                  <c:v>40976</c:v>
                </c:pt>
                <c:pt idx="12">
                  <c:v>43472</c:v>
                </c:pt>
                <c:pt idx="13">
                  <c:v>37024</c:v>
                </c:pt>
                <c:pt idx="14">
                  <c:v>32864</c:v>
                </c:pt>
                <c:pt idx="15">
                  <c:v>27872</c:v>
                </c:pt>
                <c:pt idx="16">
                  <c:v>57616</c:v>
                </c:pt>
                <c:pt idx="17">
                  <c:v>49088</c:v>
                </c:pt>
                <c:pt idx="18">
                  <c:v>81328</c:v>
                </c:pt>
                <c:pt idx="19">
                  <c:v>69056</c:v>
                </c:pt>
                <c:pt idx="20">
                  <c:v>104832</c:v>
                </c:pt>
                <c:pt idx="21">
                  <c:v>89232</c:v>
                </c:pt>
                <c:pt idx="22">
                  <c:v>51792</c:v>
                </c:pt>
                <c:pt idx="23">
                  <c:v>44096</c:v>
                </c:pt>
                <c:pt idx="24">
                  <c:v>81120</c:v>
                </c:pt>
                <c:pt idx="25">
                  <c:v>68848</c:v>
                </c:pt>
                <c:pt idx="26">
                  <c:v>56864</c:v>
                </c:pt>
                <c:pt idx="27">
                  <c:v>48256</c:v>
                </c:pt>
                <c:pt idx="28">
                  <c:v>48464</c:v>
                </c:pt>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AIAVG!$E$4:$E$37</c:f>
              <c:numCache>
                <c:formatCode>[$$-409]#,##0;[RED]\-[$$-409]#,##0</c:formatCode>
                <c:ptCount val="34"/>
                <c:pt idx="0">
                  <c:v>37856</c:v>
                </c:pt>
                <c:pt idx="1">
                  <c:v>32240</c:v>
                </c:pt>
                <c:pt idx="2">
                  <c:v>44720</c:v>
                </c:pt>
                <c:pt idx="3">
                  <c:v>38064</c:v>
                </c:pt>
                <c:pt idx="4">
                  <c:v>24336</c:v>
                </c:pt>
                <c:pt idx="5">
                  <c:v>20592</c:v>
                </c:pt>
                <c:pt idx="6">
                  <c:v>28704</c:v>
                </c:pt>
                <c:pt idx="7">
                  <c:v>24336</c:v>
                </c:pt>
                <c:pt idx="8">
                  <c:v>43680</c:v>
                </c:pt>
                <c:pt idx="9">
                  <c:v>37232</c:v>
                </c:pt>
                <c:pt idx="10">
                  <c:v>44100</c:v>
                </c:pt>
                <c:pt idx="11">
                  <c:v>37440</c:v>
                </c:pt>
                <c:pt idx="12">
                  <c:v>37648</c:v>
                </c:pt>
                <c:pt idx="13">
                  <c:v>32032</c:v>
                </c:pt>
                <c:pt idx="14">
                  <c:v>28704</c:v>
                </c:pt>
                <c:pt idx="15">
                  <c:v>24336</c:v>
                </c:pt>
                <c:pt idx="16">
                  <c:v>52624</c:v>
                </c:pt>
                <c:pt idx="17">
                  <c:v>44720</c:v>
                </c:pt>
                <c:pt idx="18">
                  <c:v>74464</c:v>
                </c:pt>
                <c:pt idx="19">
                  <c:v>63232</c:v>
                </c:pt>
                <c:pt idx="20">
                  <c:v>96096</c:v>
                </c:pt>
                <c:pt idx="21">
                  <c:v>81744</c:v>
                </c:pt>
                <c:pt idx="22">
                  <c:v>47424</c:v>
                </c:pt>
                <c:pt idx="23">
                  <c:v>40352</c:v>
                </c:pt>
                <c:pt idx="24">
                  <c:v>74256</c:v>
                </c:pt>
                <c:pt idx="25">
                  <c:v>63024</c:v>
                </c:pt>
                <c:pt idx="26">
                  <c:v>52000</c:v>
                </c:pt>
                <c:pt idx="27">
                  <c:v>44100</c:v>
                </c:pt>
                <c:pt idx="28">
                  <c:v>44280</c:v>
                </c:pt>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AIAVG!$F$4:$F$37</c:f>
              <c:numCache>
                <c:formatCode>[$$-409]#,##0;[RED]\-[$$-409]#,##0</c:formatCode>
                <c:ptCount val="34"/>
                <c:pt idx="0">
                  <c:v>46592</c:v>
                </c:pt>
                <c:pt idx="1">
                  <c:v>39520</c:v>
                </c:pt>
                <c:pt idx="2">
                  <c:v>53872</c:v>
                </c:pt>
                <c:pt idx="3">
                  <c:v>45760</c:v>
                </c:pt>
                <c:pt idx="4">
                  <c:v>29952</c:v>
                </c:pt>
                <c:pt idx="5">
                  <c:v>25584</c:v>
                </c:pt>
                <c:pt idx="6">
                  <c:v>35152</c:v>
                </c:pt>
                <c:pt idx="7">
                  <c:v>29952</c:v>
                </c:pt>
                <c:pt idx="8">
                  <c:v>51376</c:v>
                </c:pt>
                <c:pt idx="9">
                  <c:v>43680</c:v>
                </c:pt>
                <c:pt idx="10">
                  <c:v>51792</c:v>
                </c:pt>
                <c:pt idx="11">
                  <c:v>44096</c:v>
                </c:pt>
                <c:pt idx="12">
                  <c:v>46592</c:v>
                </c:pt>
                <c:pt idx="13">
                  <c:v>39520</c:v>
                </c:pt>
                <c:pt idx="14">
                  <c:v>35152</c:v>
                </c:pt>
                <c:pt idx="15">
                  <c:v>29952</c:v>
                </c:pt>
                <c:pt idx="16">
                  <c:v>61984</c:v>
                </c:pt>
                <c:pt idx="17">
                  <c:v>52624</c:v>
                </c:pt>
                <c:pt idx="18">
                  <c:v>87360</c:v>
                </c:pt>
                <c:pt idx="19">
                  <c:v>74256</c:v>
                </c:pt>
                <c:pt idx="20">
                  <c:v>112736</c:v>
                </c:pt>
                <c:pt idx="21">
                  <c:v>95680</c:v>
                </c:pt>
                <c:pt idx="22">
                  <c:v>55744</c:v>
                </c:pt>
                <c:pt idx="23">
                  <c:v>47424</c:v>
                </c:pt>
                <c:pt idx="24">
                  <c:v>86944</c:v>
                </c:pt>
                <c:pt idx="25">
                  <c:v>73840</c:v>
                </c:pt>
                <c:pt idx="26">
                  <c:v>60944</c:v>
                </c:pt>
                <c:pt idx="27">
                  <c:v>51792</c:v>
                </c:pt>
                <c:pt idx="28">
                  <c:v>52000</c:v>
                </c:pt>
              </c:numCache>
            </c:numRef>
          </c:val>
        </c:ser>
        <c:gapWidth val="100"/>
        <c:overlap val="0"/>
        <c:axId val="42525495"/>
        <c:axId val="72096132"/>
      </c:barChart>
      <c:catAx>
        <c:axId val="4252549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35934807228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096132"/>
        <c:crosses val="autoZero"/>
        <c:auto val="1"/>
        <c:lblAlgn val="ctr"/>
        <c:lblOffset val="100"/>
        <c:noMultiLvlLbl val="0"/>
      </c:catAx>
      <c:valAx>
        <c:axId val="7209613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318464812042"/>
              <c:y val="0.96974247870402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2525495"/>
        <c:crosses val="max"/>
        <c:crossBetween val="midCat"/>
        <c:majorUnit val="1000"/>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57419812436"/>
          <c:y val="0.0114235068196366"/>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FPITREV!$C$4:$C$37</c:f>
              <c:numCache>
                <c:formatCode>[$$-409]#,##0;\-[$$-409]#,##0</c:formatCode>
                <c:ptCount val="34"/>
                <c:pt idx="0">
                  <c:v>1800000</c:v>
                </c:pt>
                <c:pt idx="1">
                  <c:v>900000</c:v>
                </c:pt>
                <c:pt idx="2">
                  <c:v>5000000</c:v>
                </c:pt>
                <c:pt idx="3">
                  <c:v>2500000</c:v>
                </c:pt>
                <c:pt idx="4">
                  <c:v>36000000</c:v>
                </c:pt>
                <c:pt idx="5">
                  <c:v>18000000</c:v>
                </c:pt>
                <c:pt idx="6">
                  <c:v>5200000</c:v>
                </c:pt>
                <c:pt idx="7">
                  <c:v>2600000</c:v>
                </c:pt>
                <c:pt idx="8">
                  <c:v>69000000</c:v>
                </c:pt>
                <c:pt idx="9">
                  <c:v>34500000</c:v>
                </c:pt>
                <c:pt idx="10">
                  <c:v>23000000</c:v>
                </c:pt>
                <c:pt idx="11">
                  <c:v>11500000</c:v>
                </c:pt>
                <c:pt idx="12">
                  <c:v>48000000</c:v>
                </c:pt>
                <c:pt idx="13">
                  <c:v>24000000</c:v>
                </c:pt>
                <c:pt idx="14">
                  <c:v>3300000</c:v>
                </c:pt>
                <c:pt idx="15">
                  <c:v>1650000</c:v>
                </c:pt>
                <c:pt idx="16">
                  <c:v>2700000</c:v>
                </c:pt>
                <c:pt idx="17">
                  <c:v>1350000</c:v>
                </c:pt>
                <c:pt idx="18">
                  <c:v>104000000</c:v>
                </c:pt>
                <c:pt idx="19">
                  <c:v>52000000</c:v>
                </c:pt>
                <c:pt idx="20">
                  <c:v>66000000</c:v>
                </c:pt>
                <c:pt idx="21">
                  <c:v>33000000</c:v>
                </c:pt>
                <c:pt idx="22">
                  <c:v>42000000</c:v>
                </c:pt>
                <c:pt idx="23">
                  <c:v>21000000</c:v>
                </c:pt>
                <c:pt idx="24">
                  <c:v>30000000</c:v>
                </c:pt>
                <c:pt idx="25">
                  <c:v>15000000</c:v>
                </c:pt>
                <c:pt idx="26">
                  <c:v>9000000</c:v>
                </c:pt>
                <c:pt idx="27">
                  <c:v>4500000</c:v>
                </c:pt>
                <c:pt idx="28">
                  <c:v>120000000</c:v>
                </c:pt>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FPITREV!$D$4:$D$37</c:f>
              <c:numCache>
                <c:formatCode>[$$-409]#,##0;\-[$$-409]#,##0</c:formatCode>
                <c:ptCount val="34"/>
                <c:pt idx="0">
                  <c:v>61000</c:v>
                </c:pt>
                <c:pt idx="1">
                  <c:v>30500</c:v>
                </c:pt>
                <c:pt idx="2">
                  <c:v>170000</c:v>
                </c:pt>
                <c:pt idx="3">
                  <c:v>85000</c:v>
                </c:pt>
                <c:pt idx="4">
                  <c:v>1224000</c:v>
                </c:pt>
                <c:pt idx="5">
                  <c:v>612000</c:v>
                </c:pt>
                <c:pt idx="6">
                  <c:v>177000</c:v>
                </c:pt>
                <c:pt idx="7">
                  <c:v>88400</c:v>
                </c:pt>
                <c:pt idx="8">
                  <c:v>2346000</c:v>
                </c:pt>
                <c:pt idx="9">
                  <c:v>1173000</c:v>
                </c:pt>
                <c:pt idx="10">
                  <c:v>782000</c:v>
                </c:pt>
                <c:pt idx="11">
                  <c:v>391000</c:v>
                </c:pt>
                <c:pt idx="12">
                  <c:v>1632000</c:v>
                </c:pt>
                <c:pt idx="13">
                  <c:v>816000</c:v>
                </c:pt>
                <c:pt idx="14">
                  <c:v>112200</c:v>
                </c:pt>
                <c:pt idx="15">
                  <c:v>56100</c:v>
                </c:pt>
                <c:pt idx="16">
                  <c:v>91800</c:v>
                </c:pt>
                <c:pt idx="17">
                  <c:v>45900</c:v>
                </c:pt>
                <c:pt idx="18">
                  <c:v>3536000</c:v>
                </c:pt>
                <c:pt idx="19">
                  <c:v>1768000</c:v>
                </c:pt>
                <c:pt idx="20">
                  <c:v>2244000</c:v>
                </c:pt>
                <c:pt idx="21">
                  <c:v>1122000</c:v>
                </c:pt>
                <c:pt idx="22">
                  <c:v>1428000</c:v>
                </c:pt>
                <c:pt idx="23">
                  <c:v>714000</c:v>
                </c:pt>
                <c:pt idx="24">
                  <c:v>1020000</c:v>
                </c:pt>
                <c:pt idx="25">
                  <c:v>510000</c:v>
                </c:pt>
                <c:pt idx="26">
                  <c:v>306000</c:v>
                </c:pt>
                <c:pt idx="27">
                  <c:v>153000</c:v>
                </c:pt>
                <c:pt idx="28">
                  <c:v>4080000</c:v>
                </c:pt>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FPITREV!$E$4:$E$37</c:f>
              <c:numCache>
                <c:formatCode>[$$-409]#,##0;\-[$$-409]#,##0</c:formatCode>
                <c:ptCount val="34"/>
                <c:pt idx="0">
                  <c:v>98000</c:v>
                </c:pt>
                <c:pt idx="1">
                  <c:v>49000</c:v>
                </c:pt>
                <c:pt idx="2">
                  <c:v>90000</c:v>
                </c:pt>
                <c:pt idx="3">
                  <c:v>45000</c:v>
                </c:pt>
                <c:pt idx="4">
                  <c:v>648000</c:v>
                </c:pt>
                <c:pt idx="5">
                  <c:v>324000</c:v>
                </c:pt>
                <c:pt idx="6">
                  <c:v>93600</c:v>
                </c:pt>
                <c:pt idx="7">
                  <c:v>46800</c:v>
                </c:pt>
                <c:pt idx="8">
                  <c:v>1242000</c:v>
                </c:pt>
                <c:pt idx="9">
                  <c:v>621000</c:v>
                </c:pt>
                <c:pt idx="10">
                  <c:v>414000</c:v>
                </c:pt>
                <c:pt idx="11">
                  <c:v>207000</c:v>
                </c:pt>
                <c:pt idx="12">
                  <c:v>864000</c:v>
                </c:pt>
                <c:pt idx="13">
                  <c:v>432000</c:v>
                </c:pt>
                <c:pt idx="14">
                  <c:v>59400</c:v>
                </c:pt>
                <c:pt idx="15">
                  <c:v>29700</c:v>
                </c:pt>
                <c:pt idx="16">
                  <c:v>48600</c:v>
                </c:pt>
                <c:pt idx="17">
                  <c:v>24300</c:v>
                </c:pt>
                <c:pt idx="18">
                  <c:v>1872000</c:v>
                </c:pt>
                <c:pt idx="19">
                  <c:v>936000</c:v>
                </c:pt>
                <c:pt idx="20">
                  <c:v>1188000</c:v>
                </c:pt>
                <c:pt idx="21">
                  <c:v>594000</c:v>
                </c:pt>
                <c:pt idx="22">
                  <c:v>756000</c:v>
                </c:pt>
                <c:pt idx="23">
                  <c:v>378000</c:v>
                </c:pt>
                <c:pt idx="24">
                  <c:v>540000</c:v>
                </c:pt>
                <c:pt idx="25">
                  <c:v>270000</c:v>
                </c:pt>
                <c:pt idx="26">
                  <c:v>162000</c:v>
                </c:pt>
                <c:pt idx="27">
                  <c:v>81000</c:v>
                </c:pt>
                <c:pt idx="28">
                  <c:v>2160000</c:v>
                </c:pt>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FPITREV!$F$4:$F$37</c:f>
              <c:numCache>
                <c:formatCode>[$$-409]#,##0;\-[$$-409]#,##0</c:formatCode>
                <c:ptCount val="34"/>
                <c:pt idx="0">
                  <c:v>1641000</c:v>
                </c:pt>
                <c:pt idx="1">
                  <c:v>820500</c:v>
                </c:pt>
                <c:pt idx="2">
                  <c:v>4740000</c:v>
                </c:pt>
                <c:pt idx="3">
                  <c:v>2370000</c:v>
                </c:pt>
                <c:pt idx="4">
                  <c:v>34137600</c:v>
                </c:pt>
                <c:pt idx="5">
                  <c:v>17068800</c:v>
                </c:pt>
                <c:pt idx="6">
                  <c:v>4928400</c:v>
                </c:pt>
                <c:pt idx="7">
                  <c:v>2464200</c:v>
                </c:pt>
                <c:pt idx="8">
                  <c:v>65418000</c:v>
                </c:pt>
                <c:pt idx="9">
                  <c:v>32709000</c:v>
                </c:pt>
                <c:pt idx="10">
                  <c:v>21796000</c:v>
                </c:pt>
                <c:pt idx="11">
                  <c:v>10898000</c:v>
                </c:pt>
                <c:pt idx="12">
                  <c:v>45528000</c:v>
                </c:pt>
                <c:pt idx="13">
                  <c:v>22764000</c:v>
                </c:pt>
                <c:pt idx="14">
                  <c:v>3132600</c:v>
                </c:pt>
                <c:pt idx="15">
                  <c:v>1566300</c:v>
                </c:pt>
                <c:pt idx="16">
                  <c:v>2554200</c:v>
                </c:pt>
                <c:pt idx="17">
                  <c:v>1277100</c:v>
                </c:pt>
                <c:pt idx="18">
                  <c:v>98566400</c:v>
                </c:pt>
                <c:pt idx="19">
                  <c:v>49283200</c:v>
                </c:pt>
                <c:pt idx="20">
                  <c:v>62598000</c:v>
                </c:pt>
                <c:pt idx="21">
                  <c:v>31299000</c:v>
                </c:pt>
                <c:pt idx="22">
                  <c:v>39823200</c:v>
                </c:pt>
                <c:pt idx="23">
                  <c:v>19911600</c:v>
                </c:pt>
                <c:pt idx="24">
                  <c:v>28458000</c:v>
                </c:pt>
                <c:pt idx="25">
                  <c:v>14229000</c:v>
                </c:pt>
                <c:pt idx="26">
                  <c:v>8532000</c:v>
                </c:pt>
                <c:pt idx="27">
                  <c:v>4266000</c:v>
                </c:pt>
                <c:pt idx="28">
                  <c:v>113520000</c:v>
                </c:pt>
              </c:numCache>
            </c:numRef>
          </c:val>
        </c:ser>
        <c:gapWidth val="100"/>
        <c:overlap val="0"/>
        <c:axId val="31672592"/>
        <c:axId val="90760870"/>
      </c:barChart>
      <c:catAx>
        <c:axId val="3167259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35934807228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760870"/>
        <c:crosses val="autoZero"/>
        <c:auto val="1"/>
        <c:lblAlgn val="ctr"/>
        <c:lblOffset val="100"/>
        <c:noMultiLvlLbl val="0"/>
      </c:catAx>
      <c:valAx>
        <c:axId val="9076087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382378438017"/>
              <c:y val="0.96974247870402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1672592"/>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Payroll Tax Revenue</a:t>
            </a:r>
          </a:p>
        </c:rich>
      </c:tx>
      <c:layout>
        <c:manualLayout>
          <c:xMode val="edge"/>
          <c:yMode val="edge"/>
          <c:x val="0.26117109307274"/>
          <c:y val="0.0114235068196366"/>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FPPTREV!$C$4:$C$37</c:f>
              <c:numCache>
                <c:formatCode>[$$-409]#,##0;\-[$$-409]#,##0</c:formatCode>
                <c:ptCount val="34"/>
                <c:pt idx="0">
                  <c:v>1800000</c:v>
                </c:pt>
                <c:pt idx="1">
                  <c:v>900000</c:v>
                </c:pt>
                <c:pt idx="2">
                  <c:v>5000000</c:v>
                </c:pt>
                <c:pt idx="3">
                  <c:v>2500000</c:v>
                </c:pt>
                <c:pt idx="4">
                  <c:v>36000000</c:v>
                </c:pt>
                <c:pt idx="5">
                  <c:v>18000000</c:v>
                </c:pt>
                <c:pt idx="6">
                  <c:v>5200000</c:v>
                </c:pt>
                <c:pt idx="7">
                  <c:v>2600000</c:v>
                </c:pt>
                <c:pt idx="8">
                  <c:v>69000000</c:v>
                </c:pt>
                <c:pt idx="9">
                  <c:v>34500000</c:v>
                </c:pt>
                <c:pt idx="10">
                  <c:v>23000000</c:v>
                </c:pt>
                <c:pt idx="11">
                  <c:v>11500000</c:v>
                </c:pt>
                <c:pt idx="12">
                  <c:v>48000000</c:v>
                </c:pt>
                <c:pt idx="13">
                  <c:v>24000000</c:v>
                </c:pt>
                <c:pt idx="14">
                  <c:v>3300000</c:v>
                </c:pt>
                <c:pt idx="15">
                  <c:v>1650000</c:v>
                </c:pt>
                <c:pt idx="16">
                  <c:v>2700000</c:v>
                </c:pt>
                <c:pt idx="17">
                  <c:v>1350000</c:v>
                </c:pt>
                <c:pt idx="18">
                  <c:v>104000000</c:v>
                </c:pt>
                <c:pt idx="19">
                  <c:v>52000000</c:v>
                </c:pt>
                <c:pt idx="20">
                  <c:v>66000000</c:v>
                </c:pt>
                <c:pt idx="21">
                  <c:v>33000000</c:v>
                </c:pt>
                <c:pt idx="22">
                  <c:v>42000000</c:v>
                </c:pt>
                <c:pt idx="23">
                  <c:v>21000000</c:v>
                </c:pt>
                <c:pt idx="24">
                  <c:v>30000000</c:v>
                </c:pt>
                <c:pt idx="25">
                  <c:v>15000000</c:v>
                </c:pt>
                <c:pt idx="26">
                  <c:v>9000000</c:v>
                </c:pt>
                <c:pt idx="27">
                  <c:v>4500000</c:v>
                </c:pt>
                <c:pt idx="28">
                  <c:v>120000000</c:v>
                </c:pt>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FPPTREV!$D$4:$D$37</c:f>
              <c:numCache>
                <c:formatCode>[$$-409]#,##0;\-[$$-409]#,##0</c:formatCode>
                <c:ptCount val="34"/>
                <c:pt idx="0">
                  <c:v>61000</c:v>
                </c:pt>
                <c:pt idx="1">
                  <c:v>30500</c:v>
                </c:pt>
                <c:pt idx="2">
                  <c:v>170000</c:v>
                </c:pt>
                <c:pt idx="3">
                  <c:v>85000</c:v>
                </c:pt>
                <c:pt idx="4">
                  <c:v>1224000</c:v>
                </c:pt>
                <c:pt idx="5">
                  <c:v>612000</c:v>
                </c:pt>
                <c:pt idx="6">
                  <c:v>177000</c:v>
                </c:pt>
                <c:pt idx="7">
                  <c:v>88400</c:v>
                </c:pt>
                <c:pt idx="8">
                  <c:v>2346000</c:v>
                </c:pt>
                <c:pt idx="9">
                  <c:v>1173000</c:v>
                </c:pt>
                <c:pt idx="10">
                  <c:v>782000</c:v>
                </c:pt>
                <c:pt idx="11">
                  <c:v>391000</c:v>
                </c:pt>
                <c:pt idx="12">
                  <c:v>1632000</c:v>
                </c:pt>
                <c:pt idx="13">
                  <c:v>816000</c:v>
                </c:pt>
                <c:pt idx="14">
                  <c:v>112200</c:v>
                </c:pt>
                <c:pt idx="15">
                  <c:v>56100</c:v>
                </c:pt>
                <c:pt idx="16">
                  <c:v>91800</c:v>
                </c:pt>
                <c:pt idx="17">
                  <c:v>45900</c:v>
                </c:pt>
                <c:pt idx="18">
                  <c:v>3536000</c:v>
                </c:pt>
                <c:pt idx="19">
                  <c:v>1768000</c:v>
                </c:pt>
                <c:pt idx="20">
                  <c:v>2244000</c:v>
                </c:pt>
                <c:pt idx="21">
                  <c:v>1122000</c:v>
                </c:pt>
                <c:pt idx="22">
                  <c:v>1428000</c:v>
                </c:pt>
                <c:pt idx="23">
                  <c:v>714000</c:v>
                </c:pt>
                <c:pt idx="24">
                  <c:v>1020000</c:v>
                </c:pt>
                <c:pt idx="25">
                  <c:v>510000</c:v>
                </c:pt>
                <c:pt idx="26">
                  <c:v>306000</c:v>
                </c:pt>
                <c:pt idx="27">
                  <c:v>153000</c:v>
                </c:pt>
                <c:pt idx="28">
                  <c:v>4080000</c:v>
                </c:pt>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FPPTREV!$E$4:$E$37</c:f>
              <c:numCache>
                <c:formatCode>[$$-409]#,##0;\-[$$-409]#,##0</c:formatCode>
                <c:ptCount val="34"/>
                <c:pt idx="0">
                  <c:v>98000</c:v>
                </c:pt>
                <c:pt idx="1">
                  <c:v>49000</c:v>
                </c:pt>
                <c:pt idx="2">
                  <c:v>90000</c:v>
                </c:pt>
                <c:pt idx="3">
                  <c:v>45000</c:v>
                </c:pt>
                <c:pt idx="4">
                  <c:v>648000</c:v>
                </c:pt>
                <c:pt idx="5">
                  <c:v>324000</c:v>
                </c:pt>
                <c:pt idx="6">
                  <c:v>93600</c:v>
                </c:pt>
                <c:pt idx="7">
                  <c:v>46800</c:v>
                </c:pt>
                <c:pt idx="8">
                  <c:v>1242000</c:v>
                </c:pt>
                <c:pt idx="9">
                  <c:v>621000</c:v>
                </c:pt>
                <c:pt idx="10">
                  <c:v>414000</c:v>
                </c:pt>
                <c:pt idx="11">
                  <c:v>207000</c:v>
                </c:pt>
                <c:pt idx="12">
                  <c:v>864000</c:v>
                </c:pt>
                <c:pt idx="13">
                  <c:v>432000</c:v>
                </c:pt>
                <c:pt idx="14">
                  <c:v>59400</c:v>
                </c:pt>
                <c:pt idx="15">
                  <c:v>29700</c:v>
                </c:pt>
                <c:pt idx="16">
                  <c:v>48600</c:v>
                </c:pt>
                <c:pt idx="17">
                  <c:v>24300</c:v>
                </c:pt>
                <c:pt idx="18">
                  <c:v>1872000</c:v>
                </c:pt>
                <c:pt idx="19">
                  <c:v>936000</c:v>
                </c:pt>
                <c:pt idx="20">
                  <c:v>1188000</c:v>
                </c:pt>
                <c:pt idx="21">
                  <c:v>594000</c:v>
                </c:pt>
                <c:pt idx="22">
                  <c:v>756000</c:v>
                </c:pt>
                <c:pt idx="23">
                  <c:v>378000</c:v>
                </c:pt>
                <c:pt idx="24">
                  <c:v>540000</c:v>
                </c:pt>
                <c:pt idx="25">
                  <c:v>270000</c:v>
                </c:pt>
                <c:pt idx="26">
                  <c:v>162000</c:v>
                </c:pt>
                <c:pt idx="27">
                  <c:v>81000</c:v>
                </c:pt>
                <c:pt idx="28">
                  <c:v>2160000</c:v>
                </c:pt>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FPPTREV!$F$4:$F$37</c:f>
              <c:numCache>
                <c:formatCode>[$$-409]#,##0;\-[$$-409]#,##0</c:formatCode>
                <c:ptCount val="34"/>
                <c:pt idx="0">
                  <c:v>1641000</c:v>
                </c:pt>
                <c:pt idx="1">
                  <c:v>820500</c:v>
                </c:pt>
                <c:pt idx="2">
                  <c:v>4740000</c:v>
                </c:pt>
                <c:pt idx="3">
                  <c:v>2370000</c:v>
                </c:pt>
                <c:pt idx="4">
                  <c:v>34137600</c:v>
                </c:pt>
                <c:pt idx="5">
                  <c:v>17068800</c:v>
                </c:pt>
                <c:pt idx="6">
                  <c:v>4928400</c:v>
                </c:pt>
                <c:pt idx="7">
                  <c:v>2464200</c:v>
                </c:pt>
                <c:pt idx="8">
                  <c:v>65418000</c:v>
                </c:pt>
                <c:pt idx="9">
                  <c:v>32709000</c:v>
                </c:pt>
                <c:pt idx="10">
                  <c:v>21796000</c:v>
                </c:pt>
                <c:pt idx="11">
                  <c:v>10898000</c:v>
                </c:pt>
                <c:pt idx="12">
                  <c:v>45528000</c:v>
                </c:pt>
                <c:pt idx="13">
                  <c:v>22764000</c:v>
                </c:pt>
                <c:pt idx="14">
                  <c:v>3132600</c:v>
                </c:pt>
                <c:pt idx="15">
                  <c:v>1566300</c:v>
                </c:pt>
                <c:pt idx="16">
                  <c:v>2554200</c:v>
                </c:pt>
                <c:pt idx="17">
                  <c:v>1277100</c:v>
                </c:pt>
                <c:pt idx="18">
                  <c:v>98566400</c:v>
                </c:pt>
                <c:pt idx="19">
                  <c:v>49283200</c:v>
                </c:pt>
                <c:pt idx="20">
                  <c:v>62598000</c:v>
                </c:pt>
                <c:pt idx="21">
                  <c:v>31299000</c:v>
                </c:pt>
                <c:pt idx="22">
                  <c:v>39823200</c:v>
                </c:pt>
                <c:pt idx="23">
                  <c:v>19911600</c:v>
                </c:pt>
                <c:pt idx="24">
                  <c:v>28458000</c:v>
                </c:pt>
                <c:pt idx="25">
                  <c:v>14229000</c:v>
                </c:pt>
                <c:pt idx="26">
                  <c:v>8532000</c:v>
                </c:pt>
                <c:pt idx="27">
                  <c:v>4266000</c:v>
                </c:pt>
                <c:pt idx="28">
                  <c:v>113520000</c:v>
                </c:pt>
              </c:numCache>
            </c:numRef>
          </c:val>
        </c:ser>
        <c:gapWidth val="100"/>
        <c:overlap val="0"/>
        <c:axId val="72312404"/>
        <c:axId val="27734533"/>
      </c:barChart>
      <c:catAx>
        <c:axId val="7231240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23624993845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734533"/>
        <c:crosses val="autoZero"/>
        <c:auto val="1"/>
        <c:lblAlgn val="ctr"/>
        <c:lblOffset val="100"/>
        <c:noMultiLvlLbl val="0"/>
      </c:catAx>
      <c:valAx>
        <c:axId val="2773453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2579399479864"/>
              <c:y val="0.96974247870402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312404"/>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4345496098983"/>
          <c:y val="0.0114235068196366"/>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EITCREF!$C$4:$C$37</c:f>
              <c:numCache>
                <c:formatCode>[$$-409]#,##0;\-[$$-409]#,##0</c:formatCode>
                <c:ptCount val="34"/>
                <c:pt idx="0">
                  <c:v>90000</c:v>
                </c:pt>
                <c:pt idx="1">
                  <c:v>45000</c:v>
                </c:pt>
                <c:pt idx="2">
                  <c:v>500000</c:v>
                </c:pt>
                <c:pt idx="3">
                  <c:v>250000</c:v>
                </c:pt>
                <c:pt idx="4">
                  <c:v>1800000</c:v>
                </c:pt>
                <c:pt idx="5">
                  <c:v>900000</c:v>
                </c:pt>
                <c:pt idx="6">
                  <c:v>650000</c:v>
                </c:pt>
                <c:pt idx="7">
                  <c:v>325000</c:v>
                </c:pt>
                <c:pt idx="8">
                  <c:v>2700000</c:v>
                </c:pt>
                <c:pt idx="9">
                  <c:v>1350000</c:v>
                </c:pt>
                <c:pt idx="10">
                  <c:v>900000</c:v>
                </c:pt>
                <c:pt idx="11">
                  <c:v>450000</c:v>
                </c:pt>
                <c:pt idx="12">
                  <c:v>2400000</c:v>
                </c:pt>
                <c:pt idx="13">
                  <c:v>1200000</c:v>
                </c:pt>
                <c:pt idx="14">
                  <c:v>330000</c:v>
                </c:pt>
                <c:pt idx="15">
                  <c:v>165000</c:v>
                </c:pt>
                <c:pt idx="16">
                  <c:v>270000</c:v>
                </c:pt>
                <c:pt idx="17">
                  <c:v>135000</c:v>
                </c:pt>
                <c:pt idx="18">
                  <c:v>5200000</c:v>
                </c:pt>
                <c:pt idx="19">
                  <c:v>2600000</c:v>
                </c:pt>
                <c:pt idx="20">
                  <c:v>3300000</c:v>
                </c:pt>
                <c:pt idx="21">
                  <c:v>1650000</c:v>
                </c:pt>
                <c:pt idx="22">
                  <c:v>2100000</c:v>
                </c:pt>
                <c:pt idx="23">
                  <c:v>1050000</c:v>
                </c:pt>
                <c:pt idx="24">
                  <c:v>1500000</c:v>
                </c:pt>
                <c:pt idx="25">
                  <c:v>750000</c:v>
                </c:pt>
                <c:pt idx="26">
                  <c:v>450000</c:v>
                </c:pt>
                <c:pt idx="27">
                  <c:v>225000</c:v>
                </c:pt>
                <c:pt idx="28">
                  <c:v>6000000</c:v>
                </c:pt>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EITCREF!$D$4:$D$37</c:f>
              <c:numCache>
                <c:formatCode>[$$-409]#,##0;\-[$$-409]#,##0</c:formatCode>
                <c:ptCount val="34"/>
                <c:pt idx="0">
                  <c:v>18000</c:v>
                </c:pt>
                <c:pt idx="1">
                  <c:v>9000</c:v>
                </c:pt>
                <c:pt idx="2">
                  <c:v>100000</c:v>
                </c:pt>
                <c:pt idx="3">
                  <c:v>50000</c:v>
                </c:pt>
                <c:pt idx="4">
                  <c:v>360000</c:v>
                </c:pt>
                <c:pt idx="5">
                  <c:v>180000</c:v>
                </c:pt>
                <c:pt idx="6">
                  <c:v>130000</c:v>
                </c:pt>
                <c:pt idx="7">
                  <c:v>65000</c:v>
                </c:pt>
                <c:pt idx="8">
                  <c:v>540000</c:v>
                </c:pt>
                <c:pt idx="9">
                  <c:v>270000</c:v>
                </c:pt>
                <c:pt idx="10">
                  <c:v>180000</c:v>
                </c:pt>
                <c:pt idx="11">
                  <c:v>90000</c:v>
                </c:pt>
                <c:pt idx="12">
                  <c:v>480000</c:v>
                </c:pt>
                <c:pt idx="13">
                  <c:v>240000</c:v>
                </c:pt>
                <c:pt idx="14">
                  <c:v>66000</c:v>
                </c:pt>
                <c:pt idx="15">
                  <c:v>33000</c:v>
                </c:pt>
                <c:pt idx="16">
                  <c:v>54000</c:v>
                </c:pt>
                <c:pt idx="17">
                  <c:v>27000</c:v>
                </c:pt>
                <c:pt idx="18">
                  <c:v>1040000</c:v>
                </c:pt>
                <c:pt idx="19">
                  <c:v>520000</c:v>
                </c:pt>
                <c:pt idx="20">
                  <c:v>660000</c:v>
                </c:pt>
                <c:pt idx="21">
                  <c:v>330000</c:v>
                </c:pt>
                <c:pt idx="22">
                  <c:v>420000</c:v>
                </c:pt>
                <c:pt idx="23">
                  <c:v>210000</c:v>
                </c:pt>
                <c:pt idx="24">
                  <c:v>300000</c:v>
                </c:pt>
                <c:pt idx="25">
                  <c:v>150000</c:v>
                </c:pt>
                <c:pt idx="26">
                  <c:v>90000</c:v>
                </c:pt>
                <c:pt idx="27">
                  <c:v>45000</c:v>
                </c:pt>
                <c:pt idx="28">
                  <c:v>1200000</c:v>
                </c:pt>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EITCREF!$E$4:$E$37</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numCache>
            </c:numRef>
          </c:val>
        </c:ser>
        <c:ser>
          <c:idx val="3"/>
          <c:order val="3"/>
          <c:tx>
            <c:strRef>
              <c:f>EITCREF!$F$2</c:f>
              <c:strCache>
                <c:ptCount val="1"/>
                <c:pt idx="0">
                  <c:v>American Effective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EITCREF!$F$4:$F$37</c:f>
              <c:numCache>
                <c:formatCode>[$$-409]#,##0;\-[$$-409]#,##0</c:formatCode>
                <c:ptCount val="34"/>
                <c:pt idx="0">
                  <c:v>72000</c:v>
                </c:pt>
                <c:pt idx="1">
                  <c:v>36000</c:v>
                </c:pt>
                <c:pt idx="2">
                  <c:v>400000</c:v>
                </c:pt>
                <c:pt idx="3">
                  <c:v>200000</c:v>
                </c:pt>
                <c:pt idx="4">
                  <c:v>1440000</c:v>
                </c:pt>
                <c:pt idx="5">
                  <c:v>720000</c:v>
                </c:pt>
                <c:pt idx="6">
                  <c:v>520000</c:v>
                </c:pt>
                <c:pt idx="7">
                  <c:v>260000</c:v>
                </c:pt>
                <c:pt idx="8">
                  <c:v>2160000</c:v>
                </c:pt>
                <c:pt idx="9">
                  <c:v>1080000</c:v>
                </c:pt>
                <c:pt idx="10">
                  <c:v>720000</c:v>
                </c:pt>
                <c:pt idx="11">
                  <c:v>360000</c:v>
                </c:pt>
                <c:pt idx="12">
                  <c:v>1920000</c:v>
                </c:pt>
                <c:pt idx="13">
                  <c:v>960000</c:v>
                </c:pt>
                <c:pt idx="14">
                  <c:v>264000</c:v>
                </c:pt>
                <c:pt idx="15">
                  <c:v>132000</c:v>
                </c:pt>
                <c:pt idx="16">
                  <c:v>216000</c:v>
                </c:pt>
                <c:pt idx="17">
                  <c:v>108000</c:v>
                </c:pt>
                <c:pt idx="18">
                  <c:v>4160000</c:v>
                </c:pt>
                <c:pt idx="19">
                  <c:v>2080000</c:v>
                </c:pt>
                <c:pt idx="20">
                  <c:v>2640000</c:v>
                </c:pt>
                <c:pt idx="21">
                  <c:v>1320000</c:v>
                </c:pt>
                <c:pt idx="22">
                  <c:v>1680000</c:v>
                </c:pt>
                <c:pt idx="23">
                  <c:v>840000</c:v>
                </c:pt>
                <c:pt idx="24">
                  <c:v>1200000</c:v>
                </c:pt>
                <c:pt idx="25">
                  <c:v>600000</c:v>
                </c:pt>
                <c:pt idx="26">
                  <c:v>360000</c:v>
                </c:pt>
                <c:pt idx="27">
                  <c:v>180000</c:v>
                </c:pt>
                <c:pt idx="28">
                  <c:v>4800000</c:v>
                </c:pt>
              </c:numCache>
            </c:numRef>
          </c:val>
        </c:ser>
        <c:gapWidth val="100"/>
        <c:overlap val="0"/>
        <c:axId val="27633766"/>
        <c:axId val="24565698"/>
      </c:barChart>
      <c:catAx>
        <c:axId val="2763376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21163031168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4565698"/>
        <c:crosses val="autoZero"/>
        <c:auto val="1"/>
        <c:lblAlgn val="ctr"/>
        <c:lblOffset val="100"/>
        <c:noMultiLvlLbl val="0"/>
      </c:catAx>
      <c:valAx>
        <c:axId val="2456569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618803688234"/>
              <c:y val="0.96974247870402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633766"/>
        <c:crosses val="max"/>
        <c:crossBetween val="midCat"/>
        <c:majorUnit val="100000"/>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281582473008"/>
          <c:y val="0.0114235068196366"/>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ACTCREF!$C$2</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ACTCREF!$C$4:$C$37</c:f>
              <c:numCache>
                <c:formatCode>[$$-409]#,##0;\-[$$-409]#,##0</c:formatCode>
                <c:ptCount val="34"/>
                <c:pt idx="0">
                  <c:v>45000</c:v>
                </c:pt>
                <c:pt idx="1">
                  <c:v>22500</c:v>
                </c:pt>
                <c:pt idx="2">
                  <c:v>250000</c:v>
                </c:pt>
                <c:pt idx="3">
                  <c:v>125000</c:v>
                </c:pt>
                <c:pt idx="4">
                  <c:v>900000</c:v>
                </c:pt>
                <c:pt idx="5">
                  <c:v>450000</c:v>
                </c:pt>
                <c:pt idx="6">
                  <c:v>325000</c:v>
                </c:pt>
                <c:pt idx="7">
                  <c:v>162500</c:v>
                </c:pt>
                <c:pt idx="8">
                  <c:v>1350000</c:v>
                </c:pt>
                <c:pt idx="9">
                  <c:v>675000</c:v>
                </c:pt>
                <c:pt idx="10">
                  <c:v>450000</c:v>
                </c:pt>
                <c:pt idx="11">
                  <c:v>225000</c:v>
                </c:pt>
                <c:pt idx="12">
                  <c:v>1200000</c:v>
                </c:pt>
                <c:pt idx="13">
                  <c:v>600000</c:v>
                </c:pt>
                <c:pt idx="14">
                  <c:v>165000</c:v>
                </c:pt>
                <c:pt idx="15">
                  <c:v>82500</c:v>
                </c:pt>
                <c:pt idx="16">
                  <c:v>135000</c:v>
                </c:pt>
                <c:pt idx="17">
                  <c:v>67500</c:v>
                </c:pt>
                <c:pt idx="18">
                  <c:v>2600000</c:v>
                </c:pt>
                <c:pt idx="19">
                  <c:v>1300000</c:v>
                </c:pt>
                <c:pt idx="20">
                  <c:v>1650000</c:v>
                </c:pt>
                <c:pt idx="21">
                  <c:v>825000</c:v>
                </c:pt>
                <c:pt idx="22">
                  <c:v>1050000</c:v>
                </c:pt>
                <c:pt idx="23">
                  <c:v>525000</c:v>
                </c:pt>
                <c:pt idx="24">
                  <c:v>750000</c:v>
                </c:pt>
                <c:pt idx="25">
                  <c:v>375000</c:v>
                </c:pt>
                <c:pt idx="26">
                  <c:v>225000</c:v>
                </c:pt>
                <c:pt idx="27">
                  <c:v>112500</c:v>
                </c:pt>
                <c:pt idx="28">
                  <c:v>3000000</c:v>
                </c:pt>
              </c:numCache>
            </c:numRef>
          </c:val>
        </c:ser>
        <c:ser>
          <c:idx val="1"/>
          <c:order val="1"/>
          <c:tx>
            <c:strRef>
              <c:f>ACTCREF!$D$2</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ACTCREF!$D$4:$D$37</c:f>
              <c:numCache>
                <c:formatCode>[$$-409]#,##0;\-[$$-409]#,##0</c:formatCode>
                <c:ptCount val="34"/>
                <c:pt idx="0">
                  <c:v>9000</c:v>
                </c:pt>
                <c:pt idx="1">
                  <c:v>4500</c:v>
                </c:pt>
                <c:pt idx="2">
                  <c:v>50000</c:v>
                </c:pt>
                <c:pt idx="3">
                  <c:v>25000</c:v>
                </c:pt>
                <c:pt idx="4">
                  <c:v>180000</c:v>
                </c:pt>
                <c:pt idx="5">
                  <c:v>90000</c:v>
                </c:pt>
                <c:pt idx="6">
                  <c:v>65000</c:v>
                </c:pt>
                <c:pt idx="7">
                  <c:v>32500</c:v>
                </c:pt>
                <c:pt idx="8">
                  <c:v>270000</c:v>
                </c:pt>
                <c:pt idx="9">
                  <c:v>135000</c:v>
                </c:pt>
                <c:pt idx="10">
                  <c:v>90000</c:v>
                </c:pt>
                <c:pt idx="11">
                  <c:v>45000</c:v>
                </c:pt>
                <c:pt idx="12">
                  <c:v>240000</c:v>
                </c:pt>
                <c:pt idx="13">
                  <c:v>120000</c:v>
                </c:pt>
                <c:pt idx="14">
                  <c:v>33000</c:v>
                </c:pt>
                <c:pt idx="15">
                  <c:v>16500</c:v>
                </c:pt>
                <c:pt idx="16">
                  <c:v>27000</c:v>
                </c:pt>
                <c:pt idx="17">
                  <c:v>13500</c:v>
                </c:pt>
                <c:pt idx="18">
                  <c:v>520000</c:v>
                </c:pt>
                <c:pt idx="19">
                  <c:v>260000</c:v>
                </c:pt>
                <c:pt idx="20">
                  <c:v>330000</c:v>
                </c:pt>
                <c:pt idx="21">
                  <c:v>165000</c:v>
                </c:pt>
                <c:pt idx="22">
                  <c:v>210000</c:v>
                </c:pt>
                <c:pt idx="23">
                  <c:v>105000</c:v>
                </c:pt>
                <c:pt idx="24">
                  <c:v>150000</c:v>
                </c:pt>
                <c:pt idx="25">
                  <c:v>75000</c:v>
                </c:pt>
                <c:pt idx="26">
                  <c:v>45000</c:v>
                </c:pt>
                <c:pt idx="27">
                  <c:v>22500</c:v>
                </c:pt>
                <c:pt idx="28">
                  <c:v>600000</c:v>
                </c:pt>
              </c:numCache>
            </c:numRef>
          </c:val>
        </c:ser>
        <c:ser>
          <c:idx val="2"/>
          <c:order val="2"/>
          <c:tx>
            <c:strRef>
              <c:f>ACTCREF!$E$2</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ACTCREF!$E$4:$E$37</c:f>
              <c:numCache>
                <c:formatCode>[$$-409]#,##0;\-[$$-409]#,##0</c:formatCode>
                <c:ptCount val="34"/>
                <c:pt idx="0">
                  <c:v>18000</c:v>
                </c:pt>
                <c:pt idx="1">
                  <c:v>9000</c:v>
                </c:pt>
                <c:pt idx="2">
                  <c:v>50000</c:v>
                </c:pt>
                <c:pt idx="3">
                  <c:v>25000</c:v>
                </c:pt>
                <c:pt idx="4">
                  <c:v>180000</c:v>
                </c:pt>
                <c:pt idx="5">
                  <c:v>90000</c:v>
                </c:pt>
                <c:pt idx="6">
                  <c:v>65000</c:v>
                </c:pt>
                <c:pt idx="7">
                  <c:v>32500</c:v>
                </c:pt>
                <c:pt idx="8">
                  <c:v>135000</c:v>
                </c:pt>
                <c:pt idx="9">
                  <c:v>67500</c:v>
                </c:pt>
                <c:pt idx="10">
                  <c:v>90000</c:v>
                </c:pt>
                <c:pt idx="11">
                  <c:v>45000</c:v>
                </c:pt>
                <c:pt idx="12">
                  <c:v>240000</c:v>
                </c:pt>
                <c:pt idx="13">
                  <c:v>120000</c:v>
                </c:pt>
                <c:pt idx="14">
                  <c:v>33000</c:v>
                </c:pt>
                <c:pt idx="15">
                  <c:v>16500</c:v>
                </c:pt>
                <c:pt idx="16">
                  <c:v>27000</c:v>
                </c:pt>
                <c:pt idx="17">
                  <c:v>13500</c:v>
                </c:pt>
                <c:pt idx="18">
                  <c:v>520000</c:v>
                </c:pt>
                <c:pt idx="19">
                  <c:v>260000</c:v>
                </c:pt>
                <c:pt idx="20">
                  <c:v>330000</c:v>
                </c:pt>
                <c:pt idx="21">
                  <c:v>165000</c:v>
                </c:pt>
                <c:pt idx="22">
                  <c:v>210000</c:v>
                </c:pt>
                <c:pt idx="23">
                  <c:v>105000</c:v>
                </c:pt>
                <c:pt idx="24">
                  <c:v>150000</c:v>
                </c:pt>
                <c:pt idx="25">
                  <c:v>75000</c:v>
                </c:pt>
                <c:pt idx="26">
                  <c:v>45000</c:v>
                </c:pt>
                <c:pt idx="27">
                  <c:v>22500</c:v>
                </c:pt>
                <c:pt idx="28">
                  <c:v>600000</c:v>
                </c:pt>
              </c:numCache>
            </c:numRef>
          </c:val>
        </c:ser>
        <c:ser>
          <c:idx val="3"/>
          <c:order val="3"/>
          <c:tx>
            <c:strRef>
              <c:f>ACTCREF!$F$2</c:f>
              <c:strCache>
                <c:ptCount val="1"/>
                <c:pt idx="0">
                  <c:v>American Effective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ACTCREF!$F$4:$F$37</c:f>
              <c:numCache>
                <c:formatCode>[$$-409]#,##0;\-[$$-409]#,##0</c:formatCode>
                <c:ptCount val="34"/>
                <c:pt idx="0">
                  <c:v>54000</c:v>
                </c:pt>
                <c:pt idx="1">
                  <c:v>27000</c:v>
                </c:pt>
                <c:pt idx="2">
                  <c:v>150000</c:v>
                </c:pt>
                <c:pt idx="3">
                  <c:v>75000</c:v>
                </c:pt>
                <c:pt idx="4">
                  <c:v>540000</c:v>
                </c:pt>
                <c:pt idx="5">
                  <c:v>270000</c:v>
                </c:pt>
                <c:pt idx="6">
                  <c:v>195000</c:v>
                </c:pt>
                <c:pt idx="7">
                  <c:v>97500</c:v>
                </c:pt>
                <c:pt idx="8">
                  <c:v>405000</c:v>
                </c:pt>
                <c:pt idx="9">
                  <c:v>202500</c:v>
                </c:pt>
                <c:pt idx="10">
                  <c:v>270000</c:v>
                </c:pt>
                <c:pt idx="11">
                  <c:v>135000</c:v>
                </c:pt>
                <c:pt idx="12">
                  <c:v>720000</c:v>
                </c:pt>
                <c:pt idx="13">
                  <c:v>360000</c:v>
                </c:pt>
                <c:pt idx="14">
                  <c:v>99000</c:v>
                </c:pt>
                <c:pt idx="15">
                  <c:v>49500</c:v>
                </c:pt>
                <c:pt idx="16">
                  <c:v>81000</c:v>
                </c:pt>
                <c:pt idx="17">
                  <c:v>40500</c:v>
                </c:pt>
                <c:pt idx="18">
                  <c:v>1560000</c:v>
                </c:pt>
                <c:pt idx="19">
                  <c:v>780000</c:v>
                </c:pt>
                <c:pt idx="20">
                  <c:v>990000</c:v>
                </c:pt>
                <c:pt idx="21">
                  <c:v>495000</c:v>
                </c:pt>
                <c:pt idx="22">
                  <c:v>630000</c:v>
                </c:pt>
                <c:pt idx="23">
                  <c:v>315000</c:v>
                </c:pt>
                <c:pt idx="24">
                  <c:v>450000</c:v>
                </c:pt>
                <c:pt idx="25">
                  <c:v>225000</c:v>
                </c:pt>
                <c:pt idx="26">
                  <c:v>135000</c:v>
                </c:pt>
                <c:pt idx="27">
                  <c:v>67500</c:v>
                </c:pt>
                <c:pt idx="28">
                  <c:v>1800000</c:v>
                </c:pt>
              </c:numCache>
            </c:numRef>
          </c:val>
        </c:ser>
        <c:gapWidth val="100"/>
        <c:overlap val="0"/>
        <c:axId val="7819581"/>
        <c:axId val="7308598"/>
      </c:barChart>
      <c:catAx>
        <c:axId val="781958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0885321778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08598"/>
        <c:crosses val="autoZero"/>
        <c:auto val="1"/>
        <c:lblAlgn val="ctr"/>
        <c:lblOffset val="100"/>
        <c:noMultiLvlLbl val="0"/>
      </c:catAx>
      <c:valAx>
        <c:axId val="730859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554890062259"/>
              <c:y val="0.96974247870402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19581"/>
        <c:crosses val="max"/>
        <c:crossBetween val="midCat"/>
        <c:majorUnit val="100000"/>
      </c:valAx>
      <c:spPr>
        <a:noFill/>
        <a:ln w="0">
          <a:solidFill>
            <a:srgbClr val="b3b3b3"/>
          </a:solidFill>
        </a:ln>
      </c:spPr>
    </c:plotArea>
    <c:legend>
      <c:legendPos val="r"/>
      <c:layout>
        <c:manualLayout>
          <c:xMode val="edge"/>
          <c:yMode val="edge"/>
          <c:x val="0.804270743046253"/>
          <c:y val="0.0767318201959529"/>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360390889747"/>
          <c:y val="0.0114235068196366"/>
        </c:manualLayout>
      </c:layout>
      <c:overlay val="0"/>
      <c:spPr>
        <a:noFill/>
        <a:ln w="0">
          <a:noFill/>
        </a:ln>
      </c:spPr>
    </c:title>
    <c:autoTitleDeleted val="0"/>
    <c:plotArea>
      <c:layout>
        <c:manualLayout>
          <c:layoutTarget val="inner"/>
          <c:xMode val="edge"/>
          <c:yMode val="edge"/>
          <c:x val="0.299590196232958"/>
          <c:y val="0.0468757693633365"/>
          <c:w val="0.470683268973126"/>
          <c:h val="0.874587621251662"/>
        </c:manualLayout>
      </c:layout>
      <c:barChart>
        <c:barDir val="bar"/>
        <c:grouping val="clustered"/>
        <c:varyColors val="0"/>
        <c:ser>
          <c:idx val="0"/>
          <c:order val="0"/>
          <c:tx>
            <c:strRef>
              <c:f>AOTCREF!$C$2</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AOTCREF!$C$4:$C$37</c:f>
              <c:numCache>
                <c:formatCode>[$$-409]#,##0;\-[$$-409]#,##0</c:formatCode>
                <c:ptCount val="34"/>
                <c:pt idx="0">
                  <c:v>27000</c:v>
                </c:pt>
                <c:pt idx="1">
                  <c:v>13500</c:v>
                </c:pt>
                <c:pt idx="2">
                  <c:v>75000</c:v>
                </c:pt>
                <c:pt idx="3">
                  <c:v>37500</c:v>
                </c:pt>
                <c:pt idx="4">
                  <c:v>270000</c:v>
                </c:pt>
                <c:pt idx="5">
                  <c:v>135000</c:v>
                </c:pt>
                <c:pt idx="6">
                  <c:v>97500</c:v>
                </c:pt>
                <c:pt idx="7">
                  <c:v>48750</c:v>
                </c:pt>
                <c:pt idx="8">
                  <c:v>675000</c:v>
                </c:pt>
                <c:pt idx="9">
                  <c:v>337500</c:v>
                </c:pt>
                <c:pt idx="10">
                  <c:v>225000</c:v>
                </c:pt>
                <c:pt idx="11">
                  <c:v>112500</c:v>
                </c:pt>
                <c:pt idx="12">
                  <c:v>600000</c:v>
                </c:pt>
                <c:pt idx="13">
                  <c:v>300000</c:v>
                </c:pt>
                <c:pt idx="14">
                  <c:v>82500</c:v>
                </c:pt>
                <c:pt idx="15">
                  <c:v>41250</c:v>
                </c:pt>
                <c:pt idx="16">
                  <c:v>67500</c:v>
                </c:pt>
                <c:pt idx="17">
                  <c:v>33750</c:v>
                </c:pt>
                <c:pt idx="18">
                  <c:v>1300000</c:v>
                </c:pt>
                <c:pt idx="19">
                  <c:v>650000</c:v>
                </c:pt>
                <c:pt idx="20">
                  <c:v>825000</c:v>
                </c:pt>
                <c:pt idx="21">
                  <c:v>412500</c:v>
                </c:pt>
                <c:pt idx="22">
                  <c:v>525000</c:v>
                </c:pt>
                <c:pt idx="23">
                  <c:v>262500</c:v>
                </c:pt>
                <c:pt idx="24">
                  <c:v>375000</c:v>
                </c:pt>
                <c:pt idx="25">
                  <c:v>187500</c:v>
                </c:pt>
                <c:pt idx="26">
                  <c:v>112500</c:v>
                </c:pt>
                <c:pt idx="27">
                  <c:v>56250</c:v>
                </c:pt>
                <c:pt idx="28">
                  <c:v>1500000</c:v>
                </c:pt>
              </c:numCache>
            </c:numRef>
          </c:val>
        </c:ser>
        <c:ser>
          <c:idx val="1"/>
          <c:order val="1"/>
          <c:tx>
            <c:strRef>
              <c:f>AOTCREF!$D$2</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AOTCREF!$D$4:$D$37</c:f>
              <c:numCache>
                <c:formatCode>[$$-409]#,##0;\-[$$-409]#,##0</c:formatCode>
                <c:ptCount val="34"/>
                <c:pt idx="0">
                  <c:v>5400</c:v>
                </c:pt>
                <c:pt idx="1">
                  <c:v>2700</c:v>
                </c:pt>
                <c:pt idx="2">
                  <c:v>15000</c:v>
                </c:pt>
                <c:pt idx="3">
                  <c:v>7500</c:v>
                </c:pt>
                <c:pt idx="4">
                  <c:v>54000</c:v>
                </c:pt>
                <c:pt idx="5">
                  <c:v>27000</c:v>
                </c:pt>
                <c:pt idx="6">
                  <c:v>19500</c:v>
                </c:pt>
                <c:pt idx="7">
                  <c:v>9750</c:v>
                </c:pt>
                <c:pt idx="8">
                  <c:v>135000</c:v>
                </c:pt>
                <c:pt idx="9">
                  <c:v>67500</c:v>
                </c:pt>
                <c:pt idx="10">
                  <c:v>45000</c:v>
                </c:pt>
                <c:pt idx="11">
                  <c:v>22500</c:v>
                </c:pt>
                <c:pt idx="12">
                  <c:v>120000</c:v>
                </c:pt>
                <c:pt idx="13">
                  <c:v>60000</c:v>
                </c:pt>
                <c:pt idx="14">
                  <c:v>16500</c:v>
                </c:pt>
                <c:pt idx="15">
                  <c:v>8250</c:v>
                </c:pt>
                <c:pt idx="16">
                  <c:v>13500</c:v>
                </c:pt>
                <c:pt idx="17">
                  <c:v>6750</c:v>
                </c:pt>
                <c:pt idx="18">
                  <c:v>260000</c:v>
                </c:pt>
                <c:pt idx="19">
                  <c:v>130000</c:v>
                </c:pt>
                <c:pt idx="20">
                  <c:v>165000</c:v>
                </c:pt>
                <c:pt idx="21">
                  <c:v>82500</c:v>
                </c:pt>
                <c:pt idx="22">
                  <c:v>105000</c:v>
                </c:pt>
                <c:pt idx="23">
                  <c:v>52500</c:v>
                </c:pt>
                <c:pt idx="24">
                  <c:v>75000</c:v>
                </c:pt>
                <c:pt idx="25">
                  <c:v>37500</c:v>
                </c:pt>
                <c:pt idx="26">
                  <c:v>22500</c:v>
                </c:pt>
                <c:pt idx="27">
                  <c:v>11250</c:v>
                </c:pt>
                <c:pt idx="28">
                  <c:v>300000</c:v>
                </c:pt>
              </c:numCache>
            </c:numRef>
          </c:val>
        </c:ser>
        <c:ser>
          <c:idx val="2"/>
          <c:order val="2"/>
          <c:tx>
            <c:strRef>
              <c:f>AOTCREF!$E$2</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AOTCREF!$E$4:$E$37</c:f>
              <c:numCache>
                <c:formatCode>[$$-409]#,##0;\-[$$-409]#,##0</c:formatCode>
                <c:ptCount val="34"/>
                <c:pt idx="0">
                  <c:v>13500</c:v>
                </c:pt>
                <c:pt idx="1">
                  <c:v>6750</c:v>
                </c:pt>
                <c:pt idx="2">
                  <c:v>37500</c:v>
                </c:pt>
                <c:pt idx="3">
                  <c:v>18750</c:v>
                </c:pt>
                <c:pt idx="4">
                  <c:v>135000</c:v>
                </c:pt>
                <c:pt idx="5">
                  <c:v>67500</c:v>
                </c:pt>
                <c:pt idx="6">
                  <c:v>48750</c:v>
                </c:pt>
                <c:pt idx="7">
                  <c:v>24375</c:v>
                </c:pt>
                <c:pt idx="8">
                  <c:v>337500</c:v>
                </c:pt>
                <c:pt idx="9">
                  <c:v>168750</c:v>
                </c:pt>
                <c:pt idx="10">
                  <c:v>112500</c:v>
                </c:pt>
                <c:pt idx="11">
                  <c:v>56250</c:v>
                </c:pt>
                <c:pt idx="12">
                  <c:v>300000</c:v>
                </c:pt>
                <c:pt idx="13">
                  <c:v>150000</c:v>
                </c:pt>
                <c:pt idx="14">
                  <c:v>41250</c:v>
                </c:pt>
                <c:pt idx="15">
                  <c:v>20625</c:v>
                </c:pt>
                <c:pt idx="16">
                  <c:v>33750</c:v>
                </c:pt>
                <c:pt idx="17">
                  <c:v>16875</c:v>
                </c:pt>
                <c:pt idx="18">
                  <c:v>650000</c:v>
                </c:pt>
                <c:pt idx="19">
                  <c:v>325000</c:v>
                </c:pt>
                <c:pt idx="20">
                  <c:v>412500</c:v>
                </c:pt>
                <c:pt idx="21">
                  <c:v>206250</c:v>
                </c:pt>
                <c:pt idx="22">
                  <c:v>262500</c:v>
                </c:pt>
                <c:pt idx="23">
                  <c:v>131250</c:v>
                </c:pt>
                <c:pt idx="24">
                  <c:v>187500</c:v>
                </c:pt>
                <c:pt idx="25">
                  <c:v>93750</c:v>
                </c:pt>
                <c:pt idx="26">
                  <c:v>56250</c:v>
                </c:pt>
                <c:pt idx="27">
                  <c:v>28125</c:v>
                </c:pt>
                <c:pt idx="28">
                  <c:v>750000</c:v>
                </c:pt>
              </c:numCache>
            </c:numRef>
          </c:val>
        </c:ser>
        <c:ser>
          <c:idx val="3"/>
          <c:order val="3"/>
          <c:tx>
            <c:strRef>
              <c:f>AOTCREF!$F$2</c:f>
              <c:strCache>
                <c:ptCount val="1"/>
                <c:pt idx="0">
                  <c:v>American Effective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AOTCREF!$F$4:$F$37</c:f>
              <c:numCache>
                <c:formatCode>[$$-409]#,##0;\-[$$-409]#,##0</c:formatCode>
                <c:ptCount val="34"/>
                <c:pt idx="0">
                  <c:v>40500</c:v>
                </c:pt>
                <c:pt idx="1">
                  <c:v>20250</c:v>
                </c:pt>
                <c:pt idx="2">
                  <c:v>112500</c:v>
                </c:pt>
                <c:pt idx="3">
                  <c:v>56250</c:v>
                </c:pt>
                <c:pt idx="4">
                  <c:v>405000</c:v>
                </c:pt>
                <c:pt idx="5">
                  <c:v>202500</c:v>
                </c:pt>
                <c:pt idx="6">
                  <c:v>146250</c:v>
                </c:pt>
                <c:pt idx="7">
                  <c:v>73125</c:v>
                </c:pt>
                <c:pt idx="8">
                  <c:v>1012500</c:v>
                </c:pt>
                <c:pt idx="9">
                  <c:v>506250</c:v>
                </c:pt>
                <c:pt idx="10">
                  <c:v>337500</c:v>
                </c:pt>
                <c:pt idx="11">
                  <c:v>168750</c:v>
                </c:pt>
                <c:pt idx="12">
                  <c:v>900000</c:v>
                </c:pt>
                <c:pt idx="13">
                  <c:v>450000</c:v>
                </c:pt>
                <c:pt idx="14">
                  <c:v>123750</c:v>
                </c:pt>
                <c:pt idx="15">
                  <c:v>61875</c:v>
                </c:pt>
                <c:pt idx="16">
                  <c:v>101250</c:v>
                </c:pt>
                <c:pt idx="17">
                  <c:v>50625</c:v>
                </c:pt>
                <c:pt idx="18">
                  <c:v>1950000</c:v>
                </c:pt>
                <c:pt idx="19">
                  <c:v>975000</c:v>
                </c:pt>
                <c:pt idx="20">
                  <c:v>1237500</c:v>
                </c:pt>
                <c:pt idx="21">
                  <c:v>618750</c:v>
                </c:pt>
                <c:pt idx="22">
                  <c:v>787500</c:v>
                </c:pt>
                <c:pt idx="23">
                  <c:v>393750</c:v>
                </c:pt>
                <c:pt idx="24">
                  <c:v>562500</c:v>
                </c:pt>
                <c:pt idx="25">
                  <c:v>281250</c:v>
                </c:pt>
                <c:pt idx="26">
                  <c:v>168750</c:v>
                </c:pt>
                <c:pt idx="27">
                  <c:v>84375</c:v>
                </c:pt>
                <c:pt idx="28">
                  <c:v>2250000</c:v>
                </c:pt>
              </c:numCache>
            </c:numRef>
          </c:val>
        </c:ser>
        <c:gapWidth val="100"/>
        <c:overlap val="0"/>
        <c:axId val="24736154"/>
        <c:axId val="10175886"/>
      </c:barChart>
      <c:catAx>
        <c:axId val="2473615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9875482701553"/>
              <c:y val="0.47801467329755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175886"/>
        <c:crosses val="autoZero"/>
        <c:auto val="1"/>
        <c:lblAlgn val="ctr"/>
        <c:lblOffset val="100"/>
        <c:noMultiLvlLbl val="0"/>
      </c:catAx>
      <c:valAx>
        <c:axId val="1017588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554890062259"/>
              <c:y val="0.96974247870402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4736154"/>
        <c:crosses val="max"/>
        <c:crossBetween val="midCat"/>
        <c:majorUnit val="100000"/>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6.xml.rels><?xml version="1.0" encoding="UTF-8"?>
<Relationships xmlns="http://schemas.openxmlformats.org/package/2006/relationships"><Relationship Id="rId1" Type="http://schemas.openxmlformats.org/officeDocument/2006/relationships/chart" Target="../charts/chart7.xml"/>
</Relationships>
</file>

<file path=xl/drawings/_rels/drawing7.xml.rels><?xml version="1.0" encoding="UTF-8"?>
<Relationships xmlns="http://schemas.openxmlformats.org/package/2006/relationships"><Relationship Id="rId1" Type="http://schemas.openxmlformats.org/officeDocument/2006/relationships/chart" Target="../charts/chart8.xml"/>
</Relationships>
</file>

<file path=xl/drawings/_rels/drawing8.xml.rels><?xml version="1.0" encoding="UTF-8"?>
<Relationships xmlns="http://schemas.openxmlformats.org/package/2006/relationships"><Relationship Id="rId1" Type="http://schemas.openxmlformats.org/officeDocument/2006/relationships/chart" Target="../charts/chart9.xml"/>
</Relationships>
</file>

<file path=xl/drawings/_rels/drawing9.xml.rels><?xml version="1.0" encoding="UTF-8"?>
<Relationships xmlns="http://schemas.openxmlformats.org/package/2006/relationships"><Relationship Id="rId1" Type="http://schemas.openxmlformats.org/officeDocument/2006/relationships/chart" Target="../charts/chart10.xml"/>
</Relationships>
</file>

<file path=xl/drawings/_rels/drawing10.xml.rels><?xml version="1.0" encoding="UTF-8"?>
<Relationships xmlns="http://schemas.openxmlformats.org/package/2006/relationships"><Relationship Id="rId1" Type="http://schemas.openxmlformats.org/officeDocument/2006/relationships/chart" Target="../charts/chart11.xml"/>
</Relationships>
</file>

<file path=xl/drawings/_rels/drawing11.xml.rels><?xml version="1.0" encoding="UTF-8"?>
<Relationships xmlns="http://schemas.openxmlformats.org/package/2006/relationships"><Relationship Id="rId1" Type="http://schemas.openxmlformats.org/officeDocument/2006/relationships/chart" Target="../charts/chart12.xml"/>
</Relationships>
</file>

<file path=xl/drawings/_rels/drawing12.xml.rels><?xml version="1.0" encoding="UTF-8"?>
<Relationships xmlns="http://schemas.openxmlformats.org/package/2006/relationships"><Relationship Id="rId1" Type="http://schemas.openxmlformats.org/officeDocument/2006/relationships/chart" Target="../charts/chart1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39</xdr:row>
      <xdr:rowOff>150120</xdr:rowOff>
    </xdr:from>
    <xdr:to>
      <xdr:col>6</xdr:col>
      <xdr:colOff>1128600</xdr:colOff>
      <xdr:row>129</xdr:row>
      <xdr:rowOff>141840</xdr:rowOff>
    </xdr:to>
    <xdr:graphicFrame>
      <xdr:nvGraphicFramePr>
        <xdr:cNvPr id="1" name=""/>
        <xdr:cNvGraphicFramePr/>
      </xdr:nvGraphicFramePr>
      <xdr:xfrm>
        <a:off x="805320" y="677268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720</xdr:rowOff>
    </xdr:from>
    <xdr:to>
      <xdr:col>6</xdr:col>
      <xdr:colOff>1128240</xdr:colOff>
      <xdr:row>129</xdr:row>
      <xdr:rowOff>154800</xdr:rowOff>
    </xdr:to>
    <xdr:graphicFrame>
      <xdr:nvGraphicFramePr>
        <xdr:cNvPr id="2" name=""/>
        <xdr:cNvGraphicFramePr/>
      </xdr:nvGraphicFramePr>
      <xdr:xfrm>
        <a:off x="804960" y="6927840"/>
        <a:ext cx="913644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720</xdr:rowOff>
    </xdr:from>
    <xdr:to>
      <xdr:col>6</xdr:col>
      <xdr:colOff>1128240</xdr:colOff>
      <xdr:row>129</xdr:row>
      <xdr:rowOff>154800</xdr:rowOff>
    </xdr:to>
    <xdr:graphicFrame>
      <xdr:nvGraphicFramePr>
        <xdr:cNvPr id="3" name=""/>
        <xdr:cNvGraphicFramePr/>
      </xdr:nvGraphicFramePr>
      <xdr:xfrm>
        <a:off x="804960" y="692784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39</xdr:row>
      <xdr:rowOff>120600</xdr:rowOff>
    </xdr:from>
    <xdr:to>
      <xdr:col>6</xdr:col>
      <xdr:colOff>1137960</xdr:colOff>
      <xdr:row>129</xdr:row>
      <xdr:rowOff>112320</xdr:rowOff>
    </xdr:to>
    <xdr:graphicFrame>
      <xdr:nvGraphicFramePr>
        <xdr:cNvPr id="4" name=""/>
        <xdr:cNvGraphicFramePr/>
      </xdr:nvGraphicFramePr>
      <xdr:xfrm>
        <a:off x="814680" y="688536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39</xdr:row>
      <xdr:rowOff>120600</xdr:rowOff>
    </xdr:from>
    <xdr:to>
      <xdr:col>6</xdr:col>
      <xdr:colOff>1137960</xdr:colOff>
      <xdr:row>129</xdr:row>
      <xdr:rowOff>112320</xdr:rowOff>
    </xdr:to>
    <xdr:graphicFrame>
      <xdr:nvGraphicFramePr>
        <xdr:cNvPr id="5" name=""/>
        <xdr:cNvGraphicFramePr/>
      </xdr:nvGraphicFramePr>
      <xdr:xfrm>
        <a:off x="814680" y="688536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804960</xdr:colOff>
      <xdr:row>169</xdr:row>
      <xdr:rowOff>76680</xdr:rowOff>
    </xdr:from>
    <xdr:to>
      <xdr:col>6</xdr:col>
      <xdr:colOff>1128240</xdr:colOff>
      <xdr:row>259</xdr:row>
      <xdr:rowOff>68400</xdr:rowOff>
    </xdr:to>
    <xdr:graphicFrame>
      <xdr:nvGraphicFramePr>
        <xdr:cNvPr id="6" name=""/>
        <xdr:cNvGraphicFramePr/>
      </xdr:nvGraphicFramePr>
      <xdr:xfrm>
        <a:off x="804960" y="27974160"/>
        <a:ext cx="9135720" cy="14622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1440</xdr:colOff>
      <xdr:row>39</xdr:row>
      <xdr:rowOff>152640</xdr:rowOff>
    </xdr:from>
    <xdr:to>
      <xdr:col>6</xdr:col>
      <xdr:colOff>1137600</xdr:colOff>
      <xdr:row>129</xdr:row>
      <xdr:rowOff>144360</xdr:rowOff>
    </xdr:to>
    <xdr:graphicFrame>
      <xdr:nvGraphicFramePr>
        <xdr:cNvPr id="7" name=""/>
        <xdr:cNvGraphicFramePr/>
      </xdr:nvGraphicFramePr>
      <xdr:xfrm>
        <a:off x="814320" y="677520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39</xdr:row>
      <xdr:rowOff>158400</xdr:rowOff>
    </xdr:from>
    <xdr:to>
      <xdr:col>6</xdr:col>
      <xdr:colOff>1128240</xdr:colOff>
      <xdr:row>129</xdr:row>
      <xdr:rowOff>150120</xdr:rowOff>
    </xdr:to>
    <xdr:graphicFrame>
      <xdr:nvGraphicFramePr>
        <xdr:cNvPr id="8" name=""/>
        <xdr:cNvGraphicFramePr/>
      </xdr:nvGraphicFramePr>
      <xdr:xfrm>
        <a:off x="804960" y="692316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41</xdr:row>
      <xdr:rowOff>20160</xdr:rowOff>
    </xdr:from>
    <xdr:to>
      <xdr:col>6</xdr:col>
      <xdr:colOff>1140480</xdr:colOff>
      <xdr:row>131</xdr:row>
      <xdr:rowOff>11880</xdr:rowOff>
    </xdr:to>
    <xdr:graphicFrame>
      <xdr:nvGraphicFramePr>
        <xdr:cNvPr id="9" name=""/>
        <xdr:cNvGraphicFramePr/>
      </xdr:nvGraphicFramePr>
      <xdr:xfrm>
        <a:off x="817200" y="711000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1080</xdr:rowOff>
    </xdr:from>
    <xdr:to>
      <xdr:col>7</xdr:col>
      <xdr:colOff>266400</xdr:colOff>
      <xdr:row>129</xdr:row>
      <xdr:rowOff>155160</xdr:rowOff>
    </xdr:to>
    <xdr:graphicFrame>
      <xdr:nvGraphicFramePr>
        <xdr:cNvPr id="10" name=""/>
        <xdr:cNvGraphicFramePr/>
      </xdr:nvGraphicFramePr>
      <xdr:xfrm>
        <a:off x="804960" y="706860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39</xdr:row>
      <xdr:rowOff>161280</xdr:rowOff>
    </xdr:from>
    <xdr:to>
      <xdr:col>7</xdr:col>
      <xdr:colOff>278640</xdr:colOff>
      <xdr:row>129</xdr:row>
      <xdr:rowOff>153000</xdr:rowOff>
    </xdr:to>
    <xdr:graphicFrame>
      <xdr:nvGraphicFramePr>
        <xdr:cNvPr id="11" name=""/>
        <xdr:cNvGraphicFramePr/>
      </xdr:nvGraphicFramePr>
      <xdr:xfrm>
        <a:off x="979560" y="692388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39</xdr:row>
      <xdr:rowOff>160200</xdr:rowOff>
    </xdr:from>
    <xdr:to>
      <xdr:col>7</xdr:col>
      <xdr:colOff>270720</xdr:colOff>
      <xdr:row>129</xdr:row>
      <xdr:rowOff>151920</xdr:rowOff>
    </xdr:to>
    <xdr:graphicFrame>
      <xdr:nvGraphicFramePr>
        <xdr:cNvPr id="12" name=""/>
        <xdr:cNvGraphicFramePr/>
      </xdr:nvGraphicFramePr>
      <xdr:xfrm>
        <a:off x="971640" y="692280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40</xdr:row>
      <xdr:rowOff>1440</xdr:rowOff>
    </xdr:from>
    <xdr:to>
      <xdr:col>6</xdr:col>
      <xdr:colOff>1132200</xdr:colOff>
      <xdr:row>129</xdr:row>
      <xdr:rowOff>155880</xdr:rowOff>
    </xdr:to>
    <xdr:graphicFrame>
      <xdr:nvGraphicFramePr>
        <xdr:cNvPr id="13" name=""/>
        <xdr:cNvGraphicFramePr/>
      </xdr:nvGraphicFramePr>
      <xdr:xfrm>
        <a:off x="971640" y="6926760"/>
        <a:ext cx="9135720" cy="14622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E45"/>
  <sheetViews>
    <sheetView showFormulas="false" showGridLines="true" showRowColHeaders="true" showZeros="true" rightToLeft="false" tabSelected="false" showOutlineSymbols="true" defaultGridColor="true" view="normal" topLeftCell="A26" colorId="64" zoomScale="90" zoomScaleNormal="90" zoomScalePageLayoutView="100" workbookViewId="0">
      <selection pane="topLeft" activeCell="A40" activeCellId="0" sqref="A40"/>
    </sheetView>
  </sheetViews>
  <sheetFormatPr defaultColWidth="11.53515625" defaultRowHeight="12.8" customHeight="false" zeroHeight="false" outlineLevelRow="0" outlineLevelCol="0"/>
  <cols>
    <col collapsed="false" customWidth="true" hidden="false" outlineLevel="0" max="1" min="1" style="1" width="23.07"/>
    <col collapsed="false" customWidth="true" hidden="false" outlineLevel="0" max="2" min="2" style="2" width="53.04"/>
    <col collapsed="false" customWidth="true" hidden="false" outlineLevel="0" max="3" min="3" style="2" width="32.28"/>
    <col collapsed="false" customWidth="true" hidden="false" outlineLevel="0" max="4" min="4" style="2" width="6.93"/>
    <col collapsed="false" customWidth="false" hidden="false" outlineLevel="0" max="16384" min="5" style="2" width="11.53"/>
  </cols>
  <sheetData>
    <row r="1" customFormat="false" ht="12.8" hidden="false" customHeight="false" outlineLevel="0" collapsed="false">
      <c r="A1" s="3" t="s">
        <v>0</v>
      </c>
      <c r="B1" s="4" t="s">
        <v>1</v>
      </c>
      <c r="C1" s="4" t="s">
        <v>2</v>
      </c>
      <c r="D1" s="4"/>
    </row>
    <row r="2" customFormat="false" ht="12.8" hidden="false" customHeight="false" outlineLevel="0" collapsed="false">
      <c r="A2" s="3" t="s">
        <v>3</v>
      </c>
      <c r="B2" s="4" t="s">
        <v>4</v>
      </c>
      <c r="C2" s="4"/>
      <c r="D2" s="5"/>
    </row>
    <row r="3" customFormat="false" ht="12.8" hidden="false" customHeight="false" outlineLevel="0" collapsed="false">
      <c r="A3" s="3" t="str">
        <f aca="false">FORM!A1</f>
        <v>LSD.REF.AL.FORM</v>
      </c>
      <c r="B3" s="5" t="s">
        <v>5</v>
      </c>
      <c r="C3" s="5"/>
    </row>
    <row r="4" customFormat="false" ht="12.8" hidden="false" customHeight="false" outlineLevel="0" collapsed="false">
      <c r="A4" s="3" t="e">
        <f aca="false">#REF!</f>
        <v>#REF!</v>
      </c>
      <c r="B4" s="5" t="s">
        <v>6</v>
      </c>
      <c r="C4" s="5"/>
    </row>
    <row r="5" customFormat="false" ht="12.8" hidden="false" customHeight="false" outlineLevel="0" collapsed="false">
      <c r="A5" s="3" t="str">
        <f aca="false">CALC!A1</f>
        <v>LSD.RID.0.AL.CALC</v>
      </c>
      <c r="B5" s="5" t="s">
        <v>7</v>
      </c>
      <c r="C5" s="5"/>
    </row>
    <row r="6" customFormat="false" ht="12.8" hidden="false" customHeight="false" outlineLevel="0" collapsed="false">
      <c r="A6" s="3" t="str">
        <f aca="false">LFP!A1</f>
        <v>LSD.RID.0.AL.LFP</v>
      </c>
      <c r="B6" s="5" t="s">
        <v>8</v>
      </c>
      <c r="C6" s="5"/>
    </row>
    <row r="7" customFormat="false" ht="12.8" hidden="false" customHeight="false" outlineLevel="0" collapsed="false">
      <c r="A7" s="3" t="str">
        <f aca="false">ETPR!A1</f>
        <v>LSD.RID.0.AL.ETPR</v>
      </c>
      <c r="B7" s="5" t="s">
        <v>9</v>
      </c>
      <c r="C7" s="5"/>
    </row>
    <row r="8" customFormat="false" ht="12.8" hidden="false" customHeight="false" outlineLevel="0" collapsed="false">
      <c r="A8" s="3" t="str">
        <f aca="false">LFPR!A1</f>
        <v>LSD.RID.0.AL.LFPR</v>
      </c>
      <c r="B8" s="5" t="str">
        <f aca="false">LFPR!B1</f>
        <v>Alabama Labor Force Participation Rate (LFPR)</v>
      </c>
      <c r="C8" s="5"/>
    </row>
    <row r="9" customFormat="false" ht="12.8" hidden="false" customHeight="false" outlineLevel="0" collapsed="false">
      <c r="A9" s="3"/>
      <c r="B9" s="5"/>
      <c r="C9" s="5"/>
    </row>
    <row r="10" customFormat="false" ht="12.8" hidden="false" customHeight="false" outlineLevel="0" collapsed="false">
      <c r="A10" s="3"/>
      <c r="B10" s="5"/>
      <c r="C10" s="5"/>
    </row>
    <row r="11" customFormat="false" ht="12.8" hidden="false" customHeight="false" outlineLevel="0" collapsed="false">
      <c r="A11" s="3"/>
      <c r="B11" s="5"/>
      <c r="C11" s="5"/>
    </row>
    <row r="12" customFormat="false" ht="12.8" hidden="false" customHeight="false" outlineLevel="0" collapsed="false">
      <c r="B12" s="6"/>
      <c r="C12" s="6"/>
    </row>
    <row r="14" customFormat="false" ht="12.8" hidden="false" customHeight="false" outlineLevel="0" collapsed="false">
      <c r="A14" s="3" t="s">
        <v>10</v>
      </c>
      <c r="B14" s="5" t="s">
        <v>11</v>
      </c>
      <c r="C14" s="5" t="s">
        <v>12</v>
      </c>
    </row>
    <row r="15" customFormat="false" ht="12.8" hidden="false" customHeight="false" outlineLevel="0" collapsed="false">
      <c r="A15" s="3" t="s">
        <v>13</v>
      </c>
      <c r="B15" s="2" t="s">
        <v>14</v>
      </c>
      <c r="C15" s="2" t="s">
        <v>15</v>
      </c>
    </row>
    <row r="16" customFormat="false" ht="12.8" hidden="false" customHeight="false" outlineLevel="0" collapsed="false">
      <c r="A16" s="3"/>
      <c r="B16" s="2" t="s">
        <v>16</v>
      </c>
      <c r="C16" s="2" t="s">
        <v>17</v>
      </c>
    </row>
    <row r="17" customFormat="false" ht="12.8" hidden="false" customHeight="false" outlineLevel="0" collapsed="false">
      <c r="A17" s="3"/>
      <c r="B17" s="2" t="s">
        <v>18</v>
      </c>
      <c r="C17" s="2" t="s">
        <v>19</v>
      </c>
    </row>
    <row r="18" customFormat="false" ht="12.8" hidden="false" customHeight="false" outlineLevel="0" collapsed="false">
      <c r="B18" s="2" t="s">
        <v>20</v>
      </c>
      <c r="C18" s="2" t="s">
        <v>21</v>
      </c>
    </row>
    <row r="19" customFormat="false" ht="12.8" hidden="false" customHeight="false" outlineLevel="0" collapsed="false">
      <c r="B19" s="2" t="s">
        <v>22</v>
      </c>
      <c r="C19" s="2" t="s">
        <v>23</v>
      </c>
    </row>
    <row r="20" customFormat="false" ht="12.8" hidden="false" customHeight="false" outlineLevel="0" collapsed="false">
      <c r="B20" s="2" t="s">
        <v>24</v>
      </c>
      <c r="C20" s="2" t="s">
        <v>25</v>
      </c>
    </row>
    <row r="21" customFormat="false" ht="12.8" hidden="false" customHeight="false" outlineLevel="0" collapsed="false">
      <c r="B21" s="2" t="s">
        <v>14</v>
      </c>
      <c r="C21" s="2" t="s">
        <v>15</v>
      </c>
    </row>
    <row r="22" customFormat="false" ht="12.8" hidden="false" customHeight="false" outlineLevel="0" collapsed="false">
      <c r="B22" s="2" t="s">
        <v>26</v>
      </c>
      <c r="C22" s="2" t="s">
        <v>27</v>
      </c>
    </row>
    <row r="23" customFormat="false" ht="12.8" hidden="false" customHeight="false" outlineLevel="0" collapsed="false">
      <c r="B23" s="2" t="s">
        <v>28</v>
      </c>
      <c r="C23" s="2" t="s">
        <v>29</v>
      </c>
    </row>
    <row r="24" customFormat="false" ht="12.8" hidden="false" customHeight="false" outlineLevel="0" collapsed="false">
      <c r="B24" s="2" t="s">
        <v>30</v>
      </c>
      <c r="C24" s="2" t="s">
        <v>31</v>
      </c>
    </row>
    <row r="25" customFormat="false" ht="12.8" hidden="false" customHeight="false" outlineLevel="0" collapsed="false">
      <c r="B25" s="2" t="s">
        <v>32</v>
      </c>
      <c r="C25" s="2" t="s">
        <v>33</v>
      </c>
    </row>
    <row r="26" customFormat="false" ht="12.8" hidden="false" customHeight="false" outlineLevel="0" collapsed="false">
      <c r="B26" s="2" t="s">
        <v>34</v>
      </c>
      <c r="C26" s="2" t="s">
        <v>35</v>
      </c>
    </row>
    <row r="27" customFormat="false" ht="12.8" hidden="false" customHeight="false" outlineLevel="0" collapsed="false">
      <c r="B27" s="2" t="s">
        <v>36</v>
      </c>
      <c r="C27" s="2" t="s">
        <v>37</v>
      </c>
    </row>
    <row r="28" customFormat="false" ht="12.8" hidden="false" customHeight="false" outlineLevel="0" collapsed="false">
      <c r="B28" s="2" t="s">
        <v>38</v>
      </c>
      <c r="C28" s="2" t="s">
        <v>39</v>
      </c>
    </row>
    <row r="29" customFormat="false" ht="12.8" hidden="false" customHeight="false" outlineLevel="0" collapsed="false">
      <c r="B29" s="2" t="s">
        <v>40</v>
      </c>
      <c r="C29" s="2" t="s">
        <v>41</v>
      </c>
    </row>
    <row r="30" customFormat="false" ht="12.8" hidden="false" customHeight="false" outlineLevel="0" collapsed="false">
      <c r="B30" s="2" t="s">
        <v>42</v>
      </c>
      <c r="C30" s="2" t="s">
        <v>43</v>
      </c>
    </row>
    <row r="31" customFormat="false" ht="12.8" hidden="false" customHeight="false" outlineLevel="0" collapsed="false">
      <c r="B31" s="2" t="s">
        <v>44</v>
      </c>
      <c r="C31" s="2" t="s">
        <v>45</v>
      </c>
    </row>
    <row r="32" customFormat="false" ht="12.8" hidden="false" customHeight="false" outlineLevel="0" collapsed="false">
      <c r="B32" s="2" t="s">
        <v>46</v>
      </c>
      <c r="C32" s="2" t="s">
        <v>47</v>
      </c>
    </row>
    <row r="33" customFormat="false" ht="12.8" hidden="false" customHeight="false" outlineLevel="0" collapsed="false">
      <c r="B33" s="2" t="s">
        <v>48</v>
      </c>
      <c r="C33" s="2" t="s">
        <v>49</v>
      </c>
    </row>
    <row r="34" customFormat="false" ht="12.8" hidden="false" customHeight="false" outlineLevel="0" collapsed="false">
      <c r="B34" s="2" t="s">
        <v>50</v>
      </c>
      <c r="C34" s="2" t="s">
        <v>51</v>
      </c>
    </row>
    <row r="35" customFormat="false" ht="12.8" hidden="false" customHeight="false" outlineLevel="0" collapsed="false">
      <c r="B35" s="2" t="s">
        <v>52</v>
      </c>
      <c r="C35" s="2" t="s">
        <v>53</v>
      </c>
    </row>
    <row r="36" customFormat="false" ht="12.8" hidden="false" customHeight="false" outlineLevel="0" collapsed="false">
      <c r="B36" s="2" t="s">
        <v>54</v>
      </c>
      <c r="C36" s="2" t="s">
        <v>55</v>
      </c>
    </row>
    <row r="38" customFormat="false" ht="12.8" hidden="false" customHeight="false" outlineLevel="0" collapsed="false">
      <c r="A38" s="3" t="s">
        <v>56</v>
      </c>
      <c r="B38" s="5" t="s">
        <v>57</v>
      </c>
    </row>
    <row r="39" customFormat="false" ht="12.8" hidden="false" customHeight="false" outlineLevel="0" collapsed="false">
      <c r="A39" s="3" t="s">
        <v>24</v>
      </c>
      <c r="B39" s="5" t="s">
        <v>58</v>
      </c>
      <c r="C39" s="5" t="s">
        <v>59</v>
      </c>
      <c r="D39" s="5" t="s">
        <v>60</v>
      </c>
      <c r="E39" s="5" t="s">
        <v>61</v>
      </c>
    </row>
    <row r="40" customFormat="false" ht="82.9" hidden="false" customHeight="false" outlineLevel="0" collapsed="false">
      <c r="A40" s="1" t="n">
        <v>5</v>
      </c>
      <c r="B40" s="2" t="s">
        <v>62</v>
      </c>
      <c r="C40" s="7" t="s">
        <v>63</v>
      </c>
      <c r="D40" s="2" t="s">
        <v>64</v>
      </c>
      <c r="E40" s="7" t="s">
        <v>65</v>
      </c>
    </row>
    <row r="41" customFormat="false" ht="12.8" hidden="false" customHeight="false" outlineLevel="0" collapsed="false">
      <c r="A41" s="1" t="s">
        <v>66</v>
      </c>
      <c r="B41" s="2" t="s">
        <v>67</v>
      </c>
      <c r="C41" s="2" t="s">
        <v>68</v>
      </c>
      <c r="D41" s="2" t="s">
        <v>69</v>
      </c>
      <c r="E41" s="2" t="s">
        <v>70</v>
      </c>
    </row>
    <row r="42" customFormat="false" ht="12.8" hidden="false" customHeight="false" outlineLevel="0" collapsed="false">
      <c r="A42" s="1" t="s">
        <v>71</v>
      </c>
      <c r="B42" s="2" t="s">
        <v>72</v>
      </c>
      <c r="C42" s="2" t="s">
        <v>68</v>
      </c>
      <c r="D42" s="2" t="s">
        <v>73</v>
      </c>
      <c r="E42" s="2" t="s">
        <v>74</v>
      </c>
    </row>
    <row r="43" customFormat="false" ht="268.65" hidden="false" customHeight="false" outlineLevel="0" collapsed="false">
      <c r="A43" s="1" t="s">
        <v>75</v>
      </c>
      <c r="B43" s="2" t="s">
        <v>76</v>
      </c>
      <c r="C43" s="8" t="s">
        <v>77</v>
      </c>
      <c r="D43" s="2" t="s">
        <v>78</v>
      </c>
      <c r="E43" s="2" t="s">
        <v>65</v>
      </c>
    </row>
    <row r="44" customFormat="false" ht="326.65" hidden="false" customHeight="false" outlineLevel="0" collapsed="false">
      <c r="A44" s="1" t="s">
        <v>79</v>
      </c>
      <c r="B44" s="2" t="s">
        <v>80</v>
      </c>
      <c r="C44" s="8" t="s">
        <v>81</v>
      </c>
      <c r="D44" s="2" t="s">
        <v>82</v>
      </c>
      <c r="E44" s="2" t="s">
        <v>70</v>
      </c>
    </row>
    <row r="45" customFormat="false" ht="326.65" hidden="false" customHeight="false" outlineLevel="0" collapsed="false">
      <c r="A45" s="1" t="s">
        <v>83</v>
      </c>
      <c r="B45" s="2" t="s">
        <v>84</v>
      </c>
      <c r="C45" s="8" t="s">
        <v>81</v>
      </c>
      <c r="D45" s="2" t="s">
        <v>85</v>
      </c>
      <c r="E45" s="2" t="s">
        <v>65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F1235"/>
  <sheetViews>
    <sheetView showFormulas="false" showGridLines="true" showRowColHeaders="true" showZeros="true" rightToLeft="false" tabSelected="false" showOutlineSymbols="true" defaultGridColor="true" view="normal" topLeftCell="A1209" colorId="64" zoomScale="90" zoomScaleNormal="90" zoomScalePageLayoutView="100" workbookViewId="0">
      <selection pane="topLeft" activeCell="A1236" activeCellId="0" sqref="A1236"/>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41.51"/>
    <col collapsed="false" customWidth="true" hidden="false" outlineLevel="0" max="3" min="3" style="10" width="16.14"/>
  </cols>
  <sheetData>
    <row r="1" customFormat="false" ht="12.8" hidden="false" customHeight="false" outlineLevel="0" collapsed="false">
      <c r="A1" s="11" t="s">
        <v>86</v>
      </c>
      <c r="B1" s="12" t="s">
        <v>5</v>
      </c>
      <c r="C1" s="13" t="s">
        <v>87</v>
      </c>
      <c r="D1" s="10" t="n">
        <v>2025</v>
      </c>
      <c r="E1" s="10"/>
      <c r="F1" s="10"/>
    </row>
    <row r="2" customFormat="false" ht="12.8" hidden="false" customHeight="false" outlineLevel="0" collapsed="false">
      <c r="A2" s="9" t="s">
        <v>88</v>
      </c>
      <c r="B2" s="10" t="s">
        <v>89</v>
      </c>
      <c r="C2" s="10" t="s">
        <v>90</v>
      </c>
      <c r="D2" s="10" t="s">
        <v>91</v>
      </c>
      <c r="E2" s="10" t="s">
        <v>92</v>
      </c>
      <c r="F2" s="10"/>
    </row>
    <row r="3" customFormat="false" ht="12.8" hidden="false" customHeight="false" outlineLevel="0" collapsed="false">
      <c r="A3" s="9" t="n">
        <v>1</v>
      </c>
      <c r="B3" s="10" t="s">
        <v>93</v>
      </c>
      <c r="C3" s="10" t="s">
        <v>94</v>
      </c>
      <c r="D3" s="10" t="s">
        <v>95</v>
      </c>
      <c r="E3" s="10" t="s">
        <v>96</v>
      </c>
      <c r="F3" s="10"/>
    </row>
    <row r="4" customFormat="false" ht="12.8" hidden="false" customHeight="false" outlineLevel="0" collapsed="false">
      <c r="A4" s="9" t="n">
        <v>1.1</v>
      </c>
      <c r="B4" s="10" t="s">
        <v>97</v>
      </c>
      <c r="C4" s="10" t="s">
        <v>98</v>
      </c>
      <c r="D4" s="10" t="s">
        <v>99</v>
      </c>
      <c r="E4" s="10"/>
      <c r="F4" s="10"/>
    </row>
    <row r="5" customFormat="false" ht="12.8" hidden="false" customHeight="false" outlineLevel="0" collapsed="false">
      <c r="A5" s="9" t="n">
        <v>1.2</v>
      </c>
      <c r="B5" s="10" t="s">
        <v>100</v>
      </c>
      <c r="C5" s="10" t="s">
        <v>101</v>
      </c>
      <c r="D5" s="10" t="s">
        <v>102</v>
      </c>
      <c r="E5" s="10"/>
      <c r="F5" s="10"/>
    </row>
    <row r="6" customFormat="false" ht="12.8" hidden="false" customHeight="false" outlineLevel="0" collapsed="false">
      <c r="A6" s="9" t="n">
        <v>2</v>
      </c>
      <c r="B6" s="10" t="s">
        <v>103</v>
      </c>
      <c r="C6" s="10" t="s">
        <v>104</v>
      </c>
      <c r="D6" s="10" t="s">
        <v>105</v>
      </c>
      <c r="E6" s="10"/>
      <c r="F6" s="10"/>
    </row>
    <row r="7" customFormat="false" ht="12.8" hidden="false" customHeight="false" outlineLevel="0" collapsed="false">
      <c r="A7" s="9" t="n">
        <v>2.1</v>
      </c>
      <c r="B7" s="10" t="s">
        <v>106</v>
      </c>
      <c r="C7" s="10" t="s">
        <v>107</v>
      </c>
      <c r="D7" s="10" t="s">
        <v>108</v>
      </c>
      <c r="E7" s="10"/>
      <c r="F7" s="10"/>
    </row>
    <row r="8" customFormat="false" ht="12.8" hidden="false" customHeight="false" outlineLevel="0" collapsed="false">
      <c r="A8" s="9" t="n">
        <v>2.2</v>
      </c>
      <c r="B8" s="10" t="s">
        <v>109</v>
      </c>
      <c r="C8" s="10" t="s">
        <v>110</v>
      </c>
      <c r="D8" s="10" t="s">
        <v>111</v>
      </c>
      <c r="E8" s="10"/>
      <c r="F8" s="10"/>
    </row>
    <row r="9" customFormat="false" ht="12.8" hidden="false" customHeight="false" outlineLevel="0" collapsed="false">
      <c r="A9" s="9" t="n">
        <v>3</v>
      </c>
      <c r="B9" s="10" t="s">
        <v>112</v>
      </c>
      <c r="C9" s="10" t="s">
        <v>113</v>
      </c>
      <c r="D9" s="10" t="s">
        <v>114</v>
      </c>
      <c r="E9" s="10"/>
      <c r="F9" s="10"/>
    </row>
    <row r="10" customFormat="false" ht="12.8" hidden="false" customHeight="false" outlineLevel="0" collapsed="false">
      <c r="A10" s="9" t="n">
        <v>3.1</v>
      </c>
      <c r="B10" s="10" t="s">
        <v>115</v>
      </c>
      <c r="C10" s="10" t="s">
        <v>116</v>
      </c>
      <c r="D10" s="10"/>
      <c r="E10" s="10"/>
      <c r="F10" s="10"/>
    </row>
    <row r="11" customFormat="false" ht="12.8" hidden="false" customHeight="false" outlineLevel="0" collapsed="false">
      <c r="A11" s="9" t="n">
        <v>3.2</v>
      </c>
      <c r="B11" s="10" t="s">
        <v>117</v>
      </c>
      <c r="C11" s="10" t="s">
        <v>118</v>
      </c>
      <c r="D11" s="10"/>
      <c r="E11" s="10"/>
      <c r="F11" s="10"/>
    </row>
    <row r="12" customFormat="false" ht="12.8" hidden="false" customHeight="false" outlineLevel="0" collapsed="false">
      <c r="A12" s="9" t="n">
        <v>3.3</v>
      </c>
      <c r="B12" s="10" t="s">
        <v>119</v>
      </c>
      <c r="C12" s="10" t="s">
        <v>120</v>
      </c>
      <c r="D12" s="10"/>
      <c r="E12" s="10"/>
      <c r="F12" s="10"/>
    </row>
    <row r="13" customFormat="false" ht="12.8" hidden="false" customHeight="false" outlineLevel="0" collapsed="false">
      <c r="A13" s="9" t="n">
        <v>4</v>
      </c>
      <c r="B13" s="10" t="s">
        <v>121</v>
      </c>
      <c r="C13" s="10" t="s">
        <v>122</v>
      </c>
      <c r="D13" s="10" t="s">
        <v>123</v>
      </c>
      <c r="E13" s="10"/>
      <c r="F13" s="10"/>
    </row>
    <row r="14" customFormat="false" ht="12.8" hidden="false" customHeight="false" outlineLevel="0" collapsed="false">
      <c r="A14" s="9" t="n">
        <v>4.1</v>
      </c>
      <c r="B14" s="10" t="s">
        <v>124</v>
      </c>
      <c r="C14" s="10" t="s">
        <v>125</v>
      </c>
      <c r="D14" s="10" t="s">
        <v>126</v>
      </c>
      <c r="E14" s="10"/>
      <c r="F14" s="10"/>
    </row>
    <row r="15" customFormat="false" ht="12.8" hidden="false" customHeight="false" outlineLevel="0" collapsed="false">
      <c r="A15" s="9" t="n">
        <v>5</v>
      </c>
      <c r="B15" s="10" t="s">
        <v>127</v>
      </c>
      <c r="C15" s="10" t="s">
        <v>128</v>
      </c>
      <c r="D15" s="10" t="s">
        <v>129</v>
      </c>
      <c r="E15" s="10"/>
      <c r="F15" s="10"/>
    </row>
    <row r="16" customFormat="false" ht="12.8" hidden="false" customHeight="false" outlineLevel="0" collapsed="false">
      <c r="A16" s="9" t="n">
        <v>5.1</v>
      </c>
      <c r="B16" s="10" t="s">
        <v>130</v>
      </c>
      <c r="C16" s="10" t="s">
        <v>131</v>
      </c>
      <c r="D16" s="10"/>
      <c r="E16" s="10"/>
      <c r="F16" s="10"/>
    </row>
    <row r="17" customFormat="false" ht="12.8" hidden="false" customHeight="false" outlineLevel="0" collapsed="false">
      <c r="A17" s="11" t="n">
        <v>6</v>
      </c>
      <c r="B17" s="12" t="s">
        <v>132</v>
      </c>
      <c r="C17" s="10" t="s">
        <v>133</v>
      </c>
      <c r="D17" s="10" t="s">
        <v>134</v>
      </c>
      <c r="E17" s="10"/>
      <c r="F17" s="10"/>
    </row>
    <row r="18" customFormat="false" ht="12.8" hidden="false" customHeight="false" outlineLevel="0" collapsed="false">
      <c r="A18" s="9" t="n">
        <v>6.1</v>
      </c>
      <c r="B18" s="10" t="s">
        <v>135</v>
      </c>
      <c r="C18" s="10" t="s">
        <v>136</v>
      </c>
      <c r="D18" s="10"/>
      <c r="E18" s="10"/>
      <c r="F18" s="10"/>
    </row>
    <row r="19" customFormat="false" ht="12.8" hidden="false" customHeight="false" outlineLevel="0" collapsed="false">
      <c r="A19" s="9" t="n">
        <v>7</v>
      </c>
      <c r="B19" s="10" t="s">
        <v>137</v>
      </c>
      <c r="C19" s="10" t="s">
        <v>138</v>
      </c>
      <c r="D19" s="10" t="s">
        <v>139</v>
      </c>
      <c r="E19" s="10"/>
      <c r="F19" s="10"/>
    </row>
    <row r="20" customFormat="false" ht="12.8" hidden="false" customHeight="false" outlineLevel="0" collapsed="false">
      <c r="A20" s="9" t="n">
        <v>7.1</v>
      </c>
      <c r="B20" s="10" t="s">
        <v>140</v>
      </c>
      <c r="C20" s="10" t="s">
        <v>141</v>
      </c>
      <c r="D20" s="10"/>
      <c r="E20" s="10"/>
      <c r="F20" s="10"/>
    </row>
    <row r="21" customFormat="false" ht="12.8" hidden="false" customHeight="false" outlineLevel="0" collapsed="false">
      <c r="A21" s="14" t="n">
        <v>8</v>
      </c>
      <c r="B21" s="15" t="s">
        <v>142</v>
      </c>
      <c r="C21" s="15" t="s">
        <v>143</v>
      </c>
      <c r="D21" s="15" t="s">
        <v>144</v>
      </c>
      <c r="E21" s="15"/>
      <c r="F21" s="15"/>
    </row>
    <row r="22" customFormat="false" ht="12.8" hidden="false" customHeight="false" outlineLevel="0" collapsed="false">
      <c r="A22" s="14" t="n">
        <v>8.1</v>
      </c>
      <c r="B22" s="15" t="s">
        <v>145</v>
      </c>
      <c r="C22" s="15" t="s">
        <v>146</v>
      </c>
      <c r="D22" s="15" t="s">
        <v>147</v>
      </c>
      <c r="E22" s="15"/>
      <c r="F22" s="15"/>
    </row>
    <row r="23" customFormat="false" ht="12.8" hidden="false" customHeight="false" outlineLevel="0" collapsed="false">
      <c r="A23" s="14" t="n">
        <v>8.2</v>
      </c>
      <c r="B23" s="15" t="s">
        <v>148</v>
      </c>
      <c r="C23" s="15" t="s">
        <v>149</v>
      </c>
      <c r="D23" s="15"/>
      <c r="E23" s="15"/>
      <c r="F23" s="15"/>
    </row>
    <row r="24" customFormat="false" ht="12.8" hidden="false" customHeight="false" outlineLevel="0" collapsed="false">
      <c r="A24" s="14" t="n">
        <v>9</v>
      </c>
      <c r="B24" s="15" t="s">
        <v>150</v>
      </c>
      <c r="C24" s="15" t="s">
        <v>151</v>
      </c>
      <c r="D24" s="15" t="s">
        <v>152</v>
      </c>
      <c r="E24" s="15"/>
      <c r="F24" s="15"/>
    </row>
    <row r="25" customFormat="false" ht="12.8" hidden="false" customHeight="false" outlineLevel="0" collapsed="false">
      <c r="A25" s="14" t="n">
        <v>9.1</v>
      </c>
      <c r="B25" s="15" t="s">
        <v>153</v>
      </c>
      <c r="C25" s="15" t="s">
        <v>154</v>
      </c>
      <c r="D25" s="15"/>
      <c r="E25" s="15"/>
      <c r="F25" s="15"/>
    </row>
    <row r="26" customFormat="false" ht="12.8" hidden="false" customHeight="false" outlineLevel="0" collapsed="false">
      <c r="A26" s="14" t="n">
        <v>9.2</v>
      </c>
      <c r="B26" s="15" t="s">
        <v>155</v>
      </c>
      <c r="C26" s="15" t="s">
        <v>156</v>
      </c>
      <c r="D26" s="15"/>
      <c r="E26" s="15"/>
      <c r="F26" s="15"/>
    </row>
    <row r="27" customFormat="false" ht="12.8" hidden="false" customHeight="false" outlineLevel="0" collapsed="false">
      <c r="A27" s="14" t="n">
        <v>10</v>
      </c>
      <c r="B27" s="15" t="s">
        <v>157</v>
      </c>
      <c r="C27" s="15" t="s">
        <v>158</v>
      </c>
      <c r="D27" s="15" t="s">
        <v>159</v>
      </c>
      <c r="E27" s="15"/>
      <c r="F27" s="15"/>
    </row>
    <row r="28" customFormat="false" ht="12.8" hidden="false" customHeight="false" outlineLevel="0" collapsed="false">
      <c r="A28" s="14" t="n">
        <v>10.1</v>
      </c>
      <c r="B28" s="15" t="s">
        <v>160</v>
      </c>
      <c r="C28" s="15" t="s">
        <v>161</v>
      </c>
      <c r="D28" s="15"/>
      <c r="E28" s="15"/>
      <c r="F28" s="15"/>
    </row>
    <row r="29" customFormat="false" ht="12.8" hidden="false" customHeight="false" outlineLevel="0" collapsed="false">
      <c r="A29" s="14" t="n">
        <v>10.2</v>
      </c>
      <c r="B29" s="15" t="s">
        <v>162</v>
      </c>
      <c r="C29" s="15" t="s">
        <v>163</v>
      </c>
      <c r="D29" s="15"/>
      <c r="E29" s="15"/>
      <c r="F29" s="15"/>
    </row>
    <row r="30" customFormat="false" ht="12.8" hidden="false" customHeight="false" outlineLevel="0" collapsed="false">
      <c r="A30" s="14" t="n">
        <v>11</v>
      </c>
      <c r="B30" s="15" t="s">
        <v>164</v>
      </c>
      <c r="C30" s="15" t="s">
        <v>165</v>
      </c>
      <c r="D30" s="15" t="s">
        <v>166</v>
      </c>
      <c r="E30" s="15"/>
      <c r="F30" s="15"/>
    </row>
    <row r="31" customFormat="false" ht="12.8" hidden="false" customHeight="false" outlineLevel="0" collapsed="false">
      <c r="A31" s="14" t="n">
        <v>11.1</v>
      </c>
      <c r="B31" s="15" t="s">
        <v>167</v>
      </c>
      <c r="C31" s="15" t="s">
        <v>168</v>
      </c>
      <c r="D31" s="15"/>
      <c r="E31" s="15"/>
      <c r="F31" s="15"/>
    </row>
    <row r="32" customFormat="false" ht="12.8" hidden="false" customHeight="false" outlineLevel="0" collapsed="false">
      <c r="A32" s="14" t="n">
        <v>11.2</v>
      </c>
      <c r="B32" s="15" t="s">
        <v>169</v>
      </c>
      <c r="C32" s="15" t="s">
        <v>170</v>
      </c>
      <c r="D32" s="15"/>
      <c r="E32" s="15"/>
      <c r="F32" s="15"/>
    </row>
    <row r="33" customFormat="false" ht="12.8" hidden="false" customHeight="false" outlineLevel="0" collapsed="false">
      <c r="A33" s="14" t="n">
        <v>12</v>
      </c>
      <c r="B33" s="15" t="s">
        <v>171</v>
      </c>
      <c r="C33" s="15" t="s">
        <v>172</v>
      </c>
      <c r="D33" s="15" t="s">
        <v>173</v>
      </c>
      <c r="E33" s="15"/>
      <c r="F33" s="15"/>
    </row>
    <row r="34" customFormat="false" ht="12.8" hidden="false" customHeight="false" outlineLevel="0" collapsed="false">
      <c r="A34" s="14" t="n">
        <v>12.1</v>
      </c>
      <c r="B34" s="15" t="s">
        <v>174</v>
      </c>
      <c r="C34" s="15" t="s">
        <v>175</v>
      </c>
      <c r="D34" s="15"/>
      <c r="E34" s="15"/>
      <c r="F34" s="15"/>
    </row>
    <row r="35" customFormat="false" ht="12.8" hidden="false" customHeight="false" outlineLevel="0" collapsed="false">
      <c r="A35" s="14" t="n">
        <v>12.2</v>
      </c>
      <c r="B35" s="15" t="s">
        <v>176</v>
      </c>
      <c r="C35" s="15" t="s">
        <v>177</v>
      </c>
      <c r="D35" s="15"/>
      <c r="E35" s="15"/>
      <c r="F35" s="15"/>
    </row>
    <row r="36" customFormat="false" ht="12.8" hidden="false" customHeight="false" outlineLevel="0" collapsed="false">
      <c r="A36" s="14" t="n">
        <v>13</v>
      </c>
      <c r="B36" s="15" t="s">
        <v>178</v>
      </c>
      <c r="C36" s="15" t="s">
        <v>179</v>
      </c>
      <c r="D36" s="15" t="s">
        <v>180</v>
      </c>
      <c r="E36" s="15"/>
      <c r="F36" s="15"/>
    </row>
    <row r="37" customFormat="false" ht="12.8" hidden="false" customHeight="false" outlineLevel="0" collapsed="false">
      <c r="A37" s="14" t="n">
        <v>13.1</v>
      </c>
      <c r="B37" s="15" t="s">
        <v>181</v>
      </c>
      <c r="C37" s="15" t="s">
        <v>182</v>
      </c>
      <c r="D37" s="15"/>
      <c r="E37" s="15"/>
      <c r="F37" s="15"/>
    </row>
    <row r="38" customFormat="false" ht="12.8" hidden="false" customHeight="false" outlineLevel="0" collapsed="false">
      <c r="A38" s="14" t="n">
        <v>13.2</v>
      </c>
      <c r="B38" s="15" t="s">
        <v>183</v>
      </c>
      <c r="C38" s="15" t="s">
        <v>184</v>
      </c>
      <c r="D38" s="15"/>
      <c r="E38" s="15"/>
      <c r="F38" s="15"/>
    </row>
    <row r="39" customFormat="false" ht="12.8" hidden="false" customHeight="false" outlineLevel="0" collapsed="false">
      <c r="A39" s="14" t="n">
        <v>14</v>
      </c>
      <c r="B39" s="15" t="s">
        <v>185</v>
      </c>
      <c r="C39" s="15" t="s">
        <v>186</v>
      </c>
      <c r="D39" s="15" t="s">
        <v>180</v>
      </c>
      <c r="E39" s="15"/>
      <c r="F39" s="15"/>
    </row>
    <row r="40" customFormat="false" ht="12.8" hidden="false" customHeight="false" outlineLevel="0" collapsed="false">
      <c r="A40" s="14" t="n">
        <v>14.1</v>
      </c>
      <c r="B40" s="15" t="s">
        <v>187</v>
      </c>
      <c r="C40" s="15" t="s">
        <v>188</v>
      </c>
      <c r="D40" s="15"/>
      <c r="E40" s="15"/>
      <c r="F40" s="15"/>
    </row>
    <row r="41" customFormat="false" ht="12.8" hidden="false" customHeight="false" outlineLevel="0" collapsed="false">
      <c r="A41" s="14" t="n">
        <v>14.2</v>
      </c>
      <c r="B41" s="15" t="s">
        <v>189</v>
      </c>
      <c r="C41" s="15" t="s">
        <v>190</v>
      </c>
      <c r="D41" s="15"/>
      <c r="E41" s="15"/>
      <c r="F41" s="15"/>
    </row>
    <row r="42" customFormat="false" ht="12.8" hidden="false" customHeight="false" outlineLevel="0" collapsed="false">
      <c r="A42" s="14" t="n">
        <v>15</v>
      </c>
      <c r="B42" s="15" t="s">
        <v>191</v>
      </c>
      <c r="C42" s="15" t="s">
        <v>192</v>
      </c>
      <c r="D42" s="15" t="s">
        <v>193</v>
      </c>
      <c r="E42" s="15"/>
      <c r="F42" s="15"/>
    </row>
    <row r="43" customFormat="false" ht="12.8" hidden="false" customHeight="false" outlineLevel="0" collapsed="false">
      <c r="A43" s="14" t="n">
        <v>15.1</v>
      </c>
      <c r="B43" s="15" t="s">
        <v>194</v>
      </c>
      <c r="C43" s="15" t="s">
        <v>195</v>
      </c>
      <c r="D43" s="15"/>
      <c r="E43" s="15"/>
      <c r="F43" s="15"/>
    </row>
    <row r="44" customFormat="false" ht="12.8" hidden="false" customHeight="false" outlineLevel="0" collapsed="false">
      <c r="A44" s="9" t="n">
        <v>16</v>
      </c>
      <c r="B44" s="10" t="s">
        <v>196</v>
      </c>
      <c r="C44" s="10" t="s">
        <v>197</v>
      </c>
      <c r="D44" s="10" t="s">
        <v>198</v>
      </c>
      <c r="E44" s="10"/>
    </row>
    <row r="45" customFormat="false" ht="12.8" hidden="false" customHeight="false" outlineLevel="0" collapsed="false">
      <c r="A45" s="9" t="n">
        <v>16.1</v>
      </c>
      <c r="B45" s="10" t="s">
        <v>199</v>
      </c>
      <c r="C45" s="10" t="s">
        <v>200</v>
      </c>
      <c r="D45" s="10"/>
      <c r="E45" s="10"/>
    </row>
    <row r="46" customFormat="false" ht="12.8" hidden="false" customHeight="false" outlineLevel="0" collapsed="false">
      <c r="A46" s="9" t="n">
        <v>16.2</v>
      </c>
      <c r="B46" s="10" t="s">
        <v>201</v>
      </c>
      <c r="C46" s="10" t="s">
        <v>202</v>
      </c>
      <c r="D46" s="10"/>
      <c r="E46" s="10"/>
    </row>
    <row r="47" customFormat="false" ht="12.8" hidden="false" customHeight="false" outlineLevel="0" collapsed="false">
      <c r="A47" s="9" t="n">
        <v>17</v>
      </c>
      <c r="B47" s="10" t="s">
        <v>203</v>
      </c>
      <c r="C47" s="10" t="s">
        <v>204</v>
      </c>
      <c r="D47" s="10" t="s">
        <v>205</v>
      </c>
      <c r="E47" s="10"/>
    </row>
    <row r="48" customFormat="false" ht="12.8" hidden="false" customHeight="false" outlineLevel="0" collapsed="false">
      <c r="A48" s="9" t="n">
        <v>17.1</v>
      </c>
      <c r="B48" s="10" t="s">
        <v>206</v>
      </c>
      <c r="C48" s="10" t="s">
        <v>207</v>
      </c>
      <c r="D48" s="10"/>
      <c r="E48" s="10"/>
    </row>
    <row r="49" customFormat="false" ht="12.8" hidden="false" customHeight="false" outlineLevel="0" collapsed="false">
      <c r="A49" s="9" t="n">
        <v>18</v>
      </c>
      <c r="B49" s="10" t="s">
        <v>208</v>
      </c>
      <c r="C49" s="10" t="s">
        <v>209</v>
      </c>
      <c r="D49" s="10" t="s">
        <v>210</v>
      </c>
      <c r="E49" s="10"/>
    </row>
    <row r="50" customFormat="false" ht="12.8" hidden="false" customHeight="false" outlineLevel="0" collapsed="false">
      <c r="A50" s="9" t="n">
        <v>18.1</v>
      </c>
      <c r="B50" s="10" t="s">
        <v>211</v>
      </c>
      <c r="C50" s="10" t="s">
        <v>212</v>
      </c>
      <c r="D50" s="10"/>
      <c r="E50" s="10"/>
    </row>
    <row r="51" customFormat="false" ht="12.8" hidden="false" customHeight="false" outlineLevel="0" collapsed="false">
      <c r="A51" s="9" t="n">
        <v>19</v>
      </c>
      <c r="B51" s="10" t="s">
        <v>213</v>
      </c>
      <c r="C51" s="10" t="s">
        <v>214</v>
      </c>
      <c r="D51" s="10" t="s">
        <v>215</v>
      </c>
      <c r="E51" s="10"/>
    </row>
    <row r="52" customFormat="false" ht="12.8" hidden="false" customHeight="false" outlineLevel="0" collapsed="false">
      <c r="A52" s="9" t="n">
        <v>19.1</v>
      </c>
      <c r="B52" s="10" t="s">
        <v>216</v>
      </c>
      <c r="C52" s="10" t="s">
        <v>217</v>
      </c>
      <c r="D52" s="10"/>
      <c r="E52" s="10"/>
    </row>
    <row r="53" customFormat="false" ht="12.8" hidden="false" customHeight="false" outlineLevel="0" collapsed="false">
      <c r="A53" s="9" t="n">
        <v>19.2</v>
      </c>
      <c r="B53" s="10" t="s">
        <v>218</v>
      </c>
      <c r="C53" s="10" t="s">
        <v>219</v>
      </c>
      <c r="D53" s="10"/>
      <c r="E53" s="10"/>
    </row>
    <row r="54" customFormat="false" ht="12.8" hidden="false" customHeight="false" outlineLevel="0" collapsed="false">
      <c r="A54" s="9" t="n">
        <v>20</v>
      </c>
      <c r="B54" s="10" t="s">
        <v>220</v>
      </c>
      <c r="C54" s="10" t="s">
        <v>221</v>
      </c>
      <c r="D54" s="10" t="s">
        <v>222</v>
      </c>
      <c r="E54" s="10"/>
    </row>
    <row r="55" customFormat="false" ht="12.8" hidden="false" customHeight="false" outlineLevel="0" collapsed="false">
      <c r="A55" s="9" t="n">
        <v>20.1</v>
      </c>
      <c r="B55" s="10" t="s">
        <v>223</v>
      </c>
      <c r="C55" s="10" t="s">
        <v>224</v>
      </c>
      <c r="D55" s="10"/>
      <c r="E55" s="10"/>
    </row>
    <row r="56" customFormat="false" ht="12.8" hidden="false" customHeight="false" outlineLevel="0" collapsed="false">
      <c r="A56" s="14" t="n">
        <v>21</v>
      </c>
      <c r="B56" s="15" t="s">
        <v>225</v>
      </c>
      <c r="C56" s="15" t="s">
        <v>226</v>
      </c>
      <c r="D56" s="15" t="s">
        <v>227</v>
      </c>
      <c r="E56" s="15"/>
    </row>
    <row r="57" customFormat="false" ht="12.8" hidden="false" customHeight="false" outlineLevel="0" collapsed="false">
      <c r="A57" s="14" t="n">
        <v>21.1</v>
      </c>
      <c r="B57" s="15" t="s">
        <v>228</v>
      </c>
      <c r="C57" s="15" t="s">
        <v>229</v>
      </c>
      <c r="D57" s="15"/>
      <c r="E57" s="15"/>
    </row>
    <row r="58" customFormat="false" ht="12.8" hidden="false" customHeight="false" outlineLevel="0" collapsed="false">
      <c r="A58" s="14" t="n">
        <v>22</v>
      </c>
      <c r="B58" s="15" t="s">
        <v>230</v>
      </c>
      <c r="C58" s="16" t="s">
        <v>231</v>
      </c>
      <c r="D58" s="15" t="s">
        <v>232</v>
      </c>
      <c r="E58" s="15"/>
    </row>
    <row r="59" customFormat="false" ht="12.8" hidden="false" customHeight="false" outlineLevel="0" collapsed="false">
      <c r="A59" s="14" t="n">
        <v>22.1</v>
      </c>
      <c r="B59" s="15" t="s">
        <v>233</v>
      </c>
      <c r="C59" s="16" t="s">
        <v>234</v>
      </c>
      <c r="D59" s="15" t="s">
        <v>235</v>
      </c>
      <c r="E59" s="15"/>
    </row>
    <row r="60" customFormat="false" ht="12.8" hidden="false" customHeight="false" outlineLevel="0" collapsed="false">
      <c r="A60" s="14" t="n">
        <v>22.2</v>
      </c>
      <c r="B60" s="15" t="s">
        <v>236</v>
      </c>
      <c r="C60" s="16" t="s">
        <v>237</v>
      </c>
      <c r="D60" s="15"/>
      <c r="E60" s="15"/>
    </row>
    <row r="61" customFormat="false" ht="12.8" hidden="false" customHeight="false" outlineLevel="0" collapsed="false">
      <c r="A61" s="9" t="n">
        <v>23</v>
      </c>
      <c r="B61" s="10" t="s">
        <v>238</v>
      </c>
      <c r="C61" s="10" t="s">
        <v>239</v>
      </c>
      <c r="D61" s="10" t="s">
        <v>240</v>
      </c>
      <c r="E61" s="10"/>
    </row>
    <row r="62" customFormat="false" ht="12.8" hidden="false" customHeight="false" outlineLevel="0" collapsed="false">
      <c r="A62" s="9" t="n">
        <v>23.1</v>
      </c>
      <c r="B62" s="10" t="s">
        <v>241</v>
      </c>
      <c r="C62" s="10" t="s">
        <v>242</v>
      </c>
    </row>
    <row r="63" customFormat="false" ht="12.8" hidden="false" customHeight="false" outlineLevel="0" collapsed="false">
      <c r="A63" s="9" t="n">
        <v>23.2</v>
      </c>
      <c r="B63" s="10" t="s">
        <v>243</v>
      </c>
      <c r="C63" s="10" t="s">
        <v>244</v>
      </c>
    </row>
    <row r="64" customFormat="false" ht="12.8" hidden="false" customHeight="false" outlineLevel="0" collapsed="false">
      <c r="A64" s="9" t="n">
        <v>24</v>
      </c>
      <c r="B64" s="10" t="s">
        <v>245</v>
      </c>
      <c r="C64" s="10" t="s">
        <v>246</v>
      </c>
      <c r="D64" s="10" t="s">
        <v>247</v>
      </c>
    </row>
    <row r="65" customFormat="false" ht="12.8" hidden="false" customHeight="false" outlineLevel="0" collapsed="false">
      <c r="A65" s="9" t="n">
        <v>24.1</v>
      </c>
      <c r="B65" s="10" t="s">
        <v>248</v>
      </c>
      <c r="C65" s="10" t="s">
        <v>249</v>
      </c>
    </row>
    <row r="66" customFormat="false" ht="12.8" hidden="false" customHeight="false" outlineLevel="0" collapsed="false">
      <c r="A66" s="9" t="n">
        <v>24.2</v>
      </c>
      <c r="B66" s="10" t="s">
        <v>250</v>
      </c>
      <c r="C66" s="10" t="s">
        <v>251</v>
      </c>
    </row>
    <row r="67" customFormat="false" ht="12.8" hidden="false" customHeight="false" outlineLevel="0" collapsed="false">
      <c r="A67" s="9" t="n">
        <v>25</v>
      </c>
      <c r="B67" s="10" t="s">
        <v>252</v>
      </c>
      <c r="C67" s="10" t="s">
        <v>253</v>
      </c>
      <c r="D67" s="10" t="s">
        <v>235</v>
      </c>
    </row>
    <row r="68" customFormat="false" ht="12.8" hidden="false" customHeight="false" outlineLevel="0" collapsed="false">
      <c r="A68" s="9" t="n">
        <v>25.1</v>
      </c>
      <c r="B68" s="10" t="s">
        <v>254</v>
      </c>
      <c r="C68" s="10" t="s">
        <v>255</v>
      </c>
    </row>
    <row r="69" customFormat="false" ht="12.8" hidden="false" customHeight="false" outlineLevel="0" collapsed="false">
      <c r="A69" s="9" t="n">
        <v>25.2</v>
      </c>
      <c r="B69" s="10" t="s">
        <v>256</v>
      </c>
      <c r="C69" s="10" t="s">
        <v>257</v>
      </c>
      <c r="D69" s="10" t="s">
        <v>258</v>
      </c>
    </row>
    <row r="70" customFormat="false" ht="12.8" hidden="false" customHeight="false" outlineLevel="0" collapsed="false">
      <c r="A70" s="9" t="n">
        <v>26</v>
      </c>
      <c r="B70" s="10" t="s">
        <v>259</v>
      </c>
      <c r="C70" s="10" t="s">
        <v>260</v>
      </c>
      <c r="D70" s="10" t="s">
        <v>261</v>
      </c>
      <c r="E70" s="10" t="s">
        <v>262</v>
      </c>
    </row>
    <row r="71" customFormat="false" ht="12.8" hidden="false" customHeight="false" outlineLevel="0" collapsed="false">
      <c r="A71" s="9" t="n">
        <v>27</v>
      </c>
      <c r="B71" s="10" t="s">
        <v>263</v>
      </c>
      <c r="C71" s="10" t="s">
        <v>264</v>
      </c>
      <c r="D71" s="10" t="s">
        <v>265</v>
      </c>
      <c r="E71" s="10" t="s">
        <v>266</v>
      </c>
    </row>
    <row r="72" customFormat="false" ht="12.8" hidden="false" customHeight="false" outlineLevel="0" collapsed="false">
      <c r="A72" s="9" t="n">
        <v>27.1</v>
      </c>
      <c r="B72" s="10" t="s">
        <v>267</v>
      </c>
      <c r="C72" s="10" t="s">
        <v>268</v>
      </c>
      <c r="D72" s="10" t="s">
        <v>269</v>
      </c>
    </row>
    <row r="73" customFormat="false" ht="12.8" hidden="false" customHeight="false" outlineLevel="0" collapsed="false">
      <c r="A73" s="9" t="n">
        <v>28</v>
      </c>
      <c r="B73" s="10" t="s">
        <v>270</v>
      </c>
      <c r="C73" s="10" t="s">
        <v>271</v>
      </c>
      <c r="D73" s="10" t="s">
        <v>272</v>
      </c>
      <c r="E73" s="10" t="s">
        <v>273</v>
      </c>
    </row>
    <row r="74" customFormat="false" ht="12.8" hidden="false" customHeight="false" outlineLevel="0" collapsed="false">
      <c r="A74" s="9" t="n">
        <v>29</v>
      </c>
      <c r="B74" s="10" t="s">
        <v>191</v>
      </c>
      <c r="C74" s="10" t="s">
        <v>192</v>
      </c>
      <c r="D74" s="0" t="s">
        <v>274</v>
      </c>
      <c r="E74" s="0" t="s">
        <v>275</v>
      </c>
    </row>
    <row r="75" customFormat="false" ht="12.8" hidden="false" customHeight="false" outlineLevel="0" collapsed="false">
      <c r="A75" s="9" t="n">
        <v>29.1</v>
      </c>
      <c r="B75" s="10" t="s">
        <v>194</v>
      </c>
      <c r="C75" s="10" t="s">
        <v>195</v>
      </c>
      <c r="E75" s="0" t="s">
        <v>276</v>
      </c>
    </row>
    <row r="76" customFormat="false" ht="12.8" hidden="false" customHeight="false" outlineLevel="0" collapsed="false">
      <c r="A76" s="9" t="n">
        <v>29.2</v>
      </c>
      <c r="B76" s="10" t="s">
        <v>277</v>
      </c>
      <c r="C76" s="10" t="s">
        <v>278</v>
      </c>
      <c r="E76" s="0" t="s">
        <v>279</v>
      </c>
    </row>
    <row r="78" customFormat="false" ht="12.8" hidden="false" customHeight="false" outlineLevel="0" collapsed="false">
      <c r="A78" s="9" t="n">
        <v>30</v>
      </c>
      <c r="B78" s="10" t="s">
        <v>196</v>
      </c>
      <c r="C78" s="10" t="s">
        <v>197</v>
      </c>
      <c r="D78" s="0" t="s">
        <v>280</v>
      </c>
      <c r="E78" s="0" t="s">
        <v>281</v>
      </c>
    </row>
    <row r="79" customFormat="false" ht="12.8" hidden="false" customHeight="false" outlineLevel="0" collapsed="false">
      <c r="A79" s="9" t="n">
        <v>30.1</v>
      </c>
      <c r="B79" s="10" t="s">
        <v>199</v>
      </c>
      <c r="C79" s="10" t="s">
        <v>200</v>
      </c>
      <c r="E79" s="0" t="s">
        <v>282</v>
      </c>
    </row>
    <row r="80" customFormat="false" ht="12.8" hidden="false" customHeight="false" outlineLevel="0" collapsed="false">
      <c r="A80" s="9" t="n">
        <v>30.2</v>
      </c>
      <c r="B80" s="10" t="s">
        <v>283</v>
      </c>
      <c r="C80" s="10" t="s">
        <v>284</v>
      </c>
      <c r="E80" s="0" t="s">
        <v>285</v>
      </c>
    </row>
    <row r="81" customFormat="false" ht="12.8" hidden="false" customHeight="false" outlineLevel="0" collapsed="false">
      <c r="A81" s="9" t="n">
        <v>31</v>
      </c>
      <c r="B81" s="10" t="s">
        <v>203</v>
      </c>
      <c r="C81" s="10" t="s">
        <v>286</v>
      </c>
      <c r="D81" s="0" t="s">
        <v>123</v>
      </c>
      <c r="E81" s="0" t="s">
        <v>287</v>
      </c>
    </row>
    <row r="82" customFormat="false" ht="12.8" hidden="false" customHeight="false" outlineLevel="0" collapsed="false">
      <c r="A82" s="9" t="n">
        <v>31.1</v>
      </c>
      <c r="B82" s="10" t="s">
        <v>206</v>
      </c>
      <c r="C82" s="10" t="s">
        <v>207</v>
      </c>
      <c r="E82" s="0" t="s">
        <v>126</v>
      </c>
    </row>
    <row r="83" customFormat="false" ht="12.8" hidden="false" customHeight="false" outlineLevel="0" collapsed="false">
      <c r="A83" s="9" t="n">
        <v>31.2</v>
      </c>
      <c r="B83" s="10" t="s">
        <v>288</v>
      </c>
      <c r="C83" s="10" t="s">
        <v>289</v>
      </c>
      <c r="E83" s="0" t="s">
        <v>290</v>
      </c>
    </row>
    <row r="84" customFormat="false" ht="12.8" hidden="false" customHeight="false" outlineLevel="0" collapsed="false">
      <c r="A84" s="9" t="n">
        <v>32</v>
      </c>
      <c r="B84" s="10" t="s">
        <v>208</v>
      </c>
      <c r="C84" s="10" t="s">
        <v>209</v>
      </c>
      <c r="D84" s="0" t="s">
        <v>291</v>
      </c>
      <c r="E84" s="0" t="s">
        <v>292</v>
      </c>
    </row>
    <row r="85" customFormat="false" ht="12.8" hidden="false" customHeight="false" outlineLevel="0" collapsed="false">
      <c r="A85" s="9" t="n">
        <v>32.1</v>
      </c>
      <c r="B85" s="10" t="s">
        <v>211</v>
      </c>
      <c r="C85" s="10" t="s">
        <v>212</v>
      </c>
      <c r="E85" s="0" t="s">
        <v>293</v>
      </c>
    </row>
    <row r="86" customFormat="false" ht="12.8" hidden="false" customHeight="false" outlineLevel="0" collapsed="false">
      <c r="A86" s="9" t="n">
        <v>32.2</v>
      </c>
      <c r="B86" s="10" t="s">
        <v>294</v>
      </c>
      <c r="C86" s="10" t="s">
        <v>295</v>
      </c>
      <c r="E86" s="0" t="s">
        <v>296</v>
      </c>
    </row>
    <row r="87" customFormat="false" ht="12.8" hidden="false" customHeight="false" outlineLevel="0" collapsed="false">
      <c r="A87" s="9" t="n">
        <v>33</v>
      </c>
      <c r="B87" s="10" t="s">
        <v>213</v>
      </c>
      <c r="C87" s="10" t="s">
        <v>297</v>
      </c>
      <c r="D87" s="0" t="s">
        <v>298</v>
      </c>
      <c r="E87" s="0" t="s">
        <v>299</v>
      </c>
    </row>
    <row r="88" customFormat="false" ht="12.8" hidden="false" customHeight="false" outlineLevel="0" collapsed="false">
      <c r="A88" s="9" t="n">
        <v>33.1</v>
      </c>
      <c r="B88" s="10" t="s">
        <v>216</v>
      </c>
      <c r="C88" s="10" t="s">
        <v>217</v>
      </c>
      <c r="E88" s="0" t="s">
        <v>126</v>
      </c>
    </row>
    <row r="89" customFormat="false" ht="12.8" hidden="false" customHeight="false" outlineLevel="0" collapsed="false">
      <c r="A89" s="9" t="n">
        <v>33.2</v>
      </c>
      <c r="B89" s="10" t="s">
        <v>300</v>
      </c>
      <c r="C89" s="10" t="s">
        <v>301</v>
      </c>
      <c r="E89" s="0" t="s">
        <v>290</v>
      </c>
    </row>
    <row r="90" customFormat="false" ht="12.8" hidden="false" customHeight="false" outlineLevel="0" collapsed="false">
      <c r="A90" s="9" t="n">
        <v>34</v>
      </c>
      <c r="B90" s="10" t="s">
        <v>220</v>
      </c>
      <c r="C90" s="10" t="s">
        <v>302</v>
      </c>
      <c r="D90" s="0" t="s">
        <v>303</v>
      </c>
      <c r="E90" s="0" t="s">
        <v>304</v>
      </c>
    </row>
    <row r="91" customFormat="false" ht="12.8" hidden="false" customHeight="false" outlineLevel="0" collapsed="false">
      <c r="A91" s="9" t="n">
        <v>34.1</v>
      </c>
      <c r="B91" s="10" t="s">
        <v>223</v>
      </c>
      <c r="C91" s="10" t="s">
        <v>224</v>
      </c>
      <c r="E91" s="0" t="s">
        <v>126</v>
      </c>
    </row>
    <row r="92" customFormat="false" ht="12.8" hidden="false" customHeight="false" outlineLevel="0" collapsed="false">
      <c r="A92" s="9" t="n">
        <v>34.2</v>
      </c>
      <c r="B92" s="10" t="s">
        <v>305</v>
      </c>
      <c r="C92" s="10" t="s">
        <v>306</v>
      </c>
      <c r="E92" s="0" t="s">
        <v>290</v>
      </c>
    </row>
    <row r="93" customFormat="false" ht="12.8" hidden="false" customHeight="false" outlineLevel="0" collapsed="false">
      <c r="A93" s="9" t="n">
        <v>35</v>
      </c>
      <c r="B93" s="10" t="s">
        <v>225</v>
      </c>
      <c r="C93" s="10" t="s">
        <v>307</v>
      </c>
      <c r="D93" s="0" t="s">
        <v>308</v>
      </c>
      <c r="E93" s="0" t="s">
        <v>309</v>
      </c>
    </row>
    <row r="94" customFormat="false" ht="12.8" hidden="false" customHeight="false" outlineLevel="0" collapsed="false">
      <c r="A94" s="9" t="n">
        <v>35.1</v>
      </c>
      <c r="B94" s="10" t="s">
        <v>228</v>
      </c>
      <c r="C94" s="10" t="s">
        <v>229</v>
      </c>
      <c r="E94" s="0" t="s">
        <v>126</v>
      </c>
    </row>
    <row r="95" customFormat="false" ht="12.8" hidden="false" customHeight="false" outlineLevel="0" collapsed="false">
      <c r="A95" s="9" t="n">
        <v>35.2</v>
      </c>
      <c r="B95" s="10" t="s">
        <v>310</v>
      </c>
      <c r="C95" s="10" t="s">
        <v>311</v>
      </c>
      <c r="E95" s="0" t="s">
        <v>290</v>
      </c>
    </row>
    <row r="96" customFormat="false" ht="12.8" hidden="false" customHeight="false" outlineLevel="0" collapsed="false">
      <c r="A96" s="9" t="n">
        <v>36</v>
      </c>
      <c r="B96" s="10" t="s">
        <v>312</v>
      </c>
      <c r="C96" s="10" t="s">
        <v>313</v>
      </c>
      <c r="D96" s="0" t="s">
        <v>314</v>
      </c>
      <c r="E96" s="0" t="s">
        <v>315</v>
      </c>
    </row>
    <row r="97" customFormat="false" ht="12.8" hidden="false" customHeight="false" outlineLevel="0" collapsed="false">
      <c r="A97" s="9" t="n">
        <v>36.1</v>
      </c>
      <c r="B97" s="10" t="s">
        <v>316</v>
      </c>
      <c r="C97" s="10" t="s">
        <v>317</v>
      </c>
      <c r="E97" s="0" t="s">
        <v>318</v>
      </c>
    </row>
    <row r="98" customFormat="false" ht="12.8" hidden="false" customHeight="false" outlineLevel="0" collapsed="false">
      <c r="A98" s="9" t="n">
        <v>36.2</v>
      </c>
      <c r="B98" s="10" t="s">
        <v>319</v>
      </c>
      <c r="C98" s="10" t="s">
        <v>320</v>
      </c>
      <c r="E98" s="0" t="s">
        <v>321</v>
      </c>
    </row>
    <row r="99" customFormat="false" ht="12.8" hidden="false" customHeight="false" outlineLevel="0" collapsed="false">
      <c r="A99" s="9" t="n">
        <v>37</v>
      </c>
      <c r="B99" s="10" t="s">
        <v>322</v>
      </c>
      <c r="C99" s="10" t="s">
        <v>264</v>
      </c>
      <c r="D99" s="0" t="s">
        <v>323</v>
      </c>
      <c r="E99" s="0" t="s">
        <v>324</v>
      </c>
    </row>
    <row r="100" customFormat="false" ht="12.8" hidden="false" customHeight="false" outlineLevel="0" collapsed="false">
      <c r="A100" s="9" t="n">
        <v>37.1</v>
      </c>
      <c r="B100" s="10" t="s">
        <v>325</v>
      </c>
      <c r="C100" s="10" t="s">
        <v>268</v>
      </c>
      <c r="D100" s="0" t="s">
        <v>326</v>
      </c>
    </row>
    <row r="101" customFormat="false" ht="12.8" hidden="false" customHeight="false" outlineLevel="0" collapsed="false">
      <c r="A101" s="9" t="n">
        <v>38</v>
      </c>
      <c r="B101" s="10" t="s">
        <v>327</v>
      </c>
      <c r="C101" s="10" t="s">
        <v>271</v>
      </c>
      <c r="D101" s="0" t="s">
        <v>328</v>
      </c>
      <c r="E101" s="0" t="s">
        <v>329</v>
      </c>
    </row>
    <row r="102" customFormat="false" ht="12.8" hidden="false" customHeight="false" outlineLevel="0" collapsed="false">
      <c r="A102" s="9" t="n">
        <v>38.1</v>
      </c>
      <c r="B102" s="10" t="s">
        <v>330</v>
      </c>
      <c r="C102" s="10" t="s">
        <v>331</v>
      </c>
      <c r="E102" s="0" t="s">
        <v>332</v>
      </c>
    </row>
    <row r="103" customFormat="false" ht="12.8" hidden="false" customHeight="false" outlineLevel="0" collapsed="false">
      <c r="A103" s="9" t="n">
        <v>38.2</v>
      </c>
      <c r="B103" s="10" t="s">
        <v>333</v>
      </c>
      <c r="C103" s="10" t="s">
        <v>334</v>
      </c>
      <c r="E103" s="0" t="s">
        <v>335</v>
      </c>
    </row>
    <row r="104" customFormat="false" ht="12.8" hidden="false" customHeight="false" outlineLevel="0" collapsed="false">
      <c r="A104" s="9" t="n">
        <v>39</v>
      </c>
      <c r="B104" s="10" t="s">
        <v>336</v>
      </c>
      <c r="C104" s="10" t="s">
        <v>337</v>
      </c>
      <c r="D104" s="0" t="s">
        <v>338</v>
      </c>
      <c r="E104" s="0" t="s">
        <v>262</v>
      </c>
    </row>
    <row r="105" customFormat="false" ht="12.8" hidden="false" customHeight="false" outlineLevel="0" collapsed="false">
      <c r="A105" s="9" t="n">
        <v>40</v>
      </c>
      <c r="B105" s="10" t="s">
        <v>339</v>
      </c>
      <c r="C105" s="10" t="s">
        <v>340</v>
      </c>
      <c r="D105" s="0" t="s">
        <v>341</v>
      </c>
      <c r="E105" s="0" t="s">
        <v>342</v>
      </c>
    </row>
    <row r="107" customFormat="false" ht="12.8" hidden="false" customHeight="false" outlineLevel="0" collapsed="false">
      <c r="A107" s="9" t="n">
        <v>41</v>
      </c>
      <c r="B107" s="10" t="s">
        <v>343</v>
      </c>
      <c r="C107" s="10" t="s">
        <v>344</v>
      </c>
      <c r="D107" s="0" t="s">
        <v>345</v>
      </c>
      <c r="E107" s="0" t="s">
        <v>346</v>
      </c>
    </row>
    <row r="108" customFormat="false" ht="12.8" hidden="false" customHeight="false" outlineLevel="0" collapsed="false">
      <c r="A108" s="9" t="n">
        <v>42</v>
      </c>
      <c r="B108" s="10" t="s">
        <v>347</v>
      </c>
      <c r="C108" s="10" t="s">
        <v>348</v>
      </c>
      <c r="D108" s="0" t="s">
        <v>349</v>
      </c>
      <c r="E108" s="0" t="s">
        <v>346</v>
      </c>
    </row>
    <row r="109" customFormat="false" ht="12.8" hidden="false" customHeight="false" outlineLevel="0" collapsed="false">
      <c r="A109" s="9" t="n">
        <v>43</v>
      </c>
      <c r="B109" s="10" t="s">
        <v>350</v>
      </c>
      <c r="C109" s="10" t="s">
        <v>351</v>
      </c>
      <c r="D109" s="0" t="s">
        <v>352</v>
      </c>
      <c r="E109" s="0" t="s">
        <v>346</v>
      </c>
    </row>
    <row r="110" customFormat="false" ht="12.8" hidden="false" customHeight="false" outlineLevel="0" collapsed="false">
      <c r="A110" s="9" t="n">
        <v>44</v>
      </c>
      <c r="B110" s="10" t="s">
        <v>353</v>
      </c>
      <c r="C110" s="10" t="s">
        <v>354</v>
      </c>
      <c r="D110" s="0" t="s">
        <v>355</v>
      </c>
      <c r="E110" s="0" t="s">
        <v>356</v>
      </c>
    </row>
    <row r="111" customFormat="false" ht="12.8" hidden="false" customHeight="false" outlineLevel="0" collapsed="false">
      <c r="A111" s="9" t="n">
        <v>45</v>
      </c>
      <c r="B111" s="10" t="s">
        <v>357</v>
      </c>
      <c r="C111" s="10" t="s">
        <v>358</v>
      </c>
      <c r="D111" s="0" t="s">
        <v>359</v>
      </c>
      <c r="E111" s="0" t="s">
        <v>360</v>
      </c>
    </row>
    <row r="112" customFormat="false" ht="12.8" hidden="false" customHeight="false" outlineLevel="0" collapsed="false">
      <c r="A112" s="9" t="n">
        <v>45.1</v>
      </c>
      <c r="B112" s="10" t="s">
        <v>361</v>
      </c>
      <c r="C112" s="10" t="s">
        <v>362</v>
      </c>
      <c r="D112" s="0" t="s">
        <v>363</v>
      </c>
      <c r="E112" s="0" t="s">
        <v>364</v>
      </c>
    </row>
    <row r="113" customFormat="false" ht="12.8" hidden="false" customHeight="false" outlineLevel="0" collapsed="false">
      <c r="A113" s="9" t="n">
        <v>45.2</v>
      </c>
      <c r="B113" s="10" t="s">
        <v>365</v>
      </c>
      <c r="C113" s="10" t="s">
        <v>366</v>
      </c>
      <c r="E113" s="0" t="s">
        <v>367</v>
      </c>
    </row>
    <row r="114" customFormat="false" ht="12.8" hidden="false" customHeight="false" outlineLevel="0" collapsed="false">
      <c r="A114" s="9" t="n">
        <v>46</v>
      </c>
      <c r="B114" s="10" t="s">
        <v>150</v>
      </c>
      <c r="C114" s="10" t="s">
        <v>368</v>
      </c>
      <c r="D114" s="0" t="s">
        <v>369</v>
      </c>
      <c r="E114" s="0" t="s">
        <v>370</v>
      </c>
    </row>
    <row r="115" customFormat="false" ht="12.8" hidden="false" customHeight="false" outlineLevel="0" collapsed="false">
      <c r="A115" s="9" t="n">
        <v>46.1</v>
      </c>
      <c r="B115" s="10" t="s">
        <v>371</v>
      </c>
      <c r="C115" s="10" t="s">
        <v>372</v>
      </c>
      <c r="E115" s="0" t="s">
        <v>373</v>
      </c>
    </row>
    <row r="116" customFormat="false" ht="12.8" hidden="false" customHeight="false" outlineLevel="0" collapsed="false">
      <c r="A116" s="9" t="n">
        <v>46.2</v>
      </c>
      <c r="B116" s="10" t="s">
        <v>374</v>
      </c>
      <c r="C116" s="10" t="s">
        <v>375</v>
      </c>
      <c r="E116" s="0" t="s">
        <v>367</v>
      </c>
    </row>
    <row r="117" customFormat="false" ht="12.8" hidden="false" customHeight="false" outlineLevel="0" collapsed="false">
      <c r="A117" s="9" t="n">
        <v>47</v>
      </c>
      <c r="B117" s="10" t="s">
        <v>157</v>
      </c>
      <c r="C117" s="10" t="s">
        <v>376</v>
      </c>
      <c r="D117" s="0" t="s">
        <v>377</v>
      </c>
      <c r="E117" s="0" t="s">
        <v>378</v>
      </c>
    </row>
    <row r="118" customFormat="false" ht="12.8" hidden="false" customHeight="false" outlineLevel="0" collapsed="false">
      <c r="A118" s="9" t="n">
        <v>47.1</v>
      </c>
      <c r="B118" s="10" t="s">
        <v>379</v>
      </c>
      <c r="C118" s="10" t="s">
        <v>161</v>
      </c>
      <c r="E118" s="0" t="s">
        <v>380</v>
      </c>
    </row>
    <row r="119" customFormat="false" ht="12.8" hidden="false" customHeight="false" outlineLevel="0" collapsed="false">
      <c r="A119" s="9" t="n">
        <v>47.2</v>
      </c>
      <c r="B119" s="10" t="s">
        <v>381</v>
      </c>
      <c r="C119" s="10" t="s">
        <v>163</v>
      </c>
      <c r="E119" s="0" t="s">
        <v>382</v>
      </c>
    </row>
    <row r="120" customFormat="false" ht="12.8" hidden="false" customHeight="false" outlineLevel="0" collapsed="false">
      <c r="A120" s="9" t="n">
        <v>48</v>
      </c>
      <c r="B120" s="10" t="s">
        <v>164</v>
      </c>
      <c r="C120" s="10" t="s">
        <v>383</v>
      </c>
      <c r="D120" s="0" t="s">
        <v>384</v>
      </c>
      <c r="E120" s="0" t="s">
        <v>385</v>
      </c>
    </row>
    <row r="121" customFormat="false" ht="12.8" hidden="false" customHeight="false" outlineLevel="0" collapsed="false">
      <c r="A121" s="9" t="n">
        <v>48.1</v>
      </c>
      <c r="B121" s="10" t="s">
        <v>386</v>
      </c>
      <c r="C121" s="10" t="s">
        <v>168</v>
      </c>
      <c r="E121" s="0" t="s">
        <v>387</v>
      </c>
    </row>
    <row r="122" customFormat="false" ht="12.8" hidden="false" customHeight="false" outlineLevel="0" collapsed="false">
      <c r="A122" s="9" t="n">
        <v>48.2</v>
      </c>
      <c r="B122" s="10" t="s">
        <v>388</v>
      </c>
      <c r="C122" s="10" t="s">
        <v>170</v>
      </c>
      <c r="E122" s="0" t="s">
        <v>389</v>
      </c>
    </row>
    <row r="123" customFormat="false" ht="12.8" hidden="false" customHeight="false" outlineLevel="0" collapsed="false">
      <c r="A123" s="9" t="n">
        <v>49</v>
      </c>
      <c r="B123" s="10" t="s">
        <v>390</v>
      </c>
      <c r="C123" s="10" t="s">
        <v>391</v>
      </c>
      <c r="D123" s="0" t="s">
        <v>392</v>
      </c>
      <c r="E123" s="0" t="s">
        <v>393</v>
      </c>
    </row>
    <row r="124" customFormat="false" ht="12.8" hidden="false" customHeight="false" outlineLevel="0" collapsed="false">
      <c r="A124" s="9" t="n">
        <v>49.1</v>
      </c>
      <c r="B124" s="10" t="s">
        <v>394</v>
      </c>
      <c r="C124" s="10" t="s">
        <v>175</v>
      </c>
      <c r="E124" s="0" t="s">
        <v>395</v>
      </c>
    </row>
    <row r="125" customFormat="false" ht="12.8" hidden="false" customHeight="false" outlineLevel="0" collapsed="false">
      <c r="A125" s="9" t="n">
        <v>49.2</v>
      </c>
      <c r="B125" s="10" t="s">
        <v>396</v>
      </c>
      <c r="C125" s="10" t="s">
        <v>177</v>
      </c>
      <c r="E125" s="0" t="s">
        <v>397</v>
      </c>
    </row>
    <row r="127" customFormat="false" ht="12.8" hidden="false" customHeight="false" outlineLevel="0" collapsed="false">
      <c r="A127" s="9" t="n">
        <v>50</v>
      </c>
      <c r="B127" s="10" t="s">
        <v>398</v>
      </c>
      <c r="C127" s="10" t="s">
        <v>399</v>
      </c>
      <c r="D127" s="0" t="s">
        <v>392</v>
      </c>
      <c r="E127" s="0" t="s">
        <v>400</v>
      </c>
    </row>
    <row r="128" customFormat="false" ht="12.8" hidden="false" customHeight="false" outlineLevel="0" collapsed="false">
      <c r="A128" s="9" t="n">
        <v>50.1</v>
      </c>
      <c r="B128" s="10" t="s">
        <v>401</v>
      </c>
      <c r="C128" s="10" t="s">
        <v>182</v>
      </c>
      <c r="E128" s="0" t="s">
        <v>402</v>
      </c>
    </row>
    <row r="129" customFormat="false" ht="12.8" hidden="false" customHeight="false" outlineLevel="0" collapsed="false">
      <c r="A129" s="9" t="n">
        <v>50.2</v>
      </c>
      <c r="B129" s="10" t="s">
        <v>403</v>
      </c>
      <c r="C129" s="10" t="s">
        <v>184</v>
      </c>
      <c r="E129" s="0" t="s">
        <v>404</v>
      </c>
    </row>
    <row r="130" customFormat="false" ht="12.8" hidden="false" customHeight="false" outlineLevel="0" collapsed="false">
      <c r="A130" s="9" t="n">
        <v>51</v>
      </c>
      <c r="B130" s="10" t="s">
        <v>405</v>
      </c>
      <c r="C130" s="10" t="s">
        <v>406</v>
      </c>
      <c r="D130" s="0" t="s">
        <v>392</v>
      </c>
      <c r="E130" s="0" t="s">
        <v>407</v>
      </c>
    </row>
    <row r="131" customFormat="false" ht="12.8" hidden="false" customHeight="false" outlineLevel="0" collapsed="false">
      <c r="A131" s="9" t="n">
        <v>51.1</v>
      </c>
      <c r="B131" s="10" t="s">
        <v>408</v>
      </c>
      <c r="C131" s="10" t="s">
        <v>188</v>
      </c>
      <c r="E131" s="0" t="s">
        <v>409</v>
      </c>
    </row>
    <row r="132" customFormat="false" ht="12.8" hidden="false" customHeight="false" outlineLevel="0" collapsed="false">
      <c r="A132" s="9" t="n">
        <v>51.2</v>
      </c>
      <c r="B132" s="10" t="s">
        <v>410</v>
      </c>
      <c r="C132" s="10" t="s">
        <v>190</v>
      </c>
      <c r="E132" s="0" t="s">
        <v>411</v>
      </c>
    </row>
    <row r="133" customFormat="false" ht="12.8" hidden="false" customHeight="false" outlineLevel="0" collapsed="false">
      <c r="A133" s="9" t="n">
        <v>52</v>
      </c>
      <c r="B133" s="10" t="s">
        <v>191</v>
      </c>
      <c r="C133" s="10" t="s">
        <v>412</v>
      </c>
      <c r="D133" s="0" t="s">
        <v>413</v>
      </c>
      <c r="E133" s="0" t="s">
        <v>414</v>
      </c>
    </row>
    <row r="134" customFormat="false" ht="12.8" hidden="false" customHeight="false" outlineLevel="0" collapsed="false">
      <c r="A134" s="9" t="n">
        <v>52.1</v>
      </c>
      <c r="B134" s="10" t="s">
        <v>415</v>
      </c>
      <c r="C134" s="10" t="s">
        <v>416</v>
      </c>
      <c r="E134" s="0" t="s">
        <v>417</v>
      </c>
    </row>
    <row r="135" customFormat="false" ht="12.8" hidden="false" customHeight="false" outlineLevel="0" collapsed="false">
      <c r="A135" s="9" t="n">
        <v>52.2</v>
      </c>
      <c r="B135" s="10" t="s">
        <v>418</v>
      </c>
      <c r="C135" s="10" t="s">
        <v>278</v>
      </c>
      <c r="E135" s="0" t="s">
        <v>419</v>
      </c>
    </row>
    <row r="136" customFormat="false" ht="12.8" hidden="false" customHeight="false" outlineLevel="0" collapsed="false">
      <c r="A136" s="9" t="n">
        <v>53</v>
      </c>
      <c r="B136" s="10" t="s">
        <v>196</v>
      </c>
      <c r="C136" s="10" t="s">
        <v>197</v>
      </c>
      <c r="D136" s="0" t="s">
        <v>420</v>
      </c>
      <c r="E136" s="0" t="s">
        <v>421</v>
      </c>
    </row>
    <row r="137" customFormat="false" ht="12.8" hidden="false" customHeight="false" outlineLevel="0" collapsed="false">
      <c r="A137" s="9" t="n">
        <v>53.1</v>
      </c>
      <c r="B137" s="10" t="s">
        <v>199</v>
      </c>
      <c r="C137" s="10" t="s">
        <v>200</v>
      </c>
      <c r="E137" s="0" t="s">
        <v>422</v>
      </c>
    </row>
    <row r="138" customFormat="false" ht="12.8" hidden="false" customHeight="false" outlineLevel="0" collapsed="false">
      <c r="A138" s="9" t="n">
        <v>53.2</v>
      </c>
      <c r="B138" s="10" t="s">
        <v>283</v>
      </c>
      <c r="C138" s="10" t="s">
        <v>284</v>
      </c>
      <c r="E138" s="0" t="s">
        <v>367</v>
      </c>
    </row>
    <row r="139" customFormat="false" ht="12.8" hidden="false" customHeight="false" outlineLevel="0" collapsed="false">
      <c r="A139" s="9" t="n">
        <v>54</v>
      </c>
      <c r="B139" s="10" t="s">
        <v>203</v>
      </c>
      <c r="C139" s="10" t="s">
        <v>423</v>
      </c>
      <c r="D139" s="0" t="s">
        <v>424</v>
      </c>
      <c r="E139" s="0" t="s">
        <v>425</v>
      </c>
    </row>
    <row r="140" customFormat="false" ht="12.8" hidden="false" customHeight="false" outlineLevel="0" collapsed="false">
      <c r="A140" s="9" t="n">
        <v>54.1</v>
      </c>
      <c r="B140" s="10" t="s">
        <v>206</v>
      </c>
      <c r="C140" s="10" t="s">
        <v>207</v>
      </c>
      <c r="E140" s="0" t="s">
        <v>426</v>
      </c>
    </row>
    <row r="141" customFormat="false" ht="12.8" hidden="false" customHeight="false" outlineLevel="0" collapsed="false">
      <c r="A141" s="9" t="n">
        <v>54.2</v>
      </c>
      <c r="B141" s="10" t="s">
        <v>288</v>
      </c>
      <c r="C141" s="10" t="s">
        <v>289</v>
      </c>
      <c r="E141" s="0" t="s">
        <v>367</v>
      </c>
    </row>
    <row r="142" customFormat="false" ht="12.8" hidden="false" customHeight="false" outlineLevel="0" collapsed="false">
      <c r="A142" s="9" t="n">
        <v>55</v>
      </c>
      <c r="B142" s="10" t="s">
        <v>208</v>
      </c>
      <c r="C142" s="10" t="s">
        <v>209</v>
      </c>
      <c r="D142" s="0" t="s">
        <v>427</v>
      </c>
      <c r="E142" s="0" t="s">
        <v>428</v>
      </c>
    </row>
    <row r="143" customFormat="false" ht="12.8" hidden="false" customHeight="false" outlineLevel="0" collapsed="false">
      <c r="A143" s="9" t="n">
        <v>55.1</v>
      </c>
      <c r="B143" s="10" t="s">
        <v>211</v>
      </c>
      <c r="C143" s="10" t="s">
        <v>212</v>
      </c>
      <c r="E143" s="0" t="s">
        <v>429</v>
      </c>
    </row>
    <row r="144" customFormat="false" ht="12.8" hidden="false" customHeight="false" outlineLevel="0" collapsed="false">
      <c r="A144" s="9" t="n">
        <v>55.2</v>
      </c>
      <c r="B144" s="10" t="s">
        <v>294</v>
      </c>
      <c r="C144" s="10" t="s">
        <v>295</v>
      </c>
      <c r="E144" s="0" t="s">
        <v>430</v>
      </c>
    </row>
    <row r="145" customFormat="false" ht="12.8" hidden="false" customHeight="false" outlineLevel="0" collapsed="false">
      <c r="A145" s="9" t="n">
        <v>56</v>
      </c>
      <c r="B145" s="10" t="s">
        <v>213</v>
      </c>
      <c r="C145" s="10" t="s">
        <v>297</v>
      </c>
      <c r="D145" s="0" t="s">
        <v>431</v>
      </c>
      <c r="E145" s="0" t="s">
        <v>432</v>
      </c>
    </row>
    <row r="146" customFormat="false" ht="12.8" hidden="false" customHeight="false" outlineLevel="0" collapsed="false">
      <c r="A146" s="9" t="n">
        <v>56.1</v>
      </c>
      <c r="B146" s="10" t="s">
        <v>216</v>
      </c>
      <c r="C146" s="10" t="s">
        <v>217</v>
      </c>
      <c r="E146" s="0" t="s">
        <v>433</v>
      </c>
    </row>
    <row r="148" customFormat="false" ht="12.8" hidden="false" customHeight="false" outlineLevel="0" collapsed="false">
      <c r="A148" s="9" t="n">
        <v>50</v>
      </c>
      <c r="B148" s="10" t="s">
        <v>398</v>
      </c>
      <c r="C148" s="10" t="s">
        <v>399</v>
      </c>
      <c r="D148" s="0" t="s">
        <v>392</v>
      </c>
      <c r="E148" s="0" t="s">
        <v>400</v>
      </c>
    </row>
    <row r="149" customFormat="false" ht="12.8" hidden="false" customHeight="false" outlineLevel="0" collapsed="false">
      <c r="A149" s="9" t="n">
        <v>50.1</v>
      </c>
      <c r="B149" s="10" t="s">
        <v>401</v>
      </c>
      <c r="C149" s="10" t="s">
        <v>182</v>
      </c>
      <c r="E149" s="0" t="s">
        <v>402</v>
      </c>
    </row>
    <row r="150" customFormat="false" ht="12.8" hidden="false" customHeight="false" outlineLevel="0" collapsed="false">
      <c r="A150" s="9" t="n">
        <v>50.2</v>
      </c>
      <c r="B150" s="10" t="s">
        <v>403</v>
      </c>
      <c r="C150" s="10" t="s">
        <v>184</v>
      </c>
      <c r="E150" s="0" t="s">
        <v>404</v>
      </c>
    </row>
    <row r="151" customFormat="false" ht="12.8" hidden="false" customHeight="false" outlineLevel="0" collapsed="false">
      <c r="A151" s="9" t="n">
        <v>51</v>
      </c>
      <c r="B151" s="10" t="s">
        <v>405</v>
      </c>
      <c r="C151" s="10" t="s">
        <v>406</v>
      </c>
      <c r="D151" s="0" t="s">
        <v>392</v>
      </c>
      <c r="E151" s="0" t="s">
        <v>407</v>
      </c>
    </row>
    <row r="152" customFormat="false" ht="12.8" hidden="false" customHeight="false" outlineLevel="0" collapsed="false">
      <c r="A152" s="9" t="n">
        <v>51.1</v>
      </c>
      <c r="B152" s="10" t="s">
        <v>408</v>
      </c>
      <c r="C152" s="10" t="s">
        <v>188</v>
      </c>
      <c r="E152" s="0" t="s">
        <v>409</v>
      </c>
    </row>
    <row r="153" customFormat="false" ht="12.8" hidden="false" customHeight="false" outlineLevel="0" collapsed="false">
      <c r="A153" s="9" t="n">
        <v>51.2</v>
      </c>
      <c r="B153" s="10" t="s">
        <v>410</v>
      </c>
      <c r="C153" s="10" t="s">
        <v>190</v>
      </c>
      <c r="E153" s="0" t="s">
        <v>411</v>
      </c>
    </row>
    <row r="154" customFormat="false" ht="12.8" hidden="false" customHeight="false" outlineLevel="0" collapsed="false">
      <c r="A154" s="9" t="n">
        <v>52</v>
      </c>
      <c r="B154" s="10" t="s">
        <v>191</v>
      </c>
      <c r="C154" s="10" t="s">
        <v>412</v>
      </c>
      <c r="D154" s="0" t="s">
        <v>413</v>
      </c>
      <c r="E154" s="0" t="s">
        <v>414</v>
      </c>
    </row>
    <row r="155" customFormat="false" ht="12.8" hidden="false" customHeight="false" outlineLevel="0" collapsed="false">
      <c r="A155" s="9" t="n">
        <v>52.1</v>
      </c>
      <c r="B155" s="10" t="s">
        <v>415</v>
      </c>
      <c r="C155" s="10" t="s">
        <v>416</v>
      </c>
      <c r="E155" s="0" t="s">
        <v>417</v>
      </c>
    </row>
    <row r="156" customFormat="false" ht="12.8" hidden="false" customHeight="false" outlineLevel="0" collapsed="false">
      <c r="A156" s="9" t="n">
        <v>52.2</v>
      </c>
      <c r="B156" s="10" t="s">
        <v>418</v>
      </c>
      <c r="C156" s="10" t="s">
        <v>278</v>
      </c>
      <c r="E156" s="0" t="s">
        <v>419</v>
      </c>
    </row>
    <row r="157" customFormat="false" ht="12.8" hidden="false" customHeight="false" outlineLevel="0" collapsed="false">
      <c r="A157" s="9" t="n">
        <v>53</v>
      </c>
      <c r="B157" s="10" t="s">
        <v>196</v>
      </c>
      <c r="C157" s="10" t="s">
        <v>197</v>
      </c>
      <c r="D157" s="0" t="s">
        <v>420</v>
      </c>
      <c r="E157" s="0" t="s">
        <v>421</v>
      </c>
    </row>
    <row r="158" customFormat="false" ht="12.8" hidden="false" customHeight="false" outlineLevel="0" collapsed="false">
      <c r="A158" s="9" t="n">
        <v>53.1</v>
      </c>
      <c r="B158" s="10" t="s">
        <v>199</v>
      </c>
      <c r="C158" s="10" t="s">
        <v>200</v>
      </c>
      <c r="E158" s="0" t="s">
        <v>422</v>
      </c>
    </row>
    <row r="159" customFormat="false" ht="12.8" hidden="false" customHeight="false" outlineLevel="0" collapsed="false">
      <c r="A159" s="9" t="n">
        <v>53.2</v>
      </c>
      <c r="B159" s="10" t="s">
        <v>283</v>
      </c>
      <c r="C159" s="10" t="s">
        <v>284</v>
      </c>
      <c r="E159" s="0" t="s">
        <v>367</v>
      </c>
    </row>
    <row r="160" customFormat="false" ht="12.8" hidden="false" customHeight="false" outlineLevel="0" collapsed="false">
      <c r="A160" s="9" t="n">
        <v>54</v>
      </c>
      <c r="B160" s="10" t="s">
        <v>203</v>
      </c>
      <c r="C160" s="10" t="s">
        <v>423</v>
      </c>
      <c r="D160" s="0" t="s">
        <v>424</v>
      </c>
      <c r="E160" s="0" t="s">
        <v>425</v>
      </c>
    </row>
    <row r="161" customFormat="false" ht="12.8" hidden="false" customHeight="false" outlineLevel="0" collapsed="false">
      <c r="A161" s="9" t="n">
        <v>54.1</v>
      </c>
      <c r="B161" s="10" t="s">
        <v>206</v>
      </c>
      <c r="C161" s="10" t="s">
        <v>207</v>
      </c>
      <c r="E161" s="0" t="s">
        <v>426</v>
      </c>
    </row>
    <row r="162" customFormat="false" ht="12.8" hidden="false" customHeight="false" outlineLevel="0" collapsed="false">
      <c r="A162" s="9" t="n">
        <v>54.2</v>
      </c>
      <c r="B162" s="10" t="s">
        <v>288</v>
      </c>
      <c r="C162" s="10" t="s">
        <v>289</v>
      </c>
      <c r="E162" s="0" t="s">
        <v>367</v>
      </c>
    </row>
    <row r="163" customFormat="false" ht="12.8" hidden="false" customHeight="false" outlineLevel="0" collapsed="false">
      <c r="A163" s="9" t="n">
        <v>55</v>
      </c>
      <c r="B163" s="10" t="s">
        <v>208</v>
      </c>
      <c r="C163" s="10" t="s">
        <v>209</v>
      </c>
      <c r="D163" s="0" t="s">
        <v>427</v>
      </c>
      <c r="E163" s="0" t="s">
        <v>428</v>
      </c>
    </row>
    <row r="164" customFormat="false" ht="12.8" hidden="false" customHeight="false" outlineLevel="0" collapsed="false">
      <c r="A164" s="9" t="n">
        <v>55.1</v>
      </c>
      <c r="B164" s="10" t="s">
        <v>211</v>
      </c>
      <c r="C164" s="10" t="s">
        <v>212</v>
      </c>
      <c r="E164" s="0" t="s">
        <v>429</v>
      </c>
    </row>
    <row r="165" customFormat="false" ht="12.8" hidden="false" customHeight="false" outlineLevel="0" collapsed="false">
      <c r="A165" s="9" t="n">
        <v>55.2</v>
      </c>
      <c r="B165" s="10" t="s">
        <v>294</v>
      </c>
      <c r="C165" s="10" t="s">
        <v>295</v>
      </c>
      <c r="E165" s="0" t="s">
        <v>430</v>
      </c>
    </row>
    <row r="166" customFormat="false" ht="12.8" hidden="false" customHeight="false" outlineLevel="0" collapsed="false">
      <c r="A166" s="9" t="n">
        <v>56</v>
      </c>
      <c r="B166" s="10" t="s">
        <v>213</v>
      </c>
      <c r="C166" s="10" t="s">
        <v>297</v>
      </c>
      <c r="D166" s="0" t="s">
        <v>431</v>
      </c>
      <c r="E166" s="0" t="s">
        <v>432</v>
      </c>
    </row>
    <row r="167" customFormat="false" ht="12.8" hidden="false" customHeight="false" outlineLevel="0" collapsed="false">
      <c r="A167" s="9" t="n">
        <v>56.1</v>
      </c>
      <c r="B167" s="10" t="s">
        <v>216</v>
      </c>
      <c r="C167" s="10" t="s">
        <v>217</v>
      </c>
      <c r="E167" s="0" t="s">
        <v>433</v>
      </c>
    </row>
    <row r="169" customFormat="false" ht="12.8" hidden="false" customHeight="false" outlineLevel="0" collapsed="false">
      <c r="A169" s="9" t="n">
        <v>56.2</v>
      </c>
      <c r="B169" s="10" t="s">
        <v>434</v>
      </c>
      <c r="C169" s="10" t="s">
        <v>435</v>
      </c>
    </row>
    <row r="170" customFormat="false" ht="12.8" hidden="false" customHeight="false" outlineLevel="0" collapsed="false">
      <c r="A170" s="9" t="n">
        <v>57</v>
      </c>
      <c r="B170" s="10" t="s">
        <v>220</v>
      </c>
      <c r="C170" s="10" t="s">
        <v>436</v>
      </c>
    </row>
    <row r="171" customFormat="false" ht="12.8" hidden="false" customHeight="false" outlineLevel="0" collapsed="false">
      <c r="A171" s="9" t="n">
        <v>57.1</v>
      </c>
      <c r="B171" s="10" t="s">
        <v>223</v>
      </c>
      <c r="C171" s="10" t="s">
        <v>437</v>
      </c>
    </row>
    <row r="172" customFormat="false" ht="12.8" hidden="false" customHeight="false" outlineLevel="0" collapsed="false">
      <c r="A172" s="9" t="n">
        <v>57.2</v>
      </c>
      <c r="B172" s="10" t="s">
        <v>305</v>
      </c>
      <c r="C172" s="10" t="s">
        <v>438</v>
      </c>
    </row>
    <row r="173" customFormat="false" ht="12.8" hidden="false" customHeight="false" outlineLevel="0" collapsed="false">
      <c r="A173" s="9" t="n">
        <v>58</v>
      </c>
      <c r="B173" s="10" t="s">
        <v>225</v>
      </c>
      <c r="C173" s="10" t="s">
        <v>439</v>
      </c>
    </row>
    <row r="174" customFormat="false" ht="12.8" hidden="false" customHeight="false" outlineLevel="0" collapsed="false">
      <c r="A174" s="9" t="n">
        <v>58.1</v>
      </c>
      <c r="B174" s="10" t="s">
        <v>228</v>
      </c>
      <c r="C174" s="10" t="s">
        <v>440</v>
      </c>
    </row>
    <row r="175" customFormat="false" ht="12.8" hidden="false" customHeight="false" outlineLevel="0" collapsed="false">
      <c r="A175" s="9" t="n">
        <v>58.2</v>
      </c>
      <c r="B175" s="10" t="s">
        <v>310</v>
      </c>
      <c r="C175" s="10" t="s">
        <v>441</v>
      </c>
    </row>
    <row r="176" customFormat="false" ht="12.8" hidden="false" customHeight="false" outlineLevel="0" collapsed="false">
      <c r="A176" s="9" t="n">
        <v>59</v>
      </c>
      <c r="B176" s="10" t="s">
        <v>312</v>
      </c>
      <c r="C176" s="10" t="s">
        <v>442</v>
      </c>
    </row>
    <row r="177" customFormat="false" ht="12.8" hidden="false" customHeight="false" outlineLevel="0" collapsed="false">
      <c r="A177" s="9" t="n">
        <v>59.1</v>
      </c>
      <c r="B177" s="10" t="s">
        <v>316</v>
      </c>
      <c r="C177" s="10" t="s">
        <v>443</v>
      </c>
    </row>
    <row r="178" customFormat="false" ht="12.8" hidden="false" customHeight="false" outlineLevel="0" collapsed="false">
      <c r="A178" s="9" t="n">
        <v>59.2</v>
      </c>
      <c r="B178" s="10" t="s">
        <v>319</v>
      </c>
      <c r="C178" s="10" t="s">
        <v>444</v>
      </c>
    </row>
    <row r="179" customFormat="false" ht="12.8" hidden="false" customHeight="false" outlineLevel="0" collapsed="false">
      <c r="A179" s="9" t="n">
        <v>60</v>
      </c>
      <c r="B179" s="10" t="s">
        <v>238</v>
      </c>
      <c r="C179" s="10" t="s">
        <v>445</v>
      </c>
    </row>
    <row r="180" customFormat="false" ht="12.8" hidden="false" customHeight="false" outlineLevel="0" collapsed="false">
      <c r="A180" s="9" t="n">
        <v>60.1</v>
      </c>
      <c r="B180" s="10" t="s">
        <v>241</v>
      </c>
      <c r="C180" s="10" t="s">
        <v>446</v>
      </c>
    </row>
    <row r="181" customFormat="false" ht="12.8" hidden="false" customHeight="false" outlineLevel="0" collapsed="false">
      <c r="A181" s="9" t="n">
        <v>60.2</v>
      </c>
      <c r="B181" s="10" t="s">
        <v>243</v>
      </c>
      <c r="C181" s="10" t="s">
        <v>447</v>
      </c>
    </row>
    <row r="182" customFormat="false" ht="12.8" hidden="false" customHeight="false" outlineLevel="0" collapsed="false">
      <c r="A182" s="9" t="n">
        <v>61</v>
      </c>
      <c r="B182" s="10" t="s">
        <v>245</v>
      </c>
      <c r="C182" s="10" t="s">
        <v>448</v>
      </c>
    </row>
    <row r="183" customFormat="false" ht="12.8" hidden="false" customHeight="false" outlineLevel="0" collapsed="false">
      <c r="A183" s="9" t="n">
        <v>61.1</v>
      </c>
      <c r="B183" s="10" t="s">
        <v>248</v>
      </c>
      <c r="C183" s="10" t="s">
        <v>449</v>
      </c>
    </row>
    <row r="184" customFormat="false" ht="12.8" hidden="false" customHeight="false" outlineLevel="0" collapsed="false">
      <c r="A184" s="9" t="n">
        <v>61.2</v>
      </c>
      <c r="B184" s="10" t="s">
        <v>250</v>
      </c>
      <c r="C184" s="10" t="s">
        <v>450</v>
      </c>
    </row>
    <row r="185" customFormat="false" ht="12.8" hidden="false" customHeight="false" outlineLevel="0" collapsed="false">
      <c r="A185" s="9" t="n">
        <v>62</v>
      </c>
      <c r="B185" s="10" t="s">
        <v>252</v>
      </c>
      <c r="C185" s="10" t="s">
        <v>451</v>
      </c>
    </row>
    <row r="186" customFormat="false" ht="12.8" hidden="false" customHeight="false" outlineLevel="0" collapsed="false">
      <c r="A186" s="9" t="n">
        <v>62.1</v>
      </c>
      <c r="B186" s="10" t="s">
        <v>254</v>
      </c>
      <c r="C186" s="10" t="s">
        <v>452</v>
      </c>
    </row>
    <row r="187" customFormat="false" ht="12.8" hidden="false" customHeight="false" outlineLevel="0" collapsed="false">
      <c r="A187" s="9" t="n">
        <v>62.2</v>
      </c>
      <c r="B187" s="10" t="s">
        <v>453</v>
      </c>
      <c r="C187" s="10" t="s">
        <v>454</v>
      </c>
    </row>
    <row r="189" customFormat="false" ht="12.8" hidden="false" customHeight="false" outlineLevel="0" collapsed="false">
      <c r="A189" s="9" t="n">
        <v>63</v>
      </c>
      <c r="B189" s="10" t="s">
        <v>455</v>
      </c>
      <c r="C189" s="10" t="s">
        <v>456</v>
      </c>
      <c r="D189" s="0" t="s">
        <v>457</v>
      </c>
      <c r="E189" s="0" t="s">
        <v>458</v>
      </c>
    </row>
    <row r="190" customFormat="false" ht="12.8" hidden="false" customHeight="false" outlineLevel="0" collapsed="false">
      <c r="A190" s="9" t="n">
        <v>63.1</v>
      </c>
      <c r="B190" s="10" t="s">
        <v>459</v>
      </c>
      <c r="C190" s="10" t="s">
        <v>460</v>
      </c>
      <c r="E190" s="0" t="s">
        <v>461</v>
      </c>
    </row>
    <row r="191" customFormat="false" ht="12.8" hidden="false" customHeight="false" outlineLevel="0" collapsed="false">
      <c r="A191" s="9" t="n">
        <v>63.2</v>
      </c>
      <c r="B191" s="10" t="s">
        <v>462</v>
      </c>
      <c r="C191" s="10" t="s">
        <v>463</v>
      </c>
      <c r="E191" s="0" t="s">
        <v>464</v>
      </c>
    </row>
    <row r="192" customFormat="false" ht="12.8" hidden="false" customHeight="false" outlineLevel="0" collapsed="false">
      <c r="A192" s="9" t="n">
        <v>64</v>
      </c>
      <c r="B192" s="10" t="s">
        <v>270</v>
      </c>
      <c r="C192" s="10" t="s">
        <v>465</v>
      </c>
      <c r="D192" s="0" t="s">
        <v>466</v>
      </c>
      <c r="E192" s="0" t="s">
        <v>467</v>
      </c>
    </row>
    <row r="193" customFormat="false" ht="12.8" hidden="false" customHeight="false" outlineLevel="0" collapsed="false">
      <c r="A193" s="9" t="n">
        <v>64.1</v>
      </c>
      <c r="B193" s="10" t="s">
        <v>468</v>
      </c>
      <c r="C193" s="10" t="s">
        <v>469</v>
      </c>
      <c r="E193" s="0" t="s">
        <v>470</v>
      </c>
    </row>
    <row r="194" customFormat="false" ht="12.8" hidden="false" customHeight="false" outlineLevel="0" collapsed="false">
      <c r="A194" s="9" t="n">
        <v>64.2</v>
      </c>
      <c r="B194" s="10" t="s">
        <v>471</v>
      </c>
      <c r="C194" s="10" t="s">
        <v>472</v>
      </c>
      <c r="E194" s="0" t="s">
        <v>473</v>
      </c>
    </row>
    <row r="195" customFormat="false" ht="12.8" hidden="false" customHeight="false" outlineLevel="0" collapsed="false">
      <c r="A195" s="9" t="n">
        <v>65</v>
      </c>
      <c r="B195" s="10" t="s">
        <v>474</v>
      </c>
      <c r="C195" s="10" t="s">
        <v>475</v>
      </c>
      <c r="E195" s="0" t="s">
        <v>476</v>
      </c>
    </row>
    <row r="196" customFormat="false" ht="12.8" hidden="false" customHeight="false" outlineLevel="0" collapsed="false">
      <c r="A196" s="9" t="n">
        <v>66</v>
      </c>
      <c r="B196" s="10" t="s">
        <v>477</v>
      </c>
      <c r="C196" s="10" t="s">
        <v>478</v>
      </c>
      <c r="E196" s="0" t="s">
        <v>479</v>
      </c>
    </row>
    <row r="197" customFormat="false" ht="12.8" hidden="false" customHeight="false" outlineLevel="0" collapsed="false">
      <c r="A197" s="9" t="n">
        <v>67</v>
      </c>
      <c r="B197" s="10" t="s">
        <v>480</v>
      </c>
      <c r="C197" s="10" t="s">
        <v>481</v>
      </c>
      <c r="E197" s="0" t="s">
        <v>482</v>
      </c>
    </row>
    <row r="198" customFormat="false" ht="12.8" hidden="false" customHeight="false" outlineLevel="0" collapsed="false">
      <c r="A198" s="9" t="n">
        <v>68</v>
      </c>
      <c r="B198" s="10" t="s">
        <v>483</v>
      </c>
      <c r="C198" s="10" t="s">
        <v>484</v>
      </c>
      <c r="E198" s="0" t="s">
        <v>485</v>
      </c>
    </row>
    <row r="199" customFormat="false" ht="12.8" hidden="false" customHeight="false" outlineLevel="0" collapsed="false">
      <c r="A199" s="9" t="n">
        <v>69</v>
      </c>
      <c r="B199" s="10" t="s">
        <v>486</v>
      </c>
      <c r="C199" s="10" t="s">
        <v>487</v>
      </c>
      <c r="E199" s="0" t="s">
        <v>488</v>
      </c>
    </row>
    <row r="200" customFormat="false" ht="12.8" hidden="false" customHeight="false" outlineLevel="0" collapsed="false">
      <c r="A200" s="9" t="n">
        <v>70</v>
      </c>
      <c r="B200" s="10" t="s">
        <v>489</v>
      </c>
      <c r="C200" s="10" t="s">
        <v>490</v>
      </c>
      <c r="E200" s="0" t="s">
        <v>491</v>
      </c>
    </row>
    <row r="201" customFormat="false" ht="12.8" hidden="false" customHeight="false" outlineLevel="0" collapsed="false">
      <c r="A201" s="9" t="n">
        <v>71</v>
      </c>
      <c r="B201" s="10" t="s">
        <v>492</v>
      </c>
      <c r="C201" s="10" t="s">
        <v>493</v>
      </c>
      <c r="E201" s="0" t="s">
        <v>494</v>
      </c>
    </row>
    <row r="202" customFormat="false" ht="12.8" hidden="false" customHeight="false" outlineLevel="0" collapsed="false">
      <c r="A202" s="9" t="n">
        <v>72</v>
      </c>
      <c r="B202" s="10" t="s">
        <v>495</v>
      </c>
      <c r="C202" s="10" t="s">
        <v>496</v>
      </c>
      <c r="E202" s="0" t="s">
        <v>497</v>
      </c>
    </row>
    <row r="203" customFormat="false" ht="12.8" hidden="false" customHeight="false" outlineLevel="0" collapsed="false">
      <c r="A203" s="9" t="n">
        <v>73</v>
      </c>
      <c r="B203" s="10" t="s">
        <v>498</v>
      </c>
      <c r="C203" s="10" t="s">
        <v>499</v>
      </c>
      <c r="E203" s="0" t="s">
        <v>500</v>
      </c>
    </row>
    <row r="204" customFormat="false" ht="12.8" hidden="false" customHeight="false" outlineLevel="0" collapsed="false">
      <c r="A204" s="9" t="n">
        <v>74</v>
      </c>
      <c r="B204" s="10" t="s">
        <v>501</v>
      </c>
      <c r="C204" s="10" t="s">
        <v>366</v>
      </c>
      <c r="E204" s="0" t="s">
        <v>502</v>
      </c>
    </row>
    <row r="205" customFormat="false" ht="12.8" hidden="false" customHeight="false" outlineLevel="0" collapsed="false">
      <c r="A205" s="9" t="n">
        <v>75</v>
      </c>
      <c r="B205" s="10" t="s">
        <v>503</v>
      </c>
      <c r="C205" s="10" t="s">
        <v>375</v>
      </c>
      <c r="E205" s="0" t="s">
        <v>504</v>
      </c>
    </row>
    <row r="206" customFormat="false" ht="12.8" hidden="false" customHeight="false" outlineLevel="0" collapsed="false">
      <c r="A206" s="9" t="n">
        <v>76</v>
      </c>
      <c r="B206" s="10" t="s">
        <v>505</v>
      </c>
      <c r="C206" s="10" t="s">
        <v>163</v>
      </c>
      <c r="E206" s="0" t="s">
        <v>506</v>
      </c>
    </row>
    <row r="207" customFormat="false" ht="12.8" hidden="false" customHeight="false" outlineLevel="0" collapsed="false">
      <c r="A207" s="9" t="n">
        <v>77</v>
      </c>
      <c r="B207" s="10" t="s">
        <v>507</v>
      </c>
      <c r="C207" s="10" t="s">
        <v>170</v>
      </c>
      <c r="E207" s="0" t="s">
        <v>508</v>
      </c>
    </row>
    <row r="208" customFormat="false" ht="12.8" hidden="false" customHeight="false" outlineLevel="0" collapsed="false">
      <c r="A208" s="9" t="n">
        <v>78</v>
      </c>
      <c r="B208" s="10" t="s">
        <v>509</v>
      </c>
      <c r="C208" s="10" t="s">
        <v>177</v>
      </c>
      <c r="E208" s="0" t="s">
        <v>510</v>
      </c>
    </row>
    <row r="210" customFormat="false" ht="12.8" hidden="false" customHeight="false" outlineLevel="0" collapsed="false">
      <c r="A210" s="9" t="n">
        <v>79</v>
      </c>
      <c r="B210" s="10" t="s">
        <v>507</v>
      </c>
      <c r="C210" s="10" t="s">
        <v>170</v>
      </c>
      <c r="E210" s="0" t="s">
        <v>508</v>
      </c>
    </row>
    <row r="211" customFormat="false" ht="12.8" hidden="false" customHeight="false" outlineLevel="0" collapsed="false">
      <c r="A211" s="9" t="n">
        <v>80</v>
      </c>
      <c r="B211" s="10" t="s">
        <v>511</v>
      </c>
      <c r="C211" s="10" t="s">
        <v>184</v>
      </c>
      <c r="E211" s="0" t="s">
        <v>404</v>
      </c>
    </row>
    <row r="212" customFormat="false" ht="12.8" hidden="false" customHeight="false" outlineLevel="0" collapsed="false">
      <c r="A212" s="9" t="n">
        <v>81</v>
      </c>
      <c r="B212" s="10" t="s">
        <v>512</v>
      </c>
      <c r="C212" s="10" t="s">
        <v>190</v>
      </c>
      <c r="E212" s="0" t="s">
        <v>411</v>
      </c>
    </row>
    <row r="213" customFormat="false" ht="12.8" hidden="false" customHeight="false" outlineLevel="0" collapsed="false">
      <c r="A213" s="9" t="n">
        <v>82</v>
      </c>
      <c r="B213" s="10" t="s">
        <v>513</v>
      </c>
      <c r="C213" s="10" t="s">
        <v>284</v>
      </c>
      <c r="E213" s="0" t="s">
        <v>514</v>
      </c>
    </row>
    <row r="214" customFormat="false" ht="12.8" hidden="false" customHeight="false" outlineLevel="0" collapsed="false">
      <c r="A214" s="9" t="n">
        <v>83</v>
      </c>
      <c r="B214" s="10" t="s">
        <v>515</v>
      </c>
      <c r="C214" s="10" t="s">
        <v>289</v>
      </c>
      <c r="E214" s="0" t="s">
        <v>516</v>
      </c>
    </row>
    <row r="215" customFormat="false" ht="12.8" hidden="false" customHeight="false" outlineLevel="0" collapsed="false">
      <c r="A215" s="9" t="n">
        <v>84</v>
      </c>
      <c r="B215" s="10" t="s">
        <v>517</v>
      </c>
      <c r="C215" s="10" t="s">
        <v>518</v>
      </c>
      <c r="E215" s="0" t="s">
        <v>519</v>
      </c>
    </row>
    <row r="216" customFormat="false" ht="12.8" hidden="false" customHeight="false" outlineLevel="0" collapsed="false">
      <c r="A216" s="9" t="n">
        <v>85</v>
      </c>
      <c r="B216" s="10" t="s">
        <v>520</v>
      </c>
      <c r="C216" s="10" t="s">
        <v>301</v>
      </c>
      <c r="E216" s="0" t="s">
        <v>521</v>
      </c>
    </row>
    <row r="217" customFormat="false" ht="12.8" hidden="false" customHeight="false" outlineLevel="0" collapsed="false">
      <c r="A217" s="9" t="n">
        <v>86</v>
      </c>
      <c r="B217" s="10" t="s">
        <v>522</v>
      </c>
      <c r="C217" s="10" t="s">
        <v>306</v>
      </c>
      <c r="E217" s="0" t="s">
        <v>523</v>
      </c>
    </row>
    <row r="218" customFormat="false" ht="12.8" hidden="false" customHeight="false" outlineLevel="0" collapsed="false">
      <c r="A218" s="9" t="n">
        <v>87</v>
      </c>
      <c r="B218" s="10" t="s">
        <v>524</v>
      </c>
      <c r="C218" s="10" t="s">
        <v>311</v>
      </c>
      <c r="E218" s="0" t="s">
        <v>525</v>
      </c>
    </row>
    <row r="219" customFormat="false" ht="12.8" hidden="false" customHeight="false" outlineLevel="0" collapsed="false">
      <c r="A219" s="9" t="n">
        <v>88</v>
      </c>
      <c r="B219" s="10" t="s">
        <v>526</v>
      </c>
      <c r="C219" s="10" t="s">
        <v>527</v>
      </c>
      <c r="E219" s="0" t="s">
        <v>528</v>
      </c>
    </row>
    <row r="220" customFormat="false" ht="12.8" hidden="false" customHeight="false" outlineLevel="0" collapsed="false">
      <c r="A220" s="9" t="n">
        <v>89</v>
      </c>
      <c r="B220" s="10" t="s">
        <v>529</v>
      </c>
      <c r="C220" s="10" t="s">
        <v>530</v>
      </c>
      <c r="E220" s="0" t="s">
        <v>531</v>
      </c>
    </row>
    <row r="221" customFormat="false" ht="12.8" hidden="false" customHeight="false" outlineLevel="0" collapsed="false">
      <c r="A221" s="9" t="n">
        <v>90</v>
      </c>
      <c r="B221" s="10" t="s">
        <v>532</v>
      </c>
      <c r="C221" s="10" t="s">
        <v>463</v>
      </c>
      <c r="E221" s="0" t="s">
        <v>464</v>
      </c>
    </row>
    <row r="222" customFormat="false" ht="12.8" hidden="false" customHeight="false" outlineLevel="0" collapsed="false">
      <c r="A222" s="9" t="n">
        <v>91</v>
      </c>
      <c r="B222" s="10" t="s">
        <v>533</v>
      </c>
      <c r="C222" s="10" t="s">
        <v>534</v>
      </c>
      <c r="E222" s="0" t="s">
        <v>535</v>
      </c>
    </row>
    <row r="223" customFormat="false" ht="12.8" hidden="false" customHeight="false" outlineLevel="0" collapsed="false">
      <c r="A223" s="9" t="n">
        <v>92</v>
      </c>
      <c r="B223" s="10" t="s">
        <v>536</v>
      </c>
      <c r="C223" s="10" t="s">
        <v>537</v>
      </c>
      <c r="E223" s="0" t="s">
        <v>538</v>
      </c>
    </row>
    <row r="224" customFormat="false" ht="12.8" hidden="false" customHeight="false" outlineLevel="0" collapsed="false">
      <c r="A224" s="9" t="n">
        <v>93</v>
      </c>
      <c r="B224" s="10" t="s">
        <v>539</v>
      </c>
      <c r="C224" s="10" t="s">
        <v>540</v>
      </c>
      <c r="E224" s="0" t="s">
        <v>541</v>
      </c>
    </row>
    <row r="225" customFormat="false" ht="12.8" hidden="false" customHeight="false" outlineLevel="0" collapsed="false">
      <c r="A225" s="9" t="n">
        <v>94</v>
      </c>
      <c r="B225" s="10" t="s">
        <v>542</v>
      </c>
      <c r="C225" s="10" t="s">
        <v>543</v>
      </c>
      <c r="E225" s="0" t="s">
        <v>544</v>
      </c>
    </row>
    <row r="226" customFormat="false" ht="12.8" hidden="false" customHeight="false" outlineLevel="0" collapsed="false">
      <c r="A226" s="9" t="n">
        <v>95</v>
      </c>
      <c r="B226" s="10" t="s">
        <v>545</v>
      </c>
      <c r="C226" s="10" t="s">
        <v>546</v>
      </c>
      <c r="E226" s="0" t="s">
        <v>547</v>
      </c>
    </row>
    <row r="227" customFormat="false" ht="12.8" hidden="false" customHeight="false" outlineLevel="0" collapsed="false">
      <c r="A227" s="9" t="n">
        <v>96</v>
      </c>
      <c r="B227" s="10" t="s">
        <v>548</v>
      </c>
      <c r="C227" s="10" t="s">
        <v>549</v>
      </c>
      <c r="E227" s="0" t="s">
        <v>550</v>
      </c>
    </row>
    <row r="228" customFormat="false" ht="12.8" hidden="false" customHeight="false" outlineLevel="0" collapsed="false">
      <c r="A228" s="9" t="n">
        <v>97</v>
      </c>
      <c r="B228" s="10" t="s">
        <v>551</v>
      </c>
      <c r="C228" s="10" t="s">
        <v>552</v>
      </c>
      <c r="E228" s="0" t="s">
        <v>553</v>
      </c>
    </row>
    <row r="229" customFormat="false" ht="12.8" hidden="false" customHeight="false" outlineLevel="0" collapsed="false">
      <c r="A229" s="9" t="n">
        <v>98</v>
      </c>
      <c r="B229" s="10" t="s">
        <v>554</v>
      </c>
      <c r="C229" s="10" t="s">
        <v>555</v>
      </c>
      <c r="E229" s="0" t="s">
        <v>556</v>
      </c>
    </row>
    <row r="231" customFormat="false" ht="12.8" hidden="false" customHeight="false" outlineLevel="0" collapsed="false">
      <c r="A231" s="9" t="n">
        <v>99</v>
      </c>
      <c r="B231" s="10" t="s">
        <v>511</v>
      </c>
      <c r="C231" s="10" t="s">
        <v>184</v>
      </c>
      <c r="E231" s="0" t="s">
        <v>404</v>
      </c>
    </row>
    <row r="232" customFormat="false" ht="12.8" hidden="false" customHeight="false" outlineLevel="0" collapsed="false">
      <c r="A232" s="9" t="n">
        <v>100</v>
      </c>
      <c r="B232" s="10" t="s">
        <v>512</v>
      </c>
      <c r="C232" s="10" t="s">
        <v>190</v>
      </c>
      <c r="E232" s="0" t="s">
        <v>411</v>
      </c>
    </row>
    <row r="233" customFormat="false" ht="12.8" hidden="false" customHeight="false" outlineLevel="0" collapsed="false">
      <c r="A233" s="9" t="n">
        <v>101</v>
      </c>
      <c r="B233" s="10" t="s">
        <v>557</v>
      </c>
      <c r="C233" s="10" t="s">
        <v>558</v>
      </c>
      <c r="E233" s="0" t="s">
        <v>559</v>
      </c>
    </row>
    <row r="234" customFormat="false" ht="12.8" hidden="false" customHeight="false" outlineLevel="0" collapsed="false">
      <c r="A234" s="9" t="n">
        <v>102</v>
      </c>
      <c r="B234" s="10" t="s">
        <v>560</v>
      </c>
      <c r="C234" s="10" t="s">
        <v>561</v>
      </c>
      <c r="E234" s="0" t="s">
        <v>562</v>
      </c>
    </row>
    <row r="235" customFormat="false" ht="12.8" hidden="false" customHeight="false" outlineLevel="0" collapsed="false">
      <c r="A235" s="9" t="n">
        <v>103</v>
      </c>
      <c r="B235" s="10" t="s">
        <v>563</v>
      </c>
      <c r="C235" s="10" t="s">
        <v>564</v>
      </c>
      <c r="E235" s="0" t="s">
        <v>565</v>
      </c>
    </row>
    <row r="236" customFormat="false" ht="12.8" hidden="false" customHeight="false" outlineLevel="0" collapsed="false">
      <c r="A236" s="9" t="n">
        <v>104</v>
      </c>
      <c r="B236" s="10" t="s">
        <v>566</v>
      </c>
      <c r="C236" s="10" t="s">
        <v>567</v>
      </c>
      <c r="E236" s="0" t="s">
        <v>568</v>
      </c>
    </row>
    <row r="237" customFormat="false" ht="12.8" hidden="false" customHeight="false" outlineLevel="0" collapsed="false">
      <c r="A237" s="9" t="n">
        <v>105</v>
      </c>
      <c r="B237" s="10" t="s">
        <v>569</v>
      </c>
      <c r="C237" s="10" t="s">
        <v>570</v>
      </c>
      <c r="E237" s="0" t="s">
        <v>571</v>
      </c>
    </row>
    <row r="238" customFormat="false" ht="12.8" hidden="false" customHeight="false" outlineLevel="0" collapsed="false">
      <c r="A238" s="9" t="n">
        <v>106</v>
      </c>
      <c r="B238" s="10" t="s">
        <v>572</v>
      </c>
      <c r="C238" s="10" t="s">
        <v>573</v>
      </c>
      <c r="E238" s="0" t="s">
        <v>574</v>
      </c>
    </row>
    <row r="239" customFormat="false" ht="12.8" hidden="false" customHeight="false" outlineLevel="0" collapsed="false">
      <c r="A239" s="9" t="n">
        <v>107</v>
      </c>
      <c r="B239" s="10" t="s">
        <v>575</v>
      </c>
      <c r="C239" s="10" t="s">
        <v>576</v>
      </c>
      <c r="E239" s="0" t="s">
        <v>577</v>
      </c>
    </row>
    <row r="240" customFormat="false" ht="12.8" hidden="false" customHeight="false" outlineLevel="0" collapsed="false">
      <c r="A240" s="9" t="n">
        <v>108</v>
      </c>
      <c r="B240" s="10" t="s">
        <v>578</v>
      </c>
      <c r="C240" s="10" t="s">
        <v>579</v>
      </c>
      <c r="E240" s="0" t="s">
        <v>580</v>
      </c>
    </row>
    <row r="241" customFormat="false" ht="12.8" hidden="false" customHeight="false" outlineLevel="0" collapsed="false">
      <c r="A241" s="9" t="n">
        <v>109</v>
      </c>
      <c r="B241" s="10" t="s">
        <v>581</v>
      </c>
      <c r="C241" s="10" t="s">
        <v>582</v>
      </c>
      <c r="E241" s="0" t="s">
        <v>583</v>
      </c>
    </row>
    <row r="242" customFormat="false" ht="12.8" hidden="false" customHeight="false" outlineLevel="0" collapsed="false">
      <c r="A242" s="9" t="n">
        <v>110</v>
      </c>
      <c r="B242" s="10" t="s">
        <v>584</v>
      </c>
      <c r="C242" s="10" t="s">
        <v>585</v>
      </c>
      <c r="E242" s="0" t="s">
        <v>586</v>
      </c>
    </row>
    <row r="243" customFormat="false" ht="12.8" hidden="false" customHeight="false" outlineLevel="0" collapsed="false">
      <c r="A243" s="9" t="n">
        <v>111</v>
      </c>
      <c r="B243" s="10" t="s">
        <v>587</v>
      </c>
      <c r="C243" s="10" t="s">
        <v>588</v>
      </c>
      <c r="E243" s="0" t="s">
        <v>589</v>
      </c>
    </row>
    <row r="244" customFormat="false" ht="12.8" hidden="false" customHeight="false" outlineLevel="0" collapsed="false">
      <c r="A244" s="9" t="n">
        <v>112</v>
      </c>
      <c r="B244" s="10" t="s">
        <v>590</v>
      </c>
      <c r="C244" s="10" t="s">
        <v>591</v>
      </c>
      <c r="E244" s="0" t="s">
        <v>592</v>
      </c>
    </row>
    <row r="245" customFormat="false" ht="12.8" hidden="false" customHeight="false" outlineLevel="0" collapsed="false">
      <c r="A245" s="9" t="n">
        <v>113</v>
      </c>
      <c r="B245" s="10" t="s">
        <v>593</v>
      </c>
      <c r="C245" s="10" t="s">
        <v>594</v>
      </c>
      <c r="E245" s="0" t="s">
        <v>595</v>
      </c>
    </row>
    <row r="246" customFormat="false" ht="12.8" hidden="false" customHeight="false" outlineLevel="0" collapsed="false">
      <c r="A246" s="9" t="n">
        <v>114</v>
      </c>
      <c r="B246" s="10" t="s">
        <v>596</v>
      </c>
      <c r="C246" s="10" t="s">
        <v>597</v>
      </c>
      <c r="E246" s="0" t="s">
        <v>598</v>
      </c>
    </row>
    <row r="247" customFormat="false" ht="12.8" hidden="false" customHeight="false" outlineLevel="0" collapsed="false">
      <c r="A247" s="9" t="n">
        <v>115</v>
      </c>
      <c r="B247" s="10" t="s">
        <v>599</v>
      </c>
      <c r="C247" s="10" t="s">
        <v>600</v>
      </c>
      <c r="E247" s="0" t="s">
        <v>601</v>
      </c>
    </row>
    <row r="248" customFormat="false" ht="12.8" hidden="false" customHeight="false" outlineLevel="0" collapsed="false">
      <c r="A248" s="9" t="n">
        <v>116</v>
      </c>
      <c r="B248" s="10" t="s">
        <v>602</v>
      </c>
      <c r="C248" s="10" t="s">
        <v>603</v>
      </c>
      <c r="E248" s="0" t="s">
        <v>604</v>
      </c>
    </row>
    <row r="249" customFormat="false" ht="12.8" hidden="false" customHeight="false" outlineLevel="0" collapsed="false">
      <c r="A249" s="9" t="n">
        <v>117</v>
      </c>
      <c r="B249" s="10" t="s">
        <v>605</v>
      </c>
      <c r="C249" s="10" t="s">
        <v>606</v>
      </c>
      <c r="E249" s="0" t="s">
        <v>607</v>
      </c>
    </row>
    <row r="250" customFormat="false" ht="12.8" hidden="false" customHeight="false" outlineLevel="0" collapsed="false">
      <c r="A250" s="9" t="n">
        <v>118</v>
      </c>
      <c r="B250" s="10" t="s">
        <v>608</v>
      </c>
      <c r="C250" s="10" t="s">
        <v>609</v>
      </c>
      <c r="E250" s="0" t="s">
        <v>610</v>
      </c>
    </row>
    <row r="251" customFormat="false" ht="12.8" hidden="false" customHeight="false" outlineLevel="0" collapsed="false">
      <c r="A251" s="9" t="n">
        <v>119</v>
      </c>
      <c r="B251" s="10" t="s">
        <v>611</v>
      </c>
      <c r="C251" s="10" t="s">
        <v>612</v>
      </c>
      <c r="E251" s="0" t="s">
        <v>613</v>
      </c>
    </row>
    <row r="253" customFormat="false" ht="12.8" hidden="false" customHeight="false" outlineLevel="0" collapsed="false">
      <c r="A253" s="9" t="n">
        <v>120</v>
      </c>
      <c r="B253" s="10" t="s">
        <v>614</v>
      </c>
      <c r="C253" s="10" t="s">
        <v>615</v>
      </c>
      <c r="E253" s="0" t="s">
        <v>616</v>
      </c>
    </row>
    <row r="254" customFormat="false" ht="12.8" hidden="false" customHeight="false" outlineLevel="0" collapsed="false">
      <c r="A254" s="9" t="n">
        <v>121</v>
      </c>
      <c r="B254" s="10" t="s">
        <v>617</v>
      </c>
      <c r="C254" s="10" t="s">
        <v>618</v>
      </c>
      <c r="E254" s="0" t="s">
        <v>619</v>
      </c>
    </row>
    <row r="255" customFormat="false" ht="12.8" hidden="false" customHeight="false" outlineLevel="0" collapsed="false">
      <c r="A255" s="9" t="n">
        <v>122</v>
      </c>
      <c r="B255" s="10" t="s">
        <v>620</v>
      </c>
      <c r="C255" s="10" t="s">
        <v>621</v>
      </c>
      <c r="E255" s="0" t="s">
        <v>622</v>
      </c>
    </row>
    <row r="256" customFormat="false" ht="12.8" hidden="false" customHeight="false" outlineLevel="0" collapsed="false">
      <c r="A256" s="9" t="n">
        <v>123</v>
      </c>
      <c r="B256" s="10" t="s">
        <v>623</v>
      </c>
      <c r="C256" s="10" t="s">
        <v>624</v>
      </c>
      <c r="E256" s="0" t="s">
        <v>625</v>
      </c>
    </row>
    <row r="257" customFormat="false" ht="12.8" hidden="false" customHeight="false" outlineLevel="0" collapsed="false">
      <c r="A257" s="9" t="n">
        <v>124</v>
      </c>
      <c r="B257" s="10" t="s">
        <v>626</v>
      </c>
      <c r="C257" s="10" t="s">
        <v>627</v>
      </c>
      <c r="E257" s="0" t="s">
        <v>628</v>
      </c>
    </row>
    <row r="258" customFormat="false" ht="12.8" hidden="false" customHeight="false" outlineLevel="0" collapsed="false">
      <c r="A258" s="9" t="n">
        <v>125</v>
      </c>
      <c r="B258" s="10" t="s">
        <v>629</v>
      </c>
      <c r="C258" s="10" t="s">
        <v>630</v>
      </c>
      <c r="E258" s="0" t="s">
        <v>631</v>
      </c>
    </row>
    <row r="261" customFormat="false" ht="12.8" hidden="true" customHeight="false" outlineLevel="0" collapsed="false">
      <c r="A261" s="9" t="n">
        <v>126</v>
      </c>
      <c r="B261" s="10" t="s">
        <v>632</v>
      </c>
      <c r="C261" s="10" t="s">
        <v>633</v>
      </c>
      <c r="E261" s="0" t="s">
        <v>634</v>
      </c>
    </row>
    <row r="262" customFormat="false" ht="12.8" hidden="true" customHeight="false" outlineLevel="0" collapsed="false">
      <c r="A262" s="9" t="n">
        <v>127</v>
      </c>
      <c r="B262" s="10" t="s">
        <v>635</v>
      </c>
      <c r="C262" s="10" t="s">
        <v>636</v>
      </c>
      <c r="E262" s="0" t="s">
        <v>637</v>
      </c>
    </row>
    <row r="263" customFormat="false" ht="12.8" hidden="true" customHeight="false" outlineLevel="0" collapsed="false">
      <c r="A263" s="9" t="n">
        <v>128</v>
      </c>
      <c r="B263" s="10" t="s">
        <v>638</v>
      </c>
      <c r="C263" s="10" t="s">
        <v>639</v>
      </c>
      <c r="E263" s="0" t="s">
        <v>640</v>
      </c>
    </row>
    <row r="264" customFormat="false" ht="12.8" hidden="true" customHeight="false" outlineLevel="0" collapsed="false">
      <c r="A264" s="9" t="n">
        <v>129</v>
      </c>
      <c r="B264" s="10" t="s">
        <v>641</v>
      </c>
      <c r="C264" s="10" t="s">
        <v>642</v>
      </c>
      <c r="E264" s="0" t="s">
        <v>643</v>
      </c>
    </row>
    <row r="265" customFormat="false" ht="12.8" hidden="true" customHeight="false" outlineLevel="0" collapsed="false">
      <c r="A265" s="9" t="n">
        <v>130</v>
      </c>
      <c r="B265" s="10" t="s">
        <v>644</v>
      </c>
      <c r="C265" s="10" t="s">
        <v>645</v>
      </c>
      <c r="E265" s="0" t="s">
        <v>646</v>
      </c>
    </row>
    <row r="266" customFormat="false" ht="12.8" hidden="true" customHeight="false" outlineLevel="0" collapsed="false">
      <c r="A266" s="9" t="n">
        <v>131</v>
      </c>
      <c r="B266" s="10" t="s">
        <v>647</v>
      </c>
      <c r="C266" s="10" t="s">
        <v>648</v>
      </c>
      <c r="E266" s="0" t="s">
        <v>649</v>
      </c>
    </row>
    <row r="267" customFormat="false" ht="12.8" hidden="true" customHeight="false" outlineLevel="0" collapsed="false">
      <c r="A267" s="9" t="n">
        <v>132</v>
      </c>
      <c r="B267" s="10" t="s">
        <v>650</v>
      </c>
      <c r="C267" s="10" t="s">
        <v>651</v>
      </c>
      <c r="E267" s="0" t="s">
        <v>652</v>
      </c>
    </row>
    <row r="268" customFormat="false" ht="12.8" hidden="true" customHeight="false" outlineLevel="0" collapsed="false">
      <c r="A268" s="9" t="n">
        <v>133</v>
      </c>
      <c r="B268" s="10" t="s">
        <v>653</v>
      </c>
      <c r="C268" s="10" t="s">
        <v>654</v>
      </c>
      <c r="E268" s="0" t="s">
        <v>655</v>
      </c>
    </row>
    <row r="269" customFormat="false" ht="12.8" hidden="true" customHeight="false" outlineLevel="0" collapsed="false">
      <c r="A269" s="9" t="n">
        <v>134</v>
      </c>
      <c r="B269" s="10" t="s">
        <v>656</v>
      </c>
      <c r="C269" s="10" t="s">
        <v>657</v>
      </c>
      <c r="E269" s="0" t="s">
        <v>658</v>
      </c>
    </row>
    <row r="270" customFormat="false" ht="12.8" hidden="true" customHeight="false" outlineLevel="0" collapsed="false">
      <c r="A270" s="9" t="n">
        <v>135</v>
      </c>
      <c r="B270" s="10" t="s">
        <v>659</v>
      </c>
      <c r="C270" s="10" t="s">
        <v>660</v>
      </c>
      <c r="E270" s="0" t="s">
        <v>661</v>
      </c>
    </row>
    <row r="271" customFormat="false" ht="12.8" hidden="true" customHeight="false" outlineLevel="0" collapsed="false">
      <c r="A271" s="9" t="n">
        <v>136</v>
      </c>
      <c r="B271" s="10" t="s">
        <v>662</v>
      </c>
      <c r="C271" s="10" t="s">
        <v>663</v>
      </c>
      <c r="E271" s="0" t="s">
        <v>664</v>
      </c>
    </row>
    <row r="272" customFormat="false" ht="12.8" hidden="true" customHeight="false" outlineLevel="0" collapsed="false">
      <c r="A272" s="9" t="n">
        <v>137</v>
      </c>
      <c r="B272" s="10" t="s">
        <v>665</v>
      </c>
      <c r="C272" s="10" t="s">
        <v>666</v>
      </c>
      <c r="E272" s="0" t="s">
        <v>667</v>
      </c>
    </row>
    <row r="273" customFormat="false" ht="12.8" hidden="true" customHeight="false" outlineLevel="0" collapsed="false">
      <c r="A273" s="9" t="n">
        <v>138</v>
      </c>
      <c r="B273" s="10" t="s">
        <v>668</v>
      </c>
      <c r="C273" s="10" t="s">
        <v>669</v>
      </c>
      <c r="E273" s="0" t="s">
        <v>670</v>
      </c>
    </row>
    <row r="274" customFormat="false" ht="12.8" hidden="true" customHeight="false" outlineLevel="0" collapsed="false">
      <c r="A274" s="9" t="n">
        <v>139</v>
      </c>
      <c r="B274" s="10" t="s">
        <v>671</v>
      </c>
      <c r="C274" s="10" t="s">
        <v>672</v>
      </c>
      <c r="E274" s="0" t="s">
        <v>673</v>
      </c>
    </row>
    <row r="275" customFormat="false" ht="12.8" hidden="true" customHeight="false" outlineLevel="0" collapsed="false"/>
    <row r="276" customFormat="false" ht="12.8" hidden="true" customHeight="false" outlineLevel="0" collapsed="false">
      <c r="A276" s="9" t="n">
        <v>140</v>
      </c>
      <c r="B276" s="10" t="s">
        <v>674</v>
      </c>
      <c r="C276" s="10" t="s">
        <v>675</v>
      </c>
      <c r="D276" s="0" t="s">
        <v>676</v>
      </c>
    </row>
    <row r="277" customFormat="false" ht="12.8" hidden="true" customHeight="false" outlineLevel="0" collapsed="false">
      <c r="A277" s="9" t="n">
        <v>141</v>
      </c>
      <c r="B277" s="10" t="s">
        <v>677</v>
      </c>
      <c r="C277" s="10" t="s">
        <v>678</v>
      </c>
      <c r="D277" s="0" t="s">
        <v>679</v>
      </c>
    </row>
    <row r="278" customFormat="false" ht="12.8" hidden="true" customHeight="false" outlineLevel="0" collapsed="false">
      <c r="A278" s="9" t="n">
        <v>142</v>
      </c>
      <c r="B278" s="10" t="s">
        <v>680</v>
      </c>
      <c r="C278" s="10" t="s">
        <v>681</v>
      </c>
      <c r="D278" s="0" t="s">
        <v>682</v>
      </c>
    </row>
    <row r="279" customFormat="false" ht="12.8" hidden="true" customHeight="false" outlineLevel="0" collapsed="false">
      <c r="A279" s="9" t="n">
        <v>143</v>
      </c>
      <c r="B279" s="10" t="s">
        <v>683</v>
      </c>
      <c r="C279" s="10" t="s">
        <v>684</v>
      </c>
      <c r="D279" s="0" t="s">
        <v>685</v>
      </c>
    </row>
    <row r="280" customFormat="false" ht="12.8" hidden="true" customHeight="false" outlineLevel="0" collapsed="false">
      <c r="A280" s="9" t="n">
        <v>144</v>
      </c>
      <c r="B280" s="10" t="s">
        <v>686</v>
      </c>
      <c r="C280" s="10" t="s">
        <v>687</v>
      </c>
      <c r="D280" s="0" t="s">
        <v>688</v>
      </c>
    </row>
    <row r="281" customFormat="false" ht="12.8" hidden="true" customHeight="false" outlineLevel="0" collapsed="false">
      <c r="A281" s="9" t="n">
        <v>145</v>
      </c>
      <c r="B281" s="10" t="s">
        <v>689</v>
      </c>
      <c r="C281" s="10" t="s">
        <v>690</v>
      </c>
      <c r="D281" s="0" t="s">
        <v>691</v>
      </c>
    </row>
    <row r="282" customFormat="false" ht="12.8" hidden="true" customHeight="false" outlineLevel="0" collapsed="false">
      <c r="A282" s="9" t="n">
        <v>146</v>
      </c>
      <c r="B282" s="10" t="s">
        <v>692</v>
      </c>
      <c r="C282" s="10" t="s">
        <v>693</v>
      </c>
      <c r="D282" s="0" t="s">
        <v>694</v>
      </c>
    </row>
    <row r="283" customFormat="false" ht="12.8" hidden="true" customHeight="false" outlineLevel="0" collapsed="false">
      <c r="A283" s="9" t="n">
        <v>147</v>
      </c>
      <c r="B283" s="10" t="s">
        <v>695</v>
      </c>
      <c r="C283" s="10" t="s">
        <v>696</v>
      </c>
      <c r="D283" s="0" t="s">
        <v>697</v>
      </c>
    </row>
    <row r="284" customFormat="false" ht="12.8" hidden="true" customHeight="false" outlineLevel="0" collapsed="false">
      <c r="A284" s="9" t="n">
        <v>148</v>
      </c>
      <c r="B284" s="10" t="s">
        <v>698</v>
      </c>
      <c r="C284" s="10" t="s">
        <v>699</v>
      </c>
      <c r="D284" s="0" t="s">
        <v>700</v>
      </c>
    </row>
    <row r="285" customFormat="false" ht="12.8" hidden="true" customHeight="false" outlineLevel="0" collapsed="false">
      <c r="A285" s="9" t="n">
        <v>149</v>
      </c>
      <c r="B285" s="10" t="s">
        <v>701</v>
      </c>
      <c r="C285" s="10" t="s">
        <v>702</v>
      </c>
      <c r="D285" s="0" t="s">
        <v>703</v>
      </c>
    </row>
    <row r="286" customFormat="false" ht="12.8" hidden="true" customHeight="false" outlineLevel="0" collapsed="false">
      <c r="A286" s="9" t="n">
        <v>150</v>
      </c>
      <c r="B286" s="10" t="s">
        <v>704</v>
      </c>
      <c r="C286" s="10" t="s">
        <v>705</v>
      </c>
      <c r="D286" s="0" t="s">
        <v>706</v>
      </c>
    </row>
    <row r="287" customFormat="false" ht="12.8" hidden="true" customHeight="false" outlineLevel="0" collapsed="false">
      <c r="A287" s="9" t="n">
        <v>151</v>
      </c>
      <c r="B287" s="10" t="s">
        <v>707</v>
      </c>
      <c r="C287" s="10" t="s">
        <v>708</v>
      </c>
      <c r="D287" s="0" t="s">
        <v>709</v>
      </c>
    </row>
    <row r="288" customFormat="false" ht="12.8" hidden="true" customHeight="false" outlineLevel="0" collapsed="false">
      <c r="A288" s="9" t="n">
        <v>152</v>
      </c>
      <c r="B288" s="10" t="s">
        <v>710</v>
      </c>
      <c r="C288" s="10" t="s">
        <v>711</v>
      </c>
      <c r="D288" s="0" t="s">
        <v>712</v>
      </c>
    </row>
    <row r="289" customFormat="false" ht="12.8" hidden="true" customHeight="false" outlineLevel="0" collapsed="false">
      <c r="A289" s="9" t="n">
        <v>153</v>
      </c>
      <c r="B289" s="10" t="s">
        <v>713</v>
      </c>
      <c r="C289" s="10" t="s">
        <v>714</v>
      </c>
      <c r="D289" s="0" t="s">
        <v>715</v>
      </c>
    </row>
    <row r="290" customFormat="false" ht="12.8" hidden="true" customHeight="false" outlineLevel="0" collapsed="false">
      <c r="A290" s="9" t="n">
        <v>154</v>
      </c>
      <c r="B290" s="10" t="s">
        <v>716</v>
      </c>
      <c r="C290" s="10" t="s">
        <v>717</v>
      </c>
      <c r="D290" s="0" t="s">
        <v>718</v>
      </c>
    </row>
    <row r="291" customFormat="false" ht="12.8" hidden="true" customHeight="false" outlineLevel="0" collapsed="false">
      <c r="A291" s="9" t="n">
        <v>155</v>
      </c>
      <c r="B291" s="10" t="s">
        <v>719</v>
      </c>
      <c r="C291" s="10" t="s">
        <v>720</v>
      </c>
      <c r="D291" s="0" t="s">
        <v>721</v>
      </c>
    </row>
    <row r="292" customFormat="false" ht="12.8" hidden="true" customHeight="false" outlineLevel="0" collapsed="false">
      <c r="A292" s="9" t="n">
        <v>156</v>
      </c>
      <c r="B292" s="10" t="s">
        <v>722</v>
      </c>
      <c r="C292" s="10" t="s">
        <v>723</v>
      </c>
      <c r="D292" s="0" t="s">
        <v>724</v>
      </c>
    </row>
    <row r="293" customFormat="false" ht="12.8" hidden="true" customHeight="false" outlineLevel="0" collapsed="false">
      <c r="A293" s="9" t="n">
        <v>157</v>
      </c>
      <c r="B293" s="10" t="s">
        <v>725</v>
      </c>
      <c r="C293" s="10" t="s">
        <v>726</v>
      </c>
      <c r="D293" s="0" t="s">
        <v>727</v>
      </c>
    </row>
    <row r="294" customFormat="false" ht="12.8" hidden="true" customHeight="false" outlineLevel="0" collapsed="false">
      <c r="A294" s="9" t="n">
        <v>158</v>
      </c>
      <c r="B294" s="10" t="s">
        <v>728</v>
      </c>
      <c r="C294" s="10" t="s">
        <v>729</v>
      </c>
      <c r="D294" s="0" t="s">
        <v>730</v>
      </c>
    </row>
    <row r="295" customFormat="false" ht="12.8" hidden="true" customHeight="false" outlineLevel="0" collapsed="false">
      <c r="A295" s="9" t="n">
        <v>159</v>
      </c>
      <c r="B295" s="10" t="s">
        <v>731</v>
      </c>
      <c r="C295" s="10" t="s">
        <v>732</v>
      </c>
      <c r="D295" s="0" t="s">
        <v>733</v>
      </c>
    </row>
    <row r="296" customFormat="false" ht="12.8" hidden="true" customHeight="false" outlineLevel="0" collapsed="false"/>
    <row r="297" customFormat="false" ht="12.8" hidden="true" customHeight="false" outlineLevel="0" collapsed="false">
      <c r="A297" s="9" t="n">
        <v>160</v>
      </c>
      <c r="B297" s="10" t="s">
        <v>734</v>
      </c>
      <c r="C297" s="10" t="s">
        <v>735</v>
      </c>
      <c r="D297" s="0" t="s">
        <v>736</v>
      </c>
    </row>
    <row r="298" customFormat="false" ht="12.8" hidden="true" customHeight="false" outlineLevel="0" collapsed="false">
      <c r="A298" s="9" t="n">
        <v>161</v>
      </c>
      <c r="B298" s="10" t="s">
        <v>737</v>
      </c>
      <c r="C298" s="10" t="s">
        <v>738</v>
      </c>
      <c r="D298" s="0" t="s">
        <v>739</v>
      </c>
    </row>
    <row r="299" customFormat="false" ht="12.8" hidden="true" customHeight="false" outlineLevel="0" collapsed="false">
      <c r="A299" s="9" t="n">
        <v>162</v>
      </c>
      <c r="B299" s="10" t="s">
        <v>740</v>
      </c>
      <c r="C299" s="10" t="s">
        <v>609</v>
      </c>
      <c r="D299" s="0" t="s">
        <v>741</v>
      </c>
    </row>
    <row r="300" customFormat="false" ht="12.8" hidden="true" customHeight="false" outlineLevel="0" collapsed="false">
      <c r="A300" s="9" t="n">
        <v>163</v>
      </c>
      <c r="B300" s="10" t="s">
        <v>742</v>
      </c>
      <c r="C300" s="10" t="s">
        <v>606</v>
      </c>
      <c r="D300" s="0" t="s">
        <v>743</v>
      </c>
    </row>
    <row r="301" customFormat="false" ht="12.8" hidden="true" customHeight="false" outlineLevel="0" collapsed="false">
      <c r="A301" s="9" t="n">
        <v>164</v>
      </c>
      <c r="B301" s="10" t="s">
        <v>744</v>
      </c>
      <c r="C301" s="10" t="s">
        <v>745</v>
      </c>
      <c r="D301" s="0" t="s">
        <v>746</v>
      </c>
    </row>
    <row r="302" customFormat="false" ht="12.8" hidden="true" customHeight="false" outlineLevel="0" collapsed="false">
      <c r="A302" s="9" t="n">
        <v>165</v>
      </c>
      <c r="B302" s="10" t="s">
        <v>747</v>
      </c>
      <c r="C302" s="10" t="s">
        <v>748</v>
      </c>
      <c r="D302" s="0" t="s">
        <v>749</v>
      </c>
    </row>
    <row r="303" customFormat="false" ht="12.8" hidden="true" customHeight="false" outlineLevel="0" collapsed="false">
      <c r="A303" s="9" t="n">
        <v>166</v>
      </c>
      <c r="B303" s="10" t="s">
        <v>750</v>
      </c>
      <c r="C303" s="10" t="s">
        <v>751</v>
      </c>
      <c r="D303" s="0" t="s">
        <v>752</v>
      </c>
    </row>
    <row r="304" customFormat="false" ht="12.8" hidden="true" customHeight="false" outlineLevel="0" collapsed="false">
      <c r="A304" s="9" t="n">
        <v>167</v>
      </c>
      <c r="B304" s="10" t="s">
        <v>753</v>
      </c>
      <c r="C304" s="10" t="s">
        <v>754</v>
      </c>
      <c r="D304" s="0" t="s">
        <v>755</v>
      </c>
    </row>
    <row r="305" customFormat="false" ht="12.8" hidden="true" customHeight="false" outlineLevel="0" collapsed="false">
      <c r="A305" s="9" t="n">
        <v>168</v>
      </c>
      <c r="B305" s="10" t="s">
        <v>756</v>
      </c>
      <c r="C305" s="10" t="s">
        <v>757</v>
      </c>
      <c r="D305" s="0" t="s">
        <v>758</v>
      </c>
    </row>
    <row r="306" customFormat="false" ht="12.8" hidden="true" customHeight="false" outlineLevel="0" collapsed="false">
      <c r="A306" s="9" t="n">
        <v>169</v>
      </c>
      <c r="B306" s="10" t="s">
        <v>759</v>
      </c>
      <c r="C306" s="10" t="s">
        <v>760</v>
      </c>
      <c r="D306" s="0" t="s">
        <v>761</v>
      </c>
    </row>
    <row r="307" customFormat="false" ht="12.8" hidden="true" customHeight="false" outlineLevel="0" collapsed="false">
      <c r="A307" s="9" t="n">
        <v>170</v>
      </c>
      <c r="B307" s="10" t="s">
        <v>762</v>
      </c>
      <c r="C307" s="10" t="s">
        <v>763</v>
      </c>
      <c r="D307" s="0" t="s">
        <v>764</v>
      </c>
    </row>
    <row r="308" customFormat="false" ht="12.8" hidden="true" customHeight="false" outlineLevel="0" collapsed="false">
      <c r="A308" s="9" t="n">
        <v>171</v>
      </c>
      <c r="B308" s="10" t="s">
        <v>765</v>
      </c>
      <c r="C308" s="10" t="s">
        <v>766</v>
      </c>
    </row>
    <row r="309" customFormat="false" ht="12.8" hidden="true" customHeight="false" outlineLevel="0" collapsed="false">
      <c r="A309" s="9" t="n">
        <v>172</v>
      </c>
      <c r="B309" s="10" t="s">
        <v>767</v>
      </c>
      <c r="C309" s="10" t="s">
        <v>768</v>
      </c>
      <c r="D309" s="0" t="s">
        <v>769</v>
      </c>
    </row>
    <row r="310" customFormat="false" ht="12.8" hidden="true" customHeight="false" outlineLevel="0" collapsed="false">
      <c r="A310" s="9" t="n">
        <v>173</v>
      </c>
      <c r="B310" s="10" t="s">
        <v>770</v>
      </c>
      <c r="C310" s="10" t="s">
        <v>771</v>
      </c>
      <c r="D310" s="0" t="s">
        <v>772</v>
      </c>
    </row>
    <row r="311" customFormat="false" ht="12.8" hidden="true" customHeight="false" outlineLevel="0" collapsed="false">
      <c r="A311" s="9" t="n">
        <v>174</v>
      </c>
      <c r="B311" s="10" t="s">
        <v>773</v>
      </c>
      <c r="C311" s="10" t="s">
        <v>774</v>
      </c>
      <c r="D311" s="0" t="s">
        <v>775</v>
      </c>
    </row>
    <row r="312" customFormat="false" ht="12.8" hidden="true" customHeight="false" outlineLevel="0" collapsed="false">
      <c r="A312" s="9" t="n">
        <v>175</v>
      </c>
      <c r="B312" s="10" t="s">
        <v>776</v>
      </c>
      <c r="C312" s="10" t="s">
        <v>777</v>
      </c>
      <c r="D312" s="0" t="s">
        <v>778</v>
      </c>
    </row>
    <row r="313" customFormat="false" ht="12.8" hidden="true" customHeight="false" outlineLevel="0" collapsed="false">
      <c r="A313" s="9" t="n">
        <v>176</v>
      </c>
      <c r="B313" s="10" t="s">
        <v>779</v>
      </c>
      <c r="C313" s="10" t="s">
        <v>780</v>
      </c>
      <c r="D313" s="0" t="s">
        <v>781</v>
      </c>
    </row>
    <row r="314" customFormat="false" ht="12.8" hidden="true" customHeight="false" outlineLevel="0" collapsed="false">
      <c r="A314" s="9" t="n">
        <v>177</v>
      </c>
      <c r="B314" s="10" t="s">
        <v>782</v>
      </c>
      <c r="C314" s="10" t="s">
        <v>783</v>
      </c>
      <c r="D314" s="0" t="s">
        <v>784</v>
      </c>
    </row>
    <row r="315" customFormat="false" ht="12.8" hidden="true" customHeight="false" outlineLevel="0" collapsed="false">
      <c r="A315" s="9" t="n">
        <v>178</v>
      </c>
      <c r="B315" s="10" t="s">
        <v>785</v>
      </c>
      <c r="C315" s="10" t="s">
        <v>786</v>
      </c>
      <c r="D315" s="0" t="s">
        <v>784</v>
      </c>
    </row>
    <row r="316" customFormat="false" ht="12.8" hidden="true" customHeight="false" outlineLevel="0" collapsed="false">
      <c r="A316" s="9" t="n">
        <v>179</v>
      </c>
      <c r="B316" s="10" t="s">
        <v>787</v>
      </c>
      <c r="C316" s="10" t="s">
        <v>788</v>
      </c>
      <c r="D316" s="0" t="s">
        <v>789</v>
      </c>
    </row>
    <row r="317" customFormat="false" ht="12.8" hidden="true" customHeight="false" outlineLevel="0" collapsed="false"/>
    <row r="318" customFormat="false" ht="12.8" hidden="true" customHeight="false" outlineLevel="0" collapsed="false">
      <c r="A318" s="9" t="s">
        <v>88</v>
      </c>
      <c r="B318" s="10" t="s">
        <v>89</v>
      </c>
      <c r="C318" s="10" t="s">
        <v>90</v>
      </c>
      <c r="D318" s="0" t="s">
        <v>91</v>
      </c>
      <c r="E318" s="0" t="s">
        <v>92</v>
      </c>
    </row>
    <row r="319" customFormat="false" ht="12.8" hidden="true" customHeight="false" outlineLevel="0" collapsed="false">
      <c r="A319" s="9" t="n">
        <v>180</v>
      </c>
      <c r="B319" s="10" t="s">
        <v>790</v>
      </c>
      <c r="C319" s="10" t="s">
        <v>791</v>
      </c>
      <c r="D319" s="0" t="s">
        <v>792</v>
      </c>
    </row>
    <row r="320" customFormat="false" ht="12.8" hidden="true" customHeight="false" outlineLevel="0" collapsed="false">
      <c r="A320" s="9" t="n">
        <v>181</v>
      </c>
      <c r="B320" s="10" t="s">
        <v>793</v>
      </c>
      <c r="C320" s="10" t="s">
        <v>794</v>
      </c>
      <c r="D320" s="0" t="s">
        <v>795</v>
      </c>
    </row>
    <row r="321" customFormat="false" ht="12.8" hidden="true" customHeight="false" outlineLevel="0" collapsed="false">
      <c r="A321" s="9" t="n">
        <v>182</v>
      </c>
      <c r="B321" s="10" t="s">
        <v>796</v>
      </c>
      <c r="C321" s="10" t="s">
        <v>797</v>
      </c>
      <c r="D321" s="0" t="s">
        <v>798</v>
      </c>
    </row>
    <row r="322" customFormat="false" ht="12.8" hidden="true" customHeight="false" outlineLevel="0" collapsed="false">
      <c r="A322" s="9" t="n">
        <v>183</v>
      </c>
      <c r="B322" s="10" t="s">
        <v>799</v>
      </c>
      <c r="C322" s="10" t="s">
        <v>800</v>
      </c>
      <c r="D322" s="0" t="s">
        <v>801</v>
      </c>
    </row>
    <row r="323" customFormat="false" ht="12.8" hidden="true" customHeight="false" outlineLevel="0" collapsed="false">
      <c r="A323" s="9" t="n">
        <v>184</v>
      </c>
      <c r="B323" s="10" t="s">
        <v>802</v>
      </c>
      <c r="C323" s="10" t="s">
        <v>803</v>
      </c>
      <c r="D323" s="0" t="s">
        <v>804</v>
      </c>
    </row>
    <row r="324" customFormat="false" ht="12.8" hidden="true" customHeight="false" outlineLevel="0" collapsed="false">
      <c r="A324" s="9" t="n">
        <v>185</v>
      </c>
      <c r="B324" s="10" t="s">
        <v>805</v>
      </c>
      <c r="C324" s="10" t="s">
        <v>806</v>
      </c>
      <c r="D324" s="0" t="s">
        <v>807</v>
      </c>
    </row>
    <row r="325" customFormat="false" ht="12.8" hidden="true" customHeight="false" outlineLevel="0" collapsed="false">
      <c r="A325" s="9" t="n">
        <v>186</v>
      </c>
      <c r="B325" s="10" t="s">
        <v>808</v>
      </c>
      <c r="C325" s="10" t="s">
        <v>809</v>
      </c>
      <c r="D325" s="0" t="s">
        <v>810</v>
      </c>
    </row>
    <row r="326" customFormat="false" ht="12.8" hidden="true" customHeight="false" outlineLevel="0" collapsed="false">
      <c r="A326" s="9" t="n">
        <v>187</v>
      </c>
      <c r="B326" s="10" t="s">
        <v>811</v>
      </c>
      <c r="C326" s="10" t="s">
        <v>812</v>
      </c>
      <c r="D326" s="0" t="s">
        <v>813</v>
      </c>
    </row>
    <row r="327" customFormat="false" ht="12.8" hidden="true" customHeight="false" outlineLevel="0" collapsed="false">
      <c r="A327" s="9" t="n">
        <v>188</v>
      </c>
      <c r="B327" s="10" t="s">
        <v>814</v>
      </c>
      <c r="C327" s="10" t="s">
        <v>815</v>
      </c>
      <c r="D327" s="0" t="s">
        <v>816</v>
      </c>
    </row>
    <row r="328" customFormat="false" ht="12.8" hidden="true" customHeight="false" outlineLevel="0" collapsed="false">
      <c r="A328" s="9" t="n">
        <v>189</v>
      </c>
      <c r="B328" s="10" t="s">
        <v>817</v>
      </c>
      <c r="C328" s="10" t="s">
        <v>818</v>
      </c>
      <c r="D328" s="0" t="s">
        <v>819</v>
      </c>
    </row>
    <row r="329" customFormat="false" ht="12.8" hidden="true" customHeight="false" outlineLevel="0" collapsed="false">
      <c r="A329" s="9" t="n">
        <v>190</v>
      </c>
      <c r="B329" s="10" t="s">
        <v>820</v>
      </c>
      <c r="C329" s="10" t="s">
        <v>821</v>
      </c>
      <c r="D329" s="0" t="s">
        <v>822</v>
      </c>
    </row>
    <row r="330" customFormat="false" ht="12.8" hidden="true" customHeight="false" outlineLevel="0" collapsed="false">
      <c r="A330" s="9" t="n">
        <v>191</v>
      </c>
      <c r="B330" s="10" t="s">
        <v>823</v>
      </c>
      <c r="C330" s="10" t="s">
        <v>824</v>
      </c>
      <c r="D330" s="0" t="s">
        <v>825</v>
      </c>
    </row>
    <row r="331" customFormat="false" ht="12.8" hidden="true" customHeight="false" outlineLevel="0" collapsed="false">
      <c r="A331" s="9" t="n">
        <v>192</v>
      </c>
      <c r="B331" s="10" t="s">
        <v>826</v>
      </c>
      <c r="C331" s="10" t="s">
        <v>827</v>
      </c>
      <c r="D331" s="0" t="s">
        <v>828</v>
      </c>
    </row>
    <row r="332" customFormat="false" ht="12.8" hidden="true" customHeight="false" outlineLevel="0" collapsed="false">
      <c r="A332" s="9" t="n">
        <v>193</v>
      </c>
      <c r="B332" s="10" t="s">
        <v>829</v>
      </c>
      <c r="C332" s="10" t="s">
        <v>830</v>
      </c>
      <c r="D332" s="0" t="s">
        <v>831</v>
      </c>
    </row>
    <row r="333" customFormat="false" ht="12.8" hidden="true" customHeight="false" outlineLevel="0" collapsed="false">
      <c r="A333" s="9" t="n">
        <v>194</v>
      </c>
      <c r="B333" s="10" t="s">
        <v>832</v>
      </c>
      <c r="C333" s="10" t="s">
        <v>833</v>
      </c>
      <c r="D333" s="0" t="s">
        <v>834</v>
      </c>
    </row>
    <row r="334" customFormat="false" ht="12.8" hidden="true" customHeight="false" outlineLevel="0" collapsed="false">
      <c r="A334" s="9" t="n">
        <v>195</v>
      </c>
      <c r="B334" s="10" t="s">
        <v>835</v>
      </c>
      <c r="C334" s="10" t="s">
        <v>836</v>
      </c>
      <c r="D334" s="0" t="s">
        <v>837</v>
      </c>
    </row>
    <row r="335" customFormat="false" ht="12.8" hidden="true" customHeight="false" outlineLevel="0" collapsed="false">
      <c r="A335" s="9" t="n">
        <v>196</v>
      </c>
      <c r="B335" s="10" t="s">
        <v>838</v>
      </c>
      <c r="C335" s="10" t="s">
        <v>839</v>
      </c>
      <c r="D335" s="0" t="s">
        <v>840</v>
      </c>
    </row>
    <row r="336" customFormat="false" ht="12.8" hidden="true" customHeight="false" outlineLevel="0" collapsed="false">
      <c r="A336" s="9" t="n">
        <v>197</v>
      </c>
      <c r="B336" s="10" t="s">
        <v>841</v>
      </c>
      <c r="C336" s="10" t="s">
        <v>842</v>
      </c>
      <c r="D336" s="0" t="s">
        <v>843</v>
      </c>
    </row>
    <row r="337" customFormat="false" ht="12.8" hidden="true" customHeight="false" outlineLevel="0" collapsed="false">
      <c r="A337" s="9" t="n">
        <v>198</v>
      </c>
      <c r="B337" s="10" t="s">
        <v>844</v>
      </c>
      <c r="C337" s="10" t="s">
        <v>845</v>
      </c>
      <c r="D337" s="0" t="s">
        <v>846</v>
      </c>
    </row>
    <row r="338" customFormat="false" ht="12.8" hidden="true" customHeight="false" outlineLevel="0" collapsed="false">
      <c r="A338" s="9" t="n">
        <v>199</v>
      </c>
      <c r="B338" s="10" t="s">
        <v>847</v>
      </c>
      <c r="C338" s="10" t="s">
        <v>848</v>
      </c>
      <c r="D338" s="0" t="s">
        <v>849</v>
      </c>
    </row>
    <row r="339" customFormat="false" ht="12.8" hidden="true" customHeight="false" outlineLevel="0" collapsed="false">
      <c r="A339" s="9" t="n">
        <v>200</v>
      </c>
      <c r="B339" s="10" t="s">
        <v>850</v>
      </c>
      <c r="C339" s="10" t="s">
        <v>851</v>
      </c>
      <c r="D339" s="0" t="s">
        <v>852</v>
      </c>
    </row>
    <row r="340" customFormat="false" ht="12.8" hidden="true" customHeight="false" outlineLevel="0" collapsed="false">
      <c r="A340" s="9" t="n">
        <v>201</v>
      </c>
      <c r="B340" s="10" t="s">
        <v>853</v>
      </c>
      <c r="C340" s="10" t="s">
        <v>854</v>
      </c>
      <c r="D340" s="0" t="s">
        <v>855</v>
      </c>
    </row>
    <row r="341" customFormat="false" ht="12.8" hidden="true" customHeight="false" outlineLevel="0" collapsed="false">
      <c r="A341" s="9" t="n">
        <v>202</v>
      </c>
      <c r="B341" s="10" t="s">
        <v>856</v>
      </c>
      <c r="C341" s="10" t="s">
        <v>857</v>
      </c>
      <c r="D341" s="0" t="s">
        <v>858</v>
      </c>
    </row>
    <row r="342" customFormat="false" ht="12.8" hidden="true" customHeight="false" outlineLevel="0" collapsed="false">
      <c r="A342" s="9" t="n">
        <v>203</v>
      </c>
      <c r="B342" s="10" t="s">
        <v>859</v>
      </c>
      <c r="C342" s="10" t="s">
        <v>860</v>
      </c>
      <c r="D342" s="0" t="s">
        <v>861</v>
      </c>
    </row>
    <row r="343" customFormat="false" ht="12.8" hidden="true" customHeight="false" outlineLevel="0" collapsed="false">
      <c r="A343" s="9" t="n">
        <v>204</v>
      </c>
      <c r="B343" s="10" t="s">
        <v>862</v>
      </c>
      <c r="C343" s="10" t="s">
        <v>863</v>
      </c>
      <c r="D343" s="0" t="s">
        <v>864</v>
      </c>
    </row>
    <row r="344" customFormat="false" ht="12.8" hidden="true" customHeight="false" outlineLevel="0" collapsed="false">
      <c r="A344" s="9" t="n">
        <v>205</v>
      </c>
      <c r="B344" s="10" t="s">
        <v>865</v>
      </c>
      <c r="C344" s="10" t="s">
        <v>866</v>
      </c>
      <c r="D344" s="0" t="s">
        <v>867</v>
      </c>
    </row>
    <row r="345" customFormat="false" ht="12.8" hidden="true" customHeight="false" outlineLevel="0" collapsed="false">
      <c r="A345" s="9" t="n">
        <v>206</v>
      </c>
      <c r="B345" s="10" t="s">
        <v>868</v>
      </c>
      <c r="C345" s="10" t="s">
        <v>869</v>
      </c>
      <c r="D345" s="0" t="s">
        <v>870</v>
      </c>
    </row>
    <row r="346" customFormat="false" ht="12.8" hidden="true" customHeight="false" outlineLevel="0" collapsed="false">
      <c r="A346" s="9" t="n">
        <v>207</v>
      </c>
      <c r="B346" s="10" t="s">
        <v>871</v>
      </c>
      <c r="C346" s="10" t="s">
        <v>872</v>
      </c>
      <c r="D346" s="0" t="s">
        <v>873</v>
      </c>
    </row>
    <row r="347" customFormat="false" ht="12.8" hidden="true" customHeight="false" outlineLevel="0" collapsed="false">
      <c r="A347" s="9" t="n">
        <v>208</v>
      </c>
      <c r="B347" s="10" t="s">
        <v>874</v>
      </c>
      <c r="C347" s="10" t="s">
        <v>875</v>
      </c>
      <c r="D347" s="0" t="s">
        <v>876</v>
      </c>
    </row>
    <row r="348" customFormat="false" ht="12.8" hidden="true" customHeight="false" outlineLevel="0" collapsed="false">
      <c r="A348" s="9" t="n">
        <v>209</v>
      </c>
      <c r="B348" s="10" t="s">
        <v>877</v>
      </c>
      <c r="C348" s="10" t="s">
        <v>878</v>
      </c>
      <c r="D348" s="0" t="s">
        <v>879</v>
      </c>
    </row>
    <row r="349" customFormat="false" ht="12.8" hidden="true" customHeight="false" outlineLevel="0" collapsed="false">
      <c r="A349" s="9" t="n">
        <v>210</v>
      </c>
      <c r="B349" s="10" t="s">
        <v>880</v>
      </c>
      <c r="C349" s="10" t="s">
        <v>881</v>
      </c>
      <c r="D349" s="0" t="s">
        <v>882</v>
      </c>
    </row>
    <row r="350" customFormat="false" ht="12.8" hidden="true" customHeight="false" outlineLevel="0" collapsed="false">
      <c r="A350" s="9" t="n">
        <v>211</v>
      </c>
      <c r="B350" s="10" t="s">
        <v>883</v>
      </c>
      <c r="C350" s="10" t="s">
        <v>884</v>
      </c>
      <c r="D350" s="0" t="s">
        <v>885</v>
      </c>
    </row>
    <row r="351" customFormat="false" ht="12.8" hidden="true" customHeight="false" outlineLevel="0" collapsed="false">
      <c r="A351" s="9" t="n">
        <v>212</v>
      </c>
      <c r="B351" s="10" t="s">
        <v>886</v>
      </c>
      <c r="C351" s="10" t="s">
        <v>887</v>
      </c>
      <c r="D351" s="0" t="s">
        <v>888</v>
      </c>
    </row>
    <row r="352" customFormat="false" ht="12.8" hidden="true" customHeight="false" outlineLevel="0" collapsed="false">
      <c r="A352" s="9" t="n">
        <v>213</v>
      </c>
      <c r="B352" s="10" t="s">
        <v>889</v>
      </c>
      <c r="C352" s="10" t="s">
        <v>890</v>
      </c>
      <c r="D352" s="0" t="s">
        <v>891</v>
      </c>
    </row>
    <row r="353" customFormat="false" ht="12.8" hidden="true" customHeight="false" outlineLevel="0" collapsed="false">
      <c r="A353" s="9" t="n">
        <v>214</v>
      </c>
      <c r="B353" s="10" t="s">
        <v>892</v>
      </c>
      <c r="C353" s="10" t="s">
        <v>893</v>
      </c>
      <c r="D353" s="0" t="s">
        <v>894</v>
      </c>
    </row>
    <row r="354" customFormat="false" ht="12.8" hidden="true" customHeight="false" outlineLevel="0" collapsed="false">
      <c r="A354" s="9" t="n">
        <v>215</v>
      </c>
      <c r="B354" s="10" t="s">
        <v>895</v>
      </c>
      <c r="C354" s="10" t="s">
        <v>896</v>
      </c>
      <c r="D354" s="0" t="s">
        <v>897</v>
      </c>
    </row>
    <row r="355" customFormat="false" ht="12.8" hidden="true" customHeight="false" outlineLevel="0" collapsed="false">
      <c r="A355" s="9" t="n">
        <v>216</v>
      </c>
      <c r="B355" s="10" t="s">
        <v>898</v>
      </c>
      <c r="C355" s="10" t="s">
        <v>899</v>
      </c>
      <c r="D355" s="0" t="s">
        <v>900</v>
      </c>
    </row>
    <row r="356" customFormat="false" ht="12.8" hidden="true" customHeight="false" outlineLevel="0" collapsed="false">
      <c r="A356" s="9" t="n">
        <v>217</v>
      </c>
      <c r="B356" s="10" t="s">
        <v>901</v>
      </c>
      <c r="C356" s="10" t="s">
        <v>902</v>
      </c>
      <c r="D356" s="0" t="s">
        <v>903</v>
      </c>
    </row>
    <row r="357" customFormat="false" ht="12.8" hidden="true" customHeight="false" outlineLevel="0" collapsed="false">
      <c r="A357" s="9" t="n">
        <v>218</v>
      </c>
      <c r="B357" s="10" t="s">
        <v>904</v>
      </c>
      <c r="C357" s="10" t="s">
        <v>905</v>
      </c>
      <c r="D357" s="0" t="s">
        <v>906</v>
      </c>
    </row>
    <row r="358" customFormat="false" ht="12.8" hidden="true" customHeight="false" outlineLevel="0" collapsed="false">
      <c r="A358" s="9" t="n">
        <v>219</v>
      </c>
      <c r="B358" s="10" t="s">
        <v>907</v>
      </c>
      <c r="C358" s="10" t="s">
        <v>908</v>
      </c>
      <c r="D358" s="0" t="s">
        <v>909</v>
      </c>
    </row>
    <row r="359" customFormat="false" ht="12.8" hidden="true" customHeight="false" outlineLevel="0" collapsed="false">
      <c r="A359" s="9" t="n">
        <v>220</v>
      </c>
      <c r="B359" s="10" t="s">
        <v>910</v>
      </c>
      <c r="C359" s="10" t="s">
        <v>911</v>
      </c>
      <c r="D359" s="0" t="s">
        <v>912</v>
      </c>
    </row>
    <row r="360" customFormat="false" ht="12.8" hidden="true" customHeight="false" outlineLevel="0" collapsed="false">
      <c r="A360" s="9" t="n">
        <v>221</v>
      </c>
      <c r="B360" s="10" t="s">
        <v>913</v>
      </c>
      <c r="C360" s="10" t="s">
        <v>914</v>
      </c>
      <c r="D360" s="0" t="s">
        <v>915</v>
      </c>
    </row>
    <row r="361" customFormat="false" ht="12.8" hidden="true" customHeight="false" outlineLevel="0" collapsed="false">
      <c r="A361" s="9" t="n">
        <v>222</v>
      </c>
      <c r="B361" s="10" t="s">
        <v>916</v>
      </c>
      <c r="C361" s="10" t="s">
        <v>917</v>
      </c>
      <c r="D361" s="0" t="s">
        <v>918</v>
      </c>
    </row>
    <row r="362" customFormat="false" ht="12.8" hidden="true" customHeight="false" outlineLevel="0" collapsed="false">
      <c r="A362" s="9" t="n">
        <v>223</v>
      </c>
      <c r="B362" s="10" t="s">
        <v>919</v>
      </c>
      <c r="C362" s="10" t="s">
        <v>920</v>
      </c>
      <c r="D362" s="0" t="s">
        <v>921</v>
      </c>
    </row>
    <row r="363" customFormat="false" ht="12.8" hidden="true" customHeight="false" outlineLevel="0" collapsed="false">
      <c r="A363" s="9" t="n">
        <v>224</v>
      </c>
      <c r="B363" s="10" t="s">
        <v>922</v>
      </c>
      <c r="C363" s="10" t="s">
        <v>923</v>
      </c>
      <c r="D363" s="0" t="s">
        <v>924</v>
      </c>
    </row>
    <row r="364" customFormat="false" ht="12.8" hidden="true" customHeight="false" outlineLevel="0" collapsed="false">
      <c r="A364" s="9" t="n">
        <v>225</v>
      </c>
      <c r="B364" s="10" t="s">
        <v>925</v>
      </c>
      <c r="C364" s="10" t="s">
        <v>926</v>
      </c>
      <c r="D364" s="0" t="s">
        <v>927</v>
      </c>
    </row>
    <row r="365" customFormat="false" ht="12.8" hidden="true" customHeight="false" outlineLevel="0" collapsed="false">
      <c r="A365" s="9" t="n">
        <v>226</v>
      </c>
      <c r="B365" s="10" t="s">
        <v>928</v>
      </c>
      <c r="C365" s="10" t="s">
        <v>929</v>
      </c>
      <c r="D365" s="0" t="s">
        <v>930</v>
      </c>
    </row>
    <row r="366" customFormat="false" ht="12.8" hidden="true" customHeight="false" outlineLevel="0" collapsed="false">
      <c r="A366" s="9" t="n">
        <v>227</v>
      </c>
      <c r="B366" s="10" t="s">
        <v>931</v>
      </c>
      <c r="C366" s="10" t="s">
        <v>932</v>
      </c>
      <c r="D366" s="0" t="s">
        <v>933</v>
      </c>
    </row>
    <row r="367" customFormat="false" ht="12.8" hidden="true" customHeight="false" outlineLevel="0" collapsed="false">
      <c r="A367" s="9" t="n">
        <v>228</v>
      </c>
      <c r="B367" s="10" t="s">
        <v>934</v>
      </c>
      <c r="C367" s="10" t="s">
        <v>935</v>
      </c>
      <c r="D367" s="0" t="s">
        <v>936</v>
      </c>
    </row>
    <row r="368" customFormat="false" ht="12.8" hidden="true" customHeight="false" outlineLevel="0" collapsed="false">
      <c r="A368" s="9" t="n">
        <v>229</v>
      </c>
      <c r="B368" s="10" t="s">
        <v>937</v>
      </c>
      <c r="C368" s="10" t="s">
        <v>938</v>
      </c>
      <c r="D368" s="0" t="s">
        <v>939</v>
      </c>
    </row>
    <row r="369" customFormat="false" ht="12.8" hidden="true" customHeight="false" outlineLevel="0" collapsed="false"/>
    <row r="370" customFormat="false" ht="12.8" hidden="true" customHeight="false" outlineLevel="0" collapsed="false">
      <c r="A370" s="9" t="n">
        <v>230</v>
      </c>
      <c r="B370" s="10" t="s">
        <v>940</v>
      </c>
      <c r="C370" s="10" t="s">
        <v>941</v>
      </c>
      <c r="D370" s="0" t="s">
        <v>942</v>
      </c>
    </row>
    <row r="371" customFormat="false" ht="12.8" hidden="true" customHeight="false" outlineLevel="0" collapsed="false">
      <c r="A371" s="9" t="n">
        <v>231</v>
      </c>
      <c r="B371" s="10" t="s">
        <v>943</v>
      </c>
      <c r="C371" s="10" t="s">
        <v>944</v>
      </c>
      <c r="D371" s="0" t="s">
        <v>945</v>
      </c>
    </row>
    <row r="372" customFormat="false" ht="12.8" hidden="true" customHeight="false" outlineLevel="0" collapsed="false">
      <c r="A372" s="9" t="n">
        <v>232</v>
      </c>
      <c r="B372" s="10" t="s">
        <v>946</v>
      </c>
      <c r="C372" s="10" t="s">
        <v>947</v>
      </c>
      <c r="D372" s="0" t="s">
        <v>948</v>
      </c>
    </row>
    <row r="373" customFormat="false" ht="12.8" hidden="true" customHeight="false" outlineLevel="0" collapsed="false">
      <c r="A373" s="9" t="n">
        <v>233</v>
      </c>
      <c r="B373" s="10" t="s">
        <v>949</v>
      </c>
      <c r="C373" s="10" t="s">
        <v>950</v>
      </c>
      <c r="D373" s="0" t="s">
        <v>951</v>
      </c>
    </row>
    <row r="374" customFormat="false" ht="12.8" hidden="true" customHeight="false" outlineLevel="0" collapsed="false">
      <c r="A374" s="9" t="n">
        <v>234</v>
      </c>
      <c r="B374" s="10" t="s">
        <v>952</v>
      </c>
      <c r="C374" s="10" t="s">
        <v>953</v>
      </c>
      <c r="D374" s="0" t="s">
        <v>954</v>
      </c>
    </row>
    <row r="375" customFormat="false" ht="12.8" hidden="true" customHeight="false" outlineLevel="0" collapsed="false">
      <c r="A375" s="9" t="n">
        <v>235</v>
      </c>
      <c r="B375" s="10" t="s">
        <v>955</v>
      </c>
      <c r="C375" s="10" t="s">
        <v>956</v>
      </c>
      <c r="D375" s="0" t="s">
        <v>957</v>
      </c>
    </row>
    <row r="376" customFormat="false" ht="12.8" hidden="true" customHeight="false" outlineLevel="0" collapsed="false">
      <c r="A376" s="9" t="n">
        <v>236</v>
      </c>
      <c r="B376" s="10" t="s">
        <v>958</v>
      </c>
      <c r="C376" s="10" t="s">
        <v>959</v>
      </c>
      <c r="D376" s="0" t="s">
        <v>960</v>
      </c>
    </row>
    <row r="377" customFormat="false" ht="12.8" hidden="true" customHeight="false" outlineLevel="0" collapsed="false">
      <c r="A377" s="9" t="n">
        <v>237</v>
      </c>
      <c r="B377" s="10" t="s">
        <v>961</v>
      </c>
      <c r="C377" s="10" t="s">
        <v>962</v>
      </c>
      <c r="D377" s="0" t="s">
        <v>963</v>
      </c>
    </row>
    <row r="378" customFormat="false" ht="12.8" hidden="true" customHeight="false" outlineLevel="0" collapsed="false">
      <c r="A378" s="9" t="n">
        <v>238</v>
      </c>
      <c r="B378" s="10" t="s">
        <v>964</v>
      </c>
      <c r="C378" s="10" t="s">
        <v>965</v>
      </c>
      <c r="D378" s="0" t="s">
        <v>966</v>
      </c>
    </row>
    <row r="379" customFormat="false" ht="12.8" hidden="true" customHeight="false" outlineLevel="0" collapsed="false">
      <c r="A379" s="9" t="n">
        <v>239</v>
      </c>
      <c r="B379" s="10" t="s">
        <v>967</v>
      </c>
      <c r="C379" s="10" t="s">
        <v>968</v>
      </c>
      <c r="D379" s="0" t="s">
        <v>969</v>
      </c>
    </row>
    <row r="380" customFormat="false" ht="12.8" hidden="true" customHeight="false" outlineLevel="0" collapsed="false">
      <c r="A380" s="9" t="n">
        <v>240</v>
      </c>
      <c r="B380" s="10" t="s">
        <v>970</v>
      </c>
      <c r="C380" s="10" t="s">
        <v>971</v>
      </c>
      <c r="D380" s="0" t="s">
        <v>972</v>
      </c>
    </row>
    <row r="381" customFormat="false" ht="12.8" hidden="true" customHeight="false" outlineLevel="0" collapsed="false">
      <c r="A381" s="9" t="n">
        <v>241</v>
      </c>
      <c r="B381" s="10" t="s">
        <v>973</v>
      </c>
      <c r="C381" s="10" t="s">
        <v>974</v>
      </c>
      <c r="D381" s="0" t="s">
        <v>975</v>
      </c>
    </row>
    <row r="382" customFormat="false" ht="12.8" hidden="true" customHeight="false" outlineLevel="0" collapsed="false">
      <c r="A382" s="9" t="n">
        <v>242</v>
      </c>
      <c r="B382" s="10" t="s">
        <v>976</v>
      </c>
      <c r="C382" s="10" t="s">
        <v>977</v>
      </c>
      <c r="D382" s="0" t="s">
        <v>978</v>
      </c>
    </row>
    <row r="383" customFormat="false" ht="12.8" hidden="true" customHeight="false" outlineLevel="0" collapsed="false">
      <c r="A383" s="9" t="n">
        <v>243</v>
      </c>
      <c r="B383" s="10" t="s">
        <v>979</v>
      </c>
      <c r="C383" s="10" t="s">
        <v>980</v>
      </c>
      <c r="D383" s="0" t="s">
        <v>981</v>
      </c>
    </row>
    <row r="384" customFormat="false" ht="12.8" hidden="true" customHeight="false" outlineLevel="0" collapsed="false">
      <c r="A384" s="9" t="n">
        <v>244</v>
      </c>
      <c r="B384" s="10" t="s">
        <v>982</v>
      </c>
      <c r="C384" s="10" t="s">
        <v>983</v>
      </c>
      <c r="D384" s="0" t="s">
        <v>984</v>
      </c>
    </row>
    <row r="385" customFormat="false" ht="12.8" hidden="true" customHeight="false" outlineLevel="0" collapsed="false">
      <c r="A385" s="9" t="n">
        <v>245</v>
      </c>
      <c r="B385" s="10" t="s">
        <v>985</v>
      </c>
      <c r="C385" s="10" t="s">
        <v>986</v>
      </c>
      <c r="D385" s="0" t="s">
        <v>987</v>
      </c>
    </row>
    <row r="386" customFormat="false" ht="12.8" hidden="true" customHeight="false" outlineLevel="0" collapsed="false">
      <c r="A386" s="9" t="n">
        <v>246</v>
      </c>
      <c r="B386" s="10" t="s">
        <v>988</v>
      </c>
      <c r="C386" s="10" t="s">
        <v>989</v>
      </c>
      <c r="D386" s="0" t="s">
        <v>990</v>
      </c>
    </row>
    <row r="387" customFormat="false" ht="12.8" hidden="true" customHeight="false" outlineLevel="0" collapsed="false">
      <c r="A387" s="9" t="n">
        <v>247</v>
      </c>
      <c r="B387" s="10" t="s">
        <v>991</v>
      </c>
      <c r="C387" s="10" t="s">
        <v>992</v>
      </c>
      <c r="D387" s="0" t="s">
        <v>993</v>
      </c>
    </row>
    <row r="388" customFormat="false" ht="12.8" hidden="true" customHeight="false" outlineLevel="0" collapsed="false">
      <c r="A388" s="9" t="n">
        <v>248</v>
      </c>
      <c r="B388" s="10" t="s">
        <v>994</v>
      </c>
      <c r="C388" s="10" t="s">
        <v>995</v>
      </c>
      <c r="D388" s="0" t="s">
        <v>996</v>
      </c>
    </row>
    <row r="389" customFormat="false" ht="12.8" hidden="true" customHeight="false" outlineLevel="0" collapsed="false">
      <c r="A389" s="9" t="n">
        <v>249</v>
      </c>
      <c r="B389" s="10" t="s">
        <v>997</v>
      </c>
      <c r="C389" s="10" t="s">
        <v>998</v>
      </c>
      <c r="D389" s="0" t="s">
        <v>999</v>
      </c>
    </row>
    <row r="390" customFormat="false" ht="12.8" hidden="true" customHeight="false" outlineLevel="0" collapsed="false">
      <c r="A390" s="9" t="n">
        <v>250</v>
      </c>
      <c r="B390" s="10" t="s">
        <v>1000</v>
      </c>
      <c r="C390" s="10" t="s">
        <v>1001</v>
      </c>
      <c r="D390" s="0" t="s">
        <v>1002</v>
      </c>
    </row>
    <row r="391" customFormat="false" ht="12.8" hidden="true" customHeight="false" outlineLevel="0" collapsed="false">
      <c r="A391" s="9" t="n">
        <v>251</v>
      </c>
      <c r="B391" s="10" t="s">
        <v>1003</v>
      </c>
      <c r="C391" s="10" t="s">
        <v>1004</v>
      </c>
      <c r="D391" s="0" t="s">
        <v>1005</v>
      </c>
    </row>
    <row r="392" customFormat="false" ht="12.8" hidden="true" customHeight="false" outlineLevel="0" collapsed="false">
      <c r="A392" s="9" t="n">
        <v>252</v>
      </c>
      <c r="B392" s="10" t="s">
        <v>1006</v>
      </c>
      <c r="C392" s="10" t="s">
        <v>1007</v>
      </c>
      <c r="D392" s="0" t="s">
        <v>1008</v>
      </c>
    </row>
    <row r="393" customFormat="false" ht="12.8" hidden="true" customHeight="false" outlineLevel="0" collapsed="false">
      <c r="A393" s="9" t="n">
        <v>253</v>
      </c>
      <c r="B393" s="10" t="s">
        <v>1009</v>
      </c>
      <c r="C393" s="10" t="s">
        <v>1010</v>
      </c>
      <c r="D393" s="0" t="s">
        <v>1011</v>
      </c>
    </row>
    <row r="394" customFormat="false" ht="12.8" hidden="true" customHeight="false" outlineLevel="0" collapsed="false">
      <c r="A394" s="9" t="n">
        <v>254</v>
      </c>
      <c r="B394" s="10" t="s">
        <v>1012</v>
      </c>
      <c r="C394" s="10" t="s">
        <v>1013</v>
      </c>
      <c r="D394" s="0" t="s">
        <v>1014</v>
      </c>
    </row>
    <row r="395" customFormat="false" ht="12.8" hidden="true" customHeight="false" outlineLevel="0" collapsed="false">
      <c r="A395" s="9" t="n">
        <v>255</v>
      </c>
      <c r="B395" s="10" t="s">
        <v>1015</v>
      </c>
      <c r="C395" s="10" t="s">
        <v>1016</v>
      </c>
      <c r="D395" s="0" t="s">
        <v>1017</v>
      </c>
    </row>
    <row r="396" customFormat="false" ht="12.8" hidden="true" customHeight="false" outlineLevel="0" collapsed="false">
      <c r="A396" s="9" t="n">
        <v>256</v>
      </c>
      <c r="B396" s="10" t="s">
        <v>1018</v>
      </c>
      <c r="C396" s="10" t="s">
        <v>1019</v>
      </c>
      <c r="D396" s="0" t="s">
        <v>1020</v>
      </c>
    </row>
    <row r="397" customFormat="false" ht="12.8" hidden="true" customHeight="false" outlineLevel="0" collapsed="false">
      <c r="A397" s="9" t="n">
        <v>257</v>
      </c>
      <c r="B397" s="10" t="s">
        <v>1021</v>
      </c>
      <c r="C397" s="10" t="s">
        <v>1022</v>
      </c>
      <c r="D397" s="0" t="s">
        <v>1023</v>
      </c>
    </row>
    <row r="398" customFormat="false" ht="12.8" hidden="true" customHeight="false" outlineLevel="0" collapsed="false">
      <c r="A398" s="9" t="n">
        <v>258</v>
      </c>
      <c r="B398" s="10" t="s">
        <v>1024</v>
      </c>
      <c r="C398" s="10" t="s">
        <v>1025</v>
      </c>
      <c r="D398" s="0" t="s">
        <v>1026</v>
      </c>
    </row>
    <row r="399" customFormat="false" ht="12.8" hidden="true" customHeight="false" outlineLevel="0" collapsed="false">
      <c r="A399" s="9" t="n">
        <v>259</v>
      </c>
      <c r="B399" s="10" t="s">
        <v>1027</v>
      </c>
      <c r="C399" s="10" t="s">
        <v>1028</v>
      </c>
      <c r="D399" s="0" t="s">
        <v>1029</v>
      </c>
    </row>
    <row r="400" customFormat="false" ht="12.8" hidden="true" customHeight="false" outlineLevel="0" collapsed="false">
      <c r="A400" s="9" t="n">
        <v>260</v>
      </c>
      <c r="B400" s="10" t="s">
        <v>1030</v>
      </c>
      <c r="C400" s="10" t="s">
        <v>1031</v>
      </c>
      <c r="D400" s="0" t="s">
        <v>1032</v>
      </c>
    </row>
    <row r="401" customFormat="false" ht="12.8" hidden="true" customHeight="false" outlineLevel="0" collapsed="false">
      <c r="A401" s="9" t="n">
        <v>261</v>
      </c>
      <c r="B401" s="10" t="s">
        <v>1033</v>
      </c>
      <c r="C401" s="10" t="s">
        <v>1034</v>
      </c>
      <c r="D401" s="0" t="s">
        <v>1035</v>
      </c>
    </row>
    <row r="402" customFormat="false" ht="12.8" hidden="true" customHeight="false" outlineLevel="0" collapsed="false">
      <c r="A402" s="9" t="n">
        <v>262</v>
      </c>
      <c r="B402" s="10" t="s">
        <v>1036</v>
      </c>
      <c r="C402" s="10" t="s">
        <v>1037</v>
      </c>
      <c r="D402" s="0" t="s">
        <v>1038</v>
      </c>
    </row>
    <row r="403" customFormat="false" ht="12.8" hidden="true" customHeight="false" outlineLevel="0" collapsed="false">
      <c r="A403" s="9" t="n">
        <v>263</v>
      </c>
      <c r="B403" s="10" t="s">
        <v>1039</v>
      </c>
      <c r="C403" s="10" t="s">
        <v>1040</v>
      </c>
      <c r="D403" s="0" t="s">
        <v>1041</v>
      </c>
    </row>
    <row r="404" customFormat="false" ht="12.8" hidden="true" customHeight="false" outlineLevel="0" collapsed="false">
      <c r="A404" s="9" t="n">
        <v>264</v>
      </c>
      <c r="B404" s="10" t="s">
        <v>1042</v>
      </c>
      <c r="C404" s="10" t="s">
        <v>1043</v>
      </c>
      <c r="D404" s="0" t="s">
        <v>1044</v>
      </c>
    </row>
    <row r="405" customFormat="false" ht="12.8" hidden="true" customHeight="false" outlineLevel="0" collapsed="false">
      <c r="A405" s="9" t="n">
        <v>265</v>
      </c>
      <c r="B405" s="10" t="s">
        <v>1045</v>
      </c>
      <c r="C405" s="10" t="s">
        <v>1046</v>
      </c>
      <c r="D405" s="0" t="s">
        <v>1047</v>
      </c>
    </row>
    <row r="406" customFormat="false" ht="12.8" hidden="true" customHeight="false" outlineLevel="0" collapsed="false">
      <c r="A406" s="9" t="n">
        <v>266</v>
      </c>
      <c r="B406" s="10" t="s">
        <v>1048</v>
      </c>
      <c r="C406" s="10" t="s">
        <v>1049</v>
      </c>
      <c r="D406" s="0" t="s">
        <v>1050</v>
      </c>
    </row>
    <row r="407" customFormat="false" ht="12.8" hidden="true" customHeight="false" outlineLevel="0" collapsed="false">
      <c r="A407" s="9" t="n">
        <v>267</v>
      </c>
      <c r="B407" s="10" t="s">
        <v>1051</v>
      </c>
      <c r="C407" s="10" t="s">
        <v>1052</v>
      </c>
      <c r="D407" s="0" t="s">
        <v>1053</v>
      </c>
    </row>
    <row r="408" customFormat="false" ht="12.8" hidden="true" customHeight="false" outlineLevel="0" collapsed="false">
      <c r="A408" s="9" t="n">
        <v>268</v>
      </c>
      <c r="B408" s="10" t="s">
        <v>1054</v>
      </c>
      <c r="C408" s="10" t="s">
        <v>1055</v>
      </c>
      <c r="D408" s="0" t="s">
        <v>1056</v>
      </c>
    </row>
    <row r="409" customFormat="false" ht="12.8" hidden="true" customHeight="false" outlineLevel="0" collapsed="false">
      <c r="A409" s="9" t="n">
        <v>269</v>
      </c>
      <c r="B409" s="10" t="s">
        <v>1057</v>
      </c>
      <c r="C409" s="10" t="s">
        <v>1058</v>
      </c>
      <c r="D409" s="0" t="s">
        <v>1059</v>
      </c>
    </row>
    <row r="410" customFormat="false" ht="12.8" hidden="true" customHeight="false" outlineLevel="0" collapsed="false">
      <c r="A410" s="9" t="n">
        <v>270</v>
      </c>
      <c r="B410" s="10" t="s">
        <v>1060</v>
      </c>
      <c r="C410" s="10" t="s">
        <v>1061</v>
      </c>
      <c r="D410" s="0" t="s">
        <v>1062</v>
      </c>
    </row>
    <row r="411" customFormat="false" ht="12.8" hidden="true" customHeight="false" outlineLevel="0" collapsed="false">
      <c r="A411" s="9" t="n">
        <v>271</v>
      </c>
      <c r="B411" s="10" t="s">
        <v>1063</v>
      </c>
      <c r="C411" s="10" t="s">
        <v>1064</v>
      </c>
      <c r="D411" s="0" t="s">
        <v>1065</v>
      </c>
    </row>
    <row r="412" customFormat="false" ht="12.8" hidden="true" customHeight="false" outlineLevel="0" collapsed="false">
      <c r="A412" s="9" t="n">
        <v>272</v>
      </c>
      <c r="B412" s="10" t="s">
        <v>1066</v>
      </c>
      <c r="C412" s="10" t="s">
        <v>1067</v>
      </c>
      <c r="D412" s="0" t="s">
        <v>1068</v>
      </c>
    </row>
    <row r="413" customFormat="false" ht="12.8" hidden="true" customHeight="false" outlineLevel="0" collapsed="false">
      <c r="A413" s="9" t="n">
        <v>273</v>
      </c>
      <c r="B413" s="10" t="s">
        <v>1069</v>
      </c>
      <c r="C413" s="10" t="s">
        <v>1070</v>
      </c>
      <c r="D413" s="0" t="s">
        <v>1071</v>
      </c>
    </row>
    <row r="414" customFormat="false" ht="12.8" hidden="true" customHeight="false" outlineLevel="0" collapsed="false">
      <c r="A414" s="9" t="n">
        <v>274</v>
      </c>
      <c r="B414" s="10" t="s">
        <v>1072</v>
      </c>
      <c r="C414" s="10" t="s">
        <v>1073</v>
      </c>
      <c r="D414" s="0" t="s">
        <v>1074</v>
      </c>
    </row>
    <row r="415" customFormat="false" ht="12.8" hidden="true" customHeight="false" outlineLevel="0" collapsed="false">
      <c r="A415" s="9" t="n">
        <v>275</v>
      </c>
      <c r="B415" s="10" t="s">
        <v>1075</v>
      </c>
      <c r="C415" s="10" t="s">
        <v>1076</v>
      </c>
      <c r="D415" s="0" t="s">
        <v>1077</v>
      </c>
    </row>
    <row r="416" customFormat="false" ht="12.8" hidden="true" customHeight="false" outlineLevel="0" collapsed="false">
      <c r="A416" s="9" t="n">
        <v>276</v>
      </c>
      <c r="B416" s="10" t="s">
        <v>1075</v>
      </c>
      <c r="C416" s="10" t="s">
        <v>1078</v>
      </c>
      <c r="D416" s="0" t="s">
        <v>1079</v>
      </c>
    </row>
    <row r="417" customFormat="false" ht="12.8" hidden="true" customHeight="false" outlineLevel="0" collapsed="false">
      <c r="A417" s="9" t="n">
        <v>277</v>
      </c>
      <c r="B417" s="10" t="s">
        <v>1080</v>
      </c>
      <c r="C417" s="10" t="s">
        <v>1081</v>
      </c>
      <c r="D417" s="0" t="s">
        <v>1082</v>
      </c>
    </row>
    <row r="418" customFormat="false" ht="12.8" hidden="true" customHeight="false" outlineLevel="0" collapsed="false">
      <c r="A418" s="9" t="n">
        <v>278</v>
      </c>
      <c r="B418" s="10" t="s">
        <v>1083</v>
      </c>
      <c r="C418" s="10" t="s">
        <v>1084</v>
      </c>
      <c r="D418" s="0" t="s">
        <v>1085</v>
      </c>
    </row>
    <row r="419" customFormat="false" ht="12.8" hidden="true" customHeight="false" outlineLevel="0" collapsed="false">
      <c r="A419" s="9" t="n">
        <v>279</v>
      </c>
      <c r="B419" s="10" t="s">
        <v>1086</v>
      </c>
      <c r="C419" s="10" t="s">
        <v>1087</v>
      </c>
      <c r="D419" s="0" t="s">
        <v>1088</v>
      </c>
    </row>
    <row r="420" customFormat="false" ht="12.8" hidden="true" customHeight="false" outlineLevel="0" collapsed="false"/>
    <row r="421" customFormat="false" ht="12.8" hidden="true" customHeight="false" outlineLevel="0" collapsed="false">
      <c r="A421" s="9" t="n">
        <v>280</v>
      </c>
      <c r="B421" s="10" t="s">
        <v>1089</v>
      </c>
      <c r="C421" s="10" t="s">
        <v>1090</v>
      </c>
      <c r="D421" s="0" t="s">
        <v>1091</v>
      </c>
    </row>
    <row r="422" customFormat="false" ht="12.8" hidden="true" customHeight="false" outlineLevel="0" collapsed="false">
      <c r="A422" s="9" t="n">
        <v>281</v>
      </c>
      <c r="B422" s="10" t="s">
        <v>1092</v>
      </c>
      <c r="C422" s="10" t="s">
        <v>1093</v>
      </c>
      <c r="D422" s="0" t="s">
        <v>1094</v>
      </c>
    </row>
    <row r="423" customFormat="false" ht="12.8" hidden="true" customHeight="false" outlineLevel="0" collapsed="false">
      <c r="A423" s="9" t="n">
        <v>282</v>
      </c>
      <c r="B423" s="10" t="s">
        <v>1095</v>
      </c>
      <c r="C423" s="10" t="s">
        <v>1096</v>
      </c>
      <c r="D423" s="0" t="s">
        <v>1097</v>
      </c>
    </row>
    <row r="424" customFormat="false" ht="12.8" hidden="true" customHeight="false" outlineLevel="0" collapsed="false">
      <c r="A424" s="9" t="n">
        <v>283</v>
      </c>
      <c r="B424" s="10" t="s">
        <v>1098</v>
      </c>
      <c r="C424" s="10" t="s">
        <v>1099</v>
      </c>
      <c r="D424" s="0" t="s">
        <v>1100</v>
      </c>
    </row>
    <row r="425" customFormat="false" ht="12.8" hidden="true" customHeight="false" outlineLevel="0" collapsed="false">
      <c r="A425" s="9" t="n">
        <v>284</v>
      </c>
      <c r="B425" s="10" t="s">
        <v>1101</v>
      </c>
      <c r="C425" s="10" t="s">
        <v>1102</v>
      </c>
      <c r="D425" s="0" t="s">
        <v>1103</v>
      </c>
    </row>
    <row r="426" customFormat="false" ht="12.8" hidden="true" customHeight="false" outlineLevel="0" collapsed="false">
      <c r="A426" s="9" t="n">
        <v>285</v>
      </c>
      <c r="B426" s="10" t="s">
        <v>1104</v>
      </c>
      <c r="C426" s="10" t="s">
        <v>1105</v>
      </c>
      <c r="D426" s="0" t="s">
        <v>1106</v>
      </c>
    </row>
    <row r="427" customFormat="false" ht="12.8" hidden="true" customHeight="false" outlineLevel="0" collapsed="false">
      <c r="A427" s="9" t="n">
        <v>286</v>
      </c>
      <c r="B427" s="10" t="s">
        <v>1107</v>
      </c>
      <c r="C427" s="10" t="s">
        <v>1108</v>
      </c>
      <c r="D427" s="0" t="s">
        <v>1109</v>
      </c>
    </row>
    <row r="428" customFormat="false" ht="12.8" hidden="true" customHeight="false" outlineLevel="0" collapsed="false">
      <c r="A428" s="9" t="n">
        <v>287</v>
      </c>
      <c r="B428" s="10" t="s">
        <v>1110</v>
      </c>
      <c r="C428" s="10" t="s">
        <v>1111</v>
      </c>
      <c r="D428" s="0" t="s">
        <v>1112</v>
      </c>
    </row>
    <row r="429" customFormat="false" ht="12.8" hidden="true" customHeight="false" outlineLevel="0" collapsed="false">
      <c r="A429" s="9" t="n">
        <v>288</v>
      </c>
      <c r="B429" s="10" t="s">
        <v>1113</v>
      </c>
      <c r="C429" s="10" t="s">
        <v>1114</v>
      </c>
      <c r="D429" s="0" t="s">
        <v>1115</v>
      </c>
    </row>
    <row r="430" customFormat="false" ht="12.8" hidden="true" customHeight="false" outlineLevel="0" collapsed="false">
      <c r="A430" s="9" t="n">
        <v>289</v>
      </c>
      <c r="B430" s="10" t="s">
        <v>1116</v>
      </c>
      <c r="C430" s="10" t="s">
        <v>1117</v>
      </c>
      <c r="D430" s="0" t="s">
        <v>1118</v>
      </c>
    </row>
    <row r="431" customFormat="false" ht="12.8" hidden="true" customHeight="false" outlineLevel="0" collapsed="false">
      <c r="A431" s="9" t="n">
        <v>290</v>
      </c>
      <c r="B431" s="10" t="s">
        <v>1119</v>
      </c>
      <c r="C431" s="10" t="s">
        <v>1120</v>
      </c>
      <c r="D431" s="0" t="s">
        <v>1121</v>
      </c>
    </row>
    <row r="432" customFormat="false" ht="12.8" hidden="true" customHeight="false" outlineLevel="0" collapsed="false">
      <c r="A432" s="9" t="n">
        <v>291</v>
      </c>
      <c r="B432" s="10" t="s">
        <v>1122</v>
      </c>
      <c r="C432" s="10" t="s">
        <v>1123</v>
      </c>
      <c r="D432" s="0" t="s">
        <v>1124</v>
      </c>
    </row>
    <row r="433" customFormat="false" ht="12.8" hidden="true" customHeight="false" outlineLevel="0" collapsed="false">
      <c r="A433" s="9" t="n">
        <v>292</v>
      </c>
      <c r="B433" s="10" t="s">
        <v>1125</v>
      </c>
      <c r="C433" s="10" t="s">
        <v>1126</v>
      </c>
      <c r="D433" s="0" t="s">
        <v>1127</v>
      </c>
    </row>
    <row r="434" customFormat="false" ht="12.8" hidden="true" customHeight="false" outlineLevel="0" collapsed="false">
      <c r="A434" s="9" t="n">
        <v>293</v>
      </c>
      <c r="B434" s="10" t="s">
        <v>1128</v>
      </c>
      <c r="C434" s="10" t="s">
        <v>1129</v>
      </c>
      <c r="D434" s="0" t="s">
        <v>1130</v>
      </c>
    </row>
    <row r="435" customFormat="false" ht="12.8" hidden="true" customHeight="false" outlineLevel="0" collapsed="false">
      <c r="A435" s="9" t="n">
        <v>294</v>
      </c>
      <c r="B435" s="10" t="s">
        <v>1131</v>
      </c>
      <c r="C435" s="10" t="s">
        <v>1132</v>
      </c>
      <c r="D435" s="0" t="s">
        <v>1133</v>
      </c>
    </row>
    <row r="436" customFormat="false" ht="12.8" hidden="true" customHeight="false" outlineLevel="0" collapsed="false">
      <c r="A436" s="9" t="n">
        <v>295</v>
      </c>
      <c r="B436" s="10" t="s">
        <v>1134</v>
      </c>
      <c r="C436" s="10" t="s">
        <v>1135</v>
      </c>
      <c r="D436" s="0" t="s">
        <v>1074</v>
      </c>
    </row>
    <row r="437" customFormat="false" ht="12.8" hidden="true" customHeight="false" outlineLevel="0" collapsed="false">
      <c r="A437" s="9" t="n">
        <v>296</v>
      </c>
      <c r="B437" s="10" t="s">
        <v>1136</v>
      </c>
      <c r="C437" s="10" t="s">
        <v>1137</v>
      </c>
      <c r="D437" s="0" t="s">
        <v>1138</v>
      </c>
    </row>
    <row r="438" customFormat="false" ht="12.8" hidden="true" customHeight="false" outlineLevel="0" collapsed="false">
      <c r="A438" s="9" t="n">
        <v>297</v>
      </c>
      <c r="B438" s="10" t="s">
        <v>1139</v>
      </c>
      <c r="C438" s="10" t="s">
        <v>1140</v>
      </c>
      <c r="D438" s="0" t="s">
        <v>1141</v>
      </c>
    </row>
    <row r="439" customFormat="false" ht="12.8" hidden="true" customHeight="false" outlineLevel="0" collapsed="false">
      <c r="A439" s="9" t="n">
        <v>298</v>
      </c>
      <c r="B439" s="10" t="s">
        <v>1142</v>
      </c>
      <c r="C439" s="10" t="s">
        <v>1143</v>
      </c>
      <c r="D439" s="0" t="s">
        <v>1144</v>
      </c>
    </row>
    <row r="440" customFormat="false" ht="12.8" hidden="true" customHeight="false" outlineLevel="0" collapsed="false">
      <c r="A440" s="9" t="n">
        <v>299</v>
      </c>
      <c r="B440" s="10" t="s">
        <v>1145</v>
      </c>
      <c r="C440" s="10" t="s">
        <v>1146</v>
      </c>
      <c r="D440" s="0" t="s">
        <v>1147</v>
      </c>
    </row>
    <row r="441" customFormat="false" ht="12.8" hidden="true" customHeight="false" outlineLevel="0" collapsed="false">
      <c r="A441" s="9" t="n">
        <v>300</v>
      </c>
      <c r="B441" s="10" t="s">
        <v>1148</v>
      </c>
      <c r="C441" s="10" t="s">
        <v>1149</v>
      </c>
      <c r="D441" s="0" t="s">
        <v>1150</v>
      </c>
    </row>
    <row r="442" customFormat="false" ht="12.8" hidden="true" customHeight="false" outlineLevel="0" collapsed="false">
      <c r="A442" s="9" t="n">
        <v>301</v>
      </c>
      <c r="B442" s="10" t="s">
        <v>1151</v>
      </c>
      <c r="C442" s="10" t="s">
        <v>1152</v>
      </c>
      <c r="D442" s="0" t="s">
        <v>1153</v>
      </c>
    </row>
    <row r="443" customFormat="false" ht="12.8" hidden="true" customHeight="false" outlineLevel="0" collapsed="false">
      <c r="A443" s="9" t="n">
        <v>302</v>
      </c>
      <c r="B443" s="10" t="s">
        <v>1154</v>
      </c>
      <c r="C443" s="10" t="s">
        <v>1155</v>
      </c>
      <c r="D443" s="0" t="s">
        <v>1156</v>
      </c>
    </row>
    <row r="444" customFormat="false" ht="12.8" hidden="true" customHeight="false" outlineLevel="0" collapsed="false">
      <c r="A444" s="9" t="n">
        <v>303</v>
      </c>
      <c r="B444" s="10" t="s">
        <v>1157</v>
      </c>
      <c r="C444" s="10" t="s">
        <v>1158</v>
      </c>
      <c r="D444" s="0" t="s">
        <v>1159</v>
      </c>
    </row>
    <row r="445" customFormat="false" ht="12.8" hidden="true" customHeight="false" outlineLevel="0" collapsed="false">
      <c r="A445" s="9" t="n">
        <v>304</v>
      </c>
      <c r="B445" s="10" t="s">
        <v>1160</v>
      </c>
      <c r="C445" s="10" t="s">
        <v>1161</v>
      </c>
      <c r="D445" s="0" t="s">
        <v>1162</v>
      </c>
    </row>
    <row r="446" customFormat="false" ht="12.8" hidden="true" customHeight="false" outlineLevel="0" collapsed="false">
      <c r="A446" s="9" t="n">
        <v>305</v>
      </c>
      <c r="B446" s="10" t="s">
        <v>1163</v>
      </c>
      <c r="C446" s="10" t="s">
        <v>1164</v>
      </c>
      <c r="D446" s="0" t="s">
        <v>1165</v>
      </c>
    </row>
    <row r="447" customFormat="false" ht="12.8" hidden="true" customHeight="false" outlineLevel="0" collapsed="false">
      <c r="A447" s="9" t="n">
        <v>306</v>
      </c>
      <c r="B447" s="10" t="s">
        <v>1166</v>
      </c>
      <c r="C447" s="10" t="s">
        <v>1167</v>
      </c>
      <c r="D447" s="0" t="s">
        <v>1168</v>
      </c>
    </row>
    <row r="448" customFormat="false" ht="12.8" hidden="true" customHeight="false" outlineLevel="0" collapsed="false">
      <c r="A448" s="9" t="n">
        <v>307</v>
      </c>
      <c r="B448" s="10" t="s">
        <v>1169</v>
      </c>
      <c r="C448" s="10" t="s">
        <v>1170</v>
      </c>
      <c r="D448" s="0" t="s">
        <v>1171</v>
      </c>
    </row>
    <row r="449" customFormat="false" ht="12.8" hidden="true" customHeight="false" outlineLevel="0" collapsed="false">
      <c r="A449" s="9" t="n">
        <v>308</v>
      </c>
      <c r="B449" s="10" t="s">
        <v>1172</v>
      </c>
      <c r="C449" s="10" t="s">
        <v>1173</v>
      </c>
      <c r="D449" s="0" t="s">
        <v>1174</v>
      </c>
    </row>
    <row r="450" customFormat="false" ht="12.8" hidden="true" customHeight="false" outlineLevel="0" collapsed="false">
      <c r="A450" s="9" t="n">
        <v>309</v>
      </c>
      <c r="B450" s="10" t="s">
        <v>1175</v>
      </c>
      <c r="C450" s="10" t="s">
        <v>1176</v>
      </c>
      <c r="D450" s="0" t="s">
        <v>1177</v>
      </c>
    </row>
    <row r="451" customFormat="false" ht="12.8" hidden="true" customHeight="false" outlineLevel="0" collapsed="false">
      <c r="A451" s="9" t="n">
        <v>310</v>
      </c>
      <c r="B451" s="10" t="s">
        <v>1178</v>
      </c>
      <c r="C451" s="10" t="s">
        <v>1179</v>
      </c>
      <c r="D451" s="0" t="s">
        <v>1180</v>
      </c>
    </row>
    <row r="452" customFormat="false" ht="12.8" hidden="true" customHeight="false" outlineLevel="0" collapsed="false">
      <c r="A452" s="9" t="n">
        <v>311</v>
      </c>
      <c r="B452" s="10" t="s">
        <v>1181</v>
      </c>
      <c r="C452" s="10" t="s">
        <v>1182</v>
      </c>
      <c r="D452" s="0" t="s">
        <v>1183</v>
      </c>
    </row>
    <row r="453" customFormat="false" ht="12.8" hidden="true" customHeight="false" outlineLevel="0" collapsed="false">
      <c r="A453" s="9" t="n">
        <v>312</v>
      </c>
      <c r="B453" s="10" t="s">
        <v>1184</v>
      </c>
      <c r="C453" s="10" t="s">
        <v>1185</v>
      </c>
      <c r="D453" s="0" t="s">
        <v>1186</v>
      </c>
    </row>
    <row r="454" customFormat="false" ht="12.8" hidden="true" customHeight="false" outlineLevel="0" collapsed="false">
      <c r="A454" s="9" t="n">
        <v>313</v>
      </c>
      <c r="B454" s="10" t="s">
        <v>1187</v>
      </c>
      <c r="C454" s="10" t="s">
        <v>1188</v>
      </c>
      <c r="D454" s="0" t="s">
        <v>1189</v>
      </c>
    </row>
    <row r="455" customFormat="false" ht="12.8" hidden="true" customHeight="false" outlineLevel="0" collapsed="false">
      <c r="A455" s="9" t="n">
        <v>314</v>
      </c>
      <c r="B455" s="10" t="s">
        <v>1190</v>
      </c>
      <c r="C455" s="10" t="s">
        <v>1191</v>
      </c>
      <c r="D455" s="0" t="s">
        <v>1192</v>
      </c>
    </row>
    <row r="456" customFormat="false" ht="12.8" hidden="true" customHeight="false" outlineLevel="0" collapsed="false">
      <c r="A456" s="9" t="n">
        <v>315</v>
      </c>
      <c r="B456" s="10" t="s">
        <v>1193</v>
      </c>
      <c r="C456" s="10" t="s">
        <v>1194</v>
      </c>
      <c r="D456" s="0" t="s">
        <v>1195</v>
      </c>
    </row>
    <row r="457" customFormat="false" ht="12.8" hidden="true" customHeight="false" outlineLevel="0" collapsed="false">
      <c r="A457" s="9" t="n">
        <v>316</v>
      </c>
      <c r="B457" s="10" t="s">
        <v>1196</v>
      </c>
      <c r="C457" s="10" t="s">
        <v>1197</v>
      </c>
      <c r="D457" s="0" t="s">
        <v>1198</v>
      </c>
    </row>
    <row r="458" customFormat="false" ht="12.8" hidden="true" customHeight="false" outlineLevel="0" collapsed="false">
      <c r="A458" s="9" t="n">
        <v>317</v>
      </c>
      <c r="B458" s="10" t="s">
        <v>1199</v>
      </c>
      <c r="C458" s="10" t="s">
        <v>1200</v>
      </c>
      <c r="D458" s="0" t="s">
        <v>1053</v>
      </c>
    </row>
    <row r="459" customFormat="false" ht="12.8" hidden="true" customHeight="false" outlineLevel="0" collapsed="false">
      <c r="A459" s="9" t="n">
        <v>318</v>
      </c>
      <c r="B459" s="10" t="s">
        <v>1201</v>
      </c>
      <c r="C459" s="10" t="s">
        <v>1202</v>
      </c>
      <c r="D459" s="0" t="s">
        <v>1203</v>
      </c>
    </row>
    <row r="460" customFormat="false" ht="12.8" hidden="true" customHeight="false" outlineLevel="0" collapsed="false">
      <c r="A460" s="9" t="n">
        <v>319</v>
      </c>
      <c r="B460" s="10" t="s">
        <v>1204</v>
      </c>
      <c r="C460" s="10" t="s">
        <v>1205</v>
      </c>
      <c r="D460" s="0" t="s">
        <v>1206</v>
      </c>
    </row>
    <row r="461" customFormat="false" ht="12.8" hidden="true" customHeight="false" outlineLevel="0" collapsed="false">
      <c r="A461" s="9" t="n">
        <v>320</v>
      </c>
      <c r="B461" s="10" t="s">
        <v>1207</v>
      </c>
      <c r="C461" s="10" t="s">
        <v>1208</v>
      </c>
      <c r="D461" s="0" t="s">
        <v>1209</v>
      </c>
    </row>
    <row r="462" customFormat="false" ht="12.8" hidden="true" customHeight="false" outlineLevel="0" collapsed="false">
      <c r="A462" s="9" t="n">
        <v>321</v>
      </c>
      <c r="B462" s="10" t="s">
        <v>1210</v>
      </c>
      <c r="C462" s="10" t="s">
        <v>1211</v>
      </c>
      <c r="D462" s="0" t="s">
        <v>1212</v>
      </c>
    </row>
    <row r="463" customFormat="false" ht="12.8" hidden="true" customHeight="false" outlineLevel="0" collapsed="false">
      <c r="A463" s="9" t="n">
        <v>322</v>
      </c>
      <c r="B463" s="10" t="s">
        <v>1213</v>
      </c>
      <c r="C463" s="10" t="s">
        <v>1214</v>
      </c>
      <c r="D463" s="0" t="s">
        <v>1215</v>
      </c>
    </row>
    <row r="464" customFormat="false" ht="12.8" hidden="true" customHeight="false" outlineLevel="0" collapsed="false">
      <c r="A464" s="9" t="n">
        <v>323</v>
      </c>
      <c r="B464" s="10" t="s">
        <v>1216</v>
      </c>
      <c r="C464" s="10" t="s">
        <v>1217</v>
      </c>
      <c r="D464" s="0" t="s">
        <v>1218</v>
      </c>
    </row>
    <row r="465" customFormat="false" ht="12.8" hidden="true" customHeight="false" outlineLevel="0" collapsed="false">
      <c r="A465" s="9" t="n">
        <v>324</v>
      </c>
      <c r="B465" s="10" t="s">
        <v>1219</v>
      </c>
      <c r="C465" s="10" t="s">
        <v>1220</v>
      </c>
      <c r="D465" s="0" t="s">
        <v>1221</v>
      </c>
    </row>
    <row r="466" customFormat="false" ht="12.8" hidden="true" customHeight="false" outlineLevel="0" collapsed="false">
      <c r="A466" s="9" t="n">
        <v>325</v>
      </c>
      <c r="B466" s="10" t="s">
        <v>1222</v>
      </c>
      <c r="C466" s="10" t="s">
        <v>1223</v>
      </c>
      <c r="D466" s="0" t="s">
        <v>1224</v>
      </c>
    </row>
    <row r="467" customFormat="false" ht="12.8" hidden="true" customHeight="false" outlineLevel="0" collapsed="false">
      <c r="A467" s="9" t="n">
        <v>326</v>
      </c>
      <c r="B467" s="10" t="s">
        <v>1225</v>
      </c>
      <c r="C467" s="10" t="s">
        <v>1226</v>
      </c>
      <c r="D467" s="0" t="s">
        <v>1227</v>
      </c>
    </row>
    <row r="468" customFormat="false" ht="12.8" hidden="true" customHeight="false" outlineLevel="0" collapsed="false">
      <c r="A468" s="9" t="n">
        <v>327</v>
      </c>
      <c r="B468" s="10" t="s">
        <v>1228</v>
      </c>
      <c r="C468" s="10" t="s">
        <v>1229</v>
      </c>
      <c r="D468" s="0" t="s">
        <v>1230</v>
      </c>
    </row>
    <row r="469" customFormat="false" ht="12.8" hidden="true" customHeight="false" outlineLevel="0" collapsed="false">
      <c r="A469" s="9" t="n">
        <v>328</v>
      </c>
      <c r="B469" s="10" t="s">
        <v>1231</v>
      </c>
      <c r="C469" s="10" t="s">
        <v>1232</v>
      </c>
      <c r="D469" s="0" t="s">
        <v>1233</v>
      </c>
    </row>
    <row r="470" customFormat="false" ht="12.8" hidden="true" customHeight="false" outlineLevel="0" collapsed="false">
      <c r="A470" s="9" t="n">
        <v>329</v>
      </c>
      <c r="B470" s="10" t="s">
        <v>1234</v>
      </c>
      <c r="C470" s="10" t="s">
        <v>1235</v>
      </c>
      <c r="D470" s="0" t="s">
        <v>1236</v>
      </c>
    </row>
    <row r="471" customFormat="false" ht="12.8" hidden="true" customHeight="false" outlineLevel="0" collapsed="false"/>
    <row r="472" customFormat="false" ht="12.8" hidden="true" customHeight="false" outlineLevel="0" collapsed="false">
      <c r="A472" s="9" t="n">
        <v>280</v>
      </c>
      <c r="B472" s="10" t="s">
        <v>1089</v>
      </c>
      <c r="C472" s="10" t="s">
        <v>1090</v>
      </c>
      <c r="D472" s="0" t="s">
        <v>1091</v>
      </c>
    </row>
    <row r="473" customFormat="false" ht="12.8" hidden="true" customHeight="false" outlineLevel="0" collapsed="false">
      <c r="A473" s="9" t="n">
        <v>281</v>
      </c>
      <c r="B473" s="10" t="s">
        <v>1092</v>
      </c>
      <c r="C473" s="10" t="s">
        <v>1093</v>
      </c>
      <c r="D473" s="0" t="s">
        <v>1094</v>
      </c>
    </row>
    <row r="474" customFormat="false" ht="12.8" hidden="true" customHeight="false" outlineLevel="0" collapsed="false">
      <c r="A474" s="9" t="n">
        <v>282</v>
      </c>
      <c r="B474" s="10" t="s">
        <v>1095</v>
      </c>
      <c r="C474" s="10" t="s">
        <v>1096</v>
      </c>
      <c r="D474" s="0" t="s">
        <v>1097</v>
      </c>
    </row>
    <row r="475" customFormat="false" ht="12.8" hidden="true" customHeight="false" outlineLevel="0" collapsed="false">
      <c r="A475" s="9" t="n">
        <v>283</v>
      </c>
      <c r="B475" s="10" t="s">
        <v>1098</v>
      </c>
      <c r="C475" s="10" t="s">
        <v>1099</v>
      </c>
      <c r="D475" s="0" t="s">
        <v>1100</v>
      </c>
    </row>
    <row r="476" customFormat="false" ht="12.8" hidden="true" customHeight="false" outlineLevel="0" collapsed="false">
      <c r="A476" s="9" t="n">
        <v>284</v>
      </c>
      <c r="B476" s="10" t="s">
        <v>1101</v>
      </c>
      <c r="C476" s="10" t="s">
        <v>1102</v>
      </c>
      <c r="D476" s="0" t="s">
        <v>1103</v>
      </c>
    </row>
    <row r="477" customFormat="false" ht="12.8" hidden="true" customHeight="false" outlineLevel="0" collapsed="false">
      <c r="A477" s="9" t="n">
        <v>285</v>
      </c>
      <c r="B477" s="10" t="s">
        <v>1104</v>
      </c>
      <c r="C477" s="10" t="s">
        <v>1105</v>
      </c>
      <c r="D477" s="0" t="s">
        <v>1106</v>
      </c>
    </row>
    <row r="478" customFormat="false" ht="12.8" hidden="true" customHeight="false" outlineLevel="0" collapsed="false">
      <c r="A478" s="9" t="n">
        <v>286</v>
      </c>
      <c r="B478" s="10" t="s">
        <v>1107</v>
      </c>
      <c r="C478" s="10" t="s">
        <v>1108</v>
      </c>
      <c r="D478" s="0" t="s">
        <v>1109</v>
      </c>
    </row>
    <row r="479" customFormat="false" ht="12.8" hidden="true" customHeight="false" outlineLevel="0" collapsed="false">
      <c r="A479" s="9" t="n">
        <v>287</v>
      </c>
      <c r="B479" s="10" t="s">
        <v>1110</v>
      </c>
      <c r="C479" s="10" t="s">
        <v>1111</v>
      </c>
      <c r="D479" s="0" t="s">
        <v>1112</v>
      </c>
    </row>
    <row r="480" customFormat="false" ht="12.8" hidden="true" customHeight="false" outlineLevel="0" collapsed="false">
      <c r="A480" s="9" t="n">
        <v>288</v>
      </c>
      <c r="B480" s="10" t="s">
        <v>1113</v>
      </c>
      <c r="C480" s="10" t="s">
        <v>1114</v>
      </c>
      <c r="D480" s="0" t="s">
        <v>1115</v>
      </c>
    </row>
    <row r="481" customFormat="false" ht="12.8" hidden="true" customHeight="false" outlineLevel="0" collapsed="false">
      <c r="A481" s="9" t="n">
        <v>289</v>
      </c>
      <c r="B481" s="10" t="s">
        <v>1116</v>
      </c>
      <c r="C481" s="10" t="s">
        <v>1117</v>
      </c>
      <c r="D481" s="0" t="s">
        <v>1118</v>
      </c>
    </row>
    <row r="482" customFormat="false" ht="12.8" hidden="true" customHeight="false" outlineLevel="0" collapsed="false">
      <c r="A482" s="9" t="n">
        <v>290</v>
      </c>
      <c r="B482" s="10" t="s">
        <v>1119</v>
      </c>
      <c r="C482" s="10" t="s">
        <v>1120</v>
      </c>
      <c r="D482" s="0" t="s">
        <v>1121</v>
      </c>
    </row>
    <row r="483" customFormat="false" ht="12.8" hidden="true" customHeight="false" outlineLevel="0" collapsed="false">
      <c r="A483" s="9" t="n">
        <v>291</v>
      </c>
      <c r="B483" s="10" t="s">
        <v>1122</v>
      </c>
      <c r="C483" s="10" t="s">
        <v>1123</v>
      </c>
      <c r="D483" s="0" t="s">
        <v>1124</v>
      </c>
    </row>
    <row r="484" customFormat="false" ht="12.8" hidden="true" customHeight="false" outlineLevel="0" collapsed="false">
      <c r="A484" s="9" t="n">
        <v>292</v>
      </c>
      <c r="B484" s="10" t="s">
        <v>1125</v>
      </c>
      <c r="C484" s="10" t="s">
        <v>1126</v>
      </c>
      <c r="D484" s="0" t="s">
        <v>1127</v>
      </c>
    </row>
    <row r="485" customFormat="false" ht="12.8" hidden="true" customHeight="false" outlineLevel="0" collapsed="false">
      <c r="A485" s="9" t="n">
        <v>293</v>
      </c>
      <c r="B485" s="10" t="s">
        <v>1128</v>
      </c>
      <c r="C485" s="10" t="s">
        <v>1129</v>
      </c>
      <c r="D485" s="0" t="s">
        <v>1130</v>
      </c>
    </row>
    <row r="486" customFormat="false" ht="12.8" hidden="true" customHeight="false" outlineLevel="0" collapsed="false">
      <c r="A486" s="9" t="n">
        <v>294</v>
      </c>
      <c r="B486" s="10" t="s">
        <v>1131</v>
      </c>
      <c r="C486" s="10" t="s">
        <v>1132</v>
      </c>
      <c r="D486" s="0" t="s">
        <v>1133</v>
      </c>
    </row>
    <row r="487" customFormat="false" ht="12.8" hidden="true" customHeight="false" outlineLevel="0" collapsed="false">
      <c r="A487" s="9" t="n">
        <v>295</v>
      </c>
      <c r="B487" s="10" t="s">
        <v>1134</v>
      </c>
      <c r="C487" s="10" t="s">
        <v>1135</v>
      </c>
      <c r="D487" s="0" t="s">
        <v>1074</v>
      </c>
    </row>
    <row r="488" customFormat="false" ht="12.8" hidden="true" customHeight="false" outlineLevel="0" collapsed="false">
      <c r="A488" s="9" t="n">
        <v>296</v>
      </c>
      <c r="B488" s="10" t="s">
        <v>1136</v>
      </c>
      <c r="C488" s="10" t="s">
        <v>1137</v>
      </c>
      <c r="D488" s="0" t="s">
        <v>1138</v>
      </c>
    </row>
    <row r="489" customFormat="false" ht="12.8" hidden="true" customHeight="false" outlineLevel="0" collapsed="false">
      <c r="A489" s="9" t="n">
        <v>297</v>
      </c>
      <c r="B489" s="10" t="s">
        <v>1139</v>
      </c>
      <c r="C489" s="10" t="s">
        <v>1140</v>
      </c>
      <c r="D489" s="0" t="s">
        <v>1141</v>
      </c>
    </row>
    <row r="490" customFormat="false" ht="12.8" hidden="true" customHeight="false" outlineLevel="0" collapsed="false">
      <c r="A490" s="9" t="n">
        <v>298</v>
      </c>
      <c r="B490" s="10" t="s">
        <v>1142</v>
      </c>
      <c r="C490" s="10" t="s">
        <v>1143</v>
      </c>
      <c r="D490" s="0" t="s">
        <v>1144</v>
      </c>
    </row>
    <row r="491" customFormat="false" ht="12.8" hidden="true" customHeight="false" outlineLevel="0" collapsed="false">
      <c r="A491" s="9" t="n">
        <v>299</v>
      </c>
      <c r="B491" s="10" t="s">
        <v>1145</v>
      </c>
      <c r="C491" s="10" t="s">
        <v>1146</v>
      </c>
      <c r="D491" s="0" t="s">
        <v>1147</v>
      </c>
    </row>
    <row r="492" customFormat="false" ht="12.8" hidden="true" customHeight="false" outlineLevel="0" collapsed="false">
      <c r="A492" s="9" t="n">
        <v>300</v>
      </c>
      <c r="B492" s="10" t="s">
        <v>1148</v>
      </c>
      <c r="C492" s="10" t="s">
        <v>1149</v>
      </c>
      <c r="D492" s="0" t="s">
        <v>1150</v>
      </c>
    </row>
    <row r="493" customFormat="false" ht="12.8" hidden="true" customHeight="false" outlineLevel="0" collapsed="false">
      <c r="A493" s="9" t="n">
        <v>301</v>
      </c>
      <c r="B493" s="10" t="s">
        <v>1151</v>
      </c>
      <c r="C493" s="10" t="s">
        <v>1152</v>
      </c>
      <c r="D493" s="0" t="s">
        <v>1153</v>
      </c>
    </row>
    <row r="494" customFormat="false" ht="12.8" hidden="true" customHeight="false" outlineLevel="0" collapsed="false">
      <c r="A494" s="9" t="n">
        <v>302</v>
      </c>
      <c r="B494" s="10" t="s">
        <v>1154</v>
      </c>
      <c r="C494" s="10" t="s">
        <v>1155</v>
      </c>
      <c r="D494" s="0" t="s">
        <v>1156</v>
      </c>
    </row>
    <row r="495" customFormat="false" ht="12.8" hidden="true" customHeight="false" outlineLevel="0" collapsed="false">
      <c r="A495" s="9" t="n">
        <v>303</v>
      </c>
      <c r="B495" s="10" t="s">
        <v>1157</v>
      </c>
      <c r="C495" s="10" t="s">
        <v>1158</v>
      </c>
      <c r="D495" s="0" t="s">
        <v>1159</v>
      </c>
    </row>
    <row r="496" customFormat="false" ht="12.8" hidden="true" customHeight="false" outlineLevel="0" collapsed="false">
      <c r="A496" s="9" t="n">
        <v>304</v>
      </c>
      <c r="B496" s="10" t="s">
        <v>1160</v>
      </c>
      <c r="C496" s="10" t="s">
        <v>1161</v>
      </c>
      <c r="D496" s="0" t="s">
        <v>1162</v>
      </c>
    </row>
    <row r="497" customFormat="false" ht="12.8" hidden="true" customHeight="false" outlineLevel="0" collapsed="false">
      <c r="A497" s="9" t="n">
        <v>305</v>
      </c>
      <c r="B497" s="10" t="s">
        <v>1163</v>
      </c>
      <c r="C497" s="10" t="s">
        <v>1164</v>
      </c>
      <c r="D497" s="0" t="s">
        <v>1165</v>
      </c>
    </row>
    <row r="498" customFormat="false" ht="12.8" hidden="true" customHeight="false" outlineLevel="0" collapsed="false">
      <c r="A498" s="9" t="n">
        <v>306</v>
      </c>
      <c r="B498" s="10" t="s">
        <v>1166</v>
      </c>
      <c r="C498" s="10" t="s">
        <v>1167</v>
      </c>
      <c r="D498" s="0" t="s">
        <v>1168</v>
      </c>
    </row>
    <row r="499" customFormat="false" ht="12.8" hidden="true" customHeight="false" outlineLevel="0" collapsed="false">
      <c r="A499" s="9" t="n">
        <v>307</v>
      </c>
      <c r="B499" s="10" t="s">
        <v>1169</v>
      </c>
      <c r="C499" s="10" t="s">
        <v>1170</v>
      </c>
      <c r="D499" s="0" t="s">
        <v>1171</v>
      </c>
    </row>
    <row r="500" customFormat="false" ht="12.8" hidden="true" customHeight="false" outlineLevel="0" collapsed="false">
      <c r="A500" s="9" t="n">
        <v>308</v>
      </c>
      <c r="B500" s="10" t="s">
        <v>1172</v>
      </c>
      <c r="C500" s="10" t="s">
        <v>1173</v>
      </c>
      <c r="D500" s="0" t="s">
        <v>1174</v>
      </c>
    </row>
    <row r="501" customFormat="false" ht="12.8" hidden="true" customHeight="false" outlineLevel="0" collapsed="false">
      <c r="A501" s="9" t="n">
        <v>309</v>
      </c>
      <c r="B501" s="10" t="s">
        <v>1175</v>
      </c>
      <c r="C501" s="10" t="s">
        <v>1176</v>
      </c>
      <c r="D501" s="0" t="s">
        <v>1177</v>
      </c>
    </row>
    <row r="502" customFormat="false" ht="12.8" hidden="true" customHeight="false" outlineLevel="0" collapsed="false">
      <c r="A502" s="9" t="n">
        <v>310</v>
      </c>
      <c r="B502" s="10" t="s">
        <v>1178</v>
      </c>
      <c r="C502" s="10" t="s">
        <v>1179</v>
      </c>
      <c r="D502" s="0" t="s">
        <v>1180</v>
      </c>
    </row>
    <row r="503" customFormat="false" ht="12.8" hidden="true" customHeight="false" outlineLevel="0" collapsed="false">
      <c r="A503" s="9" t="n">
        <v>311</v>
      </c>
      <c r="B503" s="10" t="s">
        <v>1181</v>
      </c>
      <c r="C503" s="10" t="s">
        <v>1182</v>
      </c>
      <c r="D503" s="0" t="s">
        <v>1183</v>
      </c>
    </row>
    <row r="504" customFormat="false" ht="12.8" hidden="true" customHeight="false" outlineLevel="0" collapsed="false">
      <c r="A504" s="9" t="n">
        <v>312</v>
      </c>
      <c r="B504" s="10" t="s">
        <v>1184</v>
      </c>
      <c r="C504" s="10" t="s">
        <v>1185</v>
      </c>
      <c r="D504" s="0" t="s">
        <v>1186</v>
      </c>
    </row>
    <row r="505" customFormat="false" ht="12.8" hidden="true" customHeight="false" outlineLevel="0" collapsed="false">
      <c r="A505" s="9" t="n">
        <v>313</v>
      </c>
      <c r="B505" s="10" t="s">
        <v>1187</v>
      </c>
      <c r="C505" s="10" t="s">
        <v>1188</v>
      </c>
      <c r="D505" s="0" t="s">
        <v>1189</v>
      </c>
    </row>
    <row r="506" customFormat="false" ht="12.8" hidden="true" customHeight="false" outlineLevel="0" collapsed="false">
      <c r="A506" s="9" t="n">
        <v>314</v>
      </c>
      <c r="B506" s="10" t="s">
        <v>1190</v>
      </c>
      <c r="C506" s="10" t="s">
        <v>1191</v>
      </c>
      <c r="D506" s="0" t="s">
        <v>1192</v>
      </c>
    </row>
    <row r="507" customFormat="false" ht="12.8" hidden="true" customHeight="false" outlineLevel="0" collapsed="false">
      <c r="A507" s="9" t="n">
        <v>315</v>
      </c>
      <c r="B507" s="10" t="s">
        <v>1193</v>
      </c>
      <c r="C507" s="10" t="s">
        <v>1194</v>
      </c>
      <c r="D507" s="0" t="s">
        <v>1195</v>
      </c>
    </row>
    <row r="508" customFormat="false" ht="12.8" hidden="true" customHeight="false" outlineLevel="0" collapsed="false">
      <c r="A508" s="9" t="n">
        <v>316</v>
      </c>
      <c r="B508" s="10" t="s">
        <v>1196</v>
      </c>
      <c r="C508" s="10" t="s">
        <v>1197</v>
      </c>
      <c r="D508" s="0" t="s">
        <v>1198</v>
      </c>
    </row>
    <row r="509" customFormat="false" ht="12.8" hidden="true" customHeight="false" outlineLevel="0" collapsed="false">
      <c r="A509" s="9" t="n">
        <v>317</v>
      </c>
      <c r="B509" s="10" t="s">
        <v>1199</v>
      </c>
      <c r="C509" s="10" t="s">
        <v>1200</v>
      </c>
      <c r="D509" s="0" t="s">
        <v>1053</v>
      </c>
    </row>
    <row r="510" customFormat="false" ht="12.8" hidden="true" customHeight="false" outlineLevel="0" collapsed="false">
      <c r="A510" s="9" t="n">
        <v>318</v>
      </c>
      <c r="B510" s="10" t="s">
        <v>1201</v>
      </c>
      <c r="C510" s="10" t="s">
        <v>1202</v>
      </c>
      <c r="D510" s="0" t="s">
        <v>1203</v>
      </c>
    </row>
    <row r="511" customFormat="false" ht="12.8" hidden="true" customHeight="false" outlineLevel="0" collapsed="false">
      <c r="A511" s="9" t="n">
        <v>319</v>
      </c>
      <c r="B511" s="10" t="s">
        <v>1204</v>
      </c>
      <c r="C511" s="10" t="s">
        <v>1205</v>
      </c>
      <c r="D511" s="0" t="s">
        <v>1206</v>
      </c>
    </row>
    <row r="512" customFormat="false" ht="12.8" hidden="true" customHeight="false" outlineLevel="0" collapsed="false">
      <c r="A512" s="9" t="n">
        <v>320</v>
      </c>
      <c r="B512" s="10" t="s">
        <v>1207</v>
      </c>
      <c r="C512" s="10" t="s">
        <v>1208</v>
      </c>
      <c r="D512" s="0" t="s">
        <v>1209</v>
      </c>
    </row>
    <row r="513" customFormat="false" ht="12.8" hidden="true" customHeight="false" outlineLevel="0" collapsed="false">
      <c r="A513" s="9" t="n">
        <v>321</v>
      </c>
      <c r="B513" s="10" t="s">
        <v>1210</v>
      </c>
      <c r="C513" s="10" t="s">
        <v>1211</v>
      </c>
      <c r="D513" s="0" t="s">
        <v>1212</v>
      </c>
    </row>
    <row r="514" customFormat="false" ht="12.8" hidden="true" customHeight="false" outlineLevel="0" collapsed="false">
      <c r="A514" s="9" t="n">
        <v>322</v>
      </c>
      <c r="B514" s="10" t="s">
        <v>1213</v>
      </c>
      <c r="C514" s="10" t="s">
        <v>1214</v>
      </c>
      <c r="D514" s="0" t="s">
        <v>1215</v>
      </c>
    </row>
    <row r="515" customFormat="false" ht="12.8" hidden="true" customHeight="false" outlineLevel="0" collapsed="false">
      <c r="A515" s="9" t="n">
        <v>323</v>
      </c>
      <c r="B515" s="10" t="s">
        <v>1216</v>
      </c>
      <c r="C515" s="10" t="s">
        <v>1217</v>
      </c>
      <c r="D515" s="0" t="s">
        <v>1218</v>
      </c>
    </row>
    <row r="516" customFormat="false" ht="12.8" hidden="true" customHeight="false" outlineLevel="0" collapsed="false">
      <c r="A516" s="9" t="n">
        <v>324</v>
      </c>
      <c r="B516" s="10" t="s">
        <v>1219</v>
      </c>
      <c r="C516" s="10" t="s">
        <v>1220</v>
      </c>
      <c r="D516" s="0" t="s">
        <v>1221</v>
      </c>
    </row>
    <row r="517" customFormat="false" ht="12.8" hidden="true" customHeight="false" outlineLevel="0" collapsed="false">
      <c r="A517" s="9" t="n">
        <v>325</v>
      </c>
      <c r="B517" s="10" t="s">
        <v>1222</v>
      </c>
      <c r="C517" s="10" t="s">
        <v>1223</v>
      </c>
      <c r="D517" s="0" t="s">
        <v>1224</v>
      </c>
    </row>
    <row r="518" customFormat="false" ht="12.8" hidden="true" customHeight="false" outlineLevel="0" collapsed="false">
      <c r="A518" s="9" t="n">
        <v>326</v>
      </c>
      <c r="B518" s="10" t="s">
        <v>1225</v>
      </c>
      <c r="C518" s="10" t="s">
        <v>1226</v>
      </c>
      <c r="D518" s="0" t="s">
        <v>1227</v>
      </c>
    </row>
    <row r="519" customFormat="false" ht="12.8" hidden="true" customHeight="false" outlineLevel="0" collapsed="false">
      <c r="A519" s="9" t="n">
        <v>327</v>
      </c>
      <c r="B519" s="10" t="s">
        <v>1228</v>
      </c>
      <c r="C519" s="10" t="s">
        <v>1229</v>
      </c>
      <c r="D519" s="0" t="s">
        <v>1230</v>
      </c>
    </row>
    <row r="520" customFormat="false" ht="12.8" hidden="true" customHeight="false" outlineLevel="0" collapsed="false">
      <c r="A520" s="9" t="n">
        <v>328</v>
      </c>
      <c r="B520" s="10" t="s">
        <v>1231</v>
      </c>
      <c r="C520" s="10" t="s">
        <v>1232</v>
      </c>
      <c r="D520" s="0" t="s">
        <v>1233</v>
      </c>
    </row>
    <row r="521" customFormat="false" ht="12.8" hidden="true" customHeight="false" outlineLevel="0" collapsed="false">
      <c r="A521" s="9" t="n">
        <v>329</v>
      </c>
      <c r="B521" s="10" t="s">
        <v>1234</v>
      </c>
      <c r="C521" s="10" t="s">
        <v>1235</v>
      </c>
      <c r="D521" s="0" t="s">
        <v>1236</v>
      </c>
    </row>
    <row r="522" customFormat="false" ht="12.8" hidden="true" customHeight="false" outlineLevel="0" collapsed="false"/>
    <row r="523" customFormat="false" ht="12.8" hidden="true" customHeight="false" outlineLevel="0" collapsed="false">
      <c r="A523" s="9" t="n">
        <v>330</v>
      </c>
      <c r="B523" s="10" t="s">
        <v>1237</v>
      </c>
      <c r="C523" s="10" t="s">
        <v>1238</v>
      </c>
      <c r="D523" s="0" t="s">
        <v>1239</v>
      </c>
    </row>
    <row r="524" customFormat="false" ht="12.8" hidden="true" customHeight="false" outlineLevel="0" collapsed="false">
      <c r="A524" s="9" t="n">
        <v>331</v>
      </c>
      <c r="B524" s="10" t="s">
        <v>1240</v>
      </c>
      <c r="C524" s="10" t="s">
        <v>1241</v>
      </c>
      <c r="D524" s="0" t="s">
        <v>1053</v>
      </c>
    </row>
    <row r="525" customFormat="false" ht="12.8" hidden="true" customHeight="false" outlineLevel="0" collapsed="false">
      <c r="A525" s="9" t="n">
        <v>332</v>
      </c>
      <c r="B525" s="10" t="s">
        <v>1242</v>
      </c>
      <c r="C525" s="10" t="s">
        <v>1243</v>
      </c>
      <c r="D525" s="0" t="s">
        <v>1244</v>
      </c>
    </row>
    <row r="526" customFormat="false" ht="12.8" hidden="true" customHeight="false" outlineLevel="0" collapsed="false">
      <c r="A526" s="9" t="n">
        <v>333</v>
      </c>
      <c r="B526" s="10" t="s">
        <v>1245</v>
      </c>
      <c r="C526" s="10" t="s">
        <v>1246</v>
      </c>
      <c r="D526" s="0" t="s">
        <v>1247</v>
      </c>
    </row>
    <row r="527" customFormat="false" ht="12.8" hidden="true" customHeight="false" outlineLevel="0" collapsed="false">
      <c r="A527" s="9" t="n">
        <v>334</v>
      </c>
      <c r="B527" s="10" t="s">
        <v>1248</v>
      </c>
      <c r="C527" s="10" t="s">
        <v>1249</v>
      </c>
      <c r="D527" s="0" t="s">
        <v>1250</v>
      </c>
    </row>
    <row r="528" customFormat="false" ht="12.8" hidden="true" customHeight="false" outlineLevel="0" collapsed="false">
      <c r="A528" s="9" t="n">
        <v>335</v>
      </c>
      <c r="B528" s="10" t="s">
        <v>1251</v>
      </c>
      <c r="C528" s="10" t="s">
        <v>1252</v>
      </c>
      <c r="D528" s="0" t="s">
        <v>1253</v>
      </c>
    </row>
    <row r="529" customFormat="false" ht="12.8" hidden="true" customHeight="false" outlineLevel="0" collapsed="false">
      <c r="A529" s="9" t="n">
        <v>336</v>
      </c>
      <c r="B529" s="10" t="s">
        <v>1254</v>
      </c>
      <c r="C529" s="10" t="s">
        <v>1255</v>
      </c>
      <c r="D529" s="0" t="s">
        <v>1227</v>
      </c>
    </row>
    <row r="530" customFormat="false" ht="12.8" hidden="true" customHeight="false" outlineLevel="0" collapsed="false">
      <c r="A530" s="9" t="n">
        <v>337</v>
      </c>
      <c r="B530" s="10" t="s">
        <v>1256</v>
      </c>
      <c r="C530" s="10" t="s">
        <v>1257</v>
      </c>
      <c r="D530" s="0" t="s">
        <v>1258</v>
      </c>
    </row>
    <row r="531" customFormat="false" ht="12.8" hidden="true" customHeight="false" outlineLevel="0" collapsed="false">
      <c r="A531" s="9" t="n">
        <v>338</v>
      </c>
      <c r="B531" s="10" t="s">
        <v>1259</v>
      </c>
      <c r="C531" s="10" t="s">
        <v>1260</v>
      </c>
      <c r="D531" s="0" t="s">
        <v>1261</v>
      </c>
    </row>
    <row r="532" customFormat="false" ht="12.8" hidden="true" customHeight="false" outlineLevel="0" collapsed="false">
      <c r="A532" s="9" t="n">
        <v>339</v>
      </c>
      <c r="B532" s="10" t="s">
        <v>1262</v>
      </c>
      <c r="C532" s="10" t="s">
        <v>1263</v>
      </c>
      <c r="D532" s="0" t="s">
        <v>1264</v>
      </c>
    </row>
    <row r="533" customFormat="false" ht="12.8" hidden="true" customHeight="false" outlineLevel="0" collapsed="false">
      <c r="A533" s="9" t="n">
        <v>340</v>
      </c>
      <c r="B533" s="10" t="s">
        <v>1265</v>
      </c>
      <c r="C533" s="10" t="s">
        <v>1266</v>
      </c>
      <c r="D533" s="0" t="s">
        <v>1267</v>
      </c>
    </row>
    <row r="534" customFormat="false" ht="12.8" hidden="true" customHeight="false" outlineLevel="0" collapsed="false">
      <c r="A534" s="9" t="n">
        <v>341</v>
      </c>
      <c r="B534" s="10" t="s">
        <v>1268</v>
      </c>
      <c r="C534" s="10" t="s">
        <v>1269</v>
      </c>
      <c r="D534" s="0" t="s">
        <v>1270</v>
      </c>
    </row>
    <row r="535" customFormat="false" ht="12.8" hidden="true" customHeight="false" outlineLevel="0" collapsed="false">
      <c r="A535" s="9" t="n">
        <v>342</v>
      </c>
      <c r="B535" s="10" t="s">
        <v>1271</v>
      </c>
      <c r="C535" s="10" t="s">
        <v>1272</v>
      </c>
      <c r="D535" s="0" t="s">
        <v>1273</v>
      </c>
    </row>
    <row r="536" customFormat="false" ht="12.8" hidden="true" customHeight="false" outlineLevel="0" collapsed="false">
      <c r="A536" s="9" t="n">
        <v>343</v>
      </c>
      <c r="B536" s="10" t="s">
        <v>1274</v>
      </c>
      <c r="C536" s="10" t="s">
        <v>1275</v>
      </c>
      <c r="D536" s="0" t="s">
        <v>1276</v>
      </c>
    </row>
    <row r="537" customFormat="false" ht="12.8" hidden="true" customHeight="false" outlineLevel="0" collapsed="false">
      <c r="A537" s="9" t="n">
        <v>344</v>
      </c>
      <c r="B537" s="10" t="s">
        <v>1277</v>
      </c>
      <c r="C537" s="10" t="s">
        <v>1278</v>
      </c>
      <c r="D537" s="0" t="s">
        <v>1279</v>
      </c>
    </row>
    <row r="538" customFormat="false" ht="12.8" hidden="true" customHeight="false" outlineLevel="0" collapsed="false">
      <c r="A538" s="9" t="n">
        <v>345</v>
      </c>
      <c r="B538" s="10" t="s">
        <v>1280</v>
      </c>
      <c r="C538" s="10" t="s">
        <v>1281</v>
      </c>
      <c r="D538" s="0" t="s">
        <v>1282</v>
      </c>
    </row>
    <row r="539" customFormat="false" ht="12.8" hidden="true" customHeight="false" outlineLevel="0" collapsed="false">
      <c r="A539" s="9" t="n">
        <v>346</v>
      </c>
      <c r="B539" s="10" t="s">
        <v>1283</v>
      </c>
      <c r="C539" s="10" t="s">
        <v>1284</v>
      </c>
      <c r="D539" s="0" t="s">
        <v>1227</v>
      </c>
    </row>
    <row r="540" customFormat="false" ht="12.8" hidden="true" customHeight="false" outlineLevel="0" collapsed="false">
      <c r="A540" s="9" t="n">
        <v>347</v>
      </c>
      <c r="B540" s="10" t="s">
        <v>1285</v>
      </c>
      <c r="C540" s="10" t="s">
        <v>1286</v>
      </c>
      <c r="D540" s="0" t="s">
        <v>1287</v>
      </c>
    </row>
    <row r="541" customFormat="false" ht="12.8" hidden="true" customHeight="false" outlineLevel="0" collapsed="false">
      <c r="A541" s="9" t="n">
        <v>348</v>
      </c>
      <c r="B541" s="10" t="s">
        <v>1288</v>
      </c>
      <c r="C541" s="10" t="s">
        <v>1289</v>
      </c>
      <c r="D541" s="0" t="s">
        <v>1290</v>
      </c>
    </row>
    <row r="542" customFormat="false" ht="12.8" hidden="true" customHeight="false" outlineLevel="0" collapsed="false">
      <c r="A542" s="9" t="n">
        <v>349</v>
      </c>
      <c r="B542" s="10" t="s">
        <v>1291</v>
      </c>
      <c r="C542" s="10" t="s">
        <v>1292</v>
      </c>
      <c r="D542" s="0" t="s">
        <v>1293</v>
      </c>
    </row>
    <row r="543" customFormat="false" ht="12.8" hidden="true" customHeight="false" outlineLevel="0" collapsed="false">
      <c r="A543" s="9" t="n">
        <v>350</v>
      </c>
      <c r="B543" s="10" t="s">
        <v>1294</v>
      </c>
      <c r="C543" s="10" t="s">
        <v>1295</v>
      </c>
      <c r="D543" s="0" t="s">
        <v>1296</v>
      </c>
    </row>
    <row r="544" customFormat="false" ht="12.8" hidden="true" customHeight="false" outlineLevel="0" collapsed="false">
      <c r="A544" s="9" t="n">
        <v>351</v>
      </c>
      <c r="B544" s="10" t="s">
        <v>1297</v>
      </c>
      <c r="C544" s="10" t="s">
        <v>1298</v>
      </c>
      <c r="D544" s="0" t="s">
        <v>1299</v>
      </c>
    </row>
    <row r="545" customFormat="false" ht="12.8" hidden="true" customHeight="false" outlineLevel="0" collapsed="false">
      <c r="A545" s="9" t="n">
        <v>352</v>
      </c>
      <c r="B545" s="10" t="s">
        <v>1300</v>
      </c>
      <c r="C545" s="10" t="s">
        <v>1301</v>
      </c>
      <c r="D545" s="0" t="s">
        <v>1302</v>
      </c>
    </row>
    <row r="546" customFormat="false" ht="12.8" hidden="true" customHeight="false" outlineLevel="0" collapsed="false">
      <c r="A546" s="9" t="n">
        <v>353</v>
      </c>
      <c r="B546" s="10" t="s">
        <v>1303</v>
      </c>
      <c r="C546" s="10" t="s">
        <v>1304</v>
      </c>
      <c r="D546" s="0" t="s">
        <v>1305</v>
      </c>
    </row>
    <row r="547" customFormat="false" ht="12.8" hidden="true" customHeight="false" outlineLevel="0" collapsed="false">
      <c r="A547" s="9" t="n">
        <v>354</v>
      </c>
      <c r="B547" s="10" t="s">
        <v>1306</v>
      </c>
      <c r="C547" s="10" t="s">
        <v>1307</v>
      </c>
      <c r="D547" s="0" t="s">
        <v>1308</v>
      </c>
    </row>
    <row r="548" customFormat="false" ht="12.8" hidden="true" customHeight="false" outlineLevel="0" collapsed="false">
      <c r="A548" s="9" t="n">
        <v>355</v>
      </c>
      <c r="B548" s="10" t="s">
        <v>1309</v>
      </c>
      <c r="C548" s="10" t="s">
        <v>1310</v>
      </c>
      <c r="D548" s="0" t="s">
        <v>1311</v>
      </c>
    </row>
    <row r="549" customFormat="false" ht="12.8" hidden="true" customHeight="false" outlineLevel="0" collapsed="false">
      <c r="A549" s="9" t="n">
        <v>356</v>
      </c>
      <c r="B549" s="10" t="s">
        <v>1312</v>
      </c>
      <c r="C549" s="10" t="s">
        <v>1313</v>
      </c>
      <c r="D549" s="0" t="s">
        <v>1314</v>
      </c>
    </row>
    <row r="550" customFormat="false" ht="12.8" hidden="true" customHeight="false" outlineLevel="0" collapsed="false">
      <c r="A550" s="9" t="n">
        <v>357</v>
      </c>
      <c r="B550" s="10" t="s">
        <v>1315</v>
      </c>
      <c r="C550" s="10" t="s">
        <v>1316</v>
      </c>
      <c r="D550" s="0" t="s">
        <v>1317</v>
      </c>
    </row>
    <row r="551" customFormat="false" ht="12.8" hidden="true" customHeight="false" outlineLevel="0" collapsed="false">
      <c r="A551" s="9" t="n">
        <v>358</v>
      </c>
      <c r="B551" s="10" t="s">
        <v>1318</v>
      </c>
      <c r="C551" s="10" t="s">
        <v>1319</v>
      </c>
      <c r="D551" s="0" t="s">
        <v>1320</v>
      </c>
    </row>
    <row r="552" customFormat="false" ht="12.8" hidden="true" customHeight="false" outlineLevel="0" collapsed="false">
      <c r="A552" s="9" t="n">
        <v>359</v>
      </c>
      <c r="B552" s="10" t="s">
        <v>1321</v>
      </c>
      <c r="C552" s="10" t="s">
        <v>1322</v>
      </c>
      <c r="D552" s="0" t="s">
        <v>1323</v>
      </c>
    </row>
    <row r="553" customFormat="false" ht="12.8" hidden="true" customHeight="false" outlineLevel="0" collapsed="false">
      <c r="A553" s="9" t="n">
        <v>360</v>
      </c>
      <c r="B553" s="10" t="s">
        <v>1324</v>
      </c>
      <c r="C553" s="10" t="s">
        <v>1325</v>
      </c>
      <c r="D553" s="0" t="s">
        <v>1326</v>
      </c>
    </row>
    <row r="554" customFormat="false" ht="12.8" hidden="true" customHeight="false" outlineLevel="0" collapsed="false">
      <c r="A554" s="9" t="n">
        <v>361</v>
      </c>
      <c r="B554" s="10" t="s">
        <v>1327</v>
      </c>
      <c r="C554" s="10" t="s">
        <v>1328</v>
      </c>
      <c r="D554" s="0" t="s">
        <v>1329</v>
      </c>
    </row>
    <row r="555" customFormat="false" ht="12.8" hidden="true" customHeight="false" outlineLevel="0" collapsed="false">
      <c r="A555" s="9" t="n">
        <v>362</v>
      </c>
      <c r="B555" s="10" t="s">
        <v>1330</v>
      </c>
      <c r="C555" s="10" t="s">
        <v>1331</v>
      </c>
      <c r="D555" s="0" t="s">
        <v>1332</v>
      </c>
    </row>
    <row r="556" customFormat="false" ht="12.8" hidden="true" customHeight="false" outlineLevel="0" collapsed="false">
      <c r="A556" s="9" t="n">
        <v>363</v>
      </c>
      <c r="B556" s="10" t="s">
        <v>1333</v>
      </c>
      <c r="C556" s="10" t="s">
        <v>1334</v>
      </c>
      <c r="D556" s="0" t="s">
        <v>1335</v>
      </c>
    </row>
    <row r="557" customFormat="false" ht="12.8" hidden="true" customHeight="false" outlineLevel="0" collapsed="false">
      <c r="A557" s="9" t="n">
        <v>364</v>
      </c>
      <c r="B557" s="10" t="s">
        <v>1336</v>
      </c>
      <c r="C557" s="10" t="s">
        <v>1337</v>
      </c>
      <c r="D557" s="0" t="s">
        <v>1338</v>
      </c>
    </row>
    <row r="558" customFormat="false" ht="12.8" hidden="true" customHeight="false" outlineLevel="0" collapsed="false">
      <c r="A558" s="9" t="n">
        <v>365</v>
      </c>
      <c r="B558" s="10" t="s">
        <v>1339</v>
      </c>
      <c r="C558" s="10" t="s">
        <v>1340</v>
      </c>
      <c r="D558" s="0" t="s">
        <v>1341</v>
      </c>
    </row>
    <row r="559" customFormat="false" ht="12.8" hidden="true" customHeight="false" outlineLevel="0" collapsed="false">
      <c r="A559" s="9" t="n">
        <v>366</v>
      </c>
      <c r="B559" s="10" t="s">
        <v>1342</v>
      </c>
      <c r="C559" s="10" t="s">
        <v>1343</v>
      </c>
      <c r="D559" s="0" t="s">
        <v>1344</v>
      </c>
    </row>
    <row r="560" customFormat="false" ht="12.8" hidden="true" customHeight="false" outlineLevel="0" collapsed="false">
      <c r="A560" s="9" t="n">
        <v>367</v>
      </c>
      <c r="B560" s="10" t="s">
        <v>1345</v>
      </c>
      <c r="C560" s="10" t="s">
        <v>1346</v>
      </c>
      <c r="D560" s="0" t="s">
        <v>1347</v>
      </c>
    </row>
    <row r="561" customFormat="false" ht="12.8" hidden="true" customHeight="false" outlineLevel="0" collapsed="false">
      <c r="A561" s="9" t="n">
        <v>368</v>
      </c>
      <c r="B561" s="10" t="s">
        <v>1348</v>
      </c>
      <c r="C561" s="10" t="s">
        <v>1349</v>
      </c>
      <c r="D561" s="0" t="s">
        <v>1350</v>
      </c>
    </row>
    <row r="562" customFormat="false" ht="12.8" hidden="true" customHeight="false" outlineLevel="0" collapsed="false">
      <c r="A562" s="9" t="n">
        <v>369</v>
      </c>
      <c r="B562" s="10" t="s">
        <v>1351</v>
      </c>
      <c r="C562" s="10" t="s">
        <v>1352</v>
      </c>
      <c r="D562" s="0" t="s">
        <v>1353</v>
      </c>
    </row>
    <row r="563" customFormat="false" ht="12.8" hidden="true" customHeight="false" outlineLevel="0" collapsed="false">
      <c r="A563" s="9" t="n">
        <v>370</v>
      </c>
      <c r="B563" s="10" t="s">
        <v>1354</v>
      </c>
      <c r="C563" s="10" t="s">
        <v>1355</v>
      </c>
      <c r="D563" s="0" t="s">
        <v>1356</v>
      </c>
    </row>
    <row r="564" customFormat="false" ht="12.8" hidden="true" customHeight="false" outlineLevel="0" collapsed="false">
      <c r="A564" s="9" t="n">
        <v>371</v>
      </c>
      <c r="B564" s="10" t="s">
        <v>1357</v>
      </c>
      <c r="C564" s="10" t="s">
        <v>1358</v>
      </c>
      <c r="D564" s="0" t="s">
        <v>1359</v>
      </c>
    </row>
    <row r="565" customFormat="false" ht="12.8" hidden="true" customHeight="false" outlineLevel="0" collapsed="false">
      <c r="A565" s="9" t="n">
        <v>372</v>
      </c>
      <c r="B565" s="10" t="s">
        <v>1360</v>
      </c>
      <c r="C565" s="10" t="s">
        <v>1361</v>
      </c>
      <c r="D565" s="0" t="s">
        <v>1362</v>
      </c>
    </row>
    <row r="566" customFormat="false" ht="12.8" hidden="true" customHeight="false" outlineLevel="0" collapsed="false">
      <c r="A566" s="9" t="n">
        <v>373</v>
      </c>
      <c r="B566" s="10" t="s">
        <v>1363</v>
      </c>
      <c r="C566" s="10" t="s">
        <v>1364</v>
      </c>
      <c r="D566" s="0" t="s">
        <v>1365</v>
      </c>
    </row>
    <row r="567" customFormat="false" ht="12.8" hidden="true" customHeight="false" outlineLevel="0" collapsed="false">
      <c r="A567" s="9" t="n">
        <v>374</v>
      </c>
      <c r="B567" s="10" t="s">
        <v>1366</v>
      </c>
      <c r="C567" s="10" t="s">
        <v>1367</v>
      </c>
      <c r="D567" s="0" t="s">
        <v>1368</v>
      </c>
    </row>
    <row r="568" customFormat="false" ht="12.8" hidden="true" customHeight="false" outlineLevel="0" collapsed="false">
      <c r="A568" s="9" t="n">
        <v>375</v>
      </c>
      <c r="B568" s="10" t="s">
        <v>1369</v>
      </c>
      <c r="C568" s="10" t="s">
        <v>1370</v>
      </c>
      <c r="D568" s="0" t="s">
        <v>1371</v>
      </c>
    </row>
    <row r="569" customFormat="false" ht="12.8" hidden="true" customHeight="false" outlineLevel="0" collapsed="false">
      <c r="A569" s="9" t="n">
        <v>376</v>
      </c>
      <c r="B569" s="10" t="s">
        <v>1372</v>
      </c>
      <c r="C569" s="10" t="s">
        <v>1373</v>
      </c>
      <c r="D569" s="0" t="s">
        <v>1374</v>
      </c>
    </row>
    <row r="570" customFormat="false" ht="12.8" hidden="true" customHeight="false" outlineLevel="0" collapsed="false">
      <c r="A570" s="9" t="n">
        <v>377</v>
      </c>
      <c r="B570" s="10" t="s">
        <v>1375</v>
      </c>
      <c r="C570" s="10" t="s">
        <v>1376</v>
      </c>
      <c r="D570" s="0" t="s">
        <v>1377</v>
      </c>
    </row>
    <row r="571" customFormat="false" ht="12.8" hidden="true" customHeight="false" outlineLevel="0" collapsed="false">
      <c r="A571" s="9" t="n">
        <v>378</v>
      </c>
      <c r="B571" s="10" t="s">
        <v>1378</v>
      </c>
      <c r="C571" s="10" t="s">
        <v>1379</v>
      </c>
      <c r="D571" s="0" t="s">
        <v>1380</v>
      </c>
    </row>
    <row r="572" customFormat="false" ht="12.8" hidden="true" customHeight="false" outlineLevel="0" collapsed="false">
      <c r="A572" s="9" t="n">
        <v>379</v>
      </c>
      <c r="B572" s="10" t="s">
        <v>1381</v>
      </c>
      <c r="C572" s="10" t="s">
        <v>1382</v>
      </c>
      <c r="D572" s="0" t="s">
        <v>1383</v>
      </c>
    </row>
    <row r="573" customFormat="false" ht="12.8" hidden="true" customHeight="false" outlineLevel="0" collapsed="false"/>
    <row r="574" customFormat="false" ht="12.8" hidden="true" customHeight="false" outlineLevel="0" collapsed="false">
      <c r="A574" s="9" t="n">
        <v>380</v>
      </c>
      <c r="B574" s="10" t="s">
        <v>1384</v>
      </c>
      <c r="C574" s="10" t="s">
        <v>1385</v>
      </c>
      <c r="D574" s="0" t="s">
        <v>1386</v>
      </c>
    </row>
    <row r="575" customFormat="false" ht="12.8" hidden="true" customHeight="false" outlineLevel="0" collapsed="false">
      <c r="A575" s="9" t="n">
        <v>381</v>
      </c>
      <c r="B575" s="10" t="s">
        <v>1387</v>
      </c>
      <c r="C575" s="10" t="s">
        <v>1388</v>
      </c>
      <c r="D575" s="0" t="s">
        <v>1389</v>
      </c>
    </row>
    <row r="576" customFormat="false" ht="12.8" hidden="true" customHeight="false" outlineLevel="0" collapsed="false">
      <c r="A576" s="9" t="n">
        <v>382</v>
      </c>
      <c r="B576" s="10" t="s">
        <v>1390</v>
      </c>
      <c r="C576" s="10" t="s">
        <v>1391</v>
      </c>
      <c r="D576" s="0" t="s">
        <v>1392</v>
      </c>
    </row>
    <row r="577" customFormat="false" ht="12.8" hidden="true" customHeight="false" outlineLevel="0" collapsed="false">
      <c r="A577" s="9" t="n">
        <v>383</v>
      </c>
      <c r="B577" s="10" t="s">
        <v>1393</v>
      </c>
      <c r="C577" s="10" t="s">
        <v>1394</v>
      </c>
      <c r="D577" s="0" t="s">
        <v>1395</v>
      </c>
    </row>
    <row r="578" customFormat="false" ht="12.8" hidden="true" customHeight="false" outlineLevel="0" collapsed="false">
      <c r="A578" s="9" t="n">
        <v>384</v>
      </c>
      <c r="B578" s="10" t="s">
        <v>1396</v>
      </c>
      <c r="C578" s="10" t="s">
        <v>1397</v>
      </c>
      <c r="D578" s="0" t="s">
        <v>1398</v>
      </c>
    </row>
    <row r="579" customFormat="false" ht="12.8" hidden="true" customHeight="false" outlineLevel="0" collapsed="false">
      <c r="A579" s="9" t="n">
        <v>385</v>
      </c>
      <c r="B579" s="10" t="s">
        <v>1399</v>
      </c>
      <c r="C579" s="10" t="s">
        <v>1400</v>
      </c>
      <c r="D579" s="0" t="s">
        <v>1401</v>
      </c>
    </row>
    <row r="580" customFormat="false" ht="12.8" hidden="true" customHeight="false" outlineLevel="0" collapsed="false">
      <c r="A580" s="9" t="n">
        <v>386</v>
      </c>
      <c r="B580" s="10" t="s">
        <v>1402</v>
      </c>
      <c r="C580" s="10" t="s">
        <v>1403</v>
      </c>
      <c r="D580" s="0" t="s">
        <v>1404</v>
      </c>
    </row>
    <row r="581" customFormat="false" ht="12.8" hidden="true" customHeight="false" outlineLevel="0" collapsed="false">
      <c r="A581" s="9" t="n">
        <v>387</v>
      </c>
      <c r="B581" s="10" t="s">
        <v>1405</v>
      </c>
      <c r="C581" s="10" t="s">
        <v>1406</v>
      </c>
      <c r="D581" s="0" t="s">
        <v>1407</v>
      </c>
    </row>
    <row r="582" customFormat="false" ht="12.8" hidden="true" customHeight="false" outlineLevel="0" collapsed="false">
      <c r="A582" s="9" t="n">
        <v>388</v>
      </c>
      <c r="B582" s="10" t="s">
        <v>1408</v>
      </c>
      <c r="C582" s="10" t="s">
        <v>1409</v>
      </c>
      <c r="D582" s="0" t="s">
        <v>1410</v>
      </c>
    </row>
    <row r="583" customFormat="false" ht="12.8" hidden="true" customHeight="false" outlineLevel="0" collapsed="false">
      <c r="A583" s="9" t="n">
        <v>389</v>
      </c>
      <c r="B583" s="10" t="s">
        <v>1411</v>
      </c>
      <c r="C583" s="10" t="s">
        <v>1412</v>
      </c>
      <c r="D583" s="0" t="s">
        <v>1413</v>
      </c>
    </row>
    <row r="584" customFormat="false" ht="12.8" hidden="true" customHeight="false" outlineLevel="0" collapsed="false">
      <c r="A584" s="9" t="n">
        <v>390</v>
      </c>
      <c r="B584" s="10" t="s">
        <v>1414</v>
      </c>
      <c r="C584" s="10" t="s">
        <v>1415</v>
      </c>
      <c r="D584" s="0" t="s">
        <v>1416</v>
      </c>
    </row>
    <row r="585" customFormat="false" ht="12.8" hidden="true" customHeight="false" outlineLevel="0" collapsed="false">
      <c r="A585" s="9" t="n">
        <v>391</v>
      </c>
      <c r="B585" s="10" t="s">
        <v>1417</v>
      </c>
      <c r="C585" s="10" t="s">
        <v>1418</v>
      </c>
      <c r="D585" s="0" t="s">
        <v>1419</v>
      </c>
    </row>
    <row r="586" customFormat="false" ht="12.8" hidden="true" customHeight="false" outlineLevel="0" collapsed="false">
      <c r="A586" s="9" t="n">
        <v>392</v>
      </c>
      <c r="B586" s="10" t="s">
        <v>1420</v>
      </c>
      <c r="C586" s="10" t="s">
        <v>1421</v>
      </c>
      <c r="D586" s="0" t="s">
        <v>1422</v>
      </c>
    </row>
    <row r="587" customFormat="false" ht="12.8" hidden="true" customHeight="false" outlineLevel="0" collapsed="false">
      <c r="A587" s="9" t="n">
        <v>393</v>
      </c>
      <c r="B587" s="10" t="s">
        <v>1423</v>
      </c>
      <c r="C587" s="10" t="s">
        <v>1424</v>
      </c>
      <c r="D587" s="0" t="s">
        <v>1425</v>
      </c>
    </row>
    <row r="588" customFormat="false" ht="12.8" hidden="true" customHeight="false" outlineLevel="0" collapsed="false">
      <c r="A588" s="9" t="n">
        <v>394</v>
      </c>
      <c r="B588" s="10" t="s">
        <v>1426</v>
      </c>
      <c r="C588" s="10" t="s">
        <v>1427</v>
      </c>
      <c r="D588" s="0" t="s">
        <v>1428</v>
      </c>
    </row>
    <row r="589" customFormat="false" ht="12.8" hidden="true" customHeight="false" outlineLevel="0" collapsed="false">
      <c r="A589" s="9" t="n">
        <v>395</v>
      </c>
      <c r="B589" s="10" t="s">
        <v>1429</v>
      </c>
      <c r="C589" s="10" t="s">
        <v>1430</v>
      </c>
      <c r="D589" s="0" t="s">
        <v>1431</v>
      </c>
    </row>
    <row r="590" customFormat="false" ht="12.8" hidden="true" customHeight="false" outlineLevel="0" collapsed="false">
      <c r="A590" s="9" t="n">
        <v>396</v>
      </c>
      <c r="B590" s="10" t="s">
        <v>1432</v>
      </c>
      <c r="C590" s="10" t="s">
        <v>1433</v>
      </c>
      <c r="D590" s="0" t="s">
        <v>1434</v>
      </c>
    </row>
    <row r="591" customFormat="false" ht="12.8" hidden="true" customHeight="false" outlineLevel="0" collapsed="false">
      <c r="A591" s="9" t="n">
        <v>397</v>
      </c>
      <c r="B591" s="10" t="s">
        <v>1435</v>
      </c>
      <c r="C591" s="10" t="s">
        <v>1436</v>
      </c>
      <c r="D591" s="0" t="s">
        <v>1437</v>
      </c>
    </row>
    <row r="592" customFormat="false" ht="12.8" hidden="true" customHeight="false" outlineLevel="0" collapsed="false">
      <c r="A592" s="9" t="n">
        <v>398</v>
      </c>
      <c r="B592" s="10" t="s">
        <v>1438</v>
      </c>
      <c r="C592" s="10" t="s">
        <v>1439</v>
      </c>
      <c r="D592" s="0" t="s">
        <v>1440</v>
      </c>
    </row>
    <row r="593" customFormat="false" ht="12.8" hidden="true" customHeight="false" outlineLevel="0" collapsed="false">
      <c r="A593" s="9" t="n">
        <v>399</v>
      </c>
      <c r="B593" s="10" t="s">
        <v>1441</v>
      </c>
      <c r="C593" s="10" t="s">
        <v>1442</v>
      </c>
      <c r="D593" s="0" t="s">
        <v>1443</v>
      </c>
    </row>
    <row r="594" customFormat="false" ht="12.8" hidden="true" customHeight="false" outlineLevel="0" collapsed="false">
      <c r="A594" s="9" t="n">
        <v>400</v>
      </c>
      <c r="B594" s="10" t="s">
        <v>1444</v>
      </c>
      <c r="C594" s="10" t="s">
        <v>1445</v>
      </c>
      <c r="D594" s="0" t="s">
        <v>1446</v>
      </c>
    </row>
    <row r="595" customFormat="false" ht="12.8" hidden="true" customHeight="false" outlineLevel="0" collapsed="false">
      <c r="A595" s="9" t="n">
        <v>401</v>
      </c>
      <c r="B595" s="10" t="s">
        <v>1447</v>
      </c>
      <c r="C595" s="10" t="s">
        <v>1448</v>
      </c>
      <c r="D595" s="0" t="s">
        <v>1449</v>
      </c>
    </row>
    <row r="596" customFormat="false" ht="12.8" hidden="true" customHeight="false" outlineLevel="0" collapsed="false">
      <c r="A596" s="9" t="n">
        <v>402</v>
      </c>
      <c r="B596" s="10" t="s">
        <v>1450</v>
      </c>
      <c r="C596" s="10" t="s">
        <v>1451</v>
      </c>
      <c r="D596" s="0" t="s">
        <v>1452</v>
      </c>
    </row>
    <row r="597" customFormat="false" ht="12.8" hidden="true" customHeight="false" outlineLevel="0" collapsed="false">
      <c r="A597" s="9" t="n">
        <v>403</v>
      </c>
      <c r="B597" s="10" t="s">
        <v>1453</v>
      </c>
      <c r="C597" s="10" t="s">
        <v>1454</v>
      </c>
      <c r="D597" s="0" t="s">
        <v>1455</v>
      </c>
    </row>
    <row r="598" customFormat="false" ht="12.8" hidden="true" customHeight="false" outlineLevel="0" collapsed="false">
      <c r="A598" s="9" t="n">
        <v>404</v>
      </c>
      <c r="B598" s="10" t="s">
        <v>1456</v>
      </c>
      <c r="C598" s="10" t="s">
        <v>1457</v>
      </c>
      <c r="D598" s="0" t="s">
        <v>1458</v>
      </c>
    </row>
    <row r="599" customFormat="false" ht="12.8" hidden="true" customHeight="false" outlineLevel="0" collapsed="false">
      <c r="A599" s="9" t="n">
        <v>405</v>
      </c>
      <c r="B599" s="10" t="s">
        <v>1459</v>
      </c>
      <c r="C599" s="10" t="s">
        <v>1460</v>
      </c>
      <c r="D599" s="0" t="s">
        <v>1461</v>
      </c>
    </row>
    <row r="600" customFormat="false" ht="12.8" hidden="true" customHeight="false" outlineLevel="0" collapsed="false">
      <c r="A600" s="9" t="n">
        <v>406</v>
      </c>
      <c r="B600" s="10" t="s">
        <v>1462</v>
      </c>
      <c r="C600" s="10" t="s">
        <v>1463</v>
      </c>
      <c r="D600" s="0" t="s">
        <v>1464</v>
      </c>
    </row>
    <row r="601" customFormat="false" ht="12.8" hidden="true" customHeight="false" outlineLevel="0" collapsed="false">
      <c r="A601" s="9" t="n">
        <v>407</v>
      </c>
      <c r="B601" s="10" t="s">
        <v>1465</v>
      </c>
      <c r="C601" s="10" t="s">
        <v>1466</v>
      </c>
      <c r="D601" s="0" t="s">
        <v>1458</v>
      </c>
    </row>
    <row r="602" customFormat="false" ht="12.8" hidden="true" customHeight="false" outlineLevel="0" collapsed="false">
      <c r="A602" s="9" t="n">
        <v>408</v>
      </c>
      <c r="B602" s="10" t="s">
        <v>1467</v>
      </c>
      <c r="C602" s="10" t="s">
        <v>1468</v>
      </c>
      <c r="D602" s="0" t="s">
        <v>1469</v>
      </c>
    </row>
    <row r="603" customFormat="false" ht="12.8" hidden="true" customHeight="false" outlineLevel="0" collapsed="false">
      <c r="A603" s="9" t="n">
        <v>409</v>
      </c>
      <c r="B603" s="10" t="s">
        <v>1470</v>
      </c>
      <c r="C603" s="10" t="s">
        <v>1471</v>
      </c>
      <c r="D603" s="0" t="s">
        <v>1472</v>
      </c>
    </row>
    <row r="604" customFormat="false" ht="12.8" hidden="true" customHeight="false" outlineLevel="0" collapsed="false">
      <c r="A604" s="9" t="n">
        <v>410</v>
      </c>
      <c r="B604" s="10" t="s">
        <v>1473</v>
      </c>
      <c r="C604" s="10" t="s">
        <v>1474</v>
      </c>
      <c r="D604" s="0" t="s">
        <v>1475</v>
      </c>
    </row>
    <row r="605" customFormat="false" ht="12.8" hidden="true" customHeight="false" outlineLevel="0" collapsed="false">
      <c r="A605" s="9" t="n">
        <v>411</v>
      </c>
      <c r="B605" s="10" t="s">
        <v>1476</v>
      </c>
      <c r="C605" s="10" t="s">
        <v>1477</v>
      </c>
      <c r="D605" s="0" t="s">
        <v>1478</v>
      </c>
    </row>
    <row r="606" customFormat="false" ht="12.8" hidden="true" customHeight="false" outlineLevel="0" collapsed="false">
      <c r="A606" s="9" t="n">
        <v>412</v>
      </c>
      <c r="B606" s="10" t="s">
        <v>1479</v>
      </c>
      <c r="C606" s="10" t="s">
        <v>1480</v>
      </c>
      <c r="D606" s="0" t="s">
        <v>1481</v>
      </c>
    </row>
    <row r="607" customFormat="false" ht="12.8" hidden="true" customHeight="false" outlineLevel="0" collapsed="false">
      <c r="A607" s="9" t="n">
        <v>413</v>
      </c>
      <c r="B607" s="10" t="s">
        <v>1482</v>
      </c>
      <c r="C607" s="10" t="s">
        <v>1483</v>
      </c>
      <c r="D607" s="0" t="s">
        <v>1475</v>
      </c>
    </row>
    <row r="608" customFormat="false" ht="12.8" hidden="true" customHeight="false" outlineLevel="0" collapsed="false">
      <c r="A608" s="9" t="n">
        <v>414</v>
      </c>
      <c r="B608" s="10" t="s">
        <v>1484</v>
      </c>
      <c r="C608" s="10" t="s">
        <v>1485</v>
      </c>
      <c r="D608" s="0" t="s">
        <v>1486</v>
      </c>
    </row>
    <row r="609" customFormat="false" ht="12.8" hidden="true" customHeight="false" outlineLevel="0" collapsed="false">
      <c r="A609" s="9" t="n">
        <v>415</v>
      </c>
      <c r="B609" s="10" t="s">
        <v>1487</v>
      </c>
      <c r="C609" s="10" t="s">
        <v>1488</v>
      </c>
      <c r="D609" s="0" t="s">
        <v>1489</v>
      </c>
    </row>
    <row r="610" customFormat="false" ht="12.8" hidden="true" customHeight="false" outlineLevel="0" collapsed="false">
      <c r="A610" s="9" t="n">
        <v>416</v>
      </c>
      <c r="B610" s="10" t="s">
        <v>1490</v>
      </c>
      <c r="C610" s="10" t="s">
        <v>1491</v>
      </c>
      <c r="D610" s="0" t="s">
        <v>1475</v>
      </c>
    </row>
    <row r="611" customFormat="false" ht="12.8" hidden="true" customHeight="false" outlineLevel="0" collapsed="false">
      <c r="A611" s="9" t="n">
        <v>417</v>
      </c>
      <c r="B611" s="10" t="s">
        <v>1492</v>
      </c>
      <c r="C611" s="10" t="s">
        <v>1493</v>
      </c>
      <c r="D611" s="0" t="s">
        <v>1494</v>
      </c>
    </row>
    <row r="612" customFormat="false" ht="12.8" hidden="true" customHeight="false" outlineLevel="0" collapsed="false">
      <c r="A612" s="9" t="n">
        <v>418</v>
      </c>
      <c r="B612" s="10" t="s">
        <v>1495</v>
      </c>
      <c r="C612" s="10" t="s">
        <v>1496</v>
      </c>
      <c r="D612" s="0" t="s">
        <v>1497</v>
      </c>
    </row>
    <row r="613" customFormat="false" ht="12.8" hidden="true" customHeight="false" outlineLevel="0" collapsed="false">
      <c r="A613" s="9" t="n">
        <v>419</v>
      </c>
      <c r="B613" s="10" t="s">
        <v>1498</v>
      </c>
      <c r="C613" s="10" t="s">
        <v>1499</v>
      </c>
      <c r="D613" s="0" t="s">
        <v>1475</v>
      </c>
    </row>
    <row r="614" customFormat="false" ht="12.8" hidden="true" customHeight="false" outlineLevel="0" collapsed="false">
      <c r="A614" s="9" t="n">
        <v>420</v>
      </c>
      <c r="B614" s="10" t="s">
        <v>1500</v>
      </c>
      <c r="C614" s="10" t="s">
        <v>1501</v>
      </c>
      <c r="D614" s="0" t="s">
        <v>1502</v>
      </c>
    </row>
    <row r="615" customFormat="false" ht="12.8" hidden="true" customHeight="false" outlineLevel="0" collapsed="false">
      <c r="A615" s="9" t="n">
        <v>421</v>
      </c>
      <c r="B615" s="10" t="s">
        <v>1503</v>
      </c>
      <c r="C615" s="10" t="s">
        <v>1504</v>
      </c>
      <c r="D615" s="0" t="s">
        <v>1505</v>
      </c>
    </row>
    <row r="616" customFormat="false" ht="12.8" hidden="true" customHeight="false" outlineLevel="0" collapsed="false">
      <c r="A616" s="9" t="n">
        <v>422</v>
      </c>
      <c r="B616" s="10" t="s">
        <v>1506</v>
      </c>
      <c r="C616" s="10" t="s">
        <v>1507</v>
      </c>
      <c r="D616" s="0" t="s">
        <v>1508</v>
      </c>
    </row>
    <row r="617" customFormat="false" ht="12.8" hidden="true" customHeight="false" outlineLevel="0" collapsed="false">
      <c r="A617" s="9" t="n">
        <v>423</v>
      </c>
      <c r="B617" s="10" t="s">
        <v>1509</v>
      </c>
      <c r="C617" s="10" t="s">
        <v>1510</v>
      </c>
      <c r="D617" s="0" t="s">
        <v>1511</v>
      </c>
    </row>
    <row r="618" customFormat="false" ht="12.8" hidden="true" customHeight="false" outlineLevel="0" collapsed="false">
      <c r="A618" s="9" t="n">
        <v>424</v>
      </c>
      <c r="B618" s="10" t="s">
        <v>1512</v>
      </c>
      <c r="C618" s="10" t="s">
        <v>1513</v>
      </c>
      <c r="D618" s="0" t="s">
        <v>1514</v>
      </c>
    </row>
    <row r="619" customFormat="false" ht="12.8" hidden="true" customHeight="false" outlineLevel="0" collapsed="false">
      <c r="A619" s="9" t="n">
        <v>425</v>
      </c>
      <c r="B619" s="10" t="s">
        <v>1515</v>
      </c>
      <c r="C619" s="10" t="s">
        <v>1516</v>
      </c>
      <c r="D619" s="0" t="s">
        <v>1517</v>
      </c>
    </row>
    <row r="620" customFormat="false" ht="12.8" hidden="true" customHeight="false" outlineLevel="0" collapsed="false">
      <c r="A620" s="9" t="n">
        <v>426</v>
      </c>
      <c r="B620" s="10" t="s">
        <v>1518</v>
      </c>
      <c r="C620" s="10" t="s">
        <v>1519</v>
      </c>
      <c r="D620" s="0" t="s">
        <v>1520</v>
      </c>
    </row>
    <row r="621" customFormat="false" ht="12.8" hidden="true" customHeight="false" outlineLevel="0" collapsed="false">
      <c r="A621" s="9" t="n">
        <v>427</v>
      </c>
      <c r="B621" s="10" t="s">
        <v>1521</v>
      </c>
      <c r="C621" s="10" t="s">
        <v>1522</v>
      </c>
      <c r="D621" s="0" t="s">
        <v>1523</v>
      </c>
    </row>
    <row r="622" customFormat="false" ht="12.8" hidden="true" customHeight="false" outlineLevel="0" collapsed="false">
      <c r="A622" s="9" t="n">
        <v>428</v>
      </c>
      <c r="B622" s="10" t="s">
        <v>1524</v>
      </c>
      <c r="C622" s="10" t="s">
        <v>1525</v>
      </c>
      <c r="D622" s="0" t="s">
        <v>1526</v>
      </c>
    </row>
    <row r="623" customFormat="false" ht="12.8" hidden="true" customHeight="false" outlineLevel="0" collapsed="false">
      <c r="A623" s="9" t="n">
        <v>429</v>
      </c>
      <c r="B623" s="10" t="s">
        <v>1527</v>
      </c>
      <c r="C623" s="10" t="s">
        <v>1528</v>
      </c>
      <c r="D623" s="0" t="s">
        <v>1529</v>
      </c>
    </row>
    <row r="624" customFormat="false" ht="12.8" hidden="true" customHeight="false" outlineLevel="0" collapsed="false"/>
    <row r="625" customFormat="false" ht="12.8" hidden="true" customHeight="false" outlineLevel="0" collapsed="false">
      <c r="A625" s="9" t="n">
        <v>430</v>
      </c>
      <c r="B625" s="10" t="s">
        <v>1530</v>
      </c>
      <c r="C625" s="10" t="s">
        <v>1531</v>
      </c>
      <c r="D625" s="0" t="s">
        <v>1532</v>
      </c>
    </row>
    <row r="626" customFormat="false" ht="12.8" hidden="true" customHeight="false" outlineLevel="0" collapsed="false">
      <c r="A626" s="9" t="n">
        <v>431</v>
      </c>
      <c r="B626" s="10" t="s">
        <v>1533</v>
      </c>
      <c r="C626" s="10" t="s">
        <v>1534</v>
      </c>
      <c r="D626" s="0" t="s">
        <v>1535</v>
      </c>
    </row>
    <row r="627" customFormat="false" ht="12.8" hidden="true" customHeight="false" outlineLevel="0" collapsed="false">
      <c r="A627" s="9" t="n">
        <v>432</v>
      </c>
      <c r="B627" s="10" t="s">
        <v>1536</v>
      </c>
      <c r="C627" s="10" t="s">
        <v>1537</v>
      </c>
      <c r="D627" s="0" t="s">
        <v>1538</v>
      </c>
    </row>
    <row r="628" customFormat="false" ht="12.8" hidden="true" customHeight="false" outlineLevel="0" collapsed="false">
      <c r="A628" s="9" t="n">
        <v>433</v>
      </c>
      <c r="B628" s="10" t="s">
        <v>1539</v>
      </c>
      <c r="C628" s="10" t="s">
        <v>1540</v>
      </c>
      <c r="D628" s="0" t="s">
        <v>1541</v>
      </c>
    </row>
    <row r="629" customFormat="false" ht="12.8" hidden="true" customHeight="false" outlineLevel="0" collapsed="false">
      <c r="A629" s="9" t="n">
        <v>434</v>
      </c>
      <c r="B629" s="10" t="s">
        <v>1542</v>
      </c>
      <c r="C629" s="10" t="s">
        <v>1543</v>
      </c>
      <c r="D629" s="0" t="s">
        <v>1053</v>
      </c>
    </row>
    <row r="630" customFormat="false" ht="12.8" hidden="true" customHeight="false" outlineLevel="0" collapsed="false">
      <c r="A630" s="9" t="n">
        <v>435</v>
      </c>
      <c r="B630" s="10" t="s">
        <v>1544</v>
      </c>
      <c r="C630" s="10" t="s">
        <v>1545</v>
      </c>
      <c r="D630" s="0" t="s">
        <v>1546</v>
      </c>
    </row>
    <row r="631" customFormat="false" ht="12.8" hidden="true" customHeight="false" outlineLevel="0" collapsed="false">
      <c r="A631" s="9" t="n">
        <v>436</v>
      </c>
      <c r="B631" s="10" t="s">
        <v>1547</v>
      </c>
      <c r="C631" s="10" t="s">
        <v>1548</v>
      </c>
      <c r="D631" s="0" t="s">
        <v>1549</v>
      </c>
    </row>
    <row r="632" customFormat="false" ht="12.8" hidden="true" customHeight="false" outlineLevel="0" collapsed="false">
      <c r="A632" s="9" t="n">
        <v>437</v>
      </c>
      <c r="B632" s="10" t="s">
        <v>1550</v>
      </c>
      <c r="C632" s="10" t="s">
        <v>1551</v>
      </c>
      <c r="D632" s="0" t="s">
        <v>1475</v>
      </c>
    </row>
    <row r="633" customFormat="false" ht="12.8" hidden="true" customHeight="false" outlineLevel="0" collapsed="false">
      <c r="A633" s="9" t="n">
        <v>438</v>
      </c>
      <c r="B633" s="10" t="s">
        <v>1552</v>
      </c>
      <c r="C633" s="10" t="s">
        <v>1553</v>
      </c>
      <c r="D633" s="0" t="s">
        <v>1554</v>
      </c>
    </row>
    <row r="634" customFormat="false" ht="12.8" hidden="true" customHeight="false" outlineLevel="0" collapsed="false">
      <c r="A634" s="9" t="n">
        <v>439</v>
      </c>
      <c r="B634" s="10" t="s">
        <v>1555</v>
      </c>
      <c r="C634" s="10" t="s">
        <v>1556</v>
      </c>
      <c r="D634" s="0" t="s">
        <v>1557</v>
      </c>
    </row>
    <row r="635" customFormat="false" ht="12.8" hidden="true" customHeight="false" outlineLevel="0" collapsed="false">
      <c r="A635" s="9" t="n">
        <v>440</v>
      </c>
      <c r="B635" s="10" t="s">
        <v>1558</v>
      </c>
      <c r="C635" s="10" t="s">
        <v>1559</v>
      </c>
      <c r="D635" s="0" t="s">
        <v>1475</v>
      </c>
    </row>
    <row r="636" customFormat="false" ht="12.8" hidden="true" customHeight="false" outlineLevel="0" collapsed="false">
      <c r="A636" s="9" t="n">
        <v>441</v>
      </c>
      <c r="B636" s="10" t="s">
        <v>1560</v>
      </c>
      <c r="C636" s="10" t="s">
        <v>1561</v>
      </c>
      <c r="D636" s="0" t="s">
        <v>1562</v>
      </c>
    </row>
    <row r="637" customFormat="false" ht="12.8" hidden="true" customHeight="false" outlineLevel="0" collapsed="false">
      <c r="A637" s="9" t="n">
        <v>442</v>
      </c>
      <c r="B637" s="10" t="s">
        <v>1563</v>
      </c>
      <c r="C637" s="10" t="s">
        <v>1564</v>
      </c>
      <c r="D637" s="0" t="s">
        <v>1565</v>
      </c>
    </row>
    <row r="638" customFormat="false" ht="12.8" hidden="true" customHeight="false" outlineLevel="0" collapsed="false">
      <c r="A638" s="9" t="n">
        <v>443</v>
      </c>
      <c r="B638" s="10" t="s">
        <v>1566</v>
      </c>
      <c r="C638" s="10" t="s">
        <v>1567</v>
      </c>
      <c r="D638" s="0" t="s">
        <v>1475</v>
      </c>
    </row>
    <row r="639" customFormat="false" ht="12.8" hidden="true" customHeight="false" outlineLevel="0" collapsed="false">
      <c r="A639" s="9" t="n">
        <v>444</v>
      </c>
      <c r="B639" s="10" t="s">
        <v>1568</v>
      </c>
      <c r="C639" s="10" t="s">
        <v>1569</v>
      </c>
      <c r="D639" s="0" t="s">
        <v>1570</v>
      </c>
    </row>
    <row r="640" customFormat="false" ht="12.8" hidden="true" customHeight="false" outlineLevel="0" collapsed="false">
      <c r="A640" s="9" t="n">
        <v>445</v>
      </c>
      <c r="B640" s="10" t="s">
        <v>1571</v>
      </c>
      <c r="C640" s="10" t="s">
        <v>1572</v>
      </c>
      <c r="D640" s="0" t="s">
        <v>1573</v>
      </c>
    </row>
    <row r="641" customFormat="false" ht="12.8" hidden="true" customHeight="false" outlineLevel="0" collapsed="false">
      <c r="A641" s="9" t="n">
        <v>446</v>
      </c>
      <c r="B641" s="10" t="s">
        <v>1574</v>
      </c>
      <c r="C641" s="10" t="s">
        <v>1575</v>
      </c>
      <c r="D641" s="0" t="s">
        <v>1576</v>
      </c>
    </row>
    <row r="642" customFormat="false" ht="12.8" hidden="true" customHeight="false" outlineLevel="0" collapsed="false">
      <c r="A642" s="9" t="n">
        <v>447</v>
      </c>
      <c r="B642" s="10" t="s">
        <v>1577</v>
      </c>
      <c r="C642" s="10" t="s">
        <v>1578</v>
      </c>
      <c r="D642" s="0" t="s">
        <v>1579</v>
      </c>
    </row>
    <row r="643" customFormat="false" ht="12.8" hidden="true" customHeight="false" outlineLevel="0" collapsed="false">
      <c r="A643" s="9" t="n">
        <v>448</v>
      </c>
      <c r="B643" s="10" t="s">
        <v>1580</v>
      </c>
      <c r="C643" s="10" t="s">
        <v>1581</v>
      </c>
      <c r="D643" s="0" t="s">
        <v>1475</v>
      </c>
    </row>
    <row r="644" customFormat="false" ht="12.8" hidden="true" customHeight="false" outlineLevel="0" collapsed="false">
      <c r="A644" s="9" t="n">
        <v>449</v>
      </c>
      <c r="B644" s="10" t="s">
        <v>1582</v>
      </c>
      <c r="C644" s="10" t="s">
        <v>1583</v>
      </c>
      <c r="D644" s="0" t="s">
        <v>1584</v>
      </c>
    </row>
    <row r="645" customFormat="false" ht="12.8" hidden="true" customHeight="false" outlineLevel="0" collapsed="false">
      <c r="A645" s="9" t="n">
        <v>450</v>
      </c>
      <c r="B645" s="10" t="s">
        <v>1585</v>
      </c>
      <c r="C645" s="10" t="s">
        <v>1586</v>
      </c>
      <c r="D645" s="0" t="s">
        <v>1587</v>
      </c>
    </row>
    <row r="646" customFormat="false" ht="12.8" hidden="true" customHeight="false" outlineLevel="0" collapsed="false">
      <c r="A646" s="9" t="n">
        <v>451</v>
      </c>
      <c r="B646" s="10" t="s">
        <v>1588</v>
      </c>
      <c r="C646" s="10" t="s">
        <v>1589</v>
      </c>
      <c r="D646" s="0" t="s">
        <v>1475</v>
      </c>
    </row>
    <row r="647" customFormat="false" ht="12.8" hidden="true" customHeight="false" outlineLevel="0" collapsed="false">
      <c r="A647" s="9" t="n">
        <v>452</v>
      </c>
      <c r="B647" s="10" t="s">
        <v>1590</v>
      </c>
      <c r="C647" s="10" t="s">
        <v>1591</v>
      </c>
      <c r="D647" s="0" t="s">
        <v>1592</v>
      </c>
    </row>
    <row r="648" customFormat="false" ht="12.8" hidden="true" customHeight="false" outlineLevel="0" collapsed="false">
      <c r="A648" s="9" t="n">
        <v>453</v>
      </c>
      <c r="B648" s="10" t="s">
        <v>1593</v>
      </c>
      <c r="C648" s="10" t="s">
        <v>1594</v>
      </c>
      <c r="D648" s="0" t="s">
        <v>1595</v>
      </c>
    </row>
    <row r="649" customFormat="false" ht="12.8" hidden="true" customHeight="false" outlineLevel="0" collapsed="false">
      <c r="A649" s="9" t="n">
        <v>454</v>
      </c>
      <c r="B649" s="10" t="s">
        <v>1596</v>
      </c>
      <c r="C649" s="10" t="s">
        <v>1597</v>
      </c>
      <c r="D649" s="0" t="s">
        <v>1475</v>
      </c>
    </row>
    <row r="650" customFormat="false" ht="12.8" hidden="true" customHeight="false" outlineLevel="0" collapsed="false">
      <c r="A650" s="9" t="n">
        <v>455</v>
      </c>
      <c r="B650" s="10" t="s">
        <v>1598</v>
      </c>
      <c r="C650" s="10" t="s">
        <v>1599</v>
      </c>
      <c r="D650" s="0" t="s">
        <v>1600</v>
      </c>
    </row>
    <row r="651" customFormat="false" ht="12.8" hidden="true" customHeight="false" outlineLevel="0" collapsed="false">
      <c r="A651" s="9" t="n">
        <v>456</v>
      </c>
      <c r="B651" s="10" t="s">
        <v>1601</v>
      </c>
      <c r="C651" s="10" t="s">
        <v>1602</v>
      </c>
      <c r="D651" s="0" t="s">
        <v>1603</v>
      </c>
    </row>
    <row r="652" customFormat="false" ht="12.8" hidden="true" customHeight="false" outlineLevel="0" collapsed="false">
      <c r="A652" s="9" t="n">
        <v>457</v>
      </c>
      <c r="B652" s="10" t="s">
        <v>1604</v>
      </c>
      <c r="C652" s="10" t="s">
        <v>1605</v>
      </c>
      <c r="D652" s="0" t="s">
        <v>1227</v>
      </c>
    </row>
    <row r="653" customFormat="false" ht="12.8" hidden="true" customHeight="false" outlineLevel="0" collapsed="false">
      <c r="A653" s="9" t="n">
        <v>458</v>
      </c>
      <c r="B653" s="10" t="s">
        <v>1606</v>
      </c>
      <c r="C653" s="10" t="s">
        <v>1607</v>
      </c>
      <c r="D653" s="0" t="s">
        <v>1608</v>
      </c>
    </row>
    <row r="654" customFormat="false" ht="12.8" hidden="true" customHeight="false" outlineLevel="0" collapsed="false">
      <c r="A654" s="9" t="n">
        <v>459</v>
      </c>
      <c r="B654" s="10" t="s">
        <v>1609</v>
      </c>
      <c r="C654" s="10" t="s">
        <v>1610</v>
      </c>
      <c r="D654" s="0" t="s">
        <v>1611</v>
      </c>
    </row>
    <row r="655" customFormat="false" ht="12.8" hidden="true" customHeight="false" outlineLevel="0" collapsed="false">
      <c r="A655" s="9" t="n">
        <v>460</v>
      </c>
      <c r="B655" s="10" t="s">
        <v>1612</v>
      </c>
      <c r="C655" s="10" t="s">
        <v>1613</v>
      </c>
      <c r="D655" s="0" t="s">
        <v>1475</v>
      </c>
    </row>
    <row r="656" customFormat="false" ht="12.8" hidden="true" customHeight="false" outlineLevel="0" collapsed="false">
      <c r="A656" s="9" t="n">
        <v>461</v>
      </c>
      <c r="B656" s="10" t="s">
        <v>1614</v>
      </c>
      <c r="C656" s="10" t="s">
        <v>1615</v>
      </c>
      <c r="D656" s="0" t="s">
        <v>1616</v>
      </c>
    </row>
    <row r="657" customFormat="false" ht="12.8" hidden="true" customHeight="false" outlineLevel="0" collapsed="false">
      <c r="A657" s="9" t="n">
        <v>462</v>
      </c>
      <c r="B657" s="10" t="s">
        <v>1617</v>
      </c>
      <c r="C657" s="10" t="s">
        <v>1618</v>
      </c>
      <c r="D657" s="0" t="s">
        <v>1619</v>
      </c>
    </row>
    <row r="658" customFormat="false" ht="12.8" hidden="true" customHeight="false" outlineLevel="0" collapsed="false">
      <c r="A658" s="9" t="n">
        <v>463</v>
      </c>
      <c r="B658" s="10" t="s">
        <v>1620</v>
      </c>
      <c r="C658" s="10" t="s">
        <v>1621</v>
      </c>
      <c r="D658" s="0" t="s">
        <v>1227</v>
      </c>
    </row>
    <row r="659" customFormat="false" ht="12.8" hidden="true" customHeight="false" outlineLevel="0" collapsed="false">
      <c r="A659" s="9" t="n">
        <v>464</v>
      </c>
      <c r="B659" s="10" t="s">
        <v>1622</v>
      </c>
      <c r="C659" s="10" t="s">
        <v>1623</v>
      </c>
      <c r="D659" s="0" t="s">
        <v>1624</v>
      </c>
    </row>
    <row r="660" customFormat="false" ht="12.8" hidden="true" customHeight="false" outlineLevel="0" collapsed="false">
      <c r="A660" s="9" t="n">
        <v>465</v>
      </c>
      <c r="B660" s="10" t="s">
        <v>1625</v>
      </c>
      <c r="C660" s="10" t="s">
        <v>1626</v>
      </c>
      <c r="D660" s="0" t="s">
        <v>1627</v>
      </c>
    </row>
    <row r="661" customFormat="false" ht="12.8" hidden="true" customHeight="false" outlineLevel="0" collapsed="false">
      <c r="A661" s="9" t="n">
        <v>466</v>
      </c>
      <c r="B661" s="10" t="s">
        <v>1628</v>
      </c>
      <c r="C661" s="10" t="s">
        <v>1629</v>
      </c>
      <c r="D661" s="0" t="s">
        <v>1630</v>
      </c>
    </row>
    <row r="662" customFormat="false" ht="12.8" hidden="true" customHeight="false" outlineLevel="0" collapsed="false">
      <c r="A662" s="9" t="n">
        <v>467</v>
      </c>
      <c r="B662" s="10" t="s">
        <v>1631</v>
      </c>
      <c r="C662" s="10" t="s">
        <v>1632</v>
      </c>
      <c r="D662" s="0" t="s">
        <v>1633</v>
      </c>
    </row>
    <row r="663" customFormat="false" ht="12.8" hidden="true" customHeight="false" outlineLevel="0" collapsed="false">
      <c r="A663" s="9" t="n">
        <v>468</v>
      </c>
      <c r="B663" s="10" t="s">
        <v>1634</v>
      </c>
      <c r="C663" s="10" t="s">
        <v>1635</v>
      </c>
      <c r="D663" s="0" t="s">
        <v>1636</v>
      </c>
    </row>
    <row r="664" customFormat="false" ht="12.8" hidden="true" customHeight="false" outlineLevel="0" collapsed="false">
      <c r="A664" s="9" t="n">
        <v>469</v>
      </c>
      <c r="B664" s="10" t="s">
        <v>1637</v>
      </c>
      <c r="C664" s="10" t="s">
        <v>1638</v>
      </c>
      <c r="D664" s="0" t="s">
        <v>1639</v>
      </c>
    </row>
    <row r="665" customFormat="false" ht="12.8" hidden="true" customHeight="false" outlineLevel="0" collapsed="false">
      <c r="A665" s="9" t="n">
        <v>470</v>
      </c>
      <c r="B665" s="10" t="s">
        <v>1640</v>
      </c>
      <c r="C665" s="10" t="s">
        <v>1641</v>
      </c>
      <c r="D665" s="0" t="s">
        <v>1642</v>
      </c>
    </row>
    <row r="666" customFormat="false" ht="12.8" hidden="true" customHeight="false" outlineLevel="0" collapsed="false">
      <c r="A666" s="9" t="n">
        <v>471</v>
      </c>
      <c r="B666" s="10" t="s">
        <v>1643</v>
      </c>
      <c r="C666" s="10" t="s">
        <v>1644</v>
      </c>
      <c r="D666" s="0" t="s">
        <v>1645</v>
      </c>
    </row>
    <row r="667" customFormat="false" ht="12.8" hidden="true" customHeight="false" outlineLevel="0" collapsed="false">
      <c r="A667" s="9" t="n">
        <v>472</v>
      </c>
      <c r="B667" s="10" t="s">
        <v>1646</v>
      </c>
      <c r="C667" s="10" t="s">
        <v>1647</v>
      </c>
      <c r="D667" s="0" t="s">
        <v>1648</v>
      </c>
    </row>
    <row r="668" customFormat="false" ht="12.8" hidden="true" customHeight="false" outlineLevel="0" collapsed="false">
      <c r="A668" s="9" t="n">
        <v>473</v>
      </c>
      <c r="B668" s="10" t="s">
        <v>1649</v>
      </c>
      <c r="C668" s="10" t="s">
        <v>1650</v>
      </c>
      <c r="D668" s="0" t="s">
        <v>1651</v>
      </c>
    </row>
    <row r="669" customFormat="false" ht="12.8" hidden="true" customHeight="false" outlineLevel="0" collapsed="false">
      <c r="A669" s="9" t="n">
        <v>474</v>
      </c>
      <c r="B669" s="10" t="s">
        <v>1652</v>
      </c>
      <c r="C669" s="10" t="s">
        <v>1653</v>
      </c>
      <c r="D669" s="0" t="s">
        <v>1654</v>
      </c>
    </row>
    <row r="670" customFormat="false" ht="12.8" hidden="true" customHeight="false" outlineLevel="0" collapsed="false">
      <c r="A670" s="9" t="n">
        <v>475</v>
      </c>
      <c r="B670" s="10" t="s">
        <v>1655</v>
      </c>
      <c r="C670" s="10" t="s">
        <v>1656</v>
      </c>
      <c r="D670" s="0" t="s">
        <v>1657</v>
      </c>
    </row>
    <row r="671" customFormat="false" ht="12.8" hidden="true" customHeight="false" outlineLevel="0" collapsed="false">
      <c r="A671" s="9" t="n">
        <v>476</v>
      </c>
      <c r="B671" s="10" t="s">
        <v>1658</v>
      </c>
      <c r="C671" s="10" t="s">
        <v>1659</v>
      </c>
      <c r="D671" s="0" t="s">
        <v>1660</v>
      </c>
    </row>
    <row r="672" customFormat="false" ht="12.8" hidden="true" customHeight="false" outlineLevel="0" collapsed="false">
      <c r="A672" s="9" t="n">
        <v>477</v>
      </c>
      <c r="B672" s="10" t="s">
        <v>1661</v>
      </c>
      <c r="C672" s="10" t="s">
        <v>1662</v>
      </c>
      <c r="D672" s="0" t="s">
        <v>1663</v>
      </c>
    </row>
    <row r="673" customFormat="false" ht="12.8" hidden="true" customHeight="false" outlineLevel="0" collapsed="false">
      <c r="A673" s="9" t="n">
        <v>478</v>
      </c>
      <c r="B673" s="10" t="s">
        <v>1664</v>
      </c>
      <c r="C673" s="10" t="s">
        <v>1665</v>
      </c>
      <c r="D673" s="0" t="s">
        <v>1666</v>
      </c>
    </row>
    <row r="674" customFormat="false" ht="12.8" hidden="true" customHeight="false" outlineLevel="0" collapsed="false">
      <c r="A674" s="9" t="n">
        <v>479</v>
      </c>
      <c r="B674" s="10" t="s">
        <v>1667</v>
      </c>
      <c r="C674" s="10" t="s">
        <v>1668</v>
      </c>
      <c r="D674" s="0" t="s">
        <v>1669</v>
      </c>
    </row>
    <row r="675" customFormat="false" ht="12.8" hidden="true" customHeight="false" outlineLevel="0" collapsed="false"/>
    <row r="676" customFormat="false" ht="12.8" hidden="true" customHeight="false" outlineLevel="0" collapsed="false">
      <c r="A676" s="9" t="n">
        <v>480</v>
      </c>
      <c r="B676" s="10" t="s">
        <v>1670</v>
      </c>
      <c r="C676" s="10" t="s">
        <v>1671</v>
      </c>
      <c r="D676" s="0" t="s">
        <v>1672</v>
      </c>
    </row>
    <row r="677" customFormat="false" ht="12.8" hidden="true" customHeight="false" outlineLevel="0" collapsed="false">
      <c r="A677" s="9" t="n">
        <v>481</v>
      </c>
      <c r="B677" s="10" t="s">
        <v>1673</v>
      </c>
      <c r="C677" s="10" t="s">
        <v>1674</v>
      </c>
      <c r="D677" s="0" t="s">
        <v>1675</v>
      </c>
    </row>
    <row r="678" customFormat="false" ht="12.8" hidden="true" customHeight="false" outlineLevel="0" collapsed="false">
      <c r="A678" s="9" t="n">
        <v>482</v>
      </c>
      <c r="B678" s="10" t="s">
        <v>1676</v>
      </c>
      <c r="C678" s="10" t="s">
        <v>1677</v>
      </c>
      <c r="D678" s="0" t="s">
        <v>1678</v>
      </c>
    </row>
    <row r="679" customFormat="false" ht="12.8" hidden="true" customHeight="false" outlineLevel="0" collapsed="false">
      <c r="A679" s="9" t="n">
        <v>483</v>
      </c>
      <c r="B679" s="10" t="s">
        <v>1679</v>
      </c>
      <c r="C679" s="10" t="s">
        <v>1680</v>
      </c>
      <c r="D679" s="0" t="s">
        <v>1681</v>
      </c>
    </row>
    <row r="680" customFormat="false" ht="12.8" hidden="true" customHeight="false" outlineLevel="0" collapsed="false">
      <c r="A680" s="9" t="n">
        <v>484</v>
      </c>
      <c r="B680" s="10" t="s">
        <v>1682</v>
      </c>
      <c r="C680" s="10" t="s">
        <v>1683</v>
      </c>
      <c r="D680" s="0" t="s">
        <v>1684</v>
      </c>
    </row>
    <row r="681" customFormat="false" ht="12.8" hidden="true" customHeight="false" outlineLevel="0" collapsed="false">
      <c r="A681" s="9" t="n">
        <v>485</v>
      </c>
      <c r="B681" s="10" t="s">
        <v>1685</v>
      </c>
      <c r="C681" s="10" t="s">
        <v>1686</v>
      </c>
      <c r="D681" s="0" t="s">
        <v>1687</v>
      </c>
    </row>
    <row r="682" customFormat="false" ht="12.8" hidden="true" customHeight="false" outlineLevel="0" collapsed="false">
      <c r="A682" s="9" t="n">
        <v>486</v>
      </c>
      <c r="B682" s="10" t="s">
        <v>1688</v>
      </c>
      <c r="C682" s="10" t="s">
        <v>1689</v>
      </c>
      <c r="D682" s="0" t="s">
        <v>1690</v>
      </c>
    </row>
    <row r="683" customFormat="false" ht="12.8" hidden="true" customHeight="false" outlineLevel="0" collapsed="false">
      <c r="A683" s="9" t="n">
        <v>487</v>
      </c>
      <c r="B683" s="10" t="s">
        <v>1691</v>
      </c>
      <c r="C683" s="10" t="s">
        <v>1692</v>
      </c>
      <c r="D683" s="0" t="s">
        <v>1693</v>
      </c>
    </row>
    <row r="684" customFormat="false" ht="12.8" hidden="true" customHeight="false" outlineLevel="0" collapsed="false">
      <c r="A684" s="9" t="n">
        <v>488</v>
      </c>
      <c r="B684" s="10" t="s">
        <v>1694</v>
      </c>
      <c r="C684" s="10" t="s">
        <v>1695</v>
      </c>
      <c r="D684" s="0" t="s">
        <v>1696</v>
      </c>
    </row>
    <row r="685" customFormat="false" ht="12.8" hidden="true" customHeight="false" outlineLevel="0" collapsed="false">
      <c r="A685" s="9" t="n">
        <v>489</v>
      </c>
      <c r="B685" s="10" t="s">
        <v>1697</v>
      </c>
      <c r="C685" s="10" t="s">
        <v>1698</v>
      </c>
      <c r="D685" s="0" t="s">
        <v>1699</v>
      </c>
    </row>
    <row r="686" customFormat="false" ht="12.8" hidden="true" customHeight="false" outlineLevel="0" collapsed="false">
      <c r="A686" s="9" t="n">
        <v>490</v>
      </c>
      <c r="B686" s="10" t="s">
        <v>1700</v>
      </c>
      <c r="C686" s="10" t="s">
        <v>1701</v>
      </c>
      <c r="D686" s="0" t="s">
        <v>1702</v>
      </c>
    </row>
    <row r="687" customFormat="false" ht="12.8" hidden="true" customHeight="false" outlineLevel="0" collapsed="false">
      <c r="A687" s="9" t="n">
        <v>491</v>
      </c>
      <c r="B687" s="10" t="s">
        <v>1703</v>
      </c>
      <c r="C687" s="10" t="s">
        <v>1704</v>
      </c>
      <c r="D687" s="0" t="s">
        <v>1705</v>
      </c>
    </row>
    <row r="688" customFormat="false" ht="12.8" hidden="true" customHeight="false" outlineLevel="0" collapsed="false">
      <c r="A688" s="9" t="n">
        <v>492</v>
      </c>
      <c r="B688" s="10" t="s">
        <v>1706</v>
      </c>
      <c r="C688" s="10" t="s">
        <v>1707</v>
      </c>
      <c r="D688" s="0" t="s">
        <v>1708</v>
      </c>
    </row>
    <row r="689" customFormat="false" ht="12.8" hidden="true" customHeight="false" outlineLevel="0" collapsed="false">
      <c r="A689" s="9" t="n">
        <v>493</v>
      </c>
      <c r="B689" s="10" t="s">
        <v>1709</v>
      </c>
      <c r="C689" s="10" t="s">
        <v>1710</v>
      </c>
      <c r="D689" s="0" t="s">
        <v>1711</v>
      </c>
    </row>
    <row r="690" customFormat="false" ht="12.8" hidden="true" customHeight="false" outlineLevel="0" collapsed="false">
      <c r="A690" s="9" t="n">
        <v>494</v>
      </c>
      <c r="B690" s="10" t="s">
        <v>1712</v>
      </c>
      <c r="C690" s="10" t="s">
        <v>1713</v>
      </c>
      <c r="D690" s="0" t="s">
        <v>1714</v>
      </c>
    </row>
    <row r="691" customFormat="false" ht="12.8" hidden="true" customHeight="false" outlineLevel="0" collapsed="false">
      <c r="A691" s="9" t="n">
        <v>495</v>
      </c>
      <c r="B691" s="10" t="s">
        <v>1715</v>
      </c>
      <c r="C691" s="10" t="s">
        <v>1716</v>
      </c>
      <c r="D691" s="0" t="s">
        <v>1717</v>
      </c>
    </row>
    <row r="692" customFormat="false" ht="12.8" hidden="true" customHeight="false" outlineLevel="0" collapsed="false">
      <c r="A692" s="9" t="n">
        <v>496</v>
      </c>
      <c r="B692" s="10" t="s">
        <v>1718</v>
      </c>
      <c r="C692" s="10" t="s">
        <v>1719</v>
      </c>
      <c r="D692" s="0" t="s">
        <v>1720</v>
      </c>
    </row>
    <row r="693" customFormat="false" ht="12.8" hidden="true" customHeight="false" outlineLevel="0" collapsed="false">
      <c r="A693" s="9" t="n">
        <v>497</v>
      </c>
      <c r="B693" s="10" t="s">
        <v>1721</v>
      </c>
      <c r="C693" s="10" t="s">
        <v>1722</v>
      </c>
      <c r="D693" s="0" t="s">
        <v>1723</v>
      </c>
    </row>
    <row r="694" customFormat="false" ht="12.8" hidden="true" customHeight="false" outlineLevel="0" collapsed="false">
      <c r="A694" s="9" t="n">
        <v>498</v>
      </c>
      <c r="B694" s="10" t="s">
        <v>1724</v>
      </c>
      <c r="C694" s="10" t="s">
        <v>1725</v>
      </c>
      <c r="D694" s="0" t="s">
        <v>1726</v>
      </c>
    </row>
    <row r="695" customFormat="false" ht="12.8" hidden="true" customHeight="false" outlineLevel="0" collapsed="false">
      <c r="A695" s="9" t="n">
        <v>499</v>
      </c>
      <c r="B695" s="10" t="s">
        <v>1727</v>
      </c>
      <c r="C695" s="10" t="s">
        <v>1728</v>
      </c>
      <c r="D695" s="0" t="s">
        <v>1729</v>
      </c>
    </row>
    <row r="696" customFormat="false" ht="12.8" hidden="true" customHeight="false" outlineLevel="0" collapsed="false">
      <c r="A696" s="9" t="n">
        <v>500</v>
      </c>
      <c r="B696" s="10" t="s">
        <v>1730</v>
      </c>
      <c r="C696" s="10" t="s">
        <v>1731</v>
      </c>
      <c r="D696" s="0" t="s">
        <v>1732</v>
      </c>
    </row>
    <row r="697" customFormat="false" ht="12.8" hidden="true" customHeight="false" outlineLevel="0" collapsed="false">
      <c r="A697" s="9" t="n">
        <v>501</v>
      </c>
      <c r="B697" s="10" t="s">
        <v>1733</v>
      </c>
      <c r="C697" s="10" t="s">
        <v>1734</v>
      </c>
      <c r="D697" s="0" t="s">
        <v>1735</v>
      </c>
    </row>
    <row r="698" customFormat="false" ht="12.8" hidden="true" customHeight="false" outlineLevel="0" collapsed="false">
      <c r="A698" s="9" t="n">
        <v>502</v>
      </c>
      <c r="B698" s="10" t="s">
        <v>1736</v>
      </c>
      <c r="C698" s="10" t="s">
        <v>1737</v>
      </c>
      <c r="D698" s="0" t="s">
        <v>1738</v>
      </c>
    </row>
    <row r="699" customFormat="false" ht="12.8" hidden="true" customHeight="false" outlineLevel="0" collapsed="false">
      <c r="A699" s="9" t="n">
        <v>503</v>
      </c>
      <c r="B699" s="10" t="s">
        <v>1739</v>
      </c>
      <c r="C699" s="10" t="s">
        <v>1740</v>
      </c>
      <c r="D699" s="0" t="s">
        <v>1741</v>
      </c>
    </row>
    <row r="700" customFormat="false" ht="12.8" hidden="true" customHeight="false" outlineLevel="0" collapsed="false">
      <c r="A700" s="9" t="n">
        <v>504</v>
      </c>
      <c r="B700" s="10" t="s">
        <v>1742</v>
      </c>
      <c r="C700" s="10" t="s">
        <v>1743</v>
      </c>
      <c r="D700" s="0" t="s">
        <v>1744</v>
      </c>
    </row>
    <row r="701" customFormat="false" ht="12.8" hidden="true" customHeight="false" outlineLevel="0" collapsed="false">
      <c r="A701" s="9" t="n">
        <v>505</v>
      </c>
      <c r="B701" s="10" t="s">
        <v>1745</v>
      </c>
      <c r="C701" s="10" t="s">
        <v>1746</v>
      </c>
      <c r="D701" s="0" t="s">
        <v>1747</v>
      </c>
    </row>
    <row r="702" customFormat="false" ht="12.8" hidden="true" customHeight="false" outlineLevel="0" collapsed="false">
      <c r="A702" s="9" t="n">
        <v>506</v>
      </c>
      <c r="B702" s="10" t="s">
        <v>1748</v>
      </c>
      <c r="C702" s="10" t="s">
        <v>1749</v>
      </c>
      <c r="D702" s="0" t="s">
        <v>1750</v>
      </c>
    </row>
    <row r="703" customFormat="false" ht="12.8" hidden="true" customHeight="false" outlineLevel="0" collapsed="false">
      <c r="A703" s="9" t="n">
        <v>507</v>
      </c>
      <c r="B703" s="10" t="s">
        <v>1751</v>
      </c>
      <c r="C703" s="10" t="s">
        <v>1752</v>
      </c>
      <c r="D703" s="0" t="s">
        <v>1753</v>
      </c>
    </row>
    <row r="704" customFormat="false" ht="12.8" hidden="true" customHeight="false" outlineLevel="0" collapsed="false">
      <c r="A704" s="9" t="n">
        <v>508</v>
      </c>
      <c r="B704" s="10" t="s">
        <v>1754</v>
      </c>
      <c r="C704" s="10" t="s">
        <v>1755</v>
      </c>
      <c r="D704" s="0" t="s">
        <v>1756</v>
      </c>
    </row>
    <row r="705" customFormat="false" ht="12.8" hidden="true" customHeight="false" outlineLevel="0" collapsed="false">
      <c r="A705" s="9" t="n">
        <v>509</v>
      </c>
      <c r="B705" s="10" t="s">
        <v>1757</v>
      </c>
      <c r="C705" s="10" t="s">
        <v>1758</v>
      </c>
      <c r="D705" s="0" t="s">
        <v>1759</v>
      </c>
    </row>
    <row r="706" customFormat="false" ht="12.8" hidden="true" customHeight="false" outlineLevel="0" collapsed="false">
      <c r="A706" s="9" t="n">
        <v>510</v>
      </c>
      <c r="B706" s="10" t="s">
        <v>1760</v>
      </c>
      <c r="C706" s="10" t="s">
        <v>1761</v>
      </c>
      <c r="D706" s="0" t="s">
        <v>1762</v>
      </c>
    </row>
    <row r="707" customFormat="false" ht="12.8" hidden="true" customHeight="false" outlineLevel="0" collapsed="false">
      <c r="A707" s="9" t="n">
        <v>511</v>
      </c>
      <c r="B707" s="10" t="s">
        <v>1763</v>
      </c>
      <c r="C707" s="10" t="s">
        <v>1764</v>
      </c>
      <c r="D707" s="0" t="s">
        <v>1347</v>
      </c>
    </row>
    <row r="708" customFormat="false" ht="12.8" hidden="true" customHeight="false" outlineLevel="0" collapsed="false">
      <c r="A708" s="9" t="n">
        <v>512</v>
      </c>
      <c r="B708" s="10" t="s">
        <v>1765</v>
      </c>
      <c r="C708" s="10" t="s">
        <v>1766</v>
      </c>
      <c r="D708" s="0" t="s">
        <v>1767</v>
      </c>
    </row>
    <row r="709" customFormat="false" ht="12.8" hidden="true" customHeight="false" outlineLevel="0" collapsed="false">
      <c r="A709" s="9" t="n">
        <v>513</v>
      </c>
      <c r="B709" s="10" t="s">
        <v>1768</v>
      </c>
      <c r="C709" s="10" t="s">
        <v>1769</v>
      </c>
      <c r="D709" s="0" t="s">
        <v>1770</v>
      </c>
    </row>
    <row r="710" customFormat="false" ht="12.8" hidden="true" customHeight="false" outlineLevel="0" collapsed="false">
      <c r="A710" s="9" t="n">
        <v>514</v>
      </c>
      <c r="B710" s="10" t="s">
        <v>1771</v>
      </c>
      <c r="C710" s="10" t="s">
        <v>1772</v>
      </c>
    </row>
    <row r="711" customFormat="false" ht="12.8" hidden="true" customHeight="false" outlineLevel="0" collapsed="false">
      <c r="A711" s="9" t="n">
        <v>515</v>
      </c>
      <c r="B711" s="10" t="s">
        <v>1773</v>
      </c>
      <c r="C711" s="10" t="s">
        <v>1774</v>
      </c>
    </row>
    <row r="712" customFormat="false" ht="12.8" hidden="true" customHeight="false" outlineLevel="0" collapsed="false">
      <c r="A712" s="9" t="n">
        <v>516</v>
      </c>
      <c r="B712" s="10" t="s">
        <v>1775</v>
      </c>
      <c r="C712" s="10" t="s">
        <v>1776</v>
      </c>
      <c r="D712" s="0" t="s">
        <v>1777</v>
      </c>
    </row>
    <row r="713" customFormat="false" ht="12.8" hidden="true" customHeight="false" outlineLevel="0" collapsed="false">
      <c r="A713" s="9" t="n">
        <v>517</v>
      </c>
      <c r="B713" s="10" t="s">
        <v>1778</v>
      </c>
      <c r="C713" s="10" t="s">
        <v>1779</v>
      </c>
      <c r="D713" s="0" t="s">
        <v>1780</v>
      </c>
    </row>
    <row r="714" customFormat="false" ht="12.8" hidden="true" customHeight="false" outlineLevel="0" collapsed="false">
      <c r="A714" s="9" t="n">
        <v>518</v>
      </c>
      <c r="B714" s="10" t="s">
        <v>1781</v>
      </c>
      <c r="C714" s="10" t="s">
        <v>1782</v>
      </c>
      <c r="D714" s="0" t="s">
        <v>1783</v>
      </c>
    </row>
    <row r="715" customFormat="false" ht="12.8" hidden="true" customHeight="false" outlineLevel="0" collapsed="false">
      <c r="A715" s="9" t="n">
        <v>519</v>
      </c>
      <c r="B715" s="10" t="s">
        <v>1784</v>
      </c>
      <c r="C715" s="10" t="s">
        <v>1785</v>
      </c>
      <c r="D715" s="0" t="s">
        <v>1786</v>
      </c>
    </row>
    <row r="716" customFormat="false" ht="12.8" hidden="true" customHeight="false" outlineLevel="0" collapsed="false">
      <c r="A716" s="9" t="n">
        <v>520</v>
      </c>
      <c r="B716" s="10" t="s">
        <v>1787</v>
      </c>
      <c r="C716" s="10" t="s">
        <v>1788</v>
      </c>
      <c r="D716" s="0" t="s">
        <v>1789</v>
      </c>
    </row>
    <row r="717" customFormat="false" ht="12.8" hidden="true" customHeight="false" outlineLevel="0" collapsed="false">
      <c r="A717" s="9" t="n">
        <v>521</v>
      </c>
      <c r="B717" s="10" t="s">
        <v>1790</v>
      </c>
      <c r="C717" s="10" t="s">
        <v>1791</v>
      </c>
      <c r="D717" s="0" t="s">
        <v>1792</v>
      </c>
    </row>
    <row r="718" customFormat="false" ht="12.8" hidden="true" customHeight="false" outlineLevel="0" collapsed="false">
      <c r="A718" s="9" t="n">
        <v>522</v>
      </c>
      <c r="B718" s="10" t="s">
        <v>1793</v>
      </c>
      <c r="C718" s="10" t="s">
        <v>1794</v>
      </c>
      <c r="D718" s="0" t="s">
        <v>1795</v>
      </c>
    </row>
    <row r="719" customFormat="false" ht="12.8" hidden="true" customHeight="false" outlineLevel="0" collapsed="false">
      <c r="A719" s="9" t="n">
        <v>523</v>
      </c>
      <c r="B719" s="10" t="s">
        <v>1796</v>
      </c>
      <c r="C719" s="10" t="s">
        <v>1797</v>
      </c>
      <c r="D719" s="0" t="s">
        <v>1798</v>
      </c>
    </row>
    <row r="720" customFormat="false" ht="12.8" hidden="true" customHeight="false" outlineLevel="0" collapsed="false">
      <c r="A720" s="9" t="n">
        <v>524</v>
      </c>
      <c r="B720" s="10" t="s">
        <v>1799</v>
      </c>
      <c r="C720" s="10" t="s">
        <v>1800</v>
      </c>
      <c r="D720" s="0" t="s">
        <v>1801</v>
      </c>
    </row>
    <row r="721" customFormat="false" ht="12.8" hidden="true" customHeight="false" outlineLevel="0" collapsed="false">
      <c r="A721" s="9" t="n">
        <v>525</v>
      </c>
      <c r="B721" s="10" t="s">
        <v>1802</v>
      </c>
      <c r="C721" s="10" t="s">
        <v>1803</v>
      </c>
      <c r="D721" s="0" t="s">
        <v>1804</v>
      </c>
    </row>
    <row r="722" customFormat="false" ht="12.8" hidden="true" customHeight="false" outlineLevel="0" collapsed="false">
      <c r="A722" s="9" t="n">
        <v>526</v>
      </c>
      <c r="B722" s="10" t="s">
        <v>1805</v>
      </c>
      <c r="C722" s="10" t="s">
        <v>1806</v>
      </c>
      <c r="D722" s="0" t="s">
        <v>1807</v>
      </c>
    </row>
    <row r="723" customFormat="false" ht="12.8" hidden="true" customHeight="false" outlineLevel="0" collapsed="false">
      <c r="A723" s="9" t="n">
        <v>527</v>
      </c>
      <c r="B723" s="10" t="s">
        <v>1808</v>
      </c>
      <c r="C723" s="10" t="s">
        <v>1809</v>
      </c>
      <c r="D723" s="0" t="s">
        <v>1810</v>
      </c>
    </row>
    <row r="724" customFormat="false" ht="12.8" hidden="true" customHeight="false" outlineLevel="0" collapsed="false">
      <c r="A724" s="9" t="n">
        <v>528</v>
      </c>
      <c r="B724" s="10" t="s">
        <v>1811</v>
      </c>
      <c r="C724" s="10" t="s">
        <v>1812</v>
      </c>
      <c r="D724" s="0" t="s">
        <v>1813</v>
      </c>
    </row>
    <row r="725" customFormat="false" ht="12.8" hidden="true" customHeight="false" outlineLevel="0" collapsed="false">
      <c r="A725" s="9" t="n">
        <v>529</v>
      </c>
      <c r="B725" s="10" t="s">
        <v>1814</v>
      </c>
      <c r="C725" s="10" t="s">
        <v>1815</v>
      </c>
      <c r="D725" s="0" t="s">
        <v>1816</v>
      </c>
    </row>
    <row r="726" customFormat="false" ht="12.8" hidden="true" customHeight="false" outlineLevel="0" collapsed="false"/>
    <row r="727" customFormat="false" ht="12.8" hidden="true" customHeight="false" outlineLevel="0" collapsed="false">
      <c r="A727" s="9" t="s">
        <v>88</v>
      </c>
      <c r="B727" s="10" t="s">
        <v>89</v>
      </c>
      <c r="C727" s="10" t="s">
        <v>90</v>
      </c>
      <c r="D727" s="0" t="s">
        <v>91</v>
      </c>
      <c r="E727" s="0" t="s">
        <v>92</v>
      </c>
    </row>
    <row r="728" customFormat="false" ht="12.8" hidden="true" customHeight="false" outlineLevel="0" collapsed="false">
      <c r="A728" s="9" t="n">
        <v>530</v>
      </c>
      <c r="B728" s="10" t="s">
        <v>1817</v>
      </c>
      <c r="C728" s="10" t="s">
        <v>1818</v>
      </c>
      <c r="D728" s="0" t="s">
        <v>1819</v>
      </c>
    </row>
    <row r="729" customFormat="false" ht="12.8" hidden="true" customHeight="false" outlineLevel="0" collapsed="false">
      <c r="A729" s="9" t="n">
        <v>531</v>
      </c>
      <c r="B729" s="10" t="s">
        <v>1820</v>
      </c>
      <c r="C729" s="10" t="s">
        <v>1821</v>
      </c>
      <c r="D729" s="0" t="s">
        <v>1822</v>
      </c>
    </row>
    <row r="730" customFormat="false" ht="12.8" hidden="true" customHeight="false" outlineLevel="0" collapsed="false">
      <c r="A730" s="9" t="n">
        <v>532</v>
      </c>
      <c r="B730" s="10" t="s">
        <v>1823</v>
      </c>
      <c r="C730" s="10" t="s">
        <v>1824</v>
      </c>
      <c r="D730" s="0" t="s">
        <v>1825</v>
      </c>
    </row>
    <row r="731" customFormat="false" ht="12.8" hidden="true" customHeight="false" outlineLevel="0" collapsed="false">
      <c r="A731" s="9" t="n">
        <v>533</v>
      </c>
      <c r="B731" s="10" t="s">
        <v>1826</v>
      </c>
      <c r="C731" s="10" t="s">
        <v>1827</v>
      </c>
      <c r="D731" s="0" t="s">
        <v>1828</v>
      </c>
    </row>
    <row r="732" customFormat="false" ht="12.8" hidden="true" customHeight="false" outlineLevel="0" collapsed="false">
      <c r="A732" s="9" t="n">
        <v>534</v>
      </c>
      <c r="B732" s="10" t="s">
        <v>1829</v>
      </c>
      <c r="C732" s="10" t="s">
        <v>1830</v>
      </c>
      <c r="D732" s="0" t="s">
        <v>1831</v>
      </c>
    </row>
    <row r="733" customFormat="false" ht="12.8" hidden="true" customHeight="false" outlineLevel="0" collapsed="false">
      <c r="A733" s="9" t="n">
        <v>535</v>
      </c>
      <c r="B733" s="10" t="s">
        <v>1832</v>
      </c>
      <c r="C733" s="10" t="s">
        <v>1833</v>
      </c>
      <c r="D733" s="0" t="s">
        <v>1834</v>
      </c>
    </row>
    <row r="734" customFormat="false" ht="12.8" hidden="true" customHeight="false" outlineLevel="0" collapsed="false">
      <c r="A734" s="9" t="n">
        <v>536</v>
      </c>
      <c r="B734" s="10" t="s">
        <v>1835</v>
      </c>
      <c r="C734" s="10" t="s">
        <v>1836</v>
      </c>
      <c r="D734" s="0" t="s">
        <v>1837</v>
      </c>
    </row>
    <row r="735" customFormat="false" ht="12.8" hidden="true" customHeight="false" outlineLevel="0" collapsed="false">
      <c r="A735" s="9" t="n">
        <v>537</v>
      </c>
      <c r="B735" s="10" t="s">
        <v>1838</v>
      </c>
      <c r="C735" s="10" t="s">
        <v>1839</v>
      </c>
      <c r="D735" s="0" t="s">
        <v>1840</v>
      </c>
    </row>
    <row r="736" customFormat="false" ht="12.8" hidden="true" customHeight="false" outlineLevel="0" collapsed="false">
      <c r="A736" s="9" t="n">
        <v>538</v>
      </c>
      <c r="B736" s="10" t="s">
        <v>1841</v>
      </c>
      <c r="C736" s="10" t="s">
        <v>1842</v>
      </c>
      <c r="D736" s="0" t="s">
        <v>1843</v>
      </c>
    </row>
    <row r="737" customFormat="false" ht="12.8" hidden="true" customHeight="false" outlineLevel="0" collapsed="false">
      <c r="A737" s="9" t="n">
        <v>539</v>
      </c>
      <c r="B737" s="10" t="s">
        <v>1844</v>
      </c>
      <c r="C737" s="10" t="s">
        <v>1845</v>
      </c>
      <c r="D737" s="0" t="s">
        <v>1846</v>
      </c>
    </row>
    <row r="738" customFormat="false" ht="12.8" hidden="true" customHeight="false" outlineLevel="0" collapsed="false">
      <c r="A738" s="9" t="n">
        <v>540</v>
      </c>
      <c r="B738" s="10" t="s">
        <v>1847</v>
      </c>
      <c r="C738" s="10" t="s">
        <v>1848</v>
      </c>
      <c r="D738" s="0" t="s">
        <v>1849</v>
      </c>
    </row>
    <row r="739" customFormat="false" ht="12.8" hidden="true" customHeight="false" outlineLevel="0" collapsed="false">
      <c r="A739" s="9" t="n">
        <v>541</v>
      </c>
      <c r="B739" s="10" t="s">
        <v>1850</v>
      </c>
      <c r="C739" s="10" t="s">
        <v>1851</v>
      </c>
      <c r="D739" s="0" t="s">
        <v>1852</v>
      </c>
    </row>
    <row r="740" customFormat="false" ht="12.8" hidden="true" customHeight="false" outlineLevel="0" collapsed="false">
      <c r="A740" s="9" t="n">
        <v>542</v>
      </c>
      <c r="B740" s="10" t="s">
        <v>1853</v>
      </c>
      <c r="C740" s="10" t="s">
        <v>1854</v>
      </c>
      <c r="D740" s="0" t="s">
        <v>1855</v>
      </c>
    </row>
    <row r="741" customFormat="false" ht="12.8" hidden="true" customHeight="false" outlineLevel="0" collapsed="false">
      <c r="A741" s="9" t="n">
        <v>543</v>
      </c>
      <c r="B741" s="10" t="s">
        <v>1856</v>
      </c>
      <c r="C741" s="10" t="s">
        <v>1857</v>
      </c>
      <c r="D741" s="0" t="s">
        <v>1858</v>
      </c>
    </row>
    <row r="742" customFormat="false" ht="12.8" hidden="true" customHeight="false" outlineLevel="0" collapsed="false">
      <c r="A742" s="9" t="n">
        <v>544</v>
      </c>
      <c r="B742" s="10" t="s">
        <v>1859</v>
      </c>
      <c r="C742" s="10" t="s">
        <v>1860</v>
      </c>
      <c r="D742" s="0" t="s">
        <v>1861</v>
      </c>
    </row>
    <row r="743" customFormat="false" ht="12.8" hidden="true" customHeight="false" outlineLevel="0" collapsed="false">
      <c r="A743" s="9" t="n">
        <v>545</v>
      </c>
      <c r="B743" s="10" t="s">
        <v>1862</v>
      </c>
      <c r="C743" s="10" t="s">
        <v>1863</v>
      </c>
      <c r="D743" s="0" t="s">
        <v>1864</v>
      </c>
    </row>
    <row r="744" customFormat="false" ht="12.8" hidden="true" customHeight="false" outlineLevel="0" collapsed="false">
      <c r="A744" s="9" t="n">
        <v>546</v>
      </c>
      <c r="B744" s="10" t="s">
        <v>1865</v>
      </c>
      <c r="C744" s="10" t="s">
        <v>1866</v>
      </c>
      <c r="D744" s="0" t="s">
        <v>1867</v>
      </c>
    </row>
    <row r="745" customFormat="false" ht="12.8" hidden="true" customHeight="false" outlineLevel="0" collapsed="false">
      <c r="A745" s="9" t="n">
        <v>547</v>
      </c>
      <c r="B745" s="10" t="s">
        <v>1868</v>
      </c>
      <c r="C745" s="10" t="s">
        <v>1869</v>
      </c>
      <c r="D745" s="0" t="s">
        <v>1870</v>
      </c>
    </row>
    <row r="746" customFormat="false" ht="12.8" hidden="true" customHeight="false" outlineLevel="0" collapsed="false">
      <c r="A746" s="9" t="n">
        <v>548</v>
      </c>
      <c r="B746" s="10" t="s">
        <v>1871</v>
      </c>
      <c r="C746" s="10" t="s">
        <v>1872</v>
      </c>
      <c r="D746" s="0" t="s">
        <v>1873</v>
      </c>
    </row>
    <row r="747" customFormat="false" ht="12.8" hidden="true" customHeight="false" outlineLevel="0" collapsed="false">
      <c r="A747" s="9" t="n">
        <v>549</v>
      </c>
      <c r="B747" s="10" t="s">
        <v>1874</v>
      </c>
      <c r="C747" s="10" t="s">
        <v>1875</v>
      </c>
      <c r="D747" s="0" t="s">
        <v>1876</v>
      </c>
    </row>
    <row r="748" customFormat="false" ht="12.8" hidden="true" customHeight="false" outlineLevel="0" collapsed="false">
      <c r="A748" s="9" t="n">
        <v>550</v>
      </c>
      <c r="B748" s="10" t="s">
        <v>1877</v>
      </c>
      <c r="C748" s="10" t="s">
        <v>1878</v>
      </c>
      <c r="D748" s="0" t="s">
        <v>1879</v>
      </c>
    </row>
    <row r="749" customFormat="false" ht="12.8" hidden="true" customHeight="false" outlineLevel="0" collapsed="false">
      <c r="A749" s="9" t="n">
        <v>551</v>
      </c>
      <c r="B749" s="10" t="s">
        <v>1880</v>
      </c>
      <c r="C749" s="10" t="s">
        <v>1881</v>
      </c>
      <c r="D749" s="0" t="s">
        <v>1882</v>
      </c>
    </row>
    <row r="750" customFormat="false" ht="12.8" hidden="true" customHeight="false" outlineLevel="0" collapsed="false">
      <c r="A750" s="9" t="n">
        <v>552</v>
      </c>
      <c r="B750" s="10" t="s">
        <v>1883</v>
      </c>
      <c r="C750" s="10" t="s">
        <v>1884</v>
      </c>
      <c r="D750" s="0" t="s">
        <v>1885</v>
      </c>
    </row>
    <row r="751" customFormat="false" ht="12.8" hidden="true" customHeight="false" outlineLevel="0" collapsed="false">
      <c r="A751" s="9" t="n">
        <v>553</v>
      </c>
      <c r="B751" s="10" t="s">
        <v>1886</v>
      </c>
      <c r="C751" s="10" t="s">
        <v>1887</v>
      </c>
      <c r="D751" s="0" t="s">
        <v>1888</v>
      </c>
    </row>
    <row r="752" customFormat="false" ht="12.8" hidden="true" customHeight="false" outlineLevel="0" collapsed="false">
      <c r="A752" s="9" t="n">
        <v>554</v>
      </c>
      <c r="B752" s="10" t="s">
        <v>1889</v>
      </c>
      <c r="C752" s="10" t="s">
        <v>1890</v>
      </c>
      <c r="D752" s="0" t="s">
        <v>1891</v>
      </c>
    </row>
    <row r="753" customFormat="false" ht="12.8" hidden="true" customHeight="false" outlineLevel="0" collapsed="false">
      <c r="A753" s="9" t="n">
        <v>555</v>
      </c>
      <c r="B753" s="10" t="s">
        <v>1892</v>
      </c>
      <c r="C753" s="10" t="s">
        <v>1893</v>
      </c>
      <c r="D753" s="0" t="s">
        <v>1894</v>
      </c>
    </row>
    <row r="754" customFormat="false" ht="12.8" hidden="true" customHeight="false" outlineLevel="0" collapsed="false">
      <c r="A754" s="9" t="n">
        <v>556</v>
      </c>
      <c r="B754" s="10" t="s">
        <v>1895</v>
      </c>
      <c r="C754" s="10" t="s">
        <v>1896</v>
      </c>
      <c r="D754" s="0" t="s">
        <v>1897</v>
      </c>
    </row>
    <row r="755" customFormat="false" ht="12.8" hidden="true" customHeight="false" outlineLevel="0" collapsed="false">
      <c r="A755" s="9" t="n">
        <v>557</v>
      </c>
      <c r="B755" s="10" t="s">
        <v>1898</v>
      </c>
      <c r="C755" s="10" t="s">
        <v>1899</v>
      </c>
      <c r="D755" s="0" t="s">
        <v>1900</v>
      </c>
    </row>
    <row r="756" customFormat="false" ht="12.8" hidden="true" customHeight="false" outlineLevel="0" collapsed="false">
      <c r="A756" s="9" t="n">
        <v>558</v>
      </c>
      <c r="B756" s="10" t="s">
        <v>1901</v>
      </c>
      <c r="C756" s="10" t="s">
        <v>1902</v>
      </c>
      <c r="D756" s="0" t="s">
        <v>1903</v>
      </c>
    </row>
    <row r="757" customFormat="false" ht="12.8" hidden="true" customHeight="false" outlineLevel="0" collapsed="false">
      <c r="A757" s="9" t="n">
        <v>559</v>
      </c>
      <c r="B757" s="10" t="s">
        <v>1904</v>
      </c>
      <c r="C757" s="10" t="s">
        <v>1905</v>
      </c>
      <c r="D757" s="0" t="s">
        <v>1906</v>
      </c>
    </row>
    <row r="758" customFormat="false" ht="12.8" hidden="true" customHeight="false" outlineLevel="0" collapsed="false">
      <c r="A758" s="9" t="n">
        <v>560</v>
      </c>
      <c r="B758" s="10" t="s">
        <v>1907</v>
      </c>
      <c r="C758" s="10" t="s">
        <v>1908</v>
      </c>
      <c r="D758" s="0" t="s">
        <v>1909</v>
      </c>
    </row>
    <row r="759" customFormat="false" ht="12.8" hidden="true" customHeight="false" outlineLevel="0" collapsed="false">
      <c r="A759" s="9" t="n">
        <v>561</v>
      </c>
      <c r="B759" s="10" t="s">
        <v>1910</v>
      </c>
      <c r="C759" s="10" t="s">
        <v>1911</v>
      </c>
      <c r="D759" s="0" t="s">
        <v>1912</v>
      </c>
    </row>
    <row r="760" customFormat="false" ht="12.8" hidden="true" customHeight="false" outlineLevel="0" collapsed="false">
      <c r="A760" s="9" t="n">
        <v>562</v>
      </c>
      <c r="B760" s="10" t="s">
        <v>1913</v>
      </c>
      <c r="C760" s="10" t="s">
        <v>1914</v>
      </c>
      <c r="D760" s="0" t="s">
        <v>1915</v>
      </c>
    </row>
    <row r="761" customFormat="false" ht="12.8" hidden="true" customHeight="false" outlineLevel="0" collapsed="false">
      <c r="A761" s="9" t="n">
        <v>563</v>
      </c>
      <c r="B761" s="10" t="s">
        <v>1916</v>
      </c>
      <c r="C761" s="10" t="s">
        <v>1917</v>
      </c>
      <c r="D761" s="0" t="s">
        <v>1918</v>
      </c>
    </row>
    <row r="762" customFormat="false" ht="12.8" hidden="true" customHeight="false" outlineLevel="0" collapsed="false">
      <c r="A762" s="9" t="n">
        <v>564</v>
      </c>
      <c r="B762" s="10" t="s">
        <v>1919</v>
      </c>
      <c r="C762" s="10" t="s">
        <v>1920</v>
      </c>
      <c r="D762" s="0" t="s">
        <v>1921</v>
      </c>
    </row>
    <row r="763" customFormat="false" ht="12.8" hidden="true" customHeight="false" outlineLevel="0" collapsed="false">
      <c r="A763" s="9" t="n">
        <v>565</v>
      </c>
      <c r="B763" s="10" t="s">
        <v>1922</v>
      </c>
      <c r="C763" s="10" t="s">
        <v>1923</v>
      </c>
      <c r="D763" s="0" t="s">
        <v>1924</v>
      </c>
    </row>
    <row r="764" customFormat="false" ht="12.8" hidden="true" customHeight="false" outlineLevel="0" collapsed="false">
      <c r="A764" s="9" t="n">
        <v>566</v>
      </c>
      <c r="B764" s="10" t="s">
        <v>1925</v>
      </c>
      <c r="C764" s="10" t="s">
        <v>1926</v>
      </c>
      <c r="D764" s="0" t="s">
        <v>1927</v>
      </c>
    </row>
    <row r="765" customFormat="false" ht="12.8" hidden="true" customHeight="false" outlineLevel="0" collapsed="false">
      <c r="A765" s="9" t="n">
        <v>567</v>
      </c>
      <c r="B765" s="10" t="s">
        <v>1928</v>
      </c>
      <c r="C765" s="10" t="s">
        <v>1929</v>
      </c>
      <c r="D765" s="0" t="s">
        <v>1930</v>
      </c>
    </row>
    <row r="766" customFormat="false" ht="12.8" hidden="true" customHeight="false" outlineLevel="0" collapsed="false">
      <c r="A766" s="9" t="n">
        <v>568</v>
      </c>
      <c r="B766" s="10" t="s">
        <v>1931</v>
      </c>
      <c r="C766" s="10" t="s">
        <v>1932</v>
      </c>
      <c r="D766" s="0" t="s">
        <v>1933</v>
      </c>
    </row>
    <row r="767" customFormat="false" ht="12.8" hidden="true" customHeight="false" outlineLevel="0" collapsed="false">
      <c r="A767" s="9" t="n">
        <v>569</v>
      </c>
      <c r="B767" s="10" t="s">
        <v>1934</v>
      </c>
      <c r="C767" s="10" t="s">
        <v>1935</v>
      </c>
      <c r="D767" s="0" t="s">
        <v>1936</v>
      </c>
    </row>
    <row r="768" customFormat="false" ht="12.8" hidden="true" customHeight="false" outlineLevel="0" collapsed="false">
      <c r="A768" s="9" t="n">
        <v>570</v>
      </c>
      <c r="B768" s="10" t="s">
        <v>1937</v>
      </c>
      <c r="C768" s="10" t="s">
        <v>1938</v>
      </c>
      <c r="D768" s="0" t="s">
        <v>1939</v>
      </c>
    </row>
    <row r="769" customFormat="false" ht="12.8" hidden="true" customHeight="false" outlineLevel="0" collapsed="false">
      <c r="A769" s="9" t="n">
        <v>571</v>
      </c>
      <c r="B769" s="10" t="s">
        <v>1940</v>
      </c>
      <c r="C769" s="10" t="s">
        <v>1941</v>
      </c>
      <c r="D769" s="0" t="s">
        <v>1942</v>
      </c>
    </row>
    <row r="770" customFormat="false" ht="12.8" hidden="true" customHeight="false" outlineLevel="0" collapsed="false">
      <c r="A770" s="9" t="n">
        <v>572</v>
      </c>
      <c r="B770" s="10" t="s">
        <v>1943</v>
      </c>
      <c r="C770" s="10" t="s">
        <v>1944</v>
      </c>
      <c r="D770" s="0" t="s">
        <v>1945</v>
      </c>
    </row>
    <row r="771" customFormat="false" ht="12.8" hidden="true" customHeight="false" outlineLevel="0" collapsed="false">
      <c r="A771" s="9" t="n">
        <v>573</v>
      </c>
      <c r="B771" s="10" t="s">
        <v>1946</v>
      </c>
      <c r="C771" s="10" t="s">
        <v>1947</v>
      </c>
      <c r="D771" s="0" t="s">
        <v>1948</v>
      </c>
    </row>
    <row r="772" customFormat="false" ht="12.8" hidden="true" customHeight="false" outlineLevel="0" collapsed="false">
      <c r="A772" s="9" t="n">
        <v>574</v>
      </c>
      <c r="B772" s="10" t="s">
        <v>1949</v>
      </c>
      <c r="C772" s="10" t="s">
        <v>1950</v>
      </c>
      <c r="D772" s="0" t="s">
        <v>1951</v>
      </c>
    </row>
    <row r="773" customFormat="false" ht="12.8" hidden="true" customHeight="false" outlineLevel="0" collapsed="false">
      <c r="A773" s="9" t="n">
        <v>575</v>
      </c>
      <c r="B773" s="10" t="s">
        <v>1952</v>
      </c>
      <c r="C773" s="10" t="s">
        <v>1953</v>
      </c>
      <c r="D773" s="0" t="s">
        <v>1954</v>
      </c>
    </row>
    <row r="774" customFormat="false" ht="12.8" hidden="true" customHeight="false" outlineLevel="0" collapsed="false">
      <c r="A774" s="9" t="n">
        <v>576</v>
      </c>
      <c r="B774" s="10" t="s">
        <v>1955</v>
      </c>
      <c r="C774" s="10" t="s">
        <v>1956</v>
      </c>
      <c r="D774" s="0" t="s">
        <v>1957</v>
      </c>
    </row>
    <row r="775" customFormat="false" ht="12.8" hidden="true" customHeight="false" outlineLevel="0" collapsed="false">
      <c r="A775" s="9" t="n">
        <v>577</v>
      </c>
      <c r="B775" s="10" t="s">
        <v>1958</v>
      </c>
      <c r="C775" s="10" t="s">
        <v>1959</v>
      </c>
      <c r="D775" s="0" t="s">
        <v>1960</v>
      </c>
    </row>
    <row r="776" customFormat="false" ht="12.8" hidden="true" customHeight="false" outlineLevel="0" collapsed="false">
      <c r="A776" s="9" t="n">
        <v>578</v>
      </c>
      <c r="B776" s="10" t="s">
        <v>1961</v>
      </c>
      <c r="C776" s="10" t="s">
        <v>1962</v>
      </c>
      <c r="D776" s="0" t="s">
        <v>1963</v>
      </c>
    </row>
    <row r="777" customFormat="false" ht="12.8" hidden="true" customHeight="false" outlineLevel="0" collapsed="false">
      <c r="A777" s="9" t="n">
        <v>579</v>
      </c>
      <c r="B777" s="10" t="s">
        <v>1964</v>
      </c>
      <c r="C777" s="10" t="s">
        <v>1965</v>
      </c>
      <c r="D777" s="0" t="s">
        <v>1966</v>
      </c>
    </row>
    <row r="778" customFormat="false" ht="12.8" hidden="true" customHeight="false" outlineLevel="0" collapsed="false"/>
    <row r="779" customFormat="false" ht="12.8" hidden="true" customHeight="false" outlineLevel="0" collapsed="false">
      <c r="A779" s="9" t="n">
        <v>580</v>
      </c>
      <c r="B779" s="10" t="s">
        <v>1967</v>
      </c>
      <c r="C779" s="10" t="s">
        <v>1968</v>
      </c>
      <c r="D779" s="0" t="s">
        <v>1969</v>
      </c>
    </row>
    <row r="780" customFormat="false" ht="12.8" hidden="true" customHeight="false" outlineLevel="0" collapsed="false">
      <c r="A780" s="9" t="n">
        <v>581</v>
      </c>
      <c r="B780" s="10" t="s">
        <v>1970</v>
      </c>
      <c r="C780" s="10" t="s">
        <v>1971</v>
      </c>
      <c r="D780" s="0" t="s">
        <v>1972</v>
      </c>
    </row>
    <row r="781" customFormat="false" ht="12.8" hidden="true" customHeight="false" outlineLevel="0" collapsed="false">
      <c r="A781" s="9" t="n">
        <v>582</v>
      </c>
      <c r="B781" s="10" t="s">
        <v>1973</v>
      </c>
      <c r="C781" s="10" t="s">
        <v>1974</v>
      </c>
      <c r="D781" s="0" t="s">
        <v>1975</v>
      </c>
    </row>
    <row r="782" customFormat="false" ht="12.8" hidden="true" customHeight="false" outlineLevel="0" collapsed="false">
      <c r="A782" s="9" t="n">
        <v>583</v>
      </c>
      <c r="B782" s="10" t="s">
        <v>1976</v>
      </c>
      <c r="C782" s="10" t="s">
        <v>1977</v>
      </c>
      <c r="D782" s="0" t="s">
        <v>1978</v>
      </c>
    </row>
    <row r="783" customFormat="false" ht="12.8" hidden="true" customHeight="false" outlineLevel="0" collapsed="false">
      <c r="A783" s="9" t="n">
        <v>584</v>
      </c>
      <c r="B783" s="10" t="s">
        <v>1979</v>
      </c>
      <c r="C783" s="10" t="s">
        <v>1980</v>
      </c>
      <c r="D783" s="0" t="s">
        <v>1981</v>
      </c>
    </row>
    <row r="784" customFormat="false" ht="12.8" hidden="true" customHeight="false" outlineLevel="0" collapsed="false">
      <c r="A784" s="9" t="n">
        <v>585</v>
      </c>
      <c r="B784" s="10" t="s">
        <v>1982</v>
      </c>
      <c r="C784" s="10" t="s">
        <v>1983</v>
      </c>
      <c r="D784" s="0" t="s">
        <v>1984</v>
      </c>
    </row>
    <row r="785" customFormat="false" ht="12.8" hidden="true" customHeight="false" outlineLevel="0" collapsed="false">
      <c r="A785" s="9" t="n">
        <v>586</v>
      </c>
      <c r="B785" s="10" t="s">
        <v>1985</v>
      </c>
      <c r="C785" s="10" t="s">
        <v>1986</v>
      </c>
      <c r="D785" s="0" t="s">
        <v>1987</v>
      </c>
    </row>
    <row r="786" customFormat="false" ht="12.8" hidden="true" customHeight="false" outlineLevel="0" collapsed="false">
      <c r="A786" s="9" t="n">
        <v>587</v>
      </c>
      <c r="B786" s="10" t="s">
        <v>1988</v>
      </c>
      <c r="C786" s="10" t="s">
        <v>1989</v>
      </c>
      <c r="D786" s="0" t="s">
        <v>1990</v>
      </c>
    </row>
    <row r="787" customFormat="false" ht="12.8" hidden="true" customHeight="false" outlineLevel="0" collapsed="false">
      <c r="A787" s="9" t="n">
        <v>588</v>
      </c>
      <c r="B787" s="10" t="s">
        <v>1991</v>
      </c>
      <c r="C787" s="10" t="s">
        <v>1992</v>
      </c>
      <c r="D787" s="0" t="s">
        <v>1993</v>
      </c>
    </row>
    <row r="788" customFormat="false" ht="12.8" hidden="true" customHeight="false" outlineLevel="0" collapsed="false">
      <c r="A788" s="9" t="n">
        <v>589</v>
      </c>
      <c r="B788" s="10" t="s">
        <v>1994</v>
      </c>
      <c r="C788" s="10" t="s">
        <v>1995</v>
      </c>
      <c r="D788" s="0" t="s">
        <v>1996</v>
      </c>
    </row>
    <row r="789" customFormat="false" ht="12.8" hidden="true" customHeight="false" outlineLevel="0" collapsed="false">
      <c r="A789" s="9" t="n">
        <v>590</v>
      </c>
      <c r="B789" s="10" t="s">
        <v>1997</v>
      </c>
      <c r="C789" s="10" t="s">
        <v>1998</v>
      </c>
      <c r="D789" s="0" t="s">
        <v>1999</v>
      </c>
    </row>
    <row r="790" customFormat="false" ht="12.8" hidden="true" customHeight="false" outlineLevel="0" collapsed="false">
      <c r="A790" s="9" t="n">
        <v>591</v>
      </c>
      <c r="B790" s="10" t="s">
        <v>2000</v>
      </c>
      <c r="C790" s="10" t="s">
        <v>2001</v>
      </c>
      <c r="D790" s="0" t="s">
        <v>2002</v>
      </c>
    </row>
    <row r="791" customFormat="false" ht="12.8" hidden="true" customHeight="false" outlineLevel="0" collapsed="false">
      <c r="A791" s="9" t="n">
        <v>592</v>
      </c>
      <c r="B791" s="10" t="s">
        <v>2003</v>
      </c>
      <c r="C791" s="10" t="s">
        <v>2004</v>
      </c>
      <c r="D791" s="0" t="s">
        <v>2005</v>
      </c>
    </row>
    <row r="792" customFormat="false" ht="12.8" hidden="true" customHeight="false" outlineLevel="0" collapsed="false">
      <c r="A792" s="9" t="n">
        <v>593</v>
      </c>
      <c r="B792" s="10" t="s">
        <v>2006</v>
      </c>
      <c r="C792" s="10" t="s">
        <v>2007</v>
      </c>
      <c r="D792" s="0" t="s">
        <v>2008</v>
      </c>
    </row>
    <row r="793" customFormat="false" ht="12.8" hidden="true" customHeight="false" outlineLevel="0" collapsed="false">
      <c r="A793" s="9" t="n">
        <v>594</v>
      </c>
      <c r="B793" s="10" t="s">
        <v>2009</v>
      </c>
      <c r="C793" s="10" t="s">
        <v>2010</v>
      </c>
      <c r="D793" s="0" t="s">
        <v>2011</v>
      </c>
    </row>
    <row r="794" customFormat="false" ht="12.8" hidden="true" customHeight="false" outlineLevel="0" collapsed="false">
      <c r="A794" s="9" t="n">
        <v>595</v>
      </c>
      <c r="B794" s="10" t="s">
        <v>2012</v>
      </c>
      <c r="C794" s="10" t="s">
        <v>2013</v>
      </c>
      <c r="D794" s="0" t="s">
        <v>2014</v>
      </c>
    </row>
    <row r="795" customFormat="false" ht="12.8" hidden="true" customHeight="false" outlineLevel="0" collapsed="false">
      <c r="A795" s="9" t="n">
        <v>596</v>
      </c>
      <c r="B795" s="10" t="s">
        <v>2015</v>
      </c>
      <c r="C795" s="10" t="s">
        <v>2016</v>
      </c>
      <c r="D795" s="0" t="s">
        <v>2017</v>
      </c>
    </row>
    <row r="796" customFormat="false" ht="12.8" hidden="true" customHeight="false" outlineLevel="0" collapsed="false">
      <c r="A796" s="9" t="n">
        <v>597</v>
      </c>
      <c r="B796" s="10" t="s">
        <v>2018</v>
      </c>
      <c r="C796" s="10" t="s">
        <v>2019</v>
      </c>
      <c r="D796" s="0" t="s">
        <v>2020</v>
      </c>
    </row>
    <row r="797" customFormat="false" ht="12.8" hidden="true" customHeight="false" outlineLevel="0" collapsed="false">
      <c r="A797" s="9" t="n">
        <v>598</v>
      </c>
      <c r="B797" s="10" t="s">
        <v>2021</v>
      </c>
      <c r="C797" s="10" t="s">
        <v>2022</v>
      </c>
      <c r="D797" s="0" t="s">
        <v>2023</v>
      </c>
    </row>
    <row r="798" customFormat="false" ht="12.8" hidden="true" customHeight="false" outlineLevel="0" collapsed="false">
      <c r="A798" s="9" t="n">
        <v>599</v>
      </c>
      <c r="B798" s="10" t="s">
        <v>2024</v>
      </c>
      <c r="C798" s="10" t="s">
        <v>2025</v>
      </c>
      <c r="D798" s="0" t="s">
        <v>2026</v>
      </c>
    </row>
    <row r="799" customFormat="false" ht="12.8" hidden="true" customHeight="false" outlineLevel="0" collapsed="false">
      <c r="A799" s="9" t="n">
        <v>600</v>
      </c>
      <c r="B799" s="10" t="s">
        <v>2027</v>
      </c>
      <c r="C799" s="10" t="s">
        <v>2028</v>
      </c>
      <c r="D799" s="0" t="s">
        <v>2029</v>
      </c>
    </row>
    <row r="800" customFormat="false" ht="12.8" hidden="true" customHeight="false" outlineLevel="0" collapsed="false">
      <c r="A800" s="9" t="n">
        <v>601</v>
      </c>
      <c r="B800" s="10" t="s">
        <v>2030</v>
      </c>
      <c r="C800" s="10" t="s">
        <v>2031</v>
      </c>
      <c r="D800" s="0" t="s">
        <v>2032</v>
      </c>
    </row>
    <row r="801" customFormat="false" ht="12.8" hidden="true" customHeight="false" outlineLevel="0" collapsed="false">
      <c r="A801" s="9" t="n">
        <v>602</v>
      </c>
      <c r="B801" s="10" t="s">
        <v>2033</v>
      </c>
      <c r="C801" s="10" t="s">
        <v>2034</v>
      </c>
      <c r="D801" s="0" t="s">
        <v>2035</v>
      </c>
    </row>
    <row r="802" customFormat="false" ht="12.8" hidden="true" customHeight="false" outlineLevel="0" collapsed="false">
      <c r="A802" s="9" t="n">
        <v>603</v>
      </c>
      <c r="B802" s="10" t="s">
        <v>2036</v>
      </c>
      <c r="C802" s="10" t="s">
        <v>2037</v>
      </c>
      <c r="D802" s="0" t="s">
        <v>2038</v>
      </c>
    </row>
    <row r="803" customFormat="false" ht="12.8" hidden="true" customHeight="false" outlineLevel="0" collapsed="false">
      <c r="A803" s="9" t="n">
        <v>604</v>
      </c>
      <c r="B803" s="10" t="s">
        <v>2039</v>
      </c>
      <c r="C803" s="10" t="s">
        <v>2040</v>
      </c>
      <c r="D803" s="0" t="s">
        <v>2041</v>
      </c>
    </row>
    <row r="804" customFormat="false" ht="12.8" hidden="true" customHeight="false" outlineLevel="0" collapsed="false">
      <c r="A804" s="9" t="n">
        <v>605</v>
      </c>
      <c r="B804" s="10" t="s">
        <v>2042</v>
      </c>
      <c r="C804" s="10" t="s">
        <v>2043</v>
      </c>
      <c r="D804" s="0" t="s">
        <v>2044</v>
      </c>
    </row>
    <row r="805" customFormat="false" ht="12.8" hidden="true" customHeight="false" outlineLevel="0" collapsed="false">
      <c r="A805" s="9" t="n">
        <v>606</v>
      </c>
      <c r="B805" s="10" t="s">
        <v>2045</v>
      </c>
      <c r="C805" s="10" t="s">
        <v>2046</v>
      </c>
      <c r="D805" s="0" t="s">
        <v>2047</v>
      </c>
    </row>
    <row r="806" customFormat="false" ht="12.8" hidden="true" customHeight="false" outlineLevel="0" collapsed="false">
      <c r="A806" s="9" t="n">
        <v>607</v>
      </c>
      <c r="B806" s="10" t="s">
        <v>2048</v>
      </c>
      <c r="C806" s="10" t="s">
        <v>2049</v>
      </c>
      <c r="D806" s="0" t="s">
        <v>2050</v>
      </c>
    </row>
    <row r="807" customFormat="false" ht="12.8" hidden="true" customHeight="false" outlineLevel="0" collapsed="false">
      <c r="A807" s="9" t="n">
        <v>608</v>
      </c>
      <c r="B807" s="10" t="s">
        <v>2051</v>
      </c>
      <c r="C807" s="10" t="s">
        <v>2052</v>
      </c>
      <c r="D807" s="0" t="s">
        <v>2053</v>
      </c>
    </row>
    <row r="808" customFormat="false" ht="12.8" hidden="true" customHeight="false" outlineLevel="0" collapsed="false">
      <c r="A808" s="9" t="n">
        <v>609</v>
      </c>
      <c r="B808" s="10" t="s">
        <v>2054</v>
      </c>
      <c r="C808" s="10" t="s">
        <v>2055</v>
      </c>
      <c r="D808" s="0" t="s">
        <v>2056</v>
      </c>
    </row>
    <row r="809" customFormat="false" ht="12.8" hidden="true" customHeight="false" outlineLevel="0" collapsed="false">
      <c r="A809" s="9" t="n">
        <v>610</v>
      </c>
      <c r="B809" s="10" t="s">
        <v>2057</v>
      </c>
      <c r="C809" s="10" t="s">
        <v>2058</v>
      </c>
      <c r="D809" s="0" t="s">
        <v>2059</v>
      </c>
    </row>
    <row r="810" customFormat="false" ht="12.8" hidden="true" customHeight="false" outlineLevel="0" collapsed="false">
      <c r="A810" s="9" t="n">
        <v>611</v>
      </c>
      <c r="B810" s="10" t="s">
        <v>2060</v>
      </c>
      <c r="C810" s="10" t="s">
        <v>2061</v>
      </c>
      <c r="D810" s="0" t="s">
        <v>2062</v>
      </c>
    </row>
    <row r="811" customFormat="false" ht="12.8" hidden="true" customHeight="false" outlineLevel="0" collapsed="false">
      <c r="A811" s="9" t="n">
        <v>612</v>
      </c>
      <c r="B811" s="10" t="s">
        <v>2063</v>
      </c>
      <c r="C811" s="10" t="s">
        <v>2064</v>
      </c>
      <c r="D811" s="0" t="s">
        <v>2065</v>
      </c>
    </row>
    <row r="812" customFormat="false" ht="12.8" hidden="true" customHeight="false" outlineLevel="0" collapsed="false">
      <c r="A812" s="9" t="n">
        <v>613</v>
      </c>
      <c r="B812" s="10" t="s">
        <v>2066</v>
      </c>
      <c r="C812" s="10" t="s">
        <v>2067</v>
      </c>
      <c r="D812" s="0" t="s">
        <v>2068</v>
      </c>
    </row>
    <row r="813" customFormat="false" ht="12.8" hidden="true" customHeight="false" outlineLevel="0" collapsed="false">
      <c r="A813" s="9" t="n">
        <v>614</v>
      </c>
      <c r="B813" s="10" t="s">
        <v>2069</v>
      </c>
      <c r="C813" s="10" t="s">
        <v>2070</v>
      </c>
      <c r="D813" s="0" t="s">
        <v>2071</v>
      </c>
    </row>
    <row r="814" customFormat="false" ht="12.8" hidden="true" customHeight="false" outlineLevel="0" collapsed="false">
      <c r="A814" s="9" t="n">
        <v>615</v>
      </c>
      <c r="B814" s="10" t="s">
        <v>2072</v>
      </c>
      <c r="C814" s="10" t="s">
        <v>2073</v>
      </c>
      <c r="D814" s="0" t="s">
        <v>2074</v>
      </c>
    </row>
    <row r="815" customFormat="false" ht="12.8" hidden="true" customHeight="false" outlineLevel="0" collapsed="false">
      <c r="A815" s="9" t="n">
        <v>616</v>
      </c>
      <c r="B815" s="10" t="s">
        <v>2075</v>
      </c>
      <c r="C815" s="10" t="s">
        <v>2076</v>
      </c>
      <c r="D815" s="0" t="s">
        <v>2077</v>
      </c>
    </row>
    <row r="816" customFormat="false" ht="12.8" hidden="true" customHeight="false" outlineLevel="0" collapsed="false">
      <c r="A816" s="9" t="n">
        <v>617</v>
      </c>
      <c r="B816" s="10" t="s">
        <v>2078</v>
      </c>
      <c r="C816" s="10" t="s">
        <v>2079</v>
      </c>
      <c r="D816" s="0" t="s">
        <v>2080</v>
      </c>
    </row>
    <row r="817" customFormat="false" ht="12.8" hidden="true" customHeight="false" outlineLevel="0" collapsed="false">
      <c r="A817" s="9" t="n">
        <v>618</v>
      </c>
      <c r="B817" s="10" t="s">
        <v>2081</v>
      </c>
      <c r="C817" s="10" t="s">
        <v>2082</v>
      </c>
      <c r="D817" s="0" t="s">
        <v>2083</v>
      </c>
    </row>
    <row r="818" customFormat="false" ht="12.8" hidden="true" customHeight="false" outlineLevel="0" collapsed="false">
      <c r="A818" s="9" t="n">
        <v>619</v>
      </c>
      <c r="B818" s="10" t="s">
        <v>2084</v>
      </c>
      <c r="C818" s="10" t="s">
        <v>2085</v>
      </c>
      <c r="D818" s="0" t="s">
        <v>2086</v>
      </c>
    </row>
    <row r="819" customFormat="false" ht="12.8" hidden="true" customHeight="false" outlineLevel="0" collapsed="false">
      <c r="A819" s="9" t="n">
        <v>620</v>
      </c>
      <c r="B819" s="10" t="s">
        <v>2087</v>
      </c>
      <c r="C819" s="10" t="s">
        <v>2088</v>
      </c>
      <c r="D819" s="0" t="s">
        <v>2089</v>
      </c>
    </row>
    <row r="820" customFormat="false" ht="12.8" hidden="true" customHeight="false" outlineLevel="0" collapsed="false">
      <c r="A820" s="9" t="n">
        <v>621</v>
      </c>
      <c r="B820" s="10" t="s">
        <v>2090</v>
      </c>
      <c r="C820" s="10" t="s">
        <v>2091</v>
      </c>
      <c r="D820" s="0" t="s">
        <v>2092</v>
      </c>
    </row>
    <row r="821" customFormat="false" ht="12.8" hidden="true" customHeight="false" outlineLevel="0" collapsed="false">
      <c r="A821" s="9" t="n">
        <v>622</v>
      </c>
      <c r="B821" s="10" t="s">
        <v>2093</v>
      </c>
      <c r="C821" s="10" t="s">
        <v>2094</v>
      </c>
      <c r="D821" s="0" t="s">
        <v>2095</v>
      </c>
    </row>
    <row r="822" customFormat="false" ht="12.8" hidden="true" customHeight="false" outlineLevel="0" collapsed="false">
      <c r="A822" s="9" t="n">
        <v>623</v>
      </c>
      <c r="B822" s="10" t="s">
        <v>2096</v>
      </c>
      <c r="C822" s="10" t="s">
        <v>2097</v>
      </c>
      <c r="D822" s="0" t="s">
        <v>2098</v>
      </c>
    </row>
    <row r="823" customFormat="false" ht="12.8" hidden="true" customHeight="false" outlineLevel="0" collapsed="false">
      <c r="A823" s="9" t="n">
        <v>624</v>
      </c>
      <c r="B823" s="10" t="s">
        <v>2099</v>
      </c>
      <c r="C823" s="10" t="s">
        <v>2100</v>
      </c>
      <c r="D823" s="0" t="s">
        <v>2101</v>
      </c>
    </row>
    <row r="824" customFormat="false" ht="12.8" hidden="true" customHeight="false" outlineLevel="0" collapsed="false">
      <c r="A824" s="9" t="n">
        <v>625</v>
      </c>
      <c r="B824" s="10" t="s">
        <v>2102</v>
      </c>
      <c r="C824" s="10" t="s">
        <v>2103</v>
      </c>
      <c r="D824" s="0" t="s">
        <v>2104</v>
      </c>
    </row>
    <row r="825" customFormat="false" ht="12.8" hidden="true" customHeight="false" outlineLevel="0" collapsed="false">
      <c r="A825" s="9" t="n">
        <v>626</v>
      </c>
      <c r="B825" s="10" t="s">
        <v>2105</v>
      </c>
      <c r="C825" s="10" t="s">
        <v>2106</v>
      </c>
      <c r="D825" s="0" t="s">
        <v>2107</v>
      </c>
    </row>
    <row r="826" customFormat="false" ht="12.8" hidden="true" customHeight="false" outlineLevel="0" collapsed="false">
      <c r="A826" s="9" t="n">
        <v>627</v>
      </c>
      <c r="B826" s="10" t="s">
        <v>2108</v>
      </c>
      <c r="C826" s="10" t="s">
        <v>2109</v>
      </c>
      <c r="D826" s="0" t="s">
        <v>2110</v>
      </c>
    </row>
    <row r="827" customFormat="false" ht="12.8" hidden="true" customHeight="false" outlineLevel="0" collapsed="false">
      <c r="A827" s="9" t="n">
        <v>628</v>
      </c>
      <c r="B827" s="10" t="s">
        <v>2111</v>
      </c>
      <c r="C827" s="10" t="s">
        <v>2112</v>
      </c>
      <c r="D827" s="0" t="s">
        <v>2113</v>
      </c>
    </row>
    <row r="828" customFormat="false" ht="12.8" hidden="true" customHeight="false" outlineLevel="0" collapsed="false">
      <c r="A828" s="9" t="n">
        <v>629</v>
      </c>
      <c r="B828" s="10" t="s">
        <v>2114</v>
      </c>
      <c r="C828" s="10" t="s">
        <v>2115</v>
      </c>
      <c r="D828" s="0" t="s">
        <v>2116</v>
      </c>
    </row>
    <row r="829" customFormat="false" ht="12.8" hidden="true" customHeight="false" outlineLevel="0" collapsed="false"/>
    <row r="830" customFormat="false" ht="12.8" hidden="true" customHeight="false" outlineLevel="0" collapsed="false">
      <c r="A830" s="9" t="n">
        <v>630</v>
      </c>
      <c r="B830" s="10" t="s">
        <v>2117</v>
      </c>
      <c r="C830" s="10" t="s">
        <v>2118</v>
      </c>
      <c r="D830" s="0" t="s">
        <v>2119</v>
      </c>
    </row>
    <row r="831" customFormat="false" ht="12.8" hidden="true" customHeight="false" outlineLevel="0" collapsed="false">
      <c r="A831" s="9" t="n">
        <v>631</v>
      </c>
      <c r="B831" s="10" t="s">
        <v>2120</v>
      </c>
      <c r="C831" s="10" t="s">
        <v>2121</v>
      </c>
      <c r="D831" s="0" t="s">
        <v>2122</v>
      </c>
    </row>
    <row r="832" customFormat="false" ht="12.8" hidden="true" customHeight="false" outlineLevel="0" collapsed="false">
      <c r="A832" s="9" t="n">
        <v>632</v>
      </c>
      <c r="B832" s="10" t="s">
        <v>2123</v>
      </c>
      <c r="C832" s="10" t="s">
        <v>2124</v>
      </c>
      <c r="D832" s="0" t="s">
        <v>2125</v>
      </c>
    </row>
    <row r="833" customFormat="false" ht="12.8" hidden="true" customHeight="false" outlineLevel="0" collapsed="false">
      <c r="A833" s="9" t="n">
        <v>633</v>
      </c>
      <c r="B833" s="10" t="s">
        <v>2126</v>
      </c>
      <c r="C833" s="10" t="s">
        <v>2127</v>
      </c>
      <c r="D833" s="0" t="s">
        <v>2128</v>
      </c>
    </row>
    <row r="834" customFormat="false" ht="12.8" hidden="true" customHeight="false" outlineLevel="0" collapsed="false">
      <c r="A834" s="9" t="n">
        <v>634</v>
      </c>
      <c r="B834" s="10" t="s">
        <v>2129</v>
      </c>
      <c r="C834" s="10" t="s">
        <v>2130</v>
      </c>
      <c r="D834" s="0" t="s">
        <v>2131</v>
      </c>
    </row>
    <row r="835" customFormat="false" ht="12.8" hidden="true" customHeight="false" outlineLevel="0" collapsed="false">
      <c r="A835" s="9" t="n">
        <v>635</v>
      </c>
      <c r="B835" s="10" t="s">
        <v>2132</v>
      </c>
      <c r="C835" s="10" t="s">
        <v>2133</v>
      </c>
      <c r="D835" s="0" t="s">
        <v>2134</v>
      </c>
    </row>
    <row r="836" customFormat="false" ht="12.8" hidden="true" customHeight="false" outlineLevel="0" collapsed="false">
      <c r="A836" s="9" t="n">
        <v>636</v>
      </c>
      <c r="B836" s="10" t="s">
        <v>2135</v>
      </c>
      <c r="C836" s="10" t="s">
        <v>2136</v>
      </c>
      <c r="D836" s="0" t="s">
        <v>2137</v>
      </c>
    </row>
    <row r="837" customFormat="false" ht="12.8" hidden="true" customHeight="false" outlineLevel="0" collapsed="false">
      <c r="A837" s="9" t="n">
        <v>637</v>
      </c>
      <c r="B837" s="10" t="s">
        <v>2138</v>
      </c>
      <c r="C837" s="10" t="s">
        <v>2139</v>
      </c>
      <c r="D837" s="0" t="s">
        <v>2140</v>
      </c>
    </row>
    <row r="838" customFormat="false" ht="12.8" hidden="true" customHeight="false" outlineLevel="0" collapsed="false">
      <c r="A838" s="9" t="n">
        <v>638</v>
      </c>
      <c r="B838" s="10" t="s">
        <v>2141</v>
      </c>
      <c r="C838" s="10" t="s">
        <v>2142</v>
      </c>
      <c r="D838" s="0" t="s">
        <v>2143</v>
      </c>
    </row>
    <row r="839" customFormat="false" ht="12.8" hidden="true" customHeight="false" outlineLevel="0" collapsed="false">
      <c r="A839" s="9" t="n">
        <v>639</v>
      </c>
      <c r="B839" s="10" t="s">
        <v>2144</v>
      </c>
      <c r="C839" s="10" t="s">
        <v>2145</v>
      </c>
      <c r="D839" s="0" t="s">
        <v>2146</v>
      </c>
    </row>
    <row r="840" customFormat="false" ht="12.8" hidden="true" customHeight="false" outlineLevel="0" collapsed="false">
      <c r="A840" s="9" t="n">
        <v>640</v>
      </c>
      <c r="B840" s="10" t="s">
        <v>2147</v>
      </c>
      <c r="C840" s="10" t="s">
        <v>2148</v>
      </c>
      <c r="D840" s="0" t="s">
        <v>2149</v>
      </c>
    </row>
    <row r="841" customFormat="false" ht="12.8" hidden="true" customHeight="false" outlineLevel="0" collapsed="false">
      <c r="A841" s="9" t="n">
        <v>641</v>
      </c>
      <c r="B841" s="10" t="s">
        <v>2150</v>
      </c>
      <c r="C841" s="10" t="s">
        <v>2151</v>
      </c>
      <c r="D841" s="0" t="s">
        <v>2152</v>
      </c>
    </row>
    <row r="842" customFormat="false" ht="12.8" hidden="true" customHeight="false" outlineLevel="0" collapsed="false">
      <c r="A842" s="9" t="n">
        <v>642</v>
      </c>
      <c r="B842" s="10" t="s">
        <v>2153</v>
      </c>
      <c r="C842" s="10" t="s">
        <v>2154</v>
      </c>
      <c r="D842" s="0" t="s">
        <v>2155</v>
      </c>
    </row>
    <row r="843" customFormat="false" ht="12.8" hidden="true" customHeight="false" outlineLevel="0" collapsed="false">
      <c r="A843" s="9" t="n">
        <v>643</v>
      </c>
      <c r="B843" s="10" t="s">
        <v>2156</v>
      </c>
      <c r="C843" s="10" t="s">
        <v>2157</v>
      </c>
      <c r="D843" s="0" t="s">
        <v>2158</v>
      </c>
    </row>
    <row r="844" customFormat="false" ht="12.8" hidden="true" customHeight="false" outlineLevel="0" collapsed="false">
      <c r="A844" s="9" t="n">
        <v>644</v>
      </c>
      <c r="B844" s="10" t="s">
        <v>2159</v>
      </c>
      <c r="C844" s="10" t="s">
        <v>2160</v>
      </c>
      <c r="D844" s="0" t="s">
        <v>2161</v>
      </c>
    </row>
    <row r="845" customFormat="false" ht="12.8" hidden="true" customHeight="false" outlineLevel="0" collapsed="false">
      <c r="A845" s="9" t="n">
        <v>645</v>
      </c>
      <c r="B845" s="10" t="s">
        <v>2162</v>
      </c>
      <c r="C845" s="10" t="s">
        <v>2163</v>
      </c>
      <c r="D845" s="0" t="s">
        <v>2164</v>
      </c>
    </row>
    <row r="846" customFormat="false" ht="12.8" hidden="true" customHeight="false" outlineLevel="0" collapsed="false">
      <c r="A846" s="9" t="n">
        <v>646</v>
      </c>
      <c r="B846" s="10" t="s">
        <v>2165</v>
      </c>
      <c r="C846" s="10" t="s">
        <v>2166</v>
      </c>
      <c r="D846" s="0" t="s">
        <v>2167</v>
      </c>
    </row>
    <row r="847" customFormat="false" ht="12.8" hidden="true" customHeight="false" outlineLevel="0" collapsed="false">
      <c r="A847" s="9" t="n">
        <v>647</v>
      </c>
      <c r="B847" s="10" t="s">
        <v>2168</v>
      </c>
      <c r="C847" s="10" t="s">
        <v>2169</v>
      </c>
      <c r="D847" s="0" t="s">
        <v>2170</v>
      </c>
    </row>
    <row r="848" customFormat="false" ht="12.8" hidden="true" customHeight="false" outlineLevel="0" collapsed="false">
      <c r="A848" s="9" t="n">
        <v>648</v>
      </c>
      <c r="B848" s="10" t="s">
        <v>2171</v>
      </c>
      <c r="C848" s="10" t="s">
        <v>2172</v>
      </c>
      <c r="D848" s="0" t="s">
        <v>2173</v>
      </c>
    </row>
    <row r="849" customFormat="false" ht="12.8" hidden="true" customHeight="false" outlineLevel="0" collapsed="false">
      <c r="A849" s="9" t="n">
        <v>649</v>
      </c>
      <c r="B849" s="10" t="s">
        <v>2174</v>
      </c>
      <c r="C849" s="10" t="s">
        <v>2175</v>
      </c>
      <c r="D849" s="0" t="s">
        <v>2176</v>
      </c>
    </row>
    <row r="850" customFormat="false" ht="12.8" hidden="true" customHeight="false" outlineLevel="0" collapsed="false">
      <c r="A850" s="9" t="n">
        <v>650</v>
      </c>
      <c r="B850" s="10" t="s">
        <v>2177</v>
      </c>
      <c r="C850" s="10" t="s">
        <v>2178</v>
      </c>
      <c r="D850" s="0" t="s">
        <v>2179</v>
      </c>
    </row>
    <row r="851" customFormat="false" ht="12.8" hidden="true" customHeight="false" outlineLevel="0" collapsed="false">
      <c r="A851" s="9" t="n">
        <v>651</v>
      </c>
      <c r="B851" s="10" t="s">
        <v>2180</v>
      </c>
      <c r="C851" s="10" t="s">
        <v>2181</v>
      </c>
      <c r="D851" s="0" t="s">
        <v>2182</v>
      </c>
    </row>
    <row r="852" customFormat="false" ht="12.8" hidden="true" customHeight="false" outlineLevel="0" collapsed="false">
      <c r="A852" s="9" t="n">
        <v>652</v>
      </c>
      <c r="B852" s="10" t="s">
        <v>2183</v>
      </c>
      <c r="C852" s="10" t="s">
        <v>2184</v>
      </c>
      <c r="D852" s="0" t="s">
        <v>2185</v>
      </c>
    </row>
    <row r="853" customFormat="false" ht="12.8" hidden="true" customHeight="false" outlineLevel="0" collapsed="false">
      <c r="A853" s="9" t="n">
        <v>653</v>
      </c>
      <c r="B853" s="10" t="s">
        <v>2186</v>
      </c>
      <c r="C853" s="10" t="s">
        <v>2187</v>
      </c>
      <c r="D853" s="0" t="s">
        <v>2188</v>
      </c>
    </row>
    <row r="854" customFormat="false" ht="12.8" hidden="true" customHeight="false" outlineLevel="0" collapsed="false">
      <c r="A854" s="9" t="n">
        <v>654</v>
      </c>
      <c r="B854" s="10" t="s">
        <v>2189</v>
      </c>
      <c r="C854" s="10" t="s">
        <v>2190</v>
      </c>
      <c r="D854" s="0" t="s">
        <v>2191</v>
      </c>
    </row>
    <row r="855" customFormat="false" ht="12.8" hidden="true" customHeight="false" outlineLevel="0" collapsed="false">
      <c r="A855" s="9" t="n">
        <v>655</v>
      </c>
      <c r="B855" s="10" t="s">
        <v>2192</v>
      </c>
      <c r="C855" s="10" t="s">
        <v>2193</v>
      </c>
      <c r="D855" s="0" t="s">
        <v>2194</v>
      </c>
    </row>
    <row r="856" customFormat="false" ht="12.8" hidden="true" customHeight="false" outlineLevel="0" collapsed="false">
      <c r="A856" s="9" t="n">
        <v>656</v>
      </c>
      <c r="B856" s="10" t="s">
        <v>2195</v>
      </c>
      <c r="C856" s="10" t="s">
        <v>2196</v>
      </c>
      <c r="D856" s="0" t="s">
        <v>2197</v>
      </c>
    </row>
    <row r="857" customFormat="false" ht="12.8" hidden="true" customHeight="false" outlineLevel="0" collapsed="false">
      <c r="A857" s="9" t="n">
        <v>657</v>
      </c>
      <c r="B857" s="10" t="s">
        <v>2198</v>
      </c>
      <c r="C857" s="10" t="s">
        <v>2199</v>
      </c>
      <c r="D857" s="0" t="s">
        <v>2200</v>
      </c>
    </row>
    <row r="858" customFormat="false" ht="12.8" hidden="true" customHeight="false" outlineLevel="0" collapsed="false">
      <c r="A858" s="9" t="n">
        <v>658</v>
      </c>
      <c r="B858" s="10" t="s">
        <v>2201</v>
      </c>
      <c r="C858" s="10" t="s">
        <v>2202</v>
      </c>
      <c r="D858" s="0" t="s">
        <v>2203</v>
      </c>
    </row>
    <row r="859" customFormat="false" ht="12.8" hidden="true" customHeight="false" outlineLevel="0" collapsed="false">
      <c r="A859" s="9" t="n">
        <v>659</v>
      </c>
      <c r="B859" s="10" t="s">
        <v>2204</v>
      </c>
      <c r="C859" s="10" t="s">
        <v>2205</v>
      </c>
      <c r="D859" s="0" t="s">
        <v>2206</v>
      </c>
    </row>
    <row r="860" customFormat="false" ht="12.8" hidden="true" customHeight="false" outlineLevel="0" collapsed="false">
      <c r="A860" s="9" t="n">
        <v>660</v>
      </c>
      <c r="B860" s="10" t="s">
        <v>2207</v>
      </c>
      <c r="C860" s="10" t="s">
        <v>2208</v>
      </c>
      <c r="D860" s="0" t="s">
        <v>2209</v>
      </c>
    </row>
    <row r="861" customFormat="false" ht="12.8" hidden="true" customHeight="false" outlineLevel="0" collapsed="false">
      <c r="A861" s="9" t="n">
        <v>661</v>
      </c>
      <c r="B861" s="10" t="s">
        <v>2210</v>
      </c>
      <c r="C861" s="10" t="s">
        <v>2211</v>
      </c>
      <c r="D861" s="0" t="s">
        <v>2212</v>
      </c>
    </row>
    <row r="862" customFormat="false" ht="12.8" hidden="true" customHeight="false" outlineLevel="0" collapsed="false">
      <c r="A862" s="9" t="n">
        <v>662</v>
      </c>
      <c r="B862" s="10" t="s">
        <v>2213</v>
      </c>
      <c r="C862" s="10" t="s">
        <v>2214</v>
      </c>
      <c r="D862" s="0" t="s">
        <v>2215</v>
      </c>
    </row>
    <row r="863" customFormat="false" ht="12.8" hidden="true" customHeight="false" outlineLevel="0" collapsed="false">
      <c r="A863" s="9" t="n">
        <v>663</v>
      </c>
      <c r="B863" s="10" t="s">
        <v>2216</v>
      </c>
      <c r="C863" s="10" t="s">
        <v>2217</v>
      </c>
      <c r="D863" s="0" t="s">
        <v>2218</v>
      </c>
    </row>
    <row r="864" customFormat="false" ht="12.8" hidden="true" customHeight="false" outlineLevel="0" collapsed="false">
      <c r="A864" s="9" t="n">
        <v>664</v>
      </c>
      <c r="B864" s="10" t="s">
        <v>2219</v>
      </c>
      <c r="C864" s="10" t="s">
        <v>2220</v>
      </c>
      <c r="D864" s="0" t="s">
        <v>2221</v>
      </c>
    </row>
    <row r="865" customFormat="false" ht="12.8" hidden="true" customHeight="false" outlineLevel="0" collapsed="false">
      <c r="A865" s="9" t="n">
        <v>665</v>
      </c>
      <c r="B865" s="10" t="s">
        <v>2222</v>
      </c>
      <c r="C865" s="10" t="s">
        <v>2223</v>
      </c>
      <c r="D865" s="0" t="s">
        <v>2224</v>
      </c>
    </row>
    <row r="866" customFormat="false" ht="12.8" hidden="true" customHeight="false" outlineLevel="0" collapsed="false">
      <c r="A866" s="9" t="n">
        <v>666</v>
      </c>
      <c r="B866" s="10" t="s">
        <v>2225</v>
      </c>
      <c r="C866" s="10" t="s">
        <v>2226</v>
      </c>
      <c r="D866" s="0" t="s">
        <v>2227</v>
      </c>
    </row>
    <row r="867" customFormat="false" ht="12.8" hidden="true" customHeight="false" outlineLevel="0" collapsed="false">
      <c r="A867" s="9" t="n">
        <v>667</v>
      </c>
      <c r="B867" s="10" t="s">
        <v>2228</v>
      </c>
      <c r="C867" s="10" t="s">
        <v>2229</v>
      </c>
      <c r="D867" s="0" t="s">
        <v>2230</v>
      </c>
    </row>
    <row r="868" customFormat="false" ht="12.8" hidden="true" customHeight="false" outlineLevel="0" collapsed="false">
      <c r="A868" s="9" t="n">
        <v>668</v>
      </c>
      <c r="B868" s="10" t="s">
        <v>2231</v>
      </c>
      <c r="C868" s="10" t="s">
        <v>2232</v>
      </c>
      <c r="D868" s="0" t="s">
        <v>2233</v>
      </c>
    </row>
    <row r="869" customFormat="false" ht="12.8" hidden="true" customHeight="false" outlineLevel="0" collapsed="false">
      <c r="A869" s="9" t="n">
        <v>669</v>
      </c>
      <c r="B869" s="10" t="s">
        <v>2234</v>
      </c>
      <c r="C869" s="10" t="s">
        <v>2235</v>
      </c>
      <c r="D869" s="0" t="s">
        <v>2236</v>
      </c>
    </row>
    <row r="870" customFormat="false" ht="12.8" hidden="true" customHeight="false" outlineLevel="0" collapsed="false">
      <c r="A870" s="9" t="n">
        <v>670</v>
      </c>
      <c r="B870" s="10" t="s">
        <v>2237</v>
      </c>
      <c r="C870" s="10" t="s">
        <v>2238</v>
      </c>
      <c r="D870" s="0" t="s">
        <v>2239</v>
      </c>
    </row>
    <row r="871" customFormat="false" ht="12.8" hidden="true" customHeight="false" outlineLevel="0" collapsed="false">
      <c r="A871" s="9" t="n">
        <v>671</v>
      </c>
      <c r="B871" s="10" t="s">
        <v>2240</v>
      </c>
      <c r="C871" s="10" t="s">
        <v>2241</v>
      </c>
      <c r="D871" s="0" t="s">
        <v>2242</v>
      </c>
    </row>
    <row r="872" customFormat="false" ht="12.8" hidden="true" customHeight="false" outlineLevel="0" collapsed="false">
      <c r="A872" s="9" t="n">
        <v>672</v>
      </c>
      <c r="B872" s="10" t="s">
        <v>2243</v>
      </c>
      <c r="C872" s="10" t="s">
        <v>2244</v>
      </c>
      <c r="D872" s="0" t="s">
        <v>2245</v>
      </c>
    </row>
    <row r="873" customFormat="false" ht="12.8" hidden="true" customHeight="false" outlineLevel="0" collapsed="false">
      <c r="A873" s="9" t="n">
        <v>673</v>
      </c>
      <c r="B873" s="10" t="s">
        <v>2246</v>
      </c>
      <c r="C873" s="10" t="s">
        <v>2247</v>
      </c>
      <c r="D873" s="0" t="s">
        <v>2248</v>
      </c>
    </row>
    <row r="874" customFormat="false" ht="12.8" hidden="true" customHeight="false" outlineLevel="0" collapsed="false">
      <c r="A874" s="9" t="n">
        <v>674</v>
      </c>
      <c r="B874" s="10" t="s">
        <v>2249</v>
      </c>
      <c r="C874" s="10" t="s">
        <v>2250</v>
      </c>
      <c r="D874" s="0" t="s">
        <v>2251</v>
      </c>
    </row>
    <row r="875" customFormat="false" ht="12.8" hidden="true" customHeight="false" outlineLevel="0" collapsed="false">
      <c r="A875" s="9" t="n">
        <v>675</v>
      </c>
      <c r="B875" s="10" t="s">
        <v>2252</v>
      </c>
      <c r="C875" s="10" t="s">
        <v>2253</v>
      </c>
      <c r="D875" s="0" t="s">
        <v>2254</v>
      </c>
    </row>
    <row r="876" customFormat="false" ht="12.8" hidden="true" customHeight="false" outlineLevel="0" collapsed="false">
      <c r="A876" s="9" t="n">
        <v>676</v>
      </c>
      <c r="B876" s="10" t="s">
        <v>2255</v>
      </c>
      <c r="C876" s="10" t="s">
        <v>2256</v>
      </c>
      <c r="D876" s="0" t="s">
        <v>2257</v>
      </c>
    </row>
    <row r="877" customFormat="false" ht="12.8" hidden="true" customHeight="false" outlineLevel="0" collapsed="false">
      <c r="A877" s="9" t="n">
        <v>677</v>
      </c>
      <c r="B877" s="10" t="s">
        <v>2258</v>
      </c>
      <c r="C877" s="10" t="s">
        <v>2259</v>
      </c>
      <c r="D877" s="0" t="s">
        <v>2260</v>
      </c>
    </row>
    <row r="878" customFormat="false" ht="12.8" hidden="true" customHeight="false" outlineLevel="0" collapsed="false">
      <c r="A878" s="9" t="n">
        <v>678</v>
      </c>
      <c r="B878" s="10" t="s">
        <v>2261</v>
      </c>
      <c r="C878" s="10" t="s">
        <v>2262</v>
      </c>
      <c r="D878" s="0" t="s">
        <v>2263</v>
      </c>
    </row>
    <row r="879" customFormat="false" ht="12.8" hidden="true" customHeight="false" outlineLevel="0" collapsed="false">
      <c r="A879" s="9" t="n">
        <v>679</v>
      </c>
      <c r="B879" s="10" t="s">
        <v>2264</v>
      </c>
      <c r="C879" s="10" t="s">
        <v>2265</v>
      </c>
      <c r="D879" s="0" t="s">
        <v>2266</v>
      </c>
    </row>
    <row r="880" customFormat="false" ht="12.8" hidden="true" customHeight="false" outlineLevel="0" collapsed="false"/>
    <row r="881" customFormat="false" ht="12.8" hidden="true" customHeight="false" outlineLevel="0" collapsed="false">
      <c r="A881" s="9" t="n">
        <v>680</v>
      </c>
      <c r="B881" s="10" t="s">
        <v>2267</v>
      </c>
      <c r="C881" s="10" t="s">
        <v>2268</v>
      </c>
      <c r="D881" s="0" t="s">
        <v>2269</v>
      </c>
    </row>
    <row r="882" customFormat="false" ht="12.8" hidden="true" customHeight="false" outlineLevel="0" collapsed="false">
      <c r="A882" s="9" t="n">
        <v>681</v>
      </c>
      <c r="B882" s="10" t="s">
        <v>2270</v>
      </c>
      <c r="C882" s="10" t="s">
        <v>2271</v>
      </c>
      <c r="D882" s="0" t="s">
        <v>2272</v>
      </c>
    </row>
    <row r="883" customFormat="false" ht="12.8" hidden="true" customHeight="false" outlineLevel="0" collapsed="false">
      <c r="A883" s="9" t="n">
        <v>682</v>
      </c>
      <c r="B883" s="10" t="s">
        <v>2273</v>
      </c>
      <c r="C883" s="10" t="s">
        <v>2274</v>
      </c>
      <c r="D883" s="0" t="s">
        <v>2275</v>
      </c>
    </row>
    <row r="884" customFormat="false" ht="12.8" hidden="true" customHeight="false" outlineLevel="0" collapsed="false">
      <c r="A884" s="9" t="n">
        <v>683</v>
      </c>
      <c r="B884" s="10" t="s">
        <v>2276</v>
      </c>
      <c r="C884" s="10" t="s">
        <v>2277</v>
      </c>
      <c r="D884" s="0" t="s">
        <v>2278</v>
      </c>
    </row>
    <row r="885" customFormat="false" ht="12.8" hidden="true" customHeight="false" outlineLevel="0" collapsed="false">
      <c r="A885" s="9" t="n">
        <v>684</v>
      </c>
      <c r="B885" s="10" t="s">
        <v>2279</v>
      </c>
      <c r="C885" s="10" t="s">
        <v>2280</v>
      </c>
      <c r="D885" s="0" t="s">
        <v>2281</v>
      </c>
    </row>
    <row r="886" customFormat="false" ht="12.8" hidden="true" customHeight="false" outlineLevel="0" collapsed="false">
      <c r="A886" s="9" t="n">
        <v>685</v>
      </c>
      <c r="B886" s="10" t="s">
        <v>2282</v>
      </c>
      <c r="C886" s="10" t="s">
        <v>2283</v>
      </c>
      <c r="D886" s="0" t="s">
        <v>2284</v>
      </c>
    </row>
    <row r="887" customFormat="false" ht="12.8" hidden="true" customHeight="false" outlineLevel="0" collapsed="false">
      <c r="A887" s="9" t="n">
        <v>686</v>
      </c>
      <c r="B887" s="10" t="s">
        <v>2285</v>
      </c>
      <c r="C887" s="10" t="s">
        <v>2286</v>
      </c>
      <c r="D887" s="0" t="s">
        <v>2287</v>
      </c>
    </row>
    <row r="888" customFormat="false" ht="12.8" hidden="true" customHeight="false" outlineLevel="0" collapsed="false">
      <c r="A888" s="9" t="n">
        <v>687</v>
      </c>
      <c r="B888" s="10" t="s">
        <v>2288</v>
      </c>
      <c r="C888" s="10" t="s">
        <v>2289</v>
      </c>
      <c r="D888" s="0" t="s">
        <v>2290</v>
      </c>
    </row>
    <row r="889" customFormat="false" ht="12.8" hidden="true" customHeight="false" outlineLevel="0" collapsed="false">
      <c r="A889" s="9" t="n">
        <v>688</v>
      </c>
      <c r="B889" s="10" t="s">
        <v>2291</v>
      </c>
      <c r="C889" s="10" t="s">
        <v>2292</v>
      </c>
      <c r="D889" s="0" t="s">
        <v>2293</v>
      </c>
    </row>
    <row r="890" customFormat="false" ht="12.8" hidden="true" customHeight="false" outlineLevel="0" collapsed="false">
      <c r="A890" s="9" t="n">
        <v>689</v>
      </c>
      <c r="B890" s="10" t="s">
        <v>2294</v>
      </c>
      <c r="C890" s="10" t="s">
        <v>2295</v>
      </c>
      <c r="D890" s="0" t="s">
        <v>2296</v>
      </c>
    </row>
    <row r="891" customFormat="false" ht="12.8" hidden="true" customHeight="false" outlineLevel="0" collapsed="false">
      <c r="A891" s="9" t="n">
        <v>690</v>
      </c>
      <c r="B891" s="10" t="s">
        <v>2297</v>
      </c>
      <c r="C891" s="10" t="s">
        <v>2298</v>
      </c>
      <c r="D891" s="0" t="s">
        <v>2299</v>
      </c>
    </row>
    <row r="892" customFormat="false" ht="12.8" hidden="true" customHeight="false" outlineLevel="0" collapsed="false">
      <c r="A892" s="9" t="n">
        <v>691</v>
      </c>
      <c r="B892" s="10" t="s">
        <v>2300</v>
      </c>
      <c r="C892" s="10" t="s">
        <v>2301</v>
      </c>
      <c r="D892" s="0" t="s">
        <v>2302</v>
      </c>
    </row>
    <row r="893" customFormat="false" ht="12.8" hidden="true" customHeight="false" outlineLevel="0" collapsed="false">
      <c r="A893" s="9" t="n">
        <v>692</v>
      </c>
      <c r="B893" s="10" t="s">
        <v>2303</v>
      </c>
      <c r="C893" s="10" t="s">
        <v>2304</v>
      </c>
      <c r="D893" s="0" t="s">
        <v>2305</v>
      </c>
    </row>
    <row r="894" customFormat="false" ht="12.8" hidden="true" customHeight="false" outlineLevel="0" collapsed="false">
      <c r="A894" s="9" t="n">
        <v>693</v>
      </c>
      <c r="B894" s="10" t="s">
        <v>2306</v>
      </c>
      <c r="C894" s="10" t="s">
        <v>2307</v>
      </c>
      <c r="D894" s="0" t="s">
        <v>2308</v>
      </c>
    </row>
    <row r="895" customFormat="false" ht="12.8" hidden="true" customHeight="false" outlineLevel="0" collapsed="false">
      <c r="A895" s="9" t="n">
        <v>694</v>
      </c>
      <c r="B895" s="10" t="s">
        <v>2309</v>
      </c>
      <c r="C895" s="10" t="s">
        <v>2310</v>
      </c>
      <c r="D895" s="0" t="s">
        <v>2311</v>
      </c>
    </row>
    <row r="896" customFormat="false" ht="12.8" hidden="true" customHeight="false" outlineLevel="0" collapsed="false">
      <c r="A896" s="9" t="n">
        <v>695</v>
      </c>
      <c r="B896" s="10" t="s">
        <v>2312</v>
      </c>
      <c r="C896" s="10" t="s">
        <v>2313</v>
      </c>
      <c r="D896" s="0" t="s">
        <v>2314</v>
      </c>
    </row>
    <row r="897" customFormat="false" ht="12.8" hidden="true" customHeight="false" outlineLevel="0" collapsed="false">
      <c r="A897" s="9" t="n">
        <v>696</v>
      </c>
      <c r="B897" s="10" t="s">
        <v>2315</v>
      </c>
      <c r="C897" s="10" t="s">
        <v>2316</v>
      </c>
      <c r="D897" s="0" t="s">
        <v>2317</v>
      </c>
    </row>
    <row r="898" customFormat="false" ht="12.8" hidden="true" customHeight="false" outlineLevel="0" collapsed="false">
      <c r="A898" s="9" t="n">
        <v>697</v>
      </c>
      <c r="B898" s="10" t="s">
        <v>2318</v>
      </c>
      <c r="C898" s="10" t="s">
        <v>2319</v>
      </c>
      <c r="D898" s="0" t="s">
        <v>2320</v>
      </c>
    </row>
    <row r="899" customFormat="false" ht="12.8" hidden="true" customHeight="false" outlineLevel="0" collapsed="false">
      <c r="A899" s="9" t="n">
        <v>698</v>
      </c>
      <c r="B899" s="10" t="s">
        <v>2321</v>
      </c>
      <c r="C899" s="10" t="s">
        <v>2322</v>
      </c>
      <c r="D899" s="0" t="s">
        <v>2323</v>
      </c>
    </row>
    <row r="900" customFormat="false" ht="12.8" hidden="true" customHeight="false" outlineLevel="0" collapsed="false">
      <c r="A900" s="9" t="n">
        <v>699</v>
      </c>
      <c r="B900" s="10" t="s">
        <v>2324</v>
      </c>
      <c r="C900" s="10" t="s">
        <v>2325</v>
      </c>
      <c r="D900" s="0" t="s">
        <v>2326</v>
      </c>
    </row>
    <row r="901" customFormat="false" ht="12.8" hidden="true" customHeight="false" outlineLevel="0" collapsed="false">
      <c r="A901" s="9" t="n">
        <v>700</v>
      </c>
      <c r="B901" s="10" t="s">
        <v>2327</v>
      </c>
      <c r="C901" s="10" t="s">
        <v>2328</v>
      </c>
      <c r="D901" s="0" t="s">
        <v>2329</v>
      </c>
    </row>
    <row r="902" customFormat="false" ht="12.8" hidden="true" customHeight="false" outlineLevel="0" collapsed="false">
      <c r="A902" s="9" t="n">
        <v>701</v>
      </c>
      <c r="B902" s="10" t="s">
        <v>2330</v>
      </c>
      <c r="C902" s="10" t="s">
        <v>2331</v>
      </c>
      <c r="D902" s="0" t="s">
        <v>2332</v>
      </c>
    </row>
    <row r="903" customFormat="false" ht="12.8" hidden="true" customHeight="false" outlineLevel="0" collapsed="false">
      <c r="A903" s="9" t="n">
        <v>702</v>
      </c>
      <c r="B903" s="10" t="s">
        <v>2333</v>
      </c>
      <c r="C903" s="10" t="s">
        <v>2334</v>
      </c>
      <c r="D903" s="0" t="s">
        <v>2335</v>
      </c>
    </row>
    <row r="904" customFormat="false" ht="12.8" hidden="true" customHeight="false" outlineLevel="0" collapsed="false">
      <c r="A904" s="9" t="n">
        <v>703</v>
      </c>
      <c r="B904" s="10" t="s">
        <v>2336</v>
      </c>
      <c r="C904" s="10" t="s">
        <v>2337</v>
      </c>
      <c r="D904" s="0" t="s">
        <v>2338</v>
      </c>
    </row>
    <row r="905" customFormat="false" ht="12.8" hidden="true" customHeight="false" outlineLevel="0" collapsed="false">
      <c r="A905" s="9" t="n">
        <v>704</v>
      </c>
      <c r="B905" s="10" t="s">
        <v>2339</v>
      </c>
      <c r="C905" s="10" t="s">
        <v>2340</v>
      </c>
      <c r="D905" s="0" t="s">
        <v>2341</v>
      </c>
    </row>
    <row r="906" customFormat="false" ht="12.8" hidden="true" customHeight="false" outlineLevel="0" collapsed="false">
      <c r="A906" s="9" t="n">
        <v>705</v>
      </c>
      <c r="B906" s="10" t="s">
        <v>2342</v>
      </c>
      <c r="C906" s="10" t="s">
        <v>2343</v>
      </c>
      <c r="D906" s="0" t="s">
        <v>2344</v>
      </c>
    </row>
    <row r="907" customFormat="false" ht="12.8" hidden="true" customHeight="false" outlineLevel="0" collapsed="false">
      <c r="A907" s="9" t="n">
        <v>706</v>
      </c>
      <c r="B907" s="10" t="s">
        <v>2345</v>
      </c>
      <c r="C907" s="10" t="s">
        <v>2346</v>
      </c>
      <c r="D907" s="0" t="s">
        <v>2347</v>
      </c>
    </row>
    <row r="908" customFormat="false" ht="12.8" hidden="true" customHeight="false" outlineLevel="0" collapsed="false">
      <c r="A908" s="9" t="n">
        <v>707</v>
      </c>
      <c r="B908" s="10" t="s">
        <v>2348</v>
      </c>
      <c r="C908" s="10" t="s">
        <v>2349</v>
      </c>
      <c r="D908" s="0" t="s">
        <v>2350</v>
      </c>
    </row>
    <row r="909" customFormat="false" ht="12.8" hidden="true" customHeight="false" outlineLevel="0" collapsed="false">
      <c r="A909" s="9" t="n">
        <v>708</v>
      </c>
      <c r="B909" s="10" t="s">
        <v>2351</v>
      </c>
      <c r="C909" s="10" t="s">
        <v>2352</v>
      </c>
      <c r="D909" s="0" t="s">
        <v>2353</v>
      </c>
    </row>
    <row r="910" customFormat="false" ht="12.8" hidden="true" customHeight="false" outlineLevel="0" collapsed="false">
      <c r="A910" s="9" t="n">
        <v>709</v>
      </c>
      <c r="B910" s="10" t="s">
        <v>2354</v>
      </c>
      <c r="C910" s="10" t="s">
        <v>2355</v>
      </c>
      <c r="D910" s="0" t="s">
        <v>2356</v>
      </c>
    </row>
    <row r="911" customFormat="false" ht="12.8" hidden="true" customHeight="false" outlineLevel="0" collapsed="false">
      <c r="A911" s="9" t="n">
        <v>710</v>
      </c>
      <c r="B911" s="10" t="s">
        <v>2357</v>
      </c>
      <c r="C911" s="10" t="s">
        <v>2358</v>
      </c>
      <c r="D911" s="0" t="s">
        <v>2359</v>
      </c>
    </row>
    <row r="912" customFormat="false" ht="12.8" hidden="true" customHeight="false" outlineLevel="0" collapsed="false">
      <c r="A912" s="9" t="n">
        <v>711</v>
      </c>
      <c r="B912" s="10" t="s">
        <v>2360</v>
      </c>
      <c r="C912" s="10" t="s">
        <v>2361</v>
      </c>
      <c r="D912" s="0" t="s">
        <v>2362</v>
      </c>
    </row>
    <row r="913" customFormat="false" ht="12.8" hidden="true" customHeight="false" outlineLevel="0" collapsed="false">
      <c r="A913" s="9" t="n">
        <v>712</v>
      </c>
      <c r="B913" s="10" t="s">
        <v>2363</v>
      </c>
      <c r="C913" s="10" t="s">
        <v>2364</v>
      </c>
      <c r="D913" s="0" t="s">
        <v>2365</v>
      </c>
    </row>
    <row r="914" customFormat="false" ht="12.8" hidden="true" customHeight="false" outlineLevel="0" collapsed="false">
      <c r="A914" s="9" t="n">
        <v>713</v>
      </c>
      <c r="B914" s="10" t="s">
        <v>2366</v>
      </c>
      <c r="C914" s="10" t="s">
        <v>2367</v>
      </c>
      <c r="D914" s="0" t="s">
        <v>2368</v>
      </c>
    </row>
    <row r="915" customFormat="false" ht="12.8" hidden="true" customHeight="false" outlineLevel="0" collapsed="false">
      <c r="A915" s="9" t="n">
        <v>714</v>
      </c>
      <c r="B915" s="10" t="s">
        <v>2369</v>
      </c>
      <c r="C915" s="10" t="s">
        <v>2370</v>
      </c>
      <c r="D915" s="0" t="s">
        <v>2371</v>
      </c>
    </row>
    <row r="916" customFormat="false" ht="12.8" hidden="true" customHeight="false" outlineLevel="0" collapsed="false">
      <c r="A916" s="9" t="n">
        <v>715</v>
      </c>
      <c r="B916" s="10" t="s">
        <v>2372</v>
      </c>
      <c r="C916" s="10" t="s">
        <v>2373</v>
      </c>
      <c r="D916" s="0" t="s">
        <v>2374</v>
      </c>
    </row>
    <row r="917" customFormat="false" ht="12.8" hidden="true" customHeight="false" outlineLevel="0" collapsed="false">
      <c r="A917" s="9" t="n">
        <v>716</v>
      </c>
      <c r="B917" s="10" t="s">
        <v>2375</v>
      </c>
      <c r="C917" s="10" t="s">
        <v>2376</v>
      </c>
      <c r="D917" s="0" t="s">
        <v>2377</v>
      </c>
    </row>
    <row r="918" customFormat="false" ht="12.8" hidden="true" customHeight="false" outlineLevel="0" collapsed="false">
      <c r="A918" s="9" t="n">
        <v>717</v>
      </c>
      <c r="B918" s="10" t="s">
        <v>2378</v>
      </c>
      <c r="C918" s="10" t="s">
        <v>2379</v>
      </c>
      <c r="D918" s="0" t="s">
        <v>2380</v>
      </c>
    </row>
    <row r="919" customFormat="false" ht="12.8" hidden="true" customHeight="false" outlineLevel="0" collapsed="false">
      <c r="A919" s="9" t="n">
        <v>718</v>
      </c>
      <c r="B919" s="10" t="s">
        <v>2381</v>
      </c>
      <c r="C919" s="10" t="s">
        <v>2382</v>
      </c>
      <c r="D919" s="0" t="s">
        <v>2383</v>
      </c>
    </row>
    <row r="920" customFormat="false" ht="12.8" hidden="true" customHeight="false" outlineLevel="0" collapsed="false">
      <c r="A920" s="9" t="n">
        <v>719</v>
      </c>
      <c r="B920" s="10" t="s">
        <v>2384</v>
      </c>
      <c r="C920" s="10" t="s">
        <v>2385</v>
      </c>
      <c r="D920" s="0" t="s">
        <v>2386</v>
      </c>
    </row>
    <row r="921" customFormat="false" ht="12.8" hidden="true" customHeight="false" outlineLevel="0" collapsed="false">
      <c r="A921" s="9" t="n">
        <v>720</v>
      </c>
      <c r="B921" s="10" t="s">
        <v>2387</v>
      </c>
      <c r="C921" s="10" t="s">
        <v>2388</v>
      </c>
      <c r="D921" s="0" t="s">
        <v>2389</v>
      </c>
    </row>
    <row r="922" customFormat="false" ht="12.8" hidden="true" customHeight="false" outlineLevel="0" collapsed="false">
      <c r="A922" s="9" t="n">
        <v>721</v>
      </c>
      <c r="B922" s="10" t="s">
        <v>2390</v>
      </c>
      <c r="C922" s="10" t="s">
        <v>2391</v>
      </c>
      <c r="D922" s="0" t="s">
        <v>2392</v>
      </c>
    </row>
    <row r="923" customFormat="false" ht="12.8" hidden="true" customHeight="false" outlineLevel="0" collapsed="false">
      <c r="A923" s="9" t="n">
        <v>722</v>
      </c>
      <c r="B923" s="10" t="s">
        <v>2393</v>
      </c>
      <c r="C923" s="10" t="s">
        <v>2394</v>
      </c>
      <c r="D923" s="0" t="s">
        <v>2395</v>
      </c>
    </row>
    <row r="924" customFormat="false" ht="12.8" hidden="true" customHeight="false" outlineLevel="0" collapsed="false">
      <c r="A924" s="9" t="n">
        <v>723</v>
      </c>
      <c r="B924" s="10" t="s">
        <v>2396</v>
      </c>
      <c r="C924" s="10" t="s">
        <v>2397</v>
      </c>
      <c r="D924" s="0" t="s">
        <v>2398</v>
      </c>
    </row>
    <row r="925" customFormat="false" ht="12.8" hidden="true" customHeight="false" outlineLevel="0" collapsed="false">
      <c r="A925" s="9" t="n">
        <v>724</v>
      </c>
      <c r="B925" s="10" t="s">
        <v>2399</v>
      </c>
      <c r="C925" s="10" t="s">
        <v>2400</v>
      </c>
      <c r="D925" s="0" t="s">
        <v>2401</v>
      </c>
    </row>
    <row r="926" customFormat="false" ht="12.8" hidden="true" customHeight="false" outlineLevel="0" collapsed="false">
      <c r="A926" s="9" t="n">
        <v>725</v>
      </c>
      <c r="B926" s="10" t="s">
        <v>2402</v>
      </c>
      <c r="C926" s="10" t="s">
        <v>2403</v>
      </c>
      <c r="D926" s="0" t="s">
        <v>2404</v>
      </c>
    </row>
    <row r="927" customFormat="false" ht="12.8" hidden="true" customHeight="false" outlineLevel="0" collapsed="false">
      <c r="A927" s="9" t="n">
        <v>726</v>
      </c>
      <c r="B927" s="10" t="s">
        <v>2405</v>
      </c>
      <c r="C927" s="10" t="s">
        <v>2406</v>
      </c>
      <c r="D927" s="0" t="s">
        <v>2407</v>
      </c>
    </row>
    <row r="928" customFormat="false" ht="12.8" hidden="true" customHeight="false" outlineLevel="0" collapsed="false">
      <c r="A928" s="9" t="n">
        <v>727</v>
      </c>
      <c r="B928" s="10" t="s">
        <v>2408</v>
      </c>
      <c r="C928" s="10" t="s">
        <v>2409</v>
      </c>
      <c r="D928" s="0" t="s">
        <v>2410</v>
      </c>
    </row>
    <row r="929" customFormat="false" ht="12.8" hidden="true" customHeight="false" outlineLevel="0" collapsed="false">
      <c r="A929" s="9" t="n">
        <v>728</v>
      </c>
      <c r="B929" s="10" t="s">
        <v>2411</v>
      </c>
      <c r="C929" s="10" t="s">
        <v>2412</v>
      </c>
      <c r="D929" s="0" t="s">
        <v>2413</v>
      </c>
    </row>
    <row r="930" customFormat="false" ht="12.8" hidden="true" customHeight="false" outlineLevel="0" collapsed="false">
      <c r="A930" s="9" t="n">
        <v>729</v>
      </c>
      <c r="B930" s="10" t="s">
        <v>2414</v>
      </c>
      <c r="C930" s="10" t="s">
        <v>2415</v>
      </c>
      <c r="D930" s="0" t="s">
        <v>2416</v>
      </c>
    </row>
    <row r="931" customFormat="false" ht="12.8" hidden="true" customHeight="false" outlineLevel="0" collapsed="false"/>
    <row r="932" customFormat="false" ht="12.8" hidden="true" customHeight="false" outlineLevel="0" collapsed="false">
      <c r="A932" s="9" t="n">
        <v>730</v>
      </c>
      <c r="B932" s="10" t="s">
        <v>2417</v>
      </c>
      <c r="C932" s="10" t="s">
        <v>2418</v>
      </c>
      <c r="D932" s="0" t="s">
        <v>2419</v>
      </c>
    </row>
    <row r="933" customFormat="false" ht="12.8" hidden="true" customHeight="false" outlineLevel="0" collapsed="false">
      <c r="A933" s="9" t="n">
        <v>731</v>
      </c>
      <c r="B933" s="10" t="s">
        <v>2420</v>
      </c>
      <c r="C933" s="10" t="s">
        <v>2421</v>
      </c>
      <c r="D933" s="0" t="s">
        <v>2422</v>
      </c>
    </row>
    <row r="934" customFormat="false" ht="12.8" hidden="true" customHeight="false" outlineLevel="0" collapsed="false">
      <c r="A934" s="9" t="n">
        <v>732</v>
      </c>
      <c r="B934" s="10" t="s">
        <v>2423</v>
      </c>
      <c r="C934" s="10" t="s">
        <v>2424</v>
      </c>
      <c r="D934" s="0" t="s">
        <v>2425</v>
      </c>
    </row>
    <row r="935" customFormat="false" ht="12.8" hidden="true" customHeight="false" outlineLevel="0" collapsed="false">
      <c r="A935" s="9" t="n">
        <v>733</v>
      </c>
      <c r="B935" s="10" t="s">
        <v>2426</v>
      </c>
      <c r="C935" s="10" t="s">
        <v>2427</v>
      </c>
      <c r="D935" s="0" t="s">
        <v>2428</v>
      </c>
    </row>
    <row r="936" customFormat="false" ht="12.8" hidden="true" customHeight="false" outlineLevel="0" collapsed="false">
      <c r="A936" s="9" t="n">
        <v>734</v>
      </c>
      <c r="B936" s="10" t="s">
        <v>2429</v>
      </c>
      <c r="C936" s="10" t="s">
        <v>2430</v>
      </c>
      <c r="D936" s="0" t="s">
        <v>2431</v>
      </c>
    </row>
    <row r="937" customFormat="false" ht="12.8" hidden="true" customHeight="false" outlineLevel="0" collapsed="false">
      <c r="A937" s="9" t="n">
        <v>735</v>
      </c>
      <c r="B937" s="10" t="s">
        <v>2432</v>
      </c>
      <c r="C937" s="10" t="s">
        <v>2433</v>
      </c>
      <c r="D937" s="0" t="s">
        <v>2434</v>
      </c>
    </row>
    <row r="938" customFormat="false" ht="12.8" hidden="true" customHeight="false" outlineLevel="0" collapsed="false">
      <c r="A938" s="9" t="n">
        <v>736</v>
      </c>
      <c r="B938" s="10" t="s">
        <v>2435</v>
      </c>
      <c r="C938" s="10" t="s">
        <v>2436</v>
      </c>
      <c r="D938" s="0" t="s">
        <v>2437</v>
      </c>
    </row>
    <row r="939" customFormat="false" ht="12.8" hidden="true" customHeight="false" outlineLevel="0" collapsed="false">
      <c r="A939" s="9" t="n">
        <v>737</v>
      </c>
      <c r="B939" s="10" t="s">
        <v>2438</v>
      </c>
      <c r="C939" s="10" t="s">
        <v>2439</v>
      </c>
      <c r="D939" s="0" t="s">
        <v>2440</v>
      </c>
    </row>
    <row r="940" customFormat="false" ht="12.8" hidden="true" customHeight="false" outlineLevel="0" collapsed="false">
      <c r="A940" s="9" t="n">
        <v>738</v>
      </c>
      <c r="B940" s="10" t="s">
        <v>2441</v>
      </c>
      <c r="C940" s="10" t="s">
        <v>2442</v>
      </c>
      <c r="D940" s="0" t="s">
        <v>2443</v>
      </c>
    </row>
    <row r="941" customFormat="false" ht="12.8" hidden="true" customHeight="false" outlineLevel="0" collapsed="false">
      <c r="A941" s="9" t="n">
        <v>739</v>
      </c>
      <c r="B941" s="10" t="s">
        <v>2444</v>
      </c>
      <c r="C941" s="10" t="s">
        <v>2445</v>
      </c>
      <c r="D941" s="0" t="s">
        <v>2410</v>
      </c>
    </row>
    <row r="942" customFormat="false" ht="12.8" hidden="true" customHeight="false" outlineLevel="0" collapsed="false">
      <c r="A942" s="9" t="n">
        <v>740</v>
      </c>
      <c r="B942" s="10" t="s">
        <v>2446</v>
      </c>
      <c r="C942" s="10" t="s">
        <v>2447</v>
      </c>
      <c r="D942" s="0" t="s">
        <v>2448</v>
      </c>
    </row>
    <row r="943" customFormat="false" ht="12.8" hidden="true" customHeight="false" outlineLevel="0" collapsed="false">
      <c r="A943" s="9" t="n">
        <v>741</v>
      </c>
      <c r="B943" s="10" t="s">
        <v>2449</v>
      </c>
      <c r="C943" s="10" t="s">
        <v>2450</v>
      </c>
      <c r="D943" s="0" t="s">
        <v>2451</v>
      </c>
    </row>
    <row r="944" customFormat="false" ht="12.8" hidden="true" customHeight="false" outlineLevel="0" collapsed="false">
      <c r="A944" s="9" t="n">
        <v>742</v>
      </c>
      <c r="B944" s="10" t="s">
        <v>2452</v>
      </c>
      <c r="C944" s="10" t="s">
        <v>2453</v>
      </c>
      <c r="D944" s="0" t="s">
        <v>2454</v>
      </c>
    </row>
    <row r="945" customFormat="false" ht="12.8" hidden="true" customHeight="false" outlineLevel="0" collapsed="false">
      <c r="A945" s="9" t="n">
        <v>743</v>
      </c>
      <c r="B945" s="10" t="s">
        <v>2455</v>
      </c>
      <c r="C945" s="10" t="s">
        <v>2456</v>
      </c>
      <c r="D945" s="0" t="s">
        <v>2457</v>
      </c>
    </row>
    <row r="946" customFormat="false" ht="12.8" hidden="true" customHeight="false" outlineLevel="0" collapsed="false">
      <c r="A946" s="9" t="n">
        <v>744</v>
      </c>
      <c r="B946" s="10" t="s">
        <v>2458</v>
      </c>
      <c r="C946" s="10" t="s">
        <v>2459</v>
      </c>
      <c r="D946" s="0" t="s">
        <v>2460</v>
      </c>
    </row>
    <row r="947" customFormat="false" ht="12.8" hidden="true" customHeight="false" outlineLevel="0" collapsed="false">
      <c r="A947" s="9" t="n">
        <v>745</v>
      </c>
      <c r="B947" s="10" t="s">
        <v>2461</v>
      </c>
      <c r="C947" s="10" t="s">
        <v>2462</v>
      </c>
      <c r="D947" s="0" t="s">
        <v>2463</v>
      </c>
    </row>
    <row r="948" customFormat="false" ht="12.8" hidden="true" customHeight="false" outlineLevel="0" collapsed="false">
      <c r="A948" s="9" t="n">
        <v>746</v>
      </c>
      <c r="B948" s="10" t="s">
        <v>2464</v>
      </c>
      <c r="C948" s="10" t="s">
        <v>2465</v>
      </c>
      <c r="D948" s="0" t="s">
        <v>2466</v>
      </c>
    </row>
    <row r="949" customFormat="false" ht="12.8" hidden="true" customHeight="false" outlineLevel="0" collapsed="false">
      <c r="A949" s="9" t="n">
        <v>747</v>
      </c>
      <c r="B949" s="10" t="s">
        <v>2467</v>
      </c>
      <c r="C949" s="10" t="s">
        <v>2468</v>
      </c>
      <c r="D949" s="0" t="s">
        <v>2469</v>
      </c>
    </row>
    <row r="950" customFormat="false" ht="12.8" hidden="true" customHeight="false" outlineLevel="0" collapsed="false">
      <c r="A950" s="9" t="n">
        <v>748</v>
      </c>
      <c r="B950" s="10" t="s">
        <v>2470</v>
      </c>
      <c r="C950" s="10" t="s">
        <v>2471</v>
      </c>
      <c r="D950" s="0" t="s">
        <v>2472</v>
      </c>
    </row>
    <row r="951" customFormat="false" ht="12.8" hidden="true" customHeight="false" outlineLevel="0" collapsed="false">
      <c r="A951" s="9" t="n">
        <v>749</v>
      </c>
      <c r="B951" s="10" t="s">
        <v>2473</v>
      </c>
      <c r="C951" s="10" t="s">
        <v>2474</v>
      </c>
      <c r="D951" s="0" t="s">
        <v>2475</v>
      </c>
    </row>
    <row r="952" customFormat="false" ht="12.8" hidden="true" customHeight="false" outlineLevel="0" collapsed="false">
      <c r="A952" s="9" t="n">
        <v>750</v>
      </c>
      <c r="B952" s="10" t="s">
        <v>2476</v>
      </c>
      <c r="C952" s="10" t="s">
        <v>2477</v>
      </c>
      <c r="D952" s="0" t="s">
        <v>2478</v>
      </c>
    </row>
    <row r="953" customFormat="false" ht="12.8" hidden="true" customHeight="false" outlineLevel="0" collapsed="false">
      <c r="A953" s="9" t="n">
        <v>751</v>
      </c>
      <c r="B953" s="10" t="s">
        <v>2479</v>
      </c>
      <c r="C953" s="10" t="s">
        <v>2480</v>
      </c>
      <c r="D953" s="0" t="s">
        <v>2481</v>
      </c>
    </row>
    <row r="954" customFormat="false" ht="12.8" hidden="true" customHeight="false" outlineLevel="0" collapsed="false">
      <c r="A954" s="9" t="n">
        <v>752</v>
      </c>
      <c r="B954" s="10" t="s">
        <v>2482</v>
      </c>
      <c r="C954" s="10" t="s">
        <v>2483</v>
      </c>
      <c r="D954" s="0" t="s">
        <v>2484</v>
      </c>
    </row>
    <row r="955" customFormat="false" ht="12.8" hidden="true" customHeight="false" outlineLevel="0" collapsed="false">
      <c r="A955" s="9" t="n">
        <v>753</v>
      </c>
      <c r="B955" s="10" t="s">
        <v>2485</v>
      </c>
      <c r="C955" s="10" t="s">
        <v>2486</v>
      </c>
      <c r="D955" s="0" t="s">
        <v>2487</v>
      </c>
    </row>
    <row r="956" customFormat="false" ht="12.8" hidden="true" customHeight="false" outlineLevel="0" collapsed="false">
      <c r="A956" s="9" t="n">
        <v>754</v>
      </c>
      <c r="B956" s="10" t="s">
        <v>2488</v>
      </c>
      <c r="C956" s="10" t="s">
        <v>2489</v>
      </c>
      <c r="D956" s="0" t="s">
        <v>2490</v>
      </c>
    </row>
    <row r="957" customFormat="false" ht="12.8" hidden="true" customHeight="false" outlineLevel="0" collapsed="false">
      <c r="A957" s="9" t="n">
        <v>755</v>
      </c>
      <c r="B957" s="10" t="s">
        <v>2491</v>
      </c>
      <c r="C957" s="10" t="s">
        <v>2492</v>
      </c>
      <c r="D957" s="0" t="s">
        <v>2493</v>
      </c>
    </row>
    <row r="958" customFormat="false" ht="12.8" hidden="true" customHeight="false" outlineLevel="0" collapsed="false">
      <c r="A958" s="9" t="n">
        <v>756</v>
      </c>
      <c r="B958" s="10" t="s">
        <v>2494</v>
      </c>
      <c r="C958" s="10" t="s">
        <v>2495</v>
      </c>
      <c r="D958" s="0" t="s">
        <v>2496</v>
      </c>
    </row>
    <row r="959" customFormat="false" ht="12.8" hidden="true" customHeight="false" outlineLevel="0" collapsed="false">
      <c r="A959" s="9" t="n">
        <v>757</v>
      </c>
      <c r="B959" s="10" t="s">
        <v>2497</v>
      </c>
      <c r="C959" s="10" t="s">
        <v>2498</v>
      </c>
      <c r="D959" s="0" t="s">
        <v>2499</v>
      </c>
    </row>
    <row r="960" customFormat="false" ht="12.8" hidden="true" customHeight="false" outlineLevel="0" collapsed="false">
      <c r="A960" s="9" t="n">
        <v>758</v>
      </c>
      <c r="B960" s="10" t="s">
        <v>2500</v>
      </c>
      <c r="C960" s="10" t="s">
        <v>2501</v>
      </c>
      <c r="D960" s="0" t="s">
        <v>2502</v>
      </c>
    </row>
    <row r="961" customFormat="false" ht="12.8" hidden="true" customHeight="false" outlineLevel="0" collapsed="false">
      <c r="A961" s="9" t="n">
        <v>759</v>
      </c>
      <c r="B961" s="10" t="s">
        <v>2503</v>
      </c>
      <c r="C961" s="10" t="s">
        <v>2504</v>
      </c>
      <c r="D961" s="0" t="s">
        <v>2505</v>
      </c>
    </row>
    <row r="962" customFormat="false" ht="12.8" hidden="true" customHeight="false" outlineLevel="0" collapsed="false">
      <c r="A962" s="9" t="n">
        <v>760</v>
      </c>
      <c r="B962" s="10" t="s">
        <v>2506</v>
      </c>
      <c r="C962" s="10" t="s">
        <v>2507</v>
      </c>
      <c r="D962" s="0" t="s">
        <v>2508</v>
      </c>
    </row>
    <row r="963" customFormat="false" ht="12.8" hidden="true" customHeight="false" outlineLevel="0" collapsed="false">
      <c r="A963" s="9" t="n">
        <v>761</v>
      </c>
      <c r="B963" s="10" t="s">
        <v>2509</v>
      </c>
      <c r="C963" s="10" t="s">
        <v>2510</v>
      </c>
      <c r="D963" s="0" t="s">
        <v>2511</v>
      </c>
    </row>
    <row r="964" customFormat="false" ht="12.8" hidden="true" customHeight="false" outlineLevel="0" collapsed="false">
      <c r="A964" s="9" t="n">
        <v>762</v>
      </c>
      <c r="B964" s="10" t="s">
        <v>2512</v>
      </c>
      <c r="C964" s="10" t="s">
        <v>2513</v>
      </c>
      <c r="D964" s="0" t="s">
        <v>2514</v>
      </c>
    </row>
    <row r="965" customFormat="false" ht="12.8" hidden="true" customHeight="false" outlineLevel="0" collapsed="false">
      <c r="A965" s="9" t="n">
        <v>763</v>
      </c>
      <c r="B965" s="10" t="s">
        <v>2515</v>
      </c>
      <c r="C965" s="10" t="s">
        <v>2516</v>
      </c>
      <c r="D965" s="0" t="s">
        <v>2517</v>
      </c>
    </row>
    <row r="966" customFormat="false" ht="12.8" hidden="true" customHeight="false" outlineLevel="0" collapsed="false">
      <c r="A966" s="9" t="n">
        <v>764</v>
      </c>
      <c r="B966" s="10" t="s">
        <v>2518</v>
      </c>
      <c r="C966" s="10" t="s">
        <v>2519</v>
      </c>
      <c r="D966" s="0" t="s">
        <v>2520</v>
      </c>
    </row>
    <row r="967" customFormat="false" ht="12.8" hidden="true" customHeight="false" outlineLevel="0" collapsed="false">
      <c r="A967" s="9" t="n">
        <v>765</v>
      </c>
      <c r="B967" s="10" t="s">
        <v>2521</v>
      </c>
      <c r="C967" s="10" t="s">
        <v>2522</v>
      </c>
      <c r="D967" s="0" t="s">
        <v>2523</v>
      </c>
    </row>
    <row r="968" customFormat="false" ht="12.8" hidden="true" customHeight="false" outlineLevel="0" collapsed="false">
      <c r="A968" s="9" t="n">
        <v>766</v>
      </c>
      <c r="B968" s="10" t="s">
        <v>2524</v>
      </c>
      <c r="C968" s="10" t="s">
        <v>2525</v>
      </c>
      <c r="D968" s="0" t="s">
        <v>2526</v>
      </c>
    </row>
    <row r="969" customFormat="false" ht="12.8" hidden="true" customHeight="false" outlineLevel="0" collapsed="false">
      <c r="A969" s="9" t="n">
        <v>767</v>
      </c>
      <c r="B969" s="10" t="s">
        <v>2527</v>
      </c>
      <c r="C969" s="10" t="s">
        <v>2528</v>
      </c>
      <c r="D969" s="0" t="s">
        <v>2529</v>
      </c>
    </row>
    <row r="970" customFormat="false" ht="12.8" hidden="true" customHeight="false" outlineLevel="0" collapsed="false">
      <c r="A970" s="9" t="n">
        <v>768</v>
      </c>
      <c r="B970" s="10" t="s">
        <v>2530</v>
      </c>
      <c r="C970" s="10" t="s">
        <v>2531</v>
      </c>
      <c r="D970" s="0" t="s">
        <v>2532</v>
      </c>
    </row>
    <row r="971" customFormat="false" ht="12.8" hidden="true" customHeight="false" outlineLevel="0" collapsed="false">
      <c r="A971" s="9" t="n">
        <v>769</v>
      </c>
      <c r="B971" s="10" t="s">
        <v>2533</v>
      </c>
      <c r="C971" s="10" t="s">
        <v>2534</v>
      </c>
      <c r="D971" s="0" t="s">
        <v>2535</v>
      </c>
    </row>
    <row r="972" customFormat="false" ht="12.8" hidden="true" customHeight="false" outlineLevel="0" collapsed="false">
      <c r="A972" s="9" t="n">
        <v>770</v>
      </c>
      <c r="B972" s="10" t="s">
        <v>2536</v>
      </c>
      <c r="C972" s="10" t="s">
        <v>2537</v>
      </c>
      <c r="D972" s="0" t="s">
        <v>2538</v>
      </c>
    </row>
    <row r="973" customFormat="false" ht="12.8" hidden="true" customHeight="false" outlineLevel="0" collapsed="false">
      <c r="A973" s="9" t="n">
        <v>771</v>
      </c>
      <c r="B973" s="10" t="s">
        <v>2539</v>
      </c>
      <c r="C973" s="10" t="s">
        <v>2540</v>
      </c>
      <c r="D973" s="0" t="s">
        <v>2541</v>
      </c>
    </row>
    <row r="974" customFormat="false" ht="12.8" hidden="true" customHeight="false" outlineLevel="0" collapsed="false">
      <c r="A974" s="9" t="n">
        <v>772</v>
      </c>
      <c r="B974" s="10" t="s">
        <v>2542</v>
      </c>
      <c r="C974" s="10" t="s">
        <v>2543</v>
      </c>
      <c r="D974" s="0" t="s">
        <v>2544</v>
      </c>
    </row>
    <row r="975" customFormat="false" ht="12.8" hidden="true" customHeight="false" outlineLevel="0" collapsed="false">
      <c r="A975" s="9" t="n">
        <v>773</v>
      </c>
      <c r="B975" s="10" t="s">
        <v>2545</v>
      </c>
      <c r="C975" s="10" t="s">
        <v>2546</v>
      </c>
      <c r="D975" s="0" t="s">
        <v>2547</v>
      </c>
    </row>
    <row r="976" customFormat="false" ht="12.8" hidden="true" customHeight="false" outlineLevel="0" collapsed="false">
      <c r="A976" s="9" t="n">
        <v>774</v>
      </c>
      <c r="B976" s="10" t="s">
        <v>2548</v>
      </c>
      <c r="C976" s="10" t="s">
        <v>2549</v>
      </c>
      <c r="D976" s="0" t="s">
        <v>2550</v>
      </c>
    </row>
    <row r="977" customFormat="false" ht="12.8" hidden="true" customHeight="false" outlineLevel="0" collapsed="false">
      <c r="A977" s="9" t="n">
        <v>775</v>
      </c>
      <c r="B977" s="10" t="s">
        <v>2551</v>
      </c>
      <c r="C977" s="10" t="s">
        <v>2552</v>
      </c>
      <c r="D977" s="0" t="s">
        <v>2553</v>
      </c>
    </row>
    <row r="978" customFormat="false" ht="12.8" hidden="true" customHeight="false" outlineLevel="0" collapsed="false">
      <c r="A978" s="9" t="n">
        <v>776</v>
      </c>
      <c r="B978" s="10" t="s">
        <v>2554</v>
      </c>
      <c r="C978" s="10" t="s">
        <v>2555</v>
      </c>
      <c r="D978" s="0" t="s">
        <v>2556</v>
      </c>
    </row>
    <row r="979" customFormat="false" ht="12.8" hidden="true" customHeight="false" outlineLevel="0" collapsed="false">
      <c r="A979" s="9" t="n">
        <v>777</v>
      </c>
      <c r="B979" s="10" t="s">
        <v>2557</v>
      </c>
      <c r="C979" s="10" t="s">
        <v>2558</v>
      </c>
      <c r="D979" s="0" t="s">
        <v>2559</v>
      </c>
    </row>
    <row r="980" customFormat="false" ht="12.8" hidden="true" customHeight="false" outlineLevel="0" collapsed="false">
      <c r="A980" s="9" t="n">
        <v>778</v>
      </c>
      <c r="B980" s="10" t="s">
        <v>2560</v>
      </c>
      <c r="C980" s="10" t="s">
        <v>2561</v>
      </c>
      <c r="D980" s="0" t="s">
        <v>2562</v>
      </c>
    </row>
    <row r="981" customFormat="false" ht="12.8" hidden="true" customHeight="false" outlineLevel="0" collapsed="false">
      <c r="A981" s="9" t="n">
        <v>779</v>
      </c>
      <c r="B981" s="10" t="s">
        <v>2563</v>
      </c>
      <c r="C981" s="10" t="s">
        <v>2564</v>
      </c>
      <c r="D981" s="0" t="s">
        <v>2565</v>
      </c>
    </row>
    <row r="982" customFormat="false" ht="12.8" hidden="true" customHeight="false" outlineLevel="0" collapsed="false">
      <c r="A982" s="9" t="n">
        <v>780</v>
      </c>
      <c r="B982" s="10" t="s">
        <v>2566</v>
      </c>
      <c r="C982" s="10" t="s">
        <v>2567</v>
      </c>
      <c r="D982" s="0" t="s">
        <v>2568</v>
      </c>
    </row>
    <row r="983" customFormat="false" ht="12.8" hidden="true" customHeight="false" outlineLevel="0" collapsed="false">
      <c r="A983" s="9" t="n">
        <v>781</v>
      </c>
      <c r="B983" s="10" t="s">
        <v>2569</v>
      </c>
      <c r="C983" s="10" t="s">
        <v>2570</v>
      </c>
      <c r="D983" s="0" t="s">
        <v>2571</v>
      </c>
    </row>
    <row r="984" customFormat="false" ht="12.8" hidden="true" customHeight="false" outlineLevel="0" collapsed="false">
      <c r="A984" s="9" t="n">
        <v>782</v>
      </c>
      <c r="B984" s="10" t="s">
        <v>2572</v>
      </c>
      <c r="C984" s="10" t="s">
        <v>2573</v>
      </c>
      <c r="D984" s="0" t="s">
        <v>2574</v>
      </c>
    </row>
    <row r="985" customFormat="false" ht="12.8" hidden="true" customHeight="false" outlineLevel="0" collapsed="false">
      <c r="A985" s="9" t="n">
        <v>783</v>
      </c>
      <c r="B985" s="10" t="s">
        <v>2575</v>
      </c>
      <c r="C985" s="10" t="s">
        <v>2576</v>
      </c>
      <c r="D985" s="0" t="s">
        <v>2577</v>
      </c>
    </row>
    <row r="986" customFormat="false" ht="12.8" hidden="true" customHeight="false" outlineLevel="0" collapsed="false">
      <c r="A986" s="9" t="n">
        <v>784</v>
      </c>
      <c r="B986" s="10" t="s">
        <v>2578</v>
      </c>
      <c r="C986" s="10" t="s">
        <v>2579</v>
      </c>
      <c r="D986" s="0" t="s">
        <v>2580</v>
      </c>
    </row>
    <row r="987" customFormat="false" ht="12.8" hidden="true" customHeight="false" outlineLevel="0" collapsed="false">
      <c r="A987" s="9" t="n">
        <v>785</v>
      </c>
      <c r="B987" s="10" t="s">
        <v>2581</v>
      </c>
      <c r="C987" s="10" t="s">
        <v>2582</v>
      </c>
      <c r="D987" s="0" t="s">
        <v>2583</v>
      </c>
    </row>
    <row r="988" customFormat="false" ht="12.8" hidden="true" customHeight="false" outlineLevel="0" collapsed="false">
      <c r="A988" s="9" t="n">
        <v>786</v>
      </c>
      <c r="B988" s="10" t="s">
        <v>2584</v>
      </c>
      <c r="C988" s="10" t="s">
        <v>2585</v>
      </c>
      <c r="D988" s="0" t="s">
        <v>2586</v>
      </c>
    </row>
    <row r="989" customFormat="false" ht="12.8" hidden="true" customHeight="false" outlineLevel="0" collapsed="false">
      <c r="A989" s="9" t="n">
        <v>787</v>
      </c>
      <c r="B989" s="10" t="s">
        <v>2587</v>
      </c>
      <c r="C989" s="10" t="s">
        <v>2588</v>
      </c>
      <c r="D989" s="0" t="s">
        <v>2589</v>
      </c>
    </row>
    <row r="990" customFormat="false" ht="12.8" hidden="true" customHeight="false" outlineLevel="0" collapsed="false">
      <c r="A990" s="9" t="n">
        <v>788</v>
      </c>
      <c r="B990" s="10" t="s">
        <v>2590</v>
      </c>
      <c r="C990" s="10" t="s">
        <v>2591</v>
      </c>
      <c r="D990" s="0" t="s">
        <v>2592</v>
      </c>
    </row>
    <row r="991" customFormat="false" ht="12.8" hidden="true" customHeight="false" outlineLevel="0" collapsed="false">
      <c r="A991" s="9" t="n">
        <v>789</v>
      </c>
      <c r="B991" s="10" t="s">
        <v>2593</v>
      </c>
      <c r="C991" s="10" t="s">
        <v>2594</v>
      </c>
      <c r="D991" s="0" t="s">
        <v>2595</v>
      </c>
    </row>
    <row r="992" customFormat="false" ht="12.8" hidden="true" customHeight="false" outlineLevel="0" collapsed="false">
      <c r="A992" s="9" t="n">
        <v>790</v>
      </c>
      <c r="B992" s="10" t="s">
        <v>2596</v>
      </c>
      <c r="C992" s="10" t="s">
        <v>2597</v>
      </c>
      <c r="D992" s="0" t="s">
        <v>2598</v>
      </c>
    </row>
    <row r="993" customFormat="false" ht="12.8" hidden="true" customHeight="false" outlineLevel="0" collapsed="false">
      <c r="A993" s="9" t="n">
        <v>791</v>
      </c>
      <c r="B993" s="10" t="s">
        <v>2599</v>
      </c>
      <c r="C993" s="10" t="s">
        <v>2600</v>
      </c>
      <c r="D993" s="0" t="s">
        <v>2601</v>
      </c>
    </row>
    <row r="994" customFormat="false" ht="12.8" hidden="true" customHeight="false" outlineLevel="0" collapsed="false">
      <c r="A994" s="9" t="n">
        <v>792</v>
      </c>
      <c r="B994" s="10" t="s">
        <v>2602</v>
      </c>
      <c r="C994" s="10" t="s">
        <v>2603</v>
      </c>
      <c r="D994" s="0" t="s">
        <v>2604</v>
      </c>
    </row>
    <row r="995" customFormat="false" ht="12.8" hidden="true" customHeight="false" outlineLevel="0" collapsed="false">
      <c r="A995" s="9" t="n">
        <v>793</v>
      </c>
      <c r="B995" s="10" t="s">
        <v>2605</v>
      </c>
      <c r="C995" s="10" t="s">
        <v>2606</v>
      </c>
      <c r="D995" s="0" t="s">
        <v>2607</v>
      </c>
    </row>
    <row r="996" customFormat="false" ht="12.8" hidden="true" customHeight="false" outlineLevel="0" collapsed="false">
      <c r="A996" s="9" t="n">
        <v>794</v>
      </c>
      <c r="B996" s="10" t="s">
        <v>2608</v>
      </c>
      <c r="C996" s="10" t="s">
        <v>2609</v>
      </c>
      <c r="D996" s="0" t="s">
        <v>2610</v>
      </c>
    </row>
    <row r="997" customFormat="false" ht="12.8" hidden="true" customHeight="false" outlineLevel="0" collapsed="false">
      <c r="A997" s="9" t="n">
        <v>795</v>
      </c>
      <c r="B997" s="10" t="s">
        <v>2611</v>
      </c>
      <c r="C997" s="10" t="s">
        <v>2612</v>
      </c>
      <c r="D997" s="0" t="s">
        <v>2613</v>
      </c>
    </row>
    <row r="998" customFormat="false" ht="12.8" hidden="true" customHeight="false" outlineLevel="0" collapsed="false">
      <c r="A998" s="9" t="n">
        <v>796</v>
      </c>
      <c r="B998" s="10" t="s">
        <v>2614</v>
      </c>
      <c r="C998" s="10" t="s">
        <v>2615</v>
      </c>
      <c r="D998" s="0" t="s">
        <v>2511</v>
      </c>
    </row>
    <row r="999" customFormat="false" ht="12.8" hidden="true" customHeight="false" outlineLevel="0" collapsed="false">
      <c r="A999" s="9" t="n">
        <v>797</v>
      </c>
      <c r="B999" s="10" t="s">
        <v>2616</v>
      </c>
      <c r="C999" s="10" t="s">
        <v>2617</v>
      </c>
      <c r="D999" s="0" t="s">
        <v>2514</v>
      </c>
    </row>
    <row r="1000" customFormat="false" ht="12.8" hidden="true" customHeight="false" outlineLevel="0" collapsed="false">
      <c r="A1000" s="9" t="n">
        <v>798</v>
      </c>
      <c r="B1000" s="10" t="s">
        <v>2618</v>
      </c>
      <c r="C1000" s="10" t="s">
        <v>2619</v>
      </c>
      <c r="D1000" s="0" t="s">
        <v>2620</v>
      </c>
    </row>
    <row r="1001" customFormat="false" ht="12.8" hidden="true" customHeight="false" outlineLevel="0" collapsed="false">
      <c r="A1001" s="9" t="n">
        <v>799</v>
      </c>
      <c r="B1001" s="10" t="s">
        <v>2621</v>
      </c>
      <c r="C1001" s="10" t="s">
        <v>2622</v>
      </c>
      <c r="D1001" s="0" t="s">
        <v>2623</v>
      </c>
    </row>
    <row r="1002" customFormat="false" ht="12.8" hidden="true" customHeight="false" outlineLevel="0" collapsed="false">
      <c r="A1002" s="9" t="n">
        <v>800</v>
      </c>
      <c r="B1002" s="10" t="s">
        <v>2624</v>
      </c>
      <c r="C1002" s="10" t="s">
        <v>2625</v>
      </c>
      <c r="D1002" s="0" t="s">
        <v>2626</v>
      </c>
    </row>
    <row r="1003" customFormat="false" ht="12.8" hidden="true" customHeight="false" outlineLevel="0" collapsed="false">
      <c r="A1003" s="9" t="n">
        <v>801</v>
      </c>
      <c r="B1003" s="10" t="s">
        <v>2627</v>
      </c>
      <c r="C1003" s="10" t="s">
        <v>2628</v>
      </c>
      <c r="D1003" s="0" t="s">
        <v>2629</v>
      </c>
    </row>
    <row r="1004" customFormat="false" ht="12.8" hidden="true" customHeight="false" outlineLevel="0" collapsed="false">
      <c r="A1004" s="9" t="n">
        <v>802</v>
      </c>
      <c r="B1004" s="10" t="s">
        <v>2630</v>
      </c>
      <c r="C1004" s="10" t="s">
        <v>2631</v>
      </c>
      <c r="D1004" s="0" t="s">
        <v>2632</v>
      </c>
    </row>
    <row r="1005" customFormat="false" ht="12.8" hidden="true" customHeight="false" outlineLevel="0" collapsed="false">
      <c r="A1005" s="9" t="n">
        <v>803</v>
      </c>
      <c r="B1005" s="10" t="s">
        <v>2633</v>
      </c>
      <c r="C1005" s="10" t="s">
        <v>2634</v>
      </c>
      <c r="D1005" s="0" t="s">
        <v>2635</v>
      </c>
    </row>
    <row r="1006" customFormat="false" ht="12.8" hidden="true" customHeight="false" outlineLevel="0" collapsed="false">
      <c r="A1006" s="9" t="n">
        <v>804</v>
      </c>
      <c r="B1006" s="10" t="s">
        <v>2636</v>
      </c>
      <c r="C1006" s="10" t="s">
        <v>2637</v>
      </c>
      <c r="D1006" s="0" t="s">
        <v>2638</v>
      </c>
    </row>
    <row r="1007" customFormat="false" ht="12.8" hidden="true" customHeight="false" outlineLevel="0" collapsed="false">
      <c r="A1007" s="9" t="n">
        <v>805</v>
      </c>
      <c r="B1007" s="10" t="s">
        <v>2639</v>
      </c>
      <c r="C1007" s="10" t="s">
        <v>2640</v>
      </c>
      <c r="D1007" s="0" t="s">
        <v>2641</v>
      </c>
    </row>
    <row r="1008" customFormat="false" ht="12.8" hidden="true" customHeight="false" outlineLevel="0" collapsed="false">
      <c r="A1008" s="9" t="n">
        <v>806</v>
      </c>
      <c r="B1008" s="10" t="s">
        <v>2642</v>
      </c>
      <c r="C1008" s="10" t="s">
        <v>2643</v>
      </c>
      <c r="D1008" s="0" t="s">
        <v>2644</v>
      </c>
    </row>
    <row r="1009" customFormat="false" ht="12.8" hidden="true" customHeight="false" outlineLevel="0" collapsed="false">
      <c r="A1009" s="9" t="n">
        <v>807</v>
      </c>
      <c r="B1009" s="10" t="s">
        <v>2645</v>
      </c>
      <c r="C1009" s="10" t="s">
        <v>2646</v>
      </c>
      <c r="D1009" s="0" t="s">
        <v>2647</v>
      </c>
    </row>
    <row r="1010" customFormat="false" ht="12.8" hidden="true" customHeight="false" outlineLevel="0" collapsed="false">
      <c r="A1010" s="9" t="n">
        <v>808</v>
      </c>
      <c r="B1010" s="10" t="s">
        <v>2648</v>
      </c>
      <c r="C1010" s="10" t="s">
        <v>2649</v>
      </c>
      <c r="D1010" s="0" t="s">
        <v>2650</v>
      </c>
    </row>
    <row r="1011" customFormat="false" ht="12.8" hidden="true" customHeight="false" outlineLevel="0" collapsed="false">
      <c r="A1011" s="9" t="n">
        <v>809</v>
      </c>
      <c r="B1011" s="10" t="s">
        <v>2651</v>
      </c>
      <c r="C1011" s="10" t="s">
        <v>2652</v>
      </c>
      <c r="D1011" s="0" t="s">
        <v>2653</v>
      </c>
    </row>
    <row r="1012" customFormat="false" ht="12.8" hidden="true" customHeight="false" outlineLevel="0" collapsed="false">
      <c r="A1012" s="9" t="n">
        <v>810</v>
      </c>
      <c r="B1012" s="10" t="s">
        <v>2654</v>
      </c>
      <c r="C1012" s="10" t="s">
        <v>2655</v>
      </c>
      <c r="D1012" s="0" t="s">
        <v>2656</v>
      </c>
    </row>
    <row r="1013" customFormat="false" ht="12.8" hidden="true" customHeight="false" outlineLevel="0" collapsed="false">
      <c r="A1013" s="9" t="n">
        <v>811</v>
      </c>
      <c r="B1013" s="10" t="s">
        <v>2657</v>
      </c>
      <c r="C1013" s="10" t="s">
        <v>2658</v>
      </c>
      <c r="D1013" s="0" t="s">
        <v>2659</v>
      </c>
    </row>
    <row r="1014" customFormat="false" ht="12.8" hidden="true" customHeight="false" outlineLevel="0" collapsed="false">
      <c r="A1014" s="9" t="n">
        <v>812</v>
      </c>
      <c r="B1014" s="10" t="s">
        <v>2660</v>
      </c>
      <c r="C1014" s="10" t="s">
        <v>2661</v>
      </c>
      <c r="D1014" s="0" t="s">
        <v>2662</v>
      </c>
    </row>
    <row r="1015" customFormat="false" ht="12.8" hidden="true" customHeight="false" outlineLevel="0" collapsed="false">
      <c r="A1015" s="9" t="n">
        <v>813</v>
      </c>
      <c r="B1015" s="10" t="s">
        <v>2663</v>
      </c>
      <c r="C1015" s="10" t="s">
        <v>2664</v>
      </c>
      <c r="D1015" s="0" t="s">
        <v>2665</v>
      </c>
    </row>
    <row r="1016" customFormat="false" ht="12.8" hidden="true" customHeight="false" outlineLevel="0" collapsed="false">
      <c r="A1016" s="9" t="n">
        <v>814</v>
      </c>
      <c r="B1016" s="10" t="s">
        <v>2666</v>
      </c>
      <c r="C1016" s="10" t="s">
        <v>2667</v>
      </c>
      <c r="D1016" s="0" t="s">
        <v>2668</v>
      </c>
    </row>
    <row r="1017" customFormat="false" ht="12.8" hidden="true" customHeight="false" outlineLevel="0" collapsed="false">
      <c r="A1017" s="9" t="n">
        <v>815</v>
      </c>
      <c r="B1017" s="10" t="s">
        <v>2669</v>
      </c>
      <c r="C1017" s="10" t="s">
        <v>2670</v>
      </c>
      <c r="D1017" s="0" t="s">
        <v>2671</v>
      </c>
    </row>
    <row r="1018" customFormat="false" ht="12.8" hidden="true" customHeight="false" outlineLevel="0" collapsed="false">
      <c r="A1018" s="9" t="n">
        <v>816</v>
      </c>
      <c r="B1018" s="10" t="s">
        <v>2672</v>
      </c>
      <c r="C1018" s="10" t="s">
        <v>2673</v>
      </c>
      <c r="D1018" s="0" t="s">
        <v>2674</v>
      </c>
    </row>
    <row r="1019" customFormat="false" ht="12.8" hidden="true" customHeight="false" outlineLevel="0" collapsed="false">
      <c r="A1019" s="9" t="n">
        <v>817</v>
      </c>
      <c r="B1019" s="10" t="s">
        <v>2675</v>
      </c>
      <c r="C1019" s="10" t="s">
        <v>2676</v>
      </c>
      <c r="D1019" s="0" t="s">
        <v>2677</v>
      </c>
    </row>
    <row r="1020" customFormat="false" ht="12.8" hidden="true" customHeight="false" outlineLevel="0" collapsed="false">
      <c r="A1020" s="9" t="n">
        <v>818</v>
      </c>
      <c r="B1020" s="10" t="s">
        <v>2678</v>
      </c>
      <c r="C1020" s="10" t="s">
        <v>2679</v>
      </c>
      <c r="D1020" s="0" t="s">
        <v>2680</v>
      </c>
    </row>
    <row r="1021" customFormat="false" ht="12.8" hidden="true" customHeight="false" outlineLevel="0" collapsed="false">
      <c r="A1021" s="9" t="n">
        <v>819</v>
      </c>
      <c r="B1021" s="10" t="s">
        <v>2681</v>
      </c>
      <c r="C1021" s="10" t="s">
        <v>2682</v>
      </c>
      <c r="D1021" s="0" t="s">
        <v>2683</v>
      </c>
    </row>
    <row r="1022" customFormat="false" ht="12.8" hidden="true" customHeight="false" outlineLevel="0" collapsed="false">
      <c r="A1022" s="9" t="n">
        <v>820</v>
      </c>
      <c r="B1022" s="10" t="s">
        <v>2684</v>
      </c>
      <c r="C1022" s="10" t="s">
        <v>2685</v>
      </c>
      <c r="D1022" s="0" t="s">
        <v>2686</v>
      </c>
    </row>
    <row r="1023" customFormat="false" ht="12.8" hidden="true" customHeight="false" outlineLevel="0" collapsed="false">
      <c r="A1023" s="9" t="n">
        <v>821</v>
      </c>
      <c r="B1023" s="10" t="s">
        <v>2687</v>
      </c>
      <c r="C1023" s="10" t="s">
        <v>2688</v>
      </c>
      <c r="D1023" s="0" t="s">
        <v>2689</v>
      </c>
    </row>
    <row r="1024" customFormat="false" ht="12.8" hidden="true" customHeight="false" outlineLevel="0" collapsed="false">
      <c r="A1024" s="9" t="n">
        <v>822</v>
      </c>
      <c r="B1024" s="10" t="s">
        <v>2690</v>
      </c>
      <c r="C1024" s="10" t="s">
        <v>2691</v>
      </c>
      <c r="D1024" s="0" t="s">
        <v>2692</v>
      </c>
    </row>
    <row r="1025" customFormat="false" ht="12.8" hidden="true" customHeight="false" outlineLevel="0" collapsed="false">
      <c r="A1025" s="9" t="n">
        <v>823</v>
      </c>
      <c r="B1025" s="10" t="s">
        <v>2693</v>
      </c>
      <c r="C1025" s="10" t="s">
        <v>2694</v>
      </c>
      <c r="D1025" s="0" t="s">
        <v>2695</v>
      </c>
    </row>
    <row r="1026" customFormat="false" ht="12.8" hidden="true" customHeight="false" outlineLevel="0" collapsed="false">
      <c r="A1026" s="9" t="n">
        <v>824</v>
      </c>
      <c r="B1026" s="10" t="s">
        <v>2696</v>
      </c>
      <c r="C1026" s="10" t="s">
        <v>2697</v>
      </c>
      <c r="D1026" s="0" t="s">
        <v>2698</v>
      </c>
    </row>
    <row r="1027" customFormat="false" ht="12.8" hidden="true" customHeight="false" outlineLevel="0" collapsed="false">
      <c r="A1027" s="9" t="n">
        <v>825</v>
      </c>
      <c r="B1027" s="10" t="s">
        <v>2699</v>
      </c>
      <c r="C1027" s="10" t="s">
        <v>2700</v>
      </c>
      <c r="D1027" s="0" t="s">
        <v>2701</v>
      </c>
    </row>
    <row r="1028" customFormat="false" ht="12.8" hidden="true" customHeight="false" outlineLevel="0" collapsed="false">
      <c r="A1028" s="9" t="n">
        <v>826</v>
      </c>
      <c r="B1028" s="10" t="s">
        <v>2702</v>
      </c>
      <c r="C1028" s="10" t="s">
        <v>2703</v>
      </c>
      <c r="D1028" s="0" t="s">
        <v>2704</v>
      </c>
    </row>
    <row r="1029" customFormat="false" ht="12.8" hidden="true" customHeight="false" outlineLevel="0" collapsed="false">
      <c r="A1029" s="9" t="n">
        <v>827</v>
      </c>
      <c r="B1029" s="10" t="s">
        <v>2705</v>
      </c>
      <c r="C1029" s="10" t="s">
        <v>2706</v>
      </c>
      <c r="D1029" s="0" t="s">
        <v>2707</v>
      </c>
    </row>
    <row r="1030" customFormat="false" ht="12.8" hidden="true" customHeight="false" outlineLevel="0" collapsed="false">
      <c r="A1030" s="9" t="n">
        <v>828</v>
      </c>
      <c r="B1030" s="10" t="s">
        <v>2708</v>
      </c>
      <c r="C1030" s="10" t="s">
        <v>2709</v>
      </c>
      <c r="D1030" s="0" t="s">
        <v>2710</v>
      </c>
    </row>
    <row r="1031" customFormat="false" ht="12.8" hidden="true" customHeight="false" outlineLevel="0" collapsed="false">
      <c r="A1031" s="9" t="n">
        <v>829</v>
      </c>
      <c r="B1031" s="10" t="s">
        <v>2711</v>
      </c>
      <c r="C1031" s="10" t="s">
        <v>2712</v>
      </c>
      <c r="D1031" s="0" t="s">
        <v>2713</v>
      </c>
    </row>
    <row r="1032" customFormat="false" ht="12.8" hidden="true" customHeight="false" outlineLevel="0" collapsed="false"/>
    <row r="1033" customFormat="false" ht="12.8" hidden="true" customHeight="false" outlineLevel="0" collapsed="false">
      <c r="A1033" s="9" t="n">
        <v>830</v>
      </c>
      <c r="B1033" s="10" t="s">
        <v>2714</v>
      </c>
      <c r="C1033" s="10" t="s">
        <v>2715</v>
      </c>
      <c r="D1033" s="0" t="s">
        <v>2716</v>
      </c>
    </row>
    <row r="1034" customFormat="false" ht="12.8" hidden="true" customHeight="false" outlineLevel="0" collapsed="false">
      <c r="A1034" s="9" t="n">
        <v>831</v>
      </c>
      <c r="B1034" s="10" t="s">
        <v>2717</v>
      </c>
      <c r="C1034" s="10" t="s">
        <v>2718</v>
      </c>
      <c r="D1034" s="0" t="s">
        <v>2719</v>
      </c>
    </row>
    <row r="1035" customFormat="false" ht="12.8" hidden="true" customHeight="false" outlineLevel="0" collapsed="false">
      <c r="A1035" s="9" t="n">
        <v>832</v>
      </c>
      <c r="B1035" s="10" t="s">
        <v>2720</v>
      </c>
      <c r="C1035" s="10" t="s">
        <v>2721</v>
      </c>
      <c r="D1035" s="0" t="s">
        <v>2722</v>
      </c>
    </row>
    <row r="1036" customFormat="false" ht="12.8" hidden="true" customHeight="false" outlineLevel="0" collapsed="false">
      <c r="A1036" s="9" t="n">
        <v>833</v>
      </c>
      <c r="B1036" s="10" t="s">
        <v>2723</v>
      </c>
      <c r="C1036" s="10" t="s">
        <v>2724</v>
      </c>
      <c r="D1036" s="0" t="s">
        <v>2725</v>
      </c>
    </row>
    <row r="1037" customFormat="false" ht="12.8" hidden="true" customHeight="false" outlineLevel="0" collapsed="false">
      <c r="A1037" s="9" t="n">
        <v>834</v>
      </c>
      <c r="B1037" s="10" t="s">
        <v>2726</v>
      </c>
      <c r="C1037" s="10" t="s">
        <v>2727</v>
      </c>
      <c r="D1037" s="0" t="s">
        <v>2728</v>
      </c>
    </row>
    <row r="1038" customFormat="false" ht="12.8" hidden="true" customHeight="false" outlineLevel="0" collapsed="false">
      <c r="A1038" s="9" t="n">
        <v>835</v>
      </c>
      <c r="B1038" s="10" t="s">
        <v>2729</v>
      </c>
      <c r="C1038" s="10" t="s">
        <v>2730</v>
      </c>
      <c r="D1038" s="0" t="s">
        <v>2731</v>
      </c>
    </row>
    <row r="1039" customFormat="false" ht="12.8" hidden="true" customHeight="false" outlineLevel="0" collapsed="false">
      <c r="A1039" s="9" t="n">
        <v>836</v>
      </c>
      <c r="B1039" s="10" t="s">
        <v>2732</v>
      </c>
      <c r="C1039" s="10" t="s">
        <v>2733</v>
      </c>
      <c r="D1039" s="0" t="s">
        <v>2734</v>
      </c>
    </row>
    <row r="1040" customFormat="false" ht="12.8" hidden="true" customHeight="false" outlineLevel="0" collapsed="false">
      <c r="A1040" s="9" t="n">
        <v>837</v>
      </c>
      <c r="B1040" s="10" t="s">
        <v>2735</v>
      </c>
      <c r="C1040" s="10" t="s">
        <v>2736</v>
      </c>
      <c r="D1040" s="0" t="s">
        <v>2737</v>
      </c>
    </row>
    <row r="1041" customFormat="false" ht="12.8" hidden="true" customHeight="false" outlineLevel="0" collapsed="false">
      <c r="A1041" s="9" t="n">
        <v>838</v>
      </c>
      <c r="B1041" s="10" t="s">
        <v>2738</v>
      </c>
      <c r="C1041" s="10" t="s">
        <v>2739</v>
      </c>
      <c r="D1041" s="0" t="s">
        <v>2740</v>
      </c>
    </row>
    <row r="1042" customFormat="false" ht="12.8" hidden="true" customHeight="false" outlineLevel="0" collapsed="false">
      <c r="A1042" s="9" t="n">
        <v>839</v>
      </c>
      <c r="B1042" s="10" t="s">
        <v>2741</v>
      </c>
      <c r="C1042" s="10" t="s">
        <v>2742</v>
      </c>
      <c r="D1042" s="0" t="s">
        <v>2743</v>
      </c>
    </row>
    <row r="1043" customFormat="false" ht="12.8" hidden="true" customHeight="false" outlineLevel="0" collapsed="false">
      <c r="A1043" s="9" t="n">
        <v>840</v>
      </c>
      <c r="B1043" s="10" t="s">
        <v>2744</v>
      </c>
      <c r="C1043" s="10" t="s">
        <v>2745</v>
      </c>
      <c r="D1043" s="0" t="s">
        <v>2746</v>
      </c>
    </row>
    <row r="1044" customFormat="false" ht="12.8" hidden="true" customHeight="false" outlineLevel="0" collapsed="false">
      <c r="A1044" s="9" t="n">
        <v>841</v>
      </c>
      <c r="B1044" s="10" t="s">
        <v>2747</v>
      </c>
      <c r="C1044" s="10" t="s">
        <v>2748</v>
      </c>
      <c r="D1044" s="0" t="s">
        <v>2749</v>
      </c>
    </row>
    <row r="1045" customFormat="false" ht="12.8" hidden="true" customHeight="false" outlineLevel="0" collapsed="false">
      <c r="A1045" s="9" t="n">
        <v>842</v>
      </c>
      <c r="B1045" s="10" t="s">
        <v>2750</v>
      </c>
      <c r="C1045" s="10" t="s">
        <v>2751</v>
      </c>
      <c r="D1045" s="0" t="s">
        <v>2752</v>
      </c>
    </row>
    <row r="1046" customFormat="false" ht="12.8" hidden="true" customHeight="false" outlineLevel="0" collapsed="false">
      <c r="A1046" s="9" t="n">
        <v>843</v>
      </c>
      <c r="B1046" s="10" t="s">
        <v>2753</v>
      </c>
      <c r="C1046" s="10" t="s">
        <v>2754</v>
      </c>
      <c r="D1046" s="0" t="s">
        <v>2755</v>
      </c>
    </row>
    <row r="1047" customFormat="false" ht="12.8" hidden="true" customHeight="false" outlineLevel="0" collapsed="false">
      <c r="A1047" s="9" t="n">
        <v>844</v>
      </c>
      <c r="B1047" s="10" t="s">
        <v>2756</v>
      </c>
      <c r="C1047" s="10" t="s">
        <v>2757</v>
      </c>
      <c r="D1047" s="0" t="s">
        <v>2758</v>
      </c>
    </row>
    <row r="1048" customFormat="false" ht="12.8" hidden="true" customHeight="false" outlineLevel="0" collapsed="false">
      <c r="A1048" s="9" t="n">
        <v>845</v>
      </c>
      <c r="B1048" s="10" t="s">
        <v>2759</v>
      </c>
      <c r="C1048" s="10" t="s">
        <v>2760</v>
      </c>
      <c r="D1048" s="0" t="s">
        <v>2761</v>
      </c>
    </row>
    <row r="1049" customFormat="false" ht="12.8" hidden="true" customHeight="false" outlineLevel="0" collapsed="false">
      <c r="A1049" s="9" t="n">
        <v>846</v>
      </c>
      <c r="B1049" s="10" t="s">
        <v>2762</v>
      </c>
      <c r="C1049" s="10" t="s">
        <v>2763</v>
      </c>
      <c r="D1049" s="0" t="s">
        <v>2764</v>
      </c>
    </row>
    <row r="1050" customFormat="false" ht="12.8" hidden="true" customHeight="false" outlineLevel="0" collapsed="false">
      <c r="A1050" s="9" t="n">
        <v>847</v>
      </c>
      <c r="B1050" s="10" t="s">
        <v>2765</v>
      </c>
      <c r="C1050" s="10" t="s">
        <v>2766</v>
      </c>
      <c r="D1050" s="0" t="s">
        <v>2767</v>
      </c>
    </row>
    <row r="1051" customFormat="false" ht="12.8" hidden="true" customHeight="false" outlineLevel="0" collapsed="false">
      <c r="A1051" s="9" t="n">
        <v>848</v>
      </c>
      <c r="B1051" s="10" t="s">
        <v>2768</v>
      </c>
      <c r="C1051" s="10" t="s">
        <v>2769</v>
      </c>
      <c r="D1051" s="0" t="s">
        <v>2770</v>
      </c>
    </row>
    <row r="1052" customFormat="false" ht="12.8" hidden="true" customHeight="false" outlineLevel="0" collapsed="false">
      <c r="A1052" s="9" t="n">
        <v>849</v>
      </c>
      <c r="B1052" s="10" t="s">
        <v>2771</v>
      </c>
      <c r="C1052" s="10" t="s">
        <v>2772</v>
      </c>
      <c r="D1052" s="0" t="s">
        <v>2773</v>
      </c>
    </row>
    <row r="1053" customFormat="false" ht="12.8" hidden="true" customHeight="false" outlineLevel="0" collapsed="false">
      <c r="A1053" s="9" t="n">
        <v>850</v>
      </c>
      <c r="B1053" s="10" t="s">
        <v>2774</v>
      </c>
      <c r="C1053" s="10" t="s">
        <v>2775</v>
      </c>
      <c r="D1053" s="0" t="s">
        <v>2776</v>
      </c>
    </row>
    <row r="1054" customFormat="false" ht="12.8" hidden="true" customHeight="false" outlineLevel="0" collapsed="false">
      <c r="A1054" s="9" t="n">
        <v>851</v>
      </c>
      <c r="B1054" s="10" t="s">
        <v>2777</v>
      </c>
      <c r="C1054" s="10" t="s">
        <v>2778</v>
      </c>
      <c r="D1054" s="0" t="s">
        <v>2779</v>
      </c>
    </row>
    <row r="1055" customFormat="false" ht="12.8" hidden="true" customHeight="false" outlineLevel="0" collapsed="false">
      <c r="A1055" s="9" t="n">
        <v>852</v>
      </c>
      <c r="B1055" s="10" t="s">
        <v>2780</v>
      </c>
      <c r="C1055" s="10" t="s">
        <v>2781</v>
      </c>
      <c r="D1055" s="0" t="s">
        <v>2782</v>
      </c>
    </row>
    <row r="1056" customFormat="false" ht="12.8" hidden="true" customHeight="false" outlineLevel="0" collapsed="false">
      <c r="A1056" s="9" t="n">
        <v>853</v>
      </c>
      <c r="B1056" s="10" t="s">
        <v>2783</v>
      </c>
      <c r="C1056" s="10" t="s">
        <v>2784</v>
      </c>
      <c r="D1056" s="0" t="s">
        <v>2785</v>
      </c>
    </row>
    <row r="1057" customFormat="false" ht="12.8" hidden="true" customHeight="false" outlineLevel="0" collapsed="false">
      <c r="A1057" s="9" t="n">
        <v>854</v>
      </c>
      <c r="B1057" s="10" t="s">
        <v>2786</v>
      </c>
      <c r="C1057" s="10" t="s">
        <v>2787</v>
      </c>
      <c r="D1057" s="0" t="s">
        <v>2788</v>
      </c>
    </row>
    <row r="1058" customFormat="false" ht="12.8" hidden="true" customHeight="false" outlineLevel="0" collapsed="false">
      <c r="A1058" s="9" t="n">
        <v>855</v>
      </c>
      <c r="B1058" s="10" t="s">
        <v>2789</v>
      </c>
      <c r="C1058" s="10" t="s">
        <v>2790</v>
      </c>
      <c r="D1058" s="0" t="s">
        <v>2791</v>
      </c>
    </row>
    <row r="1059" customFormat="false" ht="12.8" hidden="true" customHeight="false" outlineLevel="0" collapsed="false">
      <c r="A1059" s="9" t="n">
        <v>856</v>
      </c>
      <c r="B1059" s="10" t="s">
        <v>2792</v>
      </c>
      <c r="C1059" s="10" t="s">
        <v>2793</v>
      </c>
      <c r="D1059" s="0" t="s">
        <v>2794</v>
      </c>
    </row>
    <row r="1060" customFormat="false" ht="12.8" hidden="true" customHeight="false" outlineLevel="0" collapsed="false">
      <c r="A1060" s="9" t="n">
        <v>857</v>
      </c>
      <c r="B1060" s="10" t="s">
        <v>2795</v>
      </c>
      <c r="C1060" s="10" t="s">
        <v>2796</v>
      </c>
      <c r="D1060" s="0" t="s">
        <v>2797</v>
      </c>
    </row>
    <row r="1061" customFormat="false" ht="12.8" hidden="true" customHeight="false" outlineLevel="0" collapsed="false">
      <c r="A1061" s="9" t="n">
        <v>858</v>
      </c>
      <c r="B1061" s="10" t="s">
        <v>2798</v>
      </c>
      <c r="C1061" s="10" t="s">
        <v>2799</v>
      </c>
      <c r="D1061" s="0" t="s">
        <v>2800</v>
      </c>
    </row>
    <row r="1062" customFormat="false" ht="12.8" hidden="true" customHeight="false" outlineLevel="0" collapsed="false">
      <c r="A1062" s="9" t="n">
        <v>859</v>
      </c>
      <c r="B1062" s="10" t="s">
        <v>2801</v>
      </c>
      <c r="C1062" s="10" t="s">
        <v>2802</v>
      </c>
      <c r="D1062" s="0" t="s">
        <v>2803</v>
      </c>
    </row>
    <row r="1063" customFormat="false" ht="12.8" hidden="true" customHeight="false" outlineLevel="0" collapsed="false">
      <c r="A1063" s="9" t="n">
        <v>860</v>
      </c>
      <c r="B1063" s="10" t="s">
        <v>2804</v>
      </c>
      <c r="C1063" s="10" t="s">
        <v>2805</v>
      </c>
      <c r="D1063" s="0" t="s">
        <v>2806</v>
      </c>
    </row>
    <row r="1064" customFormat="false" ht="12.8" hidden="true" customHeight="false" outlineLevel="0" collapsed="false">
      <c r="A1064" s="9" t="n">
        <v>861</v>
      </c>
      <c r="B1064" s="10" t="s">
        <v>2807</v>
      </c>
      <c r="C1064" s="10" t="s">
        <v>2808</v>
      </c>
      <c r="D1064" s="0" t="s">
        <v>2809</v>
      </c>
    </row>
    <row r="1065" customFormat="false" ht="12.8" hidden="true" customHeight="false" outlineLevel="0" collapsed="false">
      <c r="A1065" s="9" t="n">
        <v>862</v>
      </c>
      <c r="B1065" s="10" t="s">
        <v>2810</v>
      </c>
      <c r="C1065" s="10" t="s">
        <v>2811</v>
      </c>
      <c r="D1065" s="0" t="s">
        <v>2812</v>
      </c>
    </row>
    <row r="1066" customFormat="false" ht="12.8" hidden="true" customHeight="false" outlineLevel="0" collapsed="false">
      <c r="A1066" s="9" t="n">
        <v>863</v>
      </c>
      <c r="B1066" s="10" t="s">
        <v>2813</v>
      </c>
      <c r="C1066" s="10" t="s">
        <v>2814</v>
      </c>
      <c r="D1066" s="0" t="s">
        <v>2815</v>
      </c>
    </row>
    <row r="1067" customFormat="false" ht="12.8" hidden="true" customHeight="false" outlineLevel="0" collapsed="false">
      <c r="A1067" s="9" t="n">
        <v>864</v>
      </c>
      <c r="B1067" s="10" t="s">
        <v>2816</v>
      </c>
      <c r="C1067" s="10" t="s">
        <v>2817</v>
      </c>
      <c r="D1067" s="0" t="s">
        <v>2818</v>
      </c>
    </row>
    <row r="1068" customFormat="false" ht="12.8" hidden="true" customHeight="false" outlineLevel="0" collapsed="false">
      <c r="A1068" s="9" t="n">
        <v>865</v>
      </c>
      <c r="B1068" s="10" t="s">
        <v>2819</v>
      </c>
      <c r="C1068" s="10" t="s">
        <v>2820</v>
      </c>
      <c r="D1068" s="0" t="s">
        <v>2821</v>
      </c>
    </row>
    <row r="1069" customFormat="false" ht="12.8" hidden="true" customHeight="false" outlineLevel="0" collapsed="false">
      <c r="A1069" s="9" t="n">
        <v>866</v>
      </c>
      <c r="B1069" s="10" t="s">
        <v>2822</v>
      </c>
      <c r="C1069" s="10" t="s">
        <v>2823</v>
      </c>
      <c r="D1069" s="0" t="s">
        <v>2824</v>
      </c>
    </row>
    <row r="1070" customFormat="false" ht="12.8" hidden="true" customHeight="false" outlineLevel="0" collapsed="false">
      <c r="A1070" s="9" t="n">
        <v>867</v>
      </c>
      <c r="B1070" s="10" t="s">
        <v>2825</v>
      </c>
      <c r="C1070" s="10" t="s">
        <v>2826</v>
      </c>
      <c r="D1070" s="0" t="s">
        <v>2827</v>
      </c>
    </row>
    <row r="1071" customFormat="false" ht="12.8" hidden="true" customHeight="false" outlineLevel="0" collapsed="false">
      <c r="A1071" s="9" t="n">
        <v>868</v>
      </c>
      <c r="B1071" s="10" t="s">
        <v>2828</v>
      </c>
      <c r="C1071" s="10" t="s">
        <v>2829</v>
      </c>
      <c r="D1071" s="0" t="s">
        <v>2830</v>
      </c>
    </row>
    <row r="1072" customFormat="false" ht="12.8" hidden="true" customHeight="false" outlineLevel="0" collapsed="false">
      <c r="A1072" s="9" t="n">
        <v>869</v>
      </c>
      <c r="B1072" s="10" t="s">
        <v>2831</v>
      </c>
      <c r="C1072" s="10" t="s">
        <v>2832</v>
      </c>
      <c r="D1072" s="0" t="s">
        <v>2833</v>
      </c>
    </row>
    <row r="1073" customFormat="false" ht="12.8" hidden="true" customHeight="false" outlineLevel="0" collapsed="false">
      <c r="A1073" s="9" t="n">
        <v>870</v>
      </c>
      <c r="B1073" s="10" t="s">
        <v>2834</v>
      </c>
      <c r="C1073" s="10" t="s">
        <v>2835</v>
      </c>
      <c r="D1073" s="0" t="s">
        <v>2836</v>
      </c>
    </row>
    <row r="1074" customFormat="false" ht="12.8" hidden="true" customHeight="false" outlineLevel="0" collapsed="false">
      <c r="A1074" s="9" t="n">
        <v>871</v>
      </c>
      <c r="B1074" s="10" t="s">
        <v>2837</v>
      </c>
      <c r="C1074" s="10" t="s">
        <v>2838</v>
      </c>
      <c r="D1074" s="0" t="s">
        <v>2839</v>
      </c>
    </row>
    <row r="1075" customFormat="false" ht="12.8" hidden="true" customHeight="false" outlineLevel="0" collapsed="false">
      <c r="A1075" s="9" t="n">
        <v>872</v>
      </c>
      <c r="B1075" s="10" t="s">
        <v>2840</v>
      </c>
      <c r="C1075" s="10" t="s">
        <v>2841</v>
      </c>
      <c r="D1075" s="0" t="s">
        <v>2842</v>
      </c>
    </row>
    <row r="1076" customFormat="false" ht="12.8" hidden="true" customHeight="false" outlineLevel="0" collapsed="false">
      <c r="A1076" s="9" t="n">
        <v>873</v>
      </c>
      <c r="B1076" s="10" t="s">
        <v>2843</v>
      </c>
      <c r="C1076" s="10" t="s">
        <v>2844</v>
      </c>
      <c r="D1076" s="0" t="s">
        <v>2845</v>
      </c>
    </row>
    <row r="1077" customFormat="false" ht="12.8" hidden="true" customHeight="false" outlineLevel="0" collapsed="false">
      <c r="A1077" s="9" t="n">
        <v>874</v>
      </c>
      <c r="B1077" s="10" t="s">
        <v>2846</v>
      </c>
      <c r="C1077" s="10" t="s">
        <v>2847</v>
      </c>
      <c r="D1077" s="0" t="s">
        <v>2848</v>
      </c>
    </row>
    <row r="1078" customFormat="false" ht="12.8" hidden="true" customHeight="false" outlineLevel="0" collapsed="false">
      <c r="A1078" s="9" t="n">
        <v>875</v>
      </c>
      <c r="B1078" s="10" t="s">
        <v>2849</v>
      </c>
      <c r="C1078" s="10" t="s">
        <v>2850</v>
      </c>
      <c r="D1078" s="0" t="s">
        <v>2851</v>
      </c>
    </row>
    <row r="1079" customFormat="false" ht="12.8" hidden="true" customHeight="false" outlineLevel="0" collapsed="false">
      <c r="A1079" s="9" t="n">
        <v>876</v>
      </c>
      <c r="B1079" s="10" t="s">
        <v>2852</v>
      </c>
      <c r="C1079" s="10" t="s">
        <v>2853</v>
      </c>
      <c r="D1079" s="0" t="s">
        <v>2854</v>
      </c>
    </row>
    <row r="1080" customFormat="false" ht="12.8" hidden="true" customHeight="false" outlineLevel="0" collapsed="false">
      <c r="A1080" s="9" t="n">
        <v>877</v>
      </c>
      <c r="B1080" s="10" t="s">
        <v>2855</v>
      </c>
      <c r="C1080" s="10" t="s">
        <v>2856</v>
      </c>
      <c r="D1080" s="0" t="s">
        <v>2857</v>
      </c>
    </row>
    <row r="1081" customFormat="false" ht="12.8" hidden="true" customHeight="false" outlineLevel="0" collapsed="false">
      <c r="A1081" s="9" t="n">
        <v>878</v>
      </c>
      <c r="B1081" s="10" t="s">
        <v>2858</v>
      </c>
      <c r="C1081" s="10" t="s">
        <v>2859</v>
      </c>
      <c r="D1081" s="0" t="s">
        <v>2860</v>
      </c>
    </row>
    <row r="1082" customFormat="false" ht="12.8" hidden="true" customHeight="false" outlineLevel="0" collapsed="false">
      <c r="A1082" s="9" t="n">
        <v>879</v>
      </c>
      <c r="B1082" s="10" t="s">
        <v>2861</v>
      </c>
      <c r="C1082" s="10" t="s">
        <v>2862</v>
      </c>
      <c r="D1082" s="0" t="s">
        <v>2863</v>
      </c>
    </row>
    <row r="1083" customFormat="false" ht="12.8" hidden="true" customHeight="false" outlineLevel="0" collapsed="false"/>
    <row r="1084" customFormat="false" ht="12.8" hidden="true" customHeight="false" outlineLevel="0" collapsed="false">
      <c r="A1084" s="9" t="n">
        <v>880</v>
      </c>
      <c r="B1084" s="10" t="s">
        <v>2864</v>
      </c>
      <c r="C1084" s="10" t="s">
        <v>2865</v>
      </c>
      <c r="D1084" s="0" t="s">
        <v>2866</v>
      </c>
    </row>
    <row r="1085" customFormat="false" ht="12.8" hidden="true" customHeight="false" outlineLevel="0" collapsed="false">
      <c r="A1085" s="9" t="n">
        <v>881</v>
      </c>
      <c r="B1085" s="10" t="s">
        <v>2867</v>
      </c>
      <c r="C1085" s="10" t="s">
        <v>2868</v>
      </c>
      <c r="D1085" s="0" t="s">
        <v>2869</v>
      </c>
    </row>
    <row r="1086" customFormat="false" ht="12.8" hidden="true" customHeight="false" outlineLevel="0" collapsed="false">
      <c r="A1086" s="9" t="n">
        <v>882</v>
      </c>
      <c r="B1086" s="10" t="s">
        <v>2870</v>
      </c>
      <c r="C1086" s="10" t="s">
        <v>2871</v>
      </c>
      <c r="D1086" s="0" t="s">
        <v>2872</v>
      </c>
    </row>
    <row r="1087" customFormat="false" ht="12.8" hidden="true" customHeight="false" outlineLevel="0" collapsed="false">
      <c r="A1087" s="9" t="n">
        <v>883</v>
      </c>
      <c r="B1087" s="10" t="s">
        <v>2873</v>
      </c>
      <c r="C1087" s="10" t="s">
        <v>2874</v>
      </c>
      <c r="D1087" s="0" t="s">
        <v>2875</v>
      </c>
    </row>
    <row r="1088" customFormat="false" ht="12.8" hidden="true" customHeight="false" outlineLevel="0" collapsed="false">
      <c r="A1088" s="9" t="n">
        <v>884</v>
      </c>
      <c r="B1088" s="10" t="s">
        <v>2876</v>
      </c>
      <c r="C1088" s="10" t="s">
        <v>2877</v>
      </c>
      <c r="D1088" s="0" t="s">
        <v>2878</v>
      </c>
    </row>
    <row r="1089" customFormat="false" ht="12.8" hidden="true" customHeight="false" outlineLevel="0" collapsed="false">
      <c r="A1089" s="9" t="n">
        <v>885</v>
      </c>
      <c r="B1089" s="10" t="s">
        <v>2879</v>
      </c>
      <c r="C1089" s="10" t="s">
        <v>2880</v>
      </c>
      <c r="D1089" s="0" t="s">
        <v>2881</v>
      </c>
    </row>
    <row r="1090" customFormat="false" ht="12.8" hidden="true" customHeight="false" outlineLevel="0" collapsed="false">
      <c r="A1090" s="9" t="n">
        <v>886</v>
      </c>
      <c r="B1090" s="10" t="s">
        <v>2882</v>
      </c>
      <c r="C1090" s="10" t="s">
        <v>2883</v>
      </c>
      <c r="D1090" s="0" t="s">
        <v>2884</v>
      </c>
    </row>
    <row r="1091" customFormat="false" ht="12.8" hidden="true" customHeight="false" outlineLevel="0" collapsed="false">
      <c r="A1091" s="9" t="n">
        <v>887</v>
      </c>
      <c r="B1091" s="10" t="s">
        <v>2885</v>
      </c>
      <c r="C1091" s="10" t="s">
        <v>2886</v>
      </c>
      <c r="D1091" s="0" t="s">
        <v>2887</v>
      </c>
    </row>
    <row r="1092" customFormat="false" ht="12.8" hidden="true" customHeight="false" outlineLevel="0" collapsed="false">
      <c r="A1092" s="9" t="n">
        <v>888</v>
      </c>
      <c r="B1092" s="10" t="s">
        <v>2888</v>
      </c>
      <c r="C1092" s="10" t="s">
        <v>2889</v>
      </c>
      <c r="D1092" s="0" t="s">
        <v>2890</v>
      </c>
    </row>
    <row r="1093" customFormat="false" ht="12.8" hidden="true" customHeight="false" outlineLevel="0" collapsed="false">
      <c r="A1093" s="9" t="n">
        <v>889</v>
      </c>
      <c r="B1093" s="10" t="s">
        <v>2891</v>
      </c>
      <c r="C1093" s="10" t="s">
        <v>2892</v>
      </c>
      <c r="D1093" s="0" t="s">
        <v>2893</v>
      </c>
    </row>
    <row r="1094" customFormat="false" ht="12.8" hidden="true" customHeight="false" outlineLevel="0" collapsed="false">
      <c r="A1094" s="9" t="n">
        <v>890</v>
      </c>
      <c r="B1094" s="10" t="s">
        <v>2894</v>
      </c>
      <c r="C1094" s="10" t="s">
        <v>2895</v>
      </c>
      <c r="D1094" s="0" t="s">
        <v>2896</v>
      </c>
    </row>
    <row r="1095" customFormat="false" ht="12.8" hidden="true" customHeight="false" outlineLevel="0" collapsed="false">
      <c r="A1095" s="9" t="n">
        <v>891</v>
      </c>
      <c r="B1095" s="10" t="s">
        <v>2897</v>
      </c>
      <c r="C1095" s="10" t="s">
        <v>2898</v>
      </c>
      <c r="D1095" s="0" t="s">
        <v>2899</v>
      </c>
    </row>
    <row r="1096" customFormat="false" ht="12.8" hidden="true" customHeight="false" outlineLevel="0" collapsed="false">
      <c r="A1096" s="9" t="n">
        <v>892</v>
      </c>
      <c r="B1096" s="10" t="s">
        <v>2900</v>
      </c>
      <c r="C1096" s="10" t="s">
        <v>2901</v>
      </c>
      <c r="D1096" s="0" t="s">
        <v>2902</v>
      </c>
    </row>
    <row r="1097" customFormat="false" ht="12.8" hidden="true" customHeight="false" outlineLevel="0" collapsed="false">
      <c r="A1097" s="9" t="n">
        <v>893</v>
      </c>
      <c r="B1097" s="10" t="s">
        <v>2903</v>
      </c>
      <c r="C1097" s="10" t="s">
        <v>2904</v>
      </c>
      <c r="D1097" s="0" t="s">
        <v>2905</v>
      </c>
    </row>
    <row r="1098" customFormat="false" ht="12.8" hidden="true" customHeight="false" outlineLevel="0" collapsed="false">
      <c r="A1098" s="9" t="n">
        <v>894</v>
      </c>
      <c r="B1098" s="10" t="s">
        <v>2906</v>
      </c>
      <c r="C1098" s="10" t="s">
        <v>2907</v>
      </c>
      <c r="D1098" s="0" t="s">
        <v>2908</v>
      </c>
    </row>
    <row r="1099" customFormat="false" ht="12.8" hidden="true" customHeight="false" outlineLevel="0" collapsed="false">
      <c r="A1099" s="9" t="n">
        <v>895</v>
      </c>
      <c r="B1099" s="10" t="s">
        <v>2909</v>
      </c>
      <c r="C1099" s="10" t="s">
        <v>2910</v>
      </c>
      <c r="D1099" s="0" t="s">
        <v>2911</v>
      </c>
    </row>
    <row r="1100" customFormat="false" ht="12.8" hidden="true" customHeight="false" outlineLevel="0" collapsed="false">
      <c r="A1100" s="9" t="n">
        <v>896</v>
      </c>
      <c r="B1100" s="10" t="s">
        <v>2912</v>
      </c>
      <c r="C1100" s="10" t="s">
        <v>2913</v>
      </c>
      <c r="D1100" s="0" t="s">
        <v>2914</v>
      </c>
    </row>
    <row r="1101" customFormat="false" ht="12.8" hidden="true" customHeight="false" outlineLevel="0" collapsed="false">
      <c r="A1101" s="9" t="n">
        <v>897</v>
      </c>
      <c r="B1101" s="10" t="s">
        <v>2915</v>
      </c>
      <c r="C1101" s="10" t="s">
        <v>2916</v>
      </c>
      <c r="D1101" s="0" t="s">
        <v>2917</v>
      </c>
    </row>
    <row r="1102" customFormat="false" ht="12.8" hidden="true" customHeight="false" outlineLevel="0" collapsed="false">
      <c r="A1102" s="9" t="n">
        <v>898</v>
      </c>
      <c r="B1102" s="10" t="s">
        <v>2918</v>
      </c>
      <c r="C1102" s="10" t="s">
        <v>2919</v>
      </c>
      <c r="D1102" s="0" t="s">
        <v>2920</v>
      </c>
    </row>
    <row r="1103" customFormat="false" ht="12.8" hidden="true" customHeight="false" outlineLevel="0" collapsed="false">
      <c r="A1103" s="9" t="n">
        <v>899</v>
      </c>
      <c r="B1103" s="10" t="s">
        <v>2921</v>
      </c>
      <c r="C1103" s="10" t="s">
        <v>2922</v>
      </c>
      <c r="D1103" s="0" t="s">
        <v>2923</v>
      </c>
    </row>
    <row r="1104" customFormat="false" ht="12.8" hidden="true" customHeight="false" outlineLevel="0" collapsed="false">
      <c r="A1104" s="9" t="n">
        <v>900</v>
      </c>
      <c r="B1104" s="10" t="s">
        <v>2924</v>
      </c>
      <c r="C1104" s="10" t="s">
        <v>2925</v>
      </c>
      <c r="D1104" s="0" t="s">
        <v>2926</v>
      </c>
    </row>
    <row r="1105" customFormat="false" ht="12.8" hidden="true" customHeight="false" outlineLevel="0" collapsed="false">
      <c r="A1105" s="9" t="n">
        <v>901</v>
      </c>
      <c r="B1105" s="10" t="s">
        <v>2927</v>
      </c>
      <c r="C1105" s="10" t="s">
        <v>2928</v>
      </c>
      <c r="D1105" s="0" t="s">
        <v>2929</v>
      </c>
    </row>
    <row r="1106" customFormat="false" ht="12.8" hidden="true" customHeight="false" outlineLevel="0" collapsed="false">
      <c r="A1106" s="9" t="n">
        <v>902</v>
      </c>
      <c r="B1106" s="10" t="s">
        <v>2930</v>
      </c>
      <c r="C1106" s="10" t="s">
        <v>2931</v>
      </c>
      <c r="D1106" s="0" t="s">
        <v>2932</v>
      </c>
    </row>
    <row r="1107" customFormat="false" ht="12.8" hidden="true" customHeight="false" outlineLevel="0" collapsed="false">
      <c r="A1107" s="9" t="n">
        <v>903</v>
      </c>
      <c r="B1107" s="10" t="s">
        <v>2933</v>
      </c>
      <c r="C1107" s="10" t="s">
        <v>2934</v>
      </c>
      <c r="D1107" s="0" t="s">
        <v>2935</v>
      </c>
    </row>
    <row r="1108" customFormat="false" ht="12.8" hidden="true" customHeight="false" outlineLevel="0" collapsed="false">
      <c r="A1108" s="9" t="n">
        <v>904</v>
      </c>
      <c r="B1108" s="10" t="s">
        <v>2936</v>
      </c>
      <c r="C1108" s="10" t="s">
        <v>2937</v>
      </c>
      <c r="D1108" s="0" t="s">
        <v>2938</v>
      </c>
    </row>
    <row r="1109" customFormat="false" ht="12.8" hidden="true" customHeight="false" outlineLevel="0" collapsed="false">
      <c r="A1109" s="9" t="n">
        <v>905</v>
      </c>
      <c r="B1109" s="10" t="s">
        <v>2939</v>
      </c>
      <c r="C1109" s="10" t="s">
        <v>2940</v>
      </c>
      <c r="D1109" s="0" t="s">
        <v>2941</v>
      </c>
    </row>
    <row r="1110" customFormat="false" ht="12.8" hidden="true" customHeight="false" outlineLevel="0" collapsed="false">
      <c r="A1110" s="9" t="n">
        <v>906</v>
      </c>
      <c r="B1110" s="10" t="s">
        <v>2942</v>
      </c>
      <c r="C1110" s="10" t="s">
        <v>2943</v>
      </c>
      <c r="D1110" s="0" t="s">
        <v>2944</v>
      </c>
    </row>
    <row r="1111" customFormat="false" ht="12.8" hidden="true" customHeight="false" outlineLevel="0" collapsed="false">
      <c r="A1111" s="9" t="n">
        <v>907</v>
      </c>
      <c r="B1111" s="10" t="s">
        <v>2945</v>
      </c>
      <c r="C1111" s="10" t="s">
        <v>2946</v>
      </c>
      <c r="D1111" s="0" t="s">
        <v>2947</v>
      </c>
    </row>
    <row r="1112" customFormat="false" ht="12.8" hidden="true" customHeight="false" outlineLevel="0" collapsed="false">
      <c r="A1112" s="9" t="n">
        <v>908</v>
      </c>
      <c r="B1112" s="10" t="s">
        <v>2948</v>
      </c>
      <c r="C1112" s="10" t="s">
        <v>2949</v>
      </c>
      <c r="D1112" s="0" t="s">
        <v>2950</v>
      </c>
    </row>
    <row r="1113" customFormat="false" ht="12.8" hidden="true" customHeight="false" outlineLevel="0" collapsed="false">
      <c r="A1113" s="9" t="n">
        <v>909</v>
      </c>
      <c r="B1113" s="10" t="s">
        <v>2951</v>
      </c>
      <c r="C1113" s="10" t="s">
        <v>2952</v>
      </c>
      <c r="D1113" s="0" t="s">
        <v>2953</v>
      </c>
    </row>
    <row r="1114" customFormat="false" ht="12.8" hidden="true" customHeight="false" outlineLevel="0" collapsed="false">
      <c r="A1114" s="9" t="n">
        <v>910</v>
      </c>
      <c r="B1114" s="10" t="s">
        <v>2954</v>
      </c>
      <c r="C1114" s="10" t="s">
        <v>2955</v>
      </c>
      <c r="D1114" s="0" t="s">
        <v>2956</v>
      </c>
    </row>
    <row r="1115" customFormat="false" ht="12.8" hidden="true" customHeight="false" outlineLevel="0" collapsed="false">
      <c r="A1115" s="9" t="n">
        <v>911</v>
      </c>
      <c r="B1115" s="10" t="s">
        <v>2957</v>
      </c>
      <c r="C1115" s="10" t="s">
        <v>2958</v>
      </c>
      <c r="D1115" s="0" t="s">
        <v>2959</v>
      </c>
    </row>
    <row r="1116" customFormat="false" ht="12.8" hidden="true" customHeight="false" outlineLevel="0" collapsed="false">
      <c r="A1116" s="9" t="n">
        <v>912</v>
      </c>
      <c r="B1116" s="10" t="s">
        <v>2960</v>
      </c>
      <c r="C1116" s="10" t="s">
        <v>2961</v>
      </c>
      <c r="D1116" s="0" t="s">
        <v>2962</v>
      </c>
    </row>
    <row r="1117" customFormat="false" ht="12.8" hidden="true" customHeight="false" outlineLevel="0" collapsed="false">
      <c r="A1117" s="9" t="n">
        <v>913</v>
      </c>
      <c r="B1117" s="10" t="s">
        <v>2963</v>
      </c>
      <c r="C1117" s="10" t="s">
        <v>2964</v>
      </c>
      <c r="D1117" s="0" t="s">
        <v>2965</v>
      </c>
    </row>
    <row r="1118" customFormat="false" ht="12.8" hidden="true" customHeight="false" outlineLevel="0" collapsed="false">
      <c r="A1118" s="9" t="n">
        <v>914</v>
      </c>
      <c r="B1118" s="10" t="s">
        <v>2966</v>
      </c>
      <c r="C1118" s="10" t="s">
        <v>2967</v>
      </c>
      <c r="D1118" s="0" t="s">
        <v>2968</v>
      </c>
    </row>
    <row r="1119" customFormat="false" ht="12.8" hidden="true" customHeight="false" outlineLevel="0" collapsed="false">
      <c r="A1119" s="9" t="n">
        <v>915</v>
      </c>
      <c r="B1119" s="10" t="s">
        <v>2969</v>
      </c>
      <c r="C1119" s="10" t="s">
        <v>2970</v>
      </c>
      <c r="D1119" s="0" t="s">
        <v>2971</v>
      </c>
    </row>
    <row r="1120" customFormat="false" ht="12.8" hidden="true" customHeight="false" outlineLevel="0" collapsed="false">
      <c r="A1120" s="9" t="n">
        <v>916</v>
      </c>
      <c r="B1120" s="10" t="s">
        <v>2972</v>
      </c>
      <c r="C1120" s="10" t="s">
        <v>2973</v>
      </c>
      <c r="D1120" s="0" t="s">
        <v>2974</v>
      </c>
    </row>
    <row r="1121" customFormat="false" ht="12.8" hidden="true" customHeight="false" outlineLevel="0" collapsed="false">
      <c r="A1121" s="9" t="n">
        <v>917</v>
      </c>
      <c r="B1121" s="10" t="s">
        <v>2975</v>
      </c>
      <c r="C1121" s="10" t="s">
        <v>2976</v>
      </c>
      <c r="D1121" s="0" t="s">
        <v>2977</v>
      </c>
    </row>
    <row r="1122" customFormat="false" ht="12.8" hidden="true" customHeight="false" outlineLevel="0" collapsed="false">
      <c r="A1122" s="9" t="n">
        <v>918</v>
      </c>
      <c r="B1122" s="10" t="s">
        <v>2978</v>
      </c>
      <c r="C1122" s="10" t="s">
        <v>2979</v>
      </c>
      <c r="D1122" s="0" t="s">
        <v>2980</v>
      </c>
    </row>
    <row r="1123" customFormat="false" ht="12.8" hidden="true" customHeight="false" outlineLevel="0" collapsed="false">
      <c r="A1123" s="9" t="n">
        <v>919</v>
      </c>
      <c r="B1123" s="10" t="s">
        <v>2981</v>
      </c>
      <c r="C1123" s="10" t="s">
        <v>2982</v>
      </c>
      <c r="D1123" s="0" t="s">
        <v>2983</v>
      </c>
    </row>
    <row r="1124" customFormat="false" ht="12.8" hidden="true" customHeight="false" outlineLevel="0" collapsed="false">
      <c r="A1124" s="9" t="n">
        <v>920</v>
      </c>
      <c r="B1124" s="10" t="s">
        <v>2984</v>
      </c>
      <c r="C1124" s="10" t="s">
        <v>2985</v>
      </c>
      <c r="D1124" s="0" t="s">
        <v>2986</v>
      </c>
    </row>
    <row r="1125" customFormat="false" ht="12.8" hidden="true" customHeight="false" outlineLevel="0" collapsed="false">
      <c r="A1125" s="9" t="n">
        <v>921</v>
      </c>
      <c r="B1125" s="10" t="s">
        <v>2987</v>
      </c>
      <c r="C1125" s="10" t="s">
        <v>2988</v>
      </c>
      <c r="D1125" s="0" t="s">
        <v>2989</v>
      </c>
    </row>
    <row r="1126" customFormat="false" ht="12.8" hidden="true" customHeight="false" outlineLevel="0" collapsed="false">
      <c r="A1126" s="9" t="n">
        <v>922</v>
      </c>
      <c r="B1126" s="10" t="s">
        <v>2990</v>
      </c>
      <c r="C1126" s="10" t="s">
        <v>2991</v>
      </c>
      <c r="D1126" s="0" t="s">
        <v>2992</v>
      </c>
    </row>
    <row r="1127" customFormat="false" ht="12.8" hidden="true" customHeight="false" outlineLevel="0" collapsed="false">
      <c r="A1127" s="9" t="n">
        <v>923</v>
      </c>
      <c r="B1127" s="10" t="s">
        <v>2993</v>
      </c>
      <c r="C1127" s="10" t="s">
        <v>2994</v>
      </c>
      <c r="D1127" s="0" t="s">
        <v>2995</v>
      </c>
    </row>
    <row r="1128" customFormat="false" ht="12.8" hidden="true" customHeight="false" outlineLevel="0" collapsed="false">
      <c r="A1128" s="9" t="n">
        <v>924</v>
      </c>
      <c r="B1128" s="10" t="s">
        <v>2996</v>
      </c>
      <c r="C1128" s="10" t="s">
        <v>2997</v>
      </c>
      <c r="D1128" s="0" t="s">
        <v>2998</v>
      </c>
    </row>
    <row r="1129" customFormat="false" ht="12.8" hidden="true" customHeight="false" outlineLevel="0" collapsed="false">
      <c r="A1129" s="9" t="n">
        <v>925</v>
      </c>
      <c r="B1129" s="10" t="s">
        <v>2999</v>
      </c>
      <c r="C1129" s="10" t="s">
        <v>3000</v>
      </c>
      <c r="D1129" s="0" t="s">
        <v>3001</v>
      </c>
    </row>
    <row r="1130" customFormat="false" ht="12.8" hidden="true" customHeight="false" outlineLevel="0" collapsed="false">
      <c r="A1130" s="9" t="n">
        <v>926</v>
      </c>
      <c r="B1130" s="10" t="s">
        <v>3002</v>
      </c>
      <c r="C1130" s="10" t="s">
        <v>3003</v>
      </c>
      <c r="D1130" s="0" t="s">
        <v>3004</v>
      </c>
    </row>
    <row r="1131" customFormat="false" ht="12.8" hidden="true" customHeight="false" outlineLevel="0" collapsed="false">
      <c r="A1131" s="9" t="n">
        <v>927</v>
      </c>
      <c r="B1131" s="10" t="s">
        <v>3005</v>
      </c>
      <c r="C1131" s="10" t="s">
        <v>3006</v>
      </c>
      <c r="D1131" s="0" t="s">
        <v>3007</v>
      </c>
    </row>
    <row r="1132" customFormat="false" ht="12.8" hidden="true" customHeight="false" outlineLevel="0" collapsed="false">
      <c r="A1132" s="9" t="n">
        <v>928</v>
      </c>
      <c r="B1132" s="10" t="s">
        <v>3008</v>
      </c>
      <c r="C1132" s="10" t="s">
        <v>3009</v>
      </c>
      <c r="D1132" s="0" t="s">
        <v>3010</v>
      </c>
    </row>
    <row r="1133" customFormat="false" ht="12.8" hidden="true" customHeight="false" outlineLevel="0" collapsed="false">
      <c r="A1133" s="9" t="n">
        <v>929</v>
      </c>
      <c r="B1133" s="10" t="s">
        <v>3011</v>
      </c>
      <c r="C1133" s="10" t="s">
        <v>3012</v>
      </c>
      <c r="D1133" s="0" t="s">
        <v>3013</v>
      </c>
    </row>
    <row r="1134" customFormat="false" ht="12.8" hidden="true" customHeight="false" outlineLevel="0" collapsed="false"/>
    <row r="1135" customFormat="false" ht="12.8" hidden="true" customHeight="false" outlineLevel="0" collapsed="false">
      <c r="A1135" s="9" t="n">
        <v>930</v>
      </c>
      <c r="B1135" s="10" t="s">
        <v>3011</v>
      </c>
      <c r="C1135" s="10" t="s">
        <v>3012</v>
      </c>
      <c r="D1135" s="0" t="s">
        <v>3013</v>
      </c>
    </row>
    <row r="1136" customFormat="false" ht="12.8" hidden="true" customHeight="false" outlineLevel="0" collapsed="false">
      <c r="A1136" s="9" t="n">
        <v>931</v>
      </c>
      <c r="B1136" s="10" t="s">
        <v>3014</v>
      </c>
      <c r="C1136" s="10" t="s">
        <v>3015</v>
      </c>
      <c r="D1136" s="0" t="s">
        <v>3016</v>
      </c>
    </row>
    <row r="1137" customFormat="false" ht="12.8" hidden="true" customHeight="false" outlineLevel="0" collapsed="false">
      <c r="A1137" s="9" t="n">
        <v>932</v>
      </c>
      <c r="B1137" s="10" t="s">
        <v>3017</v>
      </c>
      <c r="C1137" s="10" t="s">
        <v>3018</v>
      </c>
      <c r="D1137" s="0" t="s">
        <v>3019</v>
      </c>
    </row>
    <row r="1138" customFormat="false" ht="12.8" hidden="true" customHeight="false" outlineLevel="0" collapsed="false">
      <c r="A1138" s="9" t="n">
        <v>933</v>
      </c>
      <c r="B1138" s="10" t="s">
        <v>3020</v>
      </c>
      <c r="C1138" s="10" t="s">
        <v>3021</v>
      </c>
      <c r="D1138" s="0" t="s">
        <v>3022</v>
      </c>
    </row>
    <row r="1139" customFormat="false" ht="12.8" hidden="true" customHeight="false" outlineLevel="0" collapsed="false">
      <c r="A1139" s="9" t="n">
        <v>934</v>
      </c>
      <c r="B1139" s="10" t="s">
        <v>3023</v>
      </c>
      <c r="C1139" s="10" t="s">
        <v>3024</v>
      </c>
      <c r="D1139" s="0" t="s">
        <v>3025</v>
      </c>
    </row>
    <row r="1140" customFormat="false" ht="12.8" hidden="true" customHeight="false" outlineLevel="0" collapsed="false">
      <c r="A1140" s="9" t="n">
        <v>935</v>
      </c>
      <c r="B1140" s="10" t="s">
        <v>3026</v>
      </c>
      <c r="C1140" s="10" t="s">
        <v>3027</v>
      </c>
      <c r="D1140" s="0" t="s">
        <v>3028</v>
      </c>
    </row>
    <row r="1141" customFormat="false" ht="12.8" hidden="true" customHeight="false" outlineLevel="0" collapsed="false">
      <c r="A1141" s="9" t="n">
        <v>936</v>
      </c>
      <c r="B1141" s="10" t="s">
        <v>3029</v>
      </c>
      <c r="C1141" s="10" t="s">
        <v>3030</v>
      </c>
      <c r="D1141" s="0" t="s">
        <v>3031</v>
      </c>
    </row>
    <row r="1142" customFormat="false" ht="12.8" hidden="true" customHeight="false" outlineLevel="0" collapsed="false">
      <c r="A1142" s="9" t="n">
        <v>937</v>
      </c>
      <c r="B1142" s="10" t="s">
        <v>3032</v>
      </c>
      <c r="C1142" s="10" t="s">
        <v>3033</v>
      </c>
      <c r="D1142" s="0" t="s">
        <v>3034</v>
      </c>
    </row>
    <row r="1143" customFormat="false" ht="12.8" hidden="true" customHeight="false" outlineLevel="0" collapsed="false">
      <c r="A1143" s="9" t="n">
        <v>938</v>
      </c>
      <c r="B1143" s="10" t="s">
        <v>3035</v>
      </c>
      <c r="C1143" s="10" t="s">
        <v>3036</v>
      </c>
      <c r="D1143" s="0" t="s">
        <v>3037</v>
      </c>
    </row>
    <row r="1144" customFormat="false" ht="12.8" hidden="true" customHeight="false" outlineLevel="0" collapsed="false">
      <c r="A1144" s="9" t="n">
        <v>939</v>
      </c>
      <c r="B1144" s="10" t="s">
        <v>3038</v>
      </c>
      <c r="C1144" s="10" t="s">
        <v>3039</v>
      </c>
      <c r="D1144" s="0" t="s">
        <v>3040</v>
      </c>
    </row>
    <row r="1145" customFormat="false" ht="12.8" hidden="true" customHeight="false" outlineLevel="0" collapsed="false">
      <c r="A1145" s="9" t="n">
        <v>940</v>
      </c>
      <c r="B1145" s="10" t="s">
        <v>3041</v>
      </c>
      <c r="C1145" s="10" t="s">
        <v>3042</v>
      </c>
      <c r="D1145" s="0" t="s">
        <v>3043</v>
      </c>
    </row>
    <row r="1146" customFormat="false" ht="12.8" hidden="true" customHeight="false" outlineLevel="0" collapsed="false">
      <c r="A1146" s="9" t="n">
        <v>941</v>
      </c>
      <c r="B1146" s="10" t="s">
        <v>3044</v>
      </c>
      <c r="C1146" s="10" t="s">
        <v>3045</v>
      </c>
      <c r="D1146" s="0" t="s">
        <v>3046</v>
      </c>
    </row>
    <row r="1147" customFormat="false" ht="12.8" hidden="true" customHeight="false" outlineLevel="0" collapsed="false">
      <c r="A1147" s="9" t="n">
        <v>942</v>
      </c>
      <c r="B1147" s="10" t="s">
        <v>3047</v>
      </c>
      <c r="C1147" s="10" t="s">
        <v>3048</v>
      </c>
      <c r="D1147" s="0" t="s">
        <v>3049</v>
      </c>
    </row>
    <row r="1148" customFormat="false" ht="12.8" hidden="true" customHeight="false" outlineLevel="0" collapsed="false">
      <c r="A1148" s="9" t="n">
        <v>943</v>
      </c>
      <c r="B1148" s="10" t="s">
        <v>3050</v>
      </c>
      <c r="C1148" s="10" t="s">
        <v>3051</v>
      </c>
      <c r="D1148" s="0" t="s">
        <v>3052</v>
      </c>
    </row>
    <row r="1149" customFormat="false" ht="12.8" hidden="true" customHeight="false" outlineLevel="0" collapsed="false">
      <c r="A1149" s="9" t="n">
        <v>944</v>
      </c>
      <c r="B1149" s="10" t="s">
        <v>3053</v>
      </c>
      <c r="C1149" s="10" t="s">
        <v>3054</v>
      </c>
      <c r="D1149" s="0" t="s">
        <v>3055</v>
      </c>
    </row>
    <row r="1150" customFormat="false" ht="12.8" hidden="true" customHeight="false" outlineLevel="0" collapsed="false">
      <c r="A1150" s="9" t="n">
        <v>945</v>
      </c>
      <c r="B1150" s="10" t="s">
        <v>3056</v>
      </c>
      <c r="C1150" s="10" t="s">
        <v>3057</v>
      </c>
      <c r="D1150" s="0" t="s">
        <v>3058</v>
      </c>
    </row>
    <row r="1151" customFormat="false" ht="12.8" hidden="true" customHeight="false" outlineLevel="0" collapsed="false">
      <c r="A1151" s="9" t="n">
        <v>946</v>
      </c>
      <c r="B1151" s="10" t="s">
        <v>3059</v>
      </c>
      <c r="C1151" s="10" t="s">
        <v>3060</v>
      </c>
      <c r="D1151" s="0" t="s">
        <v>3061</v>
      </c>
    </row>
    <row r="1152" customFormat="false" ht="12.8" hidden="true" customHeight="false" outlineLevel="0" collapsed="false">
      <c r="A1152" s="9" t="n">
        <v>947</v>
      </c>
      <c r="B1152" s="10" t="s">
        <v>3062</v>
      </c>
      <c r="C1152" s="10" t="s">
        <v>3063</v>
      </c>
      <c r="D1152" s="0" t="s">
        <v>3064</v>
      </c>
    </row>
    <row r="1153" customFormat="false" ht="12.8" hidden="true" customHeight="false" outlineLevel="0" collapsed="false">
      <c r="A1153" s="9" t="n">
        <v>948</v>
      </c>
      <c r="B1153" s="10" t="s">
        <v>3065</v>
      </c>
      <c r="C1153" s="10" t="s">
        <v>3066</v>
      </c>
      <c r="D1153" s="0" t="s">
        <v>3067</v>
      </c>
    </row>
    <row r="1154" customFormat="false" ht="12.8" hidden="true" customHeight="false" outlineLevel="0" collapsed="false">
      <c r="A1154" s="9" t="n">
        <v>949</v>
      </c>
      <c r="B1154" s="10" t="s">
        <v>3068</v>
      </c>
      <c r="C1154" s="10" t="s">
        <v>3069</v>
      </c>
      <c r="D1154" s="0" t="s">
        <v>3070</v>
      </c>
    </row>
    <row r="1155" customFormat="false" ht="12.8" hidden="true" customHeight="false" outlineLevel="0" collapsed="false">
      <c r="A1155" s="9" t="n">
        <v>950</v>
      </c>
      <c r="B1155" s="10" t="s">
        <v>3071</v>
      </c>
      <c r="C1155" s="10" t="s">
        <v>3072</v>
      </c>
      <c r="D1155" s="0" t="s">
        <v>3073</v>
      </c>
    </row>
    <row r="1156" customFormat="false" ht="12.8" hidden="true" customHeight="false" outlineLevel="0" collapsed="false">
      <c r="A1156" s="9" t="n">
        <v>951</v>
      </c>
      <c r="B1156" s="10" t="s">
        <v>3074</v>
      </c>
      <c r="C1156" s="10" t="s">
        <v>3075</v>
      </c>
      <c r="D1156" s="0" t="s">
        <v>3076</v>
      </c>
    </row>
    <row r="1157" customFormat="false" ht="12.8" hidden="true" customHeight="false" outlineLevel="0" collapsed="false">
      <c r="A1157" s="9" t="n">
        <v>952</v>
      </c>
      <c r="B1157" s="10" t="s">
        <v>3077</v>
      </c>
      <c r="C1157" s="10" t="s">
        <v>3078</v>
      </c>
      <c r="D1157" s="0" t="s">
        <v>3079</v>
      </c>
    </row>
    <row r="1158" customFormat="false" ht="12.8" hidden="true" customHeight="false" outlineLevel="0" collapsed="false">
      <c r="A1158" s="9" t="n">
        <v>953</v>
      </c>
      <c r="B1158" s="10" t="s">
        <v>3080</v>
      </c>
      <c r="C1158" s="10" t="s">
        <v>3081</v>
      </c>
      <c r="D1158" s="0" t="s">
        <v>3082</v>
      </c>
    </row>
    <row r="1159" customFormat="false" ht="12.8" hidden="true" customHeight="false" outlineLevel="0" collapsed="false">
      <c r="A1159" s="9" t="n">
        <v>954</v>
      </c>
      <c r="B1159" s="10" t="s">
        <v>3083</v>
      </c>
      <c r="C1159" s="10" t="s">
        <v>3084</v>
      </c>
      <c r="D1159" s="0" t="s">
        <v>3085</v>
      </c>
    </row>
    <row r="1160" customFormat="false" ht="12.8" hidden="true" customHeight="false" outlineLevel="0" collapsed="false">
      <c r="A1160" s="9" t="n">
        <v>955</v>
      </c>
      <c r="B1160" s="10" t="s">
        <v>3086</v>
      </c>
      <c r="C1160" s="10" t="s">
        <v>3087</v>
      </c>
      <c r="D1160" s="0" t="s">
        <v>3088</v>
      </c>
    </row>
    <row r="1161" customFormat="false" ht="12.8" hidden="true" customHeight="false" outlineLevel="0" collapsed="false">
      <c r="A1161" s="9" t="n">
        <v>956</v>
      </c>
      <c r="B1161" s="10" t="s">
        <v>3089</v>
      </c>
      <c r="C1161" s="10" t="s">
        <v>3090</v>
      </c>
      <c r="D1161" s="0" t="s">
        <v>3091</v>
      </c>
    </row>
    <row r="1162" customFormat="false" ht="12.8" hidden="true" customHeight="false" outlineLevel="0" collapsed="false">
      <c r="A1162" s="9" t="n">
        <v>957</v>
      </c>
      <c r="B1162" s="10" t="s">
        <v>3092</v>
      </c>
      <c r="C1162" s="10" t="s">
        <v>3093</v>
      </c>
      <c r="D1162" s="0" t="s">
        <v>3094</v>
      </c>
    </row>
    <row r="1163" customFormat="false" ht="12.8" hidden="true" customHeight="false" outlineLevel="0" collapsed="false">
      <c r="A1163" s="9" t="n">
        <v>958</v>
      </c>
      <c r="B1163" s="10" t="s">
        <v>3095</v>
      </c>
      <c r="C1163" s="10" t="s">
        <v>3096</v>
      </c>
      <c r="D1163" s="0" t="s">
        <v>3097</v>
      </c>
    </row>
    <row r="1164" customFormat="false" ht="12.8" hidden="true" customHeight="false" outlineLevel="0" collapsed="false">
      <c r="A1164" s="9" t="n">
        <v>959</v>
      </c>
      <c r="B1164" s="10" t="s">
        <v>3098</v>
      </c>
      <c r="C1164" s="10" t="s">
        <v>3099</v>
      </c>
      <c r="D1164" s="0" t="s">
        <v>3100</v>
      </c>
    </row>
    <row r="1165" customFormat="false" ht="12.8" hidden="true" customHeight="false" outlineLevel="0" collapsed="false">
      <c r="A1165" s="9" t="n">
        <v>960</v>
      </c>
      <c r="B1165" s="10" t="s">
        <v>3101</v>
      </c>
      <c r="C1165" s="10" t="s">
        <v>3102</v>
      </c>
      <c r="D1165" s="0" t="s">
        <v>3103</v>
      </c>
    </row>
    <row r="1166" customFormat="false" ht="12.8" hidden="true" customHeight="false" outlineLevel="0" collapsed="false">
      <c r="A1166" s="9" t="n">
        <v>961</v>
      </c>
      <c r="B1166" s="10" t="s">
        <v>3104</v>
      </c>
      <c r="C1166" s="10" t="s">
        <v>3105</v>
      </c>
      <c r="D1166" s="0" t="s">
        <v>3106</v>
      </c>
    </row>
    <row r="1167" customFormat="false" ht="12.8" hidden="true" customHeight="false" outlineLevel="0" collapsed="false">
      <c r="A1167" s="9" t="n">
        <v>962</v>
      </c>
      <c r="B1167" s="10" t="s">
        <v>3107</v>
      </c>
      <c r="C1167" s="10" t="s">
        <v>3054</v>
      </c>
      <c r="D1167" s="0" t="s">
        <v>3055</v>
      </c>
    </row>
    <row r="1168" customFormat="false" ht="12.8" hidden="true" customHeight="false" outlineLevel="0" collapsed="false">
      <c r="A1168" s="9" t="n">
        <v>963</v>
      </c>
      <c r="B1168" s="10" t="s">
        <v>3108</v>
      </c>
      <c r="C1168" s="10" t="s">
        <v>3057</v>
      </c>
      <c r="D1168" s="0" t="s">
        <v>3058</v>
      </c>
    </row>
    <row r="1169" customFormat="false" ht="12.8" hidden="true" customHeight="false" outlineLevel="0" collapsed="false">
      <c r="A1169" s="9" t="n">
        <v>964</v>
      </c>
      <c r="B1169" s="10" t="s">
        <v>3059</v>
      </c>
      <c r="C1169" s="10" t="s">
        <v>3060</v>
      </c>
      <c r="D1169" s="0" t="s">
        <v>3061</v>
      </c>
    </row>
    <row r="1170" customFormat="false" ht="12.8" hidden="true" customHeight="false" outlineLevel="0" collapsed="false">
      <c r="A1170" s="9" t="n">
        <v>965</v>
      </c>
      <c r="B1170" s="10" t="s">
        <v>3109</v>
      </c>
      <c r="C1170" s="10" t="s">
        <v>3063</v>
      </c>
      <c r="D1170" s="0" t="s">
        <v>3064</v>
      </c>
    </row>
    <row r="1171" customFormat="false" ht="12.8" hidden="true" customHeight="false" outlineLevel="0" collapsed="false">
      <c r="A1171" s="9" t="n">
        <v>966</v>
      </c>
      <c r="B1171" s="10" t="s">
        <v>3110</v>
      </c>
      <c r="C1171" s="10" t="s">
        <v>3066</v>
      </c>
      <c r="D1171" s="0" t="s">
        <v>3111</v>
      </c>
    </row>
    <row r="1172" customFormat="false" ht="12.8" hidden="true" customHeight="false" outlineLevel="0" collapsed="false">
      <c r="A1172" s="9" t="n">
        <v>967</v>
      </c>
      <c r="B1172" s="10" t="s">
        <v>3112</v>
      </c>
      <c r="C1172" s="10" t="s">
        <v>3069</v>
      </c>
      <c r="D1172" s="0" t="s">
        <v>3070</v>
      </c>
    </row>
    <row r="1173" customFormat="false" ht="12.8" hidden="true" customHeight="false" outlineLevel="0" collapsed="false">
      <c r="A1173" s="9" t="n">
        <v>968</v>
      </c>
      <c r="B1173" s="10" t="s">
        <v>3071</v>
      </c>
      <c r="C1173" s="10" t="s">
        <v>3072</v>
      </c>
      <c r="D1173" s="0" t="s">
        <v>3073</v>
      </c>
    </row>
    <row r="1174" customFormat="false" ht="12.8" hidden="true" customHeight="false" outlineLevel="0" collapsed="false">
      <c r="A1174" s="9" t="n">
        <v>969</v>
      </c>
      <c r="B1174" s="10" t="s">
        <v>3074</v>
      </c>
      <c r="C1174" s="10" t="s">
        <v>3075</v>
      </c>
      <c r="D1174" s="0" t="s">
        <v>3076</v>
      </c>
    </row>
    <row r="1175" customFormat="false" ht="12.8" hidden="true" customHeight="false" outlineLevel="0" collapsed="false">
      <c r="A1175" s="9" t="n">
        <v>970</v>
      </c>
      <c r="B1175" s="10" t="s">
        <v>3077</v>
      </c>
      <c r="C1175" s="10" t="s">
        <v>3078</v>
      </c>
      <c r="D1175" s="0" t="s">
        <v>3079</v>
      </c>
    </row>
    <row r="1176" customFormat="false" ht="12.8" hidden="true" customHeight="false" outlineLevel="0" collapsed="false">
      <c r="A1176" s="9" t="n">
        <v>971</v>
      </c>
      <c r="B1176" s="10" t="s">
        <v>3080</v>
      </c>
      <c r="C1176" s="10" t="s">
        <v>3081</v>
      </c>
      <c r="D1176" s="0" t="s">
        <v>3082</v>
      </c>
    </row>
    <row r="1177" customFormat="false" ht="12.8" hidden="true" customHeight="false" outlineLevel="0" collapsed="false">
      <c r="A1177" s="9" t="n">
        <v>972</v>
      </c>
      <c r="B1177" s="10" t="s">
        <v>3083</v>
      </c>
      <c r="C1177" s="10" t="s">
        <v>3084</v>
      </c>
      <c r="D1177" s="0" t="s">
        <v>3085</v>
      </c>
    </row>
    <row r="1178" customFormat="false" ht="12.8" hidden="true" customHeight="false" outlineLevel="0" collapsed="false">
      <c r="A1178" s="9" t="n">
        <v>973</v>
      </c>
      <c r="B1178" s="10" t="s">
        <v>3086</v>
      </c>
      <c r="C1178" s="10" t="s">
        <v>3087</v>
      </c>
      <c r="D1178" s="0" t="s">
        <v>3088</v>
      </c>
    </row>
    <row r="1179" customFormat="false" ht="12.8" hidden="true" customHeight="false" outlineLevel="0" collapsed="false">
      <c r="A1179" s="9" t="n">
        <v>974</v>
      </c>
      <c r="B1179" s="10" t="s">
        <v>3113</v>
      </c>
      <c r="C1179" s="10" t="s">
        <v>3114</v>
      </c>
      <c r="D1179" s="0" t="s">
        <v>3115</v>
      </c>
    </row>
    <row r="1180" customFormat="false" ht="12.8" hidden="true" customHeight="false" outlineLevel="0" collapsed="false">
      <c r="A1180" s="9" t="n">
        <v>975</v>
      </c>
      <c r="B1180" s="10" t="s">
        <v>3116</v>
      </c>
      <c r="C1180" s="10" t="s">
        <v>3117</v>
      </c>
      <c r="D1180" s="0" t="s">
        <v>3118</v>
      </c>
    </row>
    <row r="1181" customFormat="false" ht="12.8" hidden="true" customHeight="false" outlineLevel="0" collapsed="false">
      <c r="A1181" s="9" t="n">
        <v>976</v>
      </c>
      <c r="B1181" s="10" t="s">
        <v>3119</v>
      </c>
      <c r="C1181" s="10" t="s">
        <v>3120</v>
      </c>
      <c r="D1181" s="0" t="s">
        <v>3097</v>
      </c>
    </row>
    <row r="1182" customFormat="false" ht="12.8" hidden="true" customHeight="false" outlineLevel="0" collapsed="false">
      <c r="A1182" s="9" t="n">
        <v>977</v>
      </c>
      <c r="B1182" s="10" t="s">
        <v>3121</v>
      </c>
      <c r="C1182" s="10" t="s">
        <v>3122</v>
      </c>
      <c r="D1182" s="0" t="s">
        <v>3123</v>
      </c>
    </row>
    <row r="1183" customFormat="false" ht="12.8" hidden="true" customHeight="false" outlineLevel="0" collapsed="false">
      <c r="A1183" s="9" t="n">
        <v>978</v>
      </c>
      <c r="B1183" s="10" t="s">
        <v>3124</v>
      </c>
      <c r="C1183" s="10" t="s">
        <v>3125</v>
      </c>
      <c r="D1183" s="0" t="s">
        <v>3103</v>
      </c>
    </row>
    <row r="1184" customFormat="false" ht="12.8" hidden="true" customHeight="false" outlineLevel="0" collapsed="false">
      <c r="A1184" s="9" t="n">
        <v>979</v>
      </c>
      <c r="B1184" s="10" t="s">
        <v>3126</v>
      </c>
      <c r="C1184" s="10" t="s">
        <v>3127</v>
      </c>
      <c r="D1184" s="0" t="s">
        <v>3106</v>
      </c>
    </row>
    <row r="1185" customFormat="false" ht="12.8" hidden="true" customHeight="false" outlineLevel="0" collapsed="false"/>
    <row r="1186" customFormat="false" ht="12.8" hidden="true" customHeight="false" outlineLevel="0" collapsed="false">
      <c r="A1186" s="9" t="n">
        <v>980</v>
      </c>
      <c r="B1186" s="10" t="s">
        <v>3014</v>
      </c>
      <c r="C1186" s="10" t="s">
        <v>3015</v>
      </c>
      <c r="D1186" s="0" t="s">
        <v>3016</v>
      </c>
    </row>
    <row r="1187" customFormat="false" ht="12.8" hidden="true" customHeight="false" outlineLevel="0" collapsed="false">
      <c r="A1187" s="9" t="n">
        <v>981</v>
      </c>
      <c r="B1187" s="10" t="s">
        <v>3017</v>
      </c>
      <c r="C1187" s="10" t="s">
        <v>3018</v>
      </c>
      <c r="D1187" s="0" t="s">
        <v>3019</v>
      </c>
    </row>
    <row r="1188" customFormat="false" ht="12.8" hidden="true" customHeight="false" outlineLevel="0" collapsed="false">
      <c r="A1188" s="9" t="n">
        <v>982</v>
      </c>
      <c r="B1188" s="10" t="s">
        <v>3020</v>
      </c>
      <c r="C1188" s="10" t="s">
        <v>3021</v>
      </c>
      <c r="D1188" s="0" t="s">
        <v>3022</v>
      </c>
    </row>
    <row r="1189" customFormat="false" ht="12.8" hidden="true" customHeight="false" outlineLevel="0" collapsed="false">
      <c r="A1189" s="9" t="n">
        <v>983</v>
      </c>
      <c r="B1189" s="10" t="s">
        <v>3023</v>
      </c>
      <c r="C1189" s="10" t="s">
        <v>3024</v>
      </c>
      <c r="D1189" s="0" t="s">
        <v>3025</v>
      </c>
    </row>
    <row r="1190" customFormat="false" ht="12.8" hidden="true" customHeight="false" outlineLevel="0" collapsed="false">
      <c r="A1190" s="9" t="n">
        <v>984</v>
      </c>
      <c r="B1190" s="10" t="s">
        <v>3026</v>
      </c>
      <c r="C1190" s="10" t="s">
        <v>3027</v>
      </c>
      <c r="D1190" s="0" t="s">
        <v>3028</v>
      </c>
    </row>
    <row r="1191" customFormat="false" ht="12.8" hidden="true" customHeight="false" outlineLevel="0" collapsed="false">
      <c r="A1191" s="9" t="n">
        <v>985</v>
      </c>
      <c r="B1191" s="10" t="s">
        <v>3029</v>
      </c>
      <c r="C1191" s="10" t="s">
        <v>3030</v>
      </c>
      <c r="D1191" s="0" t="s">
        <v>3031</v>
      </c>
    </row>
    <row r="1192" customFormat="false" ht="12.8" hidden="true" customHeight="false" outlineLevel="0" collapsed="false">
      <c r="A1192" s="9" t="n">
        <v>986</v>
      </c>
      <c r="B1192" s="10" t="s">
        <v>3032</v>
      </c>
      <c r="C1192" s="10" t="s">
        <v>3033</v>
      </c>
      <c r="D1192" s="0" t="s">
        <v>3034</v>
      </c>
    </row>
    <row r="1193" customFormat="false" ht="12.8" hidden="true" customHeight="false" outlineLevel="0" collapsed="false">
      <c r="A1193" s="9" t="n">
        <v>987</v>
      </c>
      <c r="B1193" s="10" t="s">
        <v>3035</v>
      </c>
      <c r="C1193" s="10" t="s">
        <v>3036</v>
      </c>
      <c r="D1193" s="0" t="s">
        <v>3037</v>
      </c>
    </row>
    <row r="1194" customFormat="false" ht="12.8" hidden="true" customHeight="false" outlineLevel="0" collapsed="false">
      <c r="A1194" s="9" t="n">
        <v>988</v>
      </c>
      <c r="B1194" s="10" t="s">
        <v>3038</v>
      </c>
      <c r="C1194" s="10" t="s">
        <v>3039</v>
      </c>
      <c r="D1194" s="0" t="s">
        <v>3040</v>
      </c>
    </row>
    <row r="1195" customFormat="false" ht="12.8" hidden="true" customHeight="false" outlineLevel="0" collapsed="false">
      <c r="A1195" s="9" t="n">
        <v>989</v>
      </c>
      <c r="B1195" s="10" t="s">
        <v>3041</v>
      </c>
      <c r="C1195" s="10" t="s">
        <v>3042</v>
      </c>
      <c r="D1195" s="0" t="s">
        <v>3106</v>
      </c>
    </row>
    <row r="1196" customFormat="false" ht="12.8" hidden="true" customHeight="false" outlineLevel="0" collapsed="false">
      <c r="A1196" s="9" t="n">
        <v>990</v>
      </c>
      <c r="B1196" s="10" t="s">
        <v>3044</v>
      </c>
      <c r="C1196" s="10" t="s">
        <v>3045</v>
      </c>
      <c r="D1196" s="0" t="s">
        <v>3046</v>
      </c>
    </row>
    <row r="1197" customFormat="false" ht="12.8" hidden="true" customHeight="false" outlineLevel="0" collapsed="false">
      <c r="A1197" s="9" t="n">
        <v>991</v>
      </c>
      <c r="B1197" s="10" t="s">
        <v>3047</v>
      </c>
      <c r="C1197" s="10" t="s">
        <v>3048</v>
      </c>
      <c r="D1197" s="0" t="s">
        <v>3049</v>
      </c>
    </row>
    <row r="1198" customFormat="false" ht="12.8" hidden="true" customHeight="false" outlineLevel="0" collapsed="false">
      <c r="A1198" s="9" t="n">
        <v>992</v>
      </c>
      <c r="B1198" s="10" t="s">
        <v>3050</v>
      </c>
      <c r="C1198" s="10" t="s">
        <v>3051</v>
      </c>
      <c r="D1198" s="0" t="s">
        <v>3052</v>
      </c>
    </row>
    <row r="1199" customFormat="false" ht="12.8" hidden="true" customHeight="false" outlineLevel="0" collapsed="false">
      <c r="A1199" s="9" t="n">
        <v>993</v>
      </c>
      <c r="B1199" s="10" t="s">
        <v>3053</v>
      </c>
      <c r="C1199" s="10" t="s">
        <v>3054</v>
      </c>
      <c r="D1199" s="0" t="s">
        <v>3055</v>
      </c>
    </row>
    <row r="1200" customFormat="false" ht="12.8" hidden="true" customHeight="false" outlineLevel="0" collapsed="false">
      <c r="A1200" s="9" t="n">
        <v>994</v>
      </c>
      <c r="B1200" s="10" t="s">
        <v>3056</v>
      </c>
      <c r="C1200" s="10" t="s">
        <v>3057</v>
      </c>
      <c r="D1200" s="0" t="s">
        <v>3058</v>
      </c>
    </row>
    <row r="1201" customFormat="false" ht="12.8" hidden="true" customHeight="false" outlineLevel="0" collapsed="false">
      <c r="A1201" s="9" t="n">
        <v>995</v>
      </c>
      <c r="B1201" s="10" t="s">
        <v>3059</v>
      </c>
      <c r="C1201" s="10" t="s">
        <v>3060</v>
      </c>
      <c r="D1201" s="0" t="s">
        <v>3061</v>
      </c>
    </row>
    <row r="1202" customFormat="false" ht="12.8" hidden="true" customHeight="false" outlineLevel="0" collapsed="false">
      <c r="A1202" s="9" t="n">
        <v>996</v>
      </c>
      <c r="B1202" s="10" t="s">
        <v>3109</v>
      </c>
      <c r="C1202" s="10" t="s">
        <v>3063</v>
      </c>
      <c r="D1202" s="0" t="s">
        <v>3064</v>
      </c>
    </row>
    <row r="1203" customFormat="false" ht="12.8" hidden="true" customHeight="false" outlineLevel="0" collapsed="false">
      <c r="A1203" s="9" t="n">
        <v>997</v>
      </c>
      <c r="B1203" s="10" t="s">
        <v>3110</v>
      </c>
      <c r="C1203" s="10" t="s">
        <v>3066</v>
      </c>
      <c r="D1203" s="0" t="s">
        <v>3111</v>
      </c>
    </row>
    <row r="1204" customFormat="false" ht="12.8" hidden="true" customHeight="false" outlineLevel="0" collapsed="false">
      <c r="A1204" s="9" t="n">
        <v>998</v>
      </c>
      <c r="B1204" s="10" t="s">
        <v>3112</v>
      </c>
      <c r="C1204" s="10" t="s">
        <v>3069</v>
      </c>
      <c r="D1204" s="0" t="s">
        <v>3070</v>
      </c>
    </row>
    <row r="1205" customFormat="false" ht="12.8" hidden="true" customHeight="false" outlineLevel="0" collapsed="false">
      <c r="A1205" s="9" t="n">
        <v>999</v>
      </c>
      <c r="B1205" s="10" t="s">
        <v>3071</v>
      </c>
      <c r="C1205" s="10" t="s">
        <v>3072</v>
      </c>
      <c r="D1205" s="0" t="s">
        <v>3073</v>
      </c>
    </row>
    <row r="1206" customFormat="false" ht="12.8" hidden="true" customHeight="false" outlineLevel="0" collapsed="false">
      <c r="A1206" s="9" t="n">
        <v>1000</v>
      </c>
      <c r="B1206" s="10" t="s">
        <v>3074</v>
      </c>
      <c r="C1206" s="10" t="s">
        <v>3075</v>
      </c>
      <c r="D1206" s="0" t="s">
        <v>3076</v>
      </c>
    </row>
    <row r="1207" customFormat="false" ht="12.8" hidden="true" customHeight="false" outlineLevel="0" collapsed="false">
      <c r="A1207" s="9" t="n">
        <v>1001</v>
      </c>
      <c r="B1207" s="10" t="s">
        <v>3077</v>
      </c>
      <c r="C1207" s="10" t="s">
        <v>3078</v>
      </c>
      <c r="D1207" s="0" t="s">
        <v>3079</v>
      </c>
    </row>
    <row r="1208" customFormat="false" ht="12.8" hidden="true" customHeight="false" outlineLevel="0" collapsed="false">
      <c r="A1208" s="9" t="n">
        <v>1002</v>
      </c>
      <c r="B1208" s="10" t="s">
        <v>3080</v>
      </c>
      <c r="C1208" s="10" t="s">
        <v>3081</v>
      </c>
      <c r="D1208" s="0" t="s">
        <v>3082</v>
      </c>
    </row>
    <row r="1209" customFormat="false" ht="12.8" hidden="true" customHeight="false" outlineLevel="0" collapsed="false">
      <c r="A1209" s="9" t="n">
        <v>1003</v>
      </c>
      <c r="B1209" s="10" t="s">
        <v>3083</v>
      </c>
      <c r="C1209" s="10" t="s">
        <v>3084</v>
      </c>
      <c r="D1209" s="0" t="s">
        <v>3085</v>
      </c>
    </row>
    <row r="1210" customFormat="false" ht="12.8" hidden="true" customHeight="false" outlineLevel="0" collapsed="false">
      <c r="A1210" s="9" t="n">
        <v>1004</v>
      </c>
      <c r="B1210" s="10" t="s">
        <v>3086</v>
      </c>
      <c r="C1210" s="10" t="s">
        <v>3087</v>
      </c>
      <c r="D1210" s="0" t="s">
        <v>3088</v>
      </c>
    </row>
    <row r="1211" customFormat="false" ht="12.8" hidden="true" customHeight="false" outlineLevel="0" collapsed="false">
      <c r="A1211" s="9" t="n">
        <v>1005</v>
      </c>
      <c r="B1211" s="10" t="s">
        <v>3113</v>
      </c>
      <c r="C1211" s="10" t="s">
        <v>3114</v>
      </c>
      <c r="D1211" s="0" t="s">
        <v>3115</v>
      </c>
    </row>
    <row r="1212" customFormat="false" ht="12.8" hidden="true" customHeight="false" outlineLevel="0" collapsed="false">
      <c r="A1212" s="9" t="n">
        <v>1006</v>
      </c>
      <c r="B1212" s="10" t="s">
        <v>3116</v>
      </c>
      <c r="C1212" s="10" t="s">
        <v>3117</v>
      </c>
      <c r="D1212" s="0" t="s">
        <v>3118</v>
      </c>
    </row>
    <row r="1213" customFormat="false" ht="12.8" hidden="true" customHeight="false" outlineLevel="0" collapsed="false">
      <c r="A1213" s="9" t="n">
        <v>1007</v>
      </c>
      <c r="B1213" s="10" t="s">
        <v>3119</v>
      </c>
      <c r="C1213" s="10" t="s">
        <v>3120</v>
      </c>
      <c r="D1213" s="0" t="s">
        <v>3097</v>
      </c>
    </row>
    <row r="1214" customFormat="false" ht="12.8" hidden="true" customHeight="false" outlineLevel="0" collapsed="false">
      <c r="A1214" s="9" t="n">
        <v>1008</v>
      </c>
      <c r="B1214" s="10" t="s">
        <v>3121</v>
      </c>
      <c r="C1214" s="10" t="s">
        <v>3122</v>
      </c>
      <c r="D1214" s="0" t="s">
        <v>3123</v>
      </c>
    </row>
    <row r="1215" customFormat="false" ht="12.8" hidden="true" customHeight="false" outlineLevel="0" collapsed="false">
      <c r="A1215" s="9" t="n">
        <v>1009</v>
      </c>
      <c r="B1215" s="10" t="s">
        <v>3124</v>
      </c>
      <c r="C1215" s="10" t="s">
        <v>3125</v>
      </c>
      <c r="D1215" s="0" t="s">
        <v>3103</v>
      </c>
    </row>
    <row r="1216" customFormat="false" ht="12.8" hidden="true" customHeight="false" outlineLevel="0" collapsed="false">
      <c r="A1216" s="9" t="n">
        <v>1010</v>
      </c>
      <c r="B1216" s="10" t="s">
        <v>3126</v>
      </c>
      <c r="C1216" s="10" t="s">
        <v>3127</v>
      </c>
      <c r="D1216" s="0" t="s">
        <v>3106</v>
      </c>
    </row>
    <row r="1217" customFormat="false" ht="12.8" hidden="true" customHeight="false" outlineLevel="0" collapsed="false">
      <c r="A1217" s="9" t="n">
        <v>1011</v>
      </c>
      <c r="B1217" s="10" t="s">
        <v>3107</v>
      </c>
      <c r="C1217" s="10" t="s">
        <v>3054</v>
      </c>
      <c r="D1217" s="0" t="s">
        <v>3055</v>
      </c>
    </row>
    <row r="1218" customFormat="false" ht="12.8" hidden="true" customHeight="false" outlineLevel="0" collapsed="false">
      <c r="A1218" s="9" t="n">
        <v>1012</v>
      </c>
      <c r="B1218" s="10" t="s">
        <v>3108</v>
      </c>
      <c r="C1218" s="10" t="s">
        <v>3057</v>
      </c>
      <c r="D1218" s="0" t="s">
        <v>3058</v>
      </c>
    </row>
    <row r="1219" customFormat="false" ht="12.8" hidden="true" customHeight="false" outlineLevel="0" collapsed="false">
      <c r="A1219" s="9" t="n">
        <v>1013</v>
      </c>
      <c r="B1219" s="10" t="s">
        <v>3059</v>
      </c>
      <c r="C1219" s="10" t="s">
        <v>3060</v>
      </c>
      <c r="D1219" s="0" t="s">
        <v>3061</v>
      </c>
    </row>
    <row r="1220" customFormat="false" ht="12.8" hidden="true" customHeight="false" outlineLevel="0" collapsed="false">
      <c r="A1220" s="9" t="n">
        <v>1014</v>
      </c>
      <c r="B1220" s="10" t="s">
        <v>3109</v>
      </c>
      <c r="C1220" s="10" t="s">
        <v>3063</v>
      </c>
      <c r="D1220" s="0" t="s">
        <v>3064</v>
      </c>
    </row>
    <row r="1221" customFormat="false" ht="12.8" hidden="true" customHeight="false" outlineLevel="0" collapsed="false">
      <c r="A1221" s="9" t="n">
        <v>1015</v>
      </c>
      <c r="B1221" s="10" t="s">
        <v>3110</v>
      </c>
      <c r="C1221" s="10" t="s">
        <v>3066</v>
      </c>
      <c r="D1221" s="0" t="s">
        <v>3111</v>
      </c>
    </row>
    <row r="1222" customFormat="false" ht="12.8" hidden="true" customHeight="false" outlineLevel="0" collapsed="false">
      <c r="A1222" s="9" t="n">
        <v>1016</v>
      </c>
      <c r="B1222" s="10" t="s">
        <v>3112</v>
      </c>
      <c r="C1222" s="10" t="s">
        <v>3069</v>
      </c>
      <c r="D1222" s="0" t="s">
        <v>3070</v>
      </c>
    </row>
    <row r="1223" customFormat="false" ht="12.8" hidden="true" customHeight="false" outlineLevel="0" collapsed="false">
      <c r="A1223" s="9" t="n">
        <v>1017</v>
      </c>
      <c r="B1223" s="10" t="s">
        <v>3071</v>
      </c>
      <c r="C1223" s="10" t="s">
        <v>3072</v>
      </c>
      <c r="D1223" s="0" t="s">
        <v>3073</v>
      </c>
    </row>
    <row r="1224" customFormat="false" ht="12.8" hidden="true" customHeight="false" outlineLevel="0" collapsed="false">
      <c r="A1224" s="9" t="n">
        <v>1018</v>
      </c>
      <c r="B1224" s="10" t="s">
        <v>3074</v>
      </c>
      <c r="C1224" s="10" t="s">
        <v>3075</v>
      </c>
      <c r="D1224" s="0" t="s">
        <v>3076</v>
      </c>
    </row>
    <row r="1225" customFormat="false" ht="12.8" hidden="true" customHeight="false" outlineLevel="0" collapsed="false">
      <c r="A1225" s="9" t="n">
        <v>1019</v>
      </c>
      <c r="B1225" s="10" t="s">
        <v>3077</v>
      </c>
      <c r="C1225" s="10" t="s">
        <v>3078</v>
      </c>
      <c r="D1225" s="0" t="s">
        <v>3079</v>
      </c>
    </row>
    <row r="1226" customFormat="false" ht="12.8" hidden="true" customHeight="false" outlineLevel="0" collapsed="false">
      <c r="A1226" s="9" t="n">
        <v>1020</v>
      </c>
      <c r="B1226" s="10" t="s">
        <v>3080</v>
      </c>
      <c r="C1226" s="10" t="s">
        <v>3081</v>
      </c>
      <c r="D1226" s="0" t="s">
        <v>3082</v>
      </c>
    </row>
    <row r="1227" customFormat="false" ht="12.8" hidden="true" customHeight="false" outlineLevel="0" collapsed="false">
      <c r="A1227" s="9" t="n">
        <v>1021</v>
      </c>
      <c r="B1227" s="10" t="s">
        <v>3083</v>
      </c>
      <c r="C1227" s="10" t="s">
        <v>3084</v>
      </c>
      <c r="D1227" s="0" t="s">
        <v>3085</v>
      </c>
    </row>
    <row r="1228" customFormat="false" ht="12.8" hidden="true" customHeight="false" outlineLevel="0" collapsed="false">
      <c r="A1228" s="9" t="n">
        <v>1022</v>
      </c>
      <c r="B1228" s="10" t="s">
        <v>3086</v>
      </c>
      <c r="C1228" s="10" t="s">
        <v>3087</v>
      </c>
      <c r="D1228" s="0" t="s">
        <v>3088</v>
      </c>
    </row>
    <row r="1229" customFormat="false" ht="12.8" hidden="true" customHeight="false" outlineLevel="0" collapsed="false">
      <c r="A1229" s="9" t="n">
        <v>1023</v>
      </c>
      <c r="B1229" s="10" t="s">
        <v>3113</v>
      </c>
      <c r="C1229" s="10" t="s">
        <v>3114</v>
      </c>
      <c r="D1229" s="0" t="s">
        <v>3115</v>
      </c>
    </row>
    <row r="1230" customFormat="false" ht="12.8" hidden="true" customHeight="false" outlineLevel="0" collapsed="false">
      <c r="A1230" s="9" t="n">
        <v>1024</v>
      </c>
      <c r="B1230" s="10" t="s">
        <v>3116</v>
      </c>
      <c r="C1230" s="10" t="s">
        <v>3117</v>
      </c>
      <c r="D1230" s="0" t="s">
        <v>3118</v>
      </c>
    </row>
    <row r="1231" customFormat="false" ht="12.8" hidden="true" customHeight="false" outlineLevel="0" collapsed="false">
      <c r="A1231" s="9" t="n">
        <v>1025</v>
      </c>
      <c r="B1231" s="10" t="s">
        <v>3119</v>
      </c>
      <c r="C1231" s="10" t="s">
        <v>3120</v>
      </c>
      <c r="D1231" s="0" t="s">
        <v>3097</v>
      </c>
    </row>
    <row r="1232" customFormat="false" ht="12.8" hidden="true" customHeight="false" outlineLevel="0" collapsed="false">
      <c r="A1232" s="9" t="n">
        <v>1026</v>
      </c>
      <c r="B1232" s="10" t="s">
        <v>3121</v>
      </c>
      <c r="C1232" s="10" t="s">
        <v>3122</v>
      </c>
      <c r="D1232" s="0" t="s">
        <v>3123</v>
      </c>
    </row>
    <row r="1233" customFormat="false" ht="12.8" hidden="true" customHeight="false" outlineLevel="0" collapsed="false">
      <c r="A1233" s="9" t="n">
        <v>1027</v>
      </c>
      <c r="B1233" s="10" t="s">
        <v>3124</v>
      </c>
      <c r="C1233" s="10" t="s">
        <v>3125</v>
      </c>
      <c r="D1233" s="0" t="s">
        <v>3103</v>
      </c>
    </row>
    <row r="1234" customFormat="false" ht="12.8" hidden="true" customHeight="false" outlineLevel="0" collapsed="false">
      <c r="A1234" s="9" t="n">
        <v>1028</v>
      </c>
      <c r="B1234" s="10" t="s">
        <v>3126</v>
      </c>
      <c r="C1234" s="10" t="s">
        <v>3127</v>
      </c>
      <c r="D1234" s="0" t="s">
        <v>3106</v>
      </c>
    </row>
    <row r="1235" customFormat="false" ht="12.8" hidden="true" customHeight="false" outlineLevel="0" collapsed="false">
      <c r="A1235" s="9" t="n">
        <v>1029</v>
      </c>
      <c r="B1235" s="10" t="s">
        <v>3107</v>
      </c>
      <c r="C1235" s="10" t="s">
        <v>3054</v>
      </c>
      <c r="D1235" s="0" t="s">
        <v>3055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H2610"/>
  <sheetViews>
    <sheetView showFormulas="false" showGridLines="true" showRowColHeaders="true" showZeros="true" rightToLeft="false" tabSelected="true" showOutlineSymbols="true" defaultGridColor="true" view="normal" topLeftCell="A2581" colorId="64" zoomScale="90" zoomScaleNormal="90" zoomScalePageLayoutView="100" workbookViewId="0">
      <selection pane="topLeft" activeCell="F2609" activeCellId="0" sqref="F2609"/>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41.51"/>
    <col collapsed="false" customWidth="true" hidden="false" outlineLevel="0" max="3" min="3" style="10" width="13.84"/>
  </cols>
  <sheetData>
    <row r="1" customFormat="false" ht="12.8" hidden="false" customHeight="false" outlineLevel="0" collapsed="false">
      <c r="A1" s="14" t="s">
        <v>3128</v>
      </c>
      <c r="B1" s="15" t="s">
        <v>6</v>
      </c>
      <c r="C1" s="15" t="s">
        <v>87</v>
      </c>
      <c r="D1" s="15" t="n">
        <v>2025</v>
      </c>
      <c r="E1" s="15"/>
      <c r="F1" s="17"/>
    </row>
    <row r="2" customFormat="false" ht="12.8" hidden="false" customHeight="false" outlineLevel="0" collapsed="false">
      <c r="A2" s="9" t="s">
        <v>3129</v>
      </c>
      <c r="B2" s="10" t="s">
        <v>3130</v>
      </c>
      <c r="C2" s="10" t="s">
        <v>3131</v>
      </c>
      <c r="D2" s="0" t="s">
        <v>3132</v>
      </c>
      <c r="E2" s="0" t="s">
        <v>3133</v>
      </c>
      <c r="F2" s="0" t="s">
        <v>3134</v>
      </c>
      <c r="G2" s="0" t="s">
        <v>3135</v>
      </c>
    </row>
    <row r="3" customFormat="false" ht="12.8" hidden="false" customHeight="false" outlineLevel="0" collapsed="false">
      <c r="A3" s="18" t="s">
        <v>3136</v>
      </c>
    </row>
    <row r="4" customFormat="false" ht="12.8" hidden="false" customHeight="false" outlineLevel="0" collapsed="false">
      <c r="A4" s="9" t="s">
        <v>3137</v>
      </c>
      <c r="B4" s="10" t="s">
        <v>3138</v>
      </c>
      <c r="C4" s="10" t="n">
        <v>2211.2</v>
      </c>
      <c r="D4" s="0" t="s">
        <v>3139</v>
      </c>
      <c r="E4" s="0" t="s">
        <v>3140</v>
      </c>
      <c r="F4" s="0" t="s">
        <v>3141</v>
      </c>
    </row>
    <row r="5" customFormat="false" ht="12.8" hidden="false" customHeight="false" outlineLevel="0" collapsed="false">
      <c r="A5" s="9" t="s">
        <v>3142</v>
      </c>
      <c r="B5" s="10" t="s">
        <v>3143</v>
      </c>
      <c r="C5" s="10" t="n">
        <v>30</v>
      </c>
      <c r="D5" s="0" t="s">
        <v>3144</v>
      </c>
      <c r="E5" s="0" t="s">
        <v>3145</v>
      </c>
      <c r="F5" s="0" t="s">
        <v>3146</v>
      </c>
    </row>
    <row r="6" customFormat="false" ht="12.8" hidden="false" customHeight="false" outlineLevel="0" collapsed="false">
      <c r="A6" s="9" t="s">
        <v>3147</v>
      </c>
      <c r="B6" s="10" t="s">
        <v>3148</v>
      </c>
      <c r="C6" s="10" t="n">
        <v>112.1</v>
      </c>
      <c r="D6" s="0" t="s">
        <v>3149</v>
      </c>
      <c r="E6" s="0" t="s">
        <v>3150</v>
      </c>
      <c r="F6" s="0" t="s">
        <v>3151</v>
      </c>
      <c r="G6" s="0" t="s">
        <v>3152</v>
      </c>
    </row>
    <row r="7" customFormat="false" ht="12.8" hidden="false" customHeight="false" outlineLevel="0" collapsed="false">
      <c r="A7" s="9" t="s">
        <v>3153</v>
      </c>
      <c r="B7" s="10" t="s">
        <v>3154</v>
      </c>
      <c r="C7" s="10" t="n">
        <v>217.3</v>
      </c>
      <c r="D7" s="0" t="s">
        <v>3155</v>
      </c>
      <c r="E7" s="0" t="s">
        <v>3150</v>
      </c>
      <c r="F7" s="0" t="s">
        <v>3151</v>
      </c>
      <c r="G7" s="0" t="s">
        <v>3152</v>
      </c>
    </row>
    <row r="8" customFormat="false" ht="12.8" hidden="false" customHeight="false" outlineLevel="0" collapsed="false">
      <c r="A8" s="9" t="s">
        <v>3156</v>
      </c>
      <c r="B8" s="10" t="s">
        <v>3157</v>
      </c>
      <c r="C8" s="10" t="n">
        <v>65</v>
      </c>
      <c r="D8" s="0" t="s">
        <v>3158</v>
      </c>
      <c r="E8" s="0" t="s">
        <v>3159</v>
      </c>
      <c r="F8" s="0" t="s">
        <v>3160</v>
      </c>
      <c r="G8" s="0" t="s">
        <v>3161</v>
      </c>
    </row>
    <row r="9" customFormat="false" ht="12.8" hidden="false" customHeight="false" outlineLevel="0" collapsed="false">
      <c r="A9" s="9" t="s">
        <v>3162</v>
      </c>
      <c r="B9" s="10" t="s">
        <v>3163</v>
      </c>
      <c r="C9" s="10" t="n">
        <v>287.1</v>
      </c>
      <c r="D9" s="0" t="s">
        <v>3164</v>
      </c>
      <c r="E9" s="0" t="s">
        <v>3150</v>
      </c>
      <c r="F9" s="0" t="s">
        <v>3151</v>
      </c>
      <c r="G9" s="0" t="s">
        <v>3152</v>
      </c>
    </row>
    <row r="10" customFormat="false" ht="12.8" hidden="false" customHeight="false" outlineLevel="0" collapsed="false">
      <c r="A10" s="9" t="s">
        <v>3165</v>
      </c>
      <c r="B10" s="10" t="s">
        <v>3166</v>
      </c>
      <c r="C10" s="10" t="n">
        <v>92.1</v>
      </c>
      <c r="D10" s="0" t="s">
        <v>3167</v>
      </c>
      <c r="E10" s="0" t="s">
        <v>3150</v>
      </c>
      <c r="F10" s="0" t="s">
        <v>3151</v>
      </c>
      <c r="G10" s="0" t="s">
        <v>3152</v>
      </c>
    </row>
    <row r="11" customFormat="false" ht="12.8" hidden="false" customHeight="false" outlineLevel="0" collapsed="false">
      <c r="A11" s="9" t="s">
        <v>3168</v>
      </c>
      <c r="B11" s="10" t="s">
        <v>3169</v>
      </c>
      <c r="C11" s="10" t="n">
        <v>326.9</v>
      </c>
      <c r="D11" s="0" t="s">
        <v>3170</v>
      </c>
      <c r="E11" s="0" t="s">
        <v>3150</v>
      </c>
      <c r="F11" s="0" t="s">
        <v>3151</v>
      </c>
      <c r="G11" s="0" t="s">
        <v>3152</v>
      </c>
    </row>
    <row r="12" customFormat="false" ht="12.8" hidden="false" customHeight="false" outlineLevel="0" collapsed="false">
      <c r="A12" s="9" t="s">
        <v>3171</v>
      </c>
      <c r="B12" s="10" t="s">
        <v>3172</v>
      </c>
      <c r="C12" s="10" t="n">
        <v>56.2</v>
      </c>
      <c r="D12" s="0" t="s">
        <v>3173</v>
      </c>
      <c r="E12" s="0" t="s">
        <v>3159</v>
      </c>
      <c r="F12" s="0" t="s">
        <v>3160</v>
      </c>
      <c r="G12" s="0" t="s">
        <v>3174</v>
      </c>
    </row>
    <row r="13" customFormat="false" ht="12.8" hidden="false" customHeight="false" outlineLevel="0" collapsed="false">
      <c r="A13" s="9" t="s">
        <v>3175</v>
      </c>
      <c r="B13" s="10" t="s">
        <v>3176</v>
      </c>
      <c r="C13" s="10" t="n">
        <v>45.9</v>
      </c>
      <c r="D13" s="0" t="s">
        <v>3177</v>
      </c>
      <c r="E13" s="0" t="s">
        <v>3159</v>
      </c>
      <c r="F13" s="0" t="s">
        <v>3160</v>
      </c>
      <c r="G13" s="0" t="s">
        <v>3178</v>
      </c>
    </row>
    <row r="14" customFormat="false" ht="12.8" hidden="false" customHeight="false" outlineLevel="0" collapsed="false">
      <c r="A14" s="9" t="s">
        <v>3179</v>
      </c>
      <c r="B14" s="10" t="s">
        <v>3180</v>
      </c>
      <c r="C14" s="10" t="n">
        <v>326.9</v>
      </c>
      <c r="D14" s="0" t="s">
        <v>3181</v>
      </c>
      <c r="E14" s="0" t="s">
        <v>3150</v>
      </c>
      <c r="F14" s="0" t="s">
        <v>3151</v>
      </c>
      <c r="G14" s="0" t="s">
        <v>3152</v>
      </c>
    </row>
    <row r="15" customFormat="false" ht="12.8" hidden="false" customHeight="false" outlineLevel="0" collapsed="false">
      <c r="A15" s="9" t="s">
        <v>3182</v>
      </c>
      <c r="B15" s="10" t="s">
        <v>3183</v>
      </c>
      <c r="C15" s="10" t="n">
        <v>204.5</v>
      </c>
      <c r="D15" s="0" t="s">
        <v>3184</v>
      </c>
      <c r="E15" s="0" t="s">
        <v>3150</v>
      </c>
      <c r="F15" s="0" t="s">
        <v>3151</v>
      </c>
      <c r="G15" s="0" t="s">
        <v>3152</v>
      </c>
    </row>
    <row r="16" customFormat="false" ht="12.8" hidden="false" customHeight="false" outlineLevel="0" collapsed="false">
      <c r="A16" s="9" t="s">
        <v>3185</v>
      </c>
      <c r="B16" s="10" t="s">
        <v>3186</v>
      </c>
      <c r="C16" s="10" t="n">
        <v>184</v>
      </c>
      <c r="D16" s="0" t="s">
        <v>3187</v>
      </c>
      <c r="E16" s="0" t="s">
        <v>3150</v>
      </c>
      <c r="F16" s="0" t="s">
        <v>3151</v>
      </c>
      <c r="G16" s="0" t="s">
        <v>3152</v>
      </c>
    </row>
    <row r="17" customFormat="false" ht="12.8" hidden="false" customHeight="false" outlineLevel="0" collapsed="false">
      <c r="A17" s="9" t="s">
        <v>3188</v>
      </c>
      <c r="B17" s="10" t="s">
        <v>3189</v>
      </c>
      <c r="C17" s="10" t="n">
        <v>122.7</v>
      </c>
      <c r="D17" s="0" t="s">
        <v>3190</v>
      </c>
      <c r="E17" s="0" t="s">
        <v>3150</v>
      </c>
      <c r="F17" s="0" t="s">
        <v>3151</v>
      </c>
      <c r="G17" s="0" t="s">
        <v>3152</v>
      </c>
    </row>
    <row r="18" customFormat="false" ht="12.8" hidden="false" customHeight="false" outlineLevel="0" collapsed="false">
      <c r="A18" s="9" t="s">
        <v>3191</v>
      </c>
      <c r="B18" s="10" t="s">
        <v>3192</v>
      </c>
      <c r="C18" s="10" t="n">
        <v>81.8</v>
      </c>
      <c r="D18" s="0" t="s">
        <v>3193</v>
      </c>
      <c r="E18" s="0" t="s">
        <v>3150</v>
      </c>
      <c r="F18" s="0" t="s">
        <v>3151</v>
      </c>
      <c r="G18" s="0" t="s">
        <v>3152</v>
      </c>
    </row>
    <row r="19" customFormat="false" ht="12.8" hidden="false" customHeight="false" outlineLevel="0" collapsed="false">
      <c r="A19" s="9" t="s">
        <v>3194</v>
      </c>
      <c r="B19" s="10" t="s">
        <v>3195</v>
      </c>
      <c r="C19" s="10" t="n">
        <v>408.9</v>
      </c>
      <c r="D19" s="0" t="s">
        <v>3196</v>
      </c>
      <c r="E19" s="0" t="s">
        <v>3150</v>
      </c>
      <c r="F19" s="0" t="s">
        <v>3151</v>
      </c>
      <c r="G19" s="0" t="s">
        <v>3152</v>
      </c>
    </row>
    <row r="20" customFormat="false" ht="12.8" hidden="false" customHeight="false" outlineLevel="0" collapsed="false">
      <c r="A20" s="9" t="s">
        <v>3197</v>
      </c>
      <c r="B20" s="10" t="s">
        <v>3198</v>
      </c>
      <c r="C20" s="10" t="n">
        <v>102.2</v>
      </c>
      <c r="D20" s="0" t="s">
        <v>3199</v>
      </c>
      <c r="E20" s="0" t="s">
        <v>3200</v>
      </c>
      <c r="F20" s="0" t="s">
        <v>3160</v>
      </c>
      <c r="G20" s="0" t="s">
        <v>3201</v>
      </c>
    </row>
    <row r="21" customFormat="false" ht="12.8" hidden="false" customHeight="false" outlineLevel="0" collapsed="false">
      <c r="A21" s="9" t="s">
        <v>3202</v>
      </c>
      <c r="B21" s="10" t="s">
        <v>3203</v>
      </c>
      <c r="C21" s="10" t="n">
        <v>112.4</v>
      </c>
      <c r="D21" s="0" t="s">
        <v>3204</v>
      </c>
      <c r="E21" s="0" t="s">
        <v>3150</v>
      </c>
      <c r="F21" s="0" t="s">
        <v>3151</v>
      </c>
      <c r="G21" s="0" t="s">
        <v>3152</v>
      </c>
    </row>
    <row r="22" customFormat="false" ht="12.8" hidden="false" customHeight="false" outlineLevel="0" collapsed="false">
      <c r="A22" s="9" t="s">
        <v>3205</v>
      </c>
      <c r="B22" s="10" t="s">
        <v>3206</v>
      </c>
      <c r="C22" s="10" t="n">
        <v>20.4</v>
      </c>
      <c r="D22" s="0" t="s">
        <v>3207</v>
      </c>
      <c r="E22" s="0" t="s">
        <v>3150</v>
      </c>
      <c r="F22" s="0" t="s">
        <v>3151</v>
      </c>
      <c r="G22" s="0" t="s">
        <v>3152</v>
      </c>
    </row>
    <row r="23" customFormat="false" ht="12.8" hidden="false" customHeight="false" outlineLevel="0" collapsed="false">
      <c r="A23" s="9" t="s">
        <v>3208</v>
      </c>
      <c r="B23" s="10" t="s">
        <v>3209</v>
      </c>
      <c r="C23" s="10" t="n">
        <v>25.5</v>
      </c>
      <c r="D23" s="0" t="s">
        <v>3210</v>
      </c>
      <c r="E23" s="0" t="s">
        <v>3150</v>
      </c>
      <c r="F23" s="0" t="s">
        <v>3151</v>
      </c>
      <c r="G23" s="0" t="s">
        <v>3152</v>
      </c>
    </row>
    <row r="24" customFormat="false" ht="12.8" hidden="false" customHeight="false" outlineLevel="0" collapsed="false">
      <c r="A24" s="9" t="s">
        <v>3211</v>
      </c>
      <c r="B24" s="10" t="s">
        <v>3212</v>
      </c>
      <c r="C24" s="10" t="n">
        <v>71.5</v>
      </c>
      <c r="D24" s="0" t="s">
        <v>3213</v>
      </c>
      <c r="E24" s="0" t="s">
        <v>3150</v>
      </c>
      <c r="F24" s="0" t="s">
        <v>3151</v>
      </c>
      <c r="G24" s="0" t="s">
        <v>3152</v>
      </c>
    </row>
    <row r="25" customFormat="false" ht="12.8" hidden="false" customHeight="false" outlineLevel="0" collapsed="false">
      <c r="A25" s="9" t="s">
        <v>3214</v>
      </c>
      <c r="B25" s="10" t="s">
        <v>3215</v>
      </c>
      <c r="C25" s="10" t="n">
        <v>51</v>
      </c>
      <c r="D25" s="0" t="s">
        <v>3216</v>
      </c>
      <c r="E25" s="0" t="s">
        <v>3150</v>
      </c>
      <c r="F25" s="0" t="s">
        <v>3151</v>
      </c>
      <c r="G25" s="0" t="s">
        <v>3152</v>
      </c>
    </row>
    <row r="26" customFormat="false" ht="12.8" hidden="false" customHeight="false" outlineLevel="0" collapsed="false">
      <c r="A26" s="9" t="s">
        <v>3217</v>
      </c>
      <c r="B26" s="10" t="s">
        <v>3218</v>
      </c>
      <c r="C26" s="10" t="n">
        <v>61.3</v>
      </c>
      <c r="D26" s="0" t="s">
        <v>3219</v>
      </c>
      <c r="E26" s="0" t="s">
        <v>3150</v>
      </c>
      <c r="F26" s="0" t="s">
        <v>3151</v>
      </c>
      <c r="G26" s="0" t="s">
        <v>3152</v>
      </c>
    </row>
    <row r="27" customFormat="false" ht="12.8" hidden="false" customHeight="false" outlineLevel="0" collapsed="false">
      <c r="A27" s="9" t="s">
        <v>3220</v>
      </c>
      <c r="B27" s="10" t="s">
        <v>3221</v>
      </c>
      <c r="C27" s="10" t="n">
        <v>153.3</v>
      </c>
      <c r="D27" s="0" t="s">
        <v>3222</v>
      </c>
      <c r="E27" s="0" t="s">
        <v>3150</v>
      </c>
      <c r="F27" s="0" t="s">
        <v>3151</v>
      </c>
      <c r="G27" s="0" t="s">
        <v>3152</v>
      </c>
    </row>
    <row r="28" customFormat="false" ht="12.8" hidden="false" customHeight="false" outlineLevel="0" collapsed="false">
      <c r="A28" s="9" t="s">
        <v>3223</v>
      </c>
      <c r="B28" s="10" t="s">
        <v>3224</v>
      </c>
      <c r="C28" s="10" t="n">
        <v>40.9</v>
      </c>
      <c r="D28" s="0" t="s">
        <v>3225</v>
      </c>
      <c r="E28" s="0" t="s">
        <v>3150</v>
      </c>
      <c r="F28" s="0" t="s">
        <v>3151</v>
      </c>
      <c r="G28" s="0" t="s">
        <v>3152</v>
      </c>
    </row>
    <row r="29" customFormat="false" ht="12.8" hidden="false" customHeight="false" outlineLevel="0" collapsed="false">
      <c r="A29" s="18" t="s">
        <v>3226</v>
      </c>
    </row>
    <row r="30" customFormat="false" ht="12.8" hidden="false" customHeight="false" outlineLevel="0" collapsed="false">
      <c r="A30" s="9" t="s">
        <v>3227</v>
      </c>
      <c r="B30" s="10" t="s">
        <v>3228</v>
      </c>
      <c r="C30" s="10" t="n">
        <v>224.4</v>
      </c>
      <c r="D30" s="0" t="s">
        <v>3229</v>
      </c>
      <c r="E30" s="0" t="s">
        <v>3150</v>
      </c>
      <c r="F30" s="0" t="s">
        <v>3151</v>
      </c>
      <c r="G30" s="0" t="s">
        <v>3230</v>
      </c>
    </row>
    <row r="31" customFormat="false" ht="12.8" hidden="false" customHeight="false" outlineLevel="0" collapsed="false">
      <c r="A31" s="9" t="s">
        <v>3231</v>
      </c>
      <c r="B31" s="10" t="s">
        <v>3232</v>
      </c>
      <c r="C31" s="10" t="n">
        <v>306.6</v>
      </c>
      <c r="D31" s="0" t="s">
        <v>3233</v>
      </c>
      <c r="E31" s="0" t="s">
        <v>3150</v>
      </c>
      <c r="F31" s="0" t="s">
        <v>3151</v>
      </c>
      <c r="G31" s="0" t="s">
        <v>3152</v>
      </c>
    </row>
    <row r="32" customFormat="false" ht="12.8" hidden="false" customHeight="false" outlineLevel="0" collapsed="false">
      <c r="A32" s="9" t="s">
        <v>3234</v>
      </c>
      <c r="B32" s="10" t="s">
        <v>3235</v>
      </c>
      <c r="C32" s="10" t="n">
        <v>1.05</v>
      </c>
      <c r="D32" s="0" t="s">
        <v>3236</v>
      </c>
      <c r="E32" s="0" t="s">
        <v>3237</v>
      </c>
      <c r="F32" s="0" t="s">
        <v>3160</v>
      </c>
      <c r="G32" s="0" t="s">
        <v>3238</v>
      </c>
    </row>
    <row r="33" customFormat="false" ht="12.8" hidden="false" customHeight="false" outlineLevel="0" collapsed="false">
      <c r="A33" s="9" t="s">
        <v>3239</v>
      </c>
      <c r="B33" s="10" t="s">
        <v>3240</v>
      </c>
      <c r="C33" s="10" t="n">
        <v>1.1</v>
      </c>
      <c r="D33" s="0" t="s">
        <v>3241</v>
      </c>
      <c r="E33" s="0" t="s">
        <v>3242</v>
      </c>
      <c r="F33" s="0" t="s">
        <v>3160</v>
      </c>
      <c r="G33" s="0" t="s">
        <v>3243</v>
      </c>
    </row>
    <row r="34" customFormat="false" ht="12.8" hidden="false" customHeight="false" outlineLevel="0" collapsed="false">
      <c r="A34" s="9" t="s">
        <v>3244</v>
      </c>
      <c r="B34" s="10" t="s">
        <v>3245</v>
      </c>
      <c r="C34" s="10" t="n">
        <v>1.03</v>
      </c>
      <c r="D34" s="0" t="s">
        <v>3246</v>
      </c>
      <c r="E34" s="0" t="s">
        <v>3242</v>
      </c>
      <c r="F34" s="0" t="s">
        <v>3160</v>
      </c>
      <c r="G34" s="0" t="s">
        <v>3247</v>
      </c>
    </row>
    <row r="35" customFormat="false" ht="12.8" hidden="false" customHeight="false" outlineLevel="0" collapsed="false">
      <c r="A35" s="9" t="s">
        <v>3248</v>
      </c>
      <c r="B35" s="10" t="s">
        <v>3249</v>
      </c>
      <c r="C35" s="10" t="n">
        <v>1.08</v>
      </c>
      <c r="D35" s="0" t="s">
        <v>3250</v>
      </c>
      <c r="E35" s="0" t="s">
        <v>3242</v>
      </c>
      <c r="F35" s="0" t="s">
        <v>3160</v>
      </c>
      <c r="G35" s="0" t="s">
        <v>3247</v>
      </c>
    </row>
    <row r="36" customFormat="false" ht="12.8" hidden="false" customHeight="false" outlineLevel="0" collapsed="false">
      <c r="A36" s="9" t="s">
        <v>3251</v>
      </c>
      <c r="B36" s="10" t="s">
        <v>3252</v>
      </c>
      <c r="C36" s="10" t="n">
        <v>1.02</v>
      </c>
      <c r="D36" s="0" t="s">
        <v>3253</v>
      </c>
      <c r="E36" s="0" t="s">
        <v>3242</v>
      </c>
      <c r="F36" s="0" t="s">
        <v>3151</v>
      </c>
      <c r="G36" s="0" t="s">
        <v>3247</v>
      </c>
    </row>
    <row r="37" customFormat="false" ht="12.8" hidden="false" customHeight="false" outlineLevel="0" collapsed="false">
      <c r="A37" s="9" t="s">
        <v>3254</v>
      </c>
      <c r="B37" s="10" t="s">
        <v>3255</v>
      </c>
      <c r="C37" s="10" t="n">
        <v>1.04</v>
      </c>
      <c r="D37" s="0" t="s">
        <v>3256</v>
      </c>
      <c r="E37" s="0" t="s">
        <v>3242</v>
      </c>
      <c r="F37" s="0" t="s">
        <v>3160</v>
      </c>
      <c r="G37" s="0" t="s">
        <v>3247</v>
      </c>
    </row>
    <row r="38" customFormat="false" ht="12.8" hidden="false" customHeight="false" outlineLevel="0" collapsed="false">
      <c r="A38" s="9" t="s">
        <v>3257</v>
      </c>
      <c r="B38" s="10" t="s">
        <v>3258</v>
      </c>
      <c r="C38" s="10" t="n">
        <v>1.03</v>
      </c>
      <c r="D38" s="0" t="s">
        <v>3259</v>
      </c>
      <c r="E38" s="0" t="s">
        <v>3242</v>
      </c>
      <c r="F38" s="0" t="s">
        <v>3160</v>
      </c>
      <c r="G38" s="0" t="s">
        <v>3247</v>
      </c>
    </row>
    <row r="39" customFormat="false" ht="12.8" hidden="false" customHeight="false" outlineLevel="0" collapsed="false">
      <c r="A39" s="9" t="s">
        <v>3260</v>
      </c>
      <c r="B39" s="10" t="s">
        <v>3261</v>
      </c>
      <c r="C39" s="10" t="n">
        <v>1.07</v>
      </c>
      <c r="D39" s="0" t="s">
        <v>3262</v>
      </c>
      <c r="E39" s="0" t="s">
        <v>3242</v>
      </c>
      <c r="F39" s="0" t="s">
        <v>3160</v>
      </c>
      <c r="G39" s="0" t="s">
        <v>3247</v>
      </c>
    </row>
    <row r="40" customFormat="false" ht="12.8" hidden="false" customHeight="false" outlineLevel="0" collapsed="false">
      <c r="A40" s="9" t="s">
        <v>3263</v>
      </c>
      <c r="B40" s="10" t="s">
        <v>3264</v>
      </c>
      <c r="C40" s="10" t="n">
        <v>1.04</v>
      </c>
      <c r="D40" s="0" t="s">
        <v>3265</v>
      </c>
      <c r="E40" s="0" t="s">
        <v>3242</v>
      </c>
      <c r="F40" s="0" t="s">
        <v>3160</v>
      </c>
      <c r="G40" s="0" t="s">
        <v>3247</v>
      </c>
    </row>
    <row r="41" customFormat="false" ht="12.8" hidden="false" customHeight="false" outlineLevel="0" collapsed="false">
      <c r="A41" s="9" t="s">
        <v>3266</v>
      </c>
      <c r="B41" s="10" t="s">
        <v>3267</v>
      </c>
      <c r="C41" s="10" t="n">
        <v>1.02</v>
      </c>
      <c r="D41" s="0" t="s">
        <v>3268</v>
      </c>
      <c r="E41" s="0" t="s">
        <v>3242</v>
      </c>
      <c r="F41" s="0" t="s">
        <v>3151</v>
      </c>
      <c r="G41" s="0" t="s">
        <v>3247</v>
      </c>
    </row>
    <row r="42" customFormat="false" ht="12.8" hidden="false" customHeight="false" outlineLevel="0" collapsed="false">
      <c r="A42" s="9" t="s">
        <v>3269</v>
      </c>
      <c r="B42" s="10" t="s">
        <v>3270</v>
      </c>
      <c r="C42" s="10" t="n">
        <v>1.01</v>
      </c>
      <c r="D42" s="0" t="s">
        <v>3271</v>
      </c>
      <c r="E42" s="0" t="s">
        <v>3242</v>
      </c>
      <c r="F42" s="0" t="s">
        <v>3151</v>
      </c>
      <c r="G42" s="0" t="s">
        <v>3247</v>
      </c>
    </row>
    <row r="43" customFormat="false" ht="12.8" hidden="false" customHeight="false" outlineLevel="0" collapsed="false">
      <c r="A43" s="9" t="s">
        <v>3272</v>
      </c>
      <c r="B43" s="10" t="s">
        <v>3273</v>
      </c>
      <c r="C43" s="10" t="n">
        <v>1.01</v>
      </c>
      <c r="D43" s="0" t="s">
        <v>3274</v>
      </c>
      <c r="E43" s="0" t="s">
        <v>3242</v>
      </c>
      <c r="F43" s="0" t="s">
        <v>3151</v>
      </c>
      <c r="G43" s="0" t="s">
        <v>3247</v>
      </c>
    </row>
    <row r="44" customFormat="false" ht="12.8" hidden="false" customHeight="false" outlineLevel="0" collapsed="false">
      <c r="A44" s="9" t="s">
        <v>3275</v>
      </c>
      <c r="B44" s="10" t="s">
        <v>3276</v>
      </c>
      <c r="C44" s="10" t="n">
        <v>1.01</v>
      </c>
      <c r="D44" s="0" t="s">
        <v>3277</v>
      </c>
      <c r="E44" s="0" t="s">
        <v>3242</v>
      </c>
      <c r="F44" s="0" t="s">
        <v>3151</v>
      </c>
      <c r="G44" s="0" t="s">
        <v>3247</v>
      </c>
    </row>
    <row r="45" customFormat="false" ht="12.8" hidden="false" customHeight="false" outlineLevel="0" collapsed="false">
      <c r="A45" s="9" t="s">
        <v>3278</v>
      </c>
      <c r="B45" s="10" t="s">
        <v>3279</v>
      </c>
      <c r="C45" s="10" t="n">
        <v>1.02</v>
      </c>
      <c r="D45" s="0" t="s">
        <v>3280</v>
      </c>
      <c r="E45" s="0" t="s">
        <v>3242</v>
      </c>
      <c r="F45" s="0" t="s">
        <v>3151</v>
      </c>
      <c r="G45" s="0" t="s">
        <v>3247</v>
      </c>
    </row>
    <row r="46" customFormat="false" ht="12.8" hidden="false" customHeight="false" outlineLevel="0" collapsed="false">
      <c r="A46" s="9" t="s">
        <v>3281</v>
      </c>
      <c r="B46" s="10" t="s">
        <v>3282</v>
      </c>
      <c r="C46" s="10" t="n">
        <v>1</v>
      </c>
      <c r="D46" s="0" t="s">
        <v>3283</v>
      </c>
      <c r="E46" s="0" t="s">
        <v>3242</v>
      </c>
      <c r="F46" s="0" t="s">
        <v>3151</v>
      </c>
      <c r="G46" s="0" t="s">
        <v>3247</v>
      </c>
    </row>
    <row r="47" customFormat="false" ht="12.8" hidden="false" customHeight="false" outlineLevel="0" collapsed="false">
      <c r="A47" s="9" t="s">
        <v>3284</v>
      </c>
      <c r="B47" s="10" t="s">
        <v>3285</v>
      </c>
      <c r="C47" s="10" t="n">
        <v>1.1</v>
      </c>
      <c r="D47" s="0" t="s">
        <v>3286</v>
      </c>
      <c r="E47" s="0" t="s">
        <v>3242</v>
      </c>
      <c r="F47" s="0" t="s">
        <v>3160</v>
      </c>
      <c r="G47" s="0" t="s">
        <v>3287</v>
      </c>
    </row>
    <row r="48" customFormat="false" ht="12.8" hidden="false" customHeight="false" outlineLevel="0" collapsed="false">
      <c r="A48" s="9" t="s">
        <v>3288</v>
      </c>
      <c r="B48" s="10" t="s">
        <v>3289</v>
      </c>
      <c r="C48" s="10" t="n">
        <v>1.05</v>
      </c>
      <c r="D48" s="0" t="s">
        <v>3290</v>
      </c>
      <c r="E48" s="0" t="s">
        <v>3242</v>
      </c>
      <c r="F48" s="0" t="s">
        <v>3160</v>
      </c>
      <c r="G48" s="0" t="s">
        <v>3247</v>
      </c>
    </row>
    <row r="49" customFormat="false" ht="12.8" hidden="false" customHeight="false" outlineLevel="0" collapsed="false">
      <c r="A49" s="9" t="s">
        <v>3291</v>
      </c>
      <c r="B49" s="10" t="s">
        <v>3292</v>
      </c>
      <c r="C49" s="10" t="n">
        <v>1.02</v>
      </c>
      <c r="D49" s="0" t="s">
        <v>3293</v>
      </c>
      <c r="E49" s="0" t="s">
        <v>3242</v>
      </c>
      <c r="F49" s="0" t="s">
        <v>3151</v>
      </c>
      <c r="G49" s="0" t="s">
        <v>3247</v>
      </c>
    </row>
    <row r="50" customFormat="false" ht="12.8" hidden="false" customHeight="false" outlineLevel="0" collapsed="false">
      <c r="A50" s="9" t="s">
        <v>3294</v>
      </c>
      <c r="B50" s="10" t="s">
        <v>3295</v>
      </c>
      <c r="C50" s="10" t="n">
        <v>1.01</v>
      </c>
      <c r="D50" s="0" t="s">
        <v>3296</v>
      </c>
      <c r="E50" s="0" t="s">
        <v>3242</v>
      </c>
      <c r="F50" s="0" t="s">
        <v>3151</v>
      </c>
      <c r="G50" s="0" t="s">
        <v>3247</v>
      </c>
    </row>
    <row r="51" customFormat="false" ht="12.8" hidden="false" customHeight="false" outlineLevel="0" collapsed="false">
      <c r="A51" s="9" t="s">
        <v>3297</v>
      </c>
      <c r="B51" s="10" t="s">
        <v>3298</v>
      </c>
      <c r="C51" s="10" t="n">
        <v>1.03</v>
      </c>
      <c r="D51" s="0" t="s">
        <v>3299</v>
      </c>
      <c r="E51" s="0" t="s">
        <v>3242</v>
      </c>
      <c r="F51" s="0" t="s">
        <v>3151</v>
      </c>
      <c r="G51" s="0" t="s">
        <v>3247</v>
      </c>
    </row>
    <row r="52" customFormat="false" ht="12.8" hidden="false" customHeight="false" outlineLevel="0" collapsed="false">
      <c r="A52" s="9" t="s">
        <v>3300</v>
      </c>
      <c r="B52" s="10" t="s">
        <v>3301</v>
      </c>
      <c r="C52" s="10" t="n">
        <v>1.02</v>
      </c>
      <c r="D52" s="0" t="s">
        <v>3302</v>
      </c>
      <c r="E52" s="0" t="s">
        <v>3242</v>
      </c>
      <c r="F52" s="0" t="s">
        <v>3151</v>
      </c>
      <c r="G52" s="0" t="s">
        <v>3247</v>
      </c>
    </row>
    <row r="53" customFormat="false" ht="12.8" hidden="false" customHeight="false" outlineLevel="0" collapsed="false">
      <c r="A53" s="9" t="s">
        <v>3303</v>
      </c>
      <c r="B53" s="10" t="s">
        <v>3304</v>
      </c>
      <c r="C53" s="10" t="n">
        <v>1.03</v>
      </c>
      <c r="D53" s="0" t="s">
        <v>3305</v>
      </c>
      <c r="E53" s="0" t="s">
        <v>3242</v>
      </c>
      <c r="F53" s="0" t="s">
        <v>3151</v>
      </c>
      <c r="G53" s="0" t="s">
        <v>3247</v>
      </c>
    </row>
    <row r="54" customFormat="false" ht="12.8" hidden="false" customHeight="false" outlineLevel="0" collapsed="false">
      <c r="A54" s="9" t="s">
        <v>3306</v>
      </c>
      <c r="B54" s="10" t="s">
        <v>3307</v>
      </c>
      <c r="C54" s="10" t="n">
        <v>1.08</v>
      </c>
      <c r="D54" s="0" t="s">
        <v>3308</v>
      </c>
      <c r="E54" s="0" t="s">
        <v>3242</v>
      </c>
      <c r="F54" s="0" t="s">
        <v>3160</v>
      </c>
      <c r="G54" s="0" t="s">
        <v>3247</v>
      </c>
    </row>
    <row r="55" customFormat="false" ht="12.8" hidden="false" customHeight="false" outlineLevel="0" collapsed="false">
      <c r="A55" s="9" t="s">
        <v>3309</v>
      </c>
      <c r="B55" s="10" t="s">
        <v>3310</v>
      </c>
      <c r="C55" s="10" t="n">
        <v>1.04</v>
      </c>
      <c r="D55" s="0" t="s">
        <v>3311</v>
      </c>
      <c r="E55" s="0" t="s">
        <v>3247</v>
      </c>
      <c r="F55" s="0" t="s">
        <v>3160</v>
      </c>
      <c r="G55" s="0" t="s">
        <v>3312</v>
      </c>
    </row>
    <row r="56" customFormat="false" ht="12.8" hidden="false" customHeight="false" outlineLevel="0" collapsed="false">
      <c r="A56" s="9" t="s">
        <v>3313</v>
      </c>
      <c r="B56" s="10" t="s">
        <v>3314</v>
      </c>
      <c r="C56" s="10" t="n">
        <v>1.06</v>
      </c>
      <c r="D56" s="0" t="s">
        <v>3315</v>
      </c>
      <c r="E56" s="0" t="s">
        <v>3247</v>
      </c>
      <c r="F56" s="0" t="s">
        <v>3160</v>
      </c>
      <c r="G56" s="0" t="s">
        <v>3316</v>
      </c>
    </row>
    <row r="57" customFormat="false" ht="12.8" hidden="false" customHeight="false" outlineLevel="0" collapsed="false">
      <c r="A57" s="9" t="s">
        <v>3317</v>
      </c>
      <c r="B57" s="10" t="s">
        <v>3318</v>
      </c>
      <c r="C57" s="10" t="n">
        <v>1</v>
      </c>
      <c r="D57" s="0" t="s">
        <v>3319</v>
      </c>
      <c r="E57" s="0" t="s">
        <v>3247</v>
      </c>
      <c r="F57" s="0" t="s">
        <v>3151</v>
      </c>
      <c r="G57" s="0" t="s">
        <v>3320</v>
      </c>
    </row>
    <row r="58" customFormat="false" ht="12.8" hidden="false" customHeight="false" outlineLevel="0" collapsed="false">
      <c r="A58" s="19" t="s">
        <v>3321</v>
      </c>
    </row>
    <row r="59" customFormat="false" ht="12.8" hidden="false" customHeight="false" outlineLevel="0" collapsed="false">
      <c r="A59" s="9" t="s">
        <v>3322</v>
      </c>
      <c r="B59" s="10" t="s">
        <v>3323</v>
      </c>
      <c r="C59" s="10" t="n">
        <v>0.7</v>
      </c>
      <c r="D59" s="0" t="s">
        <v>3324</v>
      </c>
      <c r="E59" s="0" t="s">
        <v>3325</v>
      </c>
      <c r="F59" s="0" t="s">
        <v>3151</v>
      </c>
      <c r="G59" s="0" t="s">
        <v>3326</v>
      </c>
    </row>
    <row r="60" customFormat="false" ht="12.8" hidden="false" customHeight="false" outlineLevel="0" collapsed="false">
      <c r="A60" s="9" t="s">
        <v>3327</v>
      </c>
      <c r="B60" s="10" t="s">
        <v>3328</v>
      </c>
      <c r="C60" s="10" t="n">
        <v>0.3</v>
      </c>
      <c r="D60" s="0" t="s">
        <v>3329</v>
      </c>
      <c r="E60" s="0" t="s">
        <v>3325</v>
      </c>
      <c r="F60" s="0" t="s">
        <v>3151</v>
      </c>
      <c r="G60" s="0" t="s">
        <v>3326</v>
      </c>
    </row>
    <row r="61" customFormat="false" ht="12.8" hidden="false" customHeight="false" outlineLevel="0" collapsed="false">
      <c r="A61" s="9" t="s">
        <v>3330</v>
      </c>
      <c r="B61" s="10" t="s">
        <v>3331</v>
      </c>
      <c r="C61" s="10" t="n">
        <v>0.65</v>
      </c>
      <c r="D61" s="0" t="s">
        <v>3332</v>
      </c>
      <c r="E61" s="0" t="s">
        <v>3325</v>
      </c>
      <c r="F61" s="0" t="s">
        <v>3151</v>
      </c>
      <c r="G61" s="0" t="s">
        <v>3326</v>
      </c>
    </row>
    <row r="62" customFormat="false" ht="12.8" hidden="false" customHeight="false" outlineLevel="0" collapsed="false">
      <c r="A62" s="9" t="s">
        <v>3333</v>
      </c>
      <c r="B62" s="10" t="s">
        <v>3334</v>
      </c>
      <c r="C62" s="10" t="n">
        <v>0.35</v>
      </c>
      <c r="D62" s="0" t="s">
        <v>3335</v>
      </c>
      <c r="E62" s="0" t="s">
        <v>3325</v>
      </c>
      <c r="F62" s="0" t="s">
        <v>3151</v>
      </c>
      <c r="G62" s="0" t="s">
        <v>3326</v>
      </c>
    </row>
    <row r="63" customFormat="false" ht="12.8" hidden="false" customHeight="false" outlineLevel="0" collapsed="false">
      <c r="A63" s="9" t="s">
        <v>3336</v>
      </c>
      <c r="B63" s="10" t="s">
        <v>3337</v>
      </c>
      <c r="C63" s="10" t="n">
        <v>0.55</v>
      </c>
      <c r="D63" s="0" t="s">
        <v>3338</v>
      </c>
      <c r="E63" s="0" t="s">
        <v>3325</v>
      </c>
      <c r="F63" s="0" t="s">
        <v>3151</v>
      </c>
      <c r="G63" s="0" t="s">
        <v>3326</v>
      </c>
    </row>
    <row r="64" customFormat="false" ht="12.8" hidden="false" customHeight="false" outlineLevel="0" collapsed="false">
      <c r="A64" s="9" t="s">
        <v>3339</v>
      </c>
      <c r="B64" s="10" t="s">
        <v>3340</v>
      </c>
      <c r="C64" s="10" t="n">
        <v>0.45</v>
      </c>
      <c r="D64" s="0" t="s">
        <v>3341</v>
      </c>
      <c r="E64" s="0" t="s">
        <v>3325</v>
      </c>
      <c r="F64" s="0" t="s">
        <v>3151</v>
      </c>
      <c r="G64" s="0" t="s">
        <v>3326</v>
      </c>
    </row>
    <row r="65" customFormat="false" ht="12.8" hidden="false" customHeight="false" outlineLevel="0" collapsed="false">
      <c r="A65" s="9" t="s">
        <v>3342</v>
      </c>
      <c r="B65" s="10" t="s">
        <v>3343</v>
      </c>
      <c r="C65" s="10" t="n">
        <v>0.6</v>
      </c>
      <c r="D65" s="0" t="s">
        <v>3344</v>
      </c>
      <c r="E65" s="0" t="s">
        <v>3325</v>
      </c>
      <c r="F65" s="0" t="s">
        <v>3151</v>
      </c>
      <c r="G65" s="0" t="s">
        <v>3326</v>
      </c>
    </row>
    <row r="66" customFormat="false" ht="12.8" hidden="false" customHeight="false" outlineLevel="0" collapsed="false">
      <c r="A66" s="9" t="s">
        <v>3345</v>
      </c>
      <c r="B66" s="10" t="s">
        <v>3346</v>
      </c>
      <c r="C66" s="10" t="n">
        <v>0.4</v>
      </c>
      <c r="D66" s="0" t="s">
        <v>3347</v>
      </c>
      <c r="E66" s="0" t="s">
        <v>3325</v>
      </c>
      <c r="F66" s="0" t="s">
        <v>3151</v>
      </c>
      <c r="G66" s="0" t="s">
        <v>3326</v>
      </c>
    </row>
    <row r="67" customFormat="false" ht="12.8" hidden="false" customHeight="false" outlineLevel="0" collapsed="false">
      <c r="A67" s="9" t="s">
        <v>3348</v>
      </c>
      <c r="B67" s="10" t="s">
        <v>3349</v>
      </c>
      <c r="C67" s="10" t="n">
        <v>0.68</v>
      </c>
      <c r="D67" s="0" t="s">
        <v>3350</v>
      </c>
      <c r="E67" s="0" t="s">
        <v>3325</v>
      </c>
      <c r="F67" s="0" t="s">
        <v>3151</v>
      </c>
      <c r="G67" s="0" t="s">
        <v>3326</v>
      </c>
    </row>
    <row r="68" customFormat="false" ht="12.8" hidden="false" customHeight="false" outlineLevel="0" collapsed="false">
      <c r="A68" s="9" t="s">
        <v>3351</v>
      </c>
      <c r="B68" s="10" t="s">
        <v>3352</v>
      </c>
      <c r="C68" s="10" t="n">
        <v>0.32</v>
      </c>
      <c r="D68" s="0" t="s">
        <v>3353</v>
      </c>
      <c r="E68" s="0" t="s">
        <v>3325</v>
      </c>
      <c r="F68" s="0" t="s">
        <v>3151</v>
      </c>
      <c r="G68" s="0" t="s">
        <v>3326</v>
      </c>
    </row>
    <row r="69" customFormat="false" ht="12.8" hidden="false" customHeight="false" outlineLevel="0" collapsed="false">
      <c r="A69" s="9" t="s">
        <v>3354</v>
      </c>
      <c r="B69" s="10" t="s">
        <v>3355</v>
      </c>
      <c r="C69" s="10" t="n">
        <v>0.62</v>
      </c>
      <c r="D69" s="0" t="s">
        <v>3356</v>
      </c>
      <c r="E69" s="0" t="s">
        <v>3325</v>
      </c>
      <c r="F69" s="0" t="s">
        <v>3151</v>
      </c>
      <c r="G69" s="0" t="s">
        <v>3326</v>
      </c>
    </row>
    <row r="70" customFormat="false" ht="12.8" hidden="false" customHeight="false" outlineLevel="0" collapsed="false">
      <c r="A70" s="9" t="s">
        <v>3357</v>
      </c>
      <c r="B70" s="10" t="s">
        <v>3358</v>
      </c>
      <c r="C70" s="10" t="n">
        <v>0.38</v>
      </c>
      <c r="D70" s="0" t="s">
        <v>3359</v>
      </c>
      <c r="E70" s="0" t="s">
        <v>3325</v>
      </c>
      <c r="F70" s="0" t="s">
        <v>3151</v>
      </c>
      <c r="G70" s="0" t="s">
        <v>3326</v>
      </c>
    </row>
    <row r="71" customFormat="false" ht="12.8" hidden="false" customHeight="false" outlineLevel="0" collapsed="false">
      <c r="A71" s="9" t="s">
        <v>3360</v>
      </c>
      <c r="B71" s="10" t="s">
        <v>3361</v>
      </c>
      <c r="C71" s="10" t="n">
        <v>0.58</v>
      </c>
      <c r="D71" s="0" t="s">
        <v>3362</v>
      </c>
      <c r="E71" s="0" t="s">
        <v>3325</v>
      </c>
      <c r="F71" s="0" t="s">
        <v>3151</v>
      </c>
      <c r="G71" s="0" t="s">
        <v>3326</v>
      </c>
    </row>
    <row r="72" customFormat="false" ht="12.8" hidden="false" customHeight="false" outlineLevel="0" collapsed="false">
      <c r="A72" s="9" t="s">
        <v>3363</v>
      </c>
      <c r="B72" s="10" t="s">
        <v>3364</v>
      </c>
      <c r="C72" s="10" t="n">
        <v>0.42</v>
      </c>
      <c r="D72" s="0" t="s">
        <v>3365</v>
      </c>
      <c r="E72" s="0" t="s">
        <v>3325</v>
      </c>
      <c r="F72" s="0" t="s">
        <v>3151</v>
      </c>
      <c r="G72" s="0" t="s">
        <v>3326</v>
      </c>
    </row>
    <row r="73" customFormat="false" ht="12.8" hidden="false" customHeight="false" outlineLevel="0" collapsed="false">
      <c r="A73" s="9" t="s">
        <v>3366</v>
      </c>
      <c r="B73" s="10" t="s">
        <v>3367</v>
      </c>
      <c r="C73" s="10" t="n">
        <v>0.72</v>
      </c>
      <c r="D73" s="0" t="s">
        <v>3368</v>
      </c>
      <c r="E73" s="0" t="s">
        <v>3325</v>
      </c>
      <c r="F73" s="0" t="s">
        <v>3151</v>
      </c>
      <c r="G73" s="0" t="s">
        <v>3326</v>
      </c>
    </row>
    <row r="74" customFormat="false" ht="12.8" hidden="false" customHeight="false" outlineLevel="0" collapsed="false">
      <c r="A74" s="9" t="s">
        <v>3369</v>
      </c>
      <c r="B74" s="10" t="s">
        <v>3370</v>
      </c>
      <c r="C74" s="10" t="n">
        <v>0.28</v>
      </c>
      <c r="D74" s="0" t="s">
        <v>3371</v>
      </c>
      <c r="E74" s="0" t="s">
        <v>3325</v>
      </c>
      <c r="F74" s="0" t="s">
        <v>3151</v>
      </c>
      <c r="G74" s="0" t="s">
        <v>3326</v>
      </c>
    </row>
    <row r="75" customFormat="false" ht="12.8" hidden="false" customHeight="false" outlineLevel="0" collapsed="false">
      <c r="A75" s="9" t="s">
        <v>3372</v>
      </c>
      <c r="B75" s="10" t="s">
        <v>3373</v>
      </c>
      <c r="C75" s="10" t="n">
        <v>0.6</v>
      </c>
      <c r="D75" s="0" t="s">
        <v>3374</v>
      </c>
      <c r="E75" s="0" t="s">
        <v>3325</v>
      </c>
      <c r="F75" s="0" t="s">
        <v>3151</v>
      </c>
      <c r="G75" s="0" t="s">
        <v>3326</v>
      </c>
    </row>
    <row r="76" customFormat="false" ht="12.8" hidden="false" customHeight="false" outlineLevel="0" collapsed="false">
      <c r="A76" s="9" t="s">
        <v>3375</v>
      </c>
      <c r="B76" s="10" t="s">
        <v>3376</v>
      </c>
      <c r="C76" s="10" t="n">
        <v>0.4</v>
      </c>
      <c r="D76" s="0" t="s">
        <v>3377</v>
      </c>
      <c r="E76" s="0" t="s">
        <v>3325</v>
      </c>
      <c r="F76" s="0" t="s">
        <v>3151</v>
      </c>
      <c r="G76" s="0" t="s">
        <v>3326</v>
      </c>
    </row>
    <row r="77" customFormat="false" ht="12.8" hidden="false" customHeight="false" outlineLevel="0" collapsed="false">
      <c r="A77" s="9" t="s">
        <v>3378</v>
      </c>
      <c r="B77" s="10" t="s">
        <v>3379</v>
      </c>
      <c r="C77" s="10" t="n">
        <v>0.52</v>
      </c>
      <c r="D77" s="0" t="s">
        <v>3380</v>
      </c>
      <c r="E77" s="0" t="s">
        <v>3325</v>
      </c>
      <c r="F77" s="0" t="s">
        <v>3151</v>
      </c>
      <c r="G77" s="0" t="s">
        <v>3326</v>
      </c>
    </row>
    <row r="78" customFormat="false" ht="12.8" hidden="false" customHeight="false" outlineLevel="0" collapsed="false">
      <c r="A78" s="9" t="s">
        <v>3381</v>
      </c>
      <c r="B78" s="10" t="s">
        <v>3382</v>
      </c>
      <c r="C78" s="10" t="n">
        <v>0.48</v>
      </c>
      <c r="D78" s="0" t="s">
        <v>3383</v>
      </c>
      <c r="E78" s="0" t="s">
        <v>3325</v>
      </c>
      <c r="F78" s="0" t="s">
        <v>3151</v>
      </c>
      <c r="G78" s="0" t="s">
        <v>3326</v>
      </c>
    </row>
    <row r="79" customFormat="false" ht="12.8" hidden="false" customHeight="false" outlineLevel="0" collapsed="false">
      <c r="A79" s="9" t="s">
        <v>3384</v>
      </c>
      <c r="B79" s="10" t="s">
        <v>3385</v>
      </c>
      <c r="C79" s="10" t="n">
        <v>0.45</v>
      </c>
      <c r="D79" s="0" t="s">
        <v>3386</v>
      </c>
      <c r="E79" s="0" t="s">
        <v>3325</v>
      </c>
      <c r="F79" s="0" t="s">
        <v>3151</v>
      </c>
      <c r="G79" s="0" t="s">
        <v>3326</v>
      </c>
    </row>
    <row r="80" customFormat="false" ht="12.8" hidden="false" customHeight="false" outlineLevel="0" collapsed="false">
      <c r="A80" s="9" t="s">
        <v>3387</v>
      </c>
      <c r="B80" s="10" t="s">
        <v>3388</v>
      </c>
      <c r="C80" s="10" t="n">
        <v>0.55</v>
      </c>
      <c r="D80" s="0" t="s">
        <v>3389</v>
      </c>
      <c r="E80" s="0" t="s">
        <v>3325</v>
      </c>
      <c r="F80" s="0" t="s">
        <v>3151</v>
      </c>
      <c r="G80" s="0" t="s">
        <v>3326</v>
      </c>
    </row>
    <row r="81" customFormat="false" ht="12.8" hidden="false" customHeight="false" outlineLevel="0" collapsed="false">
      <c r="A81" s="9" t="s">
        <v>3390</v>
      </c>
      <c r="B81" s="10" t="s">
        <v>3391</v>
      </c>
      <c r="C81" s="10" t="n">
        <v>0.48</v>
      </c>
      <c r="D81" s="0" t="s">
        <v>3392</v>
      </c>
      <c r="E81" s="0" t="s">
        <v>3325</v>
      </c>
      <c r="F81" s="0" t="s">
        <v>3151</v>
      </c>
      <c r="G81" s="0" t="s">
        <v>3326</v>
      </c>
    </row>
    <row r="82" customFormat="false" ht="12.8" hidden="false" customHeight="false" outlineLevel="0" collapsed="false">
      <c r="A82" s="9" t="s">
        <v>3393</v>
      </c>
      <c r="B82" s="10" t="s">
        <v>3394</v>
      </c>
      <c r="C82" s="10" t="n">
        <v>0.52</v>
      </c>
      <c r="D82" s="0" t="s">
        <v>3395</v>
      </c>
      <c r="E82" s="0" t="s">
        <v>3325</v>
      </c>
      <c r="F82" s="0" t="s">
        <v>3151</v>
      </c>
      <c r="G82" s="0" t="s">
        <v>3326</v>
      </c>
    </row>
    <row r="83" customFormat="false" ht="12.8" hidden="false" customHeight="false" outlineLevel="0" collapsed="false">
      <c r="A83" s="9" t="s">
        <v>3396</v>
      </c>
      <c r="B83" s="10" t="s">
        <v>3397</v>
      </c>
      <c r="C83" s="10" t="n">
        <v>0.42</v>
      </c>
      <c r="D83" s="0" t="s">
        <v>3398</v>
      </c>
      <c r="E83" s="0" t="s">
        <v>3325</v>
      </c>
      <c r="F83" s="0" t="s">
        <v>3151</v>
      </c>
      <c r="G83" s="0" t="s">
        <v>3326</v>
      </c>
    </row>
    <row r="84" customFormat="false" ht="12.8" hidden="false" customHeight="false" outlineLevel="0" collapsed="false">
      <c r="A84" s="9" t="s">
        <v>3399</v>
      </c>
      <c r="B84" s="10" t="s">
        <v>3400</v>
      </c>
      <c r="C84" s="10" t="n">
        <v>0.58</v>
      </c>
      <c r="D84" s="0" t="s">
        <v>3401</v>
      </c>
      <c r="E84" s="0" t="s">
        <v>3325</v>
      </c>
      <c r="F84" s="0" t="s">
        <v>3151</v>
      </c>
      <c r="G84" s="0" t="s">
        <v>3326</v>
      </c>
    </row>
    <row r="85" customFormat="false" ht="12.8" hidden="false" customHeight="false" outlineLevel="0" collapsed="false">
      <c r="A85" s="9" t="s">
        <v>3402</v>
      </c>
      <c r="B85" s="10" t="s">
        <v>3403</v>
      </c>
      <c r="C85" s="10" t="n">
        <v>0.5</v>
      </c>
      <c r="D85" s="0" t="s">
        <v>3404</v>
      </c>
      <c r="E85" s="0" t="s">
        <v>3325</v>
      </c>
      <c r="F85" s="0" t="s">
        <v>3151</v>
      </c>
      <c r="G85" s="0" t="s">
        <v>3326</v>
      </c>
    </row>
    <row r="86" customFormat="false" ht="12.8" hidden="false" customHeight="false" outlineLevel="0" collapsed="false">
      <c r="A86" s="9" t="s">
        <v>3405</v>
      </c>
      <c r="B86" s="10" t="s">
        <v>3406</v>
      </c>
      <c r="C86" s="10" t="n">
        <v>0.5</v>
      </c>
      <c r="D86" s="0" t="s">
        <v>3407</v>
      </c>
      <c r="E86" s="0" t="s">
        <v>3325</v>
      </c>
      <c r="F86" s="0" t="s">
        <v>3151</v>
      </c>
      <c r="G86" s="0" t="s">
        <v>3326</v>
      </c>
    </row>
    <row r="87" customFormat="false" ht="12.8" hidden="false" customHeight="false" outlineLevel="0" collapsed="false">
      <c r="A87" s="9" t="s">
        <v>3408</v>
      </c>
      <c r="B87" s="10" t="s">
        <v>3409</v>
      </c>
      <c r="C87" s="10" t="n">
        <v>0.4</v>
      </c>
      <c r="D87" s="0" t="s">
        <v>3410</v>
      </c>
      <c r="E87" s="0" t="s">
        <v>3325</v>
      </c>
      <c r="F87" s="0" t="s">
        <v>3151</v>
      </c>
      <c r="G87" s="0" t="s">
        <v>3326</v>
      </c>
    </row>
    <row r="88" customFormat="false" ht="12.8" hidden="false" customHeight="false" outlineLevel="0" collapsed="false">
      <c r="A88" s="9" t="s">
        <v>3411</v>
      </c>
      <c r="B88" s="10" t="s">
        <v>3412</v>
      </c>
      <c r="C88" s="10" t="n">
        <v>0.6</v>
      </c>
      <c r="D88" s="0" t="s">
        <v>3413</v>
      </c>
      <c r="E88" s="0" t="s">
        <v>3325</v>
      </c>
      <c r="F88" s="0" t="s">
        <v>3151</v>
      </c>
      <c r="G88" s="0" t="s">
        <v>3326</v>
      </c>
    </row>
    <row r="89" customFormat="false" ht="12.8" hidden="false" customHeight="false" outlineLevel="0" collapsed="false">
      <c r="A89" s="9" t="s">
        <v>3414</v>
      </c>
      <c r="B89" s="10" t="s">
        <v>3415</v>
      </c>
      <c r="C89" s="10" t="n">
        <v>0.7</v>
      </c>
      <c r="D89" s="0" t="s">
        <v>3416</v>
      </c>
      <c r="E89" s="0" t="s">
        <v>3417</v>
      </c>
      <c r="F89" s="0" t="s">
        <v>3160</v>
      </c>
      <c r="G89" s="0" t="s">
        <v>3418</v>
      </c>
    </row>
    <row r="90" customFormat="false" ht="12.8" hidden="false" customHeight="false" outlineLevel="0" collapsed="false">
      <c r="A90" s="9" t="s">
        <v>3419</v>
      </c>
      <c r="B90" s="10" t="s">
        <v>3420</v>
      </c>
      <c r="C90" s="10" t="n">
        <v>0.3</v>
      </c>
      <c r="D90" s="0" t="s">
        <v>3421</v>
      </c>
      <c r="E90" s="0" t="s">
        <v>3417</v>
      </c>
      <c r="F90" s="0" t="s">
        <v>3160</v>
      </c>
      <c r="G90" s="0" t="s">
        <v>3418</v>
      </c>
    </row>
    <row r="91" customFormat="false" ht="12.8" hidden="false" customHeight="false" outlineLevel="0" collapsed="false">
      <c r="A91" s="9" t="s">
        <v>3422</v>
      </c>
      <c r="B91" s="10" t="s">
        <v>3423</v>
      </c>
      <c r="C91" s="10" t="n">
        <v>0.55</v>
      </c>
      <c r="D91" s="0" t="s">
        <v>3424</v>
      </c>
      <c r="E91" s="0" t="s">
        <v>3325</v>
      </c>
      <c r="F91" s="0" t="s">
        <v>3151</v>
      </c>
      <c r="G91" s="0" t="s">
        <v>3326</v>
      </c>
    </row>
    <row r="92" customFormat="false" ht="12.8" hidden="false" customHeight="false" outlineLevel="0" collapsed="false">
      <c r="A92" s="9" t="s">
        <v>3425</v>
      </c>
      <c r="B92" s="10" t="s">
        <v>3426</v>
      </c>
      <c r="C92" s="10" t="n">
        <v>0.45</v>
      </c>
      <c r="D92" s="0" t="s">
        <v>3427</v>
      </c>
      <c r="E92" s="0" t="s">
        <v>3325</v>
      </c>
      <c r="F92" s="0" t="s">
        <v>3151</v>
      </c>
      <c r="G92" s="0" t="s">
        <v>3326</v>
      </c>
    </row>
    <row r="93" customFormat="false" ht="12.8" hidden="false" customHeight="false" outlineLevel="0" collapsed="false">
      <c r="A93" s="9" t="s">
        <v>3428</v>
      </c>
      <c r="B93" s="10" t="s">
        <v>3429</v>
      </c>
      <c r="C93" s="10" t="n">
        <v>0.75</v>
      </c>
      <c r="D93" s="0" t="s">
        <v>3430</v>
      </c>
      <c r="E93" s="0" t="s">
        <v>3325</v>
      </c>
      <c r="F93" s="0" t="s">
        <v>3151</v>
      </c>
      <c r="G93" s="0" t="s">
        <v>3326</v>
      </c>
    </row>
    <row r="94" customFormat="false" ht="12.8" hidden="false" customHeight="false" outlineLevel="0" collapsed="false">
      <c r="A94" s="9" t="s">
        <v>3431</v>
      </c>
      <c r="B94" s="10" t="s">
        <v>3432</v>
      </c>
      <c r="C94" s="10" t="n">
        <v>0.25</v>
      </c>
      <c r="D94" s="0" t="s">
        <v>3433</v>
      </c>
      <c r="E94" s="0" t="s">
        <v>3325</v>
      </c>
      <c r="F94" s="0" t="s">
        <v>3151</v>
      </c>
      <c r="G94" s="0" t="s">
        <v>3326</v>
      </c>
    </row>
    <row r="95" customFormat="false" ht="12.8" hidden="false" customHeight="false" outlineLevel="0" collapsed="false">
      <c r="A95" s="9" t="s">
        <v>3434</v>
      </c>
      <c r="B95" s="10" t="s">
        <v>3435</v>
      </c>
      <c r="C95" s="10" t="n">
        <v>0.6</v>
      </c>
      <c r="D95" s="0" t="s">
        <v>3436</v>
      </c>
      <c r="E95" s="0" t="s">
        <v>3325</v>
      </c>
      <c r="F95" s="0" t="s">
        <v>3151</v>
      </c>
      <c r="G95" s="0" t="s">
        <v>3326</v>
      </c>
    </row>
    <row r="96" customFormat="false" ht="12.8" hidden="false" customHeight="false" outlineLevel="0" collapsed="false">
      <c r="A96" s="9" t="s">
        <v>3437</v>
      </c>
      <c r="B96" s="10" t="s">
        <v>3438</v>
      </c>
      <c r="C96" s="10" t="n">
        <v>0.4</v>
      </c>
      <c r="D96" s="0" t="s">
        <v>3439</v>
      </c>
      <c r="E96" s="0" t="s">
        <v>3325</v>
      </c>
      <c r="F96" s="0" t="s">
        <v>3151</v>
      </c>
      <c r="G96" s="0" t="s">
        <v>3326</v>
      </c>
    </row>
    <row r="97" customFormat="false" ht="12.8" hidden="false" customHeight="false" outlineLevel="0" collapsed="false">
      <c r="A97" s="9" t="s">
        <v>3440</v>
      </c>
      <c r="B97" s="10" t="s">
        <v>3441</v>
      </c>
      <c r="C97" s="10" t="n">
        <v>0.58</v>
      </c>
      <c r="D97" s="0" t="s">
        <v>3442</v>
      </c>
      <c r="E97" s="0" t="s">
        <v>3325</v>
      </c>
      <c r="F97" s="0" t="s">
        <v>3151</v>
      </c>
      <c r="G97" s="0" t="s">
        <v>3326</v>
      </c>
    </row>
    <row r="98" customFormat="false" ht="12.8" hidden="false" customHeight="false" outlineLevel="0" collapsed="false">
      <c r="A98" s="9" t="s">
        <v>3443</v>
      </c>
      <c r="B98" s="10" t="s">
        <v>3444</v>
      </c>
      <c r="C98" s="10" t="n">
        <v>0.42</v>
      </c>
      <c r="D98" s="0" t="s">
        <v>3445</v>
      </c>
      <c r="E98" s="0" t="s">
        <v>3325</v>
      </c>
      <c r="F98" s="0" t="s">
        <v>3151</v>
      </c>
      <c r="G98" s="0" t="s">
        <v>3326</v>
      </c>
    </row>
    <row r="99" customFormat="false" ht="12.8" hidden="false" customHeight="false" outlineLevel="0" collapsed="false">
      <c r="A99" s="9" t="s">
        <v>3446</v>
      </c>
      <c r="B99" s="10" t="s">
        <v>3447</v>
      </c>
      <c r="C99" s="10" t="n">
        <v>0.55</v>
      </c>
      <c r="D99" s="0" t="s">
        <v>3448</v>
      </c>
      <c r="E99" s="0" t="s">
        <v>3325</v>
      </c>
      <c r="F99" s="0" t="s">
        <v>3151</v>
      </c>
      <c r="G99" s="0" t="s">
        <v>3326</v>
      </c>
    </row>
    <row r="100" customFormat="false" ht="12.8" hidden="false" customHeight="false" outlineLevel="0" collapsed="false">
      <c r="A100" s="9" t="s">
        <v>3449</v>
      </c>
      <c r="B100" s="10" t="s">
        <v>3450</v>
      </c>
      <c r="C100" s="10" t="n">
        <v>0.45</v>
      </c>
      <c r="D100" s="0" t="s">
        <v>3451</v>
      </c>
      <c r="E100" s="0" t="s">
        <v>3325</v>
      </c>
      <c r="F100" s="0" t="s">
        <v>3151</v>
      </c>
      <c r="G100" s="0" t="s">
        <v>3326</v>
      </c>
    </row>
    <row r="101" customFormat="false" ht="12.8" hidden="false" customHeight="false" outlineLevel="0" collapsed="false">
      <c r="A101" s="9" t="s">
        <v>3452</v>
      </c>
      <c r="B101" s="10" t="s">
        <v>3453</v>
      </c>
      <c r="C101" s="10" t="n">
        <v>0.5</v>
      </c>
      <c r="D101" s="0" t="s">
        <v>3454</v>
      </c>
      <c r="E101" s="0" t="s">
        <v>3325</v>
      </c>
      <c r="F101" s="0" t="s">
        <v>3151</v>
      </c>
      <c r="G101" s="0" t="s">
        <v>3326</v>
      </c>
    </row>
    <row r="102" customFormat="false" ht="12.8" hidden="false" customHeight="false" outlineLevel="0" collapsed="false">
      <c r="A102" s="9" t="s">
        <v>3455</v>
      </c>
      <c r="B102" s="10" t="s">
        <v>3456</v>
      </c>
      <c r="C102" s="10" t="n">
        <v>0.5</v>
      </c>
      <c r="D102" s="0" t="s">
        <v>3457</v>
      </c>
      <c r="E102" s="0" t="s">
        <v>3325</v>
      </c>
      <c r="F102" s="0" t="s">
        <v>3151</v>
      </c>
      <c r="G102" s="0" t="s">
        <v>3326</v>
      </c>
    </row>
    <row r="103" customFormat="false" ht="12.8" hidden="false" customHeight="false" outlineLevel="0" collapsed="false">
      <c r="A103" s="9" t="s">
        <v>3458</v>
      </c>
      <c r="B103" s="10" t="s">
        <v>3459</v>
      </c>
      <c r="C103" s="10" t="n">
        <v>0.62</v>
      </c>
      <c r="D103" s="0" t="s">
        <v>3460</v>
      </c>
      <c r="E103" s="0" t="s">
        <v>3325</v>
      </c>
      <c r="F103" s="0" t="s">
        <v>3151</v>
      </c>
      <c r="G103" s="0" t="s">
        <v>3326</v>
      </c>
    </row>
    <row r="104" customFormat="false" ht="12.8" hidden="false" customHeight="false" outlineLevel="0" collapsed="false">
      <c r="A104" s="9" t="s">
        <v>3461</v>
      </c>
      <c r="B104" s="10" t="s">
        <v>3462</v>
      </c>
      <c r="C104" s="10" t="n">
        <v>0.38</v>
      </c>
      <c r="D104" s="0" t="s">
        <v>3463</v>
      </c>
      <c r="E104" s="0" t="s">
        <v>3325</v>
      </c>
      <c r="F104" s="0" t="s">
        <v>3151</v>
      </c>
      <c r="G104" s="0" t="s">
        <v>3326</v>
      </c>
    </row>
    <row r="105" customFormat="false" ht="12.8" hidden="false" customHeight="false" outlineLevel="0" collapsed="false">
      <c r="A105" s="9" t="s">
        <v>3464</v>
      </c>
      <c r="B105" s="10" t="s">
        <v>3465</v>
      </c>
      <c r="C105" s="10" t="n">
        <v>0.58</v>
      </c>
      <c r="D105" s="0" t="s">
        <v>3466</v>
      </c>
      <c r="E105" s="0" t="s">
        <v>3325</v>
      </c>
      <c r="F105" s="0" t="s">
        <v>3151</v>
      </c>
      <c r="G105" s="0" t="s">
        <v>3326</v>
      </c>
    </row>
    <row r="106" customFormat="false" ht="12.8" hidden="false" customHeight="false" outlineLevel="0" collapsed="false">
      <c r="A106" s="9" t="s">
        <v>3467</v>
      </c>
      <c r="B106" s="10" t="s">
        <v>3468</v>
      </c>
      <c r="C106" s="10" t="n">
        <v>0.42</v>
      </c>
      <c r="D106" s="0" t="s">
        <v>3469</v>
      </c>
      <c r="E106" s="0" t="s">
        <v>3325</v>
      </c>
      <c r="F106" s="0" t="s">
        <v>3151</v>
      </c>
      <c r="G106" s="0" t="s">
        <v>3326</v>
      </c>
    </row>
    <row r="107" customFormat="false" ht="12.8" hidden="false" customHeight="false" outlineLevel="0" collapsed="false">
      <c r="A107" s="9" t="s">
        <v>3470</v>
      </c>
      <c r="B107" s="10" t="s">
        <v>3471</v>
      </c>
      <c r="C107" s="10" t="n">
        <v>0.55</v>
      </c>
      <c r="D107" s="0" t="s">
        <v>3472</v>
      </c>
      <c r="E107" s="0" t="s">
        <v>3325</v>
      </c>
      <c r="F107" s="0" t="s">
        <v>3151</v>
      </c>
      <c r="G107" s="0" t="s">
        <v>3326</v>
      </c>
    </row>
    <row r="108" customFormat="false" ht="12.8" hidden="false" customHeight="false" outlineLevel="0" collapsed="false">
      <c r="A108" s="9" t="s">
        <v>3473</v>
      </c>
      <c r="B108" s="10" t="s">
        <v>3474</v>
      </c>
      <c r="C108" s="10" t="n">
        <v>0.45</v>
      </c>
      <c r="D108" s="0" t="s">
        <v>3475</v>
      </c>
      <c r="E108" s="0" t="s">
        <v>3325</v>
      </c>
      <c r="F108" s="0" t="s">
        <v>3151</v>
      </c>
      <c r="G108" s="0" t="s">
        <v>3326</v>
      </c>
    </row>
    <row r="109" customFormat="false" ht="12.8" hidden="false" customHeight="false" outlineLevel="0" collapsed="false">
      <c r="A109" s="9" t="s">
        <v>3476</v>
      </c>
      <c r="B109" s="10" t="s">
        <v>3477</v>
      </c>
      <c r="C109" s="10" t="n">
        <v>0.45</v>
      </c>
      <c r="D109" s="0" t="s">
        <v>3478</v>
      </c>
      <c r="E109" s="0" t="s">
        <v>3325</v>
      </c>
      <c r="F109" s="0" t="s">
        <v>3151</v>
      </c>
      <c r="G109" s="0" t="s">
        <v>3326</v>
      </c>
    </row>
    <row r="110" customFormat="false" ht="12.8" hidden="false" customHeight="false" outlineLevel="0" collapsed="false">
      <c r="A110" s="9" t="s">
        <v>3479</v>
      </c>
      <c r="B110" s="10" t="s">
        <v>3480</v>
      </c>
      <c r="C110" s="10" t="n">
        <v>0.55</v>
      </c>
      <c r="D110" s="0" t="s">
        <v>3481</v>
      </c>
      <c r="E110" s="0" t="s">
        <v>3325</v>
      </c>
      <c r="F110" s="0" t="s">
        <v>3151</v>
      </c>
      <c r="G110" s="0" t="s">
        <v>3326</v>
      </c>
    </row>
    <row r="111" customFormat="false" ht="12.8" hidden="false" customHeight="false" outlineLevel="0" collapsed="false">
      <c r="A111" s="19" t="s">
        <v>3482</v>
      </c>
    </row>
    <row r="112" customFormat="false" ht="12.8" hidden="false" customHeight="false" outlineLevel="0" collapsed="false">
      <c r="A112" s="9" t="s">
        <v>3483</v>
      </c>
      <c r="B112" s="10" t="s">
        <v>3484</v>
      </c>
      <c r="C112" s="10" t="n">
        <v>0.94</v>
      </c>
      <c r="D112" s="0" t="s">
        <v>3485</v>
      </c>
      <c r="E112" s="0" t="s">
        <v>3486</v>
      </c>
      <c r="F112" s="0" t="s">
        <v>3151</v>
      </c>
      <c r="G112" s="0" t="s">
        <v>3487</v>
      </c>
    </row>
    <row r="113" customFormat="false" ht="12.8" hidden="false" customHeight="false" outlineLevel="0" collapsed="false">
      <c r="A113" s="9" t="s">
        <v>3488</v>
      </c>
      <c r="B113" s="10" t="s">
        <v>3489</v>
      </c>
      <c r="C113" s="10" t="n">
        <v>0.04</v>
      </c>
      <c r="D113" s="0" t="s">
        <v>3490</v>
      </c>
      <c r="E113" s="0" t="s">
        <v>3491</v>
      </c>
      <c r="F113" s="0" t="s">
        <v>3160</v>
      </c>
      <c r="G113" s="0" t="s">
        <v>3492</v>
      </c>
    </row>
    <row r="114" customFormat="false" ht="12.8" hidden="false" customHeight="false" outlineLevel="0" collapsed="false">
      <c r="A114" s="9" t="s">
        <v>3493</v>
      </c>
      <c r="B114" s="10" t="s">
        <v>3494</v>
      </c>
      <c r="C114" s="10" t="n">
        <v>0.02</v>
      </c>
      <c r="D114" s="0" t="s">
        <v>3495</v>
      </c>
      <c r="E114" s="0" t="s">
        <v>3496</v>
      </c>
      <c r="F114" s="0" t="s">
        <v>3160</v>
      </c>
      <c r="G114" s="0" t="s">
        <v>3497</v>
      </c>
    </row>
    <row r="115" customFormat="false" ht="12.8" hidden="false" customHeight="false" outlineLevel="0" collapsed="false">
      <c r="A115" s="9" t="s">
        <v>3498</v>
      </c>
      <c r="B115" s="10" t="s">
        <v>3499</v>
      </c>
      <c r="C115" s="10" t="n">
        <v>0.96</v>
      </c>
      <c r="D115" s="0" t="s">
        <v>3500</v>
      </c>
      <c r="E115" s="0" t="s">
        <v>3486</v>
      </c>
      <c r="F115" s="0" t="s">
        <v>3151</v>
      </c>
      <c r="G115" s="0" t="s">
        <v>3487</v>
      </c>
    </row>
    <row r="116" customFormat="false" ht="12.8" hidden="false" customHeight="false" outlineLevel="0" collapsed="false">
      <c r="A116" s="9" t="s">
        <v>3501</v>
      </c>
      <c r="B116" s="10" t="s">
        <v>3502</v>
      </c>
      <c r="C116" s="10" t="n">
        <v>0.03</v>
      </c>
      <c r="D116" s="0" t="s">
        <v>3503</v>
      </c>
      <c r="E116" s="0" t="s">
        <v>3491</v>
      </c>
      <c r="F116" s="0" t="s">
        <v>3160</v>
      </c>
      <c r="G116" s="0" t="s">
        <v>3492</v>
      </c>
    </row>
    <row r="117" customFormat="false" ht="12.8" hidden="false" customHeight="false" outlineLevel="0" collapsed="false">
      <c r="A117" s="9" t="s">
        <v>3504</v>
      </c>
      <c r="B117" s="10" t="s">
        <v>3505</v>
      </c>
      <c r="C117" s="10" t="n">
        <v>0.01</v>
      </c>
      <c r="D117" s="0" t="s">
        <v>3506</v>
      </c>
      <c r="E117" s="0" t="s">
        <v>3496</v>
      </c>
      <c r="F117" s="0" t="s">
        <v>3160</v>
      </c>
      <c r="G117" s="0" t="s">
        <v>3507</v>
      </c>
    </row>
    <row r="118" customFormat="false" ht="12.8" hidden="false" customHeight="false" outlineLevel="0" collapsed="false">
      <c r="A118" s="9" t="s">
        <v>3508</v>
      </c>
      <c r="B118" s="10" t="s">
        <v>3509</v>
      </c>
      <c r="C118" s="10" t="n">
        <v>0.95</v>
      </c>
      <c r="D118" s="0" t="s">
        <v>3510</v>
      </c>
      <c r="E118" s="0" t="s">
        <v>3486</v>
      </c>
      <c r="F118" s="0" t="s">
        <v>3151</v>
      </c>
      <c r="G118" s="0" t="s">
        <v>3487</v>
      </c>
    </row>
    <row r="119" customFormat="false" ht="12.8" hidden="false" customHeight="false" outlineLevel="0" collapsed="false">
      <c r="A119" s="9" t="s">
        <v>3511</v>
      </c>
      <c r="B119" s="10" t="s">
        <v>3512</v>
      </c>
      <c r="C119" s="10" t="n">
        <v>0.04</v>
      </c>
      <c r="D119" s="0" t="s">
        <v>3513</v>
      </c>
      <c r="E119" s="0" t="s">
        <v>3491</v>
      </c>
      <c r="F119" s="0" t="s">
        <v>3160</v>
      </c>
      <c r="G119" s="0" t="s">
        <v>3492</v>
      </c>
    </row>
    <row r="120" customFormat="false" ht="12.8" hidden="false" customHeight="false" outlineLevel="0" collapsed="false">
      <c r="A120" s="9" t="s">
        <v>3514</v>
      </c>
      <c r="B120" s="10" t="s">
        <v>3515</v>
      </c>
      <c r="C120" s="10" t="n">
        <v>0.01</v>
      </c>
      <c r="D120" s="0" t="s">
        <v>3516</v>
      </c>
      <c r="E120" s="0" t="s">
        <v>3496</v>
      </c>
      <c r="F120" s="0" t="s">
        <v>3160</v>
      </c>
      <c r="G120" s="0" t="s">
        <v>3496</v>
      </c>
    </row>
    <row r="121" customFormat="false" ht="12.8" hidden="false" customHeight="false" outlineLevel="0" collapsed="false">
      <c r="A121" s="9" t="s">
        <v>3517</v>
      </c>
      <c r="B121" s="10" t="s">
        <v>3518</v>
      </c>
      <c r="C121" s="10" t="n">
        <v>0.93</v>
      </c>
      <c r="D121" s="0" t="s">
        <v>3519</v>
      </c>
      <c r="E121" s="0" t="s">
        <v>3486</v>
      </c>
      <c r="F121" s="0" t="s">
        <v>3151</v>
      </c>
      <c r="G121" s="0" t="s">
        <v>3487</v>
      </c>
    </row>
    <row r="122" customFormat="false" ht="12.8" hidden="false" customHeight="false" outlineLevel="0" collapsed="false">
      <c r="A122" s="9" t="s">
        <v>3520</v>
      </c>
      <c r="B122" s="10" t="s">
        <v>3521</v>
      </c>
      <c r="C122" s="10" t="n">
        <v>0.05</v>
      </c>
      <c r="D122" s="0" t="s">
        <v>3522</v>
      </c>
      <c r="E122" s="0" t="s">
        <v>3491</v>
      </c>
      <c r="F122" s="0" t="s">
        <v>3160</v>
      </c>
      <c r="G122" s="0" t="s">
        <v>3492</v>
      </c>
    </row>
    <row r="123" customFormat="false" ht="12.8" hidden="false" customHeight="false" outlineLevel="0" collapsed="false">
      <c r="A123" s="9" t="s">
        <v>3523</v>
      </c>
      <c r="B123" s="10" t="s">
        <v>3524</v>
      </c>
      <c r="C123" s="10" t="n">
        <v>0.02</v>
      </c>
      <c r="D123" s="0" t="s">
        <v>3525</v>
      </c>
      <c r="E123" s="0" t="s">
        <v>3496</v>
      </c>
      <c r="F123" s="0" t="s">
        <v>3160</v>
      </c>
      <c r="G123" s="0" t="s">
        <v>3496</v>
      </c>
    </row>
    <row r="124" customFormat="false" ht="12.8" hidden="false" customHeight="false" outlineLevel="0" collapsed="false">
      <c r="A124" s="9" t="s">
        <v>3526</v>
      </c>
      <c r="B124" s="10" t="s">
        <v>3527</v>
      </c>
      <c r="C124" s="10" t="n">
        <v>0.95</v>
      </c>
      <c r="D124" s="0" t="s">
        <v>3528</v>
      </c>
      <c r="E124" s="0" t="s">
        <v>3486</v>
      </c>
      <c r="F124" s="0" t="s">
        <v>3151</v>
      </c>
      <c r="G124" s="0" t="s">
        <v>3487</v>
      </c>
    </row>
    <row r="125" customFormat="false" ht="12.8" hidden="false" customHeight="false" outlineLevel="0" collapsed="false">
      <c r="A125" s="9" t="s">
        <v>3529</v>
      </c>
      <c r="B125" s="10" t="s">
        <v>3530</v>
      </c>
      <c r="C125" s="10" t="n">
        <v>0.04</v>
      </c>
      <c r="D125" s="0" t="s">
        <v>3531</v>
      </c>
      <c r="E125" s="0" t="s">
        <v>3491</v>
      </c>
      <c r="F125" s="0" t="s">
        <v>3160</v>
      </c>
      <c r="G125" s="0" t="s">
        <v>3492</v>
      </c>
    </row>
    <row r="126" customFormat="false" ht="12.8" hidden="false" customHeight="false" outlineLevel="0" collapsed="false">
      <c r="A126" s="9" t="s">
        <v>3532</v>
      </c>
      <c r="B126" s="10" t="s">
        <v>3533</v>
      </c>
      <c r="C126" s="10" t="n">
        <v>0.01</v>
      </c>
      <c r="D126" s="0" t="s">
        <v>3534</v>
      </c>
      <c r="E126" s="0" t="s">
        <v>3496</v>
      </c>
      <c r="F126" s="0" t="s">
        <v>3160</v>
      </c>
      <c r="G126" s="0" t="s">
        <v>3496</v>
      </c>
    </row>
    <row r="127" customFormat="false" ht="12.8" hidden="false" customHeight="false" outlineLevel="0" collapsed="false">
      <c r="A127" s="9" t="s">
        <v>3535</v>
      </c>
      <c r="B127" s="10" t="s">
        <v>3536</v>
      </c>
      <c r="C127" s="10" t="n">
        <v>0.95</v>
      </c>
      <c r="D127" s="0" t="s">
        <v>3537</v>
      </c>
      <c r="E127" s="0" t="s">
        <v>3486</v>
      </c>
      <c r="F127" s="0" t="s">
        <v>3151</v>
      </c>
      <c r="G127" s="0" t="s">
        <v>3487</v>
      </c>
    </row>
    <row r="128" customFormat="false" ht="12.8" hidden="false" customHeight="false" outlineLevel="0" collapsed="false">
      <c r="A128" s="9" t="s">
        <v>3538</v>
      </c>
      <c r="B128" s="10" t="s">
        <v>3539</v>
      </c>
      <c r="C128" s="10" t="n">
        <v>0.04</v>
      </c>
      <c r="D128" s="0" t="s">
        <v>3540</v>
      </c>
      <c r="E128" s="0" t="s">
        <v>3491</v>
      </c>
      <c r="F128" s="0" t="s">
        <v>3160</v>
      </c>
      <c r="G128" s="0" t="s">
        <v>3492</v>
      </c>
    </row>
    <row r="129" customFormat="false" ht="12.8" hidden="false" customHeight="false" outlineLevel="0" collapsed="false">
      <c r="A129" s="9" t="s">
        <v>3541</v>
      </c>
      <c r="B129" s="10" t="s">
        <v>3542</v>
      </c>
      <c r="C129" s="10" t="n">
        <v>0.01</v>
      </c>
      <c r="D129" s="0" t="s">
        <v>3543</v>
      </c>
      <c r="E129" s="0" t="s">
        <v>3496</v>
      </c>
      <c r="F129" s="0" t="s">
        <v>3160</v>
      </c>
      <c r="G129" s="0" t="s">
        <v>3496</v>
      </c>
    </row>
    <row r="130" customFormat="false" ht="12.8" hidden="false" customHeight="false" outlineLevel="0" collapsed="false">
      <c r="A130" s="9" t="s">
        <v>3544</v>
      </c>
      <c r="B130" s="10" t="s">
        <v>3545</v>
      </c>
      <c r="C130" s="10" t="n">
        <v>0.96</v>
      </c>
      <c r="D130" s="0" t="s">
        <v>3546</v>
      </c>
      <c r="E130" s="0" t="s">
        <v>3486</v>
      </c>
      <c r="F130" s="0" t="s">
        <v>3151</v>
      </c>
      <c r="G130" s="0" t="s">
        <v>3487</v>
      </c>
    </row>
    <row r="131" customFormat="false" ht="12.8" hidden="false" customHeight="false" outlineLevel="0" collapsed="false">
      <c r="A131" s="9" t="s">
        <v>3547</v>
      </c>
      <c r="B131" s="10" t="s">
        <v>3548</v>
      </c>
      <c r="C131" s="10" t="n">
        <v>0.03</v>
      </c>
      <c r="D131" s="0" t="s">
        <v>3549</v>
      </c>
      <c r="E131" s="0" t="s">
        <v>3491</v>
      </c>
      <c r="F131" s="0" t="s">
        <v>3160</v>
      </c>
      <c r="G131" s="0" t="s">
        <v>3492</v>
      </c>
    </row>
    <row r="132" customFormat="false" ht="12.8" hidden="false" customHeight="false" outlineLevel="0" collapsed="false">
      <c r="A132" s="9" t="s">
        <v>3550</v>
      </c>
      <c r="B132" s="10" t="s">
        <v>3551</v>
      </c>
      <c r="C132" s="10" t="n">
        <v>0.01</v>
      </c>
      <c r="D132" s="0" t="s">
        <v>3552</v>
      </c>
      <c r="E132" s="0" t="s">
        <v>3496</v>
      </c>
      <c r="F132" s="0" t="s">
        <v>3160</v>
      </c>
      <c r="G132" s="0" t="s">
        <v>3496</v>
      </c>
    </row>
    <row r="133" customFormat="false" ht="12.8" hidden="false" customHeight="false" outlineLevel="0" collapsed="false">
      <c r="A133" s="9" t="s">
        <v>3553</v>
      </c>
      <c r="B133" s="10" t="s">
        <v>3554</v>
      </c>
      <c r="C133" s="10" t="n">
        <v>0.93</v>
      </c>
      <c r="D133" s="0" t="s">
        <v>3555</v>
      </c>
      <c r="E133" s="0" t="s">
        <v>3486</v>
      </c>
      <c r="F133" s="0" t="s">
        <v>3151</v>
      </c>
      <c r="G133" s="0" t="s">
        <v>3487</v>
      </c>
    </row>
    <row r="134" customFormat="false" ht="12.8" hidden="false" customHeight="false" outlineLevel="0" collapsed="false">
      <c r="A134" s="9" t="s">
        <v>3556</v>
      </c>
      <c r="B134" s="10" t="s">
        <v>3557</v>
      </c>
      <c r="C134" s="10" t="n">
        <v>0.05</v>
      </c>
      <c r="D134" s="0" t="s">
        <v>3558</v>
      </c>
      <c r="E134" s="0" t="s">
        <v>3491</v>
      </c>
      <c r="F134" s="0" t="s">
        <v>3160</v>
      </c>
      <c r="G134" s="0" t="s">
        <v>3492</v>
      </c>
    </row>
    <row r="135" customFormat="false" ht="12.8" hidden="false" customHeight="false" outlineLevel="0" collapsed="false">
      <c r="A135" s="9" t="s">
        <v>3559</v>
      </c>
      <c r="B135" s="10" t="s">
        <v>3560</v>
      </c>
      <c r="C135" s="10" t="n">
        <v>0.02</v>
      </c>
      <c r="D135" s="0" t="s">
        <v>3561</v>
      </c>
      <c r="E135" s="0" t="s">
        <v>3496</v>
      </c>
      <c r="F135" s="0" t="s">
        <v>3160</v>
      </c>
      <c r="G135" s="0" t="s">
        <v>3496</v>
      </c>
    </row>
    <row r="136" customFormat="false" ht="12.8" hidden="false" customHeight="false" outlineLevel="0" collapsed="false">
      <c r="A136" s="9" t="s">
        <v>3562</v>
      </c>
      <c r="B136" s="10" t="s">
        <v>3563</v>
      </c>
      <c r="C136" s="10" t="n">
        <v>0.95</v>
      </c>
      <c r="D136" s="0" t="s">
        <v>3564</v>
      </c>
      <c r="E136" s="0" t="s">
        <v>3486</v>
      </c>
      <c r="F136" s="0" t="s">
        <v>3151</v>
      </c>
      <c r="G136" s="0" t="s">
        <v>3487</v>
      </c>
    </row>
    <row r="137" customFormat="false" ht="12.8" hidden="false" customHeight="false" outlineLevel="0" collapsed="false">
      <c r="A137" s="9" t="s">
        <v>3565</v>
      </c>
      <c r="B137" s="10" t="s">
        <v>3566</v>
      </c>
      <c r="C137" s="10" t="n">
        <v>0.04</v>
      </c>
      <c r="D137" s="0" t="s">
        <v>3567</v>
      </c>
      <c r="E137" s="0" t="s">
        <v>3491</v>
      </c>
      <c r="F137" s="0" t="s">
        <v>3160</v>
      </c>
      <c r="G137" s="0" t="s">
        <v>3492</v>
      </c>
    </row>
    <row r="138" customFormat="false" ht="12.8" hidden="false" customHeight="false" outlineLevel="0" collapsed="false">
      <c r="A138" s="9" t="s">
        <v>3568</v>
      </c>
      <c r="B138" s="10" t="s">
        <v>3569</v>
      </c>
      <c r="C138" s="10" t="n">
        <v>0.01</v>
      </c>
      <c r="D138" s="0" t="s">
        <v>3570</v>
      </c>
      <c r="E138" s="0" t="s">
        <v>3496</v>
      </c>
      <c r="F138" s="0" t="s">
        <v>3160</v>
      </c>
      <c r="G138" s="0" t="s">
        <v>3496</v>
      </c>
    </row>
    <row r="139" customFormat="false" ht="12.8" hidden="false" customHeight="false" outlineLevel="0" collapsed="false">
      <c r="A139" s="9" t="s">
        <v>3571</v>
      </c>
      <c r="B139" s="10" t="s">
        <v>3572</v>
      </c>
      <c r="C139" s="10" t="n">
        <v>0.97</v>
      </c>
      <c r="D139" s="0" t="s">
        <v>3573</v>
      </c>
      <c r="E139" s="0" t="s">
        <v>3486</v>
      </c>
      <c r="F139" s="0" t="s">
        <v>3151</v>
      </c>
      <c r="G139" s="0" t="s">
        <v>3487</v>
      </c>
    </row>
    <row r="140" customFormat="false" ht="12.8" hidden="false" customHeight="false" outlineLevel="0" collapsed="false">
      <c r="A140" s="9" t="s">
        <v>3574</v>
      </c>
      <c r="B140" s="10" t="s">
        <v>3575</v>
      </c>
      <c r="C140" s="10" t="n">
        <v>0.02</v>
      </c>
      <c r="D140" s="0" t="s">
        <v>3576</v>
      </c>
      <c r="E140" s="0" t="s">
        <v>3491</v>
      </c>
      <c r="F140" s="0" t="s">
        <v>3160</v>
      </c>
      <c r="G140" s="0" t="s">
        <v>3492</v>
      </c>
    </row>
    <row r="141" customFormat="false" ht="12.8" hidden="false" customHeight="false" outlineLevel="0" collapsed="false">
      <c r="A141" s="9" t="s">
        <v>3577</v>
      </c>
      <c r="B141" s="10" t="s">
        <v>3578</v>
      </c>
      <c r="C141" s="10" t="n">
        <v>0.01</v>
      </c>
      <c r="D141" s="0" t="s">
        <v>3579</v>
      </c>
      <c r="E141" s="0" t="s">
        <v>3496</v>
      </c>
      <c r="F141" s="0" t="s">
        <v>3160</v>
      </c>
      <c r="G141" s="0" t="s">
        <v>3496</v>
      </c>
    </row>
    <row r="142" customFormat="false" ht="12.8" hidden="false" customHeight="false" outlineLevel="0" collapsed="false">
      <c r="A142" s="9" t="s">
        <v>3580</v>
      </c>
      <c r="B142" s="10" t="s">
        <v>3581</v>
      </c>
      <c r="C142" s="10" t="n">
        <v>0.97</v>
      </c>
      <c r="D142" s="0" t="s">
        <v>3582</v>
      </c>
      <c r="E142" s="0" t="s">
        <v>3486</v>
      </c>
      <c r="F142" s="0" t="s">
        <v>3151</v>
      </c>
      <c r="G142" s="0" t="s">
        <v>3487</v>
      </c>
    </row>
    <row r="143" customFormat="false" ht="12.8" hidden="false" customHeight="false" outlineLevel="0" collapsed="false">
      <c r="A143" s="9" t="s">
        <v>3583</v>
      </c>
      <c r="B143" s="10" t="s">
        <v>3584</v>
      </c>
      <c r="C143" s="10" t="n">
        <v>0.02</v>
      </c>
      <c r="D143" s="0" t="s">
        <v>3585</v>
      </c>
      <c r="E143" s="0" t="s">
        <v>3491</v>
      </c>
      <c r="F143" s="0" t="s">
        <v>3160</v>
      </c>
      <c r="G143" s="0" t="s">
        <v>3492</v>
      </c>
    </row>
    <row r="144" customFormat="false" ht="12.8" hidden="false" customHeight="false" outlineLevel="0" collapsed="false">
      <c r="A144" s="9" t="s">
        <v>3586</v>
      </c>
      <c r="B144" s="10" t="s">
        <v>3587</v>
      </c>
      <c r="C144" s="10" t="n">
        <v>0.01</v>
      </c>
      <c r="D144" s="0" t="s">
        <v>3588</v>
      </c>
      <c r="E144" s="0" t="s">
        <v>3496</v>
      </c>
      <c r="F144" s="0" t="s">
        <v>3160</v>
      </c>
      <c r="G144" s="0" t="s">
        <v>3496</v>
      </c>
    </row>
    <row r="145" customFormat="false" ht="12.8" hidden="false" customHeight="false" outlineLevel="0" collapsed="false">
      <c r="A145" s="9" t="s">
        <v>3589</v>
      </c>
      <c r="B145" s="10" t="s">
        <v>3590</v>
      </c>
      <c r="C145" s="10" t="n">
        <v>0.98</v>
      </c>
      <c r="D145" s="0" t="s">
        <v>3591</v>
      </c>
      <c r="E145" s="0" t="s">
        <v>3486</v>
      </c>
      <c r="F145" s="0" t="s">
        <v>3151</v>
      </c>
      <c r="G145" s="0" t="s">
        <v>3487</v>
      </c>
    </row>
    <row r="146" customFormat="false" ht="12.8" hidden="false" customHeight="false" outlineLevel="0" collapsed="false">
      <c r="A146" s="9" t="s">
        <v>3592</v>
      </c>
      <c r="B146" s="10" t="s">
        <v>3593</v>
      </c>
      <c r="C146" s="10" t="n">
        <v>0.015</v>
      </c>
      <c r="D146" s="0" t="s">
        <v>3594</v>
      </c>
      <c r="E146" s="0" t="s">
        <v>3491</v>
      </c>
      <c r="F146" s="0" t="s">
        <v>3160</v>
      </c>
      <c r="G146" s="0" t="s">
        <v>3492</v>
      </c>
    </row>
    <row r="147" customFormat="false" ht="12.8" hidden="false" customHeight="false" outlineLevel="0" collapsed="false">
      <c r="A147" s="9" t="s">
        <v>3595</v>
      </c>
      <c r="B147" s="10" t="s">
        <v>3596</v>
      </c>
      <c r="C147" s="10" t="n">
        <v>0.005</v>
      </c>
      <c r="D147" s="0" t="s">
        <v>3597</v>
      </c>
      <c r="E147" s="0" t="s">
        <v>3496</v>
      </c>
      <c r="F147" s="0" t="s">
        <v>3160</v>
      </c>
      <c r="G147" s="0" t="s">
        <v>3496</v>
      </c>
    </row>
    <row r="148" customFormat="false" ht="12.8" hidden="false" customHeight="false" outlineLevel="0" collapsed="false">
      <c r="A148" s="9" t="s">
        <v>3598</v>
      </c>
      <c r="B148" s="10" t="s">
        <v>3599</v>
      </c>
      <c r="C148" s="10" t="n">
        <v>0.98</v>
      </c>
      <c r="D148" s="0" t="s">
        <v>3600</v>
      </c>
      <c r="E148" s="0" t="s">
        <v>3486</v>
      </c>
      <c r="F148" s="0" t="s">
        <v>3151</v>
      </c>
      <c r="G148" s="0" t="s">
        <v>3487</v>
      </c>
    </row>
    <row r="149" customFormat="false" ht="12.8" hidden="false" customHeight="false" outlineLevel="0" collapsed="false">
      <c r="A149" s="9" t="s">
        <v>3601</v>
      </c>
      <c r="B149" s="10" t="s">
        <v>3602</v>
      </c>
      <c r="C149" s="10" t="n">
        <v>0.015</v>
      </c>
      <c r="D149" s="0" t="s">
        <v>3603</v>
      </c>
      <c r="E149" s="0" t="s">
        <v>3491</v>
      </c>
      <c r="F149" s="0" t="s">
        <v>3160</v>
      </c>
      <c r="G149" s="0" t="s">
        <v>3492</v>
      </c>
    </row>
    <row r="150" customFormat="false" ht="12.8" hidden="false" customHeight="false" outlineLevel="0" collapsed="false">
      <c r="A150" s="9" t="s">
        <v>3604</v>
      </c>
      <c r="B150" s="10" t="s">
        <v>3605</v>
      </c>
      <c r="C150" s="10" t="n">
        <v>0.005</v>
      </c>
      <c r="D150" s="0" t="s">
        <v>3606</v>
      </c>
      <c r="E150" s="0" t="s">
        <v>3496</v>
      </c>
      <c r="F150" s="0" t="s">
        <v>3160</v>
      </c>
      <c r="G150" s="0" t="s">
        <v>3496</v>
      </c>
    </row>
    <row r="151" customFormat="false" ht="12.8" hidden="false" customHeight="false" outlineLevel="0" collapsed="false">
      <c r="A151" s="9" t="s">
        <v>3607</v>
      </c>
      <c r="B151" s="10" t="s">
        <v>3608</v>
      </c>
      <c r="C151" s="10" t="n">
        <v>0.97</v>
      </c>
      <c r="D151" s="0" t="s">
        <v>3609</v>
      </c>
      <c r="E151" s="0" t="s">
        <v>3486</v>
      </c>
      <c r="F151" s="0" t="s">
        <v>3151</v>
      </c>
      <c r="G151" s="0" t="s">
        <v>3487</v>
      </c>
    </row>
    <row r="152" customFormat="false" ht="12.8" hidden="false" customHeight="false" outlineLevel="0" collapsed="false">
      <c r="A152" s="9" t="s">
        <v>3610</v>
      </c>
      <c r="B152" s="10" t="s">
        <v>3611</v>
      </c>
      <c r="C152" s="10" t="n">
        <v>0.02</v>
      </c>
      <c r="D152" s="0" t="s">
        <v>3612</v>
      </c>
      <c r="E152" s="0" t="s">
        <v>3491</v>
      </c>
      <c r="F152" s="0" t="s">
        <v>3160</v>
      </c>
      <c r="G152" s="0" t="s">
        <v>3492</v>
      </c>
    </row>
    <row r="153" customFormat="false" ht="12.8" hidden="false" customHeight="false" outlineLevel="0" collapsed="false">
      <c r="A153" s="9" t="s">
        <v>3613</v>
      </c>
      <c r="B153" s="10" t="s">
        <v>3614</v>
      </c>
      <c r="C153" s="10" t="n">
        <v>0.01</v>
      </c>
      <c r="D153" s="0" t="s">
        <v>3615</v>
      </c>
      <c r="E153" s="0" t="s">
        <v>3496</v>
      </c>
      <c r="F153" s="0" t="s">
        <v>3160</v>
      </c>
      <c r="G153" s="0" t="s">
        <v>3496</v>
      </c>
    </row>
    <row r="154" customFormat="false" ht="12.8" hidden="false" customHeight="false" outlineLevel="0" collapsed="false">
      <c r="A154" s="9" t="s">
        <v>3616</v>
      </c>
      <c r="B154" s="10" t="s">
        <v>3617</v>
      </c>
      <c r="C154" s="10" t="n">
        <v>0.99</v>
      </c>
      <c r="D154" s="0" t="s">
        <v>3618</v>
      </c>
      <c r="E154" s="0" t="s">
        <v>3486</v>
      </c>
      <c r="F154" s="0" t="s">
        <v>3151</v>
      </c>
      <c r="G154" s="0" t="s">
        <v>3487</v>
      </c>
    </row>
    <row r="155" customFormat="false" ht="12.8" hidden="false" customHeight="false" outlineLevel="0" collapsed="false">
      <c r="A155" s="9" t="s">
        <v>3619</v>
      </c>
      <c r="B155" s="10" t="s">
        <v>3620</v>
      </c>
      <c r="C155" s="10" t="n">
        <v>0.009</v>
      </c>
      <c r="D155" s="0" t="s">
        <v>3621</v>
      </c>
      <c r="E155" s="0" t="s">
        <v>3491</v>
      </c>
      <c r="F155" s="0" t="s">
        <v>3160</v>
      </c>
      <c r="G155" s="0" t="s">
        <v>3492</v>
      </c>
    </row>
    <row r="156" customFormat="false" ht="12.8" hidden="false" customHeight="false" outlineLevel="0" collapsed="false">
      <c r="A156" s="9" t="s">
        <v>3622</v>
      </c>
      <c r="B156" s="10" t="s">
        <v>3623</v>
      </c>
      <c r="C156" s="10" t="n">
        <v>0.001</v>
      </c>
      <c r="D156" s="0" t="s">
        <v>3624</v>
      </c>
      <c r="E156" s="0" t="s">
        <v>3496</v>
      </c>
      <c r="F156" s="0" t="s">
        <v>3160</v>
      </c>
      <c r="G156" s="0" t="s">
        <v>3496</v>
      </c>
    </row>
    <row r="157" customFormat="false" ht="12.8" hidden="false" customHeight="false" outlineLevel="0" collapsed="false">
      <c r="A157" s="9" t="s">
        <v>3625</v>
      </c>
      <c r="B157" s="10" t="s">
        <v>3626</v>
      </c>
      <c r="C157" s="10" t="n">
        <v>0.96</v>
      </c>
      <c r="D157" s="0" t="s">
        <v>3627</v>
      </c>
      <c r="E157" s="0" t="s">
        <v>3486</v>
      </c>
      <c r="F157" s="0" t="s">
        <v>3151</v>
      </c>
      <c r="G157" s="0" t="s">
        <v>3487</v>
      </c>
    </row>
    <row r="158" customFormat="false" ht="12.8" hidden="false" customHeight="false" outlineLevel="0" collapsed="false">
      <c r="A158" s="9" t="s">
        <v>3628</v>
      </c>
      <c r="B158" s="10" t="s">
        <v>3629</v>
      </c>
      <c r="C158" s="10" t="n">
        <v>0.03</v>
      </c>
      <c r="D158" s="0" t="s">
        <v>3630</v>
      </c>
      <c r="E158" s="0" t="s">
        <v>3491</v>
      </c>
      <c r="F158" s="0" t="s">
        <v>3160</v>
      </c>
      <c r="G158" s="0" t="s">
        <v>3492</v>
      </c>
    </row>
    <row r="159" customFormat="false" ht="12.8" hidden="false" customHeight="false" outlineLevel="0" collapsed="false">
      <c r="A159" s="9" t="s">
        <v>3631</v>
      </c>
      <c r="B159" s="10" t="s">
        <v>3632</v>
      </c>
      <c r="C159" s="10" t="n">
        <v>0.01</v>
      </c>
      <c r="D159" s="0" t="s">
        <v>3633</v>
      </c>
      <c r="E159" s="0" t="s">
        <v>3496</v>
      </c>
      <c r="F159" s="0" t="s">
        <v>3160</v>
      </c>
      <c r="G159" s="0" t="s">
        <v>3496</v>
      </c>
    </row>
    <row r="160" customFormat="false" ht="12.8" hidden="false" customHeight="false" outlineLevel="0" collapsed="false">
      <c r="A160" s="9" t="s">
        <v>3634</v>
      </c>
      <c r="B160" s="10" t="s">
        <v>3635</v>
      </c>
      <c r="C160" s="10" t="n">
        <v>0.95</v>
      </c>
      <c r="D160" s="0" t="s">
        <v>3636</v>
      </c>
      <c r="E160" s="0" t="s">
        <v>3486</v>
      </c>
      <c r="F160" s="0" t="s">
        <v>3151</v>
      </c>
      <c r="G160" s="0" t="s">
        <v>3487</v>
      </c>
    </row>
    <row r="161" customFormat="false" ht="12.8" hidden="false" customHeight="false" outlineLevel="0" collapsed="false">
      <c r="A161" s="9" t="s">
        <v>3637</v>
      </c>
      <c r="B161" s="10" t="s">
        <v>3638</v>
      </c>
      <c r="C161" s="10" t="n">
        <v>0.04</v>
      </c>
      <c r="D161" s="0" t="s">
        <v>3639</v>
      </c>
      <c r="E161" s="0" t="s">
        <v>3491</v>
      </c>
      <c r="F161" s="0" t="s">
        <v>3160</v>
      </c>
      <c r="G161" s="0" t="s">
        <v>3492</v>
      </c>
    </row>
    <row r="162" customFormat="false" ht="12.8" hidden="false" customHeight="false" outlineLevel="0" collapsed="false">
      <c r="A162" s="9" t="s">
        <v>3640</v>
      </c>
      <c r="B162" s="10" t="s">
        <v>3641</v>
      </c>
      <c r="C162" s="10" t="n">
        <v>0.01</v>
      </c>
      <c r="D162" s="0" t="s">
        <v>3642</v>
      </c>
      <c r="E162" s="0" t="s">
        <v>3496</v>
      </c>
      <c r="F162" s="0" t="s">
        <v>3160</v>
      </c>
      <c r="G162" s="0" t="s">
        <v>3496</v>
      </c>
    </row>
    <row r="163" customFormat="false" ht="12.8" hidden="false" customHeight="false" outlineLevel="0" collapsed="false">
      <c r="A163" s="9" t="s">
        <v>3643</v>
      </c>
      <c r="B163" s="10" t="s">
        <v>3644</v>
      </c>
      <c r="C163" s="10" t="n">
        <v>0.98</v>
      </c>
      <c r="D163" s="0" t="s">
        <v>3645</v>
      </c>
      <c r="E163" s="0" t="s">
        <v>3486</v>
      </c>
      <c r="F163" s="0" t="s">
        <v>3151</v>
      </c>
      <c r="G163" s="0" t="s">
        <v>3487</v>
      </c>
    </row>
    <row r="164" customFormat="false" ht="12.8" hidden="false" customHeight="false" outlineLevel="0" collapsed="false">
      <c r="A164" s="9" t="s">
        <v>3646</v>
      </c>
      <c r="B164" s="10" t="s">
        <v>3647</v>
      </c>
      <c r="C164" s="10" t="n">
        <v>0.015</v>
      </c>
      <c r="D164" s="0" t="s">
        <v>3648</v>
      </c>
      <c r="E164" s="0" t="s">
        <v>3491</v>
      </c>
      <c r="F164" s="0" t="s">
        <v>3160</v>
      </c>
      <c r="G164" s="0" t="s">
        <v>3492</v>
      </c>
    </row>
    <row r="165" customFormat="false" ht="12.8" hidden="false" customHeight="false" outlineLevel="0" collapsed="false">
      <c r="A165" s="9" t="s">
        <v>3649</v>
      </c>
      <c r="B165" s="10" t="s">
        <v>3650</v>
      </c>
      <c r="C165" s="10" t="n">
        <v>0.005</v>
      </c>
      <c r="D165" s="0" t="s">
        <v>3651</v>
      </c>
      <c r="E165" s="0" t="s">
        <v>3496</v>
      </c>
      <c r="F165" s="0" t="s">
        <v>3160</v>
      </c>
      <c r="G165" s="0" t="s">
        <v>3496</v>
      </c>
    </row>
    <row r="166" customFormat="false" ht="12.8" hidden="false" customHeight="false" outlineLevel="0" collapsed="false">
      <c r="A166" s="9" t="s">
        <v>3652</v>
      </c>
      <c r="B166" s="10" t="s">
        <v>3653</v>
      </c>
      <c r="C166" s="10" t="n">
        <v>0.99</v>
      </c>
      <c r="D166" s="0" t="s">
        <v>3654</v>
      </c>
      <c r="E166" s="0" t="s">
        <v>3486</v>
      </c>
      <c r="F166" s="0" t="s">
        <v>3151</v>
      </c>
      <c r="G166" s="0" t="s">
        <v>3487</v>
      </c>
    </row>
    <row r="167" customFormat="false" ht="12.8" hidden="false" customHeight="false" outlineLevel="0" collapsed="false">
      <c r="A167" s="9" t="s">
        <v>3655</v>
      </c>
      <c r="B167" s="10" t="s">
        <v>3656</v>
      </c>
      <c r="C167" s="10" t="n">
        <v>0.009</v>
      </c>
      <c r="D167" s="0" t="s">
        <v>3657</v>
      </c>
      <c r="E167" s="0" t="s">
        <v>3491</v>
      </c>
      <c r="F167" s="0" t="s">
        <v>3160</v>
      </c>
      <c r="G167" s="0" t="s">
        <v>3492</v>
      </c>
    </row>
    <row r="168" customFormat="false" ht="12.8" hidden="false" customHeight="false" outlineLevel="0" collapsed="false">
      <c r="A168" s="9" t="s">
        <v>3658</v>
      </c>
      <c r="B168" s="10" t="s">
        <v>3659</v>
      </c>
      <c r="C168" s="10" t="n">
        <v>0.001</v>
      </c>
      <c r="D168" s="0" t="s">
        <v>3660</v>
      </c>
      <c r="E168" s="0" t="s">
        <v>3496</v>
      </c>
      <c r="F168" s="0" t="s">
        <v>3160</v>
      </c>
      <c r="G168" s="0" t="s">
        <v>3496</v>
      </c>
    </row>
    <row r="169" customFormat="false" ht="12.8" hidden="false" customHeight="false" outlineLevel="0" collapsed="false">
      <c r="A169" s="9" t="s">
        <v>3661</v>
      </c>
      <c r="B169" s="10" t="s">
        <v>3662</v>
      </c>
      <c r="C169" s="10" t="n">
        <v>0.96</v>
      </c>
      <c r="D169" s="0" t="s">
        <v>3663</v>
      </c>
      <c r="E169" s="0" t="s">
        <v>3486</v>
      </c>
      <c r="F169" s="0" t="s">
        <v>3151</v>
      </c>
      <c r="G169" s="0" t="s">
        <v>3487</v>
      </c>
    </row>
    <row r="170" customFormat="false" ht="12.8" hidden="false" customHeight="false" outlineLevel="0" collapsed="false">
      <c r="A170" s="9" t="s">
        <v>3664</v>
      </c>
      <c r="B170" s="10" t="s">
        <v>3665</v>
      </c>
      <c r="C170" s="10" t="n">
        <v>0.03</v>
      </c>
      <c r="D170" s="0" t="s">
        <v>3666</v>
      </c>
      <c r="E170" s="0" t="s">
        <v>3491</v>
      </c>
      <c r="F170" s="0" t="s">
        <v>3160</v>
      </c>
      <c r="G170" s="0" t="s">
        <v>3492</v>
      </c>
    </row>
    <row r="171" customFormat="false" ht="12.8" hidden="false" customHeight="false" outlineLevel="0" collapsed="false">
      <c r="A171" s="9" t="s">
        <v>3667</v>
      </c>
      <c r="B171" s="10" t="s">
        <v>3668</v>
      </c>
      <c r="C171" s="10" t="n">
        <v>0.01</v>
      </c>
      <c r="D171" s="0" t="s">
        <v>3669</v>
      </c>
      <c r="E171" s="0" t="s">
        <v>3496</v>
      </c>
      <c r="F171" s="0" t="s">
        <v>3160</v>
      </c>
      <c r="G171" s="0" t="s">
        <v>3496</v>
      </c>
    </row>
    <row r="172" customFormat="false" ht="12.8" hidden="false" customHeight="false" outlineLevel="0" collapsed="false">
      <c r="A172" s="9" t="s">
        <v>3670</v>
      </c>
      <c r="B172" s="10" t="s">
        <v>3671</v>
      </c>
      <c r="C172" s="10" t="n">
        <v>0.97</v>
      </c>
      <c r="D172" s="0" t="s">
        <v>3672</v>
      </c>
      <c r="E172" s="0" t="s">
        <v>3486</v>
      </c>
      <c r="F172" s="0" t="s">
        <v>3151</v>
      </c>
      <c r="G172" s="0" t="s">
        <v>3487</v>
      </c>
    </row>
    <row r="173" customFormat="false" ht="12.8" hidden="false" customHeight="false" outlineLevel="0" collapsed="false">
      <c r="A173" s="9" t="s">
        <v>3673</v>
      </c>
      <c r="B173" s="10" t="s">
        <v>3674</v>
      </c>
      <c r="C173" s="10" t="n">
        <v>0.02</v>
      </c>
      <c r="D173" s="0" t="s">
        <v>3675</v>
      </c>
      <c r="E173" s="0" t="s">
        <v>3491</v>
      </c>
      <c r="F173" s="0" t="s">
        <v>3160</v>
      </c>
      <c r="G173" s="0" t="s">
        <v>3492</v>
      </c>
    </row>
    <row r="174" customFormat="false" ht="12.8" hidden="false" customHeight="false" outlineLevel="0" collapsed="false">
      <c r="A174" s="9" t="s">
        <v>3676</v>
      </c>
      <c r="B174" s="10" t="s">
        <v>3677</v>
      </c>
      <c r="C174" s="10" t="n">
        <v>0.01</v>
      </c>
      <c r="D174" s="0" t="s">
        <v>3678</v>
      </c>
      <c r="E174" s="0" t="s">
        <v>3496</v>
      </c>
      <c r="F174" s="0" t="s">
        <v>3160</v>
      </c>
      <c r="G174" s="0" t="s">
        <v>3496</v>
      </c>
    </row>
    <row r="175" customFormat="false" ht="12.8" hidden="false" customHeight="false" outlineLevel="0" collapsed="false">
      <c r="A175" s="9" t="s">
        <v>3679</v>
      </c>
      <c r="B175" s="10" t="s">
        <v>3680</v>
      </c>
      <c r="C175" s="10" t="n">
        <v>0.97</v>
      </c>
      <c r="D175" s="0" t="s">
        <v>3681</v>
      </c>
      <c r="E175" s="0" t="s">
        <v>3486</v>
      </c>
      <c r="F175" s="0" t="s">
        <v>3151</v>
      </c>
      <c r="G175" s="0" t="s">
        <v>3487</v>
      </c>
    </row>
    <row r="176" customFormat="false" ht="12.8" hidden="false" customHeight="false" outlineLevel="0" collapsed="false">
      <c r="A176" s="9" t="s">
        <v>3682</v>
      </c>
      <c r="B176" s="10" t="s">
        <v>3683</v>
      </c>
      <c r="C176" s="10" t="n">
        <v>0.02</v>
      </c>
      <c r="D176" s="0" t="s">
        <v>3684</v>
      </c>
      <c r="E176" s="0" t="s">
        <v>3491</v>
      </c>
      <c r="F176" s="0" t="s">
        <v>3160</v>
      </c>
      <c r="G176" s="0" t="s">
        <v>3492</v>
      </c>
    </row>
    <row r="177" customFormat="false" ht="12.8" hidden="false" customHeight="false" outlineLevel="0" collapsed="false">
      <c r="A177" s="9" t="s">
        <v>3685</v>
      </c>
      <c r="B177" s="10" t="s">
        <v>3686</v>
      </c>
      <c r="C177" s="10" t="n">
        <v>0.01</v>
      </c>
      <c r="D177" s="0" t="s">
        <v>3687</v>
      </c>
      <c r="E177" s="0" t="s">
        <v>3496</v>
      </c>
      <c r="F177" s="0" t="s">
        <v>3160</v>
      </c>
      <c r="G177" s="0" t="s">
        <v>3496</v>
      </c>
    </row>
    <row r="178" customFormat="false" ht="12.8" hidden="false" customHeight="false" outlineLevel="0" collapsed="false">
      <c r="A178" s="9" t="s">
        <v>3688</v>
      </c>
      <c r="B178" s="10" t="s">
        <v>3689</v>
      </c>
      <c r="C178" s="10" t="n">
        <v>0.92</v>
      </c>
      <c r="D178" s="0" t="s">
        <v>3690</v>
      </c>
      <c r="E178" s="0" t="s">
        <v>3486</v>
      </c>
      <c r="F178" s="0" t="s">
        <v>3151</v>
      </c>
      <c r="G178" s="0" t="s">
        <v>3487</v>
      </c>
    </row>
    <row r="179" customFormat="false" ht="12.8" hidden="false" customHeight="false" outlineLevel="0" collapsed="false">
      <c r="A179" s="9" t="s">
        <v>3691</v>
      </c>
      <c r="B179" s="10" t="s">
        <v>3692</v>
      </c>
      <c r="C179" s="10" t="n">
        <v>0.05</v>
      </c>
      <c r="D179" s="0" t="s">
        <v>3693</v>
      </c>
      <c r="E179" s="0" t="s">
        <v>3491</v>
      </c>
      <c r="F179" s="0" t="s">
        <v>3160</v>
      </c>
      <c r="G179" s="0" t="s">
        <v>3492</v>
      </c>
    </row>
    <row r="180" customFormat="false" ht="12.8" hidden="false" customHeight="false" outlineLevel="0" collapsed="false">
      <c r="A180" s="9" t="s">
        <v>3694</v>
      </c>
      <c r="B180" s="10" t="s">
        <v>3695</v>
      </c>
      <c r="C180" s="10" t="n">
        <v>0.03</v>
      </c>
      <c r="D180" s="0" t="s">
        <v>3696</v>
      </c>
      <c r="E180" s="0" t="s">
        <v>3496</v>
      </c>
      <c r="F180" s="0" t="s">
        <v>3160</v>
      </c>
      <c r="G180" s="0" t="s">
        <v>3697</v>
      </c>
    </row>
    <row r="181" customFormat="false" ht="12.8" hidden="false" customHeight="false" outlineLevel="0" collapsed="false">
      <c r="A181" s="9" t="s">
        <v>3698</v>
      </c>
      <c r="B181" s="10" t="s">
        <v>3699</v>
      </c>
      <c r="C181" s="10" t="n">
        <v>0.95</v>
      </c>
      <c r="D181" s="0" t="s">
        <v>3700</v>
      </c>
      <c r="E181" s="0" t="s">
        <v>3486</v>
      </c>
      <c r="F181" s="0" t="s">
        <v>3151</v>
      </c>
      <c r="G181" s="0" t="s">
        <v>3487</v>
      </c>
    </row>
    <row r="182" customFormat="false" ht="12.8" hidden="false" customHeight="false" outlineLevel="0" collapsed="false">
      <c r="A182" s="9" t="s">
        <v>3701</v>
      </c>
      <c r="B182" s="10" t="s">
        <v>3702</v>
      </c>
      <c r="C182" s="10" t="n">
        <v>0.04</v>
      </c>
      <c r="D182" s="0" t="s">
        <v>3703</v>
      </c>
      <c r="E182" s="0" t="s">
        <v>3491</v>
      </c>
      <c r="F182" s="0" t="s">
        <v>3160</v>
      </c>
      <c r="G182" s="0" t="s">
        <v>3492</v>
      </c>
    </row>
    <row r="183" customFormat="false" ht="12.8" hidden="false" customHeight="false" outlineLevel="0" collapsed="false">
      <c r="A183" s="9" t="s">
        <v>3704</v>
      </c>
      <c r="B183" s="10" t="s">
        <v>3705</v>
      </c>
      <c r="C183" s="10" t="n">
        <v>0.01</v>
      </c>
      <c r="D183" s="0" t="s">
        <v>3706</v>
      </c>
      <c r="E183" s="0" t="s">
        <v>3496</v>
      </c>
      <c r="F183" s="0" t="s">
        <v>3160</v>
      </c>
      <c r="G183" s="0" t="s">
        <v>3496</v>
      </c>
    </row>
    <row r="184" customFormat="false" ht="12.8" hidden="false" customHeight="false" outlineLevel="0" collapsed="false">
      <c r="A184" s="9" t="s">
        <v>3707</v>
      </c>
      <c r="B184" s="10" t="s">
        <v>3708</v>
      </c>
      <c r="C184" s="10" t="n">
        <v>0.93</v>
      </c>
      <c r="D184" s="0" t="s">
        <v>3709</v>
      </c>
      <c r="E184" s="0" t="s">
        <v>3486</v>
      </c>
      <c r="F184" s="0" t="s">
        <v>3151</v>
      </c>
      <c r="G184" s="0" t="s">
        <v>3487</v>
      </c>
    </row>
    <row r="185" customFormat="false" ht="12.8" hidden="false" customHeight="false" outlineLevel="0" collapsed="false">
      <c r="A185" s="9" t="s">
        <v>3710</v>
      </c>
      <c r="B185" s="10" t="s">
        <v>3711</v>
      </c>
      <c r="C185" s="10" t="n">
        <v>0.05</v>
      </c>
      <c r="D185" s="0" t="s">
        <v>3712</v>
      </c>
      <c r="E185" s="0" t="s">
        <v>3491</v>
      </c>
      <c r="F185" s="0" t="s">
        <v>3160</v>
      </c>
      <c r="G185" s="0" t="s">
        <v>3492</v>
      </c>
    </row>
    <row r="186" customFormat="false" ht="12.8" hidden="false" customHeight="false" outlineLevel="0" collapsed="false">
      <c r="A186" s="9" t="s">
        <v>3713</v>
      </c>
      <c r="B186" s="10" t="s">
        <v>3714</v>
      </c>
      <c r="C186" s="10" t="n">
        <v>0.02</v>
      </c>
      <c r="D186" s="0" t="s">
        <v>3715</v>
      </c>
      <c r="E186" s="0" t="s">
        <v>3496</v>
      </c>
      <c r="F186" s="0" t="s">
        <v>3160</v>
      </c>
      <c r="G186" s="0" t="s">
        <v>3496</v>
      </c>
    </row>
    <row r="187" customFormat="false" ht="12.8" hidden="false" customHeight="false" outlineLevel="0" collapsed="false">
      <c r="A187" s="9" t="s">
        <v>3716</v>
      </c>
      <c r="B187" s="10" t="s">
        <v>3717</v>
      </c>
      <c r="C187" s="10" t="n">
        <v>0.99</v>
      </c>
      <c r="D187" s="0" t="s">
        <v>3718</v>
      </c>
      <c r="E187" s="0" t="s">
        <v>3486</v>
      </c>
      <c r="F187" s="0" t="s">
        <v>3151</v>
      </c>
      <c r="G187" s="0" t="s">
        <v>3487</v>
      </c>
    </row>
    <row r="188" customFormat="false" ht="12.8" hidden="false" customHeight="false" outlineLevel="0" collapsed="false">
      <c r="A188" s="9" t="s">
        <v>3719</v>
      </c>
      <c r="B188" s="10" t="s">
        <v>3720</v>
      </c>
      <c r="C188" s="10" t="n">
        <v>0.009</v>
      </c>
      <c r="D188" s="0" t="s">
        <v>3721</v>
      </c>
      <c r="E188" s="0" t="s">
        <v>3491</v>
      </c>
      <c r="F188" s="0" t="s">
        <v>3160</v>
      </c>
      <c r="G188" s="0" t="s">
        <v>3492</v>
      </c>
    </row>
    <row r="189" customFormat="false" ht="12.8" hidden="false" customHeight="false" outlineLevel="0" collapsed="false">
      <c r="A189" s="9" t="s">
        <v>3722</v>
      </c>
      <c r="B189" s="10" t="s">
        <v>3723</v>
      </c>
      <c r="C189" s="10" t="n">
        <v>0.001</v>
      </c>
      <c r="D189" s="0" t="s">
        <v>3724</v>
      </c>
      <c r="E189" s="0" t="s">
        <v>3496</v>
      </c>
      <c r="F189" s="0" t="s">
        <v>3160</v>
      </c>
      <c r="G189" s="0" t="s">
        <v>3725</v>
      </c>
    </row>
    <row r="190" customFormat="false" ht="12.8" hidden="false" customHeight="false" outlineLevel="0" collapsed="false">
      <c r="A190" s="19" t="s">
        <v>3726</v>
      </c>
    </row>
    <row r="191" customFormat="false" ht="12.8" hidden="false" customHeight="false" outlineLevel="0" collapsed="false">
      <c r="A191" s="9" t="s">
        <v>3727</v>
      </c>
      <c r="B191" s="10" t="s">
        <v>3728</v>
      </c>
      <c r="C191" s="10" t="n">
        <v>0.6</v>
      </c>
      <c r="D191" s="0" t="s">
        <v>3729</v>
      </c>
      <c r="E191" s="0" t="s">
        <v>3496</v>
      </c>
      <c r="F191" s="0" t="s">
        <v>3160</v>
      </c>
      <c r="G191" s="0" t="s">
        <v>3730</v>
      </c>
    </row>
    <row r="192" customFormat="false" ht="12.8" hidden="false" customHeight="false" outlineLevel="0" collapsed="false">
      <c r="A192" s="9" t="s">
        <v>3731</v>
      </c>
      <c r="B192" s="10" t="s">
        <v>3732</v>
      </c>
      <c r="C192" s="10" t="n">
        <v>1.121</v>
      </c>
      <c r="D192" s="0" t="s">
        <v>3733</v>
      </c>
      <c r="E192" s="0" t="s">
        <v>3496</v>
      </c>
      <c r="F192" s="0" t="s">
        <v>3160</v>
      </c>
      <c r="G192" s="0" t="s">
        <v>3734</v>
      </c>
    </row>
    <row r="193" customFormat="false" ht="12.8" hidden="false" customHeight="false" outlineLevel="0" collapsed="false">
      <c r="A193" s="9" t="s">
        <v>3735</v>
      </c>
      <c r="B193" s="10" t="s">
        <v>3736</v>
      </c>
      <c r="C193" s="10" t="n">
        <v>2.173</v>
      </c>
      <c r="D193" s="0" t="s">
        <v>3737</v>
      </c>
      <c r="E193" s="0" t="s">
        <v>3496</v>
      </c>
      <c r="F193" s="0" t="s">
        <v>3160</v>
      </c>
      <c r="G193" s="0" t="s">
        <v>3734</v>
      </c>
    </row>
    <row r="194" customFormat="false" ht="12.8" hidden="false" customHeight="false" outlineLevel="0" collapsed="false">
      <c r="A194" s="9" t="s">
        <v>3738</v>
      </c>
      <c r="B194" s="10" t="s">
        <v>3739</v>
      </c>
      <c r="C194" s="10" t="n">
        <v>1.3</v>
      </c>
      <c r="D194" s="0" t="s">
        <v>3740</v>
      </c>
      <c r="E194" s="0" t="s">
        <v>3496</v>
      </c>
      <c r="F194" s="0" t="s">
        <v>3160</v>
      </c>
      <c r="G194" s="0" t="s">
        <v>3734</v>
      </c>
    </row>
    <row r="195" customFormat="false" ht="12.8" hidden="false" customHeight="false" outlineLevel="0" collapsed="false">
      <c r="A195" s="9" t="s">
        <v>3741</v>
      </c>
      <c r="B195" s="10" t="s">
        <v>3742</v>
      </c>
      <c r="C195" s="10" t="n">
        <v>2.871</v>
      </c>
      <c r="D195" s="0" t="s">
        <v>3743</v>
      </c>
      <c r="E195" s="0" t="s">
        <v>3496</v>
      </c>
      <c r="F195" s="0" t="s">
        <v>3160</v>
      </c>
      <c r="G195" s="0" t="s">
        <v>3734</v>
      </c>
    </row>
    <row r="196" customFormat="false" ht="12.8" hidden="false" customHeight="false" outlineLevel="0" collapsed="false">
      <c r="A196" s="9" t="s">
        <v>3744</v>
      </c>
      <c r="B196" s="10" t="s">
        <v>3745</v>
      </c>
      <c r="C196" s="10" t="n">
        <v>0.921</v>
      </c>
      <c r="D196" s="0" t="s">
        <v>3746</v>
      </c>
      <c r="E196" s="0" t="s">
        <v>3496</v>
      </c>
      <c r="F196" s="0" t="s">
        <v>3160</v>
      </c>
      <c r="G196" s="0" t="s">
        <v>3734</v>
      </c>
    </row>
    <row r="197" customFormat="false" ht="12.8" hidden="false" customHeight="false" outlineLevel="0" collapsed="false">
      <c r="A197" s="9" t="s">
        <v>3747</v>
      </c>
      <c r="B197" s="10" t="s">
        <v>3748</v>
      </c>
      <c r="C197" s="10" t="n">
        <v>3.269</v>
      </c>
      <c r="D197" s="0" t="s">
        <v>3749</v>
      </c>
      <c r="E197" s="0" t="s">
        <v>3496</v>
      </c>
      <c r="F197" s="0" t="s">
        <v>3160</v>
      </c>
      <c r="G197" s="0" t="s">
        <v>3734</v>
      </c>
    </row>
    <row r="198" customFormat="false" ht="12.8" hidden="false" customHeight="false" outlineLevel="0" collapsed="false">
      <c r="A198" s="9" t="s">
        <v>3750</v>
      </c>
      <c r="B198" s="10" t="s">
        <v>3751</v>
      </c>
      <c r="C198" s="10" t="n">
        <v>1.124</v>
      </c>
      <c r="D198" s="0" t="s">
        <v>3752</v>
      </c>
      <c r="E198" s="0" t="s">
        <v>3496</v>
      </c>
      <c r="F198" s="0" t="s">
        <v>3160</v>
      </c>
      <c r="G198" s="0" t="s">
        <v>3734</v>
      </c>
    </row>
    <row r="199" customFormat="false" ht="12.8" hidden="false" customHeight="false" outlineLevel="0" collapsed="false">
      <c r="A199" s="9" t="s">
        <v>3753</v>
      </c>
      <c r="B199" s="10" t="s">
        <v>3754</v>
      </c>
      <c r="C199" s="10" t="n">
        <v>0.459</v>
      </c>
      <c r="D199" s="0" t="s">
        <v>3755</v>
      </c>
      <c r="E199" s="0" t="s">
        <v>3496</v>
      </c>
      <c r="F199" s="0" t="s">
        <v>3160</v>
      </c>
      <c r="G199" s="0" t="s">
        <v>3734</v>
      </c>
    </row>
    <row r="200" customFormat="false" ht="12.8" hidden="false" customHeight="false" outlineLevel="0" collapsed="false">
      <c r="A200" s="9" t="s">
        <v>3756</v>
      </c>
      <c r="B200" s="10" t="s">
        <v>3757</v>
      </c>
      <c r="C200" s="10" t="n">
        <v>3.269</v>
      </c>
      <c r="D200" s="0" t="s">
        <v>3758</v>
      </c>
      <c r="E200" s="0" t="s">
        <v>3496</v>
      </c>
      <c r="F200" s="0" t="s">
        <v>3160</v>
      </c>
      <c r="G200" s="0" t="s">
        <v>3734</v>
      </c>
    </row>
    <row r="201" customFormat="false" ht="12.8" hidden="false" customHeight="false" outlineLevel="0" collapsed="false">
      <c r="A201" s="9" t="s">
        <v>3759</v>
      </c>
      <c r="B201" s="10" t="s">
        <v>3760</v>
      </c>
      <c r="C201" s="10" t="n">
        <v>2.045</v>
      </c>
      <c r="D201" s="0" t="s">
        <v>3761</v>
      </c>
      <c r="E201" s="0" t="s">
        <v>3496</v>
      </c>
      <c r="F201" s="0" t="s">
        <v>3160</v>
      </c>
      <c r="G201" s="0" t="s">
        <v>3734</v>
      </c>
    </row>
    <row r="202" customFormat="false" ht="12.8" hidden="false" customHeight="false" outlineLevel="0" collapsed="false">
      <c r="A202" s="9" t="s">
        <v>3762</v>
      </c>
      <c r="B202" s="10" t="s">
        <v>3763</v>
      </c>
      <c r="C202" s="10" t="n">
        <v>1.84</v>
      </c>
      <c r="D202" s="0" t="s">
        <v>3764</v>
      </c>
      <c r="E202" s="0" t="s">
        <v>3496</v>
      </c>
      <c r="F202" s="0" t="s">
        <v>3160</v>
      </c>
      <c r="G202" s="0" t="s">
        <v>3734</v>
      </c>
    </row>
    <row r="203" customFormat="false" ht="12.8" hidden="false" customHeight="false" outlineLevel="0" collapsed="false">
      <c r="A203" s="9" t="s">
        <v>3765</v>
      </c>
      <c r="B203" s="10" t="s">
        <v>3766</v>
      </c>
      <c r="C203" s="10" t="n">
        <v>1.227</v>
      </c>
      <c r="D203" s="0" t="s">
        <v>3767</v>
      </c>
      <c r="E203" s="0" t="s">
        <v>3496</v>
      </c>
      <c r="F203" s="0" t="s">
        <v>3160</v>
      </c>
      <c r="G203" s="0" t="s">
        <v>3734</v>
      </c>
    </row>
    <row r="204" customFormat="false" ht="12.8" hidden="false" customHeight="false" outlineLevel="0" collapsed="false">
      <c r="A204" s="9" t="s">
        <v>3768</v>
      </c>
      <c r="B204" s="10" t="s">
        <v>3769</v>
      </c>
      <c r="C204" s="10" t="n">
        <v>0.818</v>
      </c>
      <c r="D204" s="0" t="s">
        <v>3770</v>
      </c>
      <c r="E204" s="0" t="s">
        <v>3496</v>
      </c>
      <c r="F204" s="0" t="s">
        <v>3160</v>
      </c>
      <c r="G204" s="0" t="s">
        <v>3734</v>
      </c>
    </row>
    <row r="205" customFormat="false" ht="12.8" hidden="false" customHeight="false" outlineLevel="0" collapsed="false">
      <c r="A205" s="9" t="s">
        <v>3771</v>
      </c>
      <c r="B205" s="10" t="s">
        <v>3772</v>
      </c>
      <c r="C205" s="10" t="n">
        <v>4.089</v>
      </c>
      <c r="D205" s="0" t="s">
        <v>3773</v>
      </c>
      <c r="E205" s="0" t="s">
        <v>3496</v>
      </c>
      <c r="F205" s="0" t="s">
        <v>3160</v>
      </c>
      <c r="G205" s="0" t="s">
        <v>3734</v>
      </c>
    </row>
    <row r="206" customFormat="false" ht="12.8" hidden="false" customHeight="false" outlineLevel="0" collapsed="false">
      <c r="A206" s="9" t="s">
        <v>3774</v>
      </c>
      <c r="B206" s="10" t="s">
        <v>3775</v>
      </c>
      <c r="C206" s="10" t="n">
        <v>1.022</v>
      </c>
      <c r="D206" s="0" t="s">
        <v>3776</v>
      </c>
      <c r="E206" s="0" t="s">
        <v>3496</v>
      </c>
      <c r="F206" s="0" t="s">
        <v>3160</v>
      </c>
      <c r="G206" s="0" t="s">
        <v>3734</v>
      </c>
    </row>
    <row r="207" customFormat="false" ht="12.8" hidden="false" customHeight="false" outlineLevel="0" collapsed="false">
      <c r="A207" s="9" t="s">
        <v>3777</v>
      </c>
      <c r="B207" s="10" t="s">
        <v>3778</v>
      </c>
      <c r="C207" s="10" t="n">
        <v>1.124</v>
      </c>
      <c r="D207" s="0" t="s">
        <v>3779</v>
      </c>
      <c r="E207" s="0" t="s">
        <v>3496</v>
      </c>
      <c r="F207" s="0" t="s">
        <v>3160</v>
      </c>
      <c r="G207" s="0" t="s">
        <v>3734</v>
      </c>
    </row>
    <row r="208" customFormat="false" ht="12.8" hidden="false" customHeight="false" outlineLevel="0" collapsed="false">
      <c r="A208" s="9" t="s">
        <v>3780</v>
      </c>
      <c r="B208" s="10" t="s">
        <v>3781</v>
      </c>
      <c r="C208" s="10" t="n">
        <v>0.102</v>
      </c>
      <c r="D208" s="0" t="s">
        <v>3782</v>
      </c>
      <c r="E208" s="0" t="s">
        <v>3496</v>
      </c>
      <c r="F208" s="0" t="s">
        <v>3160</v>
      </c>
      <c r="G208" s="0" t="s">
        <v>3783</v>
      </c>
    </row>
    <row r="209" customFormat="false" ht="12.8" hidden="false" customHeight="false" outlineLevel="0" collapsed="false">
      <c r="A209" s="9" t="s">
        <v>3784</v>
      </c>
      <c r="B209" s="10" t="s">
        <v>3785</v>
      </c>
      <c r="C209" s="10" t="n">
        <v>0.0255</v>
      </c>
      <c r="D209" s="0" t="s">
        <v>3786</v>
      </c>
      <c r="E209" s="0" t="s">
        <v>3496</v>
      </c>
      <c r="F209" s="0" t="s">
        <v>3160</v>
      </c>
      <c r="G209" s="0" t="s">
        <v>3787</v>
      </c>
    </row>
    <row r="210" customFormat="false" ht="12.8" hidden="false" customHeight="false" outlineLevel="0" collapsed="false">
      <c r="A210" s="9" t="s">
        <v>3788</v>
      </c>
      <c r="B210" s="10" t="s">
        <v>3789</v>
      </c>
      <c r="C210" s="10" t="n">
        <v>0.715</v>
      </c>
      <c r="D210" s="0" t="s">
        <v>3790</v>
      </c>
      <c r="E210" s="0" t="s">
        <v>3496</v>
      </c>
      <c r="F210" s="0" t="s">
        <v>3160</v>
      </c>
      <c r="G210" s="0" t="s">
        <v>3734</v>
      </c>
    </row>
    <row r="211" customFormat="false" ht="12.8" hidden="false" customHeight="false" outlineLevel="0" collapsed="false">
      <c r="A211" s="9" t="s">
        <v>3791</v>
      </c>
      <c r="B211" s="10" t="s">
        <v>3792</v>
      </c>
      <c r="C211" s="10" t="n">
        <v>0.51</v>
      </c>
      <c r="D211" s="0" t="s">
        <v>3793</v>
      </c>
      <c r="E211" s="0" t="s">
        <v>3496</v>
      </c>
      <c r="F211" s="0" t="s">
        <v>3160</v>
      </c>
      <c r="G211" s="0" t="s">
        <v>3734</v>
      </c>
    </row>
    <row r="212" customFormat="false" ht="12.8" hidden="false" customHeight="false" outlineLevel="0" collapsed="false">
      <c r="A212" s="9" t="s">
        <v>3794</v>
      </c>
      <c r="B212" s="10" t="s">
        <v>3795</v>
      </c>
      <c r="C212" s="10" t="n">
        <v>0.613</v>
      </c>
      <c r="D212" s="0" t="s">
        <v>3796</v>
      </c>
      <c r="E212" s="0" t="s">
        <v>3496</v>
      </c>
      <c r="F212" s="0" t="s">
        <v>3160</v>
      </c>
      <c r="G212" s="0" t="s">
        <v>3734</v>
      </c>
    </row>
    <row r="213" customFormat="false" ht="12.8" hidden="false" customHeight="false" outlineLevel="0" collapsed="false">
      <c r="A213" s="9" t="s">
        <v>3797</v>
      </c>
      <c r="B213" s="10" t="s">
        <v>3798</v>
      </c>
      <c r="C213" s="10" t="n">
        <v>4.599</v>
      </c>
      <c r="D213" s="0" t="s">
        <v>3799</v>
      </c>
      <c r="E213" s="0" t="s">
        <v>3496</v>
      </c>
      <c r="F213" s="0" t="s">
        <v>3160</v>
      </c>
      <c r="G213" s="0" t="s">
        <v>3800</v>
      </c>
    </row>
    <row r="214" customFormat="false" ht="12.8" hidden="false" customHeight="false" outlineLevel="0" collapsed="false">
      <c r="A214" s="9" t="s">
        <v>3801</v>
      </c>
      <c r="B214" s="10" t="s">
        <v>3802</v>
      </c>
      <c r="C214" s="10" t="n">
        <v>0.409</v>
      </c>
      <c r="D214" s="0" t="s">
        <v>3803</v>
      </c>
      <c r="E214" s="0" t="s">
        <v>3496</v>
      </c>
      <c r="F214" s="0" t="s">
        <v>3160</v>
      </c>
      <c r="G214" s="0" t="s">
        <v>3734</v>
      </c>
    </row>
    <row r="215" customFormat="false" ht="12.8" hidden="false" customHeight="false" outlineLevel="0" collapsed="false">
      <c r="A215" s="9" t="s">
        <v>3804</v>
      </c>
      <c r="B215" s="10" t="s">
        <v>3805</v>
      </c>
      <c r="C215" s="10" t="n">
        <v>4.488</v>
      </c>
      <c r="D215" s="0" t="s">
        <v>3806</v>
      </c>
      <c r="E215" s="0" t="s">
        <v>3496</v>
      </c>
      <c r="F215" s="0" t="s">
        <v>3160</v>
      </c>
      <c r="G215" s="0" t="s">
        <v>3800</v>
      </c>
    </row>
    <row r="216" customFormat="false" ht="12.8" hidden="false" customHeight="false" outlineLevel="0" collapsed="false">
      <c r="A216" s="9" t="s">
        <v>3807</v>
      </c>
      <c r="B216" s="10" t="s">
        <v>3808</v>
      </c>
      <c r="C216" s="10" t="n">
        <v>3.066</v>
      </c>
      <c r="D216" s="0" t="s">
        <v>3809</v>
      </c>
      <c r="E216" s="0" t="s">
        <v>3496</v>
      </c>
      <c r="F216" s="0" t="s">
        <v>3160</v>
      </c>
      <c r="G216" s="0" t="s">
        <v>3810</v>
      </c>
    </row>
    <row r="217" customFormat="false" ht="12.8" hidden="false" customHeight="false" outlineLevel="0" collapsed="false">
      <c r="A217" s="19" t="s">
        <v>3811</v>
      </c>
    </row>
    <row r="218" customFormat="false" ht="12.8" hidden="false" customHeight="false" outlineLevel="0" collapsed="false">
      <c r="A218" s="9" t="s">
        <v>3812</v>
      </c>
      <c r="B218" s="10" t="s">
        <v>3813</v>
      </c>
      <c r="C218" s="10" t="n">
        <v>0.024</v>
      </c>
      <c r="D218" s="0" t="s">
        <v>3814</v>
      </c>
      <c r="E218" s="0" t="s">
        <v>3815</v>
      </c>
      <c r="F218" s="0" t="s">
        <v>3151</v>
      </c>
      <c r="G218" s="0" t="s">
        <v>3816</v>
      </c>
    </row>
    <row r="219" customFormat="false" ht="12.8" hidden="false" customHeight="false" outlineLevel="0" collapsed="false">
      <c r="A219" s="9" t="s">
        <v>3817</v>
      </c>
      <c r="B219" s="10" t="s">
        <v>3818</v>
      </c>
      <c r="C219" s="10" t="n">
        <v>0.03</v>
      </c>
      <c r="D219" s="0" t="s">
        <v>3819</v>
      </c>
      <c r="E219" s="0" t="s">
        <v>3820</v>
      </c>
      <c r="F219" s="0" t="s">
        <v>3160</v>
      </c>
      <c r="G219" s="0" t="s">
        <v>3821</v>
      </c>
    </row>
    <row r="220" customFormat="false" ht="12.8" hidden="false" customHeight="false" outlineLevel="0" collapsed="false">
      <c r="A220" s="9" t="s">
        <v>3822</v>
      </c>
      <c r="B220" s="10" t="s">
        <v>3823</v>
      </c>
      <c r="C220" s="10" t="n">
        <v>0.035</v>
      </c>
      <c r="D220" s="0" t="s">
        <v>3824</v>
      </c>
      <c r="E220" s="0" t="s">
        <v>3825</v>
      </c>
      <c r="F220" s="0" t="s">
        <v>3160</v>
      </c>
      <c r="G220" s="0" t="s">
        <v>3826</v>
      </c>
    </row>
    <row r="221" customFormat="false" ht="12.8" hidden="false" customHeight="false" outlineLevel="0" collapsed="false">
      <c r="A221" s="9" t="s">
        <v>3827</v>
      </c>
      <c r="B221" s="10" t="s">
        <v>3828</v>
      </c>
      <c r="C221" s="10" t="n">
        <v>0.024</v>
      </c>
      <c r="D221" s="0" t="s">
        <v>3829</v>
      </c>
      <c r="E221" s="0" t="s">
        <v>3815</v>
      </c>
      <c r="F221" s="0" t="s">
        <v>3151</v>
      </c>
      <c r="G221" s="0" t="s">
        <v>3830</v>
      </c>
    </row>
    <row r="222" customFormat="false" ht="12.8" hidden="false" customHeight="false" outlineLevel="0" collapsed="false">
      <c r="A222" s="9" t="s">
        <v>3831</v>
      </c>
      <c r="B222" s="10" t="s">
        <v>3832</v>
      </c>
      <c r="C222" s="10" t="n">
        <v>0.03</v>
      </c>
      <c r="D222" s="0" t="s">
        <v>3833</v>
      </c>
      <c r="E222" s="0" t="s">
        <v>3820</v>
      </c>
      <c r="F222" s="0" t="s">
        <v>3160</v>
      </c>
      <c r="G222" s="0" t="s">
        <v>3834</v>
      </c>
    </row>
    <row r="223" customFormat="false" ht="12.8" hidden="false" customHeight="false" outlineLevel="0" collapsed="false">
      <c r="A223" s="9" t="s">
        <v>3835</v>
      </c>
      <c r="B223" s="10" t="s">
        <v>3836</v>
      </c>
      <c r="C223" s="10" t="n">
        <v>0.035</v>
      </c>
      <c r="D223" s="0" t="s">
        <v>3837</v>
      </c>
      <c r="E223" s="0" t="s">
        <v>3825</v>
      </c>
      <c r="F223" s="0" t="s">
        <v>3160</v>
      </c>
      <c r="G223" s="0" t="s">
        <v>3838</v>
      </c>
    </row>
    <row r="224" customFormat="false" ht="12.8" hidden="false" customHeight="false" outlineLevel="0" collapsed="false">
      <c r="A224" s="9" t="s">
        <v>3839</v>
      </c>
      <c r="B224" s="10" t="s">
        <v>3840</v>
      </c>
      <c r="C224" s="10" t="n">
        <v>0.024</v>
      </c>
      <c r="D224" s="0" t="s">
        <v>3841</v>
      </c>
      <c r="E224" s="0" t="s">
        <v>3815</v>
      </c>
      <c r="F224" s="0" t="s">
        <v>3151</v>
      </c>
      <c r="G224" s="0" t="s">
        <v>3830</v>
      </c>
    </row>
    <row r="225" customFormat="false" ht="12.8" hidden="false" customHeight="false" outlineLevel="0" collapsed="false">
      <c r="A225" s="9" t="s">
        <v>3842</v>
      </c>
      <c r="B225" s="10" t="s">
        <v>3843</v>
      </c>
      <c r="C225" s="10" t="n">
        <v>0.03</v>
      </c>
      <c r="D225" s="0" t="s">
        <v>3844</v>
      </c>
      <c r="E225" s="0" t="s">
        <v>3820</v>
      </c>
      <c r="F225" s="0" t="s">
        <v>3160</v>
      </c>
      <c r="G225" s="0" t="s">
        <v>3834</v>
      </c>
    </row>
    <row r="226" customFormat="false" ht="12.8" hidden="false" customHeight="false" outlineLevel="0" collapsed="false">
      <c r="A226" s="9" t="s">
        <v>3845</v>
      </c>
      <c r="B226" s="10" t="s">
        <v>3846</v>
      </c>
      <c r="C226" s="10" t="n">
        <v>0.035</v>
      </c>
      <c r="D226" s="0" t="s">
        <v>3847</v>
      </c>
      <c r="E226" s="0" t="s">
        <v>3825</v>
      </c>
      <c r="F226" s="0" t="s">
        <v>3160</v>
      </c>
      <c r="G226" s="0" t="s">
        <v>3838</v>
      </c>
    </row>
    <row r="227" customFormat="false" ht="12.8" hidden="false" customHeight="false" outlineLevel="0" collapsed="false">
      <c r="A227" s="9" t="s">
        <v>3848</v>
      </c>
      <c r="B227" s="10" t="s">
        <v>3849</v>
      </c>
      <c r="C227" s="10" t="n">
        <v>0.024</v>
      </c>
      <c r="D227" s="0" t="s">
        <v>3850</v>
      </c>
      <c r="E227" s="0" t="s">
        <v>3815</v>
      </c>
      <c r="F227" s="0" t="s">
        <v>3151</v>
      </c>
      <c r="G227" s="0" t="s">
        <v>3830</v>
      </c>
    </row>
    <row r="228" customFormat="false" ht="12.8" hidden="false" customHeight="false" outlineLevel="0" collapsed="false">
      <c r="A228" s="9" t="s">
        <v>3851</v>
      </c>
      <c r="B228" s="10" t="s">
        <v>3852</v>
      </c>
      <c r="C228" s="10" t="n">
        <v>0.03</v>
      </c>
      <c r="D228" s="0" t="s">
        <v>3853</v>
      </c>
      <c r="E228" s="0" t="s">
        <v>3820</v>
      </c>
      <c r="F228" s="0" t="s">
        <v>3160</v>
      </c>
      <c r="G228" s="0" t="s">
        <v>3834</v>
      </c>
    </row>
    <row r="229" customFormat="false" ht="12.8" hidden="false" customHeight="false" outlineLevel="0" collapsed="false">
      <c r="A229" s="9" t="s">
        <v>3854</v>
      </c>
      <c r="B229" s="10" t="s">
        <v>3855</v>
      </c>
      <c r="C229" s="10" t="n">
        <v>0.035</v>
      </c>
      <c r="D229" s="0" t="s">
        <v>3856</v>
      </c>
      <c r="E229" s="0" t="s">
        <v>3825</v>
      </c>
      <c r="F229" s="0" t="s">
        <v>3160</v>
      </c>
      <c r="G229" s="0" t="s">
        <v>3838</v>
      </c>
    </row>
    <row r="230" customFormat="false" ht="12.8" hidden="false" customHeight="false" outlineLevel="0" collapsed="false">
      <c r="A230" s="9" t="s">
        <v>3857</v>
      </c>
      <c r="B230" s="10" t="s">
        <v>3858</v>
      </c>
      <c r="C230" s="10" t="n">
        <v>0.024</v>
      </c>
      <c r="D230" s="0" t="s">
        <v>3859</v>
      </c>
      <c r="E230" s="0" t="s">
        <v>3815</v>
      </c>
      <c r="F230" s="0" t="s">
        <v>3151</v>
      </c>
      <c r="G230" s="0" t="s">
        <v>3830</v>
      </c>
    </row>
    <row r="231" customFormat="false" ht="12.8" hidden="false" customHeight="false" outlineLevel="0" collapsed="false">
      <c r="A231" s="9" t="s">
        <v>3860</v>
      </c>
      <c r="B231" s="10" t="s">
        <v>3861</v>
      </c>
      <c r="C231" s="10" t="n">
        <v>0.03</v>
      </c>
      <c r="D231" s="0" t="s">
        <v>3862</v>
      </c>
      <c r="E231" s="0" t="s">
        <v>3820</v>
      </c>
      <c r="F231" s="0" t="s">
        <v>3160</v>
      </c>
      <c r="G231" s="0" t="s">
        <v>3834</v>
      </c>
    </row>
    <row r="232" customFormat="false" ht="12.8" hidden="false" customHeight="false" outlineLevel="0" collapsed="false">
      <c r="A232" s="9" t="s">
        <v>3863</v>
      </c>
      <c r="B232" s="10" t="s">
        <v>3864</v>
      </c>
      <c r="C232" s="10" t="n">
        <v>0.035</v>
      </c>
      <c r="D232" s="0" t="s">
        <v>3865</v>
      </c>
      <c r="E232" s="0" t="s">
        <v>3825</v>
      </c>
      <c r="F232" s="0" t="s">
        <v>3160</v>
      </c>
      <c r="G232" s="0" t="s">
        <v>3838</v>
      </c>
    </row>
    <row r="233" customFormat="false" ht="12.8" hidden="false" customHeight="false" outlineLevel="0" collapsed="false">
      <c r="A233" s="9" t="s">
        <v>3866</v>
      </c>
      <c r="B233" s="10" t="s">
        <v>3867</v>
      </c>
      <c r="C233" s="10" t="n">
        <v>0.024</v>
      </c>
      <c r="D233" s="0" t="s">
        <v>3868</v>
      </c>
      <c r="E233" s="0" t="s">
        <v>3815</v>
      </c>
      <c r="F233" s="0" t="s">
        <v>3151</v>
      </c>
      <c r="G233" s="0" t="s">
        <v>3830</v>
      </c>
    </row>
    <row r="234" customFormat="false" ht="12.8" hidden="false" customHeight="false" outlineLevel="0" collapsed="false">
      <c r="A234" s="9" t="s">
        <v>3869</v>
      </c>
      <c r="B234" s="10" t="s">
        <v>3870</v>
      </c>
      <c r="C234" s="10" t="n">
        <v>0.03</v>
      </c>
      <c r="D234" s="0" t="s">
        <v>3871</v>
      </c>
      <c r="E234" s="0" t="s">
        <v>3820</v>
      </c>
      <c r="F234" s="0" t="s">
        <v>3160</v>
      </c>
      <c r="G234" s="0" t="s">
        <v>3834</v>
      </c>
    </row>
    <row r="235" customFormat="false" ht="12.8" hidden="false" customHeight="false" outlineLevel="0" collapsed="false">
      <c r="A235" s="9" t="s">
        <v>3872</v>
      </c>
      <c r="B235" s="10" t="s">
        <v>3873</v>
      </c>
      <c r="C235" s="10" t="n">
        <v>0.035</v>
      </c>
      <c r="D235" s="0" t="s">
        <v>3874</v>
      </c>
      <c r="E235" s="0" t="s">
        <v>3825</v>
      </c>
      <c r="F235" s="0" t="s">
        <v>3160</v>
      </c>
      <c r="G235" s="0" t="s">
        <v>3838</v>
      </c>
    </row>
    <row r="236" customFormat="false" ht="12.8" hidden="false" customHeight="false" outlineLevel="0" collapsed="false">
      <c r="A236" s="9" t="s">
        <v>3875</v>
      </c>
      <c r="B236" s="10" t="s">
        <v>3876</v>
      </c>
      <c r="C236" s="10" t="n">
        <v>0.024</v>
      </c>
      <c r="D236" s="0" t="s">
        <v>3877</v>
      </c>
      <c r="E236" s="0" t="s">
        <v>3815</v>
      </c>
      <c r="F236" s="0" t="s">
        <v>3151</v>
      </c>
      <c r="G236" s="0" t="s">
        <v>3830</v>
      </c>
    </row>
    <row r="237" customFormat="false" ht="12.8" hidden="false" customHeight="false" outlineLevel="0" collapsed="false">
      <c r="A237" s="9" t="s">
        <v>3878</v>
      </c>
      <c r="B237" s="10" t="s">
        <v>3879</v>
      </c>
      <c r="C237" s="10" t="n">
        <v>0.03</v>
      </c>
      <c r="D237" s="0" t="s">
        <v>3880</v>
      </c>
      <c r="E237" s="0" t="s">
        <v>3820</v>
      </c>
      <c r="F237" s="0" t="s">
        <v>3160</v>
      </c>
      <c r="G237" s="0" t="s">
        <v>3834</v>
      </c>
    </row>
    <row r="238" customFormat="false" ht="12.8" hidden="false" customHeight="false" outlineLevel="0" collapsed="false">
      <c r="A238" s="9" t="s">
        <v>3881</v>
      </c>
      <c r="B238" s="10" t="s">
        <v>3882</v>
      </c>
      <c r="C238" s="10" t="n">
        <v>0.035</v>
      </c>
      <c r="D238" s="0" t="s">
        <v>3883</v>
      </c>
      <c r="E238" s="0" t="s">
        <v>3825</v>
      </c>
      <c r="F238" s="0" t="s">
        <v>3160</v>
      </c>
      <c r="G238" s="0" t="s">
        <v>3838</v>
      </c>
    </row>
    <row r="239" customFormat="false" ht="12.8" hidden="false" customHeight="false" outlineLevel="0" collapsed="false">
      <c r="A239" s="9" t="s">
        <v>3884</v>
      </c>
      <c r="B239" s="10" t="s">
        <v>3885</v>
      </c>
      <c r="C239" s="10" t="n">
        <v>0.024</v>
      </c>
      <c r="D239" s="0" t="s">
        <v>3886</v>
      </c>
      <c r="E239" s="0" t="s">
        <v>3815</v>
      </c>
      <c r="F239" s="0" t="s">
        <v>3151</v>
      </c>
      <c r="G239" s="0" t="s">
        <v>3830</v>
      </c>
    </row>
    <row r="240" customFormat="false" ht="12.8" hidden="false" customHeight="false" outlineLevel="0" collapsed="false">
      <c r="A240" s="9" t="s">
        <v>3887</v>
      </c>
      <c r="B240" s="10" t="s">
        <v>3888</v>
      </c>
      <c r="C240" s="10" t="n">
        <v>0.03</v>
      </c>
      <c r="D240" s="0" t="s">
        <v>3889</v>
      </c>
      <c r="E240" s="0" t="s">
        <v>3820</v>
      </c>
      <c r="F240" s="0" t="s">
        <v>3160</v>
      </c>
      <c r="G240" s="0" t="s">
        <v>3834</v>
      </c>
    </row>
    <row r="241" customFormat="false" ht="12.8" hidden="false" customHeight="false" outlineLevel="0" collapsed="false">
      <c r="A241" s="9" t="s">
        <v>3890</v>
      </c>
      <c r="B241" s="10" t="s">
        <v>3891</v>
      </c>
      <c r="C241" s="10" t="n">
        <v>0.035</v>
      </c>
      <c r="D241" s="0" t="s">
        <v>3892</v>
      </c>
      <c r="E241" s="0" t="s">
        <v>3825</v>
      </c>
      <c r="F241" s="0" t="s">
        <v>3160</v>
      </c>
      <c r="G241" s="0" t="s">
        <v>3838</v>
      </c>
    </row>
    <row r="242" customFormat="false" ht="12.8" hidden="false" customHeight="false" outlineLevel="0" collapsed="false">
      <c r="A242" s="9" t="s">
        <v>3893</v>
      </c>
      <c r="B242" s="10" t="s">
        <v>3894</v>
      </c>
      <c r="C242" s="10" t="n">
        <v>0.024</v>
      </c>
      <c r="D242" s="0" t="s">
        <v>3895</v>
      </c>
      <c r="E242" s="0" t="s">
        <v>3815</v>
      </c>
      <c r="F242" s="0" t="s">
        <v>3151</v>
      </c>
      <c r="G242" s="0" t="s">
        <v>3830</v>
      </c>
    </row>
    <row r="243" customFormat="false" ht="12.8" hidden="false" customHeight="false" outlineLevel="0" collapsed="false">
      <c r="A243" s="9" t="s">
        <v>3896</v>
      </c>
      <c r="B243" s="10" t="s">
        <v>3897</v>
      </c>
      <c r="C243" s="10" t="n">
        <v>0.03</v>
      </c>
      <c r="D243" s="0" t="s">
        <v>3898</v>
      </c>
      <c r="E243" s="0" t="s">
        <v>3820</v>
      </c>
      <c r="F243" s="0" t="s">
        <v>3160</v>
      </c>
      <c r="G243" s="0" t="s">
        <v>3834</v>
      </c>
    </row>
    <row r="244" customFormat="false" ht="12.8" hidden="false" customHeight="false" outlineLevel="0" collapsed="false">
      <c r="A244" s="9" t="s">
        <v>3899</v>
      </c>
      <c r="B244" s="10" t="s">
        <v>3900</v>
      </c>
      <c r="C244" s="10" t="n">
        <v>0.035</v>
      </c>
      <c r="D244" s="0" t="s">
        <v>3901</v>
      </c>
      <c r="E244" s="0" t="s">
        <v>3825</v>
      </c>
      <c r="F244" s="0" t="s">
        <v>3160</v>
      </c>
      <c r="G244" s="0" t="s">
        <v>3838</v>
      </c>
    </row>
    <row r="245" customFormat="false" ht="12.8" hidden="false" customHeight="false" outlineLevel="0" collapsed="false">
      <c r="A245" s="9" t="s">
        <v>3902</v>
      </c>
      <c r="B245" s="10" t="s">
        <v>3903</v>
      </c>
      <c r="C245" s="10" t="n">
        <v>0.024</v>
      </c>
      <c r="D245" s="0" t="s">
        <v>3904</v>
      </c>
      <c r="E245" s="0" t="s">
        <v>3815</v>
      </c>
      <c r="F245" s="0" t="s">
        <v>3151</v>
      </c>
      <c r="G245" s="0" t="s">
        <v>3830</v>
      </c>
    </row>
    <row r="246" customFormat="false" ht="12.8" hidden="false" customHeight="false" outlineLevel="0" collapsed="false">
      <c r="A246" s="9" t="s">
        <v>3905</v>
      </c>
      <c r="B246" s="10" t="s">
        <v>3906</v>
      </c>
      <c r="C246" s="10" t="n">
        <v>0.03</v>
      </c>
      <c r="D246" s="0" t="s">
        <v>3907</v>
      </c>
      <c r="E246" s="0" t="s">
        <v>3820</v>
      </c>
      <c r="F246" s="0" t="s">
        <v>3160</v>
      </c>
      <c r="G246" s="0" t="s">
        <v>3834</v>
      </c>
    </row>
    <row r="247" customFormat="false" ht="12.8" hidden="false" customHeight="false" outlineLevel="0" collapsed="false">
      <c r="A247" s="9" t="s">
        <v>3908</v>
      </c>
      <c r="B247" s="10" t="s">
        <v>3909</v>
      </c>
      <c r="C247" s="10" t="n">
        <v>0.035</v>
      </c>
      <c r="D247" s="0" t="s">
        <v>3910</v>
      </c>
      <c r="E247" s="0" t="s">
        <v>3825</v>
      </c>
      <c r="F247" s="0" t="s">
        <v>3160</v>
      </c>
      <c r="G247" s="0" t="s">
        <v>3838</v>
      </c>
    </row>
    <row r="248" customFormat="false" ht="12.8" hidden="false" customHeight="false" outlineLevel="0" collapsed="false">
      <c r="A248" s="9" t="s">
        <v>3911</v>
      </c>
      <c r="B248" s="10" t="s">
        <v>3912</v>
      </c>
      <c r="C248" s="10" t="n">
        <v>0.024</v>
      </c>
      <c r="D248" s="0" t="s">
        <v>3913</v>
      </c>
      <c r="E248" s="0" t="s">
        <v>3815</v>
      </c>
      <c r="F248" s="0" t="s">
        <v>3151</v>
      </c>
      <c r="G248" s="0" t="s">
        <v>3830</v>
      </c>
    </row>
    <row r="249" customFormat="false" ht="12.8" hidden="false" customHeight="false" outlineLevel="0" collapsed="false">
      <c r="A249" s="9" t="s">
        <v>3914</v>
      </c>
      <c r="B249" s="10" t="s">
        <v>3915</v>
      </c>
      <c r="C249" s="10" t="n">
        <v>0.03</v>
      </c>
      <c r="D249" s="0" t="s">
        <v>3916</v>
      </c>
      <c r="E249" s="0" t="s">
        <v>3820</v>
      </c>
      <c r="F249" s="0" t="s">
        <v>3160</v>
      </c>
      <c r="G249" s="0" t="s">
        <v>3834</v>
      </c>
    </row>
    <row r="250" customFormat="false" ht="12.8" hidden="false" customHeight="false" outlineLevel="0" collapsed="false">
      <c r="A250" s="9" t="s">
        <v>3917</v>
      </c>
      <c r="B250" s="10" t="s">
        <v>3918</v>
      </c>
      <c r="C250" s="10" t="n">
        <v>0.035</v>
      </c>
      <c r="D250" s="0" t="s">
        <v>3919</v>
      </c>
      <c r="E250" s="0" t="s">
        <v>3825</v>
      </c>
      <c r="F250" s="0" t="s">
        <v>3160</v>
      </c>
      <c r="G250" s="0" t="s">
        <v>3838</v>
      </c>
    </row>
    <row r="251" customFormat="false" ht="12.8" hidden="false" customHeight="false" outlineLevel="0" collapsed="false">
      <c r="A251" s="9" t="s">
        <v>3920</v>
      </c>
      <c r="B251" s="10" t="s">
        <v>3921</v>
      </c>
      <c r="C251" s="10" t="n">
        <v>0.024</v>
      </c>
      <c r="D251" s="0" t="s">
        <v>3922</v>
      </c>
      <c r="E251" s="0" t="s">
        <v>3815</v>
      </c>
      <c r="F251" s="0" t="s">
        <v>3151</v>
      </c>
      <c r="G251" s="0" t="s">
        <v>3830</v>
      </c>
    </row>
    <row r="252" customFormat="false" ht="12.8" hidden="false" customHeight="false" outlineLevel="0" collapsed="false">
      <c r="A252" s="9" t="s">
        <v>3923</v>
      </c>
      <c r="B252" s="10" t="s">
        <v>3924</v>
      </c>
      <c r="C252" s="10" t="n">
        <v>0.03</v>
      </c>
      <c r="D252" s="0" t="s">
        <v>3925</v>
      </c>
      <c r="E252" s="0" t="s">
        <v>3820</v>
      </c>
      <c r="F252" s="0" t="s">
        <v>3160</v>
      </c>
      <c r="G252" s="0" t="s">
        <v>3834</v>
      </c>
    </row>
    <row r="253" customFormat="false" ht="12.8" hidden="false" customHeight="false" outlineLevel="0" collapsed="false">
      <c r="A253" s="9" t="s">
        <v>3926</v>
      </c>
      <c r="B253" s="10" t="s">
        <v>3927</v>
      </c>
      <c r="C253" s="10" t="n">
        <v>0.035</v>
      </c>
      <c r="D253" s="0" t="s">
        <v>3928</v>
      </c>
      <c r="E253" s="0" t="s">
        <v>3825</v>
      </c>
      <c r="F253" s="0" t="s">
        <v>3160</v>
      </c>
      <c r="G253" s="0" t="s">
        <v>3838</v>
      </c>
    </row>
    <row r="254" customFormat="false" ht="12.8" hidden="false" customHeight="false" outlineLevel="0" collapsed="false">
      <c r="A254" s="9" t="s">
        <v>3929</v>
      </c>
      <c r="B254" s="10" t="s">
        <v>3930</v>
      </c>
      <c r="C254" s="10" t="n">
        <v>0.024</v>
      </c>
      <c r="D254" s="0" t="s">
        <v>3931</v>
      </c>
      <c r="E254" s="0" t="s">
        <v>3815</v>
      </c>
      <c r="F254" s="0" t="s">
        <v>3151</v>
      </c>
      <c r="G254" s="0" t="s">
        <v>3830</v>
      </c>
    </row>
    <row r="255" customFormat="false" ht="12.8" hidden="false" customHeight="false" outlineLevel="0" collapsed="false">
      <c r="A255" s="9" t="s">
        <v>3932</v>
      </c>
      <c r="B255" s="10" t="s">
        <v>3933</v>
      </c>
      <c r="C255" s="10" t="n">
        <v>0.03</v>
      </c>
      <c r="D255" s="0" t="s">
        <v>3934</v>
      </c>
      <c r="E255" s="0" t="s">
        <v>3820</v>
      </c>
      <c r="F255" s="0" t="s">
        <v>3160</v>
      </c>
      <c r="G255" s="0" t="s">
        <v>3834</v>
      </c>
    </row>
    <row r="256" customFormat="false" ht="12.8" hidden="false" customHeight="false" outlineLevel="0" collapsed="false">
      <c r="A256" s="9" t="s">
        <v>3935</v>
      </c>
      <c r="B256" s="10" t="s">
        <v>3936</v>
      </c>
      <c r="C256" s="10" t="n">
        <v>0.035</v>
      </c>
      <c r="D256" s="0" t="s">
        <v>3937</v>
      </c>
      <c r="E256" s="0" t="s">
        <v>3825</v>
      </c>
      <c r="F256" s="0" t="s">
        <v>3160</v>
      </c>
      <c r="G256" s="0" t="s">
        <v>3838</v>
      </c>
    </row>
    <row r="257" customFormat="false" ht="12.8" hidden="false" customHeight="false" outlineLevel="0" collapsed="false">
      <c r="A257" s="9" t="s">
        <v>3938</v>
      </c>
      <c r="B257" s="10" t="s">
        <v>3939</v>
      </c>
      <c r="C257" s="10" t="n">
        <v>0.024</v>
      </c>
      <c r="D257" s="0" t="s">
        <v>3940</v>
      </c>
      <c r="E257" s="0" t="s">
        <v>3815</v>
      </c>
      <c r="F257" s="0" t="s">
        <v>3151</v>
      </c>
      <c r="G257" s="0" t="s">
        <v>3830</v>
      </c>
    </row>
    <row r="258" customFormat="false" ht="12.8" hidden="false" customHeight="false" outlineLevel="0" collapsed="false">
      <c r="A258" s="9" t="s">
        <v>3941</v>
      </c>
      <c r="B258" s="10" t="s">
        <v>3942</v>
      </c>
      <c r="C258" s="10" t="n">
        <v>0.03</v>
      </c>
      <c r="D258" s="0" t="s">
        <v>3943</v>
      </c>
      <c r="E258" s="0" t="s">
        <v>3820</v>
      </c>
      <c r="F258" s="0" t="s">
        <v>3160</v>
      </c>
      <c r="G258" s="0" t="s">
        <v>3834</v>
      </c>
    </row>
    <row r="259" customFormat="false" ht="12.8" hidden="false" customHeight="false" outlineLevel="0" collapsed="false">
      <c r="A259" s="9" t="s">
        <v>3944</v>
      </c>
      <c r="B259" s="10" t="s">
        <v>3942</v>
      </c>
      <c r="C259" s="10" t="n">
        <v>0.03</v>
      </c>
      <c r="D259" s="0" t="s">
        <v>3943</v>
      </c>
      <c r="E259" s="0" t="s">
        <v>3820</v>
      </c>
      <c r="F259" s="0" t="s">
        <v>3160</v>
      </c>
      <c r="G259" s="0" t="s">
        <v>3945</v>
      </c>
    </row>
    <row r="260" customFormat="false" ht="12.8" hidden="false" customHeight="false" outlineLevel="0" collapsed="false">
      <c r="A260" s="9" t="s">
        <v>3946</v>
      </c>
      <c r="B260" s="10" t="s">
        <v>3947</v>
      </c>
      <c r="C260" s="10" t="n">
        <v>0.035</v>
      </c>
      <c r="D260" s="0" t="s">
        <v>3948</v>
      </c>
      <c r="E260" s="0" t="s">
        <v>3825</v>
      </c>
      <c r="F260" s="0" t="s">
        <v>3160</v>
      </c>
      <c r="G260" s="0" t="s">
        <v>3949</v>
      </c>
    </row>
    <row r="261" customFormat="false" ht="12.8" hidden="false" customHeight="false" outlineLevel="0" collapsed="false">
      <c r="A261" s="9" t="s">
        <v>3950</v>
      </c>
      <c r="B261" s="10" t="s">
        <v>3951</v>
      </c>
      <c r="C261" s="10" t="n">
        <v>0.024</v>
      </c>
      <c r="D261" s="0" t="s">
        <v>3952</v>
      </c>
      <c r="E261" s="0" t="s">
        <v>3815</v>
      </c>
      <c r="F261" s="0" t="s">
        <v>3151</v>
      </c>
      <c r="G261" s="0" t="s">
        <v>3830</v>
      </c>
    </row>
    <row r="262" customFormat="false" ht="12.8" hidden="false" customHeight="false" outlineLevel="0" collapsed="false">
      <c r="A262" s="9" t="s">
        <v>3953</v>
      </c>
      <c r="B262" s="10" t="s">
        <v>3954</v>
      </c>
      <c r="C262" s="10" t="n">
        <v>0.03</v>
      </c>
      <c r="D262" s="0" t="s">
        <v>3955</v>
      </c>
      <c r="E262" s="0" t="s">
        <v>3820</v>
      </c>
      <c r="F262" s="0" t="s">
        <v>3160</v>
      </c>
      <c r="G262" s="0" t="s">
        <v>3834</v>
      </c>
    </row>
    <row r="263" customFormat="false" ht="12.8" hidden="false" customHeight="false" outlineLevel="0" collapsed="false">
      <c r="A263" s="9" t="s">
        <v>3956</v>
      </c>
      <c r="B263" s="10" t="s">
        <v>3957</v>
      </c>
      <c r="C263" s="10" t="n">
        <v>0.035</v>
      </c>
      <c r="D263" s="0" t="s">
        <v>3958</v>
      </c>
      <c r="E263" s="0" t="s">
        <v>3825</v>
      </c>
      <c r="F263" s="0" t="s">
        <v>3160</v>
      </c>
      <c r="G263" s="0" t="s">
        <v>3949</v>
      </c>
    </row>
    <row r="264" customFormat="false" ht="12.8" hidden="false" customHeight="false" outlineLevel="0" collapsed="false">
      <c r="A264" s="9" t="s">
        <v>3959</v>
      </c>
      <c r="B264" s="10" t="s">
        <v>3960</v>
      </c>
      <c r="C264" s="10" t="n">
        <v>0.024</v>
      </c>
      <c r="D264" s="0" t="s">
        <v>3961</v>
      </c>
      <c r="E264" s="0" t="s">
        <v>3815</v>
      </c>
      <c r="F264" s="0" t="s">
        <v>3151</v>
      </c>
      <c r="G264" s="0" t="s">
        <v>3830</v>
      </c>
    </row>
    <row r="265" customFormat="false" ht="12.8" hidden="false" customHeight="false" outlineLevel="0" collapsed="false">
      <c r="A265" s="9" t="s">
        <v>3962</v>
      </c>
      <c r="B265" s="10" t="s">
        <v>3963</v>
      </c>
      <c r="C265" s="10" t="n">
        <v>0.03</v>
      </c>
      <c r="D265" s="0" t="s">
        <v>3964</v>
      </c>
      <c r="E265" s="0" t="s">
        <v>3820</v>
      </c>
      <c r="F265" s="0" t="s">
        <v>3160</v>
      </c>
      <c r="G265" s="0" t="s">
        <v>3834</v>
      </c>
    </row>
    <row r="266" customFormat="false" ht="12.8" hidden="false" customHeight="false" outlineLevel="0" collapsed="false">
      <c r="A266" s="9" t="s">
        <v>3965</v>
      </c>
      <c r="B266" s="10" t="s">
        <v>3966</v>
      </c>
      <c r="C266" s="10" t="n">
        <v>0.035</v>
      </c>
      <c r="D266" s="0" t="s">
        <v>3967</v>
      </c>
      <c r="E266" s="0" t="s">
        <v>3825</v>
      </c>
      <c r="F266" s="0" t="s">
        <v>3160</v>
      </c>
      <c r="G266" s="0" t="s">
        <v>3949</v>
      </c>
    </row>
    <row r="267" customFormat="false" ht="12.8" hidden="false" customHeight="false" outlineLevel="0" collapsed="false">
      <c r="A267" s="9" t="s">
        <v>3968</v>
      </c>
      <c r="B267" s="10" t="s">
        <v>3969</v>
      </c>
      <c r="C267" s="10" t="n">
        <v>0.024</v>
      </c>
      <c r="D267" s="0" t="s">
        <v>3970</v>
      </c>
      <c r="E267" s="0" t="s">
        <v>3815</v>
      </c>
      <c r="F267" s="0" t="s">
        <v>3151</v>
      </c>
      <c r="G267" s="0" t="s">
        <v>3830</v>
      </c>
    </row>
    <row r="268" customFormat="false" ht="12.8" hidden="false" customHeight="false" outlineLevel="0" collapsed="false">
      <c r="A268" s="9" t="s">
        <v>3971</v>
      </c>
      <c r="B268" s="10" t="s">
        <v>3972</v>
      </c>
      <c r="C268" s="10" t="n">
        <v>0.03</v>
      </c>
      <c r="D268" s="0" t="s">
        <v>3973</v>
      </c>
      <c r="E268" s="0" t="s">
        <v>3820</v>
      </c>
      <c r="F268" s="0" t="s">
        <v>3160</v>
      </c>
      <c r="G268" s="0" t="s">
        <v>3834</v>
      </c>
    </row>
    <row r="269" customFormat="false" ht="12.8" hidden="false" customHeight="false" outlineLevel="0" collapsed="false">
      <c r="A269" s="9" t="s">
        <v>3974</v>
      </c>
      <c r="B269" s="10" t="s">
        <v>3975</v>
      </c>
      <c r="C269" s="10" t="n">
        <v>0.035</v>
      </c>
      <c r="D269" s="0" t="s">
        <v>3976</v>
      </c>
      <c r="E269" s="0" t="s">
        <v>3825</v>
      </c>
      <c r="F269" s="0" t="s">
        <v>3160</v>
      </c>
      <c r="G269" s="0" t="s">
        <v>3949</v>
      </c>
    </row>
    <row r="270" customFormat="false" ht="12.8" hidden="false" customHeight="false" outlineLevel="0" collapsed="false">
      <c r="A270" s="9" t="s">
        <v>3977</v>
      </c>
      <c r="B270" s="10" t="s">
        <v>3978</v>
      </c>
      <c r="C270" s="10" t="n">
        <v>0.024</v>
      </c>
      <c r="D270" s="0" t="s">
        <v>3979</v>
      </c>
      <c r="E270" s="0" t="s">
        <v>3815</v>
      </c>
      <c r="F270" s="0" t="s">
        <v>3151</v>
      </c>
      <c r="G270" s="0" t="s">
        <v>3830</v>
      </c>
    </row>
    <row r="271" customFormat="false" ht="12.8" hidden="false" customHeight="false" outlineLevel="0" collapsed="false">
      <c r="A271" s="9" t="s">
        <v>3980</v>
      </c>
      <c r="B271" s="10" t="s">
        <v>3981</v>
      </c>
      <c r="C271" s="10" t="n">
        <v>0.03</v>
      </c>
      <c r="D271" s="0" t="s">
        <v>3982</v>
      </c>
      <c r="E271" s="0" t="s">
        <v>3820</v>
      </c>
      <c r="F271" s="0" t="s">
        <v>3160</v>
      </c>
      <c r="G271" s="0" t="s">
        <v>3834</v>
      </c>
    </row>
    <row r="272" customFormat="false" ht="12.8" hidden="false" customHeight="false" outlineLevel="0" collapsed="false">
      <c r="A272" s="9" t="s">
        <v>3983</v>
      </c>
      <c r="B272" s="10" t="s">
        <v>3984</v>
      </c>
      <c r="C272" s="10" t="n">
        <v>0.035</v>
      </c>
      <c r="D272" s="0" t="s">
        <v>3985</v>
      </c>
      <c r="E272" s="0" t="s">
        <v>3825</v>
      </c>
      <c r="F272" s="0" t="s">
        <v>3160</v>
      </c>
      <c r="G272" s="0" t="s">
        <v>3949</v>
      </c>
    </row>
    <row r="273" customFormat="false" ht="12.8" hidden="false" customHeight="false" outlineLevel="0" collapsed="false">
      <c r="A273" s="9" t="s">
        <v>3986</v>
      </c>
      <c r="B273" s="10" t="s">
        <v>3987</v>
      </c>
      <c r="C273" s="10" t="n">
        <v>0.024</v>
      </c>
      <c r="D273" s="0" t="s">
        <v>3988</v>
      </c>
      <c r="E273" s="0" t="s">
        <v>3815</v>
      </c>
      <c r="F273" s="0" t="s">
        <v>3151</v>
      </c>
      <c r="G273" s="0" t="s">
        <v>3830</v>
      </c>
    </row>
    <row r="274" customFormat="false" ht="12.8" hidden="false" customHeight="false" outlineLevel="0" collapsed="false">
      <c r="A274" s="9" t="s">
        <v>3989</v>
      </c>
      <c r="B274" s="10" t="s">
        <v>3990</v>
      </c>
      <c r="C274" s="10" t="n">
        <v>0.03</v>
      </c>
      <c r="D274" s="0" t="s">
        <v>3991</v>
      </c>
      <c r="E274" s="0" t="s">
        <v>3820</v>
      </c>
      <c r="F274" s="0" t="s">
        <v>3160</v>
      </c>
      <c r="G274" s="0" t="s">
        <v>3834</v>
      </c>
    </row>
    <row r="275" customFormat="false" ht="12.8" hidden="false" customHeight="false" outlineLevel="0" collapsed="false">
      <c r="A275" s="9" t="s">
        <v>3992</v>
      </c>
      <c r="B275" s="10" t="s">
        <v>3993</v>
      </c>
      <c r="C275" s="10" t="n">
        <v>0.035</v>
      </c>
      <c r="D275" s="0" t="s">
        <v>3994</v>
      </c>
      <c r="E275" s="0" t="s">
        <v>3825</v>
      </c>
      <c r="F275" s="0" t="s">
        <v>3160</v>
      </c>
      <c r="G275" s="0" t="s">
        <v>3949</v>
      </c>
    </row>
    <row r="276" customFormat="false" ht="12.8" hidden="false" customHeight="false" outlineLevel="0" collapsed="false">
      <c r="A276" s="9" t="s">
        <v>3995</v>
      </c>
      <c r="B276" s="10" t="s">
        <v>3996</v>
      </c>
      <c r="C276" s="10" t="n">
        <v>0.024</v>
      </c>
      <c r="D276" s="0" t="s">
        <v>3997</v>
      </c>
      <c r="E276" s="0" t="s">
        <v>3815</v>
      </c>
      <c r="F276" s="0" t="s">
        <v>3151</v>
      </c>
      <c r="G276" s="0" t="s">
        <v>3830</v>
      </c>
    </row>
    <row r="277" customFormat="false" ht="12.8" hidden="false" customHeight="false" outlineLevel="0" collapsed="false">
      <c r="A277" s="9" t="s">
        <v>3998</v>
      </c>
      <c r="B277" s="10" t="s">
        <v>3999</v>
      </c>
      <c r="C277" s="10" t="n">
        <v>0.03</v>
      </c>
      <c r="D277" s="0" t="s">
        <v>4000</v>
      </c>
      <c r="E277" s="0" t="s">
        <v>3820</v>
      </c>
      <c r="F277" s="0" t="s">
        <v>3160</v>
      </c>
      <c r="G277" s="0" t="s">
        <v>3834</v>
      </c>
    </row>
    <row r="278" customFormat="false" ht="12.8" hidden="false" customHeight="false" outlineLevel="0" collapsed="false">
      <c r="A278" s="9" t="s">
        <v>4001</v>
      </c>
      <c r="B278" s="10" t="s">
        <v>4002</v>
      </c>
      <c r="C278" s="10" t="n">
        <v>0.035</v>
      </c>
      <c r="D278" s="0" t="s">
        <v>4003</v>
      </c>
      <c r="E278" s="0" t="s">
        <v>3825</v>
      </c>
      <c r="F278" s="0" t="s">
        <v>3160</v>
      </c>
      <c r="G278" s="0" t="s">
        <v>3949</v>
      </c>
    </row>
    <row r="279" customFormat="false" ht="12.8" hidden="false" customHeight="false" outlineLevel="0" collapsed="false">
      <c r="A279" s="9" t="s">
        <v>4004</v>
      </c>
      <c r="B279" s="10" t="s">
        <v>4005</v>
      </c>
      <c r="C279" s="10" t="n">
        <v>0.024</v>
      </c>
      <c r="D279" s="0" t="s">
        <v>4006</v>
      </c>
      <c r="E279" s="0" t="s">
        <v>3815</v>
      </c>
      <c r="F279" s="0" t="s">
        <v>3151</v>
      </c>
      <c r="G279" s="0" t="s">
        <v>3830</v>
      </c>
    </row>
    <row r="280" customFormat="false" ht="12.8" hidden="false" customHeight="false" outlineLevel="0" collapsed="false">
      <c r="A280" s="9" t="s">
        <v>4007</v>
      </c>
      <c r="B280" s="10" t="s">
        <v>4008</v>
      </c>
      <c r="C280" s="10" t="n">
        <v>0.03</v>
      </c>
      <c r="D280" s="0" t="s">
        <v>4009</v>
      </c>
      <c r="E280" s="0" t="s">
        <v>3820</v>
      </c>
      <c r="F280" s="0" t="s">
        <v>3160</v>
      </c>
      <c r="G280" s="0" t="s">
        <v>3834</v>
      </c>
    </row>
    <row r="281" customFormat="false" ht="12.8" hidden="false" customHeight="false" outlineLevel="0" collapsed="false">
      <c r="A281" s="9" t="s">
        <v>4010</v>
      </c>
      <c r="B281" s="10" t="s">
        <v>4011</v>
      </c>
      <c r="C281" s="10" t="n">
        <v>0.035</v>
      </c>
      <c r="D281" s="0" t="s">
        <v>4012</v>
      </c>
      <c r="E281" s="0" t="s">
        <v>3825</v>
      </c>
      <c r="F281" s="0" t="s">
        <v>3160</v>
      </c>
      <c r="G281" s="0" t="s">
        <v>3949</v>
      </c>
    </row>
    <row r="282" customFormat="false" ht="12.8" hidden="false" customHeight="false" outlineLevel="0" collapsed="false">
      <c r="A282" s="9" t="s">
        <v>4013</v>
      </c>
      <c r="B282" s="10" t="s">
        <v>4014</v>
      </c>
      <c r="C282" s="10" t="n">
        <v>0.024</v>
      </c>
      <c r="D282" s="0" t="s">
        <v>4015</v>
      </c>
      <c r="E282" s="0" t="s">
        <v>3815</v>
      </c>
      <c r="F282" s="0" t="s">
        <v>3151</v>
      </c>
      <c r="G282" s="0" t="s">
        <v>3830</v>
      </c>
    </row>
    <row r="283" customFormat="false" ht="12.8" hidden="false" customHeight="false" outlineLevel="0" collapsed="false">
      <c r="A283" s="9" t="s">
        <v>4016</v>
      </c>
      <c r="B283" s="10" t="s">
        <v>4017</v>
      </c>
      <c r="C283" s="10" t="n">
        <v>0.03</v>
      </c>
      <c r="D283" s="0" t="s">
        <v>4018</v>
      </c>
      <c r="E283" s="0" t="s">
        <v>3820</v>
      </c>
      <c r="F283" s="0" t="s">
        <v>3160</v>
      </c>
      <c r="G283" s="0" t="s">
        <v>3834</v>
      </c>
    </row>
    <row r="284" customFormat="false" ht="12.8" hidden="false" customHeight="false" outlineLevel="0" collapsed="false">
      <c r="A284" s="9" t="s">
        <v>4019</v>
      </c>
      <c r="B284" s="10" t="s">
        <v>4020</v>
      </c>
      <c r="C284" s="10" t="n">
        <v>0.035</v>
      </c>
      <c r="D284" s="0" t="s">
        <v>4021</v>
      </c>
      <c r="E284" s="0" t="s">
        <v>3825</v>
      </c>
      <c r="F284" s="0" t="s">
        <v>3160</v>
      </c>
      <c r="G284" s="0" t="s">
        <v>3949</v>
      </c>
    </row>
    <row r="285" customFormat="false" ht="12.8" hidden="false" customHeight="false" outlineLevel="0" collapsed="false">
      <c r="A285" s="9" t="s">
        <v>4022</v>
      </c>
      <c r="B285" s="10" t="s">
        <v>4023</v>
      </c>
      <c r="C285" s="10" t="n">
        <v>0.024</v>
      </c>
      <c r="D285" s="0" t="s">
        <v>4024</v>
      </c>
      <c r="E285" s="0" t="s">
        <v>3815</v>
      </c>
      <c r="F285" s="0" t="s">
        <v>3151</v>
      </c>
      <c r="G285" s="0" t="s">
        <v>3830</v>
      </c>
    </row>
    <row r="286" customFormat="false" ht="12.8" hidden="false" customHeight="false" outlineLevel="0" collapsed="false">
      <c r="A286" s="9" t="s">
        <v>4025</v>
      </c>
      <c r="B286" s="10" t="s">
        <v>4026</v>
      </c>
      <c r="C286" s="10" t="n">
        <v>0.03</v>
      </c>
      <c r="D286" s="0" t="s">
        <v>4027</v>
      </c>
      <c r="E286" s="0" t="s">
        <v>3820</v>
      </c>
      <c r="F286" s="0" t="s">
        <v>3160</v>
      </c>
      <c r="G286" s="0" t="s">
        <v>3834</v>
      </c>
    </row>
    <row r="287" customFormat="false" ht="12.8" hidden="false" customHeight="false" outlineLevel="0" collapsed="false">
      <c r="A287" s="9" t="s">
        <v>4028</v>
      </c>
      <c r="B287" s="10" t="s">
        <v>4029</v>
      </c>
      <c r="C287" s="10" t="n">
        <v>0.035</v>
      </c>
      <c r="D287" s="0" t="s">
        <v>4030</v>
      </c>
      <c r="E287" s="0" t="s">
        <v>3825</v>
      </c>
      <c r="F287" s="0" t="s">
        <v>3160</v>
      </c>
      <c r="G287" s="0" t="s">
        <v>3949</v>
      </c>
    </row>
    <row r="288" customFormat="false" ht="12.8" hidden="false" customHeight="false" outlineLevel="0" collapsed="false">
      <c r="A288" s="9" t="s">
        <v>4031</v>
      </c>
      <c r="B288" s="10" t="s">
        <v>4032</v>
      </c>
      <c r="C288" s="10" t="n">
        <v>0.024</v>
      </c>
      <c r="D288" s="0" t="s">
        <v>4033</v>
      </c>
      <c r="E288" s="0" t="s">
        <v>3815</v>
      </c>
      <c r="F288" s="0" t="s">
        <v>3151</v>
      </c>
      <c r="G288" s="0" t="s">
        <v>3830</v>
      </c>
    </row>
    <row r="289" customFormat="false" ht="12.8" hidden="false" customHeight="false" outlineLevel="0" collapsed="false">
      <c r="A289" s="9" t="s">
        <v>4034</v>
      </c>
      <c r="B289" s="10" t="s">
        <v>4035</v>
      </c>
      <c r="C289" s="10" t="n">
        <v>0.03</v>
      </c>
      <c r="D289" s="0" t="s">
        <v>4036</v>
      </c>
      <c r="E289" s="0" t="s">
        <v>3820</v>
      </c>
      <c r="F289" s="0" t="s">
        <v>3160</v>
      </c>
      <c r="G289" s="0" t="s">
        <v>3834</v>
      </c>
    </row>
    <row r="290" customFormat="false" ht="12.8" hidden="false" customHeight="false" outlineLevel="0" collapsed="false">
      <c r="A290" s="9" t="s">
        <v>4037</v>
      </c>
      <c r="B290" s="10" t="s">
        <v>4038</v>
      </c>
      <c r="C290" s="10" t="n">
        <v>0.035</v>
      </c>
      <c r="D290" s="0" t="s">
        <v>4039</v>
      </c>
      <c r="E290" s="0" t="s">
        <v>3825</v>
      </c>
      <c r="F290" s="0" t="s">
        <v>3160</v>
      </c>
      <c r="G290" s="0" t="s">
        <v>3949</v>
      </c>
    </row>
    <row r="291" customFormat="false" ht="12.8" hidden="false" customHeight="false" outlineLevel="0" collapsed="false">
      <c r="A291" s="9" t="s">
        <v>4040</v>
      </c>
      <c r="B291" s="10" t="s">
        <v>4041</v>
      </c>
      <c r="C291" s="10" t="n">
        <v>0.024</v>
      </c>
      <c r="D291" s="0" t="s">
        <v>4042</v>
      </c>
      <c r="E291" s="0" t="s">
        <v>3815</v>
      </c>
      <c r="F291" s="0" t="s">
        <v>3151</v>
      </c>
      <c r="G291" s="0" t="s">
        <v>3830</v>
      </c>
    </row>
    <row r="292" customFormat="false" ht="12.8" hidden="false" customHeight="false" outlineLevel="0" collapsed="false">
      <c r="A292" s="9" t="s">
        <v>4043</v>
      </c>
      <c r="B292" s="10" t="s">
        <v>4044</v>
      </c>
      <c r="C292" s="10" t="n">
        <v>0.03</v>
      </c>
      <c r="D292" s="0" t="s">
        <v>4045</v>
      </c>
      <c r="E292" s="0" t="s">
        <v>3820</v>
      </c>
      <c r="F292" s="0" t="s">
        <v>3160</v>
      </c>
      <c r="G292" s="0" t="s">
        <v>3834</v>
      </c>
    </row>
    <row r="293" customFormat="false" ht="12.8" hidden="false" customHeight="false" outlineLevel="0" collapsed="false">
      <c r="A293" s="9" t="s">
        <v>4046</v>
      </c>
      <c r="B293" s="10" t="s">
        <v>4047</v>
      </c>
      <c r="C293" s="10" t="n">
        <v>0.035</v>
      </c>
      <c r="D293" s="0" t="s">
        <v>4048</v>
      </c>
      <c r="E293" s="0" t="s">
        <v>3825</v>
      </c>
      <c r="F293" s="0" t="s">
        <v>3160</v>
      </c>
      <c r="G293" s="0" t="s">
        <v>3949</v>
      </c>
    </row>
    <row r="294" customFormat="false" ht="12.8" hidden="false" customHeight="false" outlineLevel="0" collapsed="false">
      <c r="A294" s="9" t="s">
        <v>4049</v>
      </c>
      <c r="B294" s="10" t="s">
        <v>4050</v>
      </c>
      <c r="C294" s="10" t="n">
        <v>0.024</v>
      </c>
      <c r="D294" s="0" t="s">
        <v>4051</v>
      </c>
      <c r="E294" s="0" t="s">
        <v>3815</v>
      </c>
      <c r="F294" s="0" t="s">
        <v>3151</v>
      </c>
      <c r="G294" s="0" t="s">
        <v>3830</v>
      </c>
    </row>
    <row r="295" customFormat="false" ht="12.8" hidden="false" customHeight="false" outlineLevel="0" collapsed="false">
      <c r="A295" s="9" t="s">
        <v>4052</v>
      </c>
      <c r="B295" s="10" t="s">
        <v>4053</v>
      </c>
      <c r="C295" s="10" t="n">
        <v>0.03</v>
      </c>
      <c r="D295" s="0" t="s">
        <v>4054</v>
      </c>
      <c r="E295" s="0" t="s">
        <v>3820</v>
      </c>
      <c r="F295" s="0" t="s">
        <v>3160</v>
      </c>
      <c r="G295" s="0" t="s">
        <v>3834</v>
      </c>
    </row>
    <row r="296" customFormat="false" ht="12.8" hidden="false" customHeight="false" outlineLevel="0" collapsed="false">
      <c r="A296" s="9" t="s">
        <v>4055</v>
      </c>
      <c r="B296" s="10" t="s">
        <v>4056</v>
      </c>
      <c r="C296" s="10" t="n">
        <v>0.035</v>
      </c>
      <c r="D296" s="0" t="s">
        <v>4057</v>
      </c>
      <c r="E296" s="0" t="s">
        <v>3825</v>
      </c>
      <c r="F296" s="0" t="s">
        <v>3160</v>
      </c>
      <c r="G296" s="0" t="s">
        <v>3949</v>
      </c>
    </row>
    <row r="297" customFormat="false" ht="12.8" hidden="false" customHeight="false" outlineLevel="0" collapsed="false">
      <c r="A297" s="19" t="s">
        <v>4058</v>
      </c>
    </row>
    <row r="298" customFormat="false" ht="12.8" hidden="false" customHeight="false" outlineLevel="0" collapsed="false">
      <c r="A298" s="9" t="s">
        <v>4059</v>
      </c>
      <c r="B298" s="10" t="s">
        <v>4060</v>
      </c>
      <c r="C298" s="10" t="n">
        <v>31.7</v>
      </c>
      <c r="D298" s="0" t="s">
        <v>4061</v>
      </c>
      <c r="E298" s="0" t="s">
        <v>4062</v>
      </c>
      <c r="F298" s="0" t="s">
        <v>3151</v>
      </c>
      <c r="G298" s="0" t="s">
        <v>4063</v>
      </c>
    </row>
    <row r="299" customFormat="false" ht="12.8" hidden="false" customHeight="false" outlineLevel="0" collapsed="false">
      <c r="A299" s="9" t="s">
        <v>4064</v>
      </c>
      <c r="B299" s="10" t="s">
        <v>4065</v>
      </c>
      <c r="C299" s="10" t="n">
        <v>30.09</v>
      </c>
      <c r="D299" s="0" t="s">
        <v>4066</v>
      </c>
      <c r="E299" s="0" t="s">
        <v>4067</v>
      </c>
      <c r="F299" s="0" t="s">
        <v>3160</v>
      </c>
      <c r="G299" s="0" t="s">
        <v>4068</v>
      </c>
    </row>
    <row r="300" customFormat="false" ht="12.8" hidden="false" customHeight="false" outlineLevel="0" collapsed="false">
      <c r="A300" s="9" t="s">
        <v>4069</v>
      </c>
      <c r="B300" s="10" t="s">
        <v>4070</v>
      </c>
      <c r="C300" s="10" t="n">
        <v>26.42</v>
      </c>
      <c r="D300" s="0" t="s">
        <v>4071</v>
      </c>
      <c r="E300" s="0" t="s">
        <v>4072</v>
      </c>
      <c r="F300" s="0" t="s">
        <v>3160</v>
      </c>
      <c r="G300" s="0" t="s">
        <v>4073</v>
      </c>
    </row>
    <row r="301" customFormat="false" ht="12.8" hidden="false" customHeight="false" outlineLevel="0" collapsed="false">
      <c r="A301" s="9" t="s">
        <v>4074</v>
      </c>
      <c r="B301" s="10" t="s">
        <v>4075</v>
      </c>
      <c r="C301" s="10" t="n">
        <v>31.7</v>
      </c>
      <c r="D301" s="0" t="s">
        <v>4076</v>
      </c>
      <c r="E301" s="0" t="s">
        <v>4062</v>
      </c>
      <c r="F301" s="0" t="s">
        <v>3151</v>
      </c>
      <c r="G301" s="0" t="s">
        <v>4063</v>
      </c>
    </row>
    <row r="302" customFormat="false" ht="12.8" hidden="false" customHeight="false" outlineLevel="0" collapsed="false">
      <c r="A302" s="9" t="s">
        <v>4077</v>
      </c>
      <c r="B302" s="10" t="s">
        <v>4078</v>
      </c>
      <c r="C302" s="10" t="n">
        <v>30.09</v>
      </c>
      <c r="D302" s="0" t="s">
        <v>4079</v>
      </c>
      <c r="E302" s="0" t="s">
        <v>4067</v>
      </c>
      <c r="F302" s="0" t="s">
        <v>3160</v>
      </c>
      <c r="G302" s="0" t="s">
        <v>4068</v>
      </c>
    </row>
    <row r="303" customFormat="false" ht="12.8" hidden="false" customHeight="false" outlineLevel="0" collapsed="false">
      <c r="A303" s="9" t="s">
        <v>4080</v>
      </c>
      <c r="B303" s="10" t="s">
        <v>4081</v>
      </c>
      <c r="C303" s="10" t="n">
        <v>26.42</v>
      </c>
      <c r="D303" s="0" t="s">
        <v>4082</v>
      </c>
      <c r="E303" s="0" t="s">
        <v>4072</v>
      </c>
      <c r="F303" s="0" t="s">
        <v>3160</v>
      </c>
      <c r="G303" s="0" t="s">
        <v>4073</v>
      </c>
    </row>
    <row r="304" customFormat="false" ht="12.8" hidden="false" customHeight="false" outlineLevel="0" collapsed="false">
      <c r="A304" s="9" t="s">
        <v>4083</v>
      </c>
      <c r="B304" s="10" t="s">
        <v>4084</v>
      </c>
      <c r="C304" s="10" t="n">
        <v>31.7</v>
      </c>
      <c r="D304" s="0" t="s">
        <v>4085</v>
      </c>
      <c r="E304" s="0" t="s">
        <v>4062</v>
      </c>
      <c r="F304" s="0" t="s">
        <v>3151</v>
      </c>
      <c r="G304" s="0" t="s">
        <v>4063</v>
      </c>
    </row>
    <row r="305" customFormat="false" ht="12.8" hidden="false" customHeight="false" outlineLevel="0" collapsed="false">
      <c r="A305" s="9" t="s">
        <v>4086</v>
      </c>
      <c r="B305" s="10" t="s">
        <v>4087</v>
      </c>
      <c r="C305" s="10" t="n">
        <v>30.09</v>
      </c>
      <c r="D305" s="0" t="s">
        <v>4088</v>
      </c>
      <c r="E305" s="0" t="s">
        <v>4067</v>
      </c>
      <c r="F305" s="0" t="s">
        <v>3160</v>
      </c>
      <c r="G305" s="0" t="s">
        <v>4068</v>
      </c>
    </row>
    <row r="306" customFormat="false" ht="12.8" hidden="false" customHeight="false" outlineLevel="0" collapsed="false">
      <c r="A306" s="9" t="s">
        <v>4089</v>
      </c>
      <c r="B306" s="10" t="s">
        <v>4090</v>
      </c>
      <c r="C306" s="10" t="n">
        <v>26.42</v>
      </c>
      <c r="D306" s="0" t="s">
        <v>4091</v>
      </c>
      <c r="E306" s="0" t="s">
        <v>4072</v>
      </c>
      <c r="F306" s="0" t="s">
        <v>3160</v>
      </c>
      <c r="G306" s="0" t="s">
        <v>4073</v>
      </c>
    </row>
    <row r="307" customFormat="false" ht="12.8" hidden="false" customHeight="false" outlineLevel="0" collapsed="false">
      <c r="A307" s="9" t="s">
        <v>4092</v>
      </c>
      <c r="B307" s="10" t="s">
        <v>4093</v>
      </c>
      <c r="C307" s="10" t="n">
        <v>31.7</v>
      </c>
      <c r="D307" s="0" t="s">
        <v>4094</v>
      </c>
      <c r="E307" s="0" t="s">
        <v>4062</v>
      </c>
      <c r="F307" s="0" t="s">
        <v>3151</v>
      </c>
      <c r="G307" s="0" t="s">
        <v>4063</v>
      </c>
    </row>
    <row r="308" customFormat="false" ht="12.8" hidden="false" customHeight="false" outlineLevel="0" collapsed="false">
      <c r="A308" s="9" t="s">
        <v>4095</v>
      </c>
      <c r="B308" s="10" t="s">
        <v>4096</v>
      </c>
      <c r="C308" s="10" t="n">
        <v>30.09</v>
      </c>
      <c r="D308" s="0" t="s">
        <v>4097</v>
      </c>
      <c r="E308" s="0" t="s">
        <v>4067</v>
      </c>
      <c r="F308" s="0" t="s">
        <v>3160</v>
      </c>
      <c r="G308" s="0" t="s">
        <v>4068</v>
      </c>
    </row>
    <row r="309" customFormat="false" ht="12.8" hidden="false" customHeight="false" outlineLevel="0" collapsed="false">
      <c r="A309" s="9" t="s">
        <v>4098</v>
      </c>
      <c r="B309" s="10" t="s">
        <v>4099</v>
      </c>
      <c r="C309" s="10" t="n">
        <v>26.42</v>
      </c>
      <c r="D309" s="0" t="s">
        <v>4100</v>
      </c>
      <c r="E309" s="0" t="s">
        <v>4072</v>
      </c>
      <c r="F309" s="0" t="s">
        <v>3160</v>
      </c>
      <c r="G309" s="0" t="s">
        <v>4073</v>
      </c>
    </row>
    <row r="313" customFormat="false" ht="12.8" hidden="false" customHeight="false" outlineLevel="0" collapsed="false">
      <c r="A313" s="9" t="s">
        <v>4101</v>
      </c>
      <c r="B313" s="10" t="s">
        <v>4102</v>
      </c>
      <c r="C313" s="10" t="n">
        <v>28.5</v>
      </c>
      <c r="D313" s="0" t="s">
        <v>4103</v>
      </c>
      <c r="E313" s="0" t="s">
        <v>4062</v>
      </c>
      <c r="F313" s="0" t="s">
        <v>3151</v>
      </c>
      <c r="G313" s="0" t="s">
        <v>4063</v>
      </c>
    </row>
    <row r="314" customFormat="false" ht="12.8" hidden="false" customHeight="false" outlineLevel="0" collapsed="false">
      <c r="A314" s="9" t="s">
        <v>4104</v>
      </c>
      <c r="B314" s="10" t="s">
        <v>4105</v>
      </c>
      <c r="C314" s="10" t="n">
        <v>27.08</v>
      </c>
      <c r="D314" s="0" t="s">
        <v>4106</v>
      </c>
      <c r="E314" s="0" t="s">
        <v>4067</v>
      </c>
      <c r="F314" s="0" t="s">
        <v>3160</v>
      </c>
      <c r="G314" s="0" t="s">
        <v>4068</v>
      </c>
    </row>
    <row r="315" customFormat="false" ht="12.8" hidden="false" customHeight="false" outlineLevel="0" collapsed="false">
      <c r="A315" s="9" t="s">
        <v>4107</v>
      </c>
      <c r="B315" s="10" t="s">
        <v>4108</v>
      </c>
      <c r="C315" s="10" t="n">
        <v>23.77</v>
      </c>
      <c r="D315" s="0" t="s">
        <v>4109</v>
      </c>
      <c r="E315" s="0" t="s">
        <v>4072</v>
      </c>
      <c r="F315" s="0" t="s">
        <v>3160</v>
      </c>
      <c r="G315" s="0" t="s">
        <v>4073</v>
      </c>
    </row>
    <row r="316" customFormat="false" ht="12.8" hidden="false" customHeight="false" outlineLevel="0" collapsed="false">
      <c r="A316" s="9" t="s">
        <v>4110</v>
      </c>
      <c r="B316" s="10" t="s">
        <v>4111</v>
      </c>
      <c r="C316" s="10" t="n">
        <v>25</v>
      </c>
      <c r="D316" s="0" t="s">
        <v>4112</v>
      </c>
      <c r="E316" s="0" t="s">
        <v>4062</v>
      </c>
      <c r="F316" s="0" t="s">
        <v>3151</v>
      </c>
      <c r="G316" s="0" t="s">
        <v>4063</v>
      </c>
    </row>
    <row r="317" customFormat="false" ht="12.8" hidden="false" customHeight="false" outlineLevel="0" collapsed="false">
      <c r="A317" s="9" t="s">
        <v>4113</v>
      </c>
      <c r="B317" s="10" t="s">
        <v>4114</v>
      </c>
      <c r="C317" s="10" t="n">
        <v>23.75</v>
      </c>
      <c r="D317" s="0" t="s">
        <v>4115</v>
      </c>
      <c r="E317" s="0" t="s">
        <v>4067</v>
      </c>
      <c r="F317" s="0" t="s">
        <v>3160</v>
      </c>
      <c r="G317" s="0" t="s">
        <v>4068</v>
      </c>
    </row>
    <row r="318" customFormat="false" ht="12.8" hidden="false" customHeight="false" outlineLevel="0" collapsed="false">
      <c r="A318" s="9" t="s">
        <v>4116</v>
      </c>
      <c r="B318" s="10" t="s">
        <v>4117</v>
      </c>
      <c r="C318" s="10" t="n">
        <v>20.88</v>
      </c>
      <c r="D318" s="0" t="s">
        <v>4118</v>
      </c>
      <c r="E318" s="0" t="s">
        <v>4072</v>
      </c>
      <c r="F318" s="0" t="s">
        <v>3160</v>
      </c>
      <c r="G318" s="0" t="s">
        <v>4073</v>
      </c>
    </row>
    <row r="319" customFormat="false" ht="12.8" hidden="false" customHeight="false" outlineLevel="0" collapsed="false">
      <c r="A319" s="9" t="s">
        <v>4119</v>
      </c>
      <c r="B319" s="10" t="s">
        <v>4120</v>
      </c>
      <c r="C319" s="10" t="n">
        <v>20</v>
      </c>
      <c r="D319" s="0" t="s">
        <v>4121</v>
      </c>
      <c r="E319" s="0" t="s">
        <v>4062</v>
      </c>
      <c r="F319" s="0" t="s">
        <v>3151</v>
      </c>
      <c r="G319" s="0" t="s">
        <v>4063</v>
      </c>
    </row>
    <row r="320" customFormat="false" ht="12.8" hidden="false" customHeight="false" outlineLevel="0" collapsed="false">
      <c r="A320" s="9" t="s">
        <v>4122</v>
      </c>
      <c r="B320" s="10" t="s">
        <v>4123</v>
      </c>
      <c r="C320" s="10" t="n">
        <v>19</v>
      </c>
      <c r="D320" s="0" t="s">
        <v>4124</v>
      </c>
      <c r="E320" s="0" t="s">
        <v>4067</v>
      </c>
      <c r="F320" s="0" t="s">
        <v>3160</v>
      </c>
      <c r="G320" s="0" t="s">
        <v>4068</v>
      </c>
    </row>
    <row r="321" customFormat="false" ht="12.8" hidden="false" customHeight="false" outlineLevel="0" collapsed="false">
      <c r="A321" s="9" t="s">
        <v>4125</v>
      </c>
      <c r="B321" s="10" t="s">
        <v>4126</v>
      </c>
      <c r="C321" s="10" t="n">
        <v>16.7</v>
      </c>
      <c r="D321" s="0" t="s">
        <v>4127</v>
      </c>
      <c r="E321" s="0" t="s">
        <v>4072</v>
      </c>
      <c r="F321" s="0" t="s">
        <v>3160</v>
      </c>
      <c r="G321" s="0" t="s">
        <v>4073</v>
      </c>
    </row>
    <row r="322" customFormat="false" ht="12.8" hidden="false" customHeight="false" outlineLevel="0" collapsed="false">
      <c r="A322" s="9" t="s">
        <v>4128</v>
      </c>
      <c r="B322" s="10" t="s">
        <v>4129</v>
      </c>
      <c r="C322" s="10" t="n">
        <v>17</v>
      </c>
      <c r="D322" s="0" t="s">
        <v>4130</v>
      </c>
      <c r="E322" s="0" t="s">
        <v>4062</v>
      </c>
      <c r="F322" s="0" t="s">
        <v>3151</v>
      </c>
      <c r="G322" s="0" t="s">
        <v>4063</v>
      </c>
    </row>
    <row r="323" customFormat="false" ht="12.8" hidden="false" customHeight="false" outlineLevel="0" collapsed="false">
      <c r="A323" s="9" t="s">
        <v>4131</v>
      </c>
      <c r="B323" s="10" t="s">
        <v>4132</v>
      </c>
      <c r="C323" s="10" t="n">
        <v>16.15</v>
      </c>
      <c r="D323" s="0" t="s">
        <v>4133</v>
      </c>
      <c r="E323" s="0" t="s">
        <v>4067</v>
      </c>
      <c r="F323" s="0" t="s">
        <v>3160</v>
      </c>
      <c r="G323" s="0" t="s">
        <v>4068</v>
      </c>
    </row>
    <row r="324" customFormat="false" ht="12.8" hidden="false" customHeight="false" outlineLevel="0" collapsed="false">
      <c r="A324" s="9" t="s">
        <v>4134</v>
      </c>
      <c r="B324" s="10" t="s">
        <v>4135</v>
      </c>
      <c r="C324" s="10" t="n">
        <v>14.2</v>
      </c>
      <c r="D324" s="0" t="s">
        <v>4136</v>
      </c>
      <c r="E324" s="0" t="s">
        <v>4072</v>
      </c>
      <c r="F324" s="0" t="s">
        <v>3160</v>
      </c>
      <c r="G324" s="0" t="s">
        <v>4073</v>
      </c>
    </row>
    <row r="325" customFormat="false" ht="12.8" hidden="false" customHeight="false" outlineLevel="0" collapsed="false">
      <c r="A325" s="9" t="s">
        <v>4137</v>
      </c>
      <c r="B325" s="10" t="s">
        <v>4138</v>
      </c>
      <c r="C325" s="10" t="n">
        <v>26</v>
      </c>
      <c r="D325" s="0" t="s">
        <v>4139</v>
      </c>
      <c r="E325" s="0" t="s">
        <v>4062</v>
      </c>
      <c r="F325" s="0" t="s">
        <v>3151</v>
      </c>
      <c r="G325" s="0" t="s">
        <v>4063</v>
      </c>
    </row>
    <row r="326" customFormat="false" ht="12.8" hidden="false" customHeight="false" outlineLevel="0" collapsed="false">
      <c r="A326" s="9" t="s">
        <v>4140</v>
      </c>
      <c r="B326" s="10" t="s">
        <v>4141</v>
      </c>
      <c r="C326" s="10" t="n">
        <v>24.7</v>
      </c>
      <c r="D326" s="0" t="s">
        <v>4142</v>
      </c>
      <c r="E326" s="0" t="s">
        <v>4067</v>
      </c>
      <c r="F326" s="0" t="s">
        <v>3160</v>
      </c>
      <c r="G326" s="0" t="s">
        <v>4068</v>
      </c>
    </row>
    <row r="327" customFormat="false" ht="12.8" hidden="false" customHeight="false" outlineLevel="0" collapsed="false">
      <c r="A327" s="9" t="s">
        <v>4143</v>
      </c>
      <c r="B327" s="10" t="s">
        <v>4144</v>
      </c>
      <c r="C327" s="10" t="n">
        <v>21.7</v>
      </c>
      <c r="D327" s="0" t="s">
        <v>4145</v>
      </c>
      <c r="E327" s="0" t="s">
        <v>4072</v>
      </c>
      <c r="F327" s="0" t="s">
        <v>3160</v>
      </c>
      <c r="G327" s="0" t="s">
        <v>4073</v>
      </c>
    </row>
    <row r="328" customFormat="false" ht="12.8" hidden="false" customHeight="false" outlineLevel="0" collapsed="false">
      <c r="A328" s="9" t="s">
        <v>4146</v>
      </c>
      <c r="B328" s="10" t="s">
        <v>4147</v>
      </c>
      <c r="C328" s="10" t="n">
        <v>35</v>
      </c>
      <c r="D328" s="0" t="s">
        <v>4148</v>
      </c>
      <c r="E328" s="0" t="s">
        <v>4062</v>
      </c>
      <c r="F328" s="0" t="s">
        <v>3151</v>
      </c>
      <c r="G328" s="0" t="s">
        <v>4063</v>
      </c>
    </row>
    <row r="329" customFormat="false" ht="12.8" hidden="false" customHeight="false" outlineLevel="0" collapsed="false">
      <c r="A329" s="9" t="s">
        <v>4149</v>
      </c>
      <c r="B329" s="10" t="s">
        <v>4150</v>
      </c>
      <c r="C329" s="10" t="n">
        <v>33.25</v>
      </c>
      <c r="D329" s="0" t="s">
        <v>4151</v>
      </c>
      <c r="E329" s="0" t="s">
        <v>4067</v>
      </c>
      <c r="F329" s="0" t="s">
        <v>3160</v>
      </c>
      <c r="G329" s="0" t="s">
        <v>4068</v>
      </c>
    </row>
    <row r="330" customFormat="false" ht="12.8" hidden="false" customHeight="false" outlineLevel="0" collapsed="false">
      <c r="A330" s="9" t="s">
        <v>4152</v>
      </c>
      <c r="B330" s="10" t="s">
        <v>4153</v>
      </c>
      <c r="C330" s="10" t="n">
        <v>29.23</v>
      </c>
      <c r="D330" s="0" t="s">
        <v>4154</v>
      </c>
      <c r="E330" s="0" t="s">
        <v>4072</v>
      </c>
      <c r="F330" s="0" t="s">
        <v>3160</v>
      </c>
      <c r="G330" s="0" t="s">
        <v>4073</v>
      </c>
    </row>
    <row r="331" customFormat="false" ht="12.8" hidden="false" customHeight="false" outlineLevel="0" collapsed="false">
      <c r="A331" s="9" t="s">
        <v>4155</v>
      </c>
      <c r="B331" s="10" t="s">
        <v>4156</v>
      </c>
      <c r="C331" s="10" t="n">
        <v>40</v>
      </c>
      <c r="D331" s="0" t="s">
        <v>4157</v>
      </c>
      <c r="E331" s="0" t="s">
        <v>4062</v>
      </c>
      <c r="F331" s="0" t="s">
        <v>3151</v>
      </c>
      <c r="G331" s="0" t="s">
        <v>4063</v>
      </c>
    </row>
    <row r="332" customFormat="false" ht="12.8" hidden="false" customHeight="false" outlineLevel="0" collapsed="false">
      <c r="A332" s="9" t="s">
        <v>4158</v>
      </c>
      <c r="B332" s="10" t="s">
        <v>4159</v>
      </c>
      <c r="C332" s="10" t="n">
        <v>38</v>
      </c>
      <c r="D332" s="0" t="s">
        <v>4160</v>
      </c>
      <c r="E332" s="0" t="s">
        <v>4067</v>
      </c>
      <c r="F332" s="0" t="s">
        <v>3160</v>
      </c>
      <c r="G332" s="0" t="s">
        <v>4068</v>
      </c>
    </row>
    <row r="333" customFormat="false" ht="12.8" hidden="false" customHeight="false" outlineLevel="0" collapsed="false">
      <c r="A333" s="9" t="s">
        <v>4161</v>
      </c>
      <c r="B333" s="10" t="s">
        <v>4162</v>
      </c>
      <c r="C333" s="10" t="n">
        <v>33.4</v>
      </c>
      <c r="D333" s="0" t="s">
        <v>4163</v>
      </c>
      <c r="E333" s="0" t="s">
        <v>4072</v>
      </c>
      <c r="F333" s="0" t="s">
        <v>3160</v>
      </c>
      <c r="G333" s="0" t="s">
        <v>4073</v>
      </c>
    </row>
    <row r="334" customFormat="false" ht="12.8" hidden="false" customHeight="false" outlineLevel="0" collapsed="false">
      <c r="A334" s="9" t="s">
        <v>4164</v>
      </c>
      <c r="B334" s="10" t="s">
        <v>4165</v>
      </c>
      <c r="C334" s="10" t="n">
        <v>30</v>
      </c>
      <c r="D334" s="0" t="s">
        <v>4166</v>
      </c>
      <c r="E334" s="0" t="s">
        <v>4062</v>
      </c>
      <c r="F334" s="0" t="s">
        <v>3151</v>
      </c>
      <c r="G334" s="0" t="s">
        <v>4063</v>
      </c>
    </row>
    <row r="335" customFormat="false" ht="12.8" hidden="false" customHeight="false" outlineLevel="0" collapsed="false">
      <c r="A335" s="9" t="s">
        <v>4167</v>
      </c>
      <c r="B335" s="10" t="s">
        <v>4168</v>
      </c>
      <c r="C335" s="10" t="n">
        <v>28.5</v>
      </c>
      <c r="D335" s="0" t="s">
        <v>4169</v>
      </c>
      <c r="E335" s="0" t="s">
        <v>4067</v>
      </c>
      <c r="F335" s="0" t="s">
        <v>3160</v>
      </c>
      <c r="G335" s="0" t="s">
        <v>4068</v>
      </c>
    </row>
    <row r="336" customFormat="false" ht="12.8" hidden="false" customHeight="false" outlineLevel="0" collapsed="false">
      <c r="A336" s="9" t="s">
        <v>4170</v>
      </c>
      <c r="B336" s="10" t="s">
        <v>4171</v>
      </c>
      <c r="C336" s="10" t="n">
        <v>25.05</v>
      </c>
      <c r="D336" s="0" t="s">
        <v>4172</v>
      </c>
      <c r="E336" s="0" t="s">
        <v>4072</v>
      </c>
      <c r="F336" s="0" t="s">
        <v>3160</v>
      </c>
      <c r="G336" s="0" t="s">
        <v>4073</v>
      </c>
    </row>
    <row r="337" customFormat="false" ht="12.8" hidden="false" customHeight="false" outlineLevel="0" collapsed="false">
      <c r="A337" s="9" t="s">
        <v>4173</v>
      </c>
      <c r="B337" s="10" t="s">
        <v>4174</v>
      </c>
      <c r="C337" s="10" t="n">
        <v>38</v>
      </c>
      <c r="D337" s="0" t="s">
        <v>4175</v>
      </c>
      <c r="E337" s="0" t="s">
        <v>4062</v>
      </c>
      <c r="F337" s="0" t="s">
        <v>3151</v>
      </c>
      <c r="G337" s="0" t="s">
        <v>4063</v>
      </c>
    </row>
    <row r="338" customFormat="false" ht="12.8" hidden="false" customHeight="false" outlineLevel="0" collapsed="false">
      <c r="A338" s="9" t="s">
        <v>4176</v>
      </c>
      <c r="B338" s="10" t="s">
        <v>4177</v>
      </c>
      <c r="C338" s="10" t="n">
        <v>36.1</v>
      </c>
      <c r="D338" s="0" t="s">
        <v>4178</v>
      </c>
      <c r="E338" s="0" t="s">
        <v>4067</v>
      </c>
      <c r="F338" s="0" t="s">
        <v>3160</v>
      </c>
      <c r="G338" s="0" t="s">
        <v>4068</v>
      </c>
    </row>
    <row r="339" customFormat="false" ht="12.8" hidden="false" customHeight="false" outlineLevel="0" collapsed="false">
      <c r="A339" s="9" t="s">
        <v>4179</v>
      </c>
      <c r="B339" s="10" t="s">
        <v>4180</v>
      </c>
      <c r="C339" s="10" t="n">
        <v>31.73</v>
      </c>
      <c r="D339" s="0" t="s">
        <v>4181</v>
      </c>
      <c r="E339" s="0" t="s">
        <v>4072</v>
      </c>
      <c r="F339" s="0" t="s">
        <v>3160</v>
      </c>
      <c r="G339" s="0" t="s">
        <v>4073</v>
      </c>
    </row>
    <row r="340" customFormat="false" ht="12.8" hidden="false" customHeight="false" outlineLevel="0" collapsed="false">
      <c r="A340" s="9" t="s">
        <v>4182</v>
      </c>
      <c r="B340" s="10" t="s">
        <v>4183</v>
      </c>
      <c r="C340" s="10" t="n">
        <v>45</v>
      </c>
      <c r="D340" s="0" t="s">
        <v>4184</v>
      </c>
      <c r="E340" s="0" t="s">
        <v>4062</v>
      </c>
      <c r="F340" s="0" t="s">
        <v>3151</v>
      </c>
      <c r="G340" s="0" t="s">
        <v>4063</v>
      </c>
    </row>
    <row r="341" customFormat="false" ht="12.8" hidden="false" customHeight="false" outlineLevel="0" collapsed="false">
      <c r="A341" s="9" t="s">
        <v>4185</v>
      </c>
      <c r="B341" s="10" t="s">
        <v>4186</v>
      </c>
      <c r="C341" s="10" t="n">
        <v>42.75</v>
      </c>
      <c r="D341" s="0" t="s">
        <v>4187</v>
      </c>
      <c r="E341" s="0" t="s">
        <v>4067</v>
      </c>
      <c r="F341" s="0" t="s">
        <v>3160</v>
      </c>
      <c r="G341" s="0" t="s">
        <v>4068</v>
      </c>
    </row>
    <row r="342" customFormat="false" ht="12.8" hidden="false" customHeight="false" outlineLevel="0" collapsed="false">
      <c r="A342" s="9" t="s">
        <v>4188</v>
      </c>
      <c r="B342" s="10" t="s">
        <v>4189</v>
      </c>
      <c r="C342" s="10" t="n">
        <v>37.58</v>
      </c>
      <c r="D342" s="0" t="s">
        <v>4190</v>
      </c>
      <c r="E342" s="0" t="s">
        <v>4072</v>
      </c>
      <c r="F342" s="0" t="s">
        <v>3160</v>
      </c>
      <c r="G342" s="0" t="s">
        <v>4073</v>
      </c>
    </row>
    <row r="343" customFormat="false" ht="12.8" hidden="false" customHeight="false" outlineLevel="0" collapsed="false">
      <c r="A343" s="9" t="s">
        <v>4191</v>
      </c>
      <c r="B343" s="10" t="s">
        <v>4192</v>
      </c>
      <c r="C343" s="10" t="n">
        <v>32</v>
      </c>
      <c r="D343" s="0" t="s">
        <v>4193</v>
      </c>
      <c r="E343" s="0" t="s">
        <v>4062</v>
      </c>
      <c r="F343" s="0" t="s">
        <v>3151</v>
      </c>
      <c r="G343" s="0" t="s">
        <v>4063</v>
      </c>
    </row>
    <row r="344" customFormat="false" ht="12.8" hidden="false" customHeight="false" outlineLevel="0" collapsed="false">
      <c r="A344" s="9" t="s">
        <v>4194</v>
      </c>
      <c r="B344" s="10" t="s">
        <v>4195</v>
      </c>
      <c r="C344" s="10" t="n">
        <v>30.4</v>
      </c>
      <c r="D344" s="0" t="s">
        <v>4196</v>
      </c>
      <c r="E344" s="0" t="s">
        <v>4067</v>
      </c>
      <c r="F344" s="0" t="s">
        <v>3160</v>
      </c>
      <c r="G344" s="0" t="s">
        <v>4068</v>
      </c>
    </row>
    <row r="345" customFormat="false" ht="12.8" hidden="false" customHeight="false" outlineLevel="0" collapsed="false">
      <c r="A345" s="9" t="s">
        <v>4197</v>
      </c>
      <c r="B345" s="10" t="s">
        <v>4198</v>
      </c>
      <c r="C345" s="10" t="n">
        <v>26.72</v>
      </c>
      <c r="D345" s="0" t="s">
        <v>4199</v>
      </c>
      <c r="E345" s="0" t="s">
        <v>4072</v>
      </c>
      <c r="F345" s="0" t="s">
        <v>3160</v>
      </c>
      <c r="G345" s="0" t="s">
        <v>4073</v>
      </c>
    </row>
    <row r="346" customFormat="false" ht="12.8" hidden="false" customHeight="false" outlineLevel="0" collapsed="false">
      <c r="A346" s="18" t="s">
        <v>4200</v>
      </c>
    </row>
    <row r="347" customFormat="false" ht="12.8" hidden="false" customHeight="false" outlineLevel="0" collapsed="false">
      <c r="A347" s="9" t="s">
        <v>4201</v>
      </c>
      <c r="B347" s="10" t="s">
        <v>4202</v>
      </c>
      <c r="C347" s="10" t="n">
        <v>0.67</v>
      </c>
      <c r="D347" s="0" t="s">
        <v>4203</v>
      </c>
      <c r="E347" s="0" t="s">
        <v>4204</v>
      </c>
      <c r="F347" s="0" t="s">
        <v>3160</v>
      </c>
      <c r="G347" s="0" t="s">
        <v>4205</v>
      </c>
    </row>
    <row r="348" customFormat="false" ht="12.8" hidden="false" customHeight="false" outlineLevel="0" collapsed="false">
      <c r="A348" s="9" t="s">
        <v>4206</v>
      </c>
      <c r="B348" s="10" t="s">
        <v>4207</v>
      </c>
      <c r="C348" s="10" t="n">
        <v>0.75</v>
      </c>
      <c r="D348" s="0" t="s">
        <v>4208</v>
      </c>
      <c r="E348" s="0" t="s">
        <v>4204</v>
      </c>
      <c r="F348" s="0" t="s">
        <v>3160</v>
      </c>
      <c r="G348" s="0" t="s">
        <v>4205</v>
      </c>
    </row>
    <row r="349" customFormat="false" ht="12.8" hidden="false" customHeight="false" outlineLevel="0" collapsed="false">
      <c r="A349" s="9" t="s">
        <v>4209</v>
      </c>
      <c r="B349" s="10" t="s">
        <v>4210</v>
      </c>
      <c r="C349" s="10" t="n">
        <v>0.6</v>
      </c>
      <c r="D349" s="0" t="s">
        <v>4211</v>
      </c>
      <c r="E349" s="0" t="s">
        <v>4204</v>
      </c>
      <c r="F349" s="0" t="s">
        <v>3160</v>
      </c>
      <c r="G349" s="0" t="s">
        <v>4205</v>
      </c>
    </row>
    <row r="350" customFormat="false" ht="12.8" hidden="false" customHeight="false" outlineLevel="0" collapsed="false">
      <c r="A350" s="9" t="s">
        <v>4212</v>
      </c>
      <c r="B350" s="10" t="s">
        <v>4213</v>
      </c>
      <c r="C350" s="10" t="n">
        <v>0.6</v>
      </c>
      <c r="D350" s="0" t="s">
        <v>4214</v>
      </c>
      <c r="E350" s="0" t="s">
        <v>4204</v>
      </c>
      <c r="F350" s="0" t="s">
        <v>3160</v>
      </c>
      <c r="G350" s="0" t="s">
        <v>4205</v>
      </c>
    </row>
    <row r="351" customFormat="false" ht="12.8" hidden="false" customHeight="false" outlineLevel="0" collapsed="false">
      <c r="A351" s="9" t="s">
        <v>4215</v>
      </c>
      <c r="B351" s="10" t="s">
        <v>4216</v>
      </c>
      <c r="C351" s="10" t="n">
        <v>0.75</v>
      </c>
      <c r="D351" s="0" t="s">
        <v>4217</v>
      </c>
      <c r="E351" s="0" t="s">
        <v>4204</v>
      </c>
      <c r="F351" s="0" t="s">
        <v>3160</v>
      </c>
      <c r="G351" s="0" t="s">
        <v>4205</v>
      </c>
    </row>
    <row r="352" customFormat="false" ht="12.8" hidden="false" customHeight="false" outlineLevel="0" collapsed="false">
      <c r="A352" s="9" t="s">
        <v>4218</v>
      </c>
      <c r="B352" s="10" t="s">
        <v>4219</v>
      </c>
      <c r="C352" s="10" t="n">
        <v>0.67</v>
      </c>
      <c r="D352" s="0" t="s">
        <v>4220</v>
      </c>
      <c r="E352" s="0" t="s">
        <v>4204</v>
      </c>
      <c r="F352" s="0" t="s">
        <v>3160</v>
      </c>
      <c r="G352" s="0" t="s">
        <v>4205</v>
      </c>
    </row>
    <row r="353" customFormat="false" ht="12.8" hidden="false" customHeight="false" outlineLevel="0" collapsed="false">
      <c r="A353" s="9" t="s">
        <v>4221</v>
      </c>
      <c r="B353" s="10" t="s">
        <v>4222</v>
      </c>
      <c r="C353" s="10" t="n">
        <v>0.67</v>
      </c>
      <c r="D353" s="0" t="s">
        <v>4223</v>
      </c>
      <c r="E353" s="0" t="s">
        <v>4204</v>
      </c>
      <c r="F353" s="0" t="s">
        <v>3160</v>
      </c>
      <c r="G353" s="0" t="s">
        <v>4205</v>
      </c>
    </row>
    <row r="354" customFormat="false" ht="12.8" hidden="false" customHeight="false" outlineLevel="0" collapsed="false">
      <c r="A354" s="9" t="s">
        <v>4224</v>
      </c>
      <c r="B354" s="10" t="s">
        <v>4225</v>
      </c>
      <c r="C354" s="10" t="n">
        <v>0.8</v>
      </c>
      <c r="D354" s="0" t="s">
        <v>4226</v>
      </c>
      <c r="E354" s="0" t="s">
        <v>4204</v>
      </c>
      <c r="F354" s="0" t="s">
        <v>3160</v>
      </c>
      <c r="G354" s="0" t="s">
        <v>4205</v>
      </c>
    </row>
    <row r="355" customFormat="false" ht="12.8" hidden="false" customHeight="false" outlineLevel="0" collapsed="false">
      <c r="A355" s="9" t="s">
        <v>4227</v>
      </c>
      <c r="B355" s="10" t="s">
        <v>4228</v>
      </c>
      <c r="C355" s="10" t="n">
        <v>0.75</v>
      </c>
      <c r="D355" s="0" t="s">
        <v>4229</v>
      </c>
      <c r="E355" s="0" t="s">
        <v>4204</v>
      </c>
      <c r="F355" s="0" t="s">
        <v>3160</v>
      </c>
      <c r="G355" s="0" t="s">
        <v>4205</v>
      </c>
    </row>
    <row r="356" customFormat="false" ht="12.8" hidden="false" customHeight="false" outlineLevel="0" collapsed="false">
      <c r="A356" s="9" t="s">
        <v>4230</v>
      </c>
      <c r="B356" s="10" t="s">
        <v>4231</v>
      </c>
      <c r="C356" s="10" t="n">
        <v>0.67</v>
      </c>
      <c r="D356" s="0" t="s">
        <v>4232</v>
      </c>
      <c r="E356" s="0" t="s">
        <v>4204</v>
      </c>
      <c r="F356" s="0" t="s">
        <v>3160</v>
      </c>
      <c r="G356" s="0" t="s">
        <v>4205</v>
      </c>
    </row>
    <row r="357" customFormat="false" ht="12.8" hidden="false" customHeight="false" outlineLevel="0" collapsed="false">
      <c r="A357" s="9" t="s">
        <v>4233</v>
      </c>
      <c r="B357" s="10" t="s">
        <v>4234</v>
      </c>
      <c r="C357" s="10" t="n">
        <v>0.6</v>
      </c>
      <c r="D357" s="0" t="s">
        <v>4235</v>
      </c>
      <c r="E357" s="0" t="s">
        <v>4204</v>
      </c>
      <c r="F357" s="0" t="s">
        <v>3160</v>
      </c>
      <c r="G357" s="0" t="s">
        <v>4205</v>
      </c>
    </row>
    <row r="358" customFormat="false" ht="12.8" hidden="false" customHeight="false" outlineLevel="0" collapsed="false">
      <c r="A358" s="9" t="s">
        <v>4236</v>
      </c>
      <c r="B358" s="10" t="s">
        <v>4237</v>
      </c>
      <c r="C358" s="10" t="n">
        <v>0.75</v>
      </c>
      <c r="D358" s="0" t="s">
        <v>4238</v>
      </c>
      <c r="E358" s="0" t="s">
        <v>4204</v>
      </c>
      <c r="F358" s="0" t="s">
        <v>3160</v>
      </c>
      <c r="G358" s="0" t="s">
        <v>4205</v>
      </c>
    </row>
    <row r="359" customFormat="false" ht="12.8" hidden="false" customHeight="false" outlineLevel="0" collapsed="false">
      <c r="A359" s="9" t="s">
        <v>4239</v>
      </c>
      <c r="B359" s="10" t="s">
        <v>4240</v>
      </c>
      <c r="C359" s="10" t="n">
        <v>0.6</v>
      </c>
      <c r="D359" s="0" t="s">
        <v>4241</v>
      </c>
      <c r="E359" s="0" t="s">
        <v>4204</v>
      </c>
      <c r="F359" s="0" t="s">
        <v>3160</v>
      </c>
      <c r="G359" s="0" t="s">
        <v>4205</v>
      </c>
    </row>
    <row r="360" customFormat="false" ht="12.8" hidden="false" customHeight="false" outlineLevel="0" collapsed="false">
      <c r="A360" s="9" t="s">
        <v>4242</v>
      </c>
      <c r="B360" s="10" t="s">
        <v>4243</v>
      </c>
      <c r="C360" s="10" t="n">
        <v>0.67</v>
      </c>
      <c r="D360" s="0" t="s">
        <v>4244</v>
      </c>
      <c r="E360" s="0" t="s">
        <v>4204</v>
      </c>
      <c r="F360" s="0" t="s">
        <v>3160</v>
      </c>
      <c r="G360" s="0" t="s">
        <v>4205</v>
      </c>
    </row>
    <row r="361" customFormat="false" ht="12.8" hidden="false" customHeight="false" outlineLevel="0" collapsed="false">
      <c r="A361" s="9" t="s">
        <v>4245</v>
      </c>
      <c r="B361" s="10" t="s">
        <v>4246</v>
      </c>
      <c r="C361" s="10" t="n">
        <v>0.75</v>
      </c>
      <c r="D361" s="0" t="s">
        <v>4247</v>
      </c>
      <c r="E361" s="0" t="s">
        <v>4248</v>
      </c>
      <c r="F361" s="0" t="s">
        <v>3160</v>
      </c>
      <c r="G361" s="0" t="s">
        <v>4205</v>
      </c>
    </row>
    <row r="362" customFormat="false" ht="12.8" hidden="false" customHeight="false" outlineLevel="0" collapsed="false">
      <c r="A362" s="18" t="s">
        <v>4249</v>
      </c>
    </row>
    <row r="363" customFormat="false" ht="12.8" hidden="false" customHeight="false" outlineLevel="0" collapsed="false">
      <c r="A363" s="9" t="s">
        <v>4250</v>
      </c>
      <c r="B363" s="10" t="s">
        <v>3484</v>
      </c>
      <c r="C363" s="10" t="n">
        <v>0.8</v>
      </c>
      <c r="D363" s="0" t="s">
        <v>4251</v>
      </c>
      <c r="E363" s="0" t="s">
        <v>4252</v>
      </c>
      <c r="F363" s="0" t="s">
        <v>3160</v>
      </c>
      <c r="G363" s="0" t="s">
        <v>4253</v>
      </c>
    </row>
    <row r="364" customFormat="false" ht="12.8" hidden="false" customHeight="false" outlineLevel="0" collapsed="false">
      <c r="A364" s="9" t="s">
        <v>4254</v>
      </c>
      <c r="B364" s="10" t="s">
        <v>3499</v>
      </c>
      <c r="C364" s="10" t="n">
        <v>0.85</v>
      </c>
      <c r="D364" s="0" t="s">
        <v>4255</v>
      </c>
      <c r="E364" s="0" t="s">
        <v>4252</v>
      </c>
      <c r="F364" s="0" t="s">
        <v>3160</v>
      </c>
      <c r="G364" s="0" t="s">
        <v>4253</v>
      </c>
    </row>
    <row r="365" customFormat="false" ht="12.8" hidden="false" customHeight="false" outlineLevel="0" collapsed="false">
      <c r="A365" s="9" t="s">
        <v>4256</v>
      </c>
      <c r="B365" s="10" t="s">
        <v>3509</v>
      </c>
      <c r="C365" s="10" t="n">
        <v>0.75</v>
      </c>
      <c r="D365" s="0" t="s">
        <v>4257</v>
      </c>
      <c r="E365" s="0" t="s">
        <v>4252</v>
      </c>
      <c r="F365" s="0" t="s">
        <v>3160</v>
      </c>
      <c r="G365" s="0" t="s">
        <v>4253</v>
      </c>
    </row>
    <row r="366" customFormat="false" ht="12.8" hidden="false" customHeight="false" outlineLevel="0" collapsed="false">
      <c r="A366" s="9" t="s">
        <v>4258</v>
      </c>
      <c r="B366" s="10" t="s">
        <v>3518</v>
      </c>
      <c r="C366" s="10" t="n">
        <v>0.7</v>
      </c>
      <c r="D366" s="0" t="s">
        <v>4259</v>
      </c>
      <c r="E366" s="0" t="s">
        <v>4252</v>
      </c>
      <c r="F366" s="0" t="s">
        <v>3160</v>
      </c>
      <c r="G366" s="0" t="s">
        <v>4253</v>
      </c>
    </row>
    <row r="367" customFormat="false" ht="12.8" hidden="false" customHeight="false" outlineLevel="0" collapsed="false">
      <c r="A367" s="9" t="s">
        <v>4260</v>
      </c>
      <c r="B367" s="10" t="s">
        <v>3527</v>
      </c>
      <c r="C367" s="10" t="n">
        <v>0.82</v>
      </c>
      <c r="D367" s="0" t="s">
        <v>4261</v>
      </c>
      <c r="E367" s="0" t="s">
        <v>4252</v>
      </c>
      <c r="F367" s="0" t="s">
        <v>3160</v>
      </c>
      <c r="G367" s="0" t="s">
        <v>4253</v>
      </c>
    </row>
    <row r="368" customFormat="false" ht="12.8" hidden="false" customHeight="false" outlineLevel="0" collapsed="false">
      <c r="A368" s="9" t="s">
        <v>4262</v>
      </c>
      <c r="B368" s="10" t="s">
        <v>3536</v>
      </c>
      <c r="C368" s="10" t="n">
        <v>0.8</v>
      </c>
      <c r="D368" s="0" t="s">
        <v>4263</v>
      </c>
      <c r="E368" s="0" t="s">
        <v>4252</v>
      </c>
      <c r="F368" s="0" t="s">
        <v>3160</v>
      </c>
      <c r="G368" s="0" t="s">
        <v>4253</v>
      </c>
    </row>
    <row r="369" customFormat="false" ht="12.8" hidden="false" customHeight="false" outlineLevel="0" collapsed="false">
      <c r="A369" s="9" t="s">
        <v>4264</v>
      </c>
      <c r="B369" s="10" t="s">
        <v>3545</v>
      </c>
      <c r="C369" s="10" t="n">
        <v>0.84</v>
      </c>
      <c r="D369" s="0" t="s">
        <v>4265</v>
      </c>
      <c r="E369" s="0" t="s">
        <v>4252</v>
      </c>
      <c r="F369" s="0" t="s">
        <v>3160</v>
      </c>
      <c r="G369" s="0" t="s">
        <v>4253</v>
      </c>
    </row>
    <row r="370" customFormat="false" ht="12.8" hidden="false" customHeight="false" outlineLevel="0" collapsed="false">
      <c r="A370" s="9" t="s">
        <v>4266</v>
      </c>
      <c r="B370" s="10" t="s">
        <v>3554</v>
      </c>
      <c r="C370" s="10" t="n">
        <v>0.68</v>
      </c>
      <c r="D370" s="0" t="s">
        <v>4267</v>
      </c>
      <c r="E370" s="0" t="s">
        <v>4252</v>
      </c>
      <c r="F370" s="0" t="s">
        <v>3160</v>
      </c>
      <c r="G370" s="0" t="s">
        <v>4253</v>
      </c>
    </row>
    <row r="371" customFormat="false" ht="12.8" hidden="false" customHeight="false" outlineLevel="0" collapsed="false">
      <c r="A371" s="9" t="s">
        <v>4268</v>
      </c>
      <c r="B371" s="10" t="s">
        <v>3563</v>
      </c>
      <c r="C371" s="10" t="n">
        <v>0.82</v>
      </c>
      <c r="D371" s="0" t="s">
        <v>4269</v>
      </c>
      <c r="E371" s="0" t="s">
        <v>4252</v>
      </c>
      <c r="F371" s="0" t="s">
        <v>3160</v>
      </c>
      <c r="G371" s="0" t="s">
        <v>4253</v>
      </c>
    </row>
    <row r="372" customFormat="false" ht="12.8" hidden="false" customHeight="false" outlineLevel="0" collapsed="false">
      <c r="A372" s="9" t="s">
        <v>4270</v>
      </c>
      <c r="B372" s="10" t="s">
        <v>3572</v>
      </c>
      <c r="C372" s="10" t="n">
        <v>0.88</v>
      </c>
      <c r="D372" s="0" t="s">
        <v>4271</v>
      </c>
      <c r="E372" s="0" t="s">
        <v>4252</v>
      </c>
      <c r="F372" s="0" t="s">
        <v>3160</v>
      </c>
      <c r="G372" s="0" t="s">
        <v>4253</v>
      </c>
    </row>
    <row r="373" customFormat="false" ht="12.8" hidden="false" customHeight="false" outlineLevel="0" collapsed="false">
      <c r="A373" s="9" t="s">
        <v>4272</v>
      </c>
      <c r="B373" s="10" t="s">
        <v>3581</v>
      </c>
      <c r="C373" s="10" t="n">
        <v>0.9</v>
      </c>
      <c r="D373" s="0" t="s">
        <v>4273</v>
      </c>
      <c r="E373" s="0" t="s">
        <v>4252</v>
      </c>
      <c r="F373" s="0" t="s">
        <v>3160</v>
      </c>
      <c r="G373" s="0" t="s">
        <v>4253</v>
      </c>
    </row>
    <row r="374" customFormat="false" ht="12.8" hidden="false" customHeight="false" outlineLevel="0" collapsed="false">
      <c r="A374" s="9" t="s">
        <v>4274</v>
      </c>
      <c r="B374" s="10" t="s">
        <v>3590</v>
      </c>
      <c r="C374" s="10" t="n">
        <v>0.92</v>
      </c>
      <c r="D374" s="0" t="s">
        <v>4275</v>
      </c>
      <c r="E374" s="0" t="s">
        <v>4252</v>
      </c>
      <c r="F374" s="0" t="s">
        <v>3160</v>
      </c>
      <c r="G374" s="0" t="s">
        <v>4253</v>
      </c>
    </row>
    <row r="375" customFormat="false" ht="12.8" hidden="false" customHeight="false" outlineLevel="0" collapsed="false">
      <c r="A375" s="9" t="s">
        <v>4276</v>
      </c>
      <c r="B375" s="10" t="s">
        <v>3599</v>
      </c>
      <c r="C375" s="10" t="n">
        <v>0.9</v>
      </c>
      <c r="D375" s="0" t="s">
        <v>4277</v>
      </c>
      <c r="E375" s="0" t="s">
        <v>4252</v>
      </c>
      <c r="F375" s="0" t="s">
        <v>3160</v>
      </c>
      <c r="G375" s="0" t="s">
        <v>4253</v>
      </c>
    </row>
    <row r="376" customFormat="false" ht="12.8" hidden="false" customHeight="false" outlineLevel="0" collapsed="false">
      <c r="A376" s="9" t="s">
        <v>4278</v>
      </c>
      <c r="B376" s="10" t="s">
        <v>4279</v>
      </c>
      <c r="C376" s="10" t="n">
        <v>0.85</v>
      </c>
      <c r="D376" s="0" t="s">
        <v>4280</v>
      </c>
      <c r="E376" s="0" t="s">
        <v>4252</v>
      </c>
      <c r="F376" s="0" t="s">
        <v>3160</v>
      </c>
      <c r="G376" s="0" t="s">
        <v>4253</v>
      </c>
    </row>
    <row r="377" customFormat="false" ht="12.8" hidden="false" customHeight="false" outlineLevel="0" collapsed="false">
      <c r="A377" s="9" t="s">
        <v>4281</v>
      </c>
      <c r="B377" s="10" t="s">
        <v>3717</v>
      </c>
      <c r="C377" s="10" t="n">
        <v>0.95</v>
      </c>
      <c r="D377" s="0" t="s">
        <v>4282</v>
      </c>
      <c r="E377" s="0" t="s">
        <v>4252</v>
      </c>
      <c r="F377" s="0" t="s">
        <v>3160</v>
      </c>
      <c r="G377" s="0" t="s">
        <v>4253</v>
      </c>
    </row>
    <row r="378" customFormat="false" ht="12.8" hidden="false" customHeight="false" outlineLevel="0" collapsed="false">
      <c r="A378" s="9" t="s">
        <v>4283</v>
      </c>
      <c r="B378" s="10" t="s">
        <v>3489</v>
      </c>
      <c r="C378" s="10" t="n">
        <v>0.1</v>
      </c>
      <c r="D378" s="0" t="s">
        <v>4284</v>
      </c>
      <c r="E378" s="0" t="s">
        <v>4285</v>
      </c>
      <c r="F378" s="0" t="s">
        <v>3160</v>
      </c>
      <c r="G378" s="0" t="s">
        <v>4286</v>
      </c>
    </row>
    <row r="379" customFormat="false" ht="12.8" hidden="false" customHeight="false" outlineLevel="0" collapsed="false">
      <c r="A379" s="9" t="s">
        <v>4287</v>
      </c>
      <c r="B379" s="10" t="s">
        <v>3502</v>
      </c>
      <c r="C379" s="10" t="n">
        <v>0.08</v>
      </c>
      <c r="D379" s="0" t="s">
        <v>4288</v>
      </c>
      <c r="E379" s="0" t="s">
        <v>4285</v>
      </c>
      <c r="F379" s="0" t="s">
        <v>3160</v>
      </c>
      <c r="G379" s="0" t="s">
        <v>4286</v>
      </c>
    </row>
    <row r="380" customFormat="false" ht="12.8" hidden="false" customHeight="false" outlineLevel="0" collapsed="false">
      <c r="A380" s="9" t="s">
        <v>4289</v>
      </c>
      <c r="B380" s="10" t="s">
        <v>3512</v>
      </c>
      <c r="C380" s="10" t="n">
        <v>0.11</v>
      </c>
      <c r="D380" s="0" t="s">
        <v>4290</v>
      </c>
      <c r="E380" s="0" t="s">
        <v>4285</v>
      </c>
      <c r="F380" s="0" t="s">
        <v>3160</v>
      </c>
      <c r="G380" s="0" t="s">
        <v>4286</v>
      </c>
    </row>
    <row r="381" customFormat="false" ht="12.8" hidden="false" customHeight="false" outlineLevel="0" collapsed="false">
      <c r="A381" s="9" t="s">
        <v>4291</v>
      </c>
      <c r="B381" s="10" t="s">
        <v>3521</v>
      </c>
      <c r="C381" s="10" t="n">
        <v>0.15</v>
      </c>
      <c r="D381" s="0" t="s">
        <v>4292</v>
      </c>
      <c r="E381" s="0" t="s">
        <v>4285</v>
      </c>
      <c r="F381" s="0" t="s">
        <v>3160</v>
      </c>
      <c r="G381" s="0" t="s">
        <v>4286</v>
      </c>
    </row>
    <row r="382" customFormat="false" ht="12.8" hidden="false" customHeight="false" outlineLevel="0" collapsed="false">
      <c r="A382" s="9" t="s">
        <v>4293</v>
      </c>
      <c r="B382" s="10" t="s">
        <v>3530</v>
      </c>
      <c r="C382" s="10" t="n">
        <v>0.09</v>
      </c>
      <c r="D382" s="0" t="s">
        <v>4294</v>
      </c>
      <c r="E382" s="0" t="s">
        <v>4285</v>
      </c>
      <c r="F382" s="0" t="s">
        <v>3160</v>
      </c>
      <c r="G382" s="0" t="s">
        <v>4286</v>
      </c>
    </row>
    <row r="383" customFormat="false" ht="12.8" hidden="false" customHeight="false" outlineLevel="0" collapsed="false">
      <c r="A383" s="9" t="s">
        <v>4295</v>
      </c>
      <c r="B383" s="10" t="s">
        <v>3539</v>
      </c>
      <c r="C383" s="10" t="n">
        <v>0.1</v>
      </c>
      <c r="D383" s="0" t="s">
        <v>4296</v>
      </c>
      <c r="E383" s="0" t="s">
        <v>4285</v>
      </c>
      <c r="F383" s="0" t="s">
        <v>3160</v>
      </c>
      <c r="G383" s="0" t="s">
        <v>4286</v>
      </c>
    </row>
    <row r="384" customFormat="false" ht="12.8" hidden="false" customHeight="false" outlineLevel="0" collapsed="false">
      <c r="A384" s="9" t="s">
        <v>4297</v>
      </c>
      <c r="B384" s="10" t="s">
        <v>3548</v>
      </c>
      <c r="C384" s="10" t="n">
        <v>0.08</v>
      </c>
      <c r="D384" s="0" t="s">
        <v>4298</v>
      </c>
      <c r="E384" s="0" t="s">
        <v>4285</v>
      </c>
      <c r="F384" s="0" t="s">
        <v>3160</v>
      </c>
      <c r="G384" s="0" t="s">
        <v>4286</v>
      </c>
    </row>
    <row r="385" customFormat="false" ht="12.8" hidden="false" customHeight="false" outlineLevel="0" collapsed="false">
      <c r="A385" s="9" t="s">
        <v>4299</v>
      </c>
      <c r="B385" s="10" t="s">
        <v>3557</v>
      </c>
      <c r="C385" s="10" t="n">
        <v>0.16</v>
      </c>
      <c r="D385" s="0" t="s">
        <v>4300</v>
      </c>
      <c r="E385" s="0" t="s">
        <v>4285</v>
      </c>
      <c r="F385" s="0" t="s">
        <v>3160</v>
      </c>
      <c r="G385" s="0" t="s">
        <v>4286</v>
      </c>
    </row>
    <row r="386" customFormat="false" ht="12.8" hidden="false" customHeight="false" outlineLevel="0" collapsed="false">
      <c r="A386" s="9" t="s">
        <v>4301</v>
      </c>
      <c r="B386" s="10" t="s">
        <v>3566</v>
      </c>
      <c r="C386" s="10" t="n">
        <v>0.09</v>
      </c>
      <c r="D386" s="0" t="s">
        <v>4302</v>
      </c>
      <c r="E386" s="0" t="s">
        <v>4285</v>
      </c>
      <c r="F386" s="0" t="s">
        <v>3160</v>
      </c>
      <c r="G386" s="0" t="s">
        <v>4286</v>
      </c>
    </row>
    <row r="387" customFormat="false" ht="12.8" hidden="false" customHeight="false" outlineLevel="0" collapsed="false">
      <c r="A387" s="9" t="s">
        <v>4303</v>
      </c>
      <c r="B387" s="10" t="s">
        <v>3575</v>
      </c>
      <c r="C387" s="10" t="n">
        <v>0.06</v>
      </c>
      <c r="D387" s="0" t="s">
        <v>4304</v>
      </c>
      <c r="E387" s="0" t="s">
        <v>4285</v>
      </c>
      <c r="F387" s="0" t="s">
        <v>3160</v>
      </c>
      <c r="G387" s="0" t="s">
        <v>4286</v>
      </c>
    </row>
    <row r="388" customFormat="false" ht="12.8" hidden="false" customHeight="false" outlineLevel="0" collapsed="false">
      <c r="A388" s="9" t="s">
        <v>4305</v>
      </c>
      <c r="B388" s="10" t="s">
        <v>3584</v>
      </c>
      <c r="C388" s="10" t="n">
        <v>0.05</v>
      </c>
      <c r="D388" s="0" t="s">
        <v>4306</v>
      </c>
      <c r="E388" s="0" t="s">
        <v>4285</v>
      </c>
      <c r="F388" s="0" t="s">
        <v>3160</v>
      </c>
      <c r="G388" s="0" t="s">
        <v>4286</v>
      </c>
    </row>
    <row r="389" customFormat="false" ht="12.8" hidden="false" customHeight="false" outlineLevel="0" collapsed="false">
      <c r="A389" s="9" t="s">
        <v>4307</v>
      </c>
      <c r="B389" s="10" t="s">
        <v>3593</v>
      </c>
      <c r="C389" s="10" t="n">
        <v>0.04</v>
      </c>
      <c r="D389" s="0" t="s">
        <v>4308</v>
      </c>
      <c r="E389" s="0" t="s">
        <v>4285</v>
      </c>
      <c r="F389" s="0" t="s">
        <v>3160</v>
      </c>
      <c r="G389" s="0" t="s">
        <v>4286</v>
      </c>
    </row>
    <row r="390" customFormat="false" ht="12.8" hidden="false" customHeight="false" outlineLevel="0" collapsed="false">
      <c r="A390" s="9" t="s">
        <v>4309</v>
      </c>
      <c r="B390" s="10" t="s">
        <v>3602</v>
      </c>
      <c r="C390" s="10" t="n">
        <v>0.05</v>
      </c>
      <c r="D390" s="0" t="s">
        <v>4310</v>
      </c>
      <c r="E390" s="0" t="s">
        <v>4285</v>
      </c>
      <c r="F390" s="0" t="s">
        <v>3160</v>
      </c>
      <c r="G390" s="0" t="s">
        <v>4286</v>
      </c>
    </row>
    <row r="391" customFormat="false" ht="12.8" hidden="false" customHeight="false" outlineLevel="0" collapsed="false">
      <c r="A391" s="9" t="s">
        <v>4311</v>
      </c>
      <c r="B391" s="10" t="s">
        <v>4312</v>
      </c>
      <c r="C391" s="10" t="n">
        <v>0.075</v>
      </c>
      <c r="D391" s="0" t="s">
        <v>4313</v>
      </c>
      <c r="E391" s="0" t="s">
        <v>4285</v>
      </c>
      <c r="F391" s="0" t="s">
        <v>3160</v>
      </c>
      <c r="G391" s="0" t="s">
        <v>4286</v>
      </c>
    </row>
    <row r="392" customFormat="false" ht="12.8" hidden="false" customHeight="false" outlineLevel="0" collapsed="false">
      <c r="A392" s="9" t="s">
        <v>4314</v>
      </c>
      <c r="B392" s="10" t="s">
        <v>3720</v>
      </c>
      <c r="C392" s="10" t="n">
        <v>0.025</v>
      </c>
      <c r="D392" s="0" t="s">
        <v>4315</v>
      </c>
      <c r="E392" s="0" t="s">
        <v>4285</v>
      </c>
      <c r="F392" s="0" t="s">
        <v>3160</v>
      </c>
      <c r="G392" s="0" t="s">
        <v>4286</v>
      </c>
    </row>
    <row r="393" customFormat="false" ht="12.8" hidden="false" customHeight="false" outlineLevel="0" collapsed="false">
      <c r="A393" s="9" t="s">
        <v>4316</v>
      </c>
      <c r="B393" s="10" t="s">
        <v>4317</v>
      </c>
      <c r="C393" s="10" t="n">
        <v>9</v>
      </c>
      <c r="D393" s="0" t="s">
        <v>4318</v>
      </c>
      <c r="E393" s="0" t="s">
        <v>4319</v>
      </c>
      <c r="F393" s="0" t="s">
        <v>3160</v>
      </c>
      <c r="G393" s="0" t="s">
        <v>4320</v>
      </c>
    </row>
    <row r="394" customFormat="false" ht="12.8" hidden="false" customHeight="false" outlineLevel="0" collapsed="false">
      <c r="A394" s="9" t="s">
        <v>4321</v>
      </c>
      <c r="B394" s="10" t="s">
        <v>4322</v>
      </c>
      <c r="C394" s="10" t="n">
        <v>10</v>
      </c>
      <c r="D394" s="0" t="s">
        <v>4323</v>
      </c>
      <c r="E394" s="0" t="s">
        <v>4319</v>
      </c>
      <c r="F394" s="0" t="s">
        <v>3160</v>
      </c>
      <c r="G394" s="0" t="s">
        <v>4320</v>
      </c>
    </row>
    <row r="395" customFormat="false" ht="12.8" hidden="false" customHeight="false" outlineLevel="0" collapsed="false">
      <c r="A395" s="9" t="s">
        <v>4324</v>
      </c>
      <c r="B395" s="10" t="s">
        <v>4325</v>
      </c>
      <c r="C395" s="10" t="n">
        <v>40</v>
      </c>
      <c r="D395" s="0" t="s">
        <v>4326</v>
      </c>
      <c r="E395" s="0" t="s">
        <v>4319</v>
      </c>
      <c r="F395" s="0" t="s">
        <v>3160</v>
      </c>
      <c r="G395" s="0" t="s">
        <v>4320</v>
      </c>
    </row>
    <row r="396" customFormat="false" ht="12.8" hidden="false" customHeight="false" outlineLevel="0" collapsed="false">
      <c r="A396" s="9" t="s">
        <v>4327</v>
      </c>
      <c r="B396" s="10" t="s">
        <v>4328</v>
      </c>
      <c r="C396" s="10" t="n">
        <v>15</v>
      </c>
      <c r="D396" s="0" t="s">
        <v>4329</v>
      </c>
      <c r="E396" s="0" t="s">
        <v>4319</v>
      </c>
      <c r="F396" s="0" t="s">
        <v>3160</v>
      </c>
      <c r="G396" s="0" t="s">
        <v>4320</v>
      </c>
    </row>
    <row r="397" customFormat="false" ht="12.8" hidden="false" customHeight="false" outlineLevel="0" collapsed="false">
      <c r="A397" s="9" t="s">
        <v>4330</v>
      </c>
      <c r="B397" s="10" t="s">
        <v>4331</v>
      </c>
      <c r="C397" s="10" t="n">
        <v>36</v>
      </c>
      <c r="D397" s="0" t="s">
        <v>4332</v>
      </c>
      <c r="E397" s="0" t="s">
        <v>4319</v>
      </c>
      <c r="F397" s="0" t="s">
        <v>3160</v>
      </c>
      <c r="G397" s="0" t="s">
        <v>4320</v>
      </c>
    </row>
    <row r="398" customFormat="false" ht="12.8" hidden="false" customHeight="false" outlineLevel="0" collapsed="false">
      <c r="A398" s="9" t="s">
        <v>4333</v>
      </c>
      <c r="B398" s="10" t="s">
        <v>4334</v>
      </c>
      <c r="C398" s="10" t="n">
        <v>13</v>
      </c>
      <c r="D398" s="0" t="s">
        <v>4335</v>
      </c>
      <c r="E398" s="0" t="s">
        <v>4319</v>
      </c>
      <c r="F398" s="0" t="s">
        <v>3160</v>
      </c>
      <c r="G398" s="0" t="s">
        <v>4320</v>
      </c>
    </row>
    <row r="399" customFormat="false" ht="12.8" hidden="false" customHeight="false" outlineLevel="0" collapsed="false">
      <c r="A399" s="9" t="s">
        <v>4336</v>
      </c>
      <c r="B399" s="10" t="s">
        <v>4337</v>
      </c>
      <c r="C399" s="10" t="n">
        <v>38</v>
      </c>
      <c r="D399" s="0" t="s">
        <v>4338</v>
      </c>
      <c r="E399" s="0" t="s">
        <v>4319</v>
      </c>
      <c r="F399" s="0" t="s">
        <v>3160</v>
      </c>
      <c r="G399" s="0" t="s">
        <v>4320</v>
      </c>
    </row>
    <row r="400" customFormat="false" ht="12.8" hidden="false" customHeight="false" outlineLevel="0" collapsed="false">
      <c r="A400" s="9" t="s">
        <v>4339</v>
      </c>
      <c r="B400" s="10" t="s">
        <v>4340</v>
      </c>
      <c r="C400" s="10" t="n">
        <v>13</v>
      </c>
      <c r="D400" s="0" t="s">
        <v>4341</v>
      </c>
      <c r="E400" s="0" t="s">
        <v>4319</v>
      </c>
      <c r="F400" s="0" t="s">
        <v>3160</v>
      </c>
      <c r="G400" s="0" t="s">
        <v>4320</v>
      </c>
    </row>
    <row r="401" customFormat="false" ht="12.8" hidden="false" customHeight="false" outlineLevel="0" collapsed="false">
      <c r="A401" s="9" t="s">
        <v>4342</v>
      </c>
      <c r="B401" s="10" t="s">
        <v>4343</v>
      </c>
      <c r="C401" s="10" t="n">
        <v>6</v>
      </c>
      <c r="D401" s="0" t="s">
        <v>4344</v>
      </c>
      <c r="E401" s="0" t="s">
        <v>4319</v>
      </c>
      <c r="F401" s="0" t="s">
        <v>3160</v>
      </c>
      <c r="G401" s="0" t="s">
        <v>4320</v>
      </c>
    </row>
    <row r="402" customFormat="false" ht="12.8" hidden="false" customHeight="false" outlineLevel="0" collapsed="false">
      <c r="A402" s="9" t="s">
        <v>4345</v>
      </c>
      <c r="B402" s="10" t="s">
        <v>4346</v>
      </c>
      <c r="C402" s="10" t="n">
        <v>29</v>
      </c>
      <c r="D402" s="0" t="s">
        <v>4347</v>
      </c>
      <c r="E402" s="0" t="s">
        <v>4319</v>
      </c>
      <c r="F402" s="0" t="s">
        <v>3160</v>
      </c>
      <c r="G402" s="0" t="s">
        <v>4320</v>
      </c>
    </row>
    <row r="403" customFormat="false" ht="12.8" hidden="false" customHeight="false" outlineLevel="0" collapsed="false">
      <c r="A403" s="9" t="s">
        <v>4348</v>
      </c>
      <c r="B403" s="10" t="s">
        <v>4349</v>
      </c>
      <c r="C403" s="10" t="n">
        <v>15</v>
      </c>
      <c r="D403" s="0" t="s">
        <v>4350</v>
      </c>
      <c r="E403" s="0" t="s">
        <v>4319</v>
      </c>
      <c r="F403" s="0" t="s">
        <v>3160</v>
      </c>
      <c r="G403" s="0" t="s">
        <v>4320</v>
      </c>
    </row>
    <row r="404" customFormat="false" ht="12.8" hidden="false" customHeight="false" outlineLevel="0" collapsed="false">
      <c r="A404" s="9" t="s">
        <v>4351</v>
      </c>
      <c r="B404" s="10" t="s">
        <v>4352</v>
      </c>
      <c r="C404" s="10" t="n">
        <v>11</v>
      </c>
      <c r="D404" s="0" t="s">
        <v>4353</v>
      </c>
      <c r="E404" s="0" t="s">
        <v>4319</v>
      </c>
      <c r="F404" s="0" t="s">
        <v>3160</v>
      </c>
      <c r="G404" s="0" t="s">
        <v>4320</v>
      </c>
    </row>
    <row r="405" customFormat="false" ht="12.8" hidden="false" customHeight="false" outlineLevel="0" collapsed="false">
      <c r="A405" s="9" t="s">
        <v>4354</v>
      </c>
      <c r="B405" s="10" t="s">
        <v>4355</v>
      </c>
      <c r="C405" s="10" t="n">
        <v>9</v>
      </c>
      <c r="D405" s="0" t="s">
        <v>4356</v>
      </c>
      <c r="E405" s="0" t="s">
        <v>4319</v>
      </c>
      <c r="F405" s="0" t="s">
        <v>3160</v>
      </c>
      <c r="G405" s="0" t="s">
        <v>4320</v>
      </c>
    </row>
    <row r="406" customFormat="false" ht="12.8" hidden="false" customHeight="false" outlineLevel="0" collapsed="false">
      <c r="A406" s="9" t="s">
        <v>4357</v>
      </c>
      <c r="B406" s="10" t="s">
        <v>4358</v>
      </c>
      <c r="C406" s="10" t="n">
        <v>6</v>
      </c>
      <c r="D406" s="0" t="s">
        <v>4359</v>
      </c>
      <c r="E406" s="0" t="s">
        <v>4319</v>
      </c>
      <c r="F406" s="0" t="s">
        <v>3160</v>
      </c>
      <c r="G406" s="0" t="s">
        <v>4320</v>
      </c>
    </row>
    <row r="407" customFormat="false" ht="12.8" hidden="false" customHeight="false" outlineLevel="0" collapsed="false">
      <c r="A407" s="9" t="s">
        <v>4360</v>
      </c>
      <c r="B407" s="10" t="s">
        <v>4361</v>
      </c>
      <c r="C407" s="10" t="n">
        <v>3</v>
      </c>
      <c r="D407" s="0" t="s">
        <v>4362</v>
      </c>
      <c r="E407" s="0" t="s">
        <v>4319</v>
      </c>
      <c r="F407" s="0" t="s">
        <v>3160</v>
      </c>
      <c r="G407" s="0" t="s">
        <v>4320</v>
      </c>
    </row>
    <row r="408" customFormat="false" ht="12.8" hidden="false" customHeight="false" outlineLevel="0" collapsed="false">
      <c r="A408" s="9" t="s">
        <v>4363</v>
      </c>
      <c r="B408" s="10" t="s">
        <v>4364</v>
      </c>
      <c r="C408" s="10" t="n">
        <v>0.55</v>
      </c>
      <c r="D408" s="0" t="s">
        <v>4365</v>
      </c>
      <c r="E408" s="0" t="s">
        <v>4366</v>
      </c>
      <c r="F408" s="0" t="s">
        <v>3151</v>
      </c>
      <c r="G408" s="0" t="s">
        <v>4367</v>
      </c>
    </row>
    <row r="409" customFormat="false" ht="12.8" hidden="false" customHeight="false" outlineLevel="0" collapsed="false">
      <c r="A409" s="9" t="s">
        <v>4368</v>
      </c>
      <c r="B409" s="10" t="s">
        <v>4369</v>
      </c>
      <c r="C409" s="10" t="n">
        <v>0.62</v>
      </c>
      <c r="D409" s="0" t="s">
        <v>4370</v>
      </c>
      <c r="E409" s="0" t="s">
        <v>4366</v>
      </c>
      <c r="F409" s="0" t="s">
        <v>3151</v>
      </c>
      <c r="G409" s="0" t="s">
        <v>4367</v>
      </c>
    </row>
    <row r="410" customFormat="false" ht="12.8" hidden="false" customHeight="false" outlineLevel="0" collapsed="false">
      <c r="A410" s="9" t="s">
        <v>4371</v>
      </c>
      <c r="B410" s="10" t="s">
        <v>4372</v>
      </c>
      <c r="C410" s="10" t="n">
        <v>0.667</v>
      </c>
      <c r="D410" s="0" t="s">
        <v>4373</v>
      </c>
      <c r="E410" s="0" t="s">
        <v>4366</v>
      </c>
      <c r="F410" s="0" t="s">
        <v>3151</v>
      </c>
      <c r="G410" s="0" t="s">
        <v>4367</v>
      </c>
    </row>
    <row r="411" customFormat="false" ht="12.8" hidden="false" customHeight="false" outlineLevel="0" collapsed="false">
      <c r="A411" s="9" t="s">
        <v>4374</v>
      </c>
      <c r="B411" s="10" t="s">
        <v>4375</v>
      </c>
      <c r="C411" s="10" t="n">
        <v>0.6</v>
      </c>
      <c r="D411" s="0" t="s">
        <v>4376</v>
      </c>
      <c r="E411" s="0" t="s">
        <v>4366</v>
      </c>
      <c r="F411" s="0" t="s">
        <v>3151</v>
      </c>
      <c r="G411" s="0" t="s">
        <v>4367</v>
      </c>
    </row>
    <row r="412" customFormat="false" ht="12.8" hidden="false" customHeight="false" outlineLevel="0" collapsed="false">
      <c r="A412" s="9" t="s">
        <v>4377</v>
      </c>
      <c r="B412" s="10" t="s">
        <v>4378</v>
      </c>
      <c r="C412" s="10" t="n">
        <v>0.68</v>
      </c>
      <c r="D412" s="0" t="s">
        <v>4379</v>
      </c>
      <c r="E412" s="0" t="s">
        <v>4366</v>
      </c>
      <c r="F412" s="0" t="s">
        <v>3151</v>
      </c>
      <c r="G412" s="0" t="s">
        <v>4367</v>
      </c>
    </row>
    <row r="413" customFormat="false" ht="12.8" hidden="false" customHeight="false" outlineLevel="0" collapsed="false">
      <c r="A413" s="9" t="s">
        <v>4380</v>
      </c>
      <c r="B413" s="10" t="s">
        <v>4381</v>
      </c>
      <c r="C413" s="10" t="n">
        <v>0.65</v>
      </c>
      <c r="D413" s="0" t="s">
        <v>4382</v>
      </c>
      <c r="E413" s="0" t="s">
        <v>4366</v>
      </c>
      <c r="F413" s="0" t="s">
        <v>3151</v>
      </c>
      <c r="G413" s="0" t="s">
        <v>4367</v>
      </c>
    </row>
    <row r="414" customFormat="false" ht="12.8" hidden="false" customHeight="false" outlineLevel="0" collapsed="false">
      <c r="A414" s="9" t="s">
        <v>4383</v>
      </c>
      <c r="B414" s="10" t="s">
        <v>4384</v>
      </c>
      <c r="C414" s="10" t="n">
        <v>0.67</v>
      </c>
      <c r="D414" s="0" t="s">
        <v>4385</v>
      </c>
      <c r="E414" s="0" t="s">
        <v>4366</v>
      </c>
      <c r="F414" s="0" t="s">
        <v>3151</v>
      </c>
      <c r="G414" s="0" t="s">
        <v>4367</v>
      </c>
    </row>
    <row r="416" customFormat="false" ht="12.8" hidden="false" customHeight="false" outlineLevel="0" collapsed="false">
      <c r="A416" s="9" t="s">
        <v>4386</v>
      </c>
      <c r="B416" s="10" t="s">
        <v>4387</v>
      </c>
      <c r="C416" s="10" t="n">
        <v>0.58</v>
      </c>
      <c r="D416" s="0" t="s">
        <v>4388</v>
      </c>
      <c r="E416" s="0" t="s">
        <v>4366</v>
      </c>
      <c r="F416" s="0" t="s">
        <v>3151</v>
      </c>
      <c r="G416" s="0" t="s">
        <v>4367</v>
      </c>
    </row>
    <row r="417" customFormat="false" ht="12.8" hidden="false" customHeight="false" outlineLevel="0" collapsed="false">
      <c r="A417" s="9" t="s">
        <v>4389</v>
      </c>
      <c r="B417" s="10" t="s">
        <v>4390</v>
      </c>
      <c r="C417" s="10" t="n">
        <v>0.65</v>
      </c>
      <c r="D417" s="0" t="s">
        <v>4391</v>
      </c>
      <c r="E417" s="0" t="s">
        <v>4366</v>
      </c>
      <c r="F417" s="0" t="s">
        <v>3151</v>
      </c>
      <c r="G417" s="0" t="s">
        <v>4367</v>
      </c>
    </row>
    <row r="418" customFormat="false" ht="12.8" hidden="false" customHeight="false" outlineLevel="0" collapsed="false">
      <c r="A418" s="9" t="s">
        <v>4392</v>
      </c>
      <c r="B418" s="10" t="s">
        <v>4393</v>
      </c>
      <c r="C418" s="10" t="n">
        <v>0.68</v>
      </c>
      <c r="D418" s="0" t="s">
        <v>4394</v>
      </c>
      <c r="E418" s="0" t="s">
        <v>4366</v>
      </c>
      <c r="F418" s="0" t="s">
        <v>3151</v>
      </c>
      <c r="G418" s="0" t="s">
        <v>4367</v>
      </c>
    </row>
    <row r="419" customFormat="false" ht="12.8" hidden="false" customHeight="false" outlineLevel="0" collapsed="false">
      <c r="A419" s="9" t="s">
        <v>4395</v>
      </c>
      <c r="B419" s="10" t="s">
        <v>4396</v>
      </c>
      <c r="C419" s="10" t="n">
        <v>0.7</v>
      </c>
      <c r="D419" s="0" t="s">
        <v>4397</v>
      </c>
      <c r="E419" s="0" t="s">
        <v>4366</v>
      </c>
      <c r="F419" s="0" t="s">
        <v>3151</v>
      </c>
      <c r="G419" s="0" t="s">
        <v>4367</v>
      </c>
    </row>
    <row r="420" customFormat="false" ht="12.8" hidden="false" customHeight="false" outlineLevel="0" collapsed="false">
      <c r="A420" s="9" t="s">
        <v>4398</v>
      </c>
      <c r="B420" s="10" t="s">
        <v>4399</v>
      </c>
      <c r="C420" s="10" t="n">
        <v>0.72</v>
      </c>
      <c r="D420" s="0" t="s">
        <v>4400</v>
      </c>
      <c r="E420" s="0" t="s">
        <v>4366</v>
      </c>
      <c r="F420" s="0" t="s">
        <v>3151</v>
      </c>
      <c r="G420" s="0" t="s">
        <v>4367</v>
      </c>
    </row>
    <row r="421" customFormat="false" ht="12.8" hidden="false" customHeight="false" outlineLevel="0" collapsed="false">
      <c r="A421" s="9" t="s">
        <v>4401</v>
      </c>
      <c r="B421" s="10" t="s">
        <v>4402</v>
      </c>
      <c r="C421" s="10" t="n">
        <v>0.75</v>
      </c>
      <c r="D421" s="0" t="s">
        <v>4403</v>
      </c>
      <c r="E421" s="0" t="s">
        <v>4366</v>
      </c>
      <c r="F421" s="0" t="s">
        <v>3151</v>
      </c>
      <c r="G421" s="0" t="s">
        <v>4367</v>
      </c>
    </row>
    <row r="422" customFormat="false" ht="12.8" hidden="false" customHeight="false" outlineLevel="0" collapsed="false">
      <c r="A422" s="9" t="s">
        <v>4404</v>
      </c>
      <c r="B422" s="10" t="s">
        <v>4405</v>
      </c>
      <c r="C422" s="10" t="n">
        <v>0.71</v>
      </c>
      <c r="D422" s="0" t="s">
        <v>4406</v>
      </c>
      <c r="E422" s="0" t="s">
        <v>4366</v>
      </c>
      <c r="F422" s="0" t="s">
        <v>3151</v>
      </c>
      <c r="G422" s="0" t="s">
        <v>4367</v>
      </c>
    </row>
    <row r="423" customFormat="false" ht="12.8" hidden="false" customHeight="false" outlineLevel="0" collapsed="false">
      <c r="A423" s="9" t="s">
        <v>4407</v>
      </c>
      <c r="B423" s="10" t="s">
        <v>4408</v>
      </c>
      <c r="C423" s="10" t="n">
        <v>0.78</v>
      </c>
      <c r="D423" s="0" t="s">
        <v>4409</v>
      </c>
      <c r="E423" s="0" t="s">
        <v>4366</v>
      </c>
      <c r="F423" s="0" t="s">
        <v>3151</v>
      </c>
      <c r="G423" s="0" t="s">
        <v>4367</v>
      </c>
    </row>
    <row r="424" customFormat="false" ht="12.8" hidden="false" customHeight="false" outlineLevel="0" collapsed="false">
      <c r="A424" s="9" t="s">
        <v>4410</v>
      </c>
      <c r="B424" s="10" t="s">
        <v>4411</v>
      </c>
      <c r="C424" s="10" t="n">
        <v>0.61</v>
      </c>
      <c r="D424" s="0" t="s">
        <v>4412</v>
      </c>
      <c r="E424" s="0" t="s">
        <v>3820</v>
      </c>
      <c r="F424" s="0" t="s">
        <v>3160</v>
      </c>
      <c r="G424" s="0" t="s">
        <v>4413</v>
      </c>
    </row>
    <row r="425" customFormat="false" ht="12.8" hidden="false" customHeight="false" outlineLevel="0" collapsed="false">
      <c r="A425" s="9" t="s">
        <v>4414</v>
      </c>
      <c r="B425" s="10" t="s">
        <v>4415</v>
      </c>
      <c r="C425" s="10" t="n">
        <v>0.682</v>
      </c>
      <c r="D425" s="0" t="s">
        <v>4416</v>
      </c>
      <c r="E425" s="0" t="s">
        <v>3820</v>
      </c>
      <c r="F425" s="0" t="s">
        <v>3160</v>
      </c>
      <c r="G425" s="0" t="s">
        <v>4413</v>
      </c>
    </row>
    <row r="426" customFormat="false" ht="12.8" hidden="false" customHeight="false" outlineLevel="0" collapsed="false">
      <c r="A426" s="9" t="s">
        <v>4417</v>
      </c>
      <c r="B426" s="10" t="s">
        <v>4418</v>
      </c>
      <c r="C426" s="10" t="n">
        <v>0.701</v>
      </c>
      <c r="D426" s="0" t="s">
        <v>4419</v>
      </c>
      <c r="E426" s="0" t="s">
        <v>3820</v>
      </c>
      <c r="F426" s="0" t="s">
        <v>3160</v>
      </c>
      <c r="G426" s="0" t="s">
        <v>4413</v>
      </c>
    </row>
    <row r="427" customFormat="false" ht="12.8" hidden="false" customHeight="false" outlineLevel="0" collapsed="false">
      <c r="A427" s="9" t="s">
        <v>4420</v>
      </c>
      <c r="B427" s="10" t="s">
        <v>4421</v>
      </c>
      <c r="C427" s="10" t="n">
        <v>0.65</v>
      </c>
      <c r="D427" s="0" t="s">
        <v>4422</v>
      </c>
      <c r="E427" s="0" t="s">
        <v>3820</v>
      </c>
      <c r="F427" s="0" t="s">
        <v>3160</v>
      </c>
      <c r="G427" s="0" t="s">
        <v>4413</v>
      </c>
    </row>
    <row r="428" customFormat="false" ht="12.8" hidden="false" customHeight="false" outlineLevel="0" collapsed="false">
      <c r="A428" s="9" t="s">
        <v>4423</v>
      </c>
      <c r="B428" s="10" t="s">
        <v>4424</v>
      </c>
      <c r="C428" s="10" t="n">
        <v>0.714</v>
      </c>
      <c r="D428" s="0" t="s">
        <v>4425</v>
      </c>
      <c r="E428" s="0" t="s">
        <v>3820</v>
      </c>
      <c r="F428" s="0" t="s">
        <v>3160</v>
      </c>
      <c r="G428" s="0" t="s">
        <v>4413</v>
      </c>
    </row>
    <row r="429" customFormat="false" ht="12.8" hidden="false" customHeight="false" outlineLevel="0" collapsed="false">
      <c r="A429" s="9" t="s">
        <v>4426</v>
      </c>
      <c r="B429" s="10" t="s">
        <v>4427</v>
      </c>
      <c r="C429" s="10" t="n">
        <v>0.682</v>
      </c>
      <c r="D429" s="0" t="s">
        <v>4428</v>
      </c>
      <c r="E429" s="0" t="s">
        <v>3820</v>
      </c>
      <c r="F429" s="0" t="s">
        <v>3160</v>
      </c>
      <c r="G429" s="0" t="s">
        <v>4413</v>
      </c>
    </row>
    <row r="430" customFormat="false" ht="12.8" hidden="false" customHeight="false" outlineLevel="0" collapsed="false">
      <c r="A430" s="9" t="s">
        <v>4429</v>
      </c>
      <c r="B430" s="10" t="s">
        <v>4430</v>
      </c>
      <c r="C430" s="10" t="n">
        <v>0.701</v>
      </c>
      <c r="D430" s="0" t="s">
        <v>4431</v>
      </c>
      <c r="E430" s="0" t="s">
        <v>3820</v>
      </c>
      <c r="F430" s="0" t="s">
        <v>3160</v>
      </c>
      <c r="G430" s="0" t="s">
        <v>4413</v>
      </c>
    </row>
    <row r="431" customFormat="false" ht="12.8" hidden="false" customHeight="false" outlineLevel="0" collapsed="false">
      <c r="A431" s="9" t="s">
        <v>4432</v>
      </c>
      <c r="B431" s="10" t="s">
        <v>4433</v>
      </c>
      <c r="C431" s="10" t="n">
        <v>0.63</v>
      </c>
      <c r="D431" s="0" t="s">
        <v>4434</v>
      </c>
      <c r="E431" s="0" t="s">
        <v>3820</v>
      </c>
      <c r="F431" s="0" t="s">
        <v>3160</v>
      </c>
      <c r="G431" s="0" t="s">
        <v>4413</v>
      </c>
    </row>
    <row r="432" customFormat="false" ht="12.8" hidden="false" customHeight="false" outlineLevel="0" collapsed="false">
      <c r="A432" s="9" t="s">
        <v>4435</v>
      </c>
      <c r="B432" s="10" t="s">
        <v>4436</v>
      </c>
      <c r="C432" s="10" t="n">
        <v>0.682</v>
      </c>
      <c r="D432" s="0" t="s">
        <v>4437</v>
      </c>
      <c r="E432" s="0" t="s">
        <v>3820</v>
      </c>
      <c r="F432" s="0" t="s">
        <v>3160</v>
      </c>
      <c r="G432" s="0" t="s">
        <v>4413</v>
      </c>
    </row>
    <row r="433" customFormat="false" ht="12.8" hidden="false" customHeight="false" outlineLevel="0" collapsed="false">
      <c r="A433" s="9" t="s">
        <v>4438</v>
      </c>
      <c r="B433" s="10" t="s">
        <v>4439</v>
      </c>
      <c r="C433" s="10" t="n">
        <v>0.714</v>
      </c>
      <c r="D433" s="0" t="s">
        <v>4440</v>
      </c>
      <c r="E433" s="0" t="s">
        <v>3820</v>
      </c>
      <c r="F433" s="0" t="s">
        <v>3160</v>
      </c>
      <c r="G433" s="0" t="s">
        <v>4413</v>
      </c>
    </row>
    <row r="434" customFormat="false" ht="12.8" hidden="false" customHeight="false" outlineLevel="0" collapsed="false">
      <c r="A434" s="9" t="s">
        <v>4441</v>
      </c>
      <c r="B434" s="10" t="s">
        <v>4442</v>
      </c>
      <c r="C434" s="10" t="n">
        <v>0.735</v>
      </c>
      <c r="D434" s="0" t="s">
        <v>4443</v>
      </c>
      <c r="E434" s="0" t="s">
        <v>3820</v>
      </c>
      <c r="F434" s="0" t="s">
        <v>3160</v>
      </c>
      <c r="G434" s="0" t="s">
        <v>4413</v>
      </c>
    </row>
    <row r="435" customFormat="false" ht="12.8" hidden="false" customHeight="false" outlineLevel="0" collapsed="false">
      <c r="A435" s="9" t="s">
        <v>4444</v>
      </c>
      <c r="B435" s="10" t="s">
        <v>4445</v>
      </c>
      <c r="C435" s="10" t="n">
        <v>0.756</v>
      </c>
      <c r="D435" s="0" t="s">
        <v>4446</v>
      </c>
      <c r="E435" s="0" t="s">
        <v>3820</v>
      </c>
      <c r="F435" s="0" t="s">
        <v>3160</v>
      </c>
      <c r="G435" s="0" t="s">
        <v>4413</v>
      </c>
    </row>
    <row r="436" customFormat="false" ht="12.8" hidden="false" customHeight="false" outlineLevel="0" collapsed="false">
      <c r="A436" s="9" t="s">
        <v>4447</v>
      </c>
      <c r="B436" s="10" t="s">
        <v>4448</v>
      </c>
      <c r="C436" s="10" t="n">
        <v>0.788</v>
      </c>
      <c r="D436" s="0" t="s">
        <v>4449</v>
      </c>
      <c r="E436" s="0" t="s">
        <v>3820</v>
      </c>
      <c r="F436" s="0" t="s">
        <v>3160</v>
      </c>
      <c r="G436" s="0" t="s">
        <v>4413</v>
      </c>
    </row>
    <row r="437" customFormat="false" ht="12.8" hidden="false" customHeight="false" outlineLevel="0" collapsed="false">
      <c r="A437" s="9" t="s">
        <v>4450</v>
      </c>
      <c r="B437" s="10" t="s">
        <v>4451</v>
      </c>
      <c r="C437" s="10" t="n">
        <v>0.746</v>
      </c>
      <c r="D437" s="0" t="s">
        <v>4452</v>
      </c>
      <c r="E437" s="0" t="s">
        <v>3820</v>
      </c>
      <c r="F437" s="0" t="s">
        <v>3160</v>
      </c>
      <c r="G437" s="0" t="s">
        <v>4413</v>
      </c>
    </row>
    <row r="438" customFormat="false" ht="12.8" hidden="false" customHeight="false" outlineLevel="0" collapsed="false">
      <c r="A438" s="9" t="s">
        <v>4453</v>
      </c>
      <c r="B438" s="10" t="s">
        <v>4454</v>
      </c>
      <c r="C438" s="10" t="n">
        <v>0.819</v>
      </c>
      <c r="D438" s="0" t="s">
        <v>4455</v>
      </c>
      <c r="E438" s="0" t="s">
        <v>3820</v>
      </c>
      <c r="F438" s="0" t="s">
        <v>3160</v>
      </c>
      <c r="G438" s="0" t="s">
        <v>4413</v>
      </c>
    </row>
    <row r="439" customFormat="false" ht="12.8" hidden="false" customHeight="false" outlineLevel="0" collapsed="false">
      <c r="A439" s="9" t="s">
        <v>4456</v>
      </c>
      <c r="B439" s="10" t="s">
        <v>4457</v>
      </c>
      <c r="C439" s="10" t="n">
        <v>0.495</v>
      </c>
      <c r="D439" s="0" t="s">
        <v>4458</v>
      </c>
      <c r="E439" s="0" t="s">
        <v>3820</v>
      </c>
      <c r="F439" s="0" t="s">
        <v>3160</v>
      </c>
      <c r="G439" s="0" t="s">
        <v>4413</v>
      </c>
    </row>
    <row r="440" customFormat="false" ht="12.8" hidden="false" customHeight="false" outlineLevel="0" collapsed="false">
      <c r="A440" s="9" t="s">
        <v>4459</v>
      </c>
      <c r="B440" s="10" t="s">
        <v>4460</v>
      </c>
      <c r="C440" s="10" t="n">
        <v>0.558</v>
      </c>
      <c r="D440" s="0" t="s">
        <v>4461</v>
      </c>
      <c r="E440" s="0" t="s">
        <v>3820</v>
      </c>
      <c r="F440" s="0" t="s">
        <v>3160</v>
      </c>
      <c r="G440" s="0" t="s">
        <v>4413</v>
      </c>
    </row>
    <row r="441" customFormat="false" ht="12.8" hidden="false" customHeight="false" outlineLevel="0" collapsed="false">
      <c r="A441" s="9" t="s">
        <v>4462</v>
      </c>
      <c r="B441" s="10" t="s">
        <v>4463</v>
      </c>
      <c r="C441" s="10" t="n">
        <v>0.635</v>
      </c>
      <c r="D441" s="0" t="s">
        <v>4464</v>
      </c>
      <c r="E441" s="0" t="s">
        <v>3820</v>
      </c>
      <c r="F441" s="0" t="s">
        <v>3160</v>
      </c>
      <c r="G441" s="0" t="s">
        <v>4413</v>
      </c>
    </row>
    <row r="442" customFormat="false" ht="12.8" hidden="false" customHeight="false" outlineLevel="0" collapsed="false">
      <c r="A442" s="9" t="s">
        <v>4465</v>
      </c>
      <c r="B442" s="10" t="s">
        <v>4466</v>
      </c>
      <c r="C442" s="10" t="n">
        <v>0.58</v>
      </c>
      <c r="D442" s="0" t="s">
        <v>4467</v>
      </c>
      <c r="E442" s="0" t="s">
        <v>3820</v>
      </c>
      <c r="F442" s="0" t="s">
        <v>3160</v>
      </c>
      <c r="G442" s="0" t="s">
        <v>4413</v>
      </c>
    </row>
    <row r="443" customFormat="false" ht="12.8" hidden="false" customHeight="false" outlineLevel="0" collapsed="false">
      <c r="A443" s="9" t="s">
        <v>4468</v>
      </c>
      <c r="B443" s="10" t="s">
        <v>4469</v>
      </c>
      <c r="C443" s="10" t="n">
        <v>0.646</v>
      </c>
      <c r="D443" s="0" t="s">
        <v>4470</v>
      </c>
      <c r="E443" s="0" t="s">
        <v>3820</v>
      </c>
      <c r="F443" s="0" t="s">
        <v>3160</v>
      </c>
      <c r="G443" s="0" t="s">
        <v>4413</v>
      </c>
    </row>
    <row r="444" customFormat="false" ht="12.8" hidden="false" customHeight="false" outlineLevel="0" collapsed="false">
      <c r="A444" s="9" t="s">
        <v>4471</v>
      </c>
      <c r="B444" s="10" t="s">
        <v>4472</v>
      </c>
      <c r="C444" s="10" t="n">
        <v>0.618</v>
      </c>
      <c r="D444" s="0" t="s">
        <v>4473</v>
      </c>
      <c r="E444" s="0" t="s">
        <v>3820</v>
      </c>
      <c r="F444" s="0" t="s">
        <v>3160</v>
      </c>
      <c r="G444" s="0" t="s">
        <v>4413</v>
      </c>
    </row>
    <row r="445" customFormat="false" ht="12.8" hidden="false" customHeight="false" outlineLevel="0" collapsed="false">
      <c r="A445" s="9" t="s">
        <v>4474</v>
      </c>
      <c r="B445" s="10" t="s">
        <v>4475</v>
      </c>
      <c r="C445" s="10" t="n">
        <v>0.639</v>
      </c>
      <c r="D445" s="0" t="s">
        <v>4476</v>
      </c>
      <c r="E445" s="0" t="s">
        <v>3820</v>
      </c>
      <c r="F445" s="0" t="s">
        <v>3160</v>
      </c>
      <c r="G445" s="0" t="s">
        <v>4413</v>
      </c>
    </row>
    <row r="446" customFormat="false" ht="12.8" hidden="false" customHeight="false" outlineLevel="0" collapsed="false">
      <c r="A446" s="9" t="s">
        <v>4477</v>
      </c>
      <c r="B446" s="10" t="s">
        <v>4478</v>
      </c>
      <c r="C446" s="10" t="n">
        <v>0.56</v>
      </c>
      <c r="D446" s="0" t="s">
        <v>4479</v>
      </c>
      <c r="E446" s="0" t="s">
        <v>3820</v>
      </c>
      <c r="F446" s="0" t="s">
        <v>3160</v>
      </c>
      <c r="G446" s="0" t="s">
        <v>4413</v>
      </c>
    </row>
    <row r="447" customFormat="false" ht="12.8" hidden="false" customHeight="false" outlineLevel="0" collapsed="false">
      <c r="A447" s="9" t="s">
        <v>4480</v>
      </c>
      <c r="B447" s="10" t="s">
        <v>4481</v>
      </c>
      <c r="C447" s="10" t="n">
        <v>0.618</v>
      </c>
      <c r="D447" s="0" t="s">
        <v>4482</v>
      </c>
      <c r="E447" s="0" t="s">
        <v>3820</v>
      </c>
      <c r="F447" s="0" t="s">
        <v>3160</v>
      </c>
      <c r="G447" s="0" t="s">
        <v>4413</v>
      </c>
    </row>
    <row r="448" customFormat="false" ht="12.8" hidden="false" customHeight="false" outlineLevel="0" collapsed="false">
      <c r="A448" s="9" t="s">
        <v>4483</v>
      </c>
      <c r="B448" s="10" t="s">
        <v>4484</v>
      </c>
      <c r="C448" s="10" t="n">
        <v>0.646</v>
      </c>
      <c r="D448" s="0" t="s">
        <v>4485</v>
      </c>
      <c r="E448" s="0" t="s">
        <v>3820</v>
      </c>
      <c r="F448" s="0" t="s">
        <v>3160</v>
      </c>
      <c r="G448" s="0" t="s">
        <v>4413</v>
      </c>
    </row>
    <row r="449" customFormat="false" ht="12.8" hidden="false" customHeight="false" outlineLevel="0" collapsed="false">
      <c r="A449" s="9" t="s">
        <v>4486</v>
      </c>
      <c r="B449" s="10" t="s">
        <v>4487</v>
      </c>
      <c r="C449" s="10" t="n">
        <v>0.665</v>
      </c>
      <c r="D449" s="0" t="s">
        <v>4488</v>
      </c>
      <c r="E449" s="0" t="s">
        <v>3820</v>
      </c>
      <c r="F449" s="0" t="s">
        <v>3160</v>
      </c>
      <c r="G449" s="0" t="s">
        <v>4413</v>
      </c>
    </row>
    <row r="450" customFormat="false" ht="12.8" hidden="false" customHeight="false" outlineLevel="0" collapsed="false">
      <c r="A450" s="9" t="s">
        <v>4489</v>
      </c>
      <c r="B450" s="10" t="s">
        <v>4490</v>
      </c>
      <c r="C450" s="10" t="n">
        <v>0.684</v>
      </c>
      <c r="D450" s="0" t="s">
        <v>4491</v>
      </c>
      <c r="E450" s="0" t="s">
        <v>3820</v>
      </c>
      <c r="F450" s="0" t="s">
        <v>3160</v>
      </c>
      <c r="G450" s="0" t="s">
        <v>4413</v>
      </c>
    </row>
    <row r="451" customFormat="false" ht="12.8" hidden="false" customHeight="false" outlineLevel="0" collapsed="false">
      <c r="A451" s="9" t="s">
        <v>4492</v>
      </c>
      <c r="B451" s="10" t="s">
        <v>4493</v>
      </c>
      <c r="C451" s="10" t="n">
        <v>0.713</v>
      </c>
      <c r="D451" s="0" t="s">
        <v>4494</v>
      </c>
      <c r="E451" s="0" t="s">
        <v>3820</v>
      </c>
      <c r="F451" s="0" t="s">
        <v>3160</v>
      </c>
      <c r="G451" s="0" t="s">
        <v>4413</v>
      </c>
    </row>
    <row r="452" customFormat="false" ht="12.8" hidden="false" customHeight="false" outlineLevel="0" collapsed="false">
      <c r="A452" s="9" t="s">
        <v>4495</v>
      </c>
      <c r="B452" s="10" t="s">
        <v>4496</v>
      </c>
      <c r="C452" s="10" t="n">
        <v>0.674</v>
      </c>
      <c r="D452" s="0" t="s">
        <v>4497</v>
      </c>
      <c r="E452" s="0" t="s">
        <v>3820</v>
      </c>
      <c r="F452" s="0" t="s">
        <v>3160</v>
      </c>
      <c r="G452" s="0" t="s">
        <v>4413</v>
      </c>
    </row>
    <row r="453" customFormat="false" ht="12.8" hidden="false" customHeight="false" outlineLevel="0" collapsed="false">
      <c r="A453" s="9" t="s">
        <v>4498</v>
      </c>
      <c r="B453" s="10" t="s">
        <v>4499</v>
      </c>
      <c r="C453" s="10" t="n">
        <v>0.741</v>
      </c>
      <c r="D453" s="0" t="s">
        <v>4500</v>
      </c>
      <c r="E453" s="0" t="s">
        <v>3820</v>
      </c>
      <c r="F453" s="0" t="s">
        <v>3160</v>
      </c>
      <c r="G453" s="0" t="s">
        <v>4413</v>
      </c>
    </row>
    <row r="454" customFormat="false" ht="12.8" hidden="false" customHeight="false" outlineLevel="0" collapsed="false">
      <c r="A454" s="9" t="s">
        <v>4501</v>
      </c>
      <c r="B454" s="10" t="s">
        <v>4502</v>
      </c>
      <c r="C454" s="10" t="n">
        <v>1</v>
      </c>
      <c r="D454" s="0" t="s">
        <v>4503</v>
      </c>
      <c r="E454" s="0" t="s">
        <v>4504</v>
      </c>
      <c r="F454" s="0" t="s">
        <v>3151</v>
      </c>
      <c r="G454" s="0" t="s">
        <v>4505</v>
      </c>
    </row>
    <row r="455" customFormat="false" ht="12.8" hidden="false" customHeight="false" outlineLevel="0" collapsed="false">
      <c r="A455" s="9" t="s">
        <v>4506</v>
      </c>
      <c r="B455" s="10" t="s">
        <v>4507</v>
      </c>
      <c r="C455" s="10" t="n">
        <v>1</v>
      </c>
      <c r="D455" s="0" t="s">
        <v>4508</v>
      </c>
      <c r="E455" s="0" t="s">
        <v>4504</v>
      </c>
      <c r="F455" s="0" t="s">
        <v>3151</v>
      </c>
      <c r="G455" s="0" t="s">
        <v>4505</v>
      </c>
    </row>
    <row r="456" customFormat="false" ht="12.8" hidden="false" customHeight="false" outlineLevel="0" collapsed="false">
      <c r="A456" s="9" t="s">
        <v>4509</v>
      </c>
      <c r="B456" s="10" t="s">
        <v>4510</v>
      </c>
      <c r="C456" s="10" t="n">
        <v>1</v>
      </c>
      <c r="D456" s="0" t="s">
        <v>4511</v>
      </c>
      <c r="E456" s="0" t="s">
        <v>4504</v>
      </c>
      <c r="F456" s="0" t="s">
        <v>3151</v>
      </c>
      <c r="G456" s="0" t="s">
        <v>4505</v>
      </c>
    </row>
    <row r="457" customFormat="false" ht="12.8" hidden="false" customHeight="false" outlineLevel="0" collapsed="false">
      <c r="A457" s="9" t="s">
        <v>4512</v>
      </c>
      <c r="B457" s="10" t="s">
        <v>4513</v>
      </c>
      <c r="C457" s="10" t="n">
        <v>1</v>
      </c>
      <c r="D457" s="0" t="s">
        <v>4514</v>
      </c>
      <c r="E457" s="0" t="s">
        <v>4504</v>
      </c>
      <c r="F457" s="0" t="s">
        <v>3151</v>
      </c>
      <c r="G457" s="0" t="s">
        <v>4505</v>
      </c>
    </row>
    <row r="458" customFormat="false" ht="12.8" hidden="false" customHeight="false" outlineLevel="0" collapsed="false">
      <c r="A458" s="9" t="s">
        <v>4515</v>
      </c>
      <c r="B458" s="10" t="s">
        <v>4516</v>
      </c>
      <c r="C458" s="10" t="n">
        <v>1</v>
      </c>
      <c r="D458" s="0" t="s">
        <v>4517</v>
      </c>
      <c r="E458" s="0" t="s">
        <v>4504</v>
      </c>
      <c r="F458" s="0" t="s">
        <v>3151</v>
      </c>
      <c r="G458" s="0" t="s">
        <v>4505</v>
      </c>
    </row>
    <row r="459" customFormat="false" ht="12.8" hidden="false" customHeight="false" outlineLevel="0" collapsed="false">
      <c r="A459" s="9" t="s">
        <v>4518</v>
      </c>
      <c r="B459" s="10" t="s">
        <v>4519</v>
      </c>
      <c r="C459" s="10" t="n">
        <v>1</v>
      </c>
      <c r="D459" s="0" t="s">
        <v>4520</v>
      </c>
      <c r="E459" s="0" t="s">
        <v>4504</v>
      </c>
      <c r="F459" s="0" t="s">
        <v>3151</v>
      </c>
      <c r="G459" s="0" t="s">
        <v>4505</v>
      </c>
    </row>
    <row r="460" customFormat="false" ht="12.8" hidden="false" customHeight="false" outlineLevel="0" collapsed="false">
      <c r="A460" s="9" t="s">
        <v>4521</v>
      </c>
      <c r="B460" s="10" t="s">
        <v>4522</v>
      </c>
      <c r="C460" s="10" t="n">
        <v>1</v>
      </c>
      <c r="D460" s="0" t="s">
        <v>4523</v>
      </c>
      <c r="E460" s="0" t="s">
        <v>4504</v>
      </c>
      <c r="F460" s="0" t="s">
        <v>3151</v>
      </c>
      <c r="G460" s="0" t="s">
        <v>4505</v>
      </c>
    </row>
    <row r="461" customFormat="false" ht="12.8" hidden="false" customHeight="false" outlineLevel="0" collapsed="false">
      <c r="A461" s="9" t="s">
        <v>4524</v>
      </c>
      <c r="B461" s="10" t="s">
        <v>4525</v>
      </c>
      <c r="C461" s="10" t="n">
        <v>1</v>
      </c>
      <c r="D461" s="0" t="s">
        <v>4526</v>
      </c>
      <c r="E461" s="0" t="s">
        <v>4504</v>
      </c>
      <c r="F461" s="0" t="s">
        <v>3151</v>
      </c>
      <c r="G461" s="0" t="s">
        <v>4505</v>
      </c>
    </row>
    <row r="462" customFormat="false" ht="12.8" hidden="false" customHeight="false" outlineLevel="0" collapsed="false">
      <c r="A462" s="9" t="s">
        <v>4527</v>
      </c>
      <c r="B462" s="10" t="s">
        <v>4528</v>
      </c>
      <c r="C462" s="10" t="n">
        <v>1</v>
      </c>
      <c r="D462" s="0" t="s">
        <v>4529</v>
      </c>
      <c r="E462" s="0" t="s">
        <v>4504</v>
      </c>
      <c r="F462" s="0" t="s">
        <v>3151</v>
      </c>
      <c r="G462" s="0" t="s">
        <v>4505</v>
      </c>
    </row>
    <row r="463" customFormat="false" ht="12.8" hidden="false" customHeight="false" outlineLevel="0" collapsed="false">
      <c r="A463" s="9" t="s">
        <v>4530</v>
      </c>
      <c r="B463" s="10" t="s">
        <v>4531</v>
      </c>
      <c r="C463" s="10" t="n">
        <v>1</v>
      </c>
      <c r="D463" s="0" t="s">
        <v>4532</v>
      </c>
      <c r="E463" s="0" t="s">
        <v>4504</v>
      </c>
      <c r="F463" s="0" t="s">
        <v>3151</v>
      </c>
      <c r="G463" s="0" t="s">
        <v>4505</v>
      </c>
    </row>
    <row r="464" customFormat="false" ht="12.8" hidden="false" customHeight="false" outlineLevel="0" collapsed="false">
      <c r="A464" s="9" t="s">
        <v>4533</v>
      </c>
      <c r="B464" s="10" t="s">
        <v>4534</v>
      </c>
      <c r="C464" s="10" t="n">
        <v>1</v>
      </c>
      <c r="D464" s="0" t="s">
        <v>4535</v>
      </c>
      <c r="E464" s="0" t="s">
        <v>4504</v>
      </c>
      <c r="F464" s="0" t="s">
        <v>3151</v>
      </c>
      <c r="G464" s="0" t="s">
        <v>4505</v>
      </c>
    </row>
    <row r="465" customFormat="false" ht="12.8" hidden="false" customHeight="false" outlineLevel="0" collapsed="false">
      <c r="A465" s="9" t="s">
        <v>4536</v>
      </c>
      <c r="B465" s="10" t="s">
        <v>4537</v>
      </c>
      <c r="C465" s="10" t="n">
        <v>1</v>
      </c>
      <c r="D465" s="0" t="s">
        <v>4538</v>
      </c>
      <c r="E465" s="0" t="s">
        <v>4504</v>
      </c>
      <c r="F465" s="0" t="s">
        <v>3151</v>
      </c>
      <c r="G465" s="0" t="s">
        <v>4505</v>
      </c>
    </row>
    <row r="467" customFormat="false" ht="12.8" hidden="false" customHeight="false" outlineLevel="0" collapsed="false">
      <c r="A467" s="9" t="s">
        <v>4539</v>
      </c>
      <c r="B467" s="10" t="s">
        <v>4540</v>
      </c>
      <c r="C467" s="10" t="n">
        <v>1</v>
      </c>
      <c r="D467" s="0" t="s">
        <v>4541</v>
      </c>
      <c r="E467" s="0" t="s">
        <v>4504</v>
      </c>
      <c r="F467" s="0" t="s">
        <v>3151</v>
      </c>
      <c r="G467" s="0" t="s">
        <v>4505</v>
      </c>
    </row>
    <row r="468" customFormat="false" ht="12.8" hidden="false" customHeight="false" outlineLevel="0" collapsed="false">
      <c r="A468" s="9" t="s">
        <v>4542</v>
      </c>
      <c r="B468" s="10" t="s">
        <v>4543</v>
      </c>
      <c r="C468" s="10" t="n">
        <v>1</v>
      </c>
      <c r="D468" s="0" t="s">
        <v>4544</v>
      </c>
      <c r="E468" s="0" t="s">
        <v>4504</v>
      </c>
      <c r="F468" s="0" t="s">
        <v>3151</v>
      </c>
      <c r="G468" s="0" t="s">
        <v>4505</v>
      </c>
    </row>
    <row r="469" customFormat="false" ht="12.8" hidden="false" customHeight="false" outlineLevel="0" collapsed="false">
      <c r="A469" s="9" t="s">
        <v>4545</v>
      </c>
      <c r="B469" s="10" t="s">
        <v>4546</v>
      </c>
      <c r="C469" s="10" t="n">
        <v>1</v>
      </c>
      <c r="D469" s="0" t="s">
        <v>4547</v>
      </c>
      <c r="E469" s="0" t="s">
        <v>4504</v>
      </c>
      <c r="F469" s="0" t="s">
        <v>3151</v>
      </c>
      <c r="G469" s="0" t="s">
        <v>4505</v>
      </c>
    </row>
    <row r="470" customFormat="false" ht="12.8" hidden="false" customHeight="false" outlineLevel="0" collapsed="false">
      <c r="A470" s="9" t="s">
        <v>4548</v>
      </c>
      <c r="B470" s="10" t="s">
        <v>4549</v>
      </c>
      <c r="C470" s="10" t="n">
        <v>1</v>
      </c>
      <c r="D470" s="0" t="s">
        <v>4550</v>
      </c>
      <c r="E470" s="0" t="s">
        <v>4504</v>
      </c>
      <c r="F470" s="0" t="s">
        <v>3160</v>
      </c>
      <c r="G470" s="0" t="s">
        <v>4505</v>
      </c>
    </row>
    <row r="471" customFormat="false" ht="12.8" hidden="false" customHeight="false" outlineLevel="0" collapsed="false">
      <c r="A471" s="9" t="s">
        <v>4551</v>
      </c>
      <c r="B471" s="10" t="s">
        <v>4552</v>
      </c>
      <c r="C471" s="10" t="n">
        <v>1</v>
      </c>
      <c r="D471" s="0" t="s">
        <v>4553</v>
      </c>
      <c r="E471" s="0" t="s">
        <v>4504</v>
      </c>
      <c r="F471" s="0" t="s">
        <v>3160</v>
      </c>
      <c r="G471" s="0" t="s">
        <v>4505</v>
      </c>
    </row>
    <row r="472" customFormat="false" ht="12.8" hidden="false" customHeight="false" outlineLevel="0" collapsed="false">
      <c r="A472" s="9" t="s">
        <v>4554</v>
      </c>
      <c r="B472" s="10" t="s">
        <v>4555</v>
      </c>
      <c r="C472" s="10" t="n">
        <v>1</v>
      </c>
      <c r="D472" s="0" t="s">
        <v>4556</v>
      </c>
      <c r="E472" s="0" t="s">
        <v>4504</v>
      </c>
      <c r="F472" s="0" t="s">
        <v>3160</v>
      </c>
      <c r="G472" s="0" t="s">
        <v>4505</v>
      </c>
    </row>
    <row r="473" customFormat="false" ht="12.8" hidden="false" customHeight="false" outlineLevel="0" collapsed="false">
      <c r="A473" s="9" t="s">
        <v>4557</v>
      </c>
      <c r="B473" s="10" t="s">
        <v>4558</v>
      </c>
      <c r="C473" s="10" t="n">
        <v>1</v>
      </c>
      <c r="D473" s="0" t="s">
        <v>4559</v>
      </c>
      <c r="E473" s="0" t="s">
        <v>4504</v>
      </c>
      <c r="F473" s="0" t="s">
        <v>3160</v>
      </c>
      <c r="G473" s="0" t="s">
        <v>4505</v>
      </c>
    </row>
    <row r="474" customFormat="false" ht="12.8" hidden="false" customHeight="false" outlineLevel="0" collapsed="false">
      <c r="A474" s="9" t="s">
        <v>4560</v>
      </c>
      <c r="B474" s="10" t="s">
        <v>4561</v>
      </c>
      <c r="C474" s="10" t="n">
        <v>1</v>
      </c>
      <c r="D474" s="0" t="s">
        <v>4562</v>
      </c>
      <c r="E474" s="0" t="s">
        <v>4504</v>
      </c>
      <c r="F474" s="0" t="s">
        <v>3160</v>
      </c>
      <c r="G474" s="0" t="s">
        <v>4505</v>
      </c>
    </row>
    <row r="475" customFormat="false" ht="12.8" hidden="false" customHeight="false" outlineLevel="0" collapsed="false">
      <c r="A475" s="9" t="s">
        <v>4563</v>
      </c>
      <c r="B475" s="10" t="s">
        <v>4564</v>
      </c>
      <c r="C475" s="10" t="n">
        <v>1</v>
      </c>
      <c r="D475" s="0" t="s">
        <v>4565</v>
      </c>
      <c r="E475" s="0" t="s">
        <v>4504</v>
      </c>
      <c r="F475" s="0" t="s">
        <v>3160</v>
      </c>
      <c r="G475" s="0" t="s">
        <v>4505</v>
      </c>
    </row>
    <row r="476" customFormat="false" ht="12.8" hidden="false" customHeight="false" outlineLevel="0" collapsed="false">
      <c r="A476" s="9" t="s">
        <v>4566</v>
      </c>
      <c r="B476" s="10" t="s">
        <v>4567</v>
      </c>
      <c r="C476" s="10" t="n">
        <v>1</v>
      </c>
      <c r="D476" s="0" t="s">
        <v>4568</v>
      </c>
      <c r="E476" s="0" t="s">
        <v>4504</v>
      </c>
      <c r="F476" s="0" t="s">
        <v>3160</v>
      </c>
      <c r="G476" s="0" t="s">
        <v>4505</v>
      </c>
    </row>
    <row r="477" customFormat="false" ht="12.8" hidden="false" customHeight="false" outlineLevel="0" collapsed="false">
      <c r="A477" s="9" t="s">
        <v>4569</v>
      </c>
      <c r="B477" s="10" t="s">
        <v>4570</v>
      </c>
      <c r="C477" s="10" t="n">
        <v>1</v>
      </c>
      <c r="D477" s="0" t="s">
        <v>4571</v>
      </c>
      <c r="E477" s="0" t="s">
        <v>4504</v>
      </c>
      <c r="F477" s="0" t="s">
        <v>3160</v>
      </c>
      <c r="G477" s="0" t="s">
        <v>4505</v>
      </c>
    </row>
    <row r="478" customFormat="false" ht="12.8" hidden="false" customHeight="false" outlineLevel="0" collapsed="false">
      <c r="A478" s="9" t="s">
        <v>4572</v>
      </c>
      <c r="B478" s="10" t="s">
        <v>4573</v>
      </c>
      <c r="C478" s="10" t="n">
        <v>1</v>
      </c>
      <c r="D478" s="0" t="s">
        <v>4574</v>
      </c>
      <c r="E478" s="0" t="s">
        <v>4504</v>
      </c>
      <c r="F478" s="0" t="s">
        <v>3160</v>
      </c>
      <c r="G478" s="0" t="s">
        <v>4505</v>
      </c>
    </row>
    <row r="479" customFormat="false" ht="12.8" hidden="false" customHeight="false" outlineLevel="0" collapsed="false">
      <c r="A479" s="9" t="s">
        <v>4575</v>
      </c>
      <c r="B479" s="10" t="s">
        <v>4576</v>
      </c>
      <c r="C479" s="10" t="n">
        <v>1</v>
      </c>
      <c r="D479" s="0" t="s">
        <v>4577</v>
      </c>
      <c r="E479" s="0" t="s">
        <v>4504</v>
      </c>
      <c r="F479" s="0" t="s">
        <v>3160</v>
      </c>
      <c r="G479" s="0" t="s">
        <v>4505</v>
      </c>
    </row>
    <row r="480" customFormat="false" ht="12.8" hidden="false" customHeight="false" outlineLevel="0" collapsed="false">
      <c r="A480" s="9" t="s">
        <v>4578</v>
      </c>
      <c r="B480" s="10" t="s">
        <v>4579</v>
      </c>
      <c r="C480" s="10" t="n">
        <v>1</v>
      </c>
      <c r="D480" s="0" t="s">
        <v>4580</v>
      </c>
      <c r="E480" s="0" t="s">
        <v>4504</v>
      </c>
      <c r="F480" s="0" t="s">
        <v>3160</v>
      </c>
      <c r="G480" s="0" t="s">
        <v>4505</v>
      </c>
    </row>
    <row r="481" customFormat="false" ht="12.8" hidden="false" customHeight="false" outlineLevel="0" collapsed="false">
      <c r="A481" s="9" t="s">
        <v>4581</v>
      </c>
      <c r="B481" s="10" t="s">
        <v>4582</v>
      </c>
      <c r="C481" s="10" t="n">
        <v>1</v>
      </c>
      <c r="D481" s="0" t="s">
        <v>4583</v>
      </c>
      <c r="E481" s="0" t="s">
        <v>4504</v>
      </c>
      <c r="F481" s="0" t="s">
        <v>3160</v>
      </c>
      <c r="G481" s="0" t="s">
        <v>4505</v>
      </c>
    </row>
    <row r="482" customFormat="false" ht="12.8" hidden="false" customHeight="false" outlineLevel="0" collapsed="false">
      <c r="A482" s="9" t="s">
        <v>4584</v>
      </c>
      <c r="B482" s="10" t="s">
        <v>4585</v>
      </c>
      <c r="C482" s="10" t="n">
        <v>1</v>
      </c>
      <c r="D482" s="0" t="s">
        <v>4586</v>
      </c>
      <c r="E482" s="0" t="s">
        <v>4504</v>
      </c>
      <c r="F482" s="0" t="s">
        <v>3160</v>
      </c>
      <c r="G482" s="0" t="s">
        <v>4505</v>
      </c>
    </row>
    <row r="483" customFormat="false" ht="12.8" hidden="false" customHeight="false" outlineLevel="0" collapsed="false">
      <c r="A483" s="9" t="s">
        <v>4587</v>
      </c>
      <c r="B483" s="10" t="s">
        <v>4588</v>
      </c>
      <c r="C483" s="10" t="n">
        <v>1</v>
      </c>
      <c r="D483" s="0" t="s">
        <v>4589</v>
      </c>
      <c r="E483" s="0" t="s">
        <v>4504</v>
      </c>
      <c r="F483" s="0" t="s">
        <v>3160</v>
      </c>
      <c r="G483" s="0" t="s">
        <v>4505</v>
      </c>
    </row>
    <row r="484" customFormat="false" ht="12.8" hidden="false" customHeight="false" outlineLevel="0" collapsed="false">
      <c r="A484" s="9" t="s">
        <v>4590</v>
      </c>
      <c r="B484" s="10" t="s">
        <v>4591</v>
      </c>
      <c r="C484" s="10" t="n">
        <v>1</v>
      </c>
      <c r="D484" s="0" t="s">
        <v>4592</v>
      </c>
      <c r="E484" s="0" t="s">
        <v>4504</v>
      </c>
      <c r="F484" s="0" t="s">
        <v>3160</v>
      </c>
      <c r="G484" s="0" t="s">
        <v>4505</v>
      </c>
    </row>
    <row r="485" customFormat="false" ht="12.8" hidden="false" customHeight="false" outlineLevel="0" collapsed="false">
      <c r="A485" s="9" t="s">
        <v>4593</v>
      </c>
      <c r="B485" s="10" t="s">
        <v>4594</v>
      </c>
      <c r="C485" s="10" t="n">
        <v>1</v>
      </c>
      <c r="D485" s="0" t="s">
        <v>4595</v>
      </c>
      <c r="E485" s="0" t="s">
        <v>4504</v>
      </c>
      <c r="F485" s="0" t="s">
        <v>3160</v>
      </c>
      <c r="G485" s="0" t="s">
        <v>4505</v>
      </c>
    </row>
    <row r="486" customFormat="false" ht="12.8" hidden="false" customHeight="false" outlineLevel="0" collapsed="false">
      <c r="A486" s="9" t="s">
        <v>4596</v>
      </c>
      <c r="B486" s="10" t="s">
        <v>4597</v>
      </c>
      <c r="C486" s="10" t="n">
        <v>1</v>
      </c>
      <c r="D486" s="0" t="s">
        <v>4598</v>
      </c>
      <c r="E486" s="0" t="s">
        <v>4504</v>
      </c>
      <c r="F486" s="0" t="s">
        <v>3160</v>
      </c>
      <c r="G486" s="0" t="s">
        <v>4505</v>
      </c>
    </row>
    <row r="487" customFormat="false" ht="12.8" hidden="false" customHeight="false" outlineLevel="0" collapsed="false">
      <c r="A487" s="9" t="s">
        <v>4599</v>
      </c>
      <c r="B487" s="10" t="s">
        <v>4600</v>
      </c>
      <c r="C487" s="10" t="n">
        <v>1</v>
      </c>
      <c r="D487" s="0" t="s">
        <v>4601</v>
      </c>
      <c r="E487" s="0" t="s">
        <v>4504</v>
      </c>
      <c r="F487" s="0" t="s">
        <v>3160</v>
      </c>
      <c r="G487" s="0" t="s">
        <v>4505</v>
      </c>
    </row>
    <row r="488" customFormat="false" ht="12.8" hidden="false" customHeight="false" outlineLevel="0" collapsed="false">
      <c r="A488" s="9" t="s">
        <v>4602</v>
      </c>
      <c r="B488" s="10" t="s">
        <v>4603</v>
      </c>
      <c r="C488" s="10" t="n">
        <v>1</v>
      </c>
      <c r="D488" s="0" t="s">
        <v>4604</v>
      </c>
      <c r="E488" s="0" t="s">
        <v>4504</v>
      </c>
      <c r="F488" s="0" t="s">
        <v>3160</v>
      </c>
      <c r="G488" s="0" t="s">
        <v>4505</v>
      </c>
    </row>
    <row r="489" customFormat="false" ht="12.8" hidden="false" customHeight="false" outlineLevel="0" collapsed="false">
      <c r="A489" s="9" t="s">
        <v>4605</v>
      </c>
      <c r="B489" s="10" t="s">
        <v>4606</v>
      </c>
      <c r="C489" s="10" t="n">
        <v>1</v>
      </c>
      <c r="D489" s="0" t="s">
        <v>4607</v>
      </c>
      <c r="E489" s="0" t="s">
        <v>4504</v>
      </c>
      <c r="F489" s="0" t="s">
        <v>3160</v>
      </c>
      <c r="G489" s="0" t="s">
        <v>4505</v>
      </c>
    </row>
    <row r="490" customFormat="false" ht="12.8" hidden="false" customHeight="false" outlineLevel="0" collapsed="false">
      <c r="A490" s="9" t="s">
        <v>4608</v>
      </c>
      <c r="B490" s="10" t="s">
        <v>4609</v>
      </c>
      <c r="C490" s="10" t="n">
        <v>1</v>
      </c>
      <c r="D490" s="0" t="s">
        <v>4610</v>
      </c>
      <c r="E490" s="0" t="s">
        <v>4504</v>
      </c>
      <c r="F490" s="0" t="s">
        <v>3160</v>
      </c>
      <c r="G490" s="0" t="s">
        <v>4505</v>
      </c>
    </row>
    <row r="491" customFormat="false" ht="12.8" hidden="false" customHeight="false" outlineLevel="0" collapsed="false">
      <c r="A491" s="9" t="s">
        <v>4611</v>
      </c>
      <c r="B491" s="10" t="s">
        <v>4612</v>
      </c>
      <c r="C491" s="10" t="n">
        <v>1</v>
      </c>
      <c r="D491" s="0" t="s">
        <v>4613</v>
      </c>
      <c r="E491" s="0" t="s">
        <v>4504</v>
      </c>
      <c r="F491" s="0" t="s">
        <v>3160</v>
      </c>
      <c r="G491" s="0" t="s">
        <v>4505</v>
      </c>
    </row>
    <row r="492" customFormat="false" ht="12.8" hidden="false" customHeight="false" outlineLevel="0" collapsed="false">
      <c r="A492" s="9" t="s">
        <v>4614</v>
      </c>
      <c r="B492" s="10" t="s">
        <v>4615</v>
      </c>
      <c r="C492" s="10" t="n">
        <v>1</v>
      </c>
      <c r="D492" s="0" t="s">
        <v>4616</v>
      </c>
      <c r="E492" s="0" t="s">
        <v>4504</v>
      </c>
      <c r="F492" s="0" t="s">
        <v>3160</v>
      </c>
      <c r="G492" s="0" t="s">
        <v>4505</v>
      </c>
    </row>
    <row r="493" customFormat="false" ht="12.8" hidden="false" customHeight="false" outlineLevel="0" collapsed="false">
      <c r="A493" s="9" t="s">
        <v>4617</v>
      </c>
      <c r="B493" s="10" t="s">
        <v>4618</v>
      </c>
      <c r="C493" s="10" t="n">
        <v>1</v>
      </c>
      <c r="D493" s="0" t="s">
        <v>4619</v>
      </c>
      <c r="E493" s="0" t="s">
        <v>4504</v>
      </c>
      <c r="F493" s="0" t="s">
        <v>3160</v>
      </c>
      <c r="G493" s="0" t="s">
        <v>4505</v>
      </c>
    </row>
    <row r="494" customFormat="false" ht="12.8" hidden="false" customHeight="false" outlineLevel="0" collapsed="false">
      <c r="A494" s="9" t="s">
        <v>4620</v>
      </c>
      <c r="B494" s="10" t="s">
        <v>4621</v>
      </c>
      <c r="C494" s="10" t="n">
        <v>1</v>
      </c>
      <c r="D494" s="0" t="s">
        <v>4622</v>
      </c>
      <c r="E494" s="0" t="s">
        <v>4504</v>
      </c>
      <c r="F494" s="0" t="s">
        <v>3160</v>
      </c>
      <c r="G494" s="0" t="s">
        <v>4505</v>
      </c>
    </row>
    <row r="495" customFormat="false" ht="12.8" hidden="false" customHeight="false" outlineLevel="0" collapsed="false">
      <c r="A495" s="9" t="s">
        <v>4623</v>
      </c>
      <c r="B495" s="10" t="s">
        <v>4624</v>
      </c>
      <c r="C495" s="10" t="n">
        <v>1</v>
      </c>
      <c r="D495" s="0" t="s">
        <v>4625</v>
      </c>
      <c r="E495" s="0" t="s">
        <v>4504</v>
      </c>
      <c r="F495" s="0" t="s">
        <v>3160</v>
      </c>
      <c r="G495" s="0" t="s">
        <v>4505</v>
      </c>
    </row>
    <row r="496" customFormat="false" ht="12.8" hidden="false" customHeight="false" outlineLevel="0" collapsed="false">
      <c r="A496" s="9" t="s">
        <v>4626</v>
      </c>
      <c r="B496" s="10" t="s">
        <v>4627</v>
      </c>
      <c r="C496" s="10" t="n">
        <v>1</v>
      </c>
      <c r="D496" s="0" t="s">
        <v>4628</v>
      </c>
      <c r="E496" s="0" t="s">
        <v>4504</v>
      </c>
      <c r="F496" s="0" t="s">
        <v>3160</v>
      </c>
      <c r="G496" s="0" t="s">
        <v>4505</v>
      </c>
    </row>
    <row r="497" customFormat="false" ht="12.8" hidden="false" customHeight="false" outlineLevel="0" collapsed="false">
      <c r="A497" s="9" t="s">
        <v>4629</v>
      </c>
      <c r="B497" s="10" t="s">
        <v>4630</v>
      </c>
      <c r="C497" s="10" t="n">
        <v>1</v>
      </c>
      <c r="D497" s="0" t="s">
        <v>4631</v>
      </c>
      <c r="E497" s="0" t="s">
        <v>4504</v>
      </c>
      <c r="F497" s="0" t="s">
        <v>3160</v>
      </c>
      <c r="G497" s="0" t="s">
        <v>4505</v>
      </c>
    </row>
    <row r="498" customFormat="false" ht="12.8" hidden="false" customHeight="false" outlineLevel="0" collapsed="false">
      <c r="A498" s="9" t="s">
        <v>4632</v>
      </c>
      <c r="B498" s="10" t="s">
        <v>4633</v>
      </c>
      <c r="C498" s="10" t="n">
        <v>1</v>
      </c>
      <c r="D498" s="0" t="s">
        <v>4634</v>
      </c>
      <c r="E498" s="0" t="s">
        <v>4504</v>
      </c>
      <c r="F498" s="0" t="s">
        <v>3160</v>
      </c>
      <c r="G498" s="0" t="s">
        <v>4505</v>
      </c>
    </row>
    <row r="499" customFormat="false" ht="12.8" hidden="false" customHeight="false" outlineLevel="0" collapsed="false">
      <c r="A499" s="9" t="s">
        <v>4635</v>
      </c>
      <c r="B499" s="10" t="s">
        <v>4636</v>
      </c>
      <c r="C499" s="10" t="n">
        <v>1</v>
      </c>
      <c r="D499" s="0" t="s">
        <v>4637</v>
      </c>
      <c r="E499" s="0" t="s">
        <v>4504</v>
      </c>
      <c r="F499" s="0" t="s">
        <v>3160</v>
      </c>
      <c r="G499" s="0" t="s">
        <v>4505</v>
      </c>
    </row>
    <row r="504" customFormat="false" ht="12.8" hidden="false" customHeight="false" outlineLevel="0" collapsed="false">
      <c r="A504" s="9" t="s">
        <v>4638</v>
      </c>
      <c r="B504" s="10" t="s">
        <v>4639</v>
      </c>
      <c r="C504" s="10" t="n">
        <v>0.58</v>
      </c>
      <c r="D504" s="0" t="s">
        <v>4640</v>
      </c>
      <c r="E504" s="0" t="s">
        <v>4366</v>
      </c>
      <c r="F504" s="0" t="s">
        <v>3151</v>
      </c>
      <c r="G504" s="0" t="s">
        <v>4367</v>
      </c>
    </row>
    <row r="505" customFormat="false" ht="12.8" hidden="false" customHeight="false" outlineLevel="0" collapsed="false">
      <c r="A505" s="9" t="s">
        <v>4641</v>
      </c>
      <c r="B505" s="10" t="s">
        <v>4642</v>
      </c>
      <c r="C505" s="10" t="n">
        <v>0.65</v>
      </c>
      <c r="D505" s="0" t="s">
        <v>4643</v>
      </c>
      <c r="E505" s="0" t="s">
        <v>4366</v>
      </c>
      <c r="F505" s="0" t="s">
        <v>3151</v>
      </c>
      <c r="G505" s="0" t="s">
        <v>4367</v>
      </c>
    </row>
    <row r="506" customFormat="false" ht="12.8" hidden="false" customHeight="false" outlineLevel="0" collapsed="false">
      <c r="A506" s="9" t="s">
        <v>4644</v>
      </c>
      <c r="B506" s="10" t="s">
        <v>4645</v>
      </c>
      <c r="C506" s="10" t="n">
        <v>0.7</v>
      </c>
      <c r="D506" s="0" t="s">
        <v>4646</v>
      </c>
      <c r="E506" s="0" t="s">
        <v>4366</v>
      </c>
      <c r="F506" s="0" t="s">
        <v>3151</v>
      </c>
      <c r="G506" s="0" t="s">
        <v>4367</v>
      </c>
    </row>
    <row r="507" customFormat="false" ht="12.8" hidden="false" customHeight="false" outlineLevel="0" collapsed="false">
      <c r="A507" s="9" t="s">
        <v>4647</v>
      </c>
      <c r="B507" s="10" t="s">
        <v>4648</v>
      </c>
      <c r="C507" s="10" t="n">
        <v>0.63</v>
      </c>
      <c r="D507" s="0" t="s">
        <v>4649</v>
      </c>
      <c r="E507" s="0" t="s">
        <v>4366</v>
      </c>
      <c r="F507" s="0" t="s">
        <v>3151</v>
      </c>
      <c r="G507" s="0" t="s">
        <v>4367</v>
      </c>
    </row>
    <row r="508" customFormat="false" ht="12.8" hidden="false" customHeight="false" outlineLevel="0" collapsed="false">
      <c r="A508" s="9" t="s">
        <v>4650</v>
      </c>
      <c r="B508" s="10" t="s">
        <v>4651</v>
      </c>
      <c r="C508" s="10" t="n">
        <v>0.71</v>
      </c>
      <c r="D508" s="0" t="s">
        <v>4652</v>
      </c>
      <c r="E508" s="0" t="s">
        <v>4366</v>
      </c>
      <c r="F508" s="0" t="s">
        <v>3151</v>
      </c>
      <c r="G508" s="0" t="s">
        <v>4367</v>
      </c>
    </row>
    <row r="509" customFormat="false" ht="12.8" hidden="false" customHeight="false" outlineLevel="0" collapsed="false">
      <c r="A509" s="9" t="s">
        <v>4653</v>
      </c>
      <c r="B509" s="10" t="s">
        <v>4654</v>
      </c>
      <c r="C509" s="10" t="n">
        <v>0.68</v>
      </c>
      <c r="D509" s="0" t="s">
        <v>4655</v>
      </c>
      <c r="E509" s="0" t="s">
        <v>4366</v>
      </c>
      <c r="F509" s="0" t="s">
        <v>3151</v>
      </c>
      <c r="G509" s="0" t="s">
        <v>4367</v>
      </c>
    </row>
    <row r="510" customFormat="false" ht="12.8" hidden="false" customHeight="false" outlineLevel="0" collapsed="false">
      <c r="A510" s="9" t="s">
        <v>4656</v>
      </c>
      <c r="B510" s="10" t="s">
        <v>4657</v>
      </c>
      <c r="C510" s="10" t="n">
        <v>0.7</v>
      </c>
      <c r="D510" s="0" t="s">
        <v>4658</v>
      </c>
      <c r="E510" s="0" t="s">
        <v>4366</v>
      </c>
      <c r="F510" s="0" t="s">
        <v>3151</v>
      </c>
      <c r="G510" s="0" t="s">
        <v>4367</v>
      </c>
    </row>
    <row r="511" customFormat="false" ht="12.8" hidden="false" customHeight="false" outlineLevel="0" collapsed="false">
      <c r="A511" s="9" t="s">
        <v>4659</v>
      </c>
      <c r="B511" s="10" t="s">
        <v>4660</v>
      </c>
      <c r="C511" s="10" t="n">
        <v>0.61</v>
      </c>
      <c r="D511" s="0" t="s">
        <v>4661</v>
      </c>
      <c r="E511" s="0" t="s">
        <v>4366</v>
      </c>
      <c r="F511" s="0" t="s">
        <v>3151</v>
      </c>
      <c r="G511" s="0" t="s">
        <v>4367</v>
      </c>
    </row>
    <row r="512" customFormat="false" ht="12.8" hidden="false" customHeight="false" outlineLevel="0" collapsed="false">
      <c r="A512" s="9" t="s">
        <v>4662</v>
      </c>
      <c r="B512" s="10" t="s">
        <v>4663</v>
      </c>
      <c r="C512" s="10" t="n">
        <v>0.68</v>
      </c>
      <c r="D512" s="0" t="s">
        <v>4664</v>
      </c>
      <c r="E512" s="0" t="s">
        <v>4366</v>
      </c>
      <c r="F512" s="0" t="s">
        <v>3151</v>
      </c>
      <c r="G512" s="0" t="s">
        <v>4367</v>
      </c>
    </row>
    <row r="513" customFormat="false" ht="12.8" hidden="false" customHeight="false" outlineLevel="0" collapsed="false">
      <c r="A513" s="9" t="s">
        <v>4665</v>
      </c>
      <c r="B513" s="10" t="s">
        <v>4666</v>
      </c>
      <c r="C513" s="10" t="n">
        <v>0.71</v>
      </c>
      <c r="D513" s="0" t="s">
        <v>4667</v>
      </c>
      <c r="E513" s="0" t="s">
        <v>4366</v>
      </c>
      <c r="F513" s="0" t="s">
        <v>3151</v>
      </c>
      <c r="G513" s="0" t="s">
        <v>4367</v>
      </c>
    </row>
    <row r="514" customFormat="false" ht="12.8" hidden="false" customHeight="false" outlineLevel="0" collapsed="false">
      <c r="A514" s="9" t="s">
        <v>4668</v>
      </c>
      <c r="B514" s="10" t="s">
        <v>4669</v>
      </c>
      <c r="C514" s="10" t="n">
        <v>0.73</v>
      </c>
      <c r="D514" s="0" t="s">
        <v>4670</v>
      </c>
      <c r="E514" s="0" t="s">
        <v>4366</v>
      </c>
      <c r="F514" s="0" t="s">
        <v>3151</v>
      </c>
      <c r="G514" s="0" t="s">
        <v>4367</v>
      </c>
    </row>
    <row r="515" customFormat="false" ht="12.8" hidden="false" customHeight="false" outlineLevel="0" collapsed="false">
      <c r="A515" s="9" t="s">
        <v>4671</v>
      </c>
      <c r="B515" s="10" t="s">
        <v>4672</v>
      </c>
      <c r="C515" s="10" t="n">
        <v>0.75</v>
      </c>
      <c r="D515" s="0" t="s">
        <v>4673</v>
      </c>
      <c r="E515" s="0" t="s">
        <v>4366</v>
      </c>
      <c r="F515" s="0" t="s">
        <v>3151</v>
      </c>
      <c r="G515" s="0" t="s">
        <v>4367</v>
      </c>
    </row>
    <row r="516" customFormat="false" ht="12.8" hidden="false" customHeight="false" outlineLevel="0" collapsed="false">
      <c r="A516" s="9" t="s">
        <v>4674</v>
      </c>
      <c r="B516" s="10" t="s">
        <v>4675</v>
      </c>
      <c r="C516" s="10" t="n">
        <v>0.78</v>
      </c>
      <c r="D516" s="0" t="s">
        <v>4676</v>
      </c>
      <c r="E516" s="0" t="s">
        <v>4366</v>
      </c>
      <c r="F516" s="0" t="s">
        <v>3151</v>
      </c>
      <c r="G516" s="0" t="s">
        <v>4367</v>
      </c>
    </row>
    <row r="517" customFormat="false" ht="12.8" hidden="false" customHeight="false" outlineLevel="0" collapsed="false">
      <c r="A517" s="9" t="s">
        <v>4677</v>
      </c>
      <c r="B517" s="10" t="s">
        <v>4678</v>
      </c>
      <c r="C517" s="10" t="n">
        <v>0.74</v>
      </c>
      <c r="D517" s="0" t="s">
        <v>4679</v>
      </c>
      <c r="E517" s="0" t="s">
        <v>4366</v>
      </c>
      <c r="F517" s="0" t="s">
        <v>3151</v>
      </c>
      <c r="G517" s="0" t="s">
        <v>4367</v>
      </c>
    </row>
    <row r="518" customFormat="false" ht="12.8" hidden="false" customHeight="false" outlineLevel="0" collapsed="false">
      <c r="A518" s="9" t="s">
        <v>4680</v>
      </c>
      <c r="B518" s="10" t="s">
        <v>4681</v>
      </c>
      <c r="C518" s="10" t="n">
        <v>0.81</v>
      </c>
      <c r="D518" s="0" t="s">
        <v>4682</v>
      </c>
      <c r="E518" s="0" t="s">
        <v>4366</v>
      </c>
      <c r="F518" s="0" t="s">
        <v>3151</v>
      </c>
      <c r="G518" s="0" t="s">
        <v>4367</v>
      </c>
    </row>
    <row r="519" customFormat="false" ht="12.8" hidden="false" customHeight="false" outlineLevel="0" collapsed="false">
      <c r="A519" s="9" t="s">
        <v>4683</v>
      </c>
      <c r="B519" s="10" t="s">
        <v>4684</v>
      </c>
      <c r="C519" s="10" t="n">
        <v>0.65</v>
      </c>
      <c r="D519" s="0" t="s">
        <v>4685</v>
      </c>
      <c r="E519" s="0" t="s">
        <v>3820</v>
      </c>
      <c r="F519" s="0" t="s">
        <v>3160</v>
      </c>
      <c r="G519" s="0" t="s">
        <v>4413</v>
      </c>
    </row>
    <row r="520" customFormat="false" ht="12.8" hidden="false" customHeight="false" outlineLevel="0" collapsed="false">
      <c r="A520" s="9" t="s">
        <v>4686</v>
      </c>
      <c r="B520" s="10" t="s">
        <v>4687</v>
      </c>
      <c r="C520" s="10" t="n">
        <v>0.72</v>
      </c>
      <c r="D520" s="0" t="s">
        <v>4688</v>
      </c>
      <c r="E520" s="0" t="s">
        <v>3820</v>
      </c>
      <c r="F520" s="0" t="s">
        <v>3160</v>
      </c>
      <c r="G520" s="0" t="s">
        <v>4413</v>
      </c>
    </row>
    <row r="522" customFormat="false" ht="12.8" hidden="false" customHeight="false" outlineLevel="0" collapsed="false">
      <c r="A522" s="9" t="s">
        <v>4689</v>
      </c>
      <c r="B522" s="10" t="s">
        <v>4690</v>
      </c>
      <c r="C522" s="10" t="n">
        <v>0.735</v>
      </c>
      <c r="D522" s="0" t="s">
        <v>4691</v>
      </c>
      <c r="E522" s="0" t="s">
        <v>3820</v>
      </c>
      <c r="F522" s="0" t="s">
        <v>3160</v>
      </c>
      <c r="G522" s="0" t="s">
        <v>4413</v>
      </c>
    </row>
    <row r="523" customFormat="false" ht="12.8" hidden="false" customHeight="false" outlineLevel="0" collapsed="false">
      <c r="A523" s="9" t="s">
        <v>4692</v>
      </c>
      <c r="B523" s="10" t="s">
        <v>4693</v>
      </c>
      <c r="C523" s="10" t="n">
        <v>0.68</v>
      </c>
      <c r="D523" s="0" t="s">
        <v>4694</v>
      </c>
      <c r="E523" s="0" t="s">
        <v>3820</v>
      </c>
      <c r="F523" s="0" t="s">
        <v>3160</v>
      </c>
      <c r="G523" s="0" t="s">
        <v>4413</v>
      </c>
    </row>
    <row r="524" customFormat="false" ht="12.8" hidden="false" customHeight="false" outlineLevel="0" collapsed="false">
      <c r="A524" s="9" t="s">
        <v>4695</v>
      </c>
      <c r="B524" s="10" t="s">
        <v>4696</v>
      </c>
      <c r="C524" s="10" t="n">
        <v>0.75</v>
      </c>
      <c r="D524" s="0" t="s">
        <v>4697</v>
      </c>
      <c r="E524" s="0" t="s">
        <v>3820</v>
      </c>
      <c r="F524" s="0" t="s">
        <v>3160</v>
      </c>
      <c r="G524" s="0" t="s">
        <v>4413</v>
      </c>
    </row>
    <row r="525" customFormat="false" ht="12.8" hidden="false" customHeight="false" outlineLevel="0" collapsed="false">
      <c r="A525" s="9" t="s">
        <v>4698</v>
      </c>
      <c r="B525" s="10" t="s">
        <v>4699</v>
      </c>
      <c r="C525" s="10" t="n">
        <v>0.72</v>
      </c>
      <c r="D525" s="0" t="s">
        <v>4700</v>
      </c>
      <c r="E525" s="0" t="s">
        <v>3820</v>
      </c>
      <c r="F525" s="0" t="s">
        <v>3160</v>
      </c>
      <c r="G525" s="0" t="s">
        <v>4413</v>
      </c>
    </row>
    <row r="526" customFormat="false" ht="12.8" hidden="false" customHeight="false" outlineLevel="0" collapsed="false">
      <c r="A526" s="9" t="s">
        <v>4701</v>
      </c>
      <c r="B526" s="10" t="s">
        <v>4702</v>
      </c>
      <c r="C526" s="10" t="n">
        <v>0.735</v>
      </c>
      <c r="D526" s="0" t="s">
        <v>4703</v>
      </c>
      <c r="E526" s="0" t="s">
        <v>3820</v>
      </c>
      <c r="F526" s="0" t="s">
        <v>3160</v>
      </c>
      <c r="G526" s="0" t="s">
        <v>4413</v>
      </c>
    </row>
    <row r="527" customFormat="false" ht="12.8" hidden="false" customHeight="false" outlineLevel="0" collapsed="false">
      <c r="A527" s="9" t="s">
        <v>4704</v>
      </c>
      <c r="B527" s="10" t="s">
        <v>4705</v>
      </c>
      <c r="C527" s="10" t="n">
        <v>0.66</v>
      </c>
      <c r="D527" s="0" t="s">
        <v>4706</v>
      </c>
      <c r="E527" s="0" t="s">
        <v>3820</v>
      </c>
      <c r="F527" s="0" t="s">
        <v>3160</v>
      </c>
      <c r="G527" s="0" t="s">
        <v>4413</v>
      </c>
    </row>
    <row r="528" customFormat="false" ht="12.8" hidden="false" customHeight="false" outlineLevel="0" collapsed="false">
      <c r="A528" s="9" t="s">
        <v>4707</v>
      </c>
      <c r="B528" s="10" t="s">
        <v>4708</v>
      </c>
      <c r="C528" s="10" t="n">
        <v>0.72</v>
      </c>
      <c r="D528" s="0" t="s">
        <v>4709</v>
      </c>
      <c r="E528" s="0" t="s">
        <v>3820</v>
      </c>
      <c r="F528" s="0" t="s">
        <v>3160</v>
      </c>
      <c r="G528" s="0" t="s">
        <v>4413</v>
      </c>
    </row>
    <row r="529" customFormat="false" ht="12.8" hidden="false" customHeight="false" outlineLevel="0" collapsed="false">
      <c r="A529" s="9" t="s">
        <v>4710</v>
      </c>
      <c r="B529" s="10" t="s">
        <v>4711</v>
      </c>
      <c r="C529" s="10" t="n">
        <v>0.75</v>
      </c>
      <c r="D529" s="0" t="s">
        <v>4712</v>
      </c>
      <c r="E529" s="0" t="s">
        <v>3820</v>
      </c>
      <c r="F529" s="0" t="s">
        <v>3160</v>
      </c>
      <c r="G529" s="0" t="s">
        <v>4413</v>
      </c>
    </row>
    <row r="530" customFormat="false" ht="12.8" hidden="false" customHeight="false" outlineLevel="0" collapsed="false">
      <c r="A530" s="9" t="s">
        <v>4713</v>
      </c>
      <c r="B530" s="10" t="s">
        <v>4714</v>
      </c>
      <c r="C530" s="10" t="n">
        <v>0.77</v>
      </c>
      <c r="D530" s="0" t="s">
        <v>4715</v>
      </c>
      <c r="E530" s="0" t="s">
        <v>3820</v>
      </c>
      <c r="F530" s="0" t="s">
        <v>3160</v>
      </c>
      <c r="G530" s="0" t="s">
        <v>4413</v>
      </c>
    </row>
    <row r="531" customFormat="false" ht="12.8" hidden="false" customHeight="false" outlineLevel="0" collapsed="false">
      <c r="A531" s="9" t="s">
        <v>4716</v>
      </c>
      <c r="B531" s="10" t="s">
        <v>4717</v>
      </c>
      <c r="C531" s="10" t="n">
        <v>0.79</v>
      </c>
      <c r="D531" s="0" t="s">
        <v>4718</v>
      </c>
      <c r="E531" s="0" t="s">
        <v>3820</v>
      </c>
      <c r="F531" s="0" t="s">
        <v>3160</v>
      </c>
      <c r="G531" s="0" t="s">
        <v>4413</v>
      </c>
    </row>
    <row r="532" customFormat="false" ht="12.8" hidden="false" customHeight="false" outlineLevel="0" collapsed="false">
      <c r="A532" s="9" t="s">
        <v>4719</v>
      </c>
      <c r="B532" s="10" t="s">
        <v>4720</v>
      </c>
      <c r="C532" s="10" t="n">
        <v>0.82</v>
      </c>
      <c r="D532" s="0" t="s">
        <v>4721</v>
      </c>
      <c r="E532" s="0" t="s">
        <v>3820</v>
      </c>
      <c r="F532" s="0" t="s">
        <v>3160</v>
      </c>
      <c r="G532" s="0" t="s">
        <v>4413</v>
      </c>
    </row>
    <row r="533" customFormat="false" ht="12.8" hidden="false" customHeight="false" outlineLevel="0" collapsed="false">
      <c r="A533" s="9" t="s">
        <v>4722</v>
      </c>
      <c r="B533" s="10" t="s">
        <v>4723</v>
      </c>
      <c r="C533" s="10" t="n">
        <v>0.78</v>
      </c>
      <c r="D533" s="0" t="s">
        <v>4724</v>
      </c>
      <c r="E533" s="0" t="s">
        <v>3820</v>
      </c>
      <c r="F533" s="0" t="s">
        <v>3160</v>
      </c>
      <c r="G533" s="0" t="s">
        <v>4413</v>
      </c>
    </row>
    <row r="534" customFormat="false" ht="12.8" hidden="false" customHeight="false" outlineLevel="0" collapsed="false">
      <c r="A534" s="9" t="s">
        <v>4725</v>
      </c>
      <c r="B534" s="10" t="s">
        <v>4726</v>
      </c>
      <c r="C534" s="10" t="n">
        <v>0.85</v>
      </c>
      <c r="D534" s="0" t="s">
        <v>4727</v>
      </c>
      <c r="E534" s="0" t="s">
        <v>3820</v>
      </c>
      <c r="F534" s="0" t="s">
        <v>3160</v>
      </c>
      <c r="G534" s="0" t="s">
        <v>4413</v>
      </c>
    </row>
    <row r="535" customFormat="false" ht="12.8" hidden="false" customHeight="false" outlineLevel="0" collapsed="false">
      <c r="A535" s="9" t="s">
        <v>4728</v>
      </c>
      <c r="B535" s="10" t="s">
        <v>4729</v>
      </c>
      <c r="C535" s="10" t="n">
        <v>0.55</v>
      </c>
      <c r="D535" s="0" t="s">
        <v>4730</v>
      </c>
      <c r="E535" s="0" t="s">
        <v>3820</v>
      </c>
      <c r="F535" s="0" t="s">
        <v>3160</v>
      </c>
      <c r="G535" s="0" t="s">
        <v>4413</v>
      </c>
    </row>
    <row r="536" customFormat="false" ht="12.8" hidden="false" customHeight="false" outlineLevel="0" collapsed="false">
      <c r="A536" s="9" t="s">
        <v>4731</v>
      </c>
      <c r="B536" s="10" t="s">
        <v>4732</v>
      </c>
      <c r="C536" s="10" t="n">
        <v>0.62</v>
      </c>
      <c r="D536" s="0" t="s">
        <v>4733</v>
      </c>
      <c r="E536" s="0" t="s">
        <v>3820</v>
      </c>
      <c r="F536" s="0" t="s">
        <v>3160</v>
      </c>
      <c r="G536" s="0" t="s">
        <v>4413</v>
      </c>
    </row>
    <row r="537" customFormat="false" ht="12.8" hidden="false" customHeight="false" outlineLevel="0" collapsed="false">
      <c r="A537" s="9" t="s">
        <v>4734</v>
      </c>
      <c r="B537" s="10" t="s">
        <v>4735</v>
      </c>
      <c r="C537" s="10" t="n">
        <v>0.71</v>
      </c>
      <c r="D537" s="0" t="s">
        <v>4736</v>
      </c>
      <c r="E537" s="0" t="s">
        <v>3820</v>
      </c>
      <c r="F537" s="0" t="s">
        <v>3160</v>
      </c>
      <c r="G537" s="0" t="s">
        <v>4413</v>
      </c>
    </row>
    <row r="538" customFormat="false" ht="12.8" hidden="false" customHeight="false" outlineLevel="0" collapsed="false">
      <c r="A538" s="9" t="s">
        <v>4737</v>
      </c>
      <c r="B538" s="10" t="s">
        <v>4738</v>
      </c>
      <c r="C538" s="10" t="n">
        <v>0.63</v>
      </c>
      <c r="D538" s="0" t="s">
        <v>4739</v>
      </c>
      <c r="E538" s="0" t="s">
        <v>3820</v>
      </c>
      <c r="F538" s="0" t="s">
        <v>3160</v>
      </c>
      <c r="G538" s="0" t="s">
        <v>4413</v>
      </c>
    </row>
    <row r="539" customFormat="false" ht="12.8" hidden="false" customHeight="false" outlineLevel="0" collapsed="false">
      <c r="A539" s="9" t="s">
        <v>4740</v>
      </c>
      <c r="B539" s="10" t="s">
        <v>4741</v>
      </c>
      <c r="C539" s="10" t="n">
        <v>0.71</v>
      </c>
      <c r="D539" s="0" t="s">
        <v>4742</v>
      </c>
      <c r="E539" s="0" t="s">
        <v>3820</v>
      </c>
      <c r="F539" s="0" t="s">
        <v>3160</v>
      </c>
      <c r="G539" s="0" t="s">
        <v>4413</v>
      </c>
    </row>
    <row r="540" customFormat="false" ht="12.8" hidden="false" customHeight="false" outlineLevel="0" collapsed="false">
      <c r="A540" s="9" t="s">
        <v>4743</v>
      </c>
      <c r="B540" s="10" t="s">
        <v>4744</v>
      </c>
      <c r="C540" s="10" t="n">
        <v>0.68</v>
      </c>
      <c r="D540" s="0" t="s">
        <v>4745</v>
      </c>
      <c r="E540" s="0" t="s">
        <v>3820</v>
      </c>
      <c r="F540" s="0" t="s">
        <v>3160</v>
      </c>
      <c r="G540" s="0" t="s">
        <v>4413</v>
      </c>
    </row>
    <row r="541" customFormat="false" ht="12.8" hidden="false" customHeight="false" outlineLevel="0" collapsed="false">
      <c r="A541" s="9" t="s">
        <v>4746</v>
      </c>
      <c r="B541" s="10" t="s">
        <v>4747</v>
      </c>
      <c r="C541" s="10" t="n">
        <v>0.71</v>
      </c>
      <c r="D541" s="0" t="s">
        <v>4748</v>
      </c>
      <c r="E541" s="0" t="s">
        <v>3820</v>
      </c>
      <c r="F541" s="0" t="s">
        <v>3160</v>
      </c>
      <c r="G541" s="0" t="s">
        <v>4413</v>
      </c>
    </row>
    <row r="542" customFormat="false" ht="12.8" hidden="false" customHeight="false" outlineLevel="0" collapsed="false">
      <c r="A542" s="9" t="s">
        <v>4749</v>
      </c>
      <c r="B542" s="10" t="s">
        <v>4750</v>
      </c>
      <c r="C542" s="10" t="n">
        <v>0.61</v>
      </c>
      <c r="D542" s="0" t="s">
        <v>4751</v>
      </c>
      <c r="E542" s="0" t="s">
        <v>3820</v>
      </c>
      <c r="F542" s="0" t="s">
        <v>3160</v>
      </c>
      <c r="G542" s="0" t="s">
        <v>4413</v>
      </c>
    </row>
    <row r="543" customFormat="false" ht="12.8" hidden="false" customHeight="false" outlineLevel="0" collapsed="false">
      <c r="A543" s="9" t="s">
        <v>4752</v>
      </c>
      <c r="B543" s="10" t="s">
        <v>4753</v>
      </c>
      <c r="C543" s="10" t="n">
        <v>0.68</v>
      </c>
      <c r="D543" s="0" t="s">
        <v>4754</v>
      </c>
      <c r="E543" s="0" t="s">
        <v>3820</v>
      </c>
      <c r="F543" s="0" t="s">
        <v>3160</v>
      </c>
      <c r="G543" s="0" t="s">
        <v>4413</v>
      </c>
    </row>
    <row r="544" customFormat="false" ht="12.8" hidden="false" customHeight="false" outlineLevel="0" collapsed="false">
      <c r="A544" s="9" t="s">
        <v>4755</v>
      </c>
      <c r="B544" s="10" t="s">
        <v>4756</v>
      </c>
      <c r="C544" s="10" t="n">
        <v>0.71</v>
      </c>
      <c r="D544" s="0" t="s">
        <v>4757</v>
      </c>
      <c r="E544" s="0" t="s">
        <v>3820</v>
      </c>
      <c r="F544" s="0" t="s">
        <v>3160</v>
      </c>
      <c r="G544" s="0" t="s">
        <v>4413</v>
      </c>
    </row>
    <row r="545" customFormat="false" ht="12.8" hidden="false" customHeight="false" outlineLevel="0" collapsed="false">
      <c r="A545" s="9" t="s">
        <v>4758</v>
      </c>
      <c r="B545" s="10" t="s">
        <v>4759</v>
      </c>
      <c r="C545" s="10" t="n">
        <v>0.73</v>
      </c>
      <c r="D545" s="0" t="s">
        <v>4760</v>
      </c>
      <c r="E545" s="0" t="s">
        <v>3820</v>
      </c>
      <c r="F545" s="0" t="s">
        <v>3160</v>
      </c>
      <c r="G545" s="0" t="s">
        <v>4413</v>
      </c>
    </row>
    <row r="546" customFormat="false" ht="12.8" hidden="false" customHeight="false" outlineLevel="0" collapsed="false">
      <c r="A546" s="9" t="s">
        <v>4761</v>
      </c>
      <c r="B546" s="10" t="s">
        <v>4762</v>
      </c>
      <c r="C546" s="10" t="n">
        <v>0.75</v>
      </c>
      <c r="D546" s="0" t="s">
        <v>4763</v>
      </c>
      <c r="E546" s="0" t="s">
        <v>3820</v>
      </c>
      <c r="F546" s="0" t="s">
        <v>3160</v>
      </c>
      <c r="G546" s="0" t="s">
        <v>4413</v>
      </c>
    </row>
    <row r="547" customFormat="false" ht="12.8" hidden="false" customHeight="false" outlineLevel="0" collapsed="false">
      <c r="A547" s="9" t="s">
        <v>4764</v>
      </c>
      <c r="B547" s="10" t="s">
        <v>4765</v>
      </c>
      <c r="C547" s="10" t="n">
        <v>0.78</v>
      </c>
      <c r="D547" s="0" t="s">
        <v>4766</v>
      </c>
      <c r="E547" s="0" t="s">
        <v>3820</v>
      </c>
      <c r="F547" s="0" t="s">
        <v>3160</v>
      </c>
      <c r="G547" s="0" t="s">
        <v>4413</v>
      </c>
    </row>
    <row r="548" customFormat="false" ht="12.8" hidden="false" customHeight="false" outlineLevel="0" collapsed="false">
      <c r="A548" s="9" t="s">
        <v>4767</v>
      </c>
      <c r="B548" s="10" t="s">
        <v>4768</v>
      </c>
      <c r="C548" s="10" t="n">
        <v>0.74</v>
      </c>
      <c r="D548" s="0" t="s">
        <v>4769</v>
      </c>
      <c r="E548" s="0" t="s">
        <v>3820</v>
      </c>
      <c r="F548" s="0" t="s">
        <v>3160</v>
      </c>
      <c r="G548" s="0" t="s">
        <v>4413</v>
      </c>
    </row>
    <row r="549" customFormat="false" ht="12.8" hidden="false" customHeight="false" outlineLevel="0" collapsed="false">
      <c r="A549" s="9" t="s">
        <v>4770</v>
      </c>
      <c r="B549" s="10" t="s">
        <v>4771</v>
      </c>
      <c r="C549" s="10" t="n">
        <v>0.81</v>
      </c>
      <c r="D549" s="0" t="s">
        <v>4772</v>
      </c>
      <c r="E549" s="0" t="s">
        <v>3820</v>
      </c>
      <c r="F549" s="0" t="s">
        <v>3160</v>
      </c>
      <c r="G549" s="0" t="s">
        <v>4413</v>
      </c>
    </row>
    <row r="555" customFormat="false" ht="12.8" hidden="false" customHeight="false" outlineLevel="0" collapsed="false">
      <c r="A555" s="9" t="s">
        <v>4773</v>
      </c>
      <c r="B555" s="10" t="s">
        <v>4774</v>
      </c>
      <c r="C555" s="10" t="n">
        <v>0.045</v>
      </c>
      <c r="D555" s="0" t="s">
        <v>4775</v>
      </c>
      <c r="E555" s="0" t="s">
        <v>4366</v>
      </c>
      <c r="F555" s="0" t="s">
        <v>3151</v>
      </c>
      <c r="G555" s="0" t="s">
        <v>4367</v>
      </c>
    </row>
    <row r="556" customFormat="false" ht="12.8" hidden="false" customHeight="false" outlineLevel="0" collapsed="false">
      <c r="A556" s="9" t="s">
        <v>4776</v>
      </c>
      <c r="B556" s="10" t="s">
        <v>4777</v>
      </c>
      <c r="C556" s="10" t="n">
        <v>0.03</v>
      </c>
      <c r="D556" s="0" t="s">
        <v>4778</v>
      </c>
      <c r="E556" s="0" t="s">
        <v>4366</v>
      </c>
      <c r="F556" s="0" t="s">
        <v>3151</v>
      </c>
      <c r="G556" s="0" t="s">
        <v>4367</v>
      </c>
    </row>
    <row r="557" customFormat="false" ht="12.8" hidden="false" customHeight="false" outlineLevel="0" collapsed="false">
      <c r="A557" s="9" t="s">
        <v>4779</v>
      </c>
      <c r="B557" s="10" t="s">
        <v>4780</v>
      </c>
      <c r="C557" s="10" t="n">
        <v>0.037</v>
      </c>
      <c r="D557" s="0" t="s">
        <v>4781</v>
      </c>
      <c r="E557" s="0" t="s">
        <v>4366</v>
      </c>
      <c r="F557" s="0" t="s">
        <v>3151</v>
      </c>
      <c r="G557" s="0" t="s">
        <v>4367</v>
      </c>
    </row>
    <row r="558" customFormat="false" ht="12.8" hidden="false" customHeight="false" outlineLevel="0" collapsed="false">
      <c r="A558" s="9" t="s">
        <v>4782</v>
      </c>
      <c r="B558" s="10" t="s">
        <v>4783</v>
      </c>
      <c r="C558" s="10" t="n">
        <v>0.04</v>
      </c>
      <c r="D558" s="0" t="s">
        <v>4784</v>
      </c>
      <c r="E558" s="0" t="s">
        <v>4366</v>
      </c>
      <c r="F558" s="0" t="s">
        <v>3151</v>
      </c>
      <c r="G558" s="0" t="s">
        <v>4367</v>
      </c>
    </row>
    <row r="559" customFormat="false" ht="12.8" hidden="false" customHeight="false" outlineLevel="0" collapsed="false">
      <c r="A559" s="9" t="s">
        <v>4785</v>
      </c>
      <c r="B559" s="10" t="s">
        <v>4786</v>
      </c>
      <c r="C559" s="10" t="n">
        <v>0.018</v>
      </c>
      <c r="D559" s="0" t="s">
        <v>4787</v>
      </c>
      <c r="E559" s="0" t="s">
        <v>4366</v>
      </c>
      <c r="F559" s="0" t="s">
        <v>3151</v>
      </c>
      <c r="G559" s="0" t="s">
        <v>4367</v>
      </c>
    </row>
    <row r="560" customFormat="false" ht="12.8" hidden="false" customHeight="false" outlineLevel="0" collapsed="false">
      <c r="A560" s="9" t="s">
        <v>4788</v>
      </c>
      <c r="B560" s="10" t="s">
        <v>4789</v>
      </c>
      <c r="C560" s="10" t="n">
        <v>0.022</v>
      </c>
      <c r="D560" s="0" t="s">
        <v>4790</v>
      </c>
      <c r="E560" s="0" t="s">
        <v>4366</v>
      </c>
      <c r="F560" s="0" t="s">
        <v>3151</v>
      </c>
      <c r="G560" s="0" t="s">
        <v>4367</v>
      </c>
    </row>
    <row r="561" customFormat="false" ht="12.8" hidden="false" customHeight="false" outlineLevel="0" collapsed="false">
      <c r="A561" s="9" t="s">
        <v>4791</v>
      </c>
      <c r="B561" s="10" t="s">
        <v>4792</v>
      </c>
      <c r="C561" s="10" t="n">
        <v>0.037</v>
      </c>
      <c r="D561" s="0" t="s">
        <v>4793</v>
      </c>
      <c r="E561" s="0" t="s">
        <v>4366</v>
      </c>
      <c r="F561" s="0" t="s">
        <v>3151</v>
      </c>
      <c r="G561" s="0" t="s">
        <v>4367</v>
      </c>
    </row>
    <row r="562" customFormat="false" ht="12.8" hidden="false" customHeight="false" outlineLevel="0" collapsed="false">
      <c r="A562" s="9" t="s">
        <v>4794</v>
      </c>
      <c r="B562" s="10" t="s">
        <v>4795</v>
      </c>
      <c r="C562" s="10" t="n">
        <v>0.045</v>
      </c>
      <c r="D562" s="0" t="s">
        <v>4796</v>
      </c>
      <c r="E562" s="0" t="s">
        <v>4366</v>
      </c>
      <c r="F562" s="0" t="s">
        <v>3151</v>
      </c>
      <c r="G562" s="0" t="s">
        <v>4367</v>
      </c>
    </row>
    <row r="563" customFormat="false" ht="12.8" hidden="false" customHeight="false" outlineLevel="0" collapsed="false">
      <c r="A563" s="9" t="s">
        <v>4797</v>
      </c>
      <c r="B563" s="10" t="s">
        <v>4798</v>
      </c>
      <c r="C563" s="10" t="n">
        <v>0.022</v>
      </c>
      <c r="D563" s="0" t="s">
        <v>4799</v>
      </c>
      <c r="E563" s="0" t="s">
        <v>4366</v>
      </c>
      <c r="F563" s="0" t="s">
        <v>3151</v>
      </c>
      <c r="G563" s="0" t="s">
        <v>4367</v>
      </c>
    </row>
    <row r="564" customFormat="false" ht="12.8" hidden="false" customHeight="false" outlineLevel="0" collapsed="false">
      <c r="A564" s="9" t="s">
        <v>4800</v>
      </c>
      <c r="B564" s="10" t="s">
        <v>4801</v>
      </c>
      <c r="C564" s="10" t="n">
        <v>0.018</v>
      </c>
      <c r="D564" s="0" t="s">
        <v>4802</v>
      </c>
      <c r="E564" s="0" t="s">
        <v>4366</v>
      </c>
      <c r="F564" s="0" t="s">
        <v>3151</v>
      </c>
      <c r="G564" s="0" t="s">
        <v>4367</v>
      </c>
    </row>
    <row r="565" customFormat="false" ht="12.8" hidden="false" customHeight="false" outlineLevel="0" collapsed="false">
      <c r="A565" s="9" t="s">
        <v>4803</v>
      </c>
      <c r="B565" s="10" t="s">
        <v>4804</v>
      </c>
      <c r="C565" s="10" t="n">
        <v>0.018</v>
      </c>
      <c r="D565" s="0" t="s">
        <v>4805</v>
      </c>
      <c r="E565" s="0" t="s">
        <v>4366</v>
      </c>
      <c r="F565" s="0" t="s">
        <v>3151</v>
      </c>
      <c r="G565" s="0" t="s">
        <v>4367</v>
      </c>
    </row>
    <row r="566" customFormat="false" ht="12.8" hidden="false" customHeight="false" outlineLevel="0" collapsed="false">
      <c r="A566" s="9" t="s">
        <v>4806</v>
      </c>
      <c r="B566" s="10" t="s">
        <v>4807</v>
      </c>
      <c r="C566" s="10" t="n">
        <v>0.018</v>
      </c>
      <c r="D566" s="0" t="s">
        <v>4808</v>
      </c>
      <c r="E566" s="0" t="s">
        <v>4366</v>
      </c>
      <c r="F566" s="0" t="s">
        <v>3151</v>
      </c>
      <c r="G566" s="0" t="s">
        <v>4367</v>
      </c>
    </row>
    <row r="567" customFormat="false" ht="12.8" hidden="false" customHeight="false" outlineLevel="0" collapsed="false">
      <c r="A567" s="9" t="s">
        <v>4809</v>
      </c>
      <c r="B567" s="10" t="s">
        <v>4810</v>
      </c>
      <c r="C567" s="10" t="n">
        <v>0.018</v>
      </c>
      <c r="D567" s="0" t="s">
        <v>4811</v>
      </c>
      <c r="E567" s="0" t="s">
        <v>4366</v>
      </c>
      <c r="F567" s="0" t="s">
        <v>3151</v>
      </c>
      <c r="G567" s="0" t="s">
        <v>4367</v>
      </c>
    </row>
    <row r="568" customFormat="false" ht="12.8" hidden="false" customHeight="false" outlineLevel="0" collapsed="false">
      <c r="A568" s="9" t="s">
        <v>4812</v>
      </c>
      <c r="B568" s="10" t="s">
        <v>4813</v>
      </c>
      <c r="C568" s="10" t="n">
        <v>0.018</v>
      </c>
      <c r="D568" s="0" t="s">
        <v>4814</v>
      </c>
      <c r="E568" s="0" t="s">
        <v>4366</v>
      </c>
      <c r="F568" s="0" t="s">
        <v>3151</v>
      </c>
      <c r="G568" s="0" t="s">
        <v>4367</v>
      </c>
    </row>
    <row r="569" customFormat="false" ht="12.8" hidden="false" customHeight="false" outlineLevel="0" collapsed="false">
      <c r="A569" s="9" t="s">
        <v>4815</v>
      </c>
      <c r="B569" s="10" t="s">
        <v>4816</v>
      </c>
      <c r="C569" s="10" t="n">
        <v>0.018</v>
      </c>
      <c r="D569" s="0" t="s">
        <v>4817</v>
      </c>
      <c r="E569" s="0" t="s">
        <v>4366</v>
      </c>
      <c r="F569" s="0" t="s">
        <v>3151</v>
      </c>
      <c r="G569" s="0" t="s">
        <v>4367</v>
      </c>
    </row>
    <row r="570" customFormat="false" ht="12.8" hidden="false" customHeight="false" outlineLevel="0" collapsed="false">
      <c r="A570" s="9" t="s">
        <v>4818</v>
      </c>
      <c r="B570" s="10" t="s">
        <v>4819</v>
      </c>
      <c r="C570" s="10" t="n">
        <v>0.07</v>
      </c>
      <c r="D570" s="0" t="s">
        <v>4820</v>
      </c>
      <c r="E570" s="0" t="s">
        <v>3820</v>
      </c>
      <c r="F570" s="0" t="s">
        <v>3160</v>
      </c>
      <c r="G570" s="0" t="s">
        <v>4413</v>
      </c>
    </row>
    <row r="571" customFormat="false" ht="12.8" hidden="false" customHeight="false" outlineLevel="0" collapsed="false">
      <c r="A571" s="9" t="s">
        <v>4821</v>
      </c>
      <c r="B571" s="10" t="s">
        <v>4822</v>
      </c>
      <c r="C571" s="10" t="n">
        <v>0.06</v>
      </c>
      <c r="D571" s="0" t="s">
        <v>4823</v>
      </c>
      <c r="E571" s="0" t="s">
        <v>3820</v>
      </c>
      <c r="F571" s="0" t="s">
        <v>3160</v>
      </c>
      <c r="G571" s="0" t="s">
        <v>4413</v>
      </c>
    </row>
    <row r="572" customFormat="false" ht="12.8" hidden="false" customHeight="false" outlineLevel="0" collapsed="false">
      <c r="A572" s="9" t="s">
        <v>4824</v>
      </c>
      <c r="B572" s="10" t="s">
        <v>4825</v>
      </c>
      <c r="C572" s="10" t="n">
        <v>0.07</v>
      </c>
      <c r="D572" s="0" t="s">
        <v>4826</v>
      </c>
      <c r="E572" s="0" t="s">
        <v>3820</v>
      </c>
      <c r="F572" s="0" t="s">
        <v>3160</v>
      </c>
      <c r="G572" s="0" t="s">
        <v>4413</v>
      </c>
    </row>
    <row r="573" customFormat="false" ht="12.8" hidden="false" customHeight="false" outlineLevel="0" collapsed="false">
      <c r="A573" s="9" t="s">
        <v>4827</v>
      </c>
      <c r="B573" s="10" t="s">
        <v>4828</v>
      </c>
      <c r="C573" s="10" t="n">
        <v>0.08</v>
      </c>
      <c r="D573" s="0" t="s">
        <v>4829</v>
      </c>
      <c r="E573" s="0" t="s">
        <v>3820</v>
      </c>
      <c r="F573" s="0" t="s">
        <v>3160</v>
      </c>
      <c r="G573" s="0" t="s">
        <v>4413</v>
      </c>
    </row>
    <row r="574" customFormat="false" ht="12.8" hidden="false" customHeight="false" outlineLevel="0" collapsed="false">
      <c r="A574" s="9" t="s">
        <v>4830</v>
      </c>
      <c r="B574" s="10" t="s">
        <v>4831</v>
      </c>
      <c r="C574" s="10" t="n">
        <v>0.04</v>
      </c>
      <c r="D574" s="0" t="s">
        <v>4832</v>
      </c>
      <c r="E574" s="0" t="s">
        <v>3820</v>
      </c>
      <c r="F574" s="0" t="s">
        <v>3160</v>
      </c>
      <c r="G574" s="0" t="s">
        <v>4413</v>
      </c>
    </row>
    <row r="575" customFormat="false" ht="12.8" hidden="false" customHeight="false" outlineLevel="0" collapsed="false">
      <c r="A575" s="9" t="s">
        <v>4833</v>
      </c>
      <c r="B575" s="10" t="s">
        <v>4834</v>
      </c>
      <c r="C575" s="10" t="n">
        <v>0.05</v>
      </c>
      <c r="D575" s="0" t="s">
        <v>4835</v>
      </c>
      <c r="E575" s="0" t="s">
        <v>3820</v>
      </c>
      <c r="F575" s="0" t="s">
        <v>3160</v>
      </c>
      <c r="G575" s="0" t="s">
        <v>4413</v>
      </c>
    </row>
    <row r="576" customFormat="false" ht="12.8" hidden="false" customHeight="false" outlineLevel="0" collapsed="false">
      <c r="A576" s="9" t="s">
        <v>4836</v>
      </c>
      <c r="B576" s="10" t="s">
        <v>4837</v>
      </c>
      <c r="C576" s="10" t="n">
        <v>0.07</v>
      </c>
      <c r="D576" s="0" t="s">
        <v>4838</v>
      </c>
      <c r="E576" s="0" t="s">
        <v>3820</v>
      </c>
      <c r="F576" s="0" t="s">
        <v>3160</v>
      </c>
      <c r="G576" s="0" t="s">
        <v>4413</v>
      </c>
    </row>
    <row r="578" customFormat="false" ht="12.8" hidden="false" customHeight="false" outlineLevel="0" collapsed="false">
      <c r="A578" s="9" t="s">
        <v>4839</v>
      </c>
      <c r="B578" s="10" t="s">
        <v>4828</v>
      </c>
      <c r="C578" s="10" t="n">
        <v>0.08</v>
      </c>
      <c r="D578" s="0" t="s">
        <v>4829</v>
      </c>
      <c r="E578" s="0" t="s">
        <v>3820</v>
      </c>
      <c r="F578" s="0" t="s">
        <v>3160</v>
      </c>
      <c r="G578" s="0" t="s">
        <v>4413</v>
      </c>
    </row>
    <row r="579" customFormat="false" ht="12.8" hidden="false" customHeight="false" outlineLevel="0" collapsed="false">
      <c r="A579" s="9" t="s">
        <v>4840</v>
      </c>
      <c r="B579" s="10" t="s">
        <v>4831</v>
      </c>
      <c r="C579" s="10" t="n">
        <v>0.04</v>
      </c>
      <c r="D579" s="0" t="s">
        <v>4832</v>
      </c>
      <c r="E579" s="0" t="s">
        <v>3820</v>
      </c>
      <c r="F579" s="0" t="s">
        <v>3160</v>
      </c>
      <c r="G579" s="0" t="s">
        <v>4413</v>
      </c>
    </row>
    <row r="580" customFormat="false" ht="12.8" hidden="false" customHeight="false" outlineLevel="0" collapsed="false">
      <c r="A580" s="9" t="s">
        <v>4841</v>
      </c>
      <c r="B580" s="10" t="s">
        <v>4834</v>
      </c>
      <c r="C580" s="10" t="n">
        <v>0.05</v>
      </c>
      <c r="D580" s="0" t="s">
        <v>4835</v>
      </c>
      <c r="E580" s="0" t="s">
        <v>3820</v>
      </c>
      <c r="F580" s="0" t="s">
        <v>3160</v>
      </c>
      <c r="G580" s="0" t="s">
        <v>4413</v>
      </c>
    </row>
    <row r="581" customFormat="false" ht="12.8" hidden="false" customHeight="false" outlineLevel="0" collapsed="false">
      <c r="A581" s="9" t="s">
        <v>4842</v>
      </c>
      <c r="B581" s="10" t="s">
        <v>4837</v>
      </c>
      <c r="C581" s="10" t="n">
        <v>0.07</v>
      </c>
      <c r="D581" s="0" t="s">
        <v>4838</v>
      </c>
      <c r="E581" s="0" t="s">
        <v>3820</v>
      </c>
      <c r="F581" s="0" t="s">
        <v>3160</v>
      </c>
      <c r="G581" s="0" t="s">
        <v>4413</v>
      </c>
    </row>
    <row r="582" customFormat="false" ht="12.8" hidden="false" customHeight="false" outlineLevel="0" collapsed="false">
      <c r="A582" s="9" t="s">
        <v>4843</v>
      </c>
      <c r="B582" s="10" t="s">
        <v>4844</v>
      </c>
      <c r="C582" s="10" t="n">
        <v>0.07</v>
      </c>
      <c r="D582" s="0" t="s">
        <v>4845</v>
      </c>
      <c r="E582" s="0" t="s">
        <v>3820</v>
      </c>
      <c r="F582" s="0" t="s">
        <v>3160</v>
      </c>
      <c r="G582" s="0" t="s">
        <v>4413</v>
      </c>
    </row>
    <row r="583" customFormat="false" ht="12.8" hidden="false" customHeight="false" outlineLevel="0" collapsed="false">
      <c r="A583" s="9" t="s">
        <v>4846</v>
      </c>
      <c r="B583" s="10" t="s">
        <v>4847</v>
      </c>
      <c r="C583" s="10" t="n">
        <v>0.05</v>
      </c>
      <c r="D583" s="0" t="s">
        <v>4848</v>
      </c>
      <c r="E583" s="0" t="s">
        <v>3820</v>
      </c>
      <c r="F583" s="0" t="s">
        <v>3160</v>
      </c>
      <c r="G583" s="0" t="s">
        <v>4413</v>
      </c>
    </row>
    <row r="584" customFormat="false" ht="12.8" hidden="false" customHeight="false" outlineLevel="0" collapsed="false">
      <c r="A584" s="9" t="s">
        <v>4849</v>
      </c>
      <c r="B584" s="10" t="s">
        <v>4850</v>
      </c>
      <c r="C584" s="10" t="n">
        <v>0.04</v>
      </c>
      <c r="D584" s="0" t="s">
        <v>4851</v>
      </c>
      <c r="E584" s="0" t="s">
        <v>3820</v>
      </c>
      <c r="F584" s="0" t="s">
        <v>3160</v>
      </c>
      <c r="G584" s="0" t="s">
        <v>4413</v>
      </c>
    </row>
    <row r="585" customFormat="false" ht="12.8" hidden="false" customHeight="false" outlineLevel="0" collapsed="false">
      <c r="A585" s="9" t="s">
        <v>4852</v>
      </c>
      <c r="B585" s="10" t="s">
        <v>4853</v>
      </c>
      <c r="C585" s="10" t="n">
        <v>0.04</v>
      </c>
      <c r="D585" s="0" t="s">
        <v>4854</v>
      </c>
      <c r="E585" s="0" t="s">
        <v>3820</v>
      </c>
      <c r="F585" s="0" t="s">
        <v>3160</v>
      </c>
      <c r="G585" s="0" t="s">
        <v>4413</v>
      </c>
    </row>
    <row r="586" customFormat="false" ht="12.8" hidden="false" customHeight="false" outlineLevel="0" collapsed="false">
      <c r="A586" s="9" t="s">
        <v>4855</v>
      </c>
      <c r="B586" s="10" t="s">
        <v>4856</v>
      </c>
      <c r="C586" s="10" t="n">
        <v>0.04</v>
      </c>
      <c r="D586" s="0" t="s">
        <v>4857</v>
      </c>
      <c r="E586" s="0" t="s">
        <v>3820</v>
      </c>
      <c r="F586" s="0" t="s">
        <v>3160</v>
      </c>
      <c r="G586" s="0" t="s">
        <v>4413</v>
      </c>
    </row>
    <row r="587" customFormat="false" ht="12.8" hidden="false" customHeight="false" outlineLevel="0" collapsed="false">
      <c r="A587" s="9" t="s">
        <v>4858</v>
      </c>
      <c r="B587" s="10" t="s">
        <v>4859</v>
      </c>
      <c r="C587" s="10" t="n">
        <v>0.04</v>
      </c>
      <c r="D587" s="0" t="s">
        <v>4860</v>
      </c>
      <c r="E587" s="0" t="s">
        <v>3820</v>
      </c>
      <c r="F587" s="0" t="s">
        <v>3160</v>
      </c>
      <c r="G587" s="0" t="s">
        <v>4413</v>
      </c>
    </row>
    <row r="588" customFormat="false" ht="12.8" hidden="false" customHeight="false" outlineLevel="0" collapsed="false">
      <c r="A588" s="9" t="s">
        <v>4861</v>
      </c>
      <c r="B588" s="10" t="s">
        <v>4862</v>
      </c>
      <c r="C588" s="10" t="n">
        <v>0.04</v>
      </c>
      <c r="D588" s="0" t="s">
        <v>4863</v>
      </c>
      <c r="E588" s="0" t="s">
        <v>3820</v>
      </c>
      <c r="F588" s="0" t="s">
        <v>3160</v>
      </c>
      <c r="G588" s="0" t="s">
        <v>4413</v>
      </c>
    </row>
    <row r="589" customFormat="false" ht="12.8" hidden="false" customHeight="false" outlineLevel="0" collapsed="false">
      <c r="A589" s="9" t="s">
        <v>4864</v>
      </c>
      <c r="B589" s="10" t="s">
        <v>4865</v>
      </c>
      <c r="C589" s="10" t="n">
        <v>0.03</v>
      </c>
      <c r="D589" s="0" t="s">
        <v>4866</v>
      </c>
      <c r="E589" s="0" t="s">
        <v>3820</v>
      </c>
      <c r="F589" s="0" t="s">
        <v>3160</v>
      </c>
      <c r="G589" s="0" t="s">
        <v>4413</v>
      </c>
    </row>
    <row r="590" customFormat="false" ht="12.8" hidden="false" customHeight="false" outlineLevel="0" collapsed="false">
      <c r="A590" s="9" t="s">
        <v>4867</v>
      </c>
      <c r="B590" s="10" t="s">
        <v>4868</v>
      </c>
      <c r="C590" s="10" t="n">
        <v>0.11</v>
      </c>
      <c r="D590" s="0" t="s">
        <v>4869</v>
      </c>
      <c r="E590" s="0" t="s">
        <v>3820</v>
      </c>
      <c r="F590" s="0" t="s">
        <v>3160</v>
      </c>
      <c r="G590" s="0" t="s">
        <v>4413</v>
      </c>
    </row>
    <row r="591" customFormat="false" ht="12.8" hidden="false" customHeight="false" outlineLevel="0" collapsed="false">
      <c r="A591" s="9" t="s">
        <v>4870</v>
      </c>
      <c r="B591" s="10" t="s">
        <v>4871</v>
      </c>
      <c r="C591" s="10" t="n">
        <v>0.1</v>
      </c>
      <c r="D591" s="0" t="s">
        <v>4872</v>
      </c>
      <c r="E591" s="0" t="s">
        <v>3820</v>
      </c>
      <c r="F591" s="0" t="s">
        <v>3160</v>
      </c>
      <c r="G591" s="0" t="s">
        <v>4413</v>
      </c>
    </row>
    <row r="592" customFormat="false" ht="12.8" hidden="false" customHeight="false" outlineLevel="0" collapsed="false">
      <c r="A592" s="9" t="s">
        <v>4873</v>
      </c>
      <c r="B592" s="10" t="s">
        <v>4874</v>
      </c>
      <c r="C592" s="10" t="n">
        <v>0.12</v>
      </c>
      <c r="D592" s="0" t="s">
        <v>4875</v>
      </c>
      <c r="E592" s="0" t="s">
        <v>3820</v>
      </c>
      <c r="F592" s="0" t="s">
        <v>3160</v>
      </c>
      <c r="G592" s="0" t="s">
        <v>4413</v>
      </c>
    </row>
    <row r="593" customFormat="false" ht="12.8" hidden="false" customHeight="false" outlineLevel="0" collapsed="false">
      <c r="A593" s="9" t="s">
        <v>4876</v>
      </c>
      <c r="B593" s="10" t="s">
        <v>4877</v>
      </c>
      <c r="C593" s="10" t="n">
        <v>0.13</v>
      </c>
      <c r="D593" s="0" t="s">
        <v>4878</v>
      </c>
      <c r="E593" s="0" t="s">
        <v>3820</v>
      </c>
      <c r="F593" s="0" t="s">
        <v>3160</v>
      </c>
      <c r="G593" s="0" t="s">
        <v>4413</v>
      </c>
    </row>
    <row r="594" customFormat="false" ht="12.8" hidden="false" customHeight="false" outlineLevel="0" collapsed="false">
      <c r="A594" s="9" t="s">
        <v>4879</v>
      </c>
      <c r="B594" s="10" t="s">
        <v>4880</v>
      </c>
      <c r="C594" s="10" t="n">
        <v>0.07</v>
      </c>
      <c r="D594" s="0" t="s">
        <v>4881</v>
      </c>
      <c r="E594" s="0" t="s">
        <v>3820</v>
      </c>
      <c r="F594" s="0" t="s">
        <v>3160</v>
      </c>
      <c r="G594" s="0" t="s">
        <v>4413</v>
      </c>
    </row>
    <row r="595" customFormat="false" ht="12.8" hidden="false" customHeight="false" outlineLevel="0" collapsed="false">
      <c r="A595" s="9" t="s">
        <v>4882</v>
      </c>
      <c r="B595" s="10" t="s">
        <v>4883</v>
      </c>
      <c r="C595" s="10" t="n">
        <v>0.08</v>
      </c>
      <c r="D595" s="0" t="s">
        <v>4884</v>
      </c>
      <c r="E595" s="0" t="s">
        <v>3820</v>
      </c>
      <c r="F595" s="0" t="s">
        <v>3160</v>
      </c>
      <c r="G595" s="0" t="s">
        <v>4413</v>
      </c>
    </row>
    <row r="596" customFormat="false" ht="12.8" hidden="false" customHeight="false" outlineLevel="0" collapsed="false">
      <c r="A596" s="9" t="s">
        <v>4885</v>
      </c>
      <c r="B596" s="10" t="s">
        <v>4886</v>
      </c>
      <c r="C596" s="10" t="n">
        <v>0.12</v>
      </c>
      <c r="D596" s="0" t="s">
        <v>4887</v>
      </c>
      <c r="E596" s="0" t="s">
        <v>3820</v>
      </c>
      <c r="F596" s="0" t="s">
        <v>3160</v>
      </c>
      <c r="G596" s="0" t="s">
        <v>4413</v>
      </c>
    </row>
    <row r="597" customFormat="false" ht="12.8" hidden="false" customHeight="false" outlineLevel="0" collapsed="false">
      <c r="A597" s="9" t="s">
        <v>4888</v>
      </c>
      <c r="B597" s="10" t="s">
        <v>4889</v>
      </c>
      <c r="C597" s="10" t="n">
        <v>0.11</v>
      </c>
      <c r="D597" s="0" t="s">
        <v>4890</v>
      </c>
      <c r="E597" s="0" t="s">
        <v>3820</v>
      </c>
      <c r="F597" s="0" t="s">
        <v>3160</v>
      </c>
      <c r="G597" s="0" t="s">
        <v>4413</v>
      </c>
    </row>
    <row r="598" customFormat="false" ht="12.8" hidden="false" customHeight="false" outlineLevel="0" collapsed="false">
      <c r="A598" s="9" t="s">
        <v>4891</v>
      </c>
      <c r="B598" s="10" t="s">
        <v>4892</v>
      </c>
      <c r="C598" s="10" t="n">
        <v>0.08</v>
      </c>
      <c r="D598" s="0" t="s">
        <v>4893</v>
      </c>
      <c r="E598" s="0" t="s">
        <v>3820</v>
      </c>
      <c r="F598" s="0" t="s">
        <v>3160</v>
      </c>
      <c r="G598" s="0" t="s">
        <v>4413</v>
      </c>
    </row>
    <row r="599" customFormat="false" ht="12.8" hidden="false" customHeight="false" outlineLevel="0" collapsed="false">
      <c r="A599" s="9" t="s">
        <v>4894</v>
      </c>
      <c r="B599" s="10" t="s">
        <v>4895</v>
      </c>
      <c r="C599" s="10" t="n">
        <v>0.07</v>
      </c>
      <c r="D599" s="0" t="s">
        <v>4896</v>
      </c>
      <c r="E599" s="0" t="s">
        <v>3820</v>
      </c>
      <c r="F599" s="0" t="s">
        <v>3160</v>
      </c>
      <c r="G599" s="0" t="s">
        <v>4413</v>
      </c>
    </row>
    <row r="600" customFormat="false" ht="12.8" hidden="false" customHeight="false" outlineLevel="0" collapsed="false">
      <c r="A600" s="9" t="s">
        <v>4897</v>
      </c>
      <c r="B600" s="10" t="s">
        <v>4898</v>
      </c>
      <c r="C600" s="10" t="n">
        <v>0.07</v>
      </c>
      <c r="D600" s="0" t="s">
        <v>4899</v>
      </c>
      <c r="E600" s="0" t="s">
        <v>3820</v>
      </c>
      <c r="F600" s="0" t="s">
        <v>3160</v>
      </c>
      <c r="G600" s="0" t="s">
        <v>4413</v>
      </c>
    </row>
    <row r="601" customFormat="false" ht="12.8" hidden="false" customHeight="false" outlineLevel="0" collapsed="false">
      <c r="A601" s="9" t="s">
        <v>4900</v>
      </c>
      <c r="B601" s="10" t="s">
        <v>4901</v>
      </c>
      <c r="C601" s="10" t="n">
        <v>0.07</v>
      </c>
      <c r="D601" s="0" t="s">
        <v>4902</v>
      </c>
      <c r="E601" s="0" t="s">
        <v>3820</v>
      </c>
      <c r="F601" s="0" t="s">
        <v>3160</v>
      </c>
      <c r="G601" s="0" t="s">
        <v>4413</v>
      </c>
    </row>
    <row r="602" customFormat="false" ht="12.8" hidden="false" customHeight="false" outlineLevel="0" collapsed="false">
      <c r="A602" s="9" t="s">
        <v>4903</v>
      </c>
      <c r="B602" s="10" t="s">
        <v>4904</v>
      </c>
      <c r="C602" s="10" t="n">
        <v>0.07</v>
      </c>
      <c r="D602" s="0" t="s">
        <v>4905</v>
      </c>
      <c r="E602" s="0" t="s">
        <v>3820</v>
      </c>
      <c r="F602" s="0" t="s">
        <v>3160</v>
      </c>
      <c r="G602" s="0" t="s">
        <v>4413</v>
      </c>
    </row>
    <row r="603" customFormat="false" ht="12.8" hidden="false" customHeight="false" outlineLevel="0" collapsed="false">
      <c r="A603" s="9" t="s">
        <v>4906</v>
      </c>
      <c r="B603" s="10" t="s">
        <v>4907</v>
      </c>
      <c r="C603" s="10" t="n">
        <v>0.07</v>
      </c>
      <c r="D603" s="0" t="s">
        <v>4908</v>
      </c>
      <c r="E603" s="0" t="s">
        <v>3820</v>
      </c>
      <c r="F603" s="0" t="s">
        <v>3160</v>
      </c>
      <c r="G603" s="0" t="s">
        <v>4413</v>
      </c>
    </row>
    <row r="604" customFormat="false" ht="12.8" hidden="false" customHeight="false" outlineLevel="0" collapsed="false">
      <c r="A604" s="9" t="s">
        <v>4909</v>
      </c>
      <c r="B604" s="10" t="s">
        <v>4910</v>
      </c>
      <c r="C604" s="10" t="n">
        <v>0.07</v>
      </c>
      <c r="D604" s="0" t="s">
        <v>4911</v>
      </c>
      <c r="E604" s="0" t="s">
        <v>3820</v>
      </c>
      <c r="F604" s="0" t="s">
        <v>3160</v>
      </c>
      <c r="G604" s="0" t="s">
        <v>4413</v>
      </c>
    </row>
    <row r="610" customFormat="false" ht="12.8" hidden="false" customHeight="false" outlineLevel="0" collapsed="false">
      <c r="A610" s="9" t="s">
        <v>4912</v>
      </c>
      <c r="B610" s="10" t="s">
        <v>4913</v>
      </c>
      <c r="C610" s="10" t="n">
        <v>0.089</v>
      </c>
      <c r="D610" s="0" t="s">
        <v>4914</v>
      </c>
      <c r="E610" s="0" t="s">
        <v>4366</v>
      </c>
      <c r="F610" s="0" t="s">
        <v>3151</v>
      </c>
      <c r="G610" s="0" t="s">
        <v>4367</v>
      </c>
    </row>
    <row r="611" customFormat="false" ht="12.8" hidden="false" customHeight="false" outlineLevel="0" collapsed="false">
      <c r="A611" s="9" t="s">
        <v>4915</v>
      </c>
      <c r="B611" s="10" t="s">
        <v>4916</v>
      </c>
      <c r="C611" s="10" t="n">
        <v>0.042</v>
      </c>
      <c r="D611" s="0" t="s">
        <v>4917</v>
      </c>
      <c r="E611" s="0" t="s">
        <v>4366</v>
      </c>
      <c r="F611" s="0" t="s">
        <v>3151</v>
      </c>
      <c r="G611" s="0" t="s">
        <v>4367</v>
      </c>
    </row>
    <row r="612" customFormat="false" ht="12.8" hidden="false" customHeight="false" outlineLevel="0" collapsed="false">
      <c r="A612" s="9" t="s">
        <v>4918</v>
      </c>
      <c r="B612" s="10" t="s">
        <v>4919</v>
      </c>
      <c r="C612" s="10" t="n">
        <v>0.069</v>
      </c>
      <c r="D612" s="0" t="s">
        <v>4920</v>
      </c>
      <c r="E612" s="0" t="s">
        <v>4366</v>
      </c>
      <c r="F612" s="0" t="s">
        <v>3151</v>
      </c>
      <c r="G612" s="0" t="s">
        <v>4367</v>
      </c>
    </row>
    <row r="613" customFormat="false" ht="12.8" hidden="false" customHeight="false" outlineLevel="0" collapsed="false">
      <c r="A613" s="9" t="s">
        <v>4921</v>
      </c>
      <c r="B613" s="10" t="s">
        <v>4922</v>
      </c>
      <c r="C613" s="10" t="n">
        <v>0.095</v>
      </c>
      <c r="D613" s="0" t="s">
        <v>4923</v>
      </c>
      <c r="E613" s="0" t="s">
        <v>4366</v>
      </c>
      <c r="F613" s="0" t="s">
        <v>3151</v>
      </c>
      <c r="G613" s="0" t="s">
        <v>4367</v>
      </c>
    </row>
    <row r="614" customFormat="false" ht="12.8" hidden="false" customHeight="false" outlineLevel="0" collapsed="false">
      <c r="A614" s="9" t="s">
        <v>4924</v>
      </c>
      <c r="B614" s="10" t="s">
        <v>4925</v>
      </c>
      <c r="C614" s="10" t="n">
        <v>0.03</v>
      </c>
      <c r="D614" s="0" t="s">
        <v>4926</v>
      </c>
      <c r="E614" s="0" t="s">
        <v>4366</v>
      </c>
      <c r="F614" s="0" t="s">
        <v>3151</v>
      </c>
      <c r="G614" s="0" t="s">
        <v>4367</v>
      </c>
    </row>
    <row r="615" customFormat="false" ht="12.8" hidden="false" customHeight="false" outlineLevel="0" collapsed="false">
      <c r="A615" s="9" t="s">
        <v>4927</v>
      </c>
      <c r="B615" s="10" t="s">
        <v>4928</v>
      </c>
      <c r="C615" s="10" t="n">
        <v>0.034</v>
      </c>
      <c r="D615" s="0" t="s">
        <v>4929</v>
      </c>
      <c r="E615" s="0" t="s">
        <v>4366</v>
      </c>
      <c r="F615" s="0" t="s">
        <v>3151</v>
      </c>
      <c r="G615" s="0" t="s">
        <v>4367</v>
      </c>
    </row>
    <row r="616" customFormat="false" ht="12.8" hidden="false" customHeight="false" outlineLevel="0" collapsed="false">
      <c r="A616" s="9" t="s">
        <v>4930</v>
      </c>
      <c r="B616" s="10" t="s">
        <v>4931</v>
      </c>
      <c r="C616" s="10" t="n">
        <v>0.071</v>
      </c>
      <c r="D616" s="0" t="s">
        <v>4932</v>
      </c>
      <c r="E616" s="0" t="s">
        <v>4366</v>
      </c>
      <c r="F616" s="0" t="s">
        <v>3151</v>
      </c>
      <c r="G616" s="0" t="s">
        <v>4367</v>
      </c>
    </row>
    <row r="617" customFormat="false" ht="12.8" hidden="false" customHeight="false" outlineLevel="0" collapsed="false">
      <c r="A617" s="9" t="s">
        <v>4933</v>
      </c>
      <c r="B617" s="10" t="s">
        <v>4934</v>
      </c>
      <c r="C617" s="10" t="n">
        <v>0.089</v>
      </c>
      <c r="D617" s="0" t="s">
        <v>4935</v>
      </c>
      <c r="E617" s="0" t="s">
        <v>4366</v>
      </c>
      <c r="F617" s="0" t="s">
        <v>3151</v>
      </c>
      <c r="G617" s="0" t="s">
        <v>4367</v>
      </c>
    </row>
    <row r="618" customFormat="false" ht="12.8" hidden="false" customHeight="false" outlineLevel="0" collapsed="false">
      <c r="A618" s="9" t="s">
        <v>4936</v>
      </c>
      <c r="B618" s="10" t="s">
        <v>4937</v>
      </c>
      <c r="C618" s="10" t="n">
        <v>0.042</v>
      </c>
      <c r="D618" s="0" t="s">
        <v>4938</v>
      </c>
      <c r="E618" s="0" t="s">
        <v>4366</v>
      </c>
      <c r="F618" s="0" t="s">
        <v>3151</v>
      </c>
      <c r="G618" s="0" t="s">
        <v>4367</v>
      </c>
    </row>
    <row r="619" customFormat="false" ht="12.8" hidden="false" customHeight="false" outlineLevel="0" collapsed="false">
      <c r="A619" s="9" t="s">
        <v>4939</v>
      </c>
      <c r="B619" s="10" t="s">
        <v>4940</v>
      </c>
      <c r="C619" s="10" t="n">
        <v>0.034</v>
      </c>
      <c r="D619" s="0" t="s">
        <v>4941</v>
      </c>
      <c r="E619" s="0" t="s">
        <v>4366</v>
      </c>
      <c r="F619" s="0" t="s">
        <v>3151</v>
      </c>
      <c r="G619" s="0" t="s">
        <v>4367</v>
      </c>
    </row>
    <row r="620" customFormat="false" ht="12.8" hidden="false" customHeight="false" outlineLevel="0" collapsed="false">
      <c r="A620" s="9" t="s">
        <v>4942</v>
      </c>
      <c r="B620" s="10" t="s">
        <v>4943</v>
      </c>
      <c r="C620" s="10" t="n">
        <v>0.024</v>
      </c>
      <c r="D620" s="0" t="s">
        <v>4944</v>
      </c>
      <c r="E620" s="0" t="s">
        <v>4366</v>
      </c>
      <c r="F620" s="0" t="s">
        <v>3151</v>
      </c>
      <c r="G620" s="0" t="s">
        <v>4367</v>
      </c>
    </row>
    <row r="621" customFormat="false" ht="12.8" hidden="false" customHeight="false" outlineLevel="0" collapsed="false">
      <c r="A621" s="9" t="s">
        <v>4945</v>
      </c>
      <c r="B621" s="10" t="s">
        <v>4946</v>
      </c>
      <c r="C621" s="10" t="n">
        <v>0.03</v>
      </c>
      <c r="D621" s="0" t="s">
        <v>4947</v>
      </c>
      <c r="E621" s="0" t="s">
        <v>4366</v>
      </c>
      <c r="F621" s="0" t="s">
        <v>3151</v>
      </c>
      <c r="G621" s="0" t="s">
        <v>4367</v>
      </c>
    </row>
    <row r="622" customFormat="false" ht="12.8" hidden="false" customHeight="false" outlineLevel="0" collapsed="false">
      <c r="A622" s="9" t="s">
        <v>4948</v>
      </c>
      <c r="B622" s="10" t="s">
        <v>4949</v>
      </c>
      <c r="C622" s="10" t="n">
        <v>0.025</v>
      </c>
      <c r="D622" s="0" t="s">
        <v>4950</v>
      </c>
      <c r="E622" s="0" t="s">
        <v>4366</v>
      </c>
      <c r="F622" s="0" t="s">
        <v>3151</v>
      </c>
      <c r="G622" s="0" t="s">
        <v>4367</v>
      </c>
    </row>
    <row r="623" customFormat="false" ht="12.8" hidden="false" customHeight="false" outlineLevel="0" collapsed="false">
      <c r="A623" s="9" t="s">
        <v>4951</v>
      </c>
      <c r="B623" s="10" t="s">
        <v>4952</v>
      </c>
      <c r="C623" s="10" t="n">
        <v>0.028</v>
      </c>
      <c r="D623" s="0" t="s">
        <v>4953</v>
      </c>
      <c r="E623" s="0" t="s">
        <v>4366</v>
      </c>
      <c r="F623" s="0" t="s">
        <v>3151</v>
      </c>
      <c r="G623" s="0" t="s">
        <v>4367</v>
      </c>
    </row>
    <row r="624" customFormat="false" ht="12.8" hidden="false" customHeight="false" outlineLevel="0" collapsed="false">
      <c r="A624" s="9" t="s">
        <v>4954</v>
      </c>
      <c r="B624" s="10" t="s">
        <v>4955</v>
      </c>
      <c r="C624" s="10" t="n">
        <v>0.02</v>
      </c>
      <c r="D624" s="0" t="s">
        <v>4956</v>
      </c>
      <c r="E624" s="0" t="s">
        <v>4366</v>
      </c>
      <c r="F624" s="0" t="s">
        <v>3151</v>
      </c>
      <c r="G624" s="0" t="s">
        <v>4367</v>
      </c>
    </row>
    <row r="625" customFormat="false" ht="12.8" hidden="false" customHeight="false" outlineLevel="0" collapsed="false">
      <c r="A625" s="9" t="s">
        <v>4957</v>
      </c>
      <c r="B625" s="10" t="s">
        <v>4958</v>
      </c>
      <c r="C625" s="10" t="n">
        <v>0.108</v>
      </c>
      <c r="D625" s="0" t="s">
        <v>4959</v>
      </c>
      <c r="E625" s="0" t="s">
        <v>3820</v>
      </c>
      <c r="F625" s="0" t="s">
        <v>3160</v>
      </c>
      <c r="G625" s="0" t="s">
        <v>4413</v>
      </c>
    </row>
    <row r="626" customFormat="false" ht="12.8" hidden="false" customHeight="false" outlineLevel="0" collapsed="false">
      <c r="A626" s="9" t="s">
        <v>4960</v>
      </c>
      <c r="B626" s="10" t="s">
        <v>4961</v>
      </c>
      <c r="C626" s="10" t="n">
        <v>0.066</v>
      </c>
      <c r="D626" s="0" t="s">
        <v>4962</v>
      </c>
      <c r="E626" s="0" t="s">
        <v>3820</v>
      </c>
      <c r="F626" s="0" t="s">
        <v>3160</v>
      </c>
      <c r="G626" s="0" t="s">
        <v>4413</v>
      </c>
    </row>
    <row r="627" customFormat="false" ht="12.8" hidden="false" customHeight="false" outlineLevel="0" collapsed="false">
      <c r="A627" s="9" t="s">
        <v>4963</v>
      </c>
      <c r="B627" s="10" t="s">
        <v>4964</v>
      </c>
      <c r="C627" s="10" t="n">
        <v>0.095</v>
      </c>
      <c r="D627" s="0" t="s">
        <v>4965</v>
      </c>
      <c r="E627" s="0" t="s">
        <v>3820</v>
      </c>
      <c r="F627" s="0" t="s">
        <v>3160</v>
      </c>
      <c r="G627" s="0" t="s">
        <v>4413</v>
      </c>
    </row>
    <row r="628" customFormat="false" ht="12.8" hidden="false" customHeight="false" outlineLevel="0" collapsed="false">
      <c r="A628" s="9" t="s">
        <v>4966</v>
      </c>
      <c r="B628" s="10" t="s">
        <v>4967</v>
      </c>
      <c r="C628" s="10" t="n">
        <v>0.132</v>
      </c>
      <c r="D628" s="0" t="s">
        <v>4968</v>
      </c>
      <c r="E628" s="0" t="s">
        <v>3820</v>
      </c>
      <c r="F628" s="0" t="s">
        <v>3160</v>
      </c>
      <c r="G628" s="0" t="s">
        <v>4413</v>
      </c>
    </row>
    <row r="629" customFormat="false" ht="12.8" hidden="false" customHeight="false" outlineLevel="0" collapsed="false">
      <c r="A629" s="9" t="s">
        <v>4969</v>
      </c>
      <c r="B629" s="10" t="s">
        <v>4970</v>
      </c>
      <c r="C629" s="10" t="n">
        <v>0.037</v>
      </c>
      <c r="D629" s="0" t="s">
        <v>4971</v>
      </c>
      <c r="E629" s="0" t="s">
        <v>3820</v>
      </c>
      <c r="F629" s="0" t="s">
        <v>3160</v>
      </c>
      <c r="G629" s="0" t="s">
        <v>4413</v>
      </c>
    </row>
    <row r="630" customFormat="false" ht="12.8" hidden="false" customHeight="false" outlineLevel="0" collapsed="false">
      <c r="A630" s="9" t="s">
        <v>4972</v>
      </c>
      <c r="B630" s="10" t="s">
        <v>4973</v>
      </c>
      <c r="C630" s="10" t="n">
        <v>0.046</v>
      </c>
      <c r="D630" s="0" t="s">
        <v>4974</v>
      </c>
      <c r="E630" s="0" t="s">
        <v>3820</v>
      </c>
      <c r="F630" s="0" t="s">
        <v>3160</v>
      </c>
      <c r="G630" s="0" t="s">
        <v>4413</v>
      </c>
    </row>
    <row r="631" customFormat="false" ht="12.8" hidden="false" customHeight="false" outlineLevel="0" collapsed="false">
      <c r="A631" s="9" t="s">
        <v>4975</v>
      </c>
      <c r="B631" s="10" t="s">
        <v>4976</v>
      </c>
      <c r="C631" s="10" t="n">
        <v>0.097</v>
      </c>
      <c r="D631" s="0" t="s">
        <v>4977</v>
      </c>
      <c r="E631" s="0" t="s">
        <v>3820</v>
      </c>
      <c r="F631" s="0" t="s">
        <v>3160</v>
      </c>
      <c r="G631" s="0" t="s">
        <v>4413</v>
      </c>
    </row>
    <row r="632" customFormat="false" ht="12.8" hidden="false" customHeight="false" outlineLevel="0" collapsed="false">
      <c r="A632" s="9" t="s">
        <v>4978</v>
      </c>
      <c r="B632" s="10" t="s">
        <v>4979</v>
      </c>
      <c r="C632" s="10" t="n">
        <v>0.108</v>
      </c>
      <c r="D632" s="0" t="s">
        <v>4980</v>
      </c>
      <c r="E632" s="0" t="s">
        <v>3820</v>
      </c>
      <c r="F632" s="0" t="s">
        <v>3160</v>
      </c>
      <c r="G632" s="0" t="s">
        <v>4413</v>
      </c>
    </row>
    <row r="634" customFormat="false" ht="12.8" hidden="false" customHeight="false" outlineLevel="0" collapsed="false">
      <c r="A634" s="9" t="s">
        <v>4981</v>
      </c>
      <c r="B634" s="10" t="s">
        <v>4982</v>
      </c>
      <c r="C634" s="10" t="n">
        <v>0.057</v>
      </c>
      <c r="D634" s="0" t="s">
        <v>4983</v>
      </c>
      <c r="E634" s="0" t="s">
        <v>3820</v>
      </c>
      <c r="F634" s="0" t="s">
        <v>3160</v>
      </c>
      <c r="G634" s="0" t="s">
        <v>4413</v>
      </c>
    </row>
    <row r="635" customFormat="false" ht="12.8" hidden="false" customHeight="false" outlineLevel="0" collapsed="false">
      <c r="A635" s="9" t="s">
        <v>4984</v>
      </c>
      <c r="B635" s="10" t="s">
        <v>4985</v>
      </c>
      <c r="C635" s="10" t="n">
        <v>0.042</v>
      </c>
      <c r="D635" s="0" t="s">
        <v>4986</v>
      </c>
      <c r="E635" s="0" t="s">
        <v>3820</v>
      </c>
      <c r="F635" s="0" t="s">
        <v>3160</v>
      </c>
      <c r="G635" s="0" t="s">
        <v>4413</v>
      </c>
    </row>
    <row r="636" customFormat="false" ht="12.8" hidden="false" customHeight="false" outlineLevel="0" collapsed="false">
      <c r="A636" s="9" t="s">
        <v>4987</v>
      </c>
      <c r="B636" s="10" t="s">
        <v>4988</v>
      </c>
      <c r="C636" s="10" t="n">
        <v>0.031</v>
      </c>
      <c r="D636" s="0" t="s">
        <v>4989</v>
      </c>
      <c r="E636" s="0" t="s">
        <v>3820</v>
      </c>
      <c r="F636" s="0" t="s">
        <v>3160</v>
      </c>
      <c r="G636" s="0" t="s">
        <v>4413</v>
      </c>
    </row>
    <row r="637" customFormat="false" ht="12.8" hidden="false" customHeight="false" outlineLevel="0" collapsed="false">
      <c r="A637" s="9" t="s">
        <v>4990</v>
      </c>
      <c r="B637" s="10" t="s">
        <v>4991</v>
      </c>
      <c r="C637" s="10" t="n">
        <v>0.038</v>
      </c>
      <c r="D637" s="0" t="s">
        <v>4992</v>
      </c>
      <c r="E637" s="0" t="s">
        <v>3820</v>
      </c>
      <c r="F637" s="0" t="s">
        <v>3160</v>
      </c>
      <c r="G637" s="0" t="s">
        <v>4413</v>
      </c>
    </row>
    <row r="638" customFormat="false" ht="12.8" hidden="false" customHeight="false" outlineLevel="0" collapsed="false">
      <c r="A638" s="9" t="s">
        <v>4993</v>
      </c>
      <c r="B638" s="10" t="s">
        <v>4994</v>
      </c>
      <c r="C638" s="10" t="n">
        <v>0.032</v>
      </c>
      <c r="D638" s="0" t="s">
        <v>4995</v>
      </c>
      <c r="E638" s="0" t="s">
        <v>3820</v>
      </c>
      <c r="F638" s="0" t="s">
        <v>3160</v>
      </c>
      <c r="G638" s="0" t="s">
        <v>4413</v>
      </c>
    </row>
    <row r="639" customFormat="false" ht="12.8" hidden="false" customHeight="false" outlineLevel="0" collapsed="false">
      <c r="A639" s="9" t="s">
        <v>4996</v>
      </c>
      <c r="B639" s="10" t="s">
        <v>4997</v>
      </c>
      <c r="C639" s="10" t="n">
        <v>0.035</v>
      </c>
      <c r="D639" s="0" t="s">
        <v>4998</v>
      </c>
      <c r="E639" s="0" t="s">
        <v>3820</v>
      </c>
      <c r="F639" s="0" t="s">
        <v>3160</v>
      </c>
      <c r="G639" s="0" t="s">
        <v>4413</v>
      </c>
    </row>
    <row r="640" customFormat="false" ht="12.8" hidden="false" customHeight="false" outlineLevel="0" collapsed="false">
      <c r="A640" s="9" t="s">
        <v>4999</v>
      </c>
      <c r="B640" s="10" t="s">
        <v>5000</v>
      </c>
      <c r="C640" s="10" t="n">
        <v>0.025</v>
      </c>
      <c r="D640" s="0" t="s">
        <v>5001</v>
      </c>
      <c r="E640" s="0" t="s">
        <v>3820</v>
      </c>
      <c r="F640" s="0" t="s">
        <v>3160</v>
      </c>
      <c r="G640" s="0" t="s">
        <v>4413</v>
      </c>
    </row>
    <row r="641" customFormat="false" ht="12.8" hidden="false" customHeight="false" outlineLevel="0" collapsed="false">
      <c r="A641" s="9" t="s">
        <v>5002</v>
      </c>
      <c r="B641" s="10" t="s">
        <v>5003</v>
      </c>
      <c r="C641" s="10" t="n">
        <v>0.155</v>
      </c>
      <c r="D641" s="0" t="s">
        <v>5004</v>
      </c>
      <c r="E641" s="0" t="s">
        <v>3820</v>
      </c>
      <c r="F641" s="0" t="s">
        <v>3160</v>
      </c>
      <c r="G641" s="0" t="s">
        <v>4413</v>
      </c>
    </row>
    <row r="642" customFormat="false" ht="12.8" hidden="false" customHeight="false" outlineLevel="0" collapsed="false">
      <c r="A642" s="9" t="s">
        <v>5005</v>
      </c>
      <c r="B642" s="10" t="s">
        <v>5006</v>
      </c>
      <c r="C642" s="10" t="n">
        <v>0.11</v>
      </c>
      <c r="D642" s="0" t="s">
        <v>5007</v>
      </c>
      <c r="E642" s="0" t="s">
        <v>3820</v>
      </c>
      <c r="F642" s="0" t="s">
        <v>3160</v>
      </c>
      <c r="G642" s="0" t="s">
        <v>4413</v>
      </c>
    </row>
    <row r="643" customFormat="false" ht="12.8" hidden="false" customHeight="false" outlineLevel="0" collapsed="false">
      <c r="A643" s="9" t="s">
        <v>5008</v>
      </c>
      <c r="B643" s="10" t="s">
        <v>5009</v>
      </c>
      <c r="C643" s="10" t="n">
        <v>0.162</v>
      </c>
      <c r="D643" s="0" t="s">
        <v>5010</v>
      </c>
      <c r="E643" s="0" t="s">
        <v>3820</v>
      </c>
      <c r="F643" s="0" t="s">
        <v>3160</v>
      </c>
      <c r="G643" s="0" t="s">
        <v>4413</v>
      </c>
    </row>
    <row r="644" customFormat="false" ht="12.8" hidden="false" customHeight="false" outlineLevel="0" collapsed="false">
      <c r="A644" s="9" t="s">
        <v>5011</v>
      </c>
      <c r="B644" s="10" t="s">
        <v>5012</v>
      </c>
      <c r="C644" s="10" t="n">
        <v>0.221</v>
      </c>
      <c r="D644" s="0" t="s">
        <v>5013</v>
      </c>
      <c r="E644" s="0" t="s">
        <v>3820</v>
      </c>
      <c r="F644" s="0" t="s">
        <v>3160</v>
      </c>
      <c r="G644" s="0" t="s">
        <v>4413</v>
      </c>
    </row>
    <row r="645" customFormat="false" ht="12.8" hidden="false" customHeight="false" outlineLevel="0" collapsed="false">
      <c r="A645" s="9" t="s">
        <v>5014</v>
      </c>
      <c r="B645" s="10" t="s">
        <v>5015</v>
      </c>
      <c r="C645" s="10" t="n">
        <v>0.078</v>
      </c>
      <c r="D645" s="0" t="s">
        <v>5016</v>
      </c>
      <c r="E645" s="0" t="s">
        <v>3820</v>
      </c>
      <c r="F645" s="0" t="s">
        <v>3160</v>
      </c>
      <c r="G645" s="0" t="s">
        <v>4413</v>
      </c>
    </row>
    <row r="646" customFormat="false" ht="12.8" hidden="false" customHeight="false" outlineLevel="0" collapsed="false">
      <c r="A646" s="9" t="s">
        <v>5017</v>
      </c>
      <c r="B646" s="10" t="s">
        <v>5018</v>
      </c>
      <c r="C646" s="10" t="n">
        <v>0.084</v>
      </c>
      <c r="D646" s="0" t="s">
        <v>5019</v>
      </c>
      <c r="E646" s="0" t="s">
        <v>3820</v>
      </c>
      <c r="F646" s="0" t="s">
        <v>3160</v>
      </c>
      <c r="G646" s="0" t="s">
        <v>4413</v>
      </c>
    </row>
    <row r="647" customFormat="false" ht="12.8" hidden="false" customHeight="false" outlineLevel="0" collapsed="false">
      <c r="A647" s="9" t="s">
        <v>5020</v>
      </c>
      <c r="B647" s="10" t="s">
        <v>5021</v>
      </c>
      <c r="C647" s="10" t="n">
        <v>0.165</v>
      </c>
      <c r="D647" s="0" t="s">
        <v>5022</v>
      </c>
      <c r="E647" s="0" t="s">
        <v>3820</v>
      </c>
      <c r="F647" s="0" t="s">
        <v>3160</v>
      </c>
      <c r="G647" s="0" t="s">
        <v>4413</v>
      </c>
    </row>
    <row r="648" customFormat="false" ht="12.8" hidden="false" customHeight="false" outlineLevel="0" collapsed="false">
      <c r="A648" s="9" t="s">
        <v>5023</v>
      </c>
      <c r="B648" s="10" t="s">
        <v>5024</v>
      </c>
      <c r="C648" s="10" t="n">
        <v>0.155</v>
      </c>
      <c r="D648" s="0" t="s">
        <v>5025</v>
      </c>
      <c r="E648" s="0" t="s">
        <v>3820</v>
      </c>
      <c r="F648" s="0" t="s">
        <v>3160</v>
      </c>
      <c r="G648" s="0" t="s">
        <v>4413</v>
      </c>
    </row>
    <row r="649" customFormat="false" ht="12.8" hidden="false" customHeight="false" outlineLevel="0" collapsed="false">
      <c r="A649" s="9" t="s">
        <v>5026</v>
      </c>
      <c r="B649" s="10" t="s">
        <v>5027</v>
      </c>
      <c r="C649" s="10" t="n">
        <v>0.104</v>
      </c>
      <c r="D649" s="0" t="s">
        <v>5028</v>
      </c>
      <c r="E649" s="0" t="s">
        <v>3820</v>
      </c>
      <c r="F649" s="0" t="s">
        <v>3160</v>
      </c>
      <c r="G649" s="0" t="s">
        <v>4413</v>
      </c>
    </row>
    <row r="650" customFormat="false" ht="12.8" hidden="false" customHeight="false" outlineLevel="0" collapsed="false">
      <c r="A650" s="9" t="s">
        <v>5029</v>
      </c>
      <c r="B650" s="10" t="s">
        <v>5030</v>
      </c>
      <c r="C650" s="10" t="n">
        <v>0.088</v>
      </c>
      <c r="D650" s="0" t="s">
        <v>5031</v>
      </c>
      <c r="E650" s="0" t="s">
        <v>3820</v>
      </c>
      <c r="F650" s="0" t="s">
        <v>3160</v>
      </c>
      <c r="G650" s="0" t="s">
        <v>4413</v>
      </c>
    </row>
    <row r="651" customFormat="false" ht="12.8" hidden="false" customHeight="false" outlineLevel="0" collapsed="false">
      <c r="A651" s="9" t="s">
        <v>5032</v>
      </c>
      <c r="B651" s="10" t="s">
        <v>5033</v>
      </c>
      <c r="C651" s="10" t="n">
        <v>0.065</v>
      </c>
      <c r="D651" s="0" t="s">
        <v>5034</v>
      </c>
      <c r="E651" s="0" t="s">
        <v>3820</v>
      </c>
      <c r="F651" s="0" t="s">
        <v>3160</v>
      </c>
      <c r="G651" s="0" t="s">
        <v>4413</v>
      </c>
    </row>
    <row r="652" customFormat="false" ht="12.8" hidden="false" customHeight="false" outlineLevel="0" collapsed="false">
      <c r="A652" s="9" t="s">
        <v>5035</v>
      </c>
      <c r="B652" s="10" t="s">
        <v>5036</v>
      </c>
      <c r="C652" s="10" t="n">
        <v>0.072</v>
      </c>
      <c r="D652" s="0" t="s">
        <v>5037</v>
      </c>
      <c r="E652" s="0" t="s">
        <v>3820</v>
      </c>
      <c r="F652" s="0" t="s">
        <v>3160</v>
      </c>
      <c r="G652" s="0" t="s">
        <v>4413</v>
      </c>
    </row>
    <row r="653" customFormat="false" ht="12.8" hidden="false" customHeight="false" outlineLevel="0" collapsed="false">
      <c r="A653" s="9" t="s">
        <v>5038</v>
      </c>
      <c r="B653" s="10" t="s">
        <v>5039</v>
      </c>
      <c r="C653" s="10" t="n">
        <v>0.068</v>
      </c>
      <c r="D653" s="0" t="s">
        <v>5040</v>
      </c>
      <c r="E653" s="0" t="s">
        <v>3820</v>
      </c>
      <c r="F653" s="0" t="s">
        <v>3160</v>
      </c>
      <c r="G653" s="0" t="s">
        <v>4413</v>
      </c>
    </row>
    <row r="654" customFormat="false" ht="12.8" hidden="false" customHeight="false" outlineLevel="0" collapsed="false">
      <c r="A654" s="9" t="s">
        <v>5041</v>
      </c>
      <c r="B654" s="10" t="s">
        <v>5042</v>
      </c>
      <c r="C654" s="10" t="n">
        <v>0.078</v>
      </c>
      <c r="D654" s="0" t="s">
        <v>5043</v>
      </c>
      <c r="E654" s="0" t="s">
        <v>3820</v>
      </c>
      <c r="F654" s="0" t="s">
        <v>3160</v>
      </c>
      <c r="G654" s="0" t="s">
        <v>4413</v>
      </c>
    </row>
    <row r="655" customFormat="false" ht="12.8" hidden="false" customHeight="false" outlineLevel="0" collapsed="false">
      <c r="A655" s="9" t="s">
        <v>5044</v>
      </c>
      <c r="B655" s="10" t="s">
        <v>5045</v>
      </c>
      <c r="C655" s="10" t="n">
        <v>0.045</v>
      </c>
      <c r="D655" s="0" t="s">
        <v>5046</v>
      </c>
      <c r="E655" s="0" t="s">
        <v>3820</v>
      </c>
      <c r="F655" s="0" t="s">
        <v>3160</v>
      </c>
      <c r="G655" s="0" t="s">
        <v>4413</v>
      </c>
    </row>
    <row r="661" customFormat="false" ht="12.8" hidden="false" customHeight="false" outlineLevel="0" collapsed="false">
      <c r="A661" s="9" t="s">
        <v>5047</v>
      </c>
      <c r="B661" s="10" t="s">
        <v>5048</v>
      </c>
      <c r="C661" s="10" t="n">
        <v>0.28</v>
      </c>
      <c r="D661" s="0" t="s">
        <v>5049</v>
      </c>
      <c r="E661" s="0" t="s">
        <v>5050</v>
      </c>
      <c r="F661" s="0" t="s">
        <v>3160</v>
      </c>
      <c r="G661" s="0" t="s">
        <v>5051</v>
      </c>
    </row>
    <row r="662" customFormat="false" ht="12.8" hidden="false" customHeight="false" outlineLevel="0" collapsed="false">
      <c r="A662" s="9" t="s">
        <v>5052</v>
      </c>
      <c r="B662" s="10" t="s">
        <v>5053</v>
      </c>
      <c r="C662" s="10" t="n">
        <v>0.18</v>
      </c>
      <c r="D662" s="0" t="s">
        <v>5054</v>
      </c>
      <c r="E662" s="0" t="s">
        <v>5050</v>
      </c>
      <c r="F662" s="0" t="s">
        <v>3160</v>
      </c>
      <c r="G662" s="0" t="s">
        <v>5051</v>
      </c>
    </row>
    <row r="663" customFormat="false" ht="12.8" hidden="false" customHeight="false" outlineLevel="0" collapsed="false">
      <c r="A663" s="9" t="s">
        <v>5055</v>
      </c>
      <c r="B663" s="10" t="s">
        <v>5056</v>
      </c>
      <c r="C663" s="10" t="n">
        <v>0.32</v>
      </c>
      <c r="D663" s="0" t="s">
        <v>5057</v>
      </c>
      <c r="E663" s="0" t="s">
        <v>5050</v>
      </c>
      <c r="F663" s="0" t="s">
        <v>3160</v>
      </c>
      <c r="G663" s="0" t="s">
        <v>5051</v>
      </c>
    </row>
    <row r="664" customFormat="false" ht="12.8" hidden="false" customHeight="false" outlineLevel="0" collapsed="false">
      <c r="A664" s="9" t="s">
        <v>5058</v>
      </c>
      <c r="B664" s="10" t="s">
        <v>5059</v>
      </c>
      <c r="C664" s="10" t="n">
        <v>0.38</v>
      </c>
      <c r="D664" s="0" t="s">
        <v>5060</v>
      </c>
      <c r="E664" s="0" t="s">
        <v>5050</v>
      </c>
      <c r="F664" s="0" t="s">
        <v>3160</v>
      </c>
      <c r="G664" s="0" t="s">
        <v>5051</v>
      </c>
    </row>
    <row r="665" customFormat="false" ht="12.8" hidden="false" customHeight="false" outlineLevel="0" collapsed="false">
      <c r="A665" s="9" t="s">
        <v>5061</v>
      </c>
      <c r="B665" s="10" t="s">
        <v>5062</v>
      </c>
      <c r="C665" s="10" t="n">
        <v>0.16</v>
      </c>
      <c r="D665" s="0" t="s">
        <v>5063</v>
      </c>
      <c r="E665" s="0" t="s">
        <v>5050</v>
      </c>
      <c r="F665" s="0" t="s">
        <v>3160</v>
      </c>
      <c r="G665" s="0" t="s">
        <v>5051</v>
      </c>
    </row>
    <row r="666" customFormat="false" ht="12.8" hidden="false" customHeight="false" outlineLevel="0" collapsed="false">
      <c r="A666" s="9" t="s">
        <v>5064</v>
      </c>
      <c r="B666" s="10" t="s">
        <v>5065</v>
      </c>
      <c r="C666" s="10" t="n">
        <v>0.19</v>
      </c>
      <c r="D666" s="0" t="s">
        <v>5066</v>
      </c>
      <c r="E666" s="0" t="s">
        <v>5050</v>
      </c>
      <c r="F666" s="0" t="s">
        <v>3160</v>
      </c>
      <c r="G666" s="0" t="s">
        <v>5051</v>
      </c>
    </row>
    <row r="667" customFormat="false" ht="12.8" hidden="false" customHeight="false" outlineLevel="0" collapsed="false">
      <c r="A667" s="9" t="s">
        <v>5067</v>
      </c>
      <c r="B667" s="10" t="s">
        <v>5068</v>
      </c>
      <c r="C667" s="10" t="n">
        <v>0.29</v>
      </c>
      <c r="D667" s="0" t="s">
        <v>5069</v>
      </c>
      <c r="E667" s="0" t="s">
        <v>5050</v>
      </c>
      <c r="F667" s="0" t="s">
        <v>3160</v>
      </c>
      <c r="G667" s="0" t="s">
        <v>5051</v>
      </c>
    </row>
    <row r="668" customFormat="false" ht="12.8" hidden="false" customHeight="false" outlineLevel="0" collapsed="false">
      <c r="A668" s="9" t="s">
        <v>5070</v>
      </c>
      <c r="B668" s="10" t="s">
        <v>5071</v>
      </c>
      <c r="C668" s="10" t="n">
        <v>0.34</v>
      </c>
      <c r="D668" s="0" t="s">
        <v>5072</v>
      </c>
      <c r="E668" s="0" t="s">
        <v>5050</v>
      </c>
      <c r="F668" s="0" t="s">
        <v>3160</v>
      </c>
      <c r="G668" s="0" t="s">
        <v>5051</v>
      </c>
    </row>
    <row r="669" customFormat="false" ht="12.8" hidden="false" customHeight="false" outlineLevel="0" collapsed="false">
      <c r="A669" s="9" t="s">
        <v>5073</v>
      </c>
      <c r="B669" s="10" t="s">
        <v>5074</v>
      </c>
      <c r="C669" s="10" t="n">
        <v>0.22</v>
      </c>
      <c r="D669" s="0" t="s">
        <v>5075</v>
      </c>
      <c r="E669" s="0" t="s">
        <v>5050</v>
      </c>
      <c r="F669" s="0" t="s">
        <v>3160</v>
      </c>
      <c r="G669" s="0" t="s">
        <v>5051</v>
      </c>
    </row>
    <row r="670" customFormat="false" ht="12.8" hidden="false" customHeight="false" outlineLevel="0" collapsed="false">
      <c r="A670" s="9" t="s">
        <v>5076</v>
      </c>
      <c r="B670" s="10" t="s">
        <v>5077</v>
      </c>
      <c r="C670" s="10" t="n">
        <v>0.14</v>
      </c>
      <c r="D670" s="0" t="s">
        <v>5078</v>
      </c>
      <c r="E670" s="0" t="s">
        <v>5050</v>
      </c>
      <c r="F670" s="0" t="s">
        <v>3160</v>
      </c>
      <c r="G670" s="0" t="s">
        <v>5051</v>
      </c>
    </row>
    <row r="671" customFormat="false" ht="12.8" hidden="false" customHeight="false" outlineLevel="0" collapsed="false">
      <c r="A671" s="9" t="s">
        <v>5079</v>
      </c>
      <c r="B671" s="10" t="s">
        <v>5080</v>
      </c>
      <c r="C671" s="10" t="n">
        <v>0.09</v>
      </c>
      <c r="D671" s="0" t="s">
        <v>5081</v>
      </c>
      <c r="E671" s="0" t="s">
        <v>5050</v>
      </c>
      <c r="F671" s="0" t="s">
        <v>3160</v>
      </c>
      <c r="G671" s="0" t="s">
        <v>5051</v>
      </c>
    </row>
    <row r="672" customFormat="false" ht="12.8" hidden="false" customHeight="false" outlineLevel="0" collapsed="false">
      <c r="A672" s="9" t="s">
        <v>5082</v>
      </c>
      <c r="B672" s="10" t="s">
        <v>5083</v>
      </c>
      <c r="C672" s="10" t="n">
        <v>0.12</v>
      </c>
      <c r="D672" s="0" t="s">
        <v>5084</v>
      </c>
      <c r="E672" s="0" t="s">
        <v>5050</v>
      </c>
      <c r="F672" s="0" t="s">
        <v>3160</v>
      </c>
      <c r="G672" s="0" t="s">
        <v>5051</v>
      </c>
    </row>
    <row r="673" customFormat="false" ht="12.8" hidden="false" customHeight="false" outlineLevel="0" collapsed="false">
      <c r="A673" s="9" t="s">
        <v>5085</v>
      </c>
      <c r="B673" s="10" t="s">
        <v>5086</v>
      </c>
      <c r="C673" s="10" t="n">
        <v>0.11</v>
      </c>
      <c r="D673" s="0" t="s">
        <v>5087</v>
      </c>
      <c r="E673" s="0" t="s">
        <v>5050</v>
      </c>
      <c r="F673" s="0" t="s">
        <v>3160</v>
      </c>
      <c r="G673" s="0" t="s">
        <v>5051</v>
      </c>
    </row>
    <row r="674" customFormat="false" ht="12.8" hidden="false" customHeight="false" outlineLevel="0" collapsed="false">
      <c r="A674" s="9" t="s">
        <v>5088</v>
      </c>
      <c r="B674" s="10" t="s">
        <v>5089</v>
      </c>
      <c r="C674" s="10" t="n">
        <v>0.1</v>
      </c>
      <c r="D674" s="0" t="s">
        <v>5090</v>
      </c>
      <c r="E674" s="0" t="s">
        <v>5050</v>
      </c>
      <c r="F674" s="0" t="s">
        <v>3160</v>
      </c>
      <c r="G674" s="0" t="s">
        <v>5051</v>
      </c>
    </row>
    <row r="675" customFormat="false" ht="12.8" hidden="false" customHeight="false" outlineLevel="0" collapsed="false">
      <c r="A675" s="9" t="s">
        <v>5091</v>
      </c>
      <c r="B675" s="10" t="s">
        <v>5092</v>
      </c>
      <c r="C675" s="10" t="n">
        <v>0.06</v>
      </c>
      <c r="D675" s="0" t="s">
        <v>5093</v>
      </c>
      <c r="E675" s="0" t="s">
        <v>5050</v>
      </c>
      <c r="F675" s="0" t="s">
        <v>3160</v>
      </c>
      <c r="G675" s="0" t="s">
        <v>5051</v>
      </c>
    </row>
    <row r="676" customFormat="false" ht="12.8" hidden="false" customHeight="false" outlineLevel="0" collapsed="false">
      <c r="A676" s="9" t="s">
        <v>5094</v>
      </c>
      <c r="B676" s="10" t="s">
        <v>5095</v>
      </c>
      <c r="C676" s="10" t="n">
        <v>0.42</v>
      </c>
      <c r="D676" s="0" t="s">
        <v>5096</v>
      </c>
      <c r="E676" s="0" t="s">
        <v>5097</v>
      </c>
      <c r="F676" s="0" t="s">
        <v>3160</v>
      </c>
      <c r="G676" s="0" t="s">
        <v>5051</v>
      </c>
    </row>
    <row r="677" customFormat="false" ht="12.8" hidden="false" customHeight="false" outlineLevel="0" collapsed="false">
      <c r="A677" s="9" t="s">
        <v>5098</v>
      </c>
      <c r="B677" s="10" t="s">
        <v>5099</v>
      </c>
      <c r="C677" s="10" t="n">
        <v>0.31</v>
      </c>
      <c r="D677" s="0" t="s">
        <v>5100</v>
      </c>
      <c r="E677" s="0" t="s">
        <v>5097</v>
      </c>
      <c r="F677" s="0" t="s">
        <v>3160</v>
      </c>
      <c r="G677" s="0" t="s">
        <v>5051</v>
      </c>
    </row>
    <row r="678" customFormat="false" ht="12.8" hidden="false" customHeight="false" outlineLevel="0" collapsed="false">
      <c r="A678" s="9" t="s">
        <v>5101</v>
      </c>
      <c r="B678" s="10" t="s">
        <v>5102</v>
      </c>
      <c r="C678" s="10" t="n">
        <v>0.48</v>
      </c>
      <c r="D678" s="0" t="s">
        <v>5103</v>
      </c>
      <c r="E678" s="0" t="s">
        <v>5097</v>
      </c>
      <c r="F678" s="0" t="s">
        <v>3160</v>
      </c>
      <c r="G678" s="0" t="s">
        <v>5051</v>
      </c>
    </row>
    <row r="679" customFormat="false" ht="12.8" hidden="false" customHeight="false" outlineLevel="0" collapsed="false">
      <c r="A679" s="9" t="s">
        <v>5104</v>
      </c>
      <c r="B679" s="10" t="s">
        <v>5105</v>
      </c>
      <c r="C679" s="10" t="n">
        <v>0.55</v>
      </c>
      <c r="D679" s="0" t="s">
        <v>5106</v>
      </c>
      <c r="E679" s="0" t="s">
        <v>5097</v>
      </c>
      <c r="F679" s="0" t="s">
        <v>3160</v>
      </c>
      <c r="G679" s="0" t="s">
        <v>5051</v>
      </c>
    </row>
    <row r="680" customFormat="false" ht="12.8" hidden="false" customHeight="false" outlineLevel="0" collapsed="false">
      <c r="A680" s="9" t="s">
        <v>5107</v>
      </c>
      <c r="B680" s="10" t="s">
        <v>5108</v>
      </c>
      <c r="C680" s="10" t="n">
        <v>0.26</v>
      </c>
      <c r="D680" s="0" t="s">
        <v>5109</v>
      </c>
      <c r="E680" s="0" t="s">
        <v>5097</v>
      </c>
      <c r="F680" s="0" t="s">
        <v>3160</v>
      </c>
      <c r="G680" s="0" t="s">
        <v>5051</v>
      </c>
    </row>
    <row r="681" customFormat="false" ht="12.8" hidden="false" customHeight="false" outlineLevel="0" collapsed="false">
      <c r="A681" s="9" t="s">
        <v>5110</v>
      </c>
      <c r="B681" s="10" t="s">
        <v>5111</v>
      </c>
      <c r="C681" s="10" t="n">
        <v>0.33</v>
      </c>
      <c r="D681" s="0" t="s">
        <v>5112</v>
      </c>
      <c r="E681" s="0" t="s">
        <v>5097</v>
      </c>
      <c r="F681" s="0" t="s">
        <v>3160</v>
      </c>
      <c r="G681" s="0" t="s">
        <v>5051</v>
      </c>
    </row>
    <row r="682" customFormat="false" ht="12.8" hidden="false" customHeight="false" outlineLevel="0" collapsed="false">
      <c r="A682" s="9" t="s">
        <v>5113</v>
      </c>
      <c r="B682" s="10" t="s">
        <v>5114</v>
      </c>
      <c r="C682" s="10" t="n">
        <v>0.44</v>
      </c>
      <c r="D682" s="0" t="s">
        <v>5115</v>
      </c>
      <c r="E682" s="0" t="s">
        <v>5097</v>
      </c>
      <c r="F682" s="0" t="s">
        <v>3160</v>
      </c>
      <c r="G682" s="0" t="s">
        <v>5051</v>
      </c>
    </row>
    <row r="683" customFormat="false" ht="12.8" hidden="false" customHeight="false" outlineLevel="0" collapsed="false">
      <c r="A683" s="9" t="s">
        <v>5116</v>
      </c>
      <c r="B683" s="10" t="s">
        <v>5117</v>
      </c>
      <c r="C683" s="10" t="n">
        <v>0.51</v>
      </c>
      <c r="D683" s="0" t="s">
        <v>5118</v>
      </c>
      <c r="E683" s="0" t="s">
        <v>5097</v>
      </c>
      <c r="F683" s="0" t="s">
        <v>3160</v>
      </c>
      <c r="G683" s="0" t="s">
        <v>5051</v>
      </c>
    </row>
    <row r="684" customFormat="false" ht="12.8" hidden="false" customHeight="false" outlineLevel="0" collapsed="false">
      <c r="A684" s="9" t="s">
        <v>5119</v>
      </c>
      <c r="B684" s="10" t="s">
        <v>5120</v>
      </c>
      <c r="C684" s="10" t="n">
        <v>0.37</v>
      </c>
      <c r="D684" s="0" t="s">
        <v>5121</v>
      </c>
      <c r="E684" s="0" t="s">
        <v>5097</v>
      </c>
      <c r="F684" s="0" t="s">
        <v>3160</v>
      </c>
      <c r="G684" s="0" t="s">
        <v>5051</v>
      </c>
    </row>
    <row r="685" customFormat="false" ht="12.8" hidden="false" customHeight="false" outlineLevel="0" collapsed="false">
      <c r="A685" s="9" t="s">
        <v>5122</v>
      </c>
      <c r="B685" s="10" t="s">
        <v>5123</v>
      </c>
      <c r="C685" s="10" t="n">
        <v>0.24</v>
      </c>
      <c r="D685" s="0" t="s">
        <v>5124</v>
      </c>
      <c r="E685" s="0" t="s">
        <v>5097</v>
      </c>
      <c r="F685" s="0" t="s">
        <v>3160</v>
      </c>
      <c r="G685" s="0" t="s">
        <v>5051</v>
      </c>
    </row>
    <row r="686" customFormat="false" ht="12.8" hidden="false" customHeight="false" outlineLevel="0" collapsed="false">
      <c r="A686" s="9" t="s">
        <v>5125</v>
      </c>
      <c r="B686" s="10" t="s">
        <v>5126</v>
      </c>
      <c r="C686" s="10" t="n">
        <v>0.17</v>
      </c>
      <c r="D686" s="0" t="s">
        <v>5127</v>
      </c>
      <c r="E686" s="0" t="s">
        <v>5097</v>
      </c>
      <c r="F686" s="0" t="s">
        <v>3160</v>
      </c>
      <c r="G686" s="0" t="s">
        <v>5051</v>
      </c>
    </row>
    <row r="687" customFormat="false" ht="12.8" hidden="false" customHeight="false" outlineLevel="0" collapsed="false">
      <c r="A687" s="9" t="s">
        <v>5128</v>
      </c>
      <c r="B687" s="10" t="s">
        <v>5129</v>
      </c>
      <c r="C687" s="10" t="n">
        <v>0.21</v>
      </c>
      <c r="D687" s="0" t="s">
        <v>5130</v>
      </c>
      <c r="E687" s="0" t="s">
        <v>5097</v>
      </c>
      <c r="F687" s="0" t="s">
        <v>3160</v>
      </c>
      <c r="G687" s="0" t="s">
        <v>5051</v>
      </c>
    </row>
    <row r="688" customFormat="false" ht="12.8" hidden="false" customHeight="false" outlineLevel="0" collapsed="false">
      <c r="A688" s="9" t="s">
        <v>5131</v>
      </c>
      <c r="B688" s="10" t="s">
        <v>5132</v>
      </c>
      <c r="C688" s="10" t="n">
        <v>0.19</v>
      </c>
      <c r="D688" s="0" t="s">
        <v>5133</v>
      </c>
      <c r="E688" s="0" t="s">
        <v>5097</v>
      </c>
      <c r="F688" s="0" t="s">
        <v>3160</v>
      </c>
      <c r="G688" s="0" t="s">
        <v>5051</v>
      </c>
    </row>
    <row r="690" customFormat="false" ht="12.8" hidden="false" customHeight="false" outlineLevel="0" collapsed="false">
      <c r="A690" s="9" t="s">
        <v>5134</v>
      </c>
      <c r="B690" s="10" t="s">
        <v>5135</v>
      </c>
      <c r="C690" s="10" t="n">
        <v>0.18</v>
      </c>
      <c r="D690" s="0" t="s">
        <v>5136</v>
      </c>
      <c r="E690" s="0" t="s">
        <v>5097</v>
      </c>
      <c r="F690" s="0" t="s">
        <v>3160</v>
      </c>
      <c r="G690" s="0" t="s">
        <v>5051</v>
      </c>
    </row>
    <row r="691" customFormat="false" ht="12.8" hidden="false" customHeight="false" outlineLevel="0" collapsed="false">
      <c r="A691" s="9" t="s">
        <v>5137</v>
      </c>
      <c r="B691" s="10" t="s">
        <v>5138</v>
      </c>
      <c r="C691" s="10" t="n">
        <v>0.12</v>
      </c>
      <c r="D691" s="0" t="s">
        <v>5139</v>
      </c>
      <c r="E691" s="0" t="s">
        <v>5097</v>
      </c>
      <c r="F691" s="0" t="s">
        <v>3160</v>
      </c>
      <c r="G691" s="0" t="s">
        <v>5051</v>
      </c>
    </row>
    <row r="692" customFormat="false" ht="12.8" hidden="false" customHeight="false" outlineLevel="0" collapsed="false">
      <c r="A692" s="9" t="s">
        <v>5140</v>
      </c>
      <c r="B692" s="10" t="s">
        <v>5141</v>
      </c>
      <c r="C692" s="10" t="n">
        <v>0.62</v>
      </c>
      <c r="D692" s="0" t="s">
        <v>5142</v>
      </c>
      <c r="E692" s="0" t="s">
        <v>5097</v>
      </c>
      <c r="F692" s="0" t="s">
        <v>3160</v>
      </c>
      <c r="G692" s="0" t="s">
        <v>5051</v>
      </c>
    </row>
    <row r="693" customFormat="false" ht="12.8" hidden="false" customHeight="false" outlineLevel="0" collapsed="false">
      <c r="A693" s="9" t="s">
        <v>5143</v>
      </c>
      <c r="B693" s="10" t="s">
        <v>5144</v>
      </c>
      <c r="C693" s="10" t="n">
        <v>0.52</v>
      </c>
      <c r="D693" s="0" t="s">
        <v>5145</v>
      </c>
      <c r="E693" s="0" t="s">
        <v>5097</v>
      </c>
      <c r="F693" s="0" t="s">
        <v>3160</v>
      </c>
      <c r="G693" s="0" t="s">
        <v>5051</v>
      </c>
    </row>
    <row r="694" customFormat="false" ht="12.8" hidden="false" customHeight="false" outlineLevel="0" collapsed="false">
      <c r="A694" s="9" t="s">
        <v>5146</v>
      </c>
      <c r="B694" s="10" t="s">
        <v>5147</v>
      </c>
      <c r="C694" s="10" t="n">
        <v>0.68</v>
      </c>
      <c r="D694" s="0" t="s">
        <v>5148</v>
      </c>
      <c r="E694" s="0" t="s">
        <v>5097</v>
      </c>
      <c r="F694" s="0" t="s">
        <v>3160</v>
      </c>
      <c r="G694" s="0" t="s">
        <v>5051</v>
      </c>
    </row>
    <row r="695" customFormat="false" ht="12.8" hidden="false" customHeight="false" outlineLevel="0" collapsed="false">
      <c r="A695" s="9" t="s">
        <v>5149</v>
      </c>
      <c r="B695" s="10" t="s">
        <v>5150</v>
      </c>
      <c r="C695" s="10" t="n">
        <v>0.74</v>
      </c>
      <c r="D695" s="0" t="s">
        <v>5151</v>
      </c>
      <c r="E695" s="0" t="s">
        <v>5097</v>
      </c>
      <c r="F695" s="0" t="s">
        <v>3160</v>
      </c>
      <c r="G695" s="0" t="s">
        <v>5051</v>
      </c>
    </row>
    <row r="696" customFormat="false" ht="12.8" hidden="false" customHeight="false" outlineLevel="0" collapsed="false">
      <c r="A696" s="9" t="s">
        <v>5152</v>
      </c>
      <c r="B696" s="10" t="s">
        <v>5153</v>
      </c>
      <c r="C696" s="10" t="n">
        <v>0.44</v>
      </c>
      <c r="D696" s="0" t="s">
        <v>5154</v>
      </c>
      <c r="E696" s="0" t="s">
        <v>5097</v>
      </c>
      <c r="F696" s="0" t="s">
        <v>3160</v>
      </c>
      <c r="G696" s="0" t="s">
        <v>5051</v>
      </c>
    </row>
    <row r="697" customFormat="false" ht="12.8" hidden="false" customHeight="false" outlineLevel="0" collapsed="false">
      <c r="A697" s="9" t="s">
        <v>5155</v>
      </c>
      <c r="B697" s="10" t="s">
        <v>5156</v>
      </c>
      <c r="C697" s="10" t="n">
        <v>0.51</v>
      </c>
      <c r="D697" s="0" t="s">
        <v>5157</v>
      </c>
      <c r="E697" s="0" t="s">
        <v>5097</v>
      </c>
      <c r="F697" s="0" t="s">
        <v>3160</v>
      </c>
      <c r="G697" s="0" t="s">
        <v>5051</v>
      </c>
    </row>
    <row r="698" customFormat="false" ht="12.8" hidden="false" customHeight="false" outlineLevel="0" collapsed="false">
      <c r="A698" s="9" t="s">
        <v>5158</v>
      </c>
      <c r="B698" s="10" t="s">
        <v>5159</v>
      </c>
      <c r="C698" s="10" t="n">
        <v>0.62</v>
      </c>
      <c r="D698" s="0" t="s">
        <v>5160</v>
      </c>
      <c r="E698" s="0" t="s">
        <v>5097</v>
      </c>
      <c r="F698" s="0" t="s">
        <v>3160</v>
      </c>
      <c r="G698" s="0" t="s">
        <v>5051</v>
      </c>
    </row>
    <row r="699" customFormat="false" ht="12.8" hidden="false" customHeight="false" outlineLevel="0" collapsed="false">
      <c r="A699" s="9" t="s">
        <v>5161</v>
      </c>
      <c r="B699" s="10" t="s">
        <v>5162</v>
      </c>
      <c r="C699" s="10" t="n">
        <v>0.69</v>
      </c>
      <c r="D699" s="0" t="s">
        <v>5163</v>
      </c>
      <c r="E699" s="0" t="s">
        <v>5097</v>
      </c>
      <c r="F699" s="0" t="s">
        <v>3160</v>
      </c>
      <c r="G699" s="0" t="s">
        <v>5051</v>
      </c>
    </row>
    <row r="700" customFormat="false" ht="12.8" hidden="false" customHeight="false" outlineLevel="0" collapsed="false">
      <c r="A700" s="9" t="s">
        <v>5164</v>
      </c>
      <c r="B700" s="10" t="s">
        <v>5165</v>
      </c>
      <c r="C700" s="10" t="n">
        <v>0.58</v>
      </c>
      <c r="D700" s="0" t="s">
        <v>5166</v>
      </c>
      <c r="E700" s="0" t="s">
        <v>5097</v>
      </c>
      <c r="F700" s="0" t="s">
        <v>3160</v>
      </c>
      <c r="G700" s="0" t="s">
        <v>5051</v>
      </c>
    </row>
    <row r="701" customFormat="false" ht="12.8" hidden="false" customHeight="false" outlineLevel="0" collapsed="false">
      <c r="A701" s="9" t="s">
        <v>5167</v>
      </c>
      <c r="B701" s="10" t="s">
        <v>5168</v>
      </c>
      <c r="C701" s="10" t="n">
        <v>0.41</v>
      </c>
      <c r="D701" s="0" t="s">
        <v>5169</v>
      </c>
      <c r="E701" s="0" t="s">
        <v>5097</v>
      </c>
      <c r="F701" s="0" t="s">
        <v>3160</v>
      </c>
      <c r="G701" s="0" t="s">
        <v>5051</v>
      </c>
    </row>
    <row r="702" customFormat="false" ht="12.8" hidden="false" customHeight="false" outlineLevel="0" collapsed="false">
      <c r="A702" s="9" t="s">
        <v>5170</v>
      </c>
      <c r="B702" s="10" t="s">
        <v>5171</v>
      </c>
      <c r="C702" s="10" t="n">
        <v>0.29</v>
      </c>
      <c r="D702" s="0" t="s">
        <v>5172</v>
      </c>
      <c r="E702" s="0" t="s">
        <v>5097</v>
      </c>
      <c r="F702" s="0" t="s">
        <v>3160</v>
      </c>
      <c r="G702" s="0" t="s">
        <v>5051</v>
      </c>
    </row>
    <row r="703" customFormat="false" ht="12.8" hidden="false" customHeight="false" outlineLevel="0" collapsed="false">
      <c r="A703" s="9" t="s">
        <v>5173</v>
      </c>
      <c r="B703" s="10" t="s">
        <v>5174</v>
      </c>
      <c r="C703" s="10" t="n">
        <v>0.36</v>
      </c>
      <c r="D703" s="0" t="s">
        <v>5175</v>
      </c>
      <c r="E703" s="0" t="s">
        <v>5097</v>
      </c>
      <c r="F703" s="0" t="s">
        <v>3160</v>
      </c>
      <c r="G703" s="0" t="s">
        <v>5051</v>
      </c>
    </row>
    <row r="704" customFormat="false" ht="12.8" hidden="false" customHeight="false" outlineLevel="0" collapsed="false">
      <c r="A704" s="9" t="s">
        <v>5176</v>
      </c>
      <c r="B704" s="10" t="s">
        <v>5177</v>
      </c>
      <c r="C704" s="10" t="n">
        <v>0.33</v>
      </c>
      <c r="D704" s="0" t="s">
        <v>5178</v>
      </c>
      <c r="E704" s="0" t="s">
        <v>5097</v>
      </c>
      <c r="F704" s="0" t="s">
        <v>3160</v>
      </c>
      <c r="G704" s="0" t="s">
        <v>5051</v>
      </c>
    </row>
    <row r="705" customFormat="false" ht="12.8" hidden="false" customHeight="false" outlineLevel="0" collapsed="false">
      <c r="A705" s="9" t="s">
        <v>5179</v>
      </c>
      <c r="B705" s="10" t="s">
        <v>5180</v>
      </c>
      <c r="C705" s="10" t="n">
        <v>0.31</v>
      </c>
      <c r="D705" s="0" t="s">
        <v>5181</v>
      </c>
      <c r="E705" s="0" t="s">
        <v>5097</v>
      </c>
      <c r="F705" s="0" t="s">
        <v>3160</v>
      </c>
      <c r="G705" s="0" t="s">
        <v>5051</v>
      </c>
    </row>
    <row r="706" customFormat="false" ht="12.8" hidden="false" customHeight="false" outlineLevel="0" collapsed="false">
      <c r="A706" s="9" t="s">
        <v>5182</v>
      </c>
      <c r="B706" s="10" t="s">
        <v>5183</v>
      </c>
      <c r="C706" s="10" t="n">
        <v>0.22</v>
      </c>
      <c r="D706" s="0" t="s">
        <v>5184</v>
      </c>
      <c r="E706" s="0" t="s">
        <v>5097</v>
      </c>
      <c r="F706" s="0" t="s">
        <v>3160</v>
      </c>
      <c r="G706" s="0" t="s">
        <v>5051</v>
      </c>
    </row>
    <row r="712" customFormat="false" ht="12.8" hidden="false" customHeight="false" outlineLevel="0" collapsed="false">
      <c r="A712" s="9" t="s">
        <v>5185</v>
      </c>
      <c r="B712" s="10" t="s">
        <v>5186</v>
      </c>
      <c r="C712" s="10" t="n">
        <v>4200</v>
      </c>
      <c r="D712" s="0" t="s">
        <v>5187</v>
      </c>
      <c r="E712" s="0" t="s">
        <v>5188</v>
      </c>
      <c r="F712" s="0" t="s">
        <v>3160</v>
      </c>
      <c r="G712" s="0" t="s">
        <v>5189</v>
      </c>
    </row>
    <row r="713" customFormat="false" ht="12.8" hidden="false" customHeight="false" outlineLevel="0" collapsed="false">
      <c r="A713" s="9" t="s">
        <v>5190</v>
      </c>
      <c r="B713" s="10" t="s">
        <v>5191</v>
      </c>
      <c r="C713" s="10" t="n">
        <v>3800</v>
      </c>
      <c r="D713" s="0" t="s">
        <v>5192</v>
      </c>
      <c r="E713" s="0" t="s">
        <v>5188</v>
      </c>
      <c r="F713" s="0" t="s">
        <v>3160</v>
      </c>
      <c r="G713" s="0" t="s">
        <v>5189</v>
      </c>
    </row>
    <row r="714" customFormat="false" ht="12.8" hidden="false" customHeight="false" outlineLevel="0" collapsed="false">
      <c r="A714" s="9" t="s">
        <v>5193</v>
      </c>
      <c r="B714" s="10" t="s">
        <v>5194</v>
      </c>
      <c r="C714" s="10" t="n">
        <v>4500</v>
      </c>
      <c r="D714" s="0" t="s">
        <v>5195</v>
      </c>
      <c r="E714" s="0" t="s">
        <v>5188</v>
      </c>
      <c r="F714" s="0" t="s">
        <v>3160</v>
      </c>
      <c r="G714" s="0" t="s">
        <v>5189</v>
      </c>
    </row>
    <row r="715" customFormat="false" ht="12.8" hidden="false" customHeight="false" outlineLevel="0" collapsed="false">
      <c r="A715" s="9" t="s">
        <v>5196</v>
      </c>
      <c r="B715" s="10" t="s">
        <v>5197</v>
      </c>
      <c r="C715" s="10" t="n">
        <v>4600</v>
      </c>
      <c r="D715" s="0" t="s">
        <v>5198</v>
      </c>
      <c r="E715" s="0" t="s">
        <v>5188</v>
      </c>
      <c r="F715" s="0" t="s">
        <v>3160</v>
      </c>
      <c r="G715" s="0" t="s">
        <v>5189</v>
      </c>
    </row>
    <row r="716" customFormat="false" ht="12.8" hidden="false" customHeight="false" outlineLevel="0" collapsed="false">
      <c r="A716" s="9" t="s">
        <v>5199</v>
      </c>
      <c r="B716" s="10" t="s">
        <v>5200</v>
      </c>
      <c r="C716" s="10" t="n">
        <v>3900</v>
      </c>
      <c r="D716" s="0" t="s">
        <v>5201</v>
      </c>
      <c r="E716" s="0" t="s">
        <v>5188</v>
      </c>
      <c r="F716" s="0" t="s">
        <v>3160</v>
      </c>
      <c r="G716" s="0" t="s">
        <v>5189</v>
      </c>
    </row>
    <row r="717" customFormat="false" ht="12.8" hidden="false" customHeight="false" outlineLevel="0" collapsed="false">
      <c r="A717" s="9" t="s">
        <v>5202</v>
      </c>
      <c r="B717" s="10" t="s">
        <v>5203</v>
      </c>
      <c r="C717" s="10" t="n">
        <v>4100</v>
      </c>
      <c r="D717" s="0" t="s">
        <v>5204</v>
      </c>
      <c r="E717" s="0" t="s">
        <v>5188</v>
      </c>
      <c r="F717" s="0" t="s">
        <v>3160</v>
      </c>
      <c r="G717" s="0" t="s">
        <v>5189</v>
      </c>
    </row>
    <row r="718" customFormat="false" ht="12.8" hidden="false" customHeight="false" outlineLevel="0" collapsed="false">
      <c r="A718" s="9" t="s">
        <v>5205</v>
      </c>
      <c r="B718" s="10" t="s">
        <v>5206</v>
      </c>
      <c r="C718" s="10" t="n">
        <v>4400</v>
      </c>
      <c r="D718" s="0" t="s">
        <v>5207</v>
      </c>
      <c r="E718" s="0" t="s">
        <v>5188</v>
      </c>
      <c r="F718" s="0" t="s">
        <v>3160</v>
      </c>
      <c r="G718" s="0" t="s">
        <v>5189</v>
      </c>
    </row>
    <row r="719" customFormat="false" ht="12.8" hidden="false" customHeight="false" outlineLevel="0" collapsed="false">
      <c r="A719" s="9" t="s">
        <v>5208</v>
      </c>
      <c r="B719" s="10" t="s">
        <v>5209</v>
      </c>
      <c r="C719" s="10" t="n">
        <v>4600</v>
      </c>
      <c r="D719" s="0" t="s">
        <v>5210</v>
      </c>
      <c r="E719" s="0" t="s">
        <v>5188</v>
      </c>
      <c r="F719" s="0" t="s">
        <v>3160</v>
      </c>
      <c r="G719" s="0" t="s">
        <v>5189</v>
      </c>
    </row>
    <row r="720" customFormat="false" ht="12.8" hidden="false" customHeight="false" outlineLevel="0" collapsed="false">
      <c r="A720" s="9" t="s">
        <v>5211</v>
      </c>
      <c r="B720" s="10" t="s">
        <v>5212</v>
      </c>
      <c r="C720" s="10" t="n">
        <v>4200</v>
      </c>
      <c r="D720" s="0" t="s">
        <v>5213</v>
      </c>
      <c r="E720" s="0" t="s">
        <v>5188</v>
      </c>
      <c r="F720" s="0" t="s">
        <v>3160</v>
      </c>
      <c r="G720" s="0" t="s">
        <v>5189</v>
      </c>
    </row>
    <row r="721" customFormat="false" ht="12.8" hidden="false" customHeight="false" outlineLevel="0" collapsed="false">
      <c r="A721" s="9" t="s">
        <v>5214</v>
      </c>
      <c r="B721" s="10" t="s">
        <v>5215</v>
      </c>
      <c r="C721" s="10" t="n">
        <v>4800</v>
      </c>
      <c r="D721" s="0" t="s">
        <v>5216</v>
      </c>
      <c r="E721" s="0" t="s">
        <v>5188</v>
      </c>
      <c r="F721" s="0" t="s">
        <v>3160</v>
      </c>
      <c r="G721" s="0" t="s">
        <v>5189</v>
      </c>
    </row>
    <row r="722" customFormat="false" ht="12.8" hidden="false" customHeight="false" outlineLevel="0" collapsed="false">
      <c r="A722" s="9" t="s">
        <v>5217</v>
      </c>
      <c r="B722" s="10" t="s">
        <v>5218</v>
      </c>
      <c r="C722" s="10" t="n">
        <v>5200</v>
      </c>
      <c r="D722" s="0" t="s">
        <v>5219</v>
      </c>
      <c r="E722" s="0" t="s">
        <v>5188</v>
      </c>
      <c r="F722" s="0" t="s">
        <v>3160</v>
      </c>
      <c r="G722" s="0" t="s">
        <v>5189</v>
      </c>
    </row>
    <row r="723" customFormat="false" ht="12.8" hidden="false" customHeight="false" outlineLevel="0" collapsed="false">
      <c r="A723" s="9" t="s">
        <v>5220</v>
      </c>
      <c r="B723" s="10" t="s">
        <v>5221</v>
      </c>
      <c r="C723" s="10" t="n">
        <v>5000</v>
      </c>
      <c r="D723" s="0" t="s">
        <v>5222</v>
      </c>
      <c r="E723" s="0" t="s">
        <v>5188</v>
      </c>
      <c r="F723" s="0" t="s">
        <v>3160</v>
      </c>
      <c r="G723" s="0" t="s">
        <v>5189</v>
      </c>
    </row>
    <row r="724" customFormat="false" ht="12.8" hidden="false" customHeight="false" outlineLevel="0" collapsed="false">
      <c r="A724" s="9" t="s">
        <v>5223</v>
      </c>
      <c r="B724" s="10" t="s">
        <v>5224</v>
      </c>
      <c r="C724" s="10" t="n">
        <v>5100</v>
      </c>
      <c r="D724" s="0" t="s">
        <v>5225</v>
      </c>
      <c r="E724" s="0" t="s">
        <v>5188</v>
      </c>
      <c r="F724" s="0" t="s">
        <v>3160</v>
      </c>
      <c r="G724" s="0" t="s">
        <v>5189</v>
      </c>
    </row>
    <row r="725" customFormat="false" ht="12.8" hidden="false" customHeight="false" outlineLevel="0" collapsed="false">
      <c r="A725" s="9" t="s">
        <v>5226</v>
      </c>
      <c r="B725" s="10" t="s">
        <v>5227</v>
      </c>
      <c r="C725" s="10" t="n">
        <v>5300</v>
      </c>
      <c r="D725" s="0" t="s">
        <v>5228</v>
      </c>
      <c r="E725" s="0" t="s">
        <v>5188</v>
      </c>
      <c r="F725" s="0" t="s">
        <v>3160</v>
      </c>
      <c r="G725" s="0" t="s">
        <v>5189</v>
      </c>
    </row>
    <row r="726" customFormat="false" ht="12.8" hidden="false" customHeight="false" outlineLevel="0" collapsed="false">
      <c r="A726" s="9" t="s">
        <v>5229</v>
      </c>
      <c r="B726" s="10" t="s">
        <v>5230</v>
      </c>
      <c r="C726" s="10" t="n">
        <v>5500</v>
      </c>
      <c r="D726" s="0" t="s">
        <v>5231</v>
      </c>
      <c r="E726" s="0" t="s">
        <v>5188</v>
      </c>
      <c r="F726" s="0" t="s">
        <v>3160</v>
      </c>
      <c r="G726" s="0" t="s">
        <v>5189</v>
      </c>
    </row>
    <row r="727" customFormat="false" ht="12.8" hidden="false" customHeight="false" outlineLevel="0" collapsed="false">
      <c r="A727" s="9" t="s">
        <v>5232</v>
      </c>
      <c r="B727" s="10" t="s">
        <v>5233</v>
      </c>
      <c r="C727" s="10" t="n">
        <v>4600</v>
      </c>
      <c r="D727" s="0" t="s">
        <v>5234</v>
      </c>
      <c r="E727" s="0" t="s">
        <v>5235</v>
      </c>
      <c r="F727" s="0" t="s">
        <v>3160</v>
      </c>
      <c r="G727" s="0" t="s">
        <v>5189</v>
      </c>
    </row>
    <row r="728" customFormat="false" ht="12.8" hidden="false" customHeight="false" outlineLevel="0" collapsed="false">
      <c r="A728" s="9" t="s">
        <v>5236</v>
      </c>
      <c r="B728" s="10" t="s">
        <v>5237</v>
      </c>
      <c r="C728" s="10" t="n">
        <v>4200</v>
      </c>
      <c r="D728" s="0" t="s">
        <v>5238</v>
      </c>
      <c r="E728" s="0" t="s">
        <v>5235</v>
      </c>
      <c r="F728" s="0" t="s">
        <v>3160</v>
      </c>
      <c r="G728" s="0" t="s">
        <v>5189</v>
      </c>
    </row>
    <row r="729" customFormat="false" ht="12.8" hidden="false" customHeight="false" outlineLevel="0" collapsed="false">
      <c r="A729" s="9" t="s">
        <v>5239</v>
      </c>
      <c r="B729" s="10" t="s">
        <v>5240</v>
      </c>
      <c r="C729" s="10" t="n">
        <v>4900</v>
      </c>
      <c r="D729" s="0" t="s">
        <v>5241</v>
      </c>
      <c r="E729" s="0" t="s">
        <v>5235</v>
      </c>
      <c r="F729" s="0" t="s">
        <v>3160</v>
      </c>
      <c r="G729" s="0" t="s">
        <v>5189</v>
      </c>
    </row>
    <row r="730" customFormat="false" ht="12.8" hidden="false" customHeight="false" outlineLevel="0" collapsed="false">
      <c r="A730" s="9" t="s">
        <v>5242</v>
      </c>
      <c r="B730" s="10" t="s">
        <v>5243</v>
      </c>
      <c r="C730" s="10" t="n">
        <v>5000</v>
      </c>
      <c r="D730" s="0" t="s">
        <v>5244</v>
      </c>
      <c r="E730" s="0" t="s">
        <v>5235</v>
      </c>
      <c r="F730" s="0" t="s">
        <v>3160</v>
      </c>
      <c r="G730" s="0" t="s">
        <v>5189</v>
      </c>
    </row>
    <row r="731" customFormat="false" ht="12.8" hidden="false" customHeight="false" outlineLevel="0" collapsed="false">
      <c r="A731" s="9" t="s">
        <v>5245</v>
      </c>
      <c r="B731" s="10" t="s">
        <v>5246</v>
      </c>
      <c r="C731" s="10" t="n">
        <v>4300</v>
      </c>
      <c r="D731" s="0" t="s">
        <v>5247</v>
      </c>
      <c r="E731" s="0" t="s">
        <v>5235</v>
      </c>
      <c r="F731" s="0" t="s">
        <v>3160</v>
      </c>
      <c r="G731" s="0" t="s">
        <v>5189</v>
      </c>
    </row>
    <row r="732" customFormat="false" ht="12.8" hidden="false" customHeight="false" outlineLevel="0" collapsed="false">
      <c r="A732" s="9" t="s">
        <v>5248</v>
      </c>
      <c r="B732" s="10" t="s">
        <v>5249</v>
      </c>
      <c r="C732" s="10" t="n">
        <v>4500</v>
      </c>
      <c r="D732" s="0" t="s">
        <v>5250</v>
      </c>
      <c r="E732" s="0" t="s">
        <v>5235</v>
      </c>
      <c r="F732" s="0" t="s">
        <v>3160</v>
      </c>
      <c r="G732" s="0" t="s">
        <v>5189</v>
      </c>
    </row>
    <row r="733" customFormat="false" ht="12.8" hidden="false" customHeight="false" outlineLevel="0" collapsed="false">
      <c r="A733" s="9" t="s">
        <v>5251</v>
      </c>
      <c r="B733" s="10" t="s">
        <v>5252</v>
      </c>
      <c r="C733" s="10" t="n">
        <v>4800</v>
      </c>
      <c r="D733" s="0" t="s">
        <v>5253</v>
      </c>
      <c r="E733" s="0" t="s">
        <v>5235</v>
      </c>
      <c r="F733" s="0" t="s">
        <v>3160</v>
      </c>
      <c r="G733" s="0" t="s">
        <v>5189</v>
      </c>
    </row>
    <row r="734" customFormat="false" ht="12.8" hidden="false" customHeight="false" outlineLevel="0" collapsed="false">
      <c r="A734" s="9" t="s">
        <v>5254</v>
      </c>
      <c r="B734" s="10" t="s">
        <v>5255</v>
      </c>
      <c r="C734" s="10" t="n">
        <v>5000</v>
      </c>
      <c r="D734" s="0" t="s">
        <v>5256</v>
      </c>
      <c r="E734" s="0" t="s">
        <v>5235</v>
      </c>
      <c r="F734" s="0" t="s">
        <v>3160</v>
      </c>
      <c r="G734" s="0" t="s">
        <v>5189</v>
      </c>
    </row>
    <row r="735" customFormat="false" ht="12.8" hidden="false" customHeight="false" outlineLevel="0" collapsed="false">
      <c r="A735" s="9" t="s">
        <v>5257</v>
      </c>
      <c r="B735" s="10" t="s">
        <v>5258</v>
      </c>
      <c r="C735" s="10" t="n">
        <v>4600</v>
      </c>
      <c r="D735" s="0" t="s">
        <v>5259</v>
      </c>
      <c r="E735" s="0" t="s">
        <v>5235</v>
      </c>
      <c r="F735" s="0" t="s">
        <v>3160</v>
      </c>
      <c r="G735" s="0" t="s">
        <v>5189</v>
      </c>
    </row>
    <row r="736" customFormat="false" ht="12.8" hidden="false" customHeight="false" outlineLevel="0" collapsed="false">
      <c r="A736" s="9" t="s">
        <v>5260</v>
      </c>
      <c r="B736" s="10" t="s">
        <v>5261</v>
      </c>
      <c r="C736" s="10" t="n">
        <v>5200</v>
      </c>
      <c r="D736" s="0" t="s">
        <v>5262</v>
      </c>
      <c r="E736" s="0" t="s">
        <v>5235</v>
      </c>
      <c r="F736" s="0" t="s">
        <v>3160</v>
      </c>
      <c r="G736" s="0" t="s">
        <v>5189</v>
      </c>
    </row>
    <row r="737" customFormat="false" ht="12.8" hidden="false" customHeight="false" outlineLevel="0" collapsed="false">
      <c r="A737" s="9" t="s">
        <v>5263</v>
      </c>
      <c r="B737" s="10" t="s">
        <v>5264</v>
      </c>
      <c r="C737" s="10" t="n">
        <v>5600</v>
      </c>
      <c r="D737" s="0" t="s">
        <v>5265</v>
      </c>
      <c r="E737" s="0" t="s">
        <v>5235</v>
      </c>
      <c r="F737" s="0" t="s">
        <v>3160</v>
      </c>
      <c r="G737" s="0" t="s">
        <v>5189</v>
      </c>
    </row>
    <row r="738" customFormat="false" ht="12.8" hidden="false" customHeight="false" outlineLevel="0" collapsed="false">
      <c r="A738" s="9" t="s">
        <v>5266</v>
      </c>
      <c r="B738" s="10" t="s">
        <v>5267</v>
      </c>
      <c r="C738" s="10" t="n">
        <v>5400</v>
      </c>
      <c r="D738" s="0" t="s">
        <v>5268</v>
      </c>
      <c r="E738" s="0" t="s">
        <v>5235</v>
      </c>
      <c r="F738" s="0" t="s">
        <v>3160</v>
      </c>
      <c r="G738" s="0" t="s">
        <v>5189</v>
      </c>
    </row>
    <row r="739" customFormat="false" ht="12.8" hidden="false" customHeight="false" outlineLevel="0" collapsed="false">
      <c r="A739" s="9" t="s">
        <v>5269</v>
      </c>
      <c r="B739" s="10" t="s">
        <v>5270</v>
      </c>
      <c r="C739" s="10" t="n">
        <v>5500</v>
      </c>
      <c r="D739" s="0" t="s">
        <v>5271</v>
      </c>
      <c r="E739" s="0" t="s">
        <v>5235</v>
      </c>
      <c r="F739" s="0" t="s">
        <v>3160</v>
      </c>
      <c r="G739" s="0" t="s">
        <v>5189</v>
      </c>
    </row>
    <row r="740" customFormat="false" ht="12.8" hidden="false" customHeight="false" outlineLevel="0" collapsed="false">
      <c r="A740" s="9" t="s">
        <v>5272</v>
      </c>
      <c r="B740" s="10" t="s">
        <v>5273</v>
      </c>
      <c r="C740" s="10" t="n">
        <v>5700</v>
      </c>
      <c r="D740" s="0" t="s">
        <v>5274</v>
      </c>
      <c r="E740" s="0" t="s">
        <v>5235</v>
      </c>
      <c r="F740" s="0" t="s">
        <v>3160</v>
      </c>
      <c r="G740" s="0" t="s">
        <v>5189</v>
      </c>
    </row>
    <row r="741" customFormat="false" ht="12.8" hidden="false" customHeight="false" outlineLevel="0" collapsed="false">
      <c r="A741" s="9" t="s">
        <v>5275</v>
      </c>
      <c r="B741" s="10" t="s">
        <v>5276</v>
      </c>
      <c r="C741" s="10" t="n">
        <v>5900</v>
      </c>
      <c r="D741" s="0" t="s">
        <v>5277</v>
      </c>
      <c r="E741" s="0" t="s">
        <v>5235</v>
      </c>
      <c r="F741" s="0" t="s">
        <v>3160</v>
      </c>
      <c r="G741" s="0" t="s">
        <v>5189</v>
      </c>
    </row>
    <row r="742" customFormat="false" ht="12.8" hidden="false" customHeight="false" outlineLevel="0" collapsed="false">
      <c r="A742" s="9" t="s">
        <v>5278</v>
      </c>
      <c r="B742" s="10" t="s">
        <v>5279</v>
      </c>
      <c r="C742" s="10" t="n">
        <v>4800</v>
      </c>
      <c r="D742" s="0" t="s">
        <v>5280</v>
      </c>
      <c r="E742" s="0" t="s">
        <v>5235</v>
      </c>
      <c r="F742" s="0" t="s">
        <v>3160</v>
      </c>
      <c r="G742" s="0" t="s">
        <v>5189</v>
      </c>
    </row>
    <row r="743" customFormat="false" ht="12.8" hidden="false" customHeight="false" outlineLevel="0" collapsed="false">
      <c r="A743" s="9" t="s">
        <v>5281</v>
      </c>
      <c r="B743" s="10" t="s">
        <v>5282</v>
      </c>
      <c r="C743" s="10" t="n">
        <v>4400</v>
      </c>
      <c r="D743" s="0" t="s">
        <v>5283</v>
      </c>
      <c r="E743" s="0" t="s">
        <v>5235</v>
      </c>
      <c r="F743" s="0" t="s">
        <v>3160</v>
      </c>
      <c r="G743" s="0" t="s">
        <v>5189</v>
      </c>
    </row>
    <row r="744" customFormat="false" ht="12.8" hidden="false" customHeight="false" outlineLevel="0" collapsed="false">
      <c r="A744" s="9" t="s">
        <v>5284</v>
      </c>
      <c r="B744" s="10" t="s">
        <v>5285</v>
      </c>
      <c r="C744" s="10" t="n">
        <v>5100</v>
      </c>
      <c r="D744" s="0" t="s">
        <v>5286</v>
      </c>
      <c r="E744" s="0" t="s">
        <v>5235</v>
      </c>
      <c r="F744" s="0" t="s">
        <v>3160</v>
      </c>
      <c r="G744" s="0" t="s">
        <v>5189</v>
      </c>
    </row>
    <row r="746" customFormat="false" ht="12.8" hidden="false" customHeight="false" outlineLevel="0" collapsed="false">
      <c r="A746" s="9" t="s">
        <v>5287</v>
      </c>
      <c r="B746" s="10" t="s">
        <v>5288</v>
      </c>
      <c r="C746" s="10" t="n">
        <v>5200</v>
      </c>
      <c r="D746" s="0" t="s">
        <v>5289</v>
      </c>
      <c r="E746" s="0" t="s">
        <v>5235</v>
      </c>
      <c r="F746" s="0" t="s">
        <v>3160</v>
      </c>
      <c r="G746" s="0" t="s">
        <v>5189</v>
      </c>
    </row>
    <row r="747" customFormat="false" ht="12.8" hidden="false" customHeight="false" outlineLevel="0" collapsed="false">
      <c r="A747" s="9" t="s">
        <v>5290</v>
      </c>
      <c r="B747" s="10" t="s">
        <v>5291</v>
      </c>
      <c r="C747" s="10" t="n">
        <v>4500</v>
      </c>
      <c r="D747" s="0" t="s">
        <v>5292</v>
      </c>
      <c r="E747" s="0" t="s">
        <v>5235</v>
      </c>
      <c r="F747" s="0" t="s">
        <v>3160</v>
      </c>
      <c r="G747" s="0" t="s">
        <v>5189</v>
      </c>
    </row>
    <row r="748" customFormat="false" ht="12.8" hidden="false" customHeight="false" outlineLevel="0" collapsed="false">
      <c r="A748" s="9" t="s">
        <v>5293</v>
      </c>
      <c r="B748" s="10" t="s">
        <v>5294</v>
      </c>
      <c r="C748" s="10" t="n">
        <v>4700</v>
      </c>
      <c r="D748" s="0" t="s">
        <v>5295</v>
      </c>
      <c r="E748" s="0" t="s">
        <v>5235</v>
      </c>
      <c r="F748" s="0" t="s">
        <v>3160</v>
      </c>
      <c r="G748" s="0" t="s">
        <v>5189</v>
      </c>
    </row>
    <row r="749" customFormat="false" ht="12.8" hidden="false" customHeight="false" outlineLevel="0" collapsed="false">
      <c r="A749" s="9" t="s">
        <v>5296</v>
      </c>
      <c r="B749" s="10" t="s">
        <v>5297</v>
      </c>
      <c r="C749" s="10" t="n">
        <v>5000</v>
      </c>
      <c r="D749" s="0" t="s">
        <v>5298</v>
      </c>
      <c r="E749" s="0" t="s">
        <v>5235</v>
      </c>
      <c r="F749" s="0" t="s">
        <v>3160</v>
      </c>
      <c r="G749" s="0" t="s">
        <v>5189</v>
      </c>
    </row>
    <row r="750" customFormat="false" ht="12.8" hidden="false" customHeight="false" outlineLevel="0" collapsed="false">
      <c r="A750" s="9" t="s">
        <v>5299</v>
      </c>
      <c r="B750" s="10" t="s">
        <v>5300</v>
      </c>
      <c r="C750" s="10" t="n">
        <v>5200</v>
      </c>
      <c r="D750" s="0" t="s">
        <v>5301</v>
      </c>
      <c r="E750" s="0" t="s">
        <v>5235</v>
      </c>
      <c r="F750" s="0" t="s">
        <v>3160</v>
      </c>
      <c r="G750" s="0" t="s">
        <v>5189</v>
      </c>
    </row>
    <row r="751" customFormat="false" ht="12.8" hidden="false" customHeight="false" outlineLevel="0" collapsed="false">
      <c r="A751" s="9" t="s">
        <v>5302</v>
      </c>
      <c r="B751" s="10" t="s">
        <v>5303</v>
      </c>
      <c r="C751" s="10" t="n">
        <v>4800</v>
      </c>
      <c r="D751" s="0" t="s">
        <v>5304</v>
      </c>
      <c r="E751" s="0" t="s">
        <v>5235</v>
      </c>
      <c r="F751" s="0" t="s">
        <v>3160</v>
      </c>
      <c r="G751" s="0" t="s">
        <v>5189</v>
      </c>
    </row>
    <row r="752" customFormat="false" ht="12.8" hidden="false" customHeight="false" outlineLevel="0" collapsed="false">
      <c r="A752" s="9" t="s">
        <v>5305</v>
      </c>
      <c r="B752" s="10" t="s">
        <v>5306</v>
      </c>
      <c r="C752" s="10" t="n">
        <v>5400</v>
      </c>
      <c r="D752" s="0" t="s">
        <v>5307</v>
      </c>
      <c r="E752" s="0" t="s">
        <v>5235</v>
      </c>
      <c r="F752" s="0" t="s">
        <v>3160</v>
      </c>
      <c r="G752" s="0" t="s">
        <v>5189</v>
      </c>
    </row>
    <row r="753" customFormat="false" ht="12.8" hidden="false" customHeight="false" outlineLevel="0" collapsed="false">
      <c r="A753" s="9" t="s">
        <v>5308</v>
      </c>
      <c r="B753" s="10" t="s">
        <v>5309</v>
      </c>
      <c r="C753" s="10" t="n">
        <v>5800</v>
      </c>
      <c r="D753" s="0" t="s">
        <v>5310</v>
      </c>
      <c r="E753" s="0" t="s">
        <v>5235</v>
      </c>
      <c r="F753" s="0" t="s">
        <v>3160</v>
      </c>
      <c r="G753" s="0" t="s">
        <v>5189</v>
      </c>
    </row>
    <row r="754" customFormat="false" ht="12.8" hidden="false" customHeight="false" outlineLevel="0" collapsed="false">
      <c r="A754" s="9" t="s">
        <v>5311</v>
      </c>
      <c r="B754" s="10" t="s">
        <v>5312</v>
      </c>
      <c r="C754" s="10" t="n">
        <v>5600</v>
      </c>
      <c r="D754" s="0" t="s">
        <v>5313</v>
      </c>
      <c r="E754" s="0" t="s">
        <v>5235</v>
      </c>
      <c r="F754" s="0" t="s">
        <v>3160</v>
      </c>
      <c r="G754" s="0" t="s">
        <v>5189</v>
      </c>
    </row>
    <row r="755" customFormat="false" ht="12.8" hidden="false" customHeight="false" outlineLevel="0" collapsed="false">
      <c r="A755" s="9" t="s">
        <v>5314</v>
      </c>
      <c r="B755" s="10" t="s">
        <v>5315</v>
      </c>
      <c r="C755" s="10" t="n">
        <v>5700</v>
      </c>
      <c r="D755" s="0" t="s">
        <v>5316</v>
      </c>
      <c r="E755" s="0" t="s">
        <v>5235</v>
      </c>
      <c r="F755" s="0" t="s">
        <v>3160</v>
      </c>
      <c r="G755" s="0" t="s">
        <v>5189</v>
      </c>
    </row>
    <row r="756" customFormat="false" ht="12.8" hidden="false" customHeight="false" outlineLevel="0" collapsed="false">
      <c r="A756" s="9" t="s">
        <v>5317</v>
      </c>
      <c r="B756" s="10" t="s">
        <v>5318</v>
      </c>
      <c r="C756" s="10" t="n">
        <v>5900</v>
      </c>
      <c r="D756" s="0" t="s">
        <v>5319</v>
      </c>
      <c r="E756" s="0" t="s">
        <v>5235</v>
      </c>
      <c r="F756" s="0" t="s">
        <v>3160</v>
      </c>
      <c r="G756" s="0" t="s">
        <v>5189</v>
      </c>
    </row>
    <row r="757" customFormat="false" ht="12.8" hidden="false" customHeight="false" outlineLevel="0" collapsed="false">
      <c r="A757" s="9" t="s">
        <v>5320</v>
      </c>
      <c r="B757" s="10" t="s">
        <v>5321</v>
      </c>
      <c r="C757" s="10" t="n">
        <v>6100</v>
      </c>
      <c r="D757" s="0" t="s">
        <v>5322</v>
      </c>
      <c r="E757" s="0" t="s">
        <v>5235</v>
      </c>
      <c r="F757" s="0" t="s">
        <v>3160</v>
      </c>
      <c r="G757" s="0" t="s">
        <v>5189</v>
      </c>
    </row>
    <row r="763" customFormat="false" ht="12.8" hidden="false" customHeight="false" outlineLevel="0" collapsed="false">
      <c r="A763" s="9" t="s">
        <v>5323</v>
      </c>
      <c r="B763" s="10" t="s">
        <v>5324</v>
      </c>
      <c r="C763" s="10" t="n">
        <v>0.04</v>
      </c>
      <c r="D763" s="0" t="s">
        <v>5325</v>
      </c>
      <c r="E763" s="0" t="s">
        <v>5326</v>
      </c>
      <c r="F763" s="0" t="s">
        <v>3160</v>
      </c>
      <c r="G763" s="0" t="s">
        <v>5327</v>
      </c>
    </row>
    <row r="764" customFormat="false" ht="12.8" hidden="false" customHeight="false" outlineLevel="0" collapsed="false">
      <c r="A764" s="9" t="s">
        <v>5328</v>
      </c>
      <c r="B764" s="10" t="s">
        <v>5329</v>
      </c>
      <c r="C764" s="10" t="n">
        <v>0.045</v>
      </c>
      <c r="D764" s="0" t="s">
        <v>5330</v>
      </c>
      <c r="E764" s="0" t="s">
        <v>5326</v>
      </c>
      <c r="F764" s="0" t="s">
        <v>3160</v>
      </c>
      <c r="G764" s="0" t="s">
        <v>5327</v>
      </c>
    </row>
    <row r="765" customFormat="false" ht="12.8" hidden="false" customHeight="false" outlineLevel="0" collapsed="false">
      <c r="A765" s="9" t="s">
        <v>5331</v>
      </c>
      <c r="B765" s="10" t="s">
        <v>5332</v>
      </c>
      <c r="C765" s="10" t="n">
        <v>0.035</v>
      </c>
      <c r="D765" s="0" t="s">
        <v>5333</v>
      </c>
      <c r="E765" s="0" t="s">
        <v>5326</v>
      </c>
      <c r="F765" s="0" t="s">
        <v>3160</v>
      </c>
      <c r="G765" s="0" t="s">
        <v>5327</v>
      </c>
    </row>
    <row r="766" customFormat="false" ht="12.8" hidden="false" customHeight="false" outlineLevel="0" collapsed="false">
      <c r="A766" s="9" t="s">
        <v>5334</v>
      </c>
      <c r="B766" s="10" t="s">
        <v>5335</v>
      </c>
      <c r="C766" s="10" t="n">
        <v>0.038</v>
      </c>
      <c r="D766" s="0" t="s">
        <v>5336</v>
      </c>
      <c r="E766" s="0" t="s">
        <v>5326</v>
      </c>
      <c r="F766" s="0" t="s">
        <v>3160</v>
      </c>
      <c r="G766" s="0" t="s">
        <v>5327</v>
      </c>
    </row>
    <row r="767" customFormat="false" ht="12.8" hidden="false" customHeight="false" outlineLevel="0" collapsed="false">
      <c r="A767" s="9" t="s">
        <v>5337</v>
      </c>
      <c r="B767" s="10" t="s">
        <v>5338</v>
      </c>
      <c r="C767" s="10" t="n">
        <v>0.042</v>
      </c>
      <c r="D767" s="0" t="s">
        <v>5339</v>
      </c>
      <c r="E767" s="0" t="s">
        <v>5326</v>
      </c>
      <c r="F767" s="0" t="s">
        <v>3160</v>
      </c>
      <c r="G767" s="0" t="s">
        <v>5327</v>
      </c>
    </row>
    <row r="768" customFormat="false" ht="12.8" hidden="false" customHeight="false" outlineLevel="0" collapsed="false">
      <c r="A768" s="9" t="s">
        <v>5340</v>
      </c>
      <c r="B768" s="10" t="s">
        <v>5341</v>
      </c>
      <c r="C768" s="10" t="n">
        <v>0.044</v>
      </c>
      <c r="D768" s="0" t="s">
        <v>5342</v>
      </c>
      <c r="E768" s="0" t="s">
        <v>5326</v>
      </c>
      <c r="F768" s="0" t="s">
        <v>3160</v>
      </c>
      <c r="G768" s="0" t="s">
        <v>5327</v>
      </c>
    </row>
    <row r="769" customFormat="false" ht="12.8" hidden="false" customHeight="false" outlineLevel="0" collapsed="false">
      <c r="A769" s="9" t="s">
        <v>5343</v>
      </c>
      <c r="B769" s="10" t="s">
        <v>5344</v>
      </c>
      <c r="C769" s="10" t="n">
        <v>0.04</v>
      </c>
      <c r="D769" s="0" t="s">
        <v>5345</v>
      </c>
      <c r="E769" s="0" t="s">
        <v>5326</v>
      </c>
      <c r="F769" s="0" t="s">
        <v>3160</v>
      </c>
      <c r="G769" s="0" t="s">
        <v>5327</v>
      </c>
    </row>
    <row r="770" customFormat="false" ht="12.8" hidden="false" customHeight="false" outlineLevel="0" collapsed="false">
      <c r="A770" s="9" t="s">
        <v>5346</v>
      </c>
      <c r="B770" s="10" t="s">
        <v>5347</v>
      </c>
      <c r="C770" s="10" t="n">
        <v>0.037</v>
      </c>
      <c r="D770" s="0" t="s">
        <v>5348</v>
      </c>
      <c r="E770" s="0" t="s">
        <v>5326</v>
      </c>
      <c r="F770" s="0" t="s">
        <v>3160</v>
      </c>
      <c r="G770" s="0" t="s">
        <v>5327</v>
      </c>
    </row>
    <row r="771" customFormat="false" ht="12.8" hidden="false" customHeight="false" outlineLevel="0" collapsed="false">
      <c r="A771" s="9" t="s">
        <v>5349</v>
      </c>
      <c r="B771" s="10" t="s">
        <v>5350</v>
      </c>
      <c r="C771" s="10" t="n">
        <v>0.043</v>
      </c>
      <c r="D771" s="0" t="s">
        <v>5351</v>
      </c>
      <c r="E771" s="0" t="s">
        <v>5326</v>
      </c>
      <c r="F771" s="0" t="s">
        <v>3160</v>
      </c>
      <c r="G771" s="0" t="s">
        <v>5327</v>
      </c>
    </row>
    <row r="772" customFormat="false" ht="12.8" hidden="false" customHeight="false" outlineLevel="0" collapsed="false">
      <c r="A772" s="9" t="s">
        <v>5352</v>
      </c>
      <c r="B772" s="10" t="s">
        <v>5353</v>
      </c>
      <c r="C772" s="10" t="n">
        <v>0.048</v>
      </c>
      <c r="D772" s="0" t="s">
        <v>5354</v>
      </c>
      <c r="E772" s="0" t="s">
        <v>5326</v>
      </c>
      <c r="F772" s="0" t="s">
        <v>3160</v>
      </c>
      <c r="G772" s="0" t="s">
        <v>5327</v>
      </c>
    </row>
    <row r="773" customFormat="false" ht="12.8" hidden="false" customHeight="false" outlineLevel="0" collapsed="false">
      <c r="A773" s="9" t="s">
        <v>5355</v>
      </c>
      <c r="B773" s="10" t="s">
        <v>5356</v>
      </c>
      <c r="C773" s="10" t="n">
        <v>0.055</v>
      </c>
      <c r="D773" s="0" t="s">
        <v>5357</v>
      </c>
      <c r="E773" s="0" t="s">
        <v>5326</v>
      </c>
      <c r="F773" s="0" t="s">
        <v>3160</v>
      </c>
      <c r="G773" s="0" t="s">
        <v>5327</v>
      </c>
    </row>
    <row r="774" customFormat="false" ht="12.8" hidden="false" customHeight="false" outlineLevel="0" collapsed="false">
      <c r="A774" s="9" t="s">
        <v>5358</v>
      </c>
      <c r="B774" s="10" t="s">
        <v>5359</v>
      </c>
      <c r="C774" s="10" t="n">
        <v>0.05</v>
      </c>
      <c r="D774" s="0" t="s">
        <v>5360</v>
      </c>
      <c r="E774" s="0" t="s">
        <v>5326</v>
      </c>
      <c r="F774" s="0" t="s">
        <v>3160</v>
      </c>
      <c r="G774" s="0" t="s">
        <v>5327</v>
      </c>
    </row>
    <row r="775" customFormat="false" ht="12.8" hidden="false" customHeight="false" outlineLevel="0" collapsed="false">
      <c r="A775" s="9" t="s">
        <v>5361</v>
      </c>
      <c r="B775" s="10" t="s">
        <v>5362</v>
      </c>
      <c r="C775" s="10" t="n">
        <v>0.052</v>
      </c>
      <c r="D775" s="0" t="s">
        <v>5363</v>
      </c>
      <c r="E775" s="0" t="s">
        <v>5326</v>
      </c>
      <c r="F775" s="0" t="s">
        <v>3160</v>
      </c>
      <c r="G775" s="0" t="s">
        <v>5327</v>
      </c>
    </row>
    <row r="776" customFormat="false" ht="12.8" hidden="false" customHeight="false" outlineLevel="0" collapsed="false">
      <c r="A776" s="9" t="s">
        <v>5364</v>
      </c>
      <c r="B776" s="10" t="s">
        <v>5365</v>
      </c>
      <c r="C776" s="10" t="n">
        <v>0.058</v>
      </c>
      <c r="D776" s="0" t="s">
        <v>5366</v>
      </c>
      <c r="E776" s="0" t="s">
        <v>5326</v>
      </c>
      <c r="F776" s="0" t="s">
        <v>3160</v>
      </c>
      <c r="G776" s="0" t="s">
        <v>5327</v>
      </c>
    </row>
    <row r="777" customFormat="false" ht="12.8" hidden="false" customHeight="false" outlineLevel="0" collapsed="false">
      <c r="A777" s="9" t="s">
        <v>5367</v>
      </c>
      <c r="B777" s="10" t="s">
        <v>5368</v>
      </c>
      <c r="C777" s="10" t="n">
        <v>0.06</v>
      </c>
      <c r="D777" s="0" t="s">
        <v>5369</v>
      </c>
      <c r="E777" s="0" t="s">
        <v>5326</v>
      </c>
      <c r="F777" s="0" t="s">
        <v>3160</v>
      </c>
      <c r="G777" s="0" t="s">
        <v>5327</v>
      </c>
    </row>
    <row r="778" customFormat="false" ht="12.8" hidden="false" customHeight="false" outlineLevel="0" collapsed="false">
      <c r="A778" s="9" t="s">
        <v>5370</v>
      </c>
      <c r="B778" s="10" t="s">
        <v>5371</v>
      </c>
      <c r="C778" s="10" t="n">
        <v>0.035</v>
      </c>
      <c r="D778" s="0" t="s">
        <v>5372</v>
      </c>
      <c r="E778" s="0" t="s">
        <v>5373</v>
      </c>
      <c r="F778" s="0" t="s">
        <v>3160</v>
      </c>
      <c r="G778" s="0" t="s">
        <v>5327</v>
      </c>
    </row>
    <row r="779" customFormat="false" ht="12.8" hidden="false" customHeight="false" outlineLevel="0" collapsed="false">
      <c r="A779" s="9" t="s">
        <v>5374</v>
      </c>
      <c r="B779" s="10" t="s">
        <v>5375</v>
      </c>
      <c r="C779" s="10" t="n">
        <v>0.04</v>
      </c>
      <c r="D779" s="0" t="s">
        <v>5376</v>
      </c>
      <c r="E779" s="0" t="s">
        <v>5373</v>
      </c>
      <c r="F779" s="0" t="s">
        <v>3160</v>
      </c>
      <c r="G779" s="0" t="s">
        <v>5327</v>
      </c>
    </row>
    <row r="780" customFormat="false" ht="12.8" hidden="false" customHeight="false" outlineLevel="0" collapsed="false">
      <c r="A780" s="9" t="s">
        <v>5377</v>
      </c>
      <c r="B780" s="10" t="s">
        <v>5378</v>
      </c>
      <c r="C780" s="10" t="n">
        <v>0.03</v>
      </c>
      <c r="D780" s="0" t="s">
        <v>5379</v>
      </c>
      <c r="E780" s="0" t="s">
        <v>5373</v>
      </c>
      <c r="F780" s="0" t="s">
        <v>3160</v>
      </c>
      <c r="G780" s="0" t="s">
        <v>5327</v>
      </c>
    </row>
    <row r="781" customFormat="false" ht="12.8" hidden="false" customHeight="false" outlineLevel="0" collapsed="false">
      <c r="A781" s="9" t="s">
        <v>5380</v>
      </c>
      <c r="B781" s="10" t="s">
        <v>5381</v>
      </c>
      <c r="C781" s="10" t="n">
        <v>0.033</v>
      </c>
      <c r="D781" s="0" t="s">
        <v>5382</v>
      </c>
      <c r="E781" s="0" t="s">
        <v>5373</v>
      </c>
      <c r="F781" s="0" t="s">
        <v>3160</v>
      </c>
      <c r="G781" s="0" t="s">
        <v>5327</v>
      </c>
    </row>
    <row r="782" customFormat="false" ht="12.8" hidden="false" customHeight="false" outlineLevel="0" collapsed="false">
      <c r="A782" s="9" t="s">
        <v>5383</v>
      </c>
      <c r="B782" s="10" t="s">
        <v>5384</v>
      </c>
      <c r="C782" s="10" t="n">
        <v>0.037</v>
      </c>
      <c r="D782" s="0" t="s">
        <v>5385</v>
      </c>
      <c r="E782" s="0" t="s">
        <v>5373</v>
      </c>
      <c r="F782" s="0" t="s">
        <v>3160</v>
      </c>
      <c r="G782" s="0" t="s">
        <v>5327</v>
      </c>
    </row>
    <row r="783" customFormat="false" ht="12.8" hidden="false" customHeight="false" outlineLevel="0" collapsed="false">
      <c r="A783" s="9" t="s">
        <v>5386</v>
      </c>
      <c r="B783" s="10" t="s">
        <v>5387</v>
      </c>
      <c r="C783" s="10" t="n">
        <v>0.039</v>
      </c>
      <c r="D783" s="0" t="s">
        <v>5388</v>
      </c>
      <c r="E783" s="0" t="s">
        <v>5373</v>
      </c>
      <c r="F783" s="0" t="s">
        <v>3160</v>
      </c>
      <c r="G783" s="0" t="s">
        <v>5327</v>
      </c>
    </row>
    <row r="784" customFormat="false" ht="12.8" hidden="false" customHeight="false" outlineLevel="0" collapsed="false">
      <c r="A784" s="9" t="s">
        <v>5389</v>
      </c>
      <c r="B784" s="10" t="s">
        <v>5390</v>
      </c>
      <c r="C784" s="10" t="n">
        <v>0.035</v>
      </c>
      <c r="D784" s="0" t="s">
        <v>5391</v>
      </c>
      <c r="E784" s="0" t="s">
        <v>5373</v>
      </c>
      <c r="F784" s="0" t="s">
        <v>3160</v>
      </c>
      <c r="G784" s="0" t="s">
        <v>5327</v>
      </c>
    </row>
    <row r="785" customFormat="false" ht="12.8" hidden="false" customHeight="false" outlineLevel="0" collapsed="false">
      <c r="A785" s="9" t="s">
        <v>5392</v>
      </c>
      <c r="B785" s="10" t="s">
        <v>5393</v>
      </c>
      <c r="C785" s="10" t="n">
        <v>0.032</v>
      </c>
      <c r="D785" s="0" t="s">
        <v>5394</v>
      </c>
      <c r="E785" s="0" t="s">
        <v>5373</v>
      </c>
      <c r="F785" s="0" t="s">
        <v>3160</v>
      </c>
      <c r="G785" s="0" t="s">
        <v>5327</v>
      </c>
    </row>
    <row r="786" customFormat="false" ht="12.8" hidden="false" customHeight="false" outlineLevel="0" collapsed="false">
      <c r="A786" s="9" t="s">
        <v>5395</v>
      </c>
      <c r="B786" s="10" t="s">
        <v>5396</v>
      </c>
      <c r="C786" s="10" t="n">
        <v>0.038</v>
      </c>
      <c r="D786" s="0" t="s">
        <v>5397</v>
      </c>
      <c r="E786" s="0" t="s">
        <v>5373</v>
      </c>
      <c r="F786" s="0" t="s">
        <v>3160</v>
      </c>
      <c r="G786" s="0" t="s">
        <v>5327</v>
      </c>
    </row>
    <row r="787" customFormat="false" ht="12.8" hidden="false" customHeight="false" outlineLevel="0" collapsed="false">
      <c r="A787" s="9" t="s">
        <v>5398</v>
      </c>
      <c r="B787" s="10" t="s">
        <v>5399</v>
      </c>
      <c r="C787" s="10" t="n">
        <v>0.043</v>
      </c>
      <c r="D787" s="0" t="s">
        <v>5400</v>
      </c>
      <c r="E787" s="0" t="s">
        <v>5373</v>
      </c>
      <c r="F787" s="0" t="s">
        <v>3160</v>
      </c>
      <c r="G787" s="0" t="s">
        <v>5327</v>
      </c>
    </row>
    <row r="788" customFormat="false" ht="12.8" hidden="false" customHeight="false" outlineLevel="0" collapsed="false">
      <c r="A788" s="9" t="s">
        <v>5401</v>
      </c>
      <c r="B788" s="10" t="s">
        <v>5402</v>
      </c>
      <c r="C788" s="10" t="n">
        <v>0.05</v>
      </c>
      <c r="D788" s="0" t="s">
        <v>5403</v>
      </c>
      <c r="E788" s="0" t="s">
        <v>5373</v>
      </c>
      <c r="F788" s="0" t="s">
        <v>3160</v>
      </c>
      <c r="G788" s="0" t="s">
        <v>5327</v>
      </c>
    </row>
    <row r="789" customFormat="false" ht="12.8" hidden="false" customHeight="false" outlineLevel="0" collapsed="false">
      <c r="A789" s="9" t="s">
        <v>5404</v>
      </c>
      <c r="B789" s="10" t="s">
        <v>5405</v>
      </c>
      <c r="C789" s="10" t="n">
        <v>0.045</v>
      </c>
      <c r="D789" s="0" t="s">
        <v>5406</v>
      </c>
      <c r="E789" s="0" t="s">
        <v>5373</v>
      </c>
      <c r="F789" s="0" t="s">
        <v>3160</v>
      </c>
      <c r="G789" s="0" t="s">
        <v>5327</v>
      </c>
    </row>
    <row r="790" customFormat="false" ht="12.8" hidden="false" customHeight="false" outlineLevel="0" collapsed="false">
      <c r="A790" s="9" t="s">
        <v>5407</v>
      </c>
      <c r="B790" s="10" t="s">
        <v>5408</v>
      </c>
      <c r="C790" s="10" t="n">
        <v>0.047</v>
      </c>
      <c r="D790" s="0" t="s">
        <v>5409</v>
      </c>
      <c r="E790" s="0" t="s">
        <v>5373</v>
      </c>
      <c r="F790" s="0" t="s">
        <v>3160</v>
      </c>
      <c r="G790" s="0" t="s">
        <v>5327</v>
      </c>
    </row>
    <row r="792" customFormat="false" ht="12.8" hidden="false" customHeight="false" outlineLevel="0" collapsed="false">
      <c r="A792" s="9" t="s">
        <v>5410</v>
      </c>
      <c r="B792" s="10" t="s">
        <v>5411</v>
      </c>
      <c r="C792" s="10" t="n">
        <v>0.053</v>
      </c>
      <c r="D792" s="0" t="s">
        <v>5412</v>
      </c>
      <c r="E792" s="0" t="s">
        <v>5373</v>
      </c>
      <c r="F792" s="0" t="s">
        <v>3160</v>
      </c>
      <c r="G792" s="0" t="s">
        <v>5327</v>
      </c>
    </row>
    <row r="793" customFormat="false" ht="12.8" hidden="false" customHeight="false" outlineLevel="0" collapsed="false">
      <c r="A793" s="9" t="s">
        <v>5413</v>
      </c>
      <c r="B793" s="10" t="s">
        <v>5414</v>
      </c>
      <c r="C793" s="10" t="n">
        <v>0.055</v>
      </c>
      <c r="D793" s="0" t="s">
        <v>5415</v>
      </c>
      <c r="E793" s="0" t="s">
        <v>5373</v>
      </c>
      <c r="F793" s="0" t="s">
        <v>3160</v>
      </c>
      <c r="G793" s="0" t="s">
        <v>5327</v>
      </c>
    </row>
    <row r="794" customFormat="false" ht="12.8" hidden="false" customHeight="false" outlineLevel="0" collapsed="false">
      <c r="A794" s="9" t="s">
        <v>5416</v>
      </c>
      <c r="B794" s="10" t="s">
        <v>5417</v>
      </c>
      <c r="C794" s="10" t="n">
        <v>0.03</v>
      </c>
      <c r="D794" s="0" t="s">
        <v>5418</v>
      </c>
      <c r="E794" s="0" t="s">
        <v>5419</v>
      </c>
      <c r="F794" s="0" t="s">
        <v>3160</v>
      </c>
      <c r="G794" s="0" t="s">
        <v>5327</v>
      </c>
    </row>
    <row r="795" customFormat="false" ht="12.8" hidden="false" customHeight="false" outlineLevel="0" collapsed="false">
      <c r="A795" s="9" t="s">
        <v>5420</v>
      </c>
      <c r="B795" s="10" t="s">
        <v>5421</v>
      </c>
      <c r="C795" s="10" t="n">
        <v>0.035</v>
      </c>
      <c r="D795" s="0" t="s">
        <v>5422</v>
      </c>
      <c r="E795" s="0" t="s">
        <v>5419</v>
      </c>
      <c r="F795" s="0" t="s">
        <v>3160</v>
      </c>
      <c r="G795" s="0" t="s">
        <v>5327</v>
      </c>
    </row>
    <row r="796" customFormat="false" ht="12.8" hidden="false" customHeight="false" outlineLevel="0" collapsed="false">
      <c r="A796" s="9" t="s">
        <v>5423</v>
      </c>
      <c r="B796" s="10" t="s">
        <v>5424</v>
      </c>
      <c r="C796" s="10" t="n">
        <v>0.025</v>
      </c>
      <c r="D796" s="0" t="s">
        <v>5425</v>
      </c>
      <c r="E796" s="0" t="s">
        <v>5419</v>
      </c>
      <c r="F796" s="0" t="s">
        <v>3160</v>
      </c>
      <c r="G796" s="0" t="s">
        <v>5327</v>
      </c>
    </row>
    <row r="797" customFormat="false" ht="12.8" hidden="false" customHeight="false" outlineLevel="0" collapsed="false">
      <c r="A797" s="9" t="s">
        <v>5426</v>
      </c>
      <c r="B797" s="10" t="s">
        <v>5427</v>
      </c>
      <c r="C797" s="10" t="n">
        <v>0.028</v>
      </c>
      <c r="D797" s="0" t="s">
        <v>5428</v>
      </c>
      <c r="E797" s="0" t="s">
        <v>5419</v>
      </c>
      <c r="F797" s="0" t="s">
        <v>3160</v>
      </c>
      <c r="G797" s="0" t="s">
        <v>5327</v>
      </c>
    </row>
    <row r="798" customFormat="false" ht="12.8" hidden="false" customHeight="false" outlineLevel="0" collapsed="false">
      <c r="A798" s="9" t="s">
        <v>5429</v>
      </c>
      <c r="B798" s="10" t="s">
        <v>5430</v>
      </c>
      <c r="C798" s="10" t="n">
        <v>0.032</v>
      </c>
      <c r="D798" s="0" t="s">
        <v>5431</v>
      </c>
      <c r="E798" s="0" t="s">
        <v>5419</v>
      </c>
      <c r="F798" s="0" t="s">
        <v>3160</v>
      </c>
      <c r="G798" s="0" t="s">
        <v>5327</v>
      </c>
    </row>
    <row r="799" customFormat="false" ht="12.8" hidden="false" customHeight="false" outlineLevel="0" collapsed="false">
      <c r="A799" s="9" t="s">
        <v>5432</v>
      </c>
      <c r="B799" s="10" t="s">
        <v>5433</v>
      </c>
      <c r="C799" s="10" t="n">
        <v>0.034</v>
      </c>
      <c r="D799" s="0" t="s">
        <v>5434</v>
      </c>
      <c r="E799" s="0" t="s">
        <v>5419</v>
      </c>
      <c r="F799" s="0" t="s">
        <v>3160</v>
      </c>
      <c r="G799" s="0" t="s">
        <v>5327</v>
      </c>
    </row>
    <row r="800" customFormat="false" ht="12.8" hidden="false" customHeight="false" outlineLevel="0" collapsed="false">
      <c r="A800" s="9" t="s">
        <v>5435</v>
      </c>
      <c r="B800" s="10" t="s">
        <v>5436</v>
      </c>
      <c r="C800" s="10" t="n">
        <v>0.03</v>
      </c>
      <c r="D800" s="0" t="s">
        <v>5437</v>
      </c>
      <c r="E800" s="0" t="s">
        <v>5419</v>
      </c>
      <c r="F800" s="0" t="s">
        <v>3160</v>
      </c>
      <c r="G800" s="0" t="s">
        <v>5327</v>
      </c>
    </row>
    <row r="801" customFormat="false" ht="12.8" hidden="false" customHeight="false" outlineLevel="0" collapsed="false">
      <c r="A801" s="9" t="s">
        <v>5438</v>
      </c>
      <c r="B801" s="10" t="s">
        <v>5439</v>
      </c>
      <c r="C801" s="10" t="n">
        <v>0.027</v>
      </c>
      <c r="D801" s="0" t="s">
        <v>5440</v>
      </c>
      <c r="E801" s="0" t="s">
        <v>5419</v>
      </c>
      <c r="F801" s="0" t="s">
        <v>3160</v>
      </c>
      <c r="G801" s="0" t="s">
        <v>5327</v>
      </c>
    </row>
    <row r="802" customFormat="false" ht="12.8" hidden="false" customHeight="false" outlineLevel="0" collapsed="false">
      <c r="A802" s="9" t="s">
        <v>5441</v>
      </c>
      <c r="B802" s="10" t="s">
        <v>5442</v>
      </c>
      <c r="C802" s="10" t="n">
        <v>0.033</v>
      </c>
      <c r="D802" s="0" t="s">
        <v>5443</v>
      </c>
      <c r="E802" s="0" t="s">
        <v>5419</v>
      </c>
      <c r="F802" s="0" t="s">
        <v>3160</v>
      </c>
      <c r="G802" s="0" t="s">
        <v>5327</v>
      </c>
    </row>
    <row r="803" customFormat="false" ht="12.8" hidden="false" customHeight="false" outlineLevel="0" collapsed="false">
      <c r="A803" s="9" t="s">
        <v>5444</v>
      </c>
      <c r="B803" s="10" t="s">
        <v>5445</v>
      </c>
      <c r="C803" s="10" t="n">
        <v>0.038</v>
      </c>
      <c r="D803" s="0" t="s">
        <v>5446</v>
      </c>
      <c r="E803" s="0" t="s">
        <v>5419</v>
      </c>
      <c r="F803" s="0" t="s">
        <v>3160</v>
      </c>
      <c r="G803" s="0" t="s">
        <v>5327</v>
      </c>
    </row>
    <row r="804" customFormat="false" ht="12.8" hidden="false" customHeight="false" outlineLevel="0" collapsed="false">
      <c r="A804" s="9" t="s">
        <v>5447</v>
      </c>
      <c r="B804" s="10" t="s">
        <v>5448</v>
      </c>
      <c r="C804" s="10" t="n">
        <v>0.045</v>
      </c>
      <c r="D804" s="0" t="s">
        <v>5449</v>
      </c>
      <c r="E804" s="0" t="s">
        <v>5419</v>
      </c>
      <c r="F804" s="0" t="s">
        <v>3160</v>
      </c>
      <c r="G804" s="0" t="s">
        <v>5327</v>
      </c>
    </row>
    <row r="805" customFormat="false" ht="12.8" hidden="false" customHeight="false" outlineLevel="0" collapsed="false">
      <c r="A805" s="9" t="s">
        <v>5450</v>
      </c>
      <c r="B805" s="10" t="s">
        <v>5451</v>
      </c>
      <c r="C805" s="10" t="n">
        <v>0.04</v>
      </c>
      <c r="D805" s="0" t="s">
        <v>5452</v>
      </c>
      <c r="E805" s="0" t="s">
        <v>5419</v>
      </c>
      <c r="F805" s="0" t="s">
        <v>3160</v>
      </c>
      <c r="G805" s="0" t="s">
        <v>5327</v>
      </c>
    </row>
    <row r="806" customFormat="false" ht="12.8" hidden="false" customHeight="false" outlineLevel="0" collapsed="false">
      <c r="A806" s="9" t="s">
        <v>5453</v>
      </c>
      <c r="B806" s="10" t="s">
        <v>5454</v>
      </c>
      <c r="C806" s="10" t="n">
        <v>0.042</v>
      </c>
      <c r="D806" s="0" t="s">
        <v>5455</v>
      </c>
      <c r="E806" s="0" t="s">
        <v>5419</v>
      </c>
      <c r="F806" s="0" t="s">
        <v>3160</v>
      </c>
      <c r="G806" s="0" t="s">
        <v>5327</v>
      </c>
    </row>
    <row r="807" customFormat="false" ht="12.8" hidden="false" customHeight="false" outlineLevel="0" collapsed="false">
      <c r="A807" s="9" t="s">
        <v>5456</v>
      </c>
      <c r="B807" s="10" t="s">
        <v>5457</v>
      </c>
      <c r="C807" s="10" t="n">
        <v>0.048</v>
      </c>
      <c r="D807" s="0" t="s">
        <v>5458</v>
      </c>
      <c r="E807" s="0" t="s">
        <v>5419</v>
      </c>
      <c r="F807" s="0" t="s">
        <v>3160</v>
      </c>
      <c r="G807" s="0" t="s">
        <v>5327</v>
      </c>
    </row>
    <row r="808" customFormat="false" ht="12.8" hidden="false" customHeight="false" outlineLevel="0" collapsed="false">
      <c r="A808" s="9" t="s">
        <v>5459</v>
      </c>
      <c r="B808" s="10" t="s">
        <v>5460</v>
      </c>
      <c r="C808" s="10" t="n">
        <v>0.05</v>
      </c>
      <c r="D808" s="0" t="s">
        <v>5461</v>
      </c>
      <c r="E808" s="0" t="s">
        <v>5419</v>
      </c>
      <c r="F808" s="0" t="s">
        <v>3160</v>
      </c>
      <c r="G808" s="0" t="s">
        <v>5327</v>
      </c>
    </row>
    <row r="814" customFormat="false" ht="12.8" hidden="false" customHeight="false" outlineLevel="0" collapsed="false">
      <c r="A814" s="9" t="s">
        <v>5462</v>
      </c>
      <c r="B814" s="10" t="s">
        <v>5463</v>
      </c>
      <c r="C814" s="10" t="n">
        <v>1200</v>
      </c>
      <c r="D814" s="0" t="s">
        <v>5464</v>
      </c>
      <c r="E814" s="0" t="s">
        <v>5465</v>
      </c>
      <c r="F814" s="0" t="s">
        <v>3160</v>
      </c>
      <c r="G814" s="0" t="s">
        <v>5466</v>
      </c>
    </row>
    <row r="815" customFormat="false" ht="12.8" hidden="false" customHeight="false" outlineLevel="0" collapsed="false">
      <c r="A815" s="9" t="s">
        <v>5467</v>
      </c>
      <c r="B815" s="10" t="s">
        <v>5468</v>
      </c>
      <c r="C815" s="10" t="n">
        <v>1400</v>
      </c>
      <c r="D815" s="0" t="s">
        <v>5469</v>
      </c>
      <c r="E815" s="0" t="s">
        <v>5465</v>
      </c>
      <c r="F815" s="0" t="s">
        <v>3160</v>
      </c>
      <c r="G815" s="0" t="s">
        <v>5466</v>
      </c>
    </row>
    <row r="816" customFormat="false" ht="12.8" hidden="false" customHeight="false" outlineLevel="0" collapsed="false">
      <c r="A816" s="9" t="s">
        <v>5470</v>
      </c>
      <c r="B816" s="10" t="s">
        <v>5471</v>
      </c>
      <c r="C816" s="10" t="n">
        <v>1100</v>
      </c>
      <c r="D816" s="0" t="s">
        <v>5472</v>
      </c>
      <c r="E816" s="0" t="s">
        <v>5465</v>
      </c>
      <c r="F816" s="0" t="s">
        <v>3160</v>
      </c>
      <c r="G816" s="0" t="s">
        <v>5466</v>
      </c>
    </row>
    <row r="817" customFormat="false" ht="12.8" hidden="false" customHeight="false" outlineLevel="0" collapsed="false">
      <c r="A817" s="9" t="s">
        <v>5473</v>
      </c>
      <c r="B817" s="10" t="s">
        <v>5474</v>
      </c>
      <c r="C817" s="10" t="n">
        <v>1150</v>
      </c>
      <c r="D817" s="0" t="s">
        <v>5475</v>
      </c>
      <c r="E817" s="0" t="s">
        <v>5465</v>
      </c>
      <c r="F817" s="0" t="s">
        <v>3160</v>
      </c>
      <c r="G817" s="0" t="s">
        <v>5466</v>
      </c>
    </row>
    <row r="818" customFormat="false" ht="12.8" hidden="false" customHeight="false" outlineLevel="0" collapsed="false">
      <c r="A818" s="9" t="s">
        <v>5476</v>
      </c>
      <c r="B818" s="10" t="s">
        <v>5477</v>
      </c>
      <c r="C818" s="10" t="n">
        <v>1300</v>
      </c>
      <c r="D818" s="0" t="s">
        <v>5478</v>
      </c>
      <c r="E818" s="0" t="s">
        <v>5465</v>
      </c>
      <c r="F818" s="0" t="s">
        <v>3160</v>
      </c>
      <c r="G818" s="0" t="s">
        <v>5466</v>
      </c>
    </row>
    <row r="819" customFormat="false" ht="12.8" hidden="false" customHeight="false" outlineLevel="0" collapsed="false">
      <c r="A819" s="9" t="s">
        <v>5479</v>
      </c>
      <c r="B819" s="10" t="s">
        <v>5480</v>
      </c>
      <c r="C819" s="10" t="n">
        <v>1350</v>
      </c>
      <c r="D819" s="0" t="s">
        <v>5481</v>
      </c>
      <c r="E819" s="0" t="s">
        <v>5465</v>
      </c>
      <c r="F819" s="0" t="s">
        <v>3160</v>
      </c>
      <c r="G819" s="0" t="s">
        <v>5466</v>
      </c>
    </row>
    <row r="820" customFormat="false" ht="12.8" hidden="false" customHeight="false" outlineLevel="0" collapsed="false">
      <c r="A820" s="9" t="s">
        <v>5482</v>
      </c>
      <c r="B820" s="10" t="s">
        <v>5483</v>
      </c>
      <c r="C820" s="10" t="n">
        <v>1250</v>
      </c>
      <c r="D820" s="0" t="s">
        <v>5484</v>
      </c>
      <c r="E820" s="0" t="s">
        <v>5465</v>
      </c>
      <c r="F820" s="0" t="s">
        <v>3160</v>
      </c>
      <c r="G820" s="0" t="s">
        <v>5466</v>
      </c>
    </row>
    <row r="821" customFormat="false" ht="12.8" hidden="false" customHeight="false" outlineLevel="0" collapsed="false">
      <c r="A821" s="9" t="s">
        <v>5485</v>
      </c>
      <c r="B821" s="10" t="s">
        <v>5486</v>
      </c>
      <c r="C821" s="10" t="n">
        <v>1180</v>
      </c>
      <c r="D821" s="0" t="s">
        <v>5487</v>
      </c>
      <c r="E821" s="0" t="s">
        <v>5465</v>
      </c>
      <c r="F821" s="0" t="s">
        <v>3160</v>
      </c>
      <c r="G821" s="0" t="s">
        <v>5466</v>
      </c>
    </row>
    <row r="822" customFormat="false" ht="12.8" hidden="false" customHeight="false" outlineLevel="0" collapsed="false">
      <c r="A822" s="9" t="s">
        <v>5488</v>
      </c>
      <c r="B822" s="10" t="s">
        <v>5489</v>
      </c>
      <c r="C822" s="10" t="n">
        <v>1320</v>
      </c>
      <c r="D822" s="0" t="s">
        <v>5490</v>
      </c>
      <c r="E822" s="0" t="s">
        <v>5465</v>
      </c>
      <c r="F822" s="0" t="s">
        <v>3160</v>
      </c>
      <c r="G822" s="0" t="s">
        <v>5466</v>
      </c>
    </row>
    <row r="823" customFormat="false" ht="12.8" hidden="false" customHeight="false" outlineLevel="0" collapsed="false">
      <c r="A823" s="9" t="s">
        <v>5491</v>
      </c>
      <c r="B823" s="10" t="s">
        <v>5492</v>
      </c>
      <c r="C823" s="10" t="n">
        <v>1450</v>
      </c>
      <c r="D823" s="0" t="s">
        <v>5493</v>
      </c>
      <c r="E823" s="0" t="s">
        <v>5465</v>
      </c>
      <c r="F823" s="0" t="s">
        <v>3160</v>
      </c>
      <c r="G823" s="0" t="s">
        <v>5466</v>
      </c>
    </row>
    <row r="824" customFormat="false" ht="12.8" hidden="false" customHeight="false" outlineLevel="0" collapsed="false">
      <c r="A824" s="9" t="s">
        <v>5494</v>
      </c>
      <c r="B824" s="10" t="s">
        <v>5495</v>
      </c>
      <c r="C824" s="10" t="n">
        <v>1600</v>
      </c>
      <c r="D824" s="0" t="s">
        <v>5496</v>
      </c>
      <c r="E824" s="0" t="s">
        <v>5465</v>
      </c>
      <c r="F824" s="0" t="s">
        <v>3160</v>
      </c>
      <c r="G824" s="0" t="s">
        <v>5466</v>
      </c>
    </row>
    <row r="825" customFormat="false" ht="12.8" hidden="false" customHeight="false" outlineLevel="0" collapsed="false">
      <c r="A825" s="9" t="s">
        <v>5497</v>
      </c>
      <c r="B825" s="10" t="s">
        <v>5498</v>
      </c>
      <c r="C825" s="10" t="n">
        <v>1500</v>
      </c>
      <c r="D825" s="0" t="s">
        <v>5499</v>
      </c>
      <c r="E825" s="0" t="s">
        <v>5465</v>
      </c>
      <c r="F825" s="0" t="s">
        <v>3160</v>
      </c>
      <c r="G825" s="0" t="s">
        <v>5466</v>
      </c>
    </row>
    <row r="826" customFormat="false" ht="12.8" hidden="false" customHeight="false" outlineLevel="0" collapsed="false">
      <c r="A826" s="9" t="s">
        <v>5500</v>
      </c>
      <c r="B826" s="10" t="s">
        <v>5501</v>
      </c>
      <c r="C826" s="10" t="n">
        <v>1550</v>
      </c>
      <c r="D826" s="0" t="s">
        <v>5502</v>
      </c>
      <c r="E826" s="0" t="s">
        <v>5465</v>
      </c>
      <c r="F826" s="0" t="s">
        <v>3160</v>
      </c>
      <c r="G826" s="0" t="s">
        <v>5466</v>
      </c>
    </row>
    <row r="827" customFormat="false" ht="12.8" hidden="false" customHeight="false" outlineLevel="0" collapsed="false">
      <c r="A827" s="9" t="s">
        <v>5503</v>
      </c>
      <c r="B827" s="10" t="s">
        <v>5504</v>
      </c>
      <c r="C827" s="10" t="n">
        <v>1650</v>
      </c>
      <c r="D827" s="0" t="s">
        <v>5505</v>
      </c>
      <c r="E827" s="0" t="s">
        <v>5465</v>
      </c>
      <c r="F827" s="0" t="s">
        <v>3160</v>
      </c>
      <c r="G827" s="0" t="s">
        <v>5466</v>
      </c>
    </row>
    <row r="828" customFormat="false" ht="12.8" hidden="false" customHeight="false" outlineLevel="0" collapsed="false">
      <c r="A828" s="9" t="s">
        <v>5506</v>
      </c>
      <c r="B828" s="10" t="s">
        <v>5507</v>
      </c>
      <c r="C828" s="10" t="n">
        <v>1700</v>
      </c>
      <c r="D828" s="0" t="s">
        <v>5508</v>
      </c>
      <c r="E828" s="0" t="s">
        <v>5465</v>
      </c>
      <c r="F828" s="0" t="s">
        <v>3160</v>
      </c>
      <c r="G828" s="0" t="s">
        <v>5466</v>
      </c>
    </row>
    <row r="829" customFormat="false" ht="12.8" hidden="false" customHeight="false" outlineLevel="0" collapsed="false">
      <c r="A829" s="9" t="s">
        <v>5509</v>
      </c>
      <c r="B829" s="10" t="s">
        <v>5510</v>
      </c>
      <c r="C829" s="10" t="n">
        <v>1100</v>
      </c>
      <c r="D829" s="0" t="s">
        <v>5511</v>
      </c>
      <c r="E829" s="0" t="s">
        <v>5373</v>
      </c>
      <c r="F829" s="0" t="s">
        <v>3160</v>
      </c>
      <c r="G829" s="0" t="s">
        <v>5466</v>
      </c>
    </row>
    <row r="830" customFormat="false" ht="12.8" hidden="false" customHeight="false" outlineLevel="0" collapsed="false">
      <c r="A830" s="9" t="s">
        <v>5512</v>
      </c>
      <c r="B830" s="10" t="s">
        <v>5513</v>
      </c>
      <c r="C830" s="10" t="n">
        <v>1300</v>
      </c>
      <c r="D830" s="0" t="s">
        <v>5514</v>
      </c>
      <c r="E830" s="0" t="s">
        <v>5373</v>
      </c>
      <c r="F830" s="0" t="s">
        <v>3160</v>
      </c>
      <c r="G830" s="0" t="s">
        <v>5466</v>
      </c>
    </row>
    <row r="831" customFormat="false" ht="12.8" hidden="false" customHeight="false" outlineLevel="0" collapsed="false">
      <c r="A831" s="9" t="s">
        <v>5515</v>
      </c>
      <c r="B831" s="10" t="s">
        <v>5516</v>
      </c>
      <c r="C831" s="10" t="n">
        <v>1000</v>
      </c>
      <c r="D831" s="0" t="s">
        <v>5517</v>
      </c>
      <c r="E831" s="0" t="s">
        <v>5373</v>
      </c>
      <c r="F831" s="0" t="s">
        <v>3160</v>
      </c>
      <c r="G831" s="0" t="s">
        <v>5466</v>
      </c>
    </row>
    <row r="832" customFormat="false" ht="12.8" hidden="false" customHeight="false" outlineLevel="0" collapsed="false">
      <c r="A832" s="9" t="s">
        <v>5518</v>
      </c>
      <c r="B832" s="10" t="s">
        <v>5519</v>
      </c>
      <c r="C832" s="10" t="n">
        <v>1050</v>
      </c>
      <c r="D832" s="0" t="s">
        <v>5520</v>
      </c>
      <c r="E832" s="0" t="s">
        <v>5373</v>
      </c>
      <c r="F832" s="0" t="s">
        <v>3160</v>
      </c>
      <c r="G832" s="0" t="s">
        <v>5466</v>
      </c>
    </row>
    <row r="833" customFormat="false" ht="12.8" hidden="false" customHeight="false" outlineLevel="0" collapsed="false">
      <c r="A833" s="9" t="s">
        <v>5521</v>
      </c>
      <c r="B833" s="10" t="s">
        <v>5522</v>
      </c>
      <c r="C833" s="10" t="n">
        <v>1200</v>
      </c>
      <c r="D833" s="0" t="s">
        <v>5523</v>
      </c>
      <c r="E833" s="0" t="s">
        <v>5373</v>
      </c>
      <c r="F833" s="0" t="s">
        <v>3160</v>
      </c>
      <c r="G833" s="0" t="s">
        <v>5466</v>
      </c>
    </row>
    <row r="834" customFormat="false" ht="12.8" hidden="false" customHeight="false" outlineLevel="0" collapsed="false">
      <c r="A834" s="9" t="s">
        <v>5524</v>
      </c>
      <c r="B834" s="10" t="s">
        <v>5525</v>
      </c>
      <c r="C834" s="10" t="n">
        <v>1250</v>
      </c>
      <c r="D834" s="0" t="s">
        <v>5526</v>
      </c>
      <c r="E834" s="0" t="s">
        <v>5373</v>
      </c>
      <c r="F834" s="0" t="s">
        <v>3160</v>
      </c>
      <c r="G834" s="0" t="s">
        <v>5466</v>
      </c>
    </row>
    <row r="835" customFormat="false" ht="12.8" hidden="false" customHeight="false" outlineLevel="0" collapsed="false">
      <c r="A835" s="9" t="s">
        <v>5527</v>
      </c>
      <c r="B835" s="10" t="s">
        <v>5528</v>
      </c>
      <c r="C835" s="10" t="n">
        <v>1150</v>
      </c>
      <c r="D835" s="0" t="s">
        <v>5529</v>
      </c>
      <c r="E835" s="0" t="s">
        <v>5373</v>
      </c>
      <c r="F835" s="0" t="s">
        <v>3160</v>
      </c>
      <c r="G835" s="0" t="s">
        <v>5466</v>
      </c>
    </row>
    <row r="836" customFormat="false" ht="12.8" hidden="false" customHeight="false" outlineLevel="0" collapsed="false">
      <c r="A836" s="9" t="s">
        <v>5530</v>
      </c>
      <c r="B836" s="10" t="s">
        <v>5531</v>
      </c>
      <c r="C836" s="10" t="n">
        <v>1080</v>
      </c>
      <c r="D836" s="0" t="s">
        <v>5532</v>
      </c>
      <c r="E836" s="0" t="s">
        <v>5373</v>
      </c>
      <c r="F836" s="0" t="s">
        <v>3160</v>
      </c>
      <c r="G836" s="0" t="s">
        <v>5466</v>
      </c>
    </row>
    <row r="838" customFormat="false" ht="12.8" hidden="false" customHeight="false" outlineLevel="0" collapsed="false">
      <c r="A838" s="9" t="s">
        <v>5533</v>
      </c>
      <c r="B838" s="10" t="s">
        <v>5534</v>
      </c>
      <c r="C838" s="10" t="n">
        <v>1220</v>
      </c>
      <c r="D838" s="0" t="s">
        <v>5535</v>
      </c>
      <c r="E838" s="0" t="s">
        <v>5373</v>
      </c>
      <c r="F838" s="0" t="s">
        <v>3160</v>
      </c>
      <c r="G838" s="0" t="s">
        <v>5466</v>
      </c>
    </row>
    <row r="839" customFormat="false" ht="12.8" hidden="false" customHeight="false" outlineLevel="0" collapsed="false">
      <c r="A839" s="9" t="s">
        <v>5536</v>
      </c>
      <c r="B839" s="10" t="s">
        <v>5537</v>
      </c>
      <c r="C839" s="10" t="n">
        <v>1350</v>
      </c>
      <c r="D839" s="0" t="s">
        <v>5538</v>
      </c>
      <c r="E839" s="0" t="s">
        <v>5373</v>
      </c>
      <c r="F839" s="0" t="s">
        <v>3160</v>
      </c>
      <c r="G839" s="0" t="s">
        <v>5466</v>
      </c>
    </row>
    <row r="840" customFormat="false" ht="12.8" hidden="false" customHeight="false" outlineLevel="0" collapsed="false">
      <c r="A840" s="9" t="s">
        <v>5539</v>
      </c>
      <c r="B840" s="10" t="s">
        <v>5540</v>
      </c>
      <c r="C840" s="10" t="n">
        <v>1500</v>
      </c>
      <c r="D840" s="0" t="s">
        <v>5541</v>
      </c>
      <c r="E840" s="0" t="s">
        <v>5373</v>
      </c>
      <c r="F840" s="0" t="s">
        <v>3160</v>
      </c>
      <c r="G840" s="0" t="s">
        <v>5466</v>
      </c>
    </row>
    <row r="841" customFormat="false" ht="12.8" hidden="false" customHeight="false" outlineLevel="0" collapsed="false">
      <c r="A841" s="9" t="s">
        <v>5542</v>
      </c>
      <c r="B841" s="10" t="s">
        <v>5543</v>
      </c>
      <c r="C841" s="10" t="n">
        <v>1400</v>
      </c>
      <c r="D841" s="0" t="s">
        <v>5544</v>
      </c>
      <c r="E841" s="0" t="s">
        <v>5373</v>
      </c>
      <c r="F841" s="0" t="s">
        <v>3160</v>
      </c>
      <c r="G841" s="0" t="s">
        <v>5466</v>
      </c>
    </row>
    <row r="842" customFormat="false" ht="12.8" hidden="false" customHeight="false" outlineLevel="0" collapsed="false">
      <c r="A842" s="9" t="s">
        <v>5545</v>
      </c>
      <c r="B842" s="10" t="s">
        <v>5546</v>
      </c>
      <c r="C842" s="10" t="n">
        <v>1450</v>
      </c>
      <c r="D842" s="0" t="s">
        <v>5547</v>
      </c>
      <c r="E842" s="0" t="s">
        <v>5373</v>
      </c>
      <c r="F842" s="0" t="s">
        <v>3160</v>
      </c>
      <c r="G842" s="0" t="s">
        <v>5466</v>
      </c>
    </row>
    <row r="843" customFormat="false" ht="12.8" hidden="false" customHeight="false" outlineLevel="0" collapsed="false">
      <c r="A843" s="9" t="s">
        <v>5548</v>
      </c>
      <c r="B843" s="10" t="s">
        <v>5549</v>
      </c>
      <c r="C843" s="10" t="n">
        <v>1550</v>
      </c>
      <c r="D843" s="0" t="s">
        <v>5550</v>
      </c>
      <c r="E843" s="0" t="s">
        <v>5373</v>
      </c>
      <c r="F843" s="0" t="s">
        <v>3160</v>
      </c>
      <c r="G843" s="0" t="s">
        <v>5466</v>
      </c>
    </row>
    <row r="844" customFormat="false" ht="12.8" hidden="false" customHeight="false" outlineLevel="0" collapsed="false">
      <c r="A844" s="9" t="s">
        <v>5551</v>
      </c>
      <c r="B844" s="10" t="s">
        <v>5552</v>
      </c>
      <c r="C844" s="10" t="n">
        <v>1600</v>
      </c>
      <c r="D844" s="0" t="s">
        <v>5553</v>
      </c>
      <c r="E844" s="0" t="s">
        <v>5373</v>
      </c>
      <c r="F844" s="0" t="s">
        <v>3160</v>
      </c>
      <c r="G844" s="0" t="s">
        <v>5466</v>
      </c>
    </row>
    <row r="845" customFormat="false" ht="12.8" hidden="false" customHeight="false" outlineLevel="0" collapsed="false">
      <c r="A845" s="9" t="s">
        <v>5554</v>
      </c>
      <c r="B845" s="10" t="s">
        <v>5555</v>
      </c>
      <c r="C845" s="10" t="n">
        <v>1000</v>
      </c>
      <c r="D845" s="0" t="s">
        <v>5556</v>
      </c>
      <c r="E845" s="0" t="s">
        <v>5419</v>
      </c>
      <c r="F845" s="0" t="s">
        <v>3160</v>
      </c>
      <c r="G845" s="0" t="s">
        <v>5466</v>
      </c>
    </row>
    <row r="846" customFormat="false" ht="12.8" hidden="false" customHeight="false" outlineLevel="0" collapsed="false">
      <c r="A846" s="9" t="s">
        <v>5557</v>
      </c>
      <c r="B846" s="10" t="s">
        <v>5558</v>
      </c>
      <c r="C846" s="10" t="n">
        <v>1200</v>
      </c>
      <c r="D846" s="0" t="s">
        <v>5559</v>
      </c>
      <c r="E846" s="0" t="s">
        <v>5419</v>
      </c>
      <c r="F846" s="0" t="s">
        <v>3160</v>
      </c>
      <c r="G846" s="0" t="s">
        <v>5466</v>
      </c>
    </row>
    <row r="847" customFormat="false" ht="12.8" hidden="false" customHeight="false" outlineLevel="0" collapsed="false">
      <c r="A847" s="9" t="s">
        <v>5560</v>
      </c>
      <c r="B847" s="10" t="s">
        <v>5561</v>
      </c>
      <c r="C847" s="10" t="n">
        <v>900</v>
      </c>
      <c r="D847" s="0" t="s">
        <v>5562</v>
      </c>
      <c r="E847" s="0" t="s">
        <v>5419</v>
      </c>
      <c r="F847" s="0" t="s">
        <v>3160</v>
      </c>
      <c r="G847" s="0" t="s">
        <v>5466</v>
      </c>
    </row>
    <row r="848" customFormat="false" ht="12.8" hidden="false" customHeight="false" outlineLevel="0" collapsed="false">
      <c r="A848" s="9" t="s">
        <v>5563</v>
      </c>
      <c r="B848" s="10" t="s">
        <v>5564</v>
      </c>
      <c r="C848" s="10" t="n">
        <v>950</v>
      </c>
      <c r="D848" s="0" t="s">
        <v>5565</v>
      </c>
      <c r="E848" s="0" t="s">
        <v>5419</v>
      </c>
      <c r="F848" s="0" t="s">
        <v>3160</v>
      </c>
      <c r="G848" s="0" t="s">
        <v>5466</v>
      </c>
    </row>
    <row r="849" customFormat="false" ht="12.8" hidden="false" customHeight="false" outlineLevel="0" collapsed="false">
      <c r="A849" s="9" t="s">
        <v>5566</v>
      </c>
      <c r="B849" s="10" t="s">
        <v>5567</v>
      </c>
      <c r="C849" s="10" t="n">
        <v>1100</v>
      </c>
      <c r="D849" s="0" t="s">
        <v>5568</v>
      </c>
      <c r="E849" s="0" t="s">
        <v>5419</v>
      </c>
      <c r="F849" s="0" t="s">
        <v>3160</v>
      </c>
      <c r="G849" s="0" t="s">
        <v>5466</v>
      </c>
    </row>
    <row r="850" customFormat="false" ht="12.8" hidden="false" customHeight="false" outlineLevel="0" collapsed="false">
      <c r="A850" s="9" t="s">
        <v>5569</v>
      </c>
      <c r="B850" s="10" t="s">
        <v>5570</v>
      </c>
      <c r="C850" s="10" t="n">
        <v>1150</v>
      </c>
      <c r="D850" s="0" t="s">
        <v>5571</v>
      </c>
      <c r="E850" s="0" t="s">
        <v>5419</v>
      </c>
      <c r="F850" s="0" t="s">
        <v>3160</v>
      </c>
      <c r="G850" s="0" t="s">
        <v>5466</v>
      </c>
    </row>
    <row r="851" customFormat="false" ht="12.8" hidden="false" customHeight="false" outlineLevel="0" collapsed="false">
      <c r="A851" s="9" t="s">
        <v>5572</v>
      </c>
      <c r="B851" s="10" t="s">
        <v>5573</v>
      </c>
      <c r="C851" s="10" t="n">
        <v>1050</v>
      </c>
      <c r="D851" s="0" t="s">
        <v>5574</v>
      </c>
      <c r="E851" s="0" t="s">
        <v>5419</v>
      </c>
      <c r="F851" s="0" t="s">
        <v>3160</v>
      </c>
      <c r="G851" s="0" t="s">
        <v>5466</v>
      </c>
    </row>
    <row r="852" customFormat="false" ht="12.8" hidden="false" customHeight="false" outlineLevel="0" collapsed="false">
      <c r="A852" s="9" t="s">
        <v>5575</v>
      </c>
      <c r="B852" s="10" t="s">
        <v>5576</v>
      </c>
      <c r="C852" s="10" t="n">
        <v>980</v>
      </c>
      <c r="D852" s="0" t="s">
        <v>5577</v>
      </c>
      <c r="E852" s="0" t="s">
        <v>5419</v>
      </c>
      <c r="F852" s="0" t="s">
        <v>3160</v>
      </c>
      <c r="G852" s="0" t="s">
        <v>5466</v>
      </c>
    </row>
    <row r="853" customFormat="false" ht="12.8" hidden="false" customHeight="false" outlineLevel="0" collapsed="false">
      <c r="A853" s="9" t="s">
        <v>5578</v>
      </c>
      <c r="B853" s="10" t="s">
        <v>5579</v>
      </c>
      <c r="C853" s="10" t="n">
        <v>1120</v>
      </c>
      <c r="D853" s="0" t="s">
        <v>5580</v>
      </c>
      <c r="E853" s="0" t="s">
        <v>5419</v>
      </c>
      <c r="F853" s="0" t="s">
        <v>3160</v>
      </c>
      <c r="G853" s="0" t="s">
        <v>5466</v>
      </c>
    </row>
    <row r="854" customFormat="false" ht="12.8" hidden="false" customHeight="false" outlineLevel="0" collapsed="false">
      <c r="A854" s="9" t="s">
        <v>5581</v>
      </c>
      <c r="B854" s="10" t="s">
        <v>5582</v>
      </c>
      <c r="C854" s="10" t="n">
        <v>1250</v>
      </c>
      <c r="D854" s="0" t="s">
        <v>5583</v>
      </c>
      <c r="E854" s="0" t="s">
        <v>5419</v>
      </c>
      <c r="F854" s="0" t="s">
        <v>3160</v>
      </c>
      <c r="G854" s="0" t="s">
        <v>5466</v>
      </c>
    </row>
    <row r="855" customFormat="false" ht="12.8" hidden="false" customHeight="false" outlineLevel="0" collapsed="false">
      <c r="A855" s="9" t="s">
        <v>5584</v>
      </c>
      <c r="B855" s="10" t="s">
        <v>5585</v>
      </c>
      <c r="C855" s="10" t="n">
        <v>1400</v>
      </c>
      <c r="D855" s="0" t="s">
        <v>5586</v>
      </c>
      <c r="E855" s="0" t="s">
        <v>5419</v>
      </c>
      <c r="F855" s="0" t="s">
        <v>3160</v>
      </c>
      <c r="G855" s="0" t="s">
        <v>5466</v>
      </c>
    </row>
    <row r="856" customFormat="false" ht="12.8" hidden="false" customHeight="false" outlineLevel="0" collapsed="false">
      <c r="A856" s="9" t="s">
        <v>5587</v>
      </c>
      <c r="B856" s="10" t="s">
        <v>5588</v>
      </c>
      <c r="C856" s="10" t="n">
        <v>1300</v>
      </c>
      <c r="D856" s="0" t="s">
        <v>5589</v>
      </c>
      <c r="E856" s="0" t="s">
        <v>5419</v>
      </c>
      <c r="F856" s="0" t="s">
        <v>3160</v>
      </c>
      <c r="G856" s="0" t="s">
        <v>5466</v>
      </c>
    </row>
    <row r="857" customFormat="false" ht="12.8" hidden="false" customHeight="false" outlineLevel="0" collapsed="false">
      <c r="A857" s="9" t="s">
        <v>5590</v>
      </c>
      <c r="B857" s="10" t="s">
        <v>5591</v>
      </c>
      <c r="C857" s="10" t="n">
        <v>1350</v>
      </c>
      <c r="D857" s="0" t="s">
        <v>5592</v>
      </c>
      <c r="E857" s="0" t="s">
        <v>5419</v>
      </c>
      <c r="F857" s="0" t="s">
        <v>3160</v>
      </c>
      <c r="G857" s="0" t="s">
        <v>5466</v>
      </c>
    </row>
    <row r="858" customFormat="false" ht="12.8" hidden="false" customHeight="false" outlineLevel="0" collapsed="false">
      <c r="A858" s="9" t="s">
        <v>5593</v>
      </c>
      <c r="B858" s="10" t="s">
        <v>5594</v>
      </c>
      <c r="C858" s="10" t="n">
        <v>1450</v>
      </c>
      <c r="D858" s="0" t="s">
        <v>5595</v>
      </c>
      <c r="E858" s="0" t="s">
        <v>5419</v>
      </c>
      <c r="F858" s="0" t="s">
        <v>3160</v>
      </c>
      <c r="G858" s="0" t="s">
        <v>5466</v>
      </c>
    </row>
    <row r="859" customFormat="false" ht="12.8" hidden="false" customHeight="false" outlineLevel="0" collapsed="false">
      <c r="A859" s="9" t="s">
        <v>5596</v>
      </c>
      <c r="B859" s="10" t="s">
        <v>5597</v>
      </c>
      <c r="C859" s="10" t="n">
        <v>1500</v>
      </c>
      <c r="D859" s="0" t="s">
        <v>5598</v>
      </c>
      <c r="E859" s="0" t="s">
        <v>5419</v>
      </c>
      <c r="F859" s="0" t="s">
        <v>3160</v>
      </c>
      <c r="G859" s="0" t="s">
        <v>5466</v>
      </c>
    </row>
    <row r="865" customFormat="false" ht="12.8" hidden="false" customHeight="false" outlineLevel="0" collapsed="false">
      <c r="A865" s="9" t="s">
        <v>5599</v>
      </c>
      <c r="B865" s="10" t="s">
        <v>5600</v>
      </c>
      <c r="C865" s="10" t="n">
        <v>0.92</v>
      </c>
      <c r="D865" s="0" t="s">
        <v>5601</v>
      </c>
      <c r="E865" s="0" t="s">
        <v>5602</v>
      </c>
      <c r="F865" s="0" t="s">
        <v>3160</v>
      </c>
      <c r="G865" s="0" t="s">
        <v>5603</v>
      </c>
    </row>
    <row r="866" customFormat="false" ht="12.8" hidden="false" customHeight="false" outlineLevel="0" collapsed="false">
      <c r="A866" s="9" t="s">
        <v>5604</v>
      </c>
      <c r="B866" s="10" t="s">
        <v>5605</v>
      </c>
      <c r="C866" s="10" t="n">
        <v>0.9</v>
      </c>
      <c r="D866" s="0" t="s">
        <v>5606</v>
      </c>
      <c r="E866" s="0" t="s">
        <v>5602</v>
      </c>
      <c r="F866" s="0" t="s">
        <v>3160</v>
      </c>
      <c r="G866" s="0" t="s">
        <v>5603</v>
      </c>
    </row>
    <row r="867" customFormat="false" ht="12.8" hidden="false" customHeight="false" outlineLevel="0" collapsed="false">
      <c r="A867" s="9" t="s">
        <v>5607</v>
      </c>
      <c r="B867" s="10" t="s">
        <v>5608</v>
      </c>
      <c r="C867" s="10" t="n">
        <v>0.88</v>
      </c>
      <c r="D867" s="0" t="s">
        <v>5609</v>
      </c>
      <c r="E867" s="0" t="s">
        <v>5602</v>
      </c>
      <c r="F867" s="0" t="s">
        <v>3160</v>
      </c>
      <c r="G867" s="0" t="s">
        <v>5603</v>
      </c>
    </row>
    <row r="868" customFormat="false" ht="12.8" hidden="false" customHeight="false" outlineLevel="0" collapsed="false">
      <c r="A868" s="9" t="s">
        <v>5610</v>
      </c>
      <c r="B868" s="10" t="s">
        <v>5611</v>
      </c>
      <c r="C868" s="10" t="n">
        <v>0.85</v>
      </c>
      <c r="D868" s="0" t="s">
        <v>5612</v>
      </c>
      <c r="E868" s="0" t="s">
        <v>5602</v>
      </c>
      <c r="F868" s="0" t="s">
        <v>3160</v>
      </c>
      <c r="G868" s="0" t="s">
        <v>5603</v>
      </c>
    </row>
    <row r="869" customFormat="false" ht="12.8" hidden="false" customHeight="false" outlineLevel="0" collapsed="false">
      <c r="A869" s="9" t="s">
        <v>5613</v>
      </c>
      <c r="B869" s="10" t="s">
        <v>5614</v>
      </c>
      <c r="C869" s="10" t="n">
        <v>0.93</v>
      </c>
      <c r="D869" s="0" t="s">
        <v>5615</v>
      </c>
      <c r="E869" s="0" t="s">
        <v>5602</v>
      </c>
      <c r="F869" s="0" t="s">
        <v>3160</v>
      </c>
      <c r="G869" s="0" t="s">
        <v>5603</v>
      </c>
    </row>
    <row r="870" customFormat="false" ht="12.8" hidden="false" customHeight="false" outlineLevel="0" collapsed="false">
      <c r="A870" s="9" t="s">
        <v>5616</v>
      </c>
      <c r="B870" s="10" t="s">
        <v>5617</v>
      </c>
      <c r="C870" s="10" t="n">
        <v>0.91</v>
      </c>
      <c r="D870" s="0" t="s">
        <v>5618</v>
      </c>
      <c r="E870" s="0" t="s">
        <v>5602</v>
      </c>
      <c r="F870" s="0" t="s">
        <v>3160</v>
      </c>
      <c r="G870" s="0" t="s">
        <v>5603</v>
      </c>
    </row>
    <row r="871" customFormat="false" ht="12.8" hidden="false" customHeight="false" outlineLevel="0" collapsed="false">
      <c r="A871" s="9" t="s">
        <v>5619</v>
      </c>
      <c r="B871" s="10" t="s">
        <v>5620</v>
      </c>
      <c r="C871" s="10" t="n">
        <v>0.89</v>
      </c>
      <c r="D871" s="0" t="s">
        <v>5621</v>
      </c>
      <c r="E871" s="0" t="s">
        <v>5602</v>
      </c>
      <c r="F871" s="0" t="s">
        <v>3160</v>
      </c>
      <c r="G871" s="0" t="s">
        <v>5603</v>
      </c>
    </row>
    <row r="872" customFormat="false" ht="12.8" hidden="false" customHeight="false" outlineLevel="0" collapsed="false">
      <c r="A872" s="9" t="s">
        <v>5622</v>
      </c>
      <c r="B872" s="10" t="s">
        <v>5623</v>
      </c>
      <c r="C872" s="10" t="n">
        <v>0.84</v>
      </c>
      <c r="D872" s="0" t="s">
        <v>5624</v>
      </c>
      <c r="E872" s="0" t="s">
        <v>5602</v>
      </c>
      <c r="F872" s="0" t="s">
        <v>3160</v>
      </c>
      <c r="G872" s="0" t="s">
        <v>5603</v>
      </c>
    </row>
    <row r="873" customFormat="false" ht="12.8" hidden="false" customHeight="false" outlineLevel="0" collapsed="false">
      <c r="A873" s="9" t="s">
        <v>5625</v>
      </c>
      <c r="B873" s="10" t="s">
        <v>5626</v>
      </c>
      <c r="C873" s="10" t="n">
        <v>0.9</v>
      </c>
      <c r="D873" s="0" t="s">
        <v>5627</v>
      </c>
      <c r="E873" s="0" t="s">
        <v>5602</v>
      </c>
      <c r="F873" s="0" t="s">
        <v>3160</v>
      </c>
      <c r="G873" s="0" t="s">
        <v>5603</v>
      </c>
    </row>
    <row r="874" customFormat="false" ht="12.8" hidden="false" customHeight="false" outlineLevel="0" collapsed="false">
      <c r="A874" s="9" t="s">
        <v>5628</v>
      </c>
      <c r="B874" s="10" t="s">
        <v>5629</v>
      </c>
      <c r="C874" s="10" t="n">
        <v>0.94</v>
      </c>
      <c r="D874" s="0" t="s">
        <v>5630</v>
      </c>
      <c r="E874" s="0" t="s">
        <v>5602</v>
      </c>
      <c r="F874" s="0" t="s">
        <v>3160</v>
      </c>
      <c r="G874" s="0" t="s">
        <v>5603</v>
      </c>
    </row>
    <row r="875" customFormat="false" ht="12.8" hidden="false" customHeight="false" outlineLevel="0" collapsed="false">
      <c r="A875" s="9" t="s">
        <v>5631</v>
      </c>
      <c r="B875" s="10" t="s">
        <v>5632</v>
      </c>
      <c r="C875" s="10" t="n">
        <v>0.96</v>
      </c>
      <c r="D875" s="0" t="s">
        <v>5633</v>
      </c>
      <c r="E875" s="0" t="s">
        <v>5602</v>
      </c>
      <c r="F875" s="0" t="s">
        <v>3160</v>
      </c>
      <c r="G875" s="0" t="s">
        <v>5603</v>
      </c>
    </row>
    <row r="876" customFormat="false" ht="12.8" hidden="false" customHeight="false" outlineLevel="0" collapsed="false">
      <c r="A876" s="9" t="s">
        <v>5634</v>
      </c>
      <c r="B876" s="10" t="s">
        <v>5635</v>
      </c>
      <c r="C876" s="10" t="n">
        <v>0.95</v>
      </c>
      <c r="D876" s="0" t="s">
        <v>5636</v>
      </c>
      <c r="E876" s="0" t="s">
        <v>5602</v>
      </c>
      <c r="F876" s="0" t="s">
        <v>3160</v>
      </c>
      <c r="G876" s="0" t="s">
        <v>5603</v>
      </c>
    </row>
    <row r="877" customFormat="false" ht="12.8" hidden="false" customHeight="false" outlineLevel="0" collapsed="false">
      <c r="A877" s="9" t="s">
        <v>5637</v>
      </c>
      <c r="B877" s="10" t="s">
        <v>5638</v>
      </c>
      <c r="C877" s="10" t="n">
        <v>0.97</v>
      </c>
      <c r="D877" s="0" t="s">
        <v>5639</v>
      </c>
      <c r="E877" s="0" t="s">
        <v>5602</v>
      </c>
      <c r="F877" s="0" t="s">
        <v>3160</v>
      </c>
      <c r="G877" s="0" t="s">
        <v>5603</v>
      </c>
    </row>
    <row r="878" customFormat="false" ht="12.8" hidden="false" customHeight="false" outlineLevel="0" collapsed="false">
      <c r="A878" s="9" t="s">
        <v>5640</v>
      </c>
      <c r="B878" s="10" t="s">
        <v>5641</v>
      </c>
      <c r="C878" s="10" t="n">
        <v>0.96</v>
      </c>
      <c r="D878" s="0" t="s">
        <v>5642</v>
      </c>
      <c r="E878" s="0" t="s">
        <v>5602</v>
      </c>
      <c r="F878" s="0" t="s">
        <v>3160</v>
      </c>
      <c r="G878" s="0" t="s">
        <v>5603</v>
      </c>
    </row>
    <row r="879" customFormat="false" ht="12.8" hidden="false" customHeight="false" outlineLevel="0" collapsed="false">
      <c r="A879" s="9" t="s">
        <v>5643</v>
      </c>
      <c r="B879" s="10" t="s">
        <v>5644</v>
      </c>
      <c r="C879" s="10" t="n">
        <v>0.98</v>
      </c>
      <c r="D879" s="0" t="s">
        <v>5645</v>
      </c>
      <c r="E879" s="0" t="s">
        <v>5602</v>
      </c>
      <c r="F879" s="0" t="s">
        <v>3160</v>
      </c>
      <c r="G879" s="0" t="s">
        <v>5603</v>
      </c>
    </row>
    <row r="880" customFormat="false" ht="12.8" hidden="false" customHeight="false" outlineLevel="0" collapsed="false">
      <c r="A880" s="9" t="s">
        <v>5646</v>
      </c>
      <c r="B880" s="10" t="s">
        <v>5647</v>
      </c>
      <c r="C880" s="10" t="n">
        <v>0.8</v>
      </c>
      <c r="D880" s="0" t="s">
        <v>5648</v>
      </c>
      <c r="E880" s="0" t="s">
        <v>5649</v>
      </c>
      <c r="F880" s="0" t="s">
        <v>3160</v>
      </c>
      <c r="G880" s="0" t="s">
        <v>5603</v>
      </c>
    </row>
    <row r="881" customFormat="false" ht="12.8" hidden="false" customHeight="false" outlineLevel="0" collapsed="false">
      <c r="A881" s="9" t="s">
        <v>5650</v>
      </c>
      <c r="B881" s="10" t="s">
        <v>5651</v>
      </c>
      <c r="C881" s="10" t="n">
        <v>0.78</v>
      </c>
      <c r="D881" s="0" t="s">
        <v>5652</v>
      </c>
      <c r="E881" s="0" t="s">
        <v>5649</v>
      </c>
      <c r="F881" s="0" t="s">
        <v>3160</v>
      </c>
      <c r="G881" s="0" t="s">
        <v>5603</v>
      </c>
    </row>
    <row r="882" customFormat="false" ht="12.8" hidden="false" customHeight="false" outlineLevel="0" collapsed="false">
      <c r="A882" s="9" t="s">
        <v>5653</v>
      </c>
      <c r="B882" s="10" t="s">
        <v>5654</v>
      </c>
      <c r="C882" s="10" t="n">
        <v>0.75</v>
      </c>
      <c r="D882" s="0" t="s">
        <v>5655</v>
      </c>
      <c r="E882" s="0" t="s">
        <v>5649</v>
      </c>
      <c r="F882" s="0" t="s">
        <v>3160</v>
      </c>
      <c r="G882" s="0" t="s">
        <v>5603</v>
      </c>
    </row>
    <row r="883" customFormat="false" ht="12.8" hidden="false" customHeight="false" outlineLevel="0" collapsed="false">
      <c r="A883" s="9" t="s">
        <v>5656</v>
      </c>
      <c r="B883" s="10" t="s">
        <v>5657</v>
      </c>
      <c r="C883" s="10" t="n">
        <v>0.72</v>
      </c>
      <c r="D883" s="0" t="s">
        <v>5658</v>
      </c>
      <c r="E883" s="0" t="s">
        <v>5649</v>
      </c>
      <c r="F883" s="0" t="s">
        <v>3160</v>
      </c>
      <c r="G883" s="0" t="s">
        <v>5603</v>
      </c>
    </row>
    <row r="884" customFormat="false" ht="12.8" hidden="false" customHeight="false" outlineLevel="0" collapsed="false">
      <c r="A884" s="9" t="s">
        <v>5659</v>
      </c>
      <c r="B884" s="10" t="s">
        <v>5660</v>
      </c>
      <c r="C884" s="10" t="n">
        <v>0.82</v>
      </c>
      <c r="D884" s="0" t="s">
        <v>5661</v>
      </c>
      <c r="E884" s="0" t="s">
        <v>5649</v>
      </c>
      <c r="F884" s="0" t="s">
        <v>3160</v>
      </c>
      <c r="G884" s="0" t="s">
        <v>5603</v>
      </c>
    </row>
    <row r="885" customFormat="false" ht="12.8" hidden="false" customHeight="false" outlineLevel="0" collapsed="false">
      <c r="A885" s="9" t="s">
        <v>5662</v>
      </c>
      <c r="B885" s="10" t="s">
        <v>5663</v>
      </c>
      <c r="C885" s="10" t="n">
        <v>0.79</v>
      </c>
      <c r="D885" s="0" t="s">
        <v>5664</v>
      </c>
      <c r="E885" s="0" t="s">
        <v>5649</v>
      </c>
      <c r="F885" s="0" t="s">
        <v>3160</v>
      </c>
      <c r="G885" s="0" t="s">
        <v>5603</v>
      </c>
    </row>
    <row r="886" customFormat="false" ht="12.8" hidden="false" customHeight="false" outlineLevel="0" collapsed="false">
      <c r="A886" s="9" t="s">
        <v>5665</v>
      </c>
      <c r="B886" s="10" t="s">
        <v>5666</v>
      </c>
      <c r="C886" s="10" t="n">
        <v>0.76</v>
      </c>
      <c r="D886" s="0" t="s">
        <v>5667</v>
      </c>
      <c r="E886" s="0" t="s">
        <v>5649</v>
      </c>
      <c r="F886" s="0" t="s">
        <v>3160</v>
      </c>
      <c r="G886" s="0" t="s">
        <v>5603</v>
      </c>
    </row>
    <row r="887" customFormat="false" ht="12.8" hidden="false" customHeight="false" outlineLevel="0" collapsed="false">
      <c r="A887" s="9" t="s">
        <v>5668</v>
      </c>
      <c r="B887" s="10" t="s">
        <v>5669</v>
      </c>
      <c r="C887" s="10" t="n">
        <v>0.7</v>
      </c>
      <c r="D887" s="0" t="s">
        <v>5670</v>
      </c>
      <c r="E887" s="0" t="s">
        <v>5649</v>
      </c>
      <c r="F887" s="0" t="s">
        <v>3160</v>
      </c>
      <c r="G887" s="0" t="s">
        <v>5603</v>
      </c>
    </row>
    <row r="888" customFormat="false" ht="12.8" hidden="false" customHeight="false" outlineLevel="0" collapsed="false">
      <c r="A888" s="9" t="s">
        <v>5671</v>
      </c>
      <c r="B888" s="10" t="s">
        <v>5672</v>
      </c>
      <c r="C888" s="10" t="n">
        <v>0.78</v>
      </c>
      <c r="D888" s="0" t="s">
        <v>5673</v>
      </c>
      <c r="E888" s="0" t="s">
        <v>5649</v>
      </c>
      <c r="F888" s="0" t="s">
        <v>3160</v>
      </c>
      <c r="G888" s="0" t="s">
        <v>5603</v>
      </c>
    </row>
    <row r="889" customFormat="false" ht="12.8" hidden="false" customHeight="false" outlineLevel="0" collapsed="false">
      <c r="A889" s="9" t="s">
        <v>5674</v>
      </c>
      <c r="B889" s="10" t="s">
        <v>5675</v>
      </c>
      <c r="C889" s="10" t="n">
        <v>0.84</v>
      </c>
      <c r="D889" s="0" t="s">
        <v>5676</v>
      </c>
      <c r="E889" s="0" t="s">
        <v>5649</v>
      </c>
      <c r="F889" s="0" t="s">
        <v>3160</v>
      </c>
      <c r="G889" s="0" t="s">
        <v>5603</v>
      </c>
    </row>
    <row r="890" customFormat="false" ht="12.8" hidden="false" customHeight="false" outlineLevel="0" collapsed="false">
      <c r="A890" s="9" t="s">
        <v>5677</v>
      </c>
      <c r="B890" s="10" t="s">
        <v>5678</v>
      </c>
      <c r="C890" s="10" t="n">
        <v>0.88</v>
      </c>
      <c r="D890" s="0" t="s">
        <v>5679</v>
      </c>
      <c r="E890" s="0" t="s">
        <v>5649</v>
      </c>
      <c r="F890" s="0" t="s">
        <v>3160</v>
      </c>
      <c r="G890" s="0" t="s">
        <v>5603</v>
      </c>
    </row>
    <row r="891" customFormat="false" ht="12.8" hidden="false" customHeight="false" outlineLevel="0" collapsed="false">
      <c r="A891" s="9" t="s">
        <v>5680</v>
      </c>
      <c r="B891" s="10" t="s">
        <v>5681</v>
      </c>
      <c r="C891" s="10" t="n">
        <v>0.86</v>
      </c>
      <c r="D891" s="0" t="s">
        <v>5682</v>
      </c>
      <c r="E891" s="0" t="s">
        <v>5649</v>
      </c>
      <c r="F891" s="0" t="s">
        <v>3160</v>
      </c>
      <c r="G891" s="0" t="s">
        <v>5603</v>
      </c>
    </row>
    <row r="892" customFormat="false" ht="12.8" hidden="false" customHeight="false" outlineLevel="0" collapsed="false">
      <c r="A892" s="9" t="s">
        <v>5683</v>
      </c>
      <c r="B892" s="10" t="s">
        <v>5684</v>
      </c>
      <c r="C892" s="10" t="n">
        <v>0.9</v>
      </c>
      <c r="D892" s="0" t="s">
        <v>5685</v>
      </c>
      <c r="E892" s="0" t="s">
        <v>5649</v>
      </c>
      <c r="F892" s="0" t="s">
        <v>3160</v>
      </c>
      <c r="G892" s="0" t="s">
        <v>5603</v>
      </c>
    </row>
    <row r="894" customFormat="false" ht="12.8" hidden="false" customHeight="false" outlineLevel="0" collapsed="false">
      <c r="A894" s="9" t="s">
        <v>5686</v>
      </c>
      <c r="B894" s="10" t="s">
        <v>5687</v>
      </c>
      <c r="C894" s="10" t="n">
        <v>0.88</v>
      </c>
      <c r="D894" s="0" t="s">
        <v>5688</v>
      </c>
      <c r="E894" s="0" t="s">
        <v>5649</v>
      </c>
      <c r="F894" s="0" t="s">
        <v>3160</v>
      </c>
      <c r="G894" s="0" t="s">
        <v>5603</v>
      </c>
    </row>
    <row r="895" customFormat="false" ht="12.8" hidden="false" customHeight="false" outlineLevel="0" collapsed="false">
      <c r="A895" s="9" t="s">
        <v>5689</v>
      </c>
      <c r="B895" s="10" t="s">
        <v>5690</v>
      </c>
      <c r="C895" s="10" t="n">
        <v>0.92</v>
      </c>
      <c r="D895" s="0" t="s">
        <v>5691</v>
      </c>
      <c r="E895" s="0" t="s">
        <v>5649</v>
      </c>
      <c r="F895" s="0" t="s">
        <v>3160</v>
      </c>
      <c r="G895" s="0" t="s">
        <v>5603</v>
      </c>
    </row>
    <row r="896" customFormat="false" ht="12.8" hidden="false" customHeight="false" outlineLevel="0" collapsed="false">
      <c r="A896" s="9" t="s">
        <v>5692</v>
      </c>
      <c r="B896" s="10" t="s">
        <v>5693</v>
      </c>
      <c r="C896" s="10" t="n">
        <v>0.65</v>
      </c>
      <c r="D896" s="0" t="s">
        <v>5694</v>
      </c>
      <c r="E896" s="0" t="s">
        <v>5695</v>
      </c>
      <c r="F896" s="0" t="s">
        <v>3160</v>
      </c>
      <c r="G896" s="0" t="s">
        <v>5603</v>
      </c>
    </row>
    <row r="897" customFormat="false" ht="12.8" hidden="false" customHeight="false" outlineLevel="0" collapsed="false">
      <c r="A897" s="9" t="s">
        <v>5696</v>
      </c>
      <c r="B897" s="10" t="s">
        <v>5697</v>
      </c>
      <c r="C897" s="10" t="n">
        <v>0.62</v>
      </c>
      <c r="D897" s="0" t="s">
        <v>5698</v>
      </c>
      <c r="E897" s="0" t="s">
        <v>5695</v>
      </c>
      <c r="F897" s="0" t="s">
        <v>3160</v>
      </c>
      <c r="G897" s="0" t="s">
        <v>5603</v>
      </c>
    </row>
    <row r="898" customFormat="false" ht="12.8" hidden="false" customHeight="false" outlineLevel="0" collapsed="false">
      <c r="A898" s="9" t="s">
        <v>5699</v>
      </c>
      <c r="B898" s="10" t="s">
        <v>5700</v>
      </c>
      <c r="C898" s="10" t="n">
        <v>0.58</v>
      </c>
      <c r="D898" s="0" t="s">
        <v>5701</v>
      </c>
      <c r="E898" s="0" t="s">
        <v>5695</v>
      </c>
      <c r="F898" s="0" t="s">
        <v>3160</v>
      </c>
      <c r="G898" s="0" t="s">
        <v>5603</v>
      </c>
    </row>
    <row r="899" customFormat="false" ht="12.8" hidden="false" customHeight="false" outlineLevel="0" collapsed="false">
      <c r="A899" s="9" t="s">
        <v>5702</v>
      </c>
      <c r="B899" s="10" t="s">
        <v>5703</v>
      </c>
      <c r="C899" s="10" t="n">
        <v>0.55</v>
      </c>
      <c r="D899" s="0" t="s">
        <v>5704</v>
      </c>
      <c r="E899" s="0" t="s">
        <v>5695</v>
      </c>
      <c r="F899" s="0" t="s">
        <v>3160</v>
      </c>
      <c r="G899" s="0" t="s">
        <v>5603</v>
      </c>
    </row>
    <row r="900" customFormat="false" ht="12.8" hidden="false" customHeight="false" outlineLevel="0" collapsed="false">
      <c r="A900" s="9" t="s">
        <v>5705</v>
      </c>
      <c r="B900" s="10" t="s">
        <v>5706</v>
      </c>
      <c r="C900" s="10" t="n">
        <v>0.68</v>
      </c>
      <c r="D900" s="0" t="s">
        <v>5707</v>
      </c>
      <c r="E900" s="0" t="s">
        <v>5695</v>
      </c>
      <c r="F900" s="0" t="s">
        <v>3160</v>
      </c>
      <c r="G900" s="0" t="s">
        <v>5603</v>
      </c>
    </row>
    <row r="901" customFormat="false" ht="12.8" hidden="false" customHeight="false" outlineLevel="0" collapsed="false">
      <c r="A901" s="9" t="s">
        <v>5708</v>
      </c>
      <c r="B901" s="10" t="s">
        <v>5709</v>
      </c>
      <c r="C901" s="10" t="n">
        <v>0.64</v>
      </c>
      <c r="D901" s="0" t="s">
        <v>5710</v>
      </c>
      <c r="E901" s="0" t="s">
        <v>5695</v>
      </c>
      <c r="F901" s="0" t="s">
        <v>3160</v>
      </c>
      <c r="G901" s="0" t="s">
        <v>5603</v>
      </c>
    </row>
    <row r="902" customFormat="false" ht="12.8" hidden="false" customHeight="false" outlineLevel="0" collapsed="false">
      <c r="A902" s="9" t="s">
        <v>5711</v>
      </c>
      <c r="B902" s="10" t="s">
        <v>5712</v>
      </c>
      <c r="C902" s="10" t="n">
        <v>0.6</v>
      </c>
      <c r="D902" s="0" t="s">
        <v>5713</v>
      </c>
      <c r="E902" s="0" t="s">
        <v>5695</v>
      </c>
      <c r="F902" s="0" t="s">
        <v>3160</v>
      </c>
      <c r="G902" s="0" t="s">
        <v>5603</v>
      </c>
    </row>
    <row r="903" customFormat="false" ht="12.8" hidden="false" customHeight="false" outlineLevel="0" collapsed="false">
      <c r="A903" s="9" t="s">
        <v>5714</v>
      </c>
      <c r="B903" s="10" t="s">
        <v>5715</v>
      </c>
      <c r="C903" s="10" t="n">
        <v>0.52</v>
      </c>
      <c r="D903" s="0" t="s">
        <v>5716</v>
      </c>
      <c r="E903" s="0" t="s">
        <v>5695</v>
      </c>
      <c r="F903" s="0" t="s">
        <v>3160</v>
      </c>
      <c r="G903" s="0" t="s">
        <v>5603</v>
      </c>
    </row>
    <row r="904" customFormat="false" ht="12.8" hidden="false" customHeight="false" outlineLevel="0" collapsed="false">
      <c r="A904" s="9" t="s">
        <v>5717</v>
      </c>
      <c r="B904" s="10" t="s">
        <v>5718</v>
      </c>
      <c r="C904" s="10" t="n">
        <v>0.63</v>
      </c>
      <c r="D904" s="0" t="s">
        <v>5719</v>
      </c>
      <c r="E904" s="0" t="s">
        <v>5695</v>
      </c>
      <c r="F904" s="0" t="s">
        <v>3160</v>
      </c>
      <c r="G904" s="0" t="s">
        <v>5603</v>
      </c>
    </row>
    <row r="905" customFormat="false" ht="12.8" hidden="false" customHeight="false" outlineLevel="0" collapsed="false">
      <c r="A905" s="9" t="s">
        <v>5720</v>
      </c>
      <c r="B905" s="10" t="s">
        <v>5721</v>
      </c>
      <c r="C905" s="10" t="n">
        <v>0.7</v>
      </c>
      <c r="D905" s="0" t="s">
        <v>5722</v>
      </c>
      <c r="E905" s="0" t="s">
        <v>5695</v>
      </c>
      <c r="F905" s="0" t="s">
        <v>3160</v>
      </c>
      <c r="G905" s="0" t="s">
        <v>5603</v>
      </c>
    </row>
    <row r="906" customFormat="false" ht="12.8" hidden="false" customHeight="false" outlineLevel="0" collapsed="false">
      <c r="A906" s="9" t="s">
        <v>5723</v>
      </c>
      <c r="B906" s="10" t="s">
        <v>5724</v>
      </c>
      <c r="C906" s="10" t="n">
        <v>0.75</v>
      </c>
      <c r="D906" s="0" t="s">
        <v>5725</v>
      </c>
      <c r="E906" s="0" t="s">
        <v>5695</v>
      </c>
      <c r="F906" s="0" t="s">
        <v>3160</v>
      </c>
      <c r="G906" s="0" t="s">
        <v>5603</v>
      </c>
    </row>
    <row r="907" customFormat="false" ht="12.8" hidden="false" customHeight="false" outlineLevel="0" collapsed="false">
      <c r="A907" s="9" t="s">
        <v>5726</v>
      </c>
      <c r="B907" s="10" t="s">
        <v>5727</v>
      </c>
      <c r="C907" s="10" t="n">
        <v>0.72</v>
      </c>
      <c r="D907" s="0" t="s">
        <v>5728</v>
      </c>
      <c r="E907" s="0" t="s">
        <v>5695</v>
      </c>
      <c r="F907" s="0" t="s">
        <v>3160</v>
      </c>
      <c r="G907" s="0" t="s">
        <v>5603</v>
      </c>
    </row>
    <row r="908" customFormat="false" ht="12.8" hidden="false" customHeight="false" outlineLevel="0" collapsed="false">
      <c r="A908" s="9" t="s">
        <v>5729</v>
      </c>
      <c r="B908" s="10" t="s">
        <v>5730</v>
      </c>
      <c r="C908" s="10" t="n">
        <v>0.78</v>
      </c>
      <c r="D908" s="0" t="s">
        <v>5731</v>
      </c>
      <c r="E908" s="0" t="s">
        <v>5695</v>
      </c>
      <c r="F908" s="0" t="s">
        <v>3160</v>
      </c>
      <c r="G908" s="0" t="s">
        <v>5603</v>
      </c>
    </row>
    <row r="909" customFormat="false" ht="12.8" hidden="false" customHeight="false" outlineLevel="0" collapsed="false">
      <c r="A909" s="9" t="s">
        <v>5732</v>
      </c>
      <c r="B909" s="10" t="s">
        <v>5733</v>
      </c>
      <c r="C909" s="10" t="n">
        <v>0.76</v>
      </c>
      <c r="D909" s="0" t="s">
        <v>5734</v>
      </c>
      <c r="E909" s="0" t="s">
        <v>5695</v>
      </c>
      <c r="F909" s="0" t="s">
        <v>3160</v>
      </c>
      <c r="G909" s="0" t="s">
        <v>5603</v>
      </c>
    </row>
    <row r="910" customFormat="false" ht="12.8" hidden="false" customHeight="false" outlineLevel="0" collapsed="false">
      <c r="A910" s="9" t="s">
        <v>5735</v>
      </c>
      <c r="B910" s="10" t="s">
        <v>5736</v>
      </c>
      <c r="C910" s="10" t="n">
        <v>0.8</v>
      </c>
      <c r="D910" s="0" t="s">
        <v>5737</v>
      </c>
      <c r="E910" s="0" t="s">
        <v>5695</v>
      </c>
      <c r="F910" s="0" t="s">
        <v>3160</v>
      </c>
      <c r="G910" s="0" t="s">
        <v>5603</v>
      </c>
    </row>
    <row r="916" customFormat="false" ht="12.8" hidden="false" customHeight="false" outlineLevel="0" collapsed="false">
      <c r="A916" s="9" t="s">
        <v>5738</v>
      </c>
      <c r="B916" s="10" t="s">
        <v>5739</v>
      </c>
      <c r="C916" s="10" t="n">
        <v>0.0765</v>
      </c>
      <c r="D916" s="0" t="s">
        <v>5740</v>
      </c>
      <c r="E916" s="0" t="s">
        <v>5741</v>
      </c>
      <c r="F916" s="0" t="s">
        <v>3151</v>
      </c>
      <c r="G916" s="0" t="s">
        <v>5742</v>
      </c>
    </row>
    <row r="917" customFormat="false" ht="12.8" hidden="false" customHeight="false" outlineLevel="0" collapsed="false">
      <c r="A917" s="9" t="s">
        <v>5743</v>
      </c>
      <c r="B917" s="10" t="s">
        <v>5744</v>
      </c>
      <c r="C917" s="10" t="n">
        <v>0.0765</v>
      </c>
      <c r="D917" s="0" t="s">
        <v>5745</v>
      </c>
      <c r="E917" s="0" t="s">
        <v>5741</v>
      </c>
      <c r="F917" s="0" t="s">
        <v>3151</v>
      </c>
      <c r="G917" s="0" t="s">
        <v>5742</v>
      </c>
    </row>
    <row r="918" customFormat="false" ht="12.8" hidden="false" customHeight="false" outlineLevel="0" collapsed="false">
      <c r="A918" s="9" t="s">
        <v>5746</v>
      </c>
      <c r="B918" s="10" t="s">
        <v>5747</v>
      </c>
      <c r="C918" s="10" t="n">
        <v>0.0765</v>
      </c>
      <c r="D918" s="0" t="s">
        <v>5748</v>
      </c>
      <c r="E918" s="0" t="s">
        <v>5741</v>
      </c>
      <c r="F918" s="0" t="s">
        <v>3151</v>
      </c>
      <c r="G918" s="0" t="s">
        <v>5742</v>
      </c>
    </row>
    <row r="919" customFormat="false" ht="12.8" hidden="false" customHeight="false" outlineLevel="0" collapsed="false">
      <c r="A919" s="9" t="s">
        <v>5749</v>
      </c>
      <c r="B919" s="10" t="s">
        <v>5750</v>
      </c>
      <c r="C919" s="10" t="n">
        <v>0.0765</v>
      </c>
      <c r="D919" s="0" t="s">
        <v>5751</v>
      </c>
      <c r="E919" s="0" t="s">
        <v>5741</v>
      </c>
      <c r="F919" s="0" t="s">
        <v>3151</v>
      </c>
      <c r="G919" s="0" t="s">
        <v>5742</v>
      </c>
    </row>
    <row r="920" customFormat="false" ht="12.8" hidden="false" customHeight="false" outlineLevel="0" collapsed="false">
      <c r="A920" s="9" t="s">
        <v>5752</v>
      </c>
      <c r="B920" s="10" t="s">
        <v>5753</v>
      </c>
      <c r="C920" s="10" t="n">
        <v>0.0765</v>
      </c>
      <c r="D920" s="0" t="s">
        <v>5754</v>
      </c>
      <c r="E920" s="0" t="s">
        <v>5741</v>
      </c>
      <c r="F920" s="0" t="s">
        <v>3151</v>
      </c>
      <c r="G920" s="0" t="s">
        <v>5742</v>
      </c>
    </row>
    <row r="921" customFormat="false" ht="12.8" hidden="false" customHeight="false" outlineLevel="0" collapsed="false">
      <c r="A921" s="9" t="s">
        <v>5755</v>
      </c>
      <c r="B921" s="10" t="s">
        <v>5756</v>
      </c>
      <c r="C921" s="10" t="n">
        <v>0.0765</v>
      </c>
      <c r="D921" s="0" t="s">
        <v>5757</v>
      </c>
      <c r="E921" s="0" t="s">
        <v>5741</v>
      </c>
      <c r="F921" s="0" t="s">
        <v>3151</v>
      </c>
      <c r="G921" s="0" t="s">
        <v>5742</v>
      </c>
    </row>
    <row r="922" customFormat="false" ht="12.8" hidden="false" customHeight="false" outlineLevel="0" collapsed="false">
      <c r="A922" s="9" t="s">
        <v>5758</v>
      </c>
      <c r="B922" s="10" t="s">
        <v>5759</v>
      </c>
      <c r="C922" s="10" t="n">
        <v>0.0765</v>
      </c>
      <c r="D922" s="0" t="s">
        <v>5760</v>
      </c>
      <c r="E922" s="0" t="s">
        <v>5741</v>
      </c>
      <c r="F922" s="0" t="s">
        <v>3151</v>
      </c>
      <c r="G922" s="0" t="s">
        <v>5742</v>
      </c>
    </row>
    <row r="923" customFormat="false" ht="12.8" hidden="false" customHeight="false" outlineLevel="0" collapsed="false">
      <c r="A923" s="9" t="s">
        <v>5761</v>
      </c>
      <c r="B923" s="10" t="s">
        <v>5762</v>
      </c>
      <c r="C923" s="10" t="n">
        <v>0.0765</v>
      </c>
      <c r="D923" s="0" t="s">
        <v>5763</v>
      </c>
      <c r="E923" s="0" t="s">
        <v>5741</v>
      </c>
      <c r="F923" s="0" t="s">
        <v>3151</v>
      </c>
      <c r="G923" s="0" t="s">
        <v>5742</v>
      </c>
    </row>
    <row r="924" customFormat="false" ht="12.8" hidden="false" customHeight="false" outlineLevel="0" collapsed="false">
      <c r="A924" s="9" t="s">
        <v>5764</v>
      </c>
      <c r="B924" s="10" t="s">
        <v>5765</v>
      </c>
      <c r="C924" s="10" t="n">
        <v>0.0765</v>
      </c>
      <c r="D924" s="0" t="s">
        <v>5766</v>
      </c>
      <c r="E924" s="0" t="s">
        <v>5741</v>
      </c>
      <c r="F924" s="0" t="s">
        <v>3151</v>
      </c>
      <c r="G924" s="0" t="s">
        <v>5742</v>
      </c>
    </row>
    <row r="925" customFormat="false" ht="12.8" hidden="false" customHeight="false" outlineLevel="0" collapsed="false">
      <c r="A925" s="9" t="s">
        <v>5767</v>
      </c>
      <c r="B925" s="10" t="s">
        <v>5768</v>
      </c>
      <c r="C925" s="10" t="n">
        <v>0.0765</v>
      </c>
      <c r="D925" s="0" t="s">
        <v>5769</v>
      </c>
      <c r="E925" s="0" t="s">
        <v>5741</v>
      </c>
      <c r="F925" s="0" t="s">
        <v>3151</v>
      </c>
      <c r="G925" s="0" t="s">
        <v>5742</v>
      </c>
    </row>
    <row r="926" customFormat="false" ht="12.8" hidden="false" customHeight="false" outlineLevel="0" collapsed="false">
      <c r="A926" s="9" t="s">
        <v>5770</v>
      </c>
      <c r="B926" s="10" t="s">
        <v>5771</v>
      </c>
      <c r="C926" s="10" t="n">
        <v>0.0765</v>
      </c>
      <c r="D926" s="0" t="s">
        <v>5772</v>
      </c>
      <c r="E926" s="0" t="s">
        <v>5741</v>
      </c>
      <c r="F926" s="0" t="s">
        <v>3151</v>
      </c>
      <c r="G926" s="0" t="s">
        <v>5742</v>
      </c>
    </row>
    <row r="927" customFormat="false" ht="12.8" hidden="false" customHeight="false" outlineLevel="0" collapsed="false">
      <c r="A927" s="9" t="s">
        <v>5773</v>
      </c>
      <c r="B927" s="10" t="s">
        <v>5774</v>
      </c>
      <c r="C927" s="10" t="n">
        <v>0.0765</v>
      </c>
      <c r="D927" s="0" t="s">
        <v>5775</v>
      </c>
      <c r="E927" s="0" t="s">
        <v>5741</v>
      </c>
      <c r="F927" s="0" t="s">
        <v>3151</v>
      </c>
      <c r="G927" s="0" t="s">
        <v>5742</v>
      </c>
    </row>
    <row r="928" customFormat="false" ht="12.8" hidden="false" customHeight="false" outlineLevel="0" collapsed="false">
      <c r="A928" s="9" t="s">
        <v>5776</v>
      </c>
      <c r="B928" s="10" t="s">
        <v>5777</v>
      </c>
      <c r="C928" s="10" t="n">
        <v>0.0765</v>
      </c>
      <c r="D928" s="0" t="s">
        <v>5778</v>
      </c>
      <c r="E928" s="0" t="s">
        <v>5741</v>
      </c>
      <c r="F928" s="0" t="s">
        <v>3151</v>
      </c>
      <c r="G928" s="0" t="s">
        <v>5742</v>
      </c>
    </row>
    <row r="929" customFormat="false" ht="12.8" hidden="false" customHeight="false" outlineLevel="0" collapsed="false">
      <c r="A929" s="9" t="s">
        <v>5779</v>
      </c>
      <c r="B929" s="10" t="s">
        <v>5780</v>
      </c>
      <c r="C929" s="10" t="n">
        <v>0.0765</v>
      </c>
      <c r="D929" s="0" t="s">
        <v>5781</v>
      </c>
      <c r="E929" s="0" t="s">
        <v>5741</v>
      </c>
      <c r="F929" s="0" t="s">
        <v>3151</v>
      </c>
      <c r="G929" s="0" t="s">
        <v>5742</v>
      </c>
    </row>
    <row r="930" customFormat="false" ht="12.8" hidden="false" customHeight="false" outlineLevel="0" collapsed="false">
      <c r="A930" s="9" t="s">
        <v>5782</v>
      </c>
      <c r="B930" s="10" t="s">
        <v>5783</v>
      </c>
      <c r="C930" s="10" t="n">
        <v>0.0765</v>
      </c>
      <c r="D930" s="0" t="s">
        <v>5784</v>
      </c>
      <c r="E930" s="0" t="s">
        <v>5741</v>
      </c>
      <c r="F930" s="0" t="s">
        <v>3151</v>
      </c>
      <c r="G930" s="0" t="s">
        <v>5742</v>
      </c>
    </row>
    <row r="931" customFormat="false" ht="12.8" hidden="false" customHeight="false" outlineLevel="0" collapsed="false">
      <c r="A931" s="9" t="s">
        <v>5785</v>
      </c>
      <c r="B931" s="10" t="s">
        <v>5786</v>
      </c>
      <c r="C931" s="10" t="n">
        <v>0.0765</v>
      </c>
      <c r="D931" s="0" t="s">
        <v>5787</v>
      </c>
      <c r="E931" s="0" t="s">
        <v>5741</v>
      </c>
      <c r="F931" s="0" t="s">
        <v>3151</v>
      </c>
      <c r="G931" s="0" t="s">
        <v>5742</v>
      </c>
    </row>
    <row r="932" customFormat="false" ht="12.8" hidden="false" customHeight="false" outlineLevel="0" collapsed="false">
      <c r="A932" s="9" t="s">
        <v>5788</v>
      </c>
      <c r="B932" s="10" t="s">
        <v>5789</v>
      </c>
      <c r="C932" s="10" t="n">
        <v>0.0765</v>
      </c>
      <c r="D932" s="0" t="s">
        <v>5790</v>
      </c>
      <c r="E932" s="0" t="s">
        <v>5741</v>
      </c>
      <c r="F932" s="0" t="s">
        <v>3151</v>
      </c>
      <c r="G932" s="0" t="s">
        <v>5742</v>
      </c>
    </row>
    <row r="933" customFormat="false" ht="12.8" hidden="false" customHeight="false" outlineLevel="0" collapsed="false">
      <c r="A933" s="9" t="s">
        <v>5791</v>
      </c>
      <c r="B933" s="10" t="s">
        <v>5792</v>
      </c>
      <c r="C933" s="10" t="n">
        <v>0.0765</v>
      </c>
      <c r="D933" s="0" t="s">
        <v>5793</v>
      </c>
      <c r="E933" s="0" t="s">
        <v>5741</v>
      </c>
      <c r="F933" s="0" t="s">
        <v>3151</v>
      </c>
      <c r="G933" s="0" t="s">
        <v>5742</v>
      </c>
    </row>
    <row r="934" customFormat="false" ht="12.8" hidden="false" customHeight="false" outlineLevel="0" collapsed="false">
      <c r="A934" s="9" t="s">
        <v>5794</v>
      </c>
      <c r="B934" s="10" t="s">
        <v>5795</v>
      </c>
      <c r="C934" s="10" t="n">
        <v>0.0765</v>
      </c>
      <c r="D934" s="0" t="s">
        <v>5796</v>
      </c>
      <c r="E934" s="0" t="s">
        <v>5741</v>
      </c>
      <c r="F934" s="0" t="s">
        <v>3151</v>
      </c>
      <c r="G934" s="0" t="s">
        <v>5742</v>
      </c>
    </row>
    <row r="935" customFormat="false" ht="12.8" hidden="false" customHeight="false" outlineLevel="0" collapsed="false">
      <c r="A935" s="9" t="s">
        <v>5797</v>
      </c>
      <c r="B935" s="10" t="s">
        <v>5798</v>
      </c>
      <c r="C935" s="10" t="n">
        <v>0.0765</v>
      </c>
      <c r="D935" s="0" t="s">
        <v>5799</v>
      </c>
      <c r="E935" s="0" t="s">
        <v>5741</v>
      </c>
      <c r="F935" s="0" t="s">
        <v>3151</v>
      </c>
      <c r="G935" s="0" t="s">
        <v>5742</v>
      </c>
    </row>
    <row r="936" customFormat="false" ht="12.8" hidden="false" customHeight="false" outlineLevel="0" collapsed="false">
      <c r="A936" s="9" t="s">
        <v>5800</v>
      </c>
      <c r="B936" s="10" t="s">
        <v>5801</v>
      </c>
      <c r="C936" s="10" t="n">
        <v>0.0765</v>
      </c>
      <c r="D936" s="0" t="s">
        <v>5802</v>
      </c>
      <c r="E936" s="0" t="s">
        <v>5741</v>
      </c>
      <c r="F936" s="0" t="s">
        <v>3151</v>
      </c>
      <c r="G936" s="0" t="s">
        <v>5742</v>
      </c>
    </row>
    <row r="937" customFormat="false" ht="12.8" hidden="false" customHeight="false" outlineLevel="0" collapsed="false">
      <c r="A937" s="9" t="s">
        <v>5803</v>
      </c>
      <c r="B937" s="10" t="s">
        <v>5804</v>
      </c>
      <c r="C937" s="10" t="n">
        <v>0.0765</v>
      </c>
      <c r="D937" s="0" t="s">
        <v>5805</v>
      </c>
      <c r="E937" s="0" t="s">
        <v>5741</v>
      </c>
      <c r="F937" s="0" t="s">
        <v>3151</v>
      </c>
      <c r="G937" s="0" t="s">
        <v>5742</v>
      </c>
    </row>
    <row r="938" customFormat="false" ht="12.8" hidden="false" customHeight="false" outlineLevel="0" collapsed="false">
      <c r="A938" s="9" t="s">
        <v>5806</v>
      </c>
      <c r="B938" s="10" t="s">
        <v>5807</v>
      </c>
      <c r="C938" s="10" t="n">
        <v>0.0765</v>
      </c>
      <c r="D938" s="0" t="s">
        <v>5808</v>
      </c>
      <c r="E938" s="0" t="s">
        <v>5741</v>
      </c>
      <c r="F938" s="0" t="s">
        <v>3151</v>
      </c>
      <c r="G938" s="0" t="s">
        <v>5742</v>
      </c>
    </row>
    <row r="940" customFormat="false" ht="12.8" hidden="false" customHeight="false" outlineLevel="0" collapsed="false">
      <c r="A940" s="9" t="s">
        <v>5809</v>
      </c>
      <c r="B940" s="10" t="s">
        <v>5810</v>
      </c>
      <c r="C940" s="10" t="n">
        <v>0.0765</v>
      </c>
      <c r="D940" s="0" t="s">
        <v>5811</v>
      </c>
      <c r="E940" s="0" t="s">
        <v>5741</v>
      </c>
      <c r="F940" s="0" t="s">
        <v>3151</v>
      </c>
      <c r="G940" s="0" t="s">
        <v>5742</v>
      </c>
    </row>
    <row r="941" customFormat="false" ht="12.8" hidden="false" customHeight="false" outlineLevel="0" collapsed="false">
      <c r="A941" s="9" t="s">
        <v>5812</v>
      </c>
      <c r="B941" s="10" t="s">
        <v>5813</v>
      </c>
      <c r="C941" s="10" t="n">
        <v>0.0765</v>
      </c>
      <c r="D941" s="0" t="s">
        <v>5814</v>
      </c>
      <c r="E941" s="0" t="s">
        <v>5741</v>
      </c>
      <c r="F941" s="0" t="s">
        <v>3151</v>
      </c>
      <c r="G941" s="0" t="s">
        <v>5742</v>
      </c>
    </row>
    <row r="942" customFormat="false" ht="12.8" hidden="false" customHeight="false" outlineLevel="0" collapsed="false">
      <c r="A942" s="9" t="s">
        <v>5815</v>
      </c>
      <c r="B942" s="10" t="s">
        <v>5816</v>
      </c>
      <c r="C942" s="10" t="n">
        <v>0.0765</v>
      </c>
      <c r="D942" s="0" t="s">
        <v>5817</v>
      </c>
      <c r="E942" s="0" t="s">
        <v>5741</v>
      </c>
      <c r="F942" s="0" t="s">
        <v>3151</v>
      </c>
      <c r="G942" s="0" t="s">
        <v>5742</v>
      </c>
    </row>
    <row r="943" customFormat="false" ht="12.8" hidden="false" customHeight="false" outlineLevel="0" collapsed="false">
      <c r="A943" s="9" t="s">
        <v>5818</v>
      </c>
      <c r="B943" s="10" t="s">
        <v>5819</v>
      </c>
      <c r="C943" s="10" t="n">
        <v>0.0765</v>
      </c>
      <c r="D943" s="0" t="s">
        <v>5820</v>
      </c>
      <c r="E943" s="0" t="s">
        <v>5741</v>
      </c>
      <c r="F943" s="0" t="s">
        <v>3151</v>
      </c>
      <c r="G943" s="0" t="s">
        <v>5742</v>
      </c>
    </row>
    <row r="944" customFormat="false" ht="12.8" hidden="false" customHeight="false" outlineLevel="0" collapsed="false">
      <c r="A944" s="9" t="s">
        <v>5821</v>
      </c>
      <c r="B944" s="10" t="s">
        <v>5822</v>
      </c>
      <c r="C944" s="10" t="n">
        <v>0.0765</v>
      </c>
      <c r="D944" s="0" t="s">
        <v>5823</v>
      </c>
      <c r="E944" s="0" t="s">
        <v>5741</v>
      </c>
      <c r="F944" s="0" t="s">
        <v>3151</v>
      </c>
      <c r="G944" s="0" t="s">
        <v>5742</v>
      </c>
    </row>
    <row r="945" customFormat="false" ht="12.8" hidden="false" customHeight="false" outlineLevel="0" collapsed="false">
      <c r="A945" s="9" t="s">
        <v>5824</v>
      </c>
      <c r="B945" s="10" t="s">
        <v>5825</v>
      </c>
      <c r="C945" s="10" t="n">
        <v>0.0765</v>
      </c>
      <c r="D945" s="0" t="s">
        <v>5826</v>
      </c>
      <c r="E945" s="0" t="s">
        <v>5741</v>
      </c>
      <c r="F945" s="0" t="s">
        <v>3151</v>
      </c>
      <c r="G945" s="0" t="s">
        <v>5742</v>
      </c>
    </row>
    <row r="946" customFormat="false" ht="12.8" hidden="false" customHeight="false" outlineLevel="0" collapsed="false">
      <c r="A946" s="9" t="s">
        <v>5827</v>
      </c>
      <c r="B946" s="10" t="s">
        <v>5828</v>
      </c>
      <c r="C946" s="10" t="n">
        <v>0.0765</v>
      </c>
      <c r="D946" s="0" t="s">
        <v>5829</v>
      </c>
      <c r="E946" s="0" t="s">
        <v>5741</v>
      </c>
      <c r="F946" s="0" t="s">
        <v>3151</v>
      </c>
      <c r="G946" s="0" t="s">
        <v>5742</v>
      </c>
    </row>
    <row r="947" customFormat="false" ht="12.8" hidden="false" customHeight="false" outlineLevel="0" collapsed="false">
      <c r="A947" s="9" t="s">
        <v>5830</v>
      </c>
      <c r="B947" s="10" t="s">
        <v>5831</v>
      </c>
      <c r="C947" s="10" t="n">
        <v>0.0765</v>
      </c>
      <c r="D947" s="0" t="s">
        <v>5832</v>
      </c>
      <c r="E947" s="0" t="s">
        <v>5833</v>
      </c>
      <c r="F947" s="0" t="s">
        <v>3151</v>
      </c>
      <c r="G947" s="0" t="s">
        <v>5742</v>
      </c>
    </row>
    <row r="948" customFormat="false" ht="12.8" hidden="false" customHeight="false" outlineLevel="0" collapsed="false">
      <c r="A948" s="9" t="s">
        <v>5834</v>
      </c>
      <c r="B948" s="10" t="s">
        <v>5835</v>
      </c>
      <c r="C948" s="10" t="n">
        <v>0.0765</v>
      </c>
      <c r="D948" s="0" t="s">
        <v>5836</v>
      </c>
      <c r="E948" s="0" t="s">
        <v>5833</v>
      </c>
      <c r="F948" s="0" t="s">
        <v>3151</v>
      </c>
      <c r="G948" s="0" t="s">
        <v>5742</v>
      </c>
    </row>
    <row r="949" customFormat="false" ht="12.8" hidden="false" customHeight="false" outlineLevel="0" collapsed="false">
      <c r="A949" s="9" t="s">
        <v>5837</v>
      </c>
      <c r="B949" s="10" t="s">
        <v>5838</v>
      </c>
      <c r="C949" s="10" t="n">
        <v>0.0765</v>
      </c>
      <c r="D949" s="0" t="s">
        <v>5839</v>
      </c>
      <c r="E949" s="0" t="s">
        <v>5833</v>
      </c>
      <c r="F949" s="0" t="s">
        <v>3151</v>
      </c>
      <c r="G949" s="0" t="s">
        <v>5742</v>
      </c>
    </row>
    <row r="950" customFormat="false" ht="12.8" hidden="false" customHeight="false" outlineLevel="0" collapsed="false">
      <c r="A950" s="9" t="s">
        <v>5840</v>
      </c>
      <c r="B950" s="10" t="s">
        <v>5841</v>
      </c>
      <c r="C950" s="10" t="n">
        <v>0.0765</v>
      </c>
      <c r="D950" s="0" t="s">
        <v>5842</v>
      </c>
      <c r="E950" s="0" t="s">
        <v>5833</v>
      </c>
      <c r="F950" s="0" t="s">
        <v>3151</v>
      </c>
      <c r="G950" s="0" t="s">
        <v>5742</v>
      </c>
    </row>
    <row r="951" customFormat="false" ht="12.8" hidden="false" customHeight="false" outlineLevel="0" collapsed="false">
      <c r="A951" s="9" t="s">
        <v>5843</v>
      </c>
      <c r="B951" s="10" t="s">
        <v>5844</v>
      </c>
      <c r="C951" s="10" t="n">
        <v>0.0765</v>
      </c>
      <c r="D951" s="0" t="s">
        <v>5845</v>
      </c>
      <c r="E951" s="0" t="s">
        <v>5833</v>
      </c>
      <c r="F951" s="0" t="s">
        <v>3151</v>
      </c>
      <c r="G951" s="0" t="s">
        <v>5742</v>
      </c>
    </row>
    <row r="952" customFormat="false" ht="12.8" hidden="false" customHeight="false" outlineLevel="0" collapsed="false">
      <c r="A952" s="9" t="s">
        <v>5846</v>
      </c>
      <c r="B952" s="10" t="s">
        <v>5847</v>
      </c>
      <c r="C952" s="10" t="n">
        <v>0.0765</v>
      </c>
      <c r="D952" s="0" t="s">
        <v>5848</v>
      </c>
      <c r="E952" s="0" t="s">
        <v>5833</v>
      </c>
      <c r="F952" s="0" t="s">
        <v>3151</v>
      </c>
      <c r="G952" s="0" t="s">
        <v>5742</v>
      </c>
    </row>
    <row r="953" customFormat="false" ht="12.8" hidden="false" customHeight="false" outlineLevel="0" collapsed="false">
      <c r="A953" s="9" t="s">
        <v>5849</v>
      </c>
      <c r="B953" s="10" t="s">
        <v>5850</v>
      </c>
      <c r="C953" s="10" t="n">
        <v>0.0765</v>
      </c>
      <c r="D953" s="0" t="s">
        <v>5851</v>
      </c>
      <c r="E953" s="0" t="s">
        <v>5833</v>
      </c>
      <c r="F953" s="0" t="s">
        <v>3151</v>
      </c>
      <c r="G953" s="0" t="s">
        <v>5742</v>
      </c>
    </row>
    <row r="954" customFormat="false" ht="12.8" hidden="false" customHeight="false" outlineLevel="0" collapsed="false">
      <c r="A954" s="9" t="s">
        <v>5852</v>
      </c>
      <c r="B954" s="10" t="s">
        <v>5853</v>
      </c>
      <c r="C954" s="10" t="n">
        <v>0.0765</v>
      </c>
      <c r="D954" s="0" t="s">
        <v>5854</v>
      </c>
      <c r="E954" s="0" t="s">
        <v>5833</v>
      </c>
      <c r="F954" s="0" t="s">
        <v>3151</v>
      </c>
      <c r="G954" s="0" t="s">
        <v>5742</v>
      </c>
    </row>
    <row r="955" customFormat="false" ht="12.8" hidden="false" customHeight="false" outlineLevel="0" collapsed="false">
      <c r="A955" s="9" t="s">
        <v>5855</v>
      </c>
      <c r="B955" s="10" t="s">
        <v>5856</v>
      </c>
      <c r="C955" s="10" t="n">
        <v>0.0765</v>
      </c>
      <c r="D955" s="0" t="s">
        <v>5857</v>
      </c>
      <c r="E955" s="0" t="s">
        <v>5833</v>
      </c>
      <c r="F955" s="0" t="s">
        <v>3151</v>
      </c>
      <c r="G955" s="0" t="s">
        <v>5742</v>
      </c>
    </row>
    <row r="956" customFormat="false" ht="12.8" hidden="false" customHeight="false" outlineLevel="0" collapsed="false">
      <c r="A956" s="9" t="s">
        <v>5858</v>
      </c>
      <c r="B956" s="10" t="s">
        <v>5859</v>
      </c>
      <c r="C956" s="10" t="n">
        <v>0.0765</v>
      </c>
      <c r="D956" s="0" t="s">
        <v>5860</v>
      </c>
      <c r="E956" s="0" t="s">
        <v>5833</v>
      </c>
      <c r="F956" s="0" t="s">
        <v>3151</v>
      </c>
      <c r="G956" s="0" t="s">
        <v>5742</v>
      </c>
    </row>
    <row r="957" customFormat="false" ht="12.8" hidden="false" customHeight="false" outlineLevel="0" collapsed="false">
      <c r="A957" s="9" t="s">
        <v>5861</v>
      </c>
      <c r="B957" s="10" t="s">
        <v>5862</v>
      </c>
      <c r="C957" s="10" t="n">
        <v>0.0765</v>
      </c>
      <c r="D957" s="0" t="s">
        <v>5863</v>
      </c>
      <c r="E957" s="0" t="s">
        <v>5833</v>
      </c>
      <c r="F957" s="0" t="s">
        <v>3151</v>
      </c>
      <c r="G957" s="0" t="s">
        <v>5742</v>
      </c>
    </row>
    <row r="958" customFormat="false" ht="12.8" hidden="false" customHeight="false" outlineLevel="0" collapsed="false">
      <c r="A958" s="9" t="s">
        <v>5864</v>
      </c>
      <c r="B958" s="10" t="s">
        <v>5865</v>
      </c>
      <c r="C958" s="10" t="n">
        <v>0.0765</v>
      </c>
      <c r="D958" s="0" t="s">
        <v>5866</v>
      </c>
      <c r="E958" s="0" t="s">
        <v>5833</v>
      </c>
      <c r="F958" s="0" t="s">
        <v>3151</v>
      </c>
      <c r="G958" s="0" t="s">
        <v>5742</v>
      </c>
    </row>
    <row r="959" customFormat="false" ht="12.8" hidden="false" customHeight="false" outlineLevel="0" collapsed="false">
      <c r="A959" s="9" t="s">
        <v>5867</v>
      </c>
      <c r="B959" s="10" t="s">
        <v>5868</v>
      </c>
      <c r="C959" s="10" t="n">
        <v>0.0765</v>
      </c>
      <c r="D959" s="0" t="s">
        <v>5869</v>
      </c>
      <c r="E959" s="0" t="s">
        <v>5833</v>
      </c>
      <c r="F959" s="0" t="s">
        <v>3151</v>
      </c>
      <c r="G959" s="0" t="s">
        <v>5742</v>
      </c>
    </row>
    <row r="960" customFormat="false" ht="12.8" hidden="false" customHeight="false" outlineLevel="0" collapsed="false">
      <c r="A960" s="9" t="s">
        <v>5870</v>
      </c>
      <c r="B960" s="10" t="s">
        <v>5871</v>
      </c>
      <c r="C960" s="10" t="n">
        <v>0.0765</v>
      </c>
      <c r="D960" s="0" t="s">
        <v>5872</v>
      </c>
      <c r="E960" s="0" t="s">
        <v>5833</v>
      </c>
      <c r="F960" s="0" t="s">
        <v>3151</v>
      </c>
      <c r="G960" s="0" t="s">
        <v>5742</v>
      </c>
    </row>
    <row r="961" customFormat="false" ht="12.8" hidden="false" customHeight="false" outlineLevel="0" collapsed="false">
      <c r="A961" s="9" t="s">
        <v>5873</v>
      </c>
      <c r="B961" s="10" t="s">
        <v>5874</v>
      </c>
      <c r="C961" s="10" t="n">
        <v>0.0765</v>
      </c>
      <c r="D961" s="0" t="s">
        <v>5875</v>
      </c>
      <c r="E961" s="0" t="s">
        <v>5833</v>
      </c>
      <c r="F961" s="0" t="s">
        <v>3151</v>
      </c>
      <c r="G961" s="0" t="s">
        <v>5742</v>
      </c>
    </row>
    <row r="962" customFormat="false" ht="12.8" hidden="false" customHeight="false" outlineLevel="0" collapsed="false">
      <c r="A962" s="9" t="s">
        <v>5876</v>
      </c>
      <c r="B962" s="10" t="s">
        <v>5877</v>
      </c>
      <c r="C962" s="10" t="n">
        <v>168600</v>
      </c>
      <c r="D962" s="0" t="s">
        <v>5878</v>
      </c>
      <c r="E962" s="0" t="s">
        <v>5879</v>
      </c>
      <c r="F962" s="0" t="s">
        <v>3151</v>
      </c>
      <c r="G962" s="0" t="s">
        <v>5880</v>
      </c>
    </row>
    <row r="963" customFormat="false" ht="12.8" hidden="false" customHeight="false" outlineLevel="0" collapsed="false">
      <c r="A963" s="9" t="s">
        <v>5881</v>
      </c>
      <c r="B963" s="10" t="s">
        <v>5882</v>
      </c>
      <c r="C963" s="10" t="n">
        <v>0.1</v>
      </c>
      <c r="D963" s="0" t="s">
        <v>5883</v>
      </c>
      <c r="E963" s="0" t="s">
        <v>5884</v>
      </c>
      <c r="F963" s="0" t="s">
        <v>3151</v>
      </c>
      <c r="G963" s="0" t="s">
        <v>5885</v>
      </c>
    </row>
    <row r="964" customFormat="false" ht="12.8" hidden="false" customHeight="false" outlineLevel="0" collapsed="false">
      <c r="A964" s="9" t="s">
        <v>5886</v>
      </c>
      <c r="B964" s="10" t="s">
        <v>5887</v>
      </c>
      <c r="C964" s="10" t="n">
        <v>11600</v>
      </c>
      <c r="D964" s="0" t="s">
        <v>5888</v>
      </c>
      <c r="E964" s="0" t="s">
        <v>5889</v>
      </c>
      <c r="F964" s="0" t="s">
        <v>3151</v>
      </c>
      <c r="G964" s="0" t="s">
        <v>5890</v>
      </c>
    </row>
    <row r="965" customFormat="false" ht="12.8" hidden="false" customHeight="false" outlineLevel="0" collapsed="false">
      <c r="A965" s="9" t="s">
        <v>5891</v>
      </c>
      <c r="B965" s="10" t="s">
        <v>5892</v>
      </c>
      <c r="C965" s="10" t="n">
        <v>0.12</v>
      </c>
      <c r="D965" s="0" t="s">
        <v>5893</v>
      </c>
      <c r="E965" s="0" t="s">
        <v>5884</v>
      </c>
      <c r="F965" s="0" t="s">
        <v>3151</v>
      </c>
      <c r="G965" s="0" t="s">
        <v>5885</v>
      </c>
    </row>
    <row r="966" customFormat="false" ht="12.8" hidden="false" customHeight="false" outlineLevel="0" collapsed="false">
      <c r="A966" s="9" t="s">
        <v>5894</v>
      </c>
      <c r="B966" s="10" t="s">
        <v>5895</v>
      </c>
      <c r="C966" s="10" t="n">
        <v>47150</v>
      </c>
      <c r="D966" s="0" t="s">
        <v>5896</v>
      </c>
      <c r="E966" s="0" t="s">
        <v>5889</v>
      </c>
      <c r="F966" s="0" t="s">
        <v>3151</v>
      </c>
      <c r="G966" s="0" t="s">
        <v>5890</v>
      </c>
    </row>
    <row r="967" customFormat="false" ht="12.8" hidden="false" customHeight="false" outlineLevel="0" collapsed="false">
      <c r="A967" s="9" t="s">
        <v>5897</v>
      </c>
      <c r="B967" s="10" t="s">
        <v>5898</v>
      </c>
      <c r="C967" s="10" t="n">
        <v>0.22</v>
      </c>
      <c r="D967" s="0" t="s">
        <v>5899</v>
      </c>
      <c r="E967" s="0" t="s">
        <v>5884</v>
      </c>
      <c r="F967" s="0" t="s">
        <v>3151</v>
      </c>
      <c r="G967" s="0" t="s">
        <v>5885</v>
      </c>
    </row>
    <row r="968" customFormat="false" ht="12.8" hidden="false" customHeight="false" outlineLevel="0" collapsed="false">
      <c r="A968" s="9" t="s">
        <v>5900</v>
      </c>
      <c r="B968" s="10" t="s">
        <v>5901</v>
      </c>
      <c r="C968" s="10" t="n">
        <v>100525</v>
      </c>
      <c r="D968" s="0" t="s">
        <v>5902</v>
      </c>
      <c r="E968" s="0" t="s">
        <v>5889</v>
      </c>
      <c r="F968" s="0" t="s">
        <v>3151</v>
      </c>
      <c r="G968" s="0" t="s">
        <v>5890</v>
      </c>
    </row>
    <row r="969" customFormat="false" ht="12.8" hidden="false" customHeight="false" outlineLevel="0" collapsed="false">
      <c r="A969" s="9" t="s">
        <v>5903</v>
      </c>
      <c r="B969" s="10" t="s">
        <v>5904</v>
      </c>
      <c r="C969" s="10" t="n">
        <v>15000</v>
      </c>
      <c r="D969" s="0" t="s">
        <v>5905</v>
      </c>
      <c r="E969" s="0" t="s">
        <v>5889</v>
      </c>
      <c r="F969" s="0" t="s">
        <v>3151</v>
      </c>
      <c r="G969" s="0" t="s">
        <v>5906</v>
      </c>
    </row>
    <row r="970" customFormat="false" ht="12.8" hidden="false" customHeight="false" outlineLevel="0" collapsed="false">
      <c r="A970" s="9" t="s">
        <v>5907</v>
      </c>
      <c r="B970" s="10" t="s">
        <v>5908</v>
      </c>
      <c r="C970" s="10" t="n">
        <v>650</v>
      </c>
      <c r="D970" s="0" t="s">
        <v>5909</v>
      </c>
      <c r="E970" s="0" t="s">
        <v>5889</v>
      </c>
      <c r="F970" s="0" t="s">
        <v>3160</v>
      </c>
      <c r="G970" s="0" t="s">
        <v>5910</v>
      </c>
    </row>
    <row r="971" customFormat="false" ht="12.8" hidden="false" customHeight="false" outlineLevel="0" collapsed="false">
      <c r="A971" s="9" t="s">
        <v>5911</v>
      </c>
      <c r="B971" s="10" t="s">
        <v>5912</v>
      </c>
      <c r="C971" s="10" t="n">
        <v>4500</v>
      </c>
      <c r="D971" s="0" t="s">
        <v>5913</v>
      </c>
      <c r="E971" s="0" t="s">
        <v>5889</v>
      </c>
      <c r="F971" s="0" t="s">
        <v>3160</v>
      </c>
      <c r="G971" s="0" t="s">
        <v>5910</v>
      </c>
    </row>
    <row r="972" customFormat="false" ht="12.8" hidden="false" customHeight="false" outlineLevel="0" collapsed="false">
      <c r="A972" s="9" t="s">
        <v>5914</v>
      </c>
      <c r="B972" s="10" t="s">
        <v>5915</v>
      </c>
      <c r="C972" s="10" t="n">
        <v>7500</v>
      </c>
      <c r="D972" s="0" t="s">
        <v>5916</v>
      </c>
      <c r="E972" s="0" t="s">
        <v>5889</v>
      </c>
      <c r="F972" s="0" t="s">
        <v>3160</v>
      </c>
      <c r="G972" s="0" t="s">
        <v>5910</v>
      </c>
    </row>
    <row r="973" customFormat="false" ht="12.8" hidden="false" customHeight="false" outlineLevel="0" collapsed="false">
      <c r="A973" s="9" t="s">
        <v>5917</v>
      </c>
      <c r="B973" s="10" t="s">
        <v>5918</v>
      </c>
      <c r="C973" s="10" t="n">
        <v>8400</v>
      </c>
      <c r="D973" s="0" t="s">
        <v>5919</v>
      </c>
      <c r="E973" s="0" t="s">
        <v>5889</v>
      </c>
      <c r="F973" s="0" t="s">
        <v>3160</v>
      </c>
      <c r="G973" s="0" t="s">
        <v>5910</v>
      </c>
    </row>
    <row r="974" customFormat="false" ht="12.8" hidden="false" customHeight="false" outlineLevel="0" collapsed="false">
      <c r="A974" s="9" t="s">
        <v>5920</v>
      </c>
      <c r="B974" s="10" t="s">
        <v>5921</v>
      </c>
      <c r="C974" s="10" t="n">
        <v>10000</v>
      </c>
      <c r="D974" s="0" t="s">
        <v>5922</v>
      </c>
      <c r="E974" s="0" t="s">
        <v>5923</v>
      </c>
      <c r="F974" s="0" t="s">
        <v>3160</v>
      </c>
      <c r="G974" s="0" t="s">
        <v>5924</v>
      </c>
    </row>
    <row r="975" customFormat="false" ht="12.8" hidden="false" customHeight="false" outlineLevel="0" collapsed="false">
      <c r="A975" s="9" t="s">
        <v>5925</v>
      </c>
      <c r="B975" s="10" t="s">
        <v>5926</v>
      </c>
      <c r="C975" s="10" t="n">
        <v>22000</v>
      </c>
      <c r="D975" s="0" t="s">
        <v>5927</v>
      </c>
      <c r="E975" s="0" t="s">
        <v>5923</v>
      </c>
      <c r="F975" s="0" t="s">
        <v>3160</v>
      </c>
      <c r="G975" s="0" t="s">
        <v>5924</v>
      </c>
    </row>
    <row r="976" customFormat="false" ht="12.8" hidden="false" customHeight="false" outlineLevel="0" collapsed="false">
      <c r="A976" s="9" t="s">
        <v>5928</v>
      </c>
      <c r="B976" s="10" t="s">
        <v>5929</v>
      </c>
      <c r="C976" s="10" t="n">
        <v>25000</v>
      </c>
      <c r="D976" s="0" t="s">
        <v>5930</v>
      </c>
      <c r="E976" s="0" t="s">
        <v>5923</v>
      </c>
      <c r="F976" s="0" t="s">
        <v>3160</v>
      </c>
      <c r="G976" s="0" t="s">
        <v>5924</v>
      </c>
    </row>
    <row r="977" customFormat="false" ht="12.8" hidden="false" customHeight="false" outlineLevel="0" collapsed="false">
      <c r="A977" s="9" t="s">
        <v>5931</v>
      </c>
      <c r="B977" s="10" t="s">
        <v>5932</v>
      </c>
      <c r="C977" s="10" t="n">
        <v>25000</v>
      </c>
      <c r="D977" s="0" t="s">
        <v>5933</v>
      </c>
      <c r="E977" s="0" t="s">
        <v>5923</v>
      </c>
      <c r="F977" s="0" t="s">
        <v>3160</v>
      </c>
      <c r="G977" s="0" t="s">
        <v>5924</v>
      </c>
    </row>
    <row r="978" customFormat="false" ht="12.8" hidden="false" customHeight="false" outlineLevel="0" collapsed="false">
      <c r="A978" s="9" t="s">
        <v>5934</v>
      </c>
      <c r="B978" s="10" t="s">
        <v>5935</v>
      </c>
      <c r="C978" s="10" t="n">
        <v>0.0765</v>
      </c>
      <c r="D978" s="0" t="s">
        <v>5936</v>
      </c>
      <c r="E978" s="0" t="s">
        <v>5937</v>
      </c>
      <c r="F978" s="0" t="s">
        <v>3151</v>
      </c>
      <c r="G978" s="0" t="s">
        <v>5938</v>
      </c>
    </row>
    <row r="979" customFormat="false" ht="12.8" hidden="false" customHeight="false" outlineLevel="0" collapsed="false">
      <c r="A979" s="9" t="s">
        <v>5939</v>
      </c>
      <c r="B979" s="10" t="s">
        <v>5940</v>
      </c>
      <c r="C979" s="10" t="n">
        <v>1700</v>
      </c>
      <c r="D979" s="0" t="s">
        <v>5941</v>
      </c>
      <c r="E979" s="0" t="s">
        <v>5942</v>
      </c>
      <c r="F979" s="0" t="s">
        <v>3160</v>
      </c>
      <c r="G979" s="0" t="s">
        <v>5943</v>
      </c>
    </row>
    <row r="981" customFormat="false" ht="12.8" hidden="false" customHeight="false" outlineLevel="0" collapsed="false">
      <c r="A981" s="9" t="s">
        <v>5944</v>
      </c>
      <c r="B981" s="10" t="s">
        <v>5945</v>
      </c>
      <c r="C981" s="10" t="n">
        <v>1000</v>
      </c>
      <c r="D981" s="0" t="s">
        <v>5946</v>
      </c>
      <c r="E981" s="0" t="s">
        <v>5937</v>
      </c>
      <c r="F981" s="0" t="s">
        <v>3151</v>
      </c>
      <c r="G981" s="0" t="s">
        <v>5947</v>
      </c>
    </row>
    <row r="982" customFormat="false" ht="12.8" hidden="false" customHeight="false" outlineLevel="0" collapsed="false">
      <c r="A982" s="9" t="s">
        <v>5948</v>
      </c>
      <c r="B982" s="10" t="s">
        <v>5949</v>
      </c>
      <c r="C982" s="10" t="n">
        <v>80000</v>
      </c>
      <c r="D982" s="0" t="s">
        <v>5950</v>
      </c>
      <c r="E982" s="0" t="s">
        <v>5889</v>
      </c>
      <c r="F982" s="0" t="s">
        <v>3151</v>
      </c>
      <c r="G982" s="0" t="s">
        <v>5943</v>
      </c>
    </row>
    <row r="983" customFormat="false" ht="12.8" hidden="false" customHeight="false" outlineLevel="0" collapsed="false">
      <c r="A983" s="9" t="s">
        <v>5948</v>
      </c>
      <c r="B983" s="10" t="s">
        <v>5951</v>
      </c>
      <c r="C983" s="10" t="n">
        <v>90000</v>
      </c>
      <c r="D983" s="0" t="s">
        <v>5952</v>
      </c>
      <c r="E983" s="0" t="s">
        <v>5889</v>
      </c>
      <c r="F983" s="0" t="s">
        <v>3151</v>
      </c>
      <c r="G983" s="0" t="s">
        <v>5943</v>
      </c>
    </row>
    <row r="984" customFormat="false" ht="12.8" hidden="false" customHeight="false" outlineLevel="0" collapsed="false">
      <c r="A984" s="9" t="s">
        <v>5953</v>
      </c>
      <c r="B984" s="10" t="s">
        <v>5954</v>
      </c>
      <c r="C984" s="10" t="n">
        <v>1</v>
      </c>
      <c r="D984" s="0" t="s">
        <v>5955</v>
      </c>
      <c r="E984" s="0" t="s">
        <v>5937</v>
      </c>
      <c r="F984" s="0" t="s">
        <v>3151</v>
      </c>
      <c r="G984" s="0" t="s">
        <v>5956</v>
      </c>
    </row>
    <row r="985" customFormat="false" ht="12.8" hidden="false" customHeight="false" outlineLevel="0" collapsed="false">
      <c r="A985" s="9" t="s">
        <v>5957</v>
      </c>
      <c r="B985" s="10" t="s">
        <v>5958</v>
      </c>
      <c r="C985" s="10" t="n">
        <v>2500</v>
      </c>
      <c r="D985" s="0" t="s">
        <v>5959</v>
      </c>
      <c r="E985" s="0" t="s">
        <v>5937</v>
      </c>
      <c r="F985" s="0" t="s">
        <v>3151</v>
      </c>
      <c r="G985" s="0" t="s">
        <v>5960</v>
      </c>
    </row>
    <row r="986" customFormat="false" ht="12.8" hidden="false" customHeight="false" outlineLevel="0" collapsed="false">
      <c r="A986" s="9" t="s">
        <v>5961</v>
      </c>
      <c r="B986" s="10" t="s">
        <v>5962</v>
      </c>
      <c r="C986" s="10" t="n">
        <v>2000</v>
      </c>
      <c r="D986" s="0" t="s">
        <v>5963</v>
      </c>
      <c r="E986" s="0" t="s">
        <v>5964</v>
      </c>
      <c r="F986" s="0" t="s">
        <v>3151</v>
      </c>
      <c r="G986" s="0" t="s">
        <v>5965</v>
      </c>
    </row>
    <row r="987" customFormat="false" ht="12.8" hidden="false" customHeight="false" outlineLevel="0" collapsed="false">
      <c r="A987" s="9" t="s">
        <v>5966</v>
      </c>
      <c r="B987" s="10" t="s">
        <v>5967</v>
      </c>
      <c r="C987" s="10" t="n">
        <v>200000</v>
      </c>
      <c r="D987" s="0" t="s">
        <v>5968</v>
      </c>
      <c r="E987" s="0" t="s">
        <v>5937</v>
      </c>
      <c r="F987" s="0" t="s">
        <v>3151</v>
      </c>
      <c r="G987" s="0" t="s">
        <v>5969</v>
      </c>
    </row>
    <row r="988" customFormat="false" ht="12.8" hidden="false" customHeight="false" outlineLevel="0" collapsed="false">
      <c r="A988" s="9" t="s">
        <v>5970</v>
      </c>
      <c r="B988" s="10" t="s">
        <v>5971</v>
      </c>
      <c r="C988" s="10" t="n">
        <v>400000</v>
      </c>
      <c r="D988" s="0" t="s">
        <v>5972</v>
      </c>
      <c r="E988" s="0" t="s">
        <v>5937</v>
      </c>
      <c r="F988" s="0" t="s">
        <v>3151</v>
      </c>
      <c r="G988" s="0" t="s">
        <v>5969</v>
      </c>
    </row>
    <row r="989" customFormat="false" ht="12.8" hidden="false" customHeight="false" outlineLevel="0" collapsed="false">
      <c r="A989" s="9" t="s">
        <v>5973</v>
      </c>
      <c r="B989" s="10" t="s">
        <v>5974</v>
      </c>
      <c r="C989" s="10" t="n">
        <v>0.05</v>
      </c>
      <c r="D989" s="0" t="s">
        <v>5975</v>
      </c>
      <c r="E989" s="0" t="s">
        <v>5937</v>
      </c>
      <c r="F989" s="0" t="s">
        <v>3151</v>
      </c>
      <c r="G989" s="0" t="s">
        <v>5938</v>
      </c>
    </row>
    <row r="990" customFormat="false" ht="12.8" hidden="false" customHeight="false" outlineLevel="0" collapsed="false">
      <c r="A990" s="9" t="s">
        <v>5976</v>
      </c>
      <c r="B990" s="10" t="s">
        <v>5977</v>
      </c>
      <c r="C990" s="10" t="n">
        <v>1700</v>
      </c>
      <c r="D990" s="0" t="s">
        <v>5978</v>
      </c>
      <c r="E990" s="0" t="s">
        <v>5942</v>
      </c>
      <c r="F990" s="0" t="s">
        <v>3160</v>
      </c>
      <c r="G990" s="0" t="s">
        <v>5979</v>
      </c>
    </row>
    <row r="991" customFormat="false" ht="12.8" hidden="false" customHeight="false" outlineLevel="0" collapsed="false">
      <c r="A991" s="9" t="s">
        <v>5980</v>
      </c>
      <c r="B991" s="10" t="s">
        <v>5981</v>
      </c>
      <c r="C991" s="10" t="n">
        <v>2500</v>
      </c>
      <c r="D991" s="0" t="s">
        <v>5982</v>
      </c>
      <c r="E991" s="0" t="s">
        <v>5937</v>
      </c>
      <c r="F991" s="0" t="s">
        <v>3151</v>
      </c>
      <c r="G991" s="0" t="s">
        <v>5969</v>
      </c>
    </row>
    <row r="992" customFormat="false" ht="12.8" hidden="false" customHeight="false" outlineLevel="0" collapsed="false">
      <c r="A992" s="9" t="s">
        <v>5983</v>
      </c>
      <c r="B992" s="10" t="s">
        <v>5984</v>
      </c>
      <c r="C992" s="10" t="n">
        <v>0.15</v>
      </c>
      <c r="D992" s="0" t="s">
        <v>5985</v>
      </c>
      <c r="E992" s="0" t="s">
        <v>5937</v>
      </c>
      <c r="F992" s="0" t="s">
        <v>3151</v>
      </c>
      <c r="G992" s="0" t="s">
        <v>5938</v>
      </c>
    </row>
    <row r="993" customFormat="false" ht="12.8" hidden="false" customHeight="false" outlineLevel="0" collapsed="false">
      <c r="A993" s="9" t="s">
        <v>5986</v>
      </c>
      <c r="B993" s="10" t="s">
        <v>5987</v>
      </c>
      <c r="C993" s="10" t="n">
        <v>40</v>
      </c>
      <c r="D993" s="0" t="s">
        <v>5988</v>
      </c>
      <c r="E993" s="0" t="s">
        <v>5989</v>
      </c>
      <c r="F993" s="0" t="s">
        <v>3151</v>
      </c>
      <c r="G993" s="0" t="s">
        <v>5990</v>
      </c>
    </row>
    <row r="994" customFormat="false" ht="12.8" hidden="false" customHeight="false" outlineLevel="0" collapsed="false">
      <c r="A994" s="9" t="s">
        <v>5991</v>
      </c>
      <c r="B994" s="10" t="s">
        <v>5992</v>
      </c>
      <c r="C994" s="10" t="n">
        <v>22</v>
      </c>
      <c r="D994" s="0" t="s">
        <v>5993</v>
      </c>
      <c r="E994" s="0" t="s">
        <v>5989</v>
      </c>
      <c r="F994" s="0" t="s">
        <v>3151</v>
      </c>
      <c r="G994" s="0" t="s">
        <v>5990</v>
      </c>
    </row>
    <row r="1000" customFormat="false" ht="12.8" hidden="false" customHeight="false" outlineLevel="0" collapsed="false">
      <c r="A1000" s="9" t="s">
        <v>5994</v>
      </c>
      <c r="B1000" s="10" t="s">
        <v>5995</v>
      </c>
      <c r="C1000" s="10" t="n">
        <v>0.68</v>
      </c>
      <c r="D1000" s="0" t="s">
        <v>5996</v>
      </c>
      <c r="E1000" s="0" t="s">
        <v>5997</v>
      </c>
      <c r="F1000" s="0" t="s">
        <v>3160</v>
      </c>
      <c r="G1000" s="0" t="s">
        <v>5998</v>
      </c>
    </row>
    <row r="1001" customFormat="false" ht="12.8" hidden="false" customHeight="false" outlineLevel="0" collapsed="false">
      <c r="A1001" s="9" t="s">
        <v>5999</v>
      </c>
      <c r="B1001" s="10" t="s">
        <v>6000</v>
      </c>
      <c r="C1001" s="10" t="n">
        <v>0.82</v>
      </c>
      <c r="D1001" s="0" t="s">
        <v>6001</v>
      </c>
      <c r="E1001" s="0" t="s">
        <v>5997</v>
      </c>
      <c r="F1001" s="0" t="s">
        <v>3160</v>
      </c>
      <c r="G1001" s="0" t="s">
        <v>5998</v>
      </c>
    </row>
    <row r="1002" customFormat="false" ht="12.8" hidden="false" customHeight="false" outlineLevel="0" collapsed="false">
      <c r="A1002" s="9" t="s">
        <v>6002</v>
      </c>
      <c r="B1002" s="10" t="s">
        <v>6003</v>
      </c>
      <c r="C1002" s="10" t="n">
        <v>0.55</v>
      </c>
      <c r="D1002" s="0" t="s">
        <v>6004</v>
      </c>
      <c r="E1002" s="0" t="s">
        <v>5997</v>
      </c>
      <c r="F1002" s="0" t="s">
        <v>3160</v>
      </c>
      <c r="G1002" s="0" t="s">
        <v>5998</v>
      </c>
    </row>
    <row r="1003" customFormat="false" ht="12.8" hidden="false" customHeight="false" outlineLevel="0" collapsed="false">
      <c r="A1003" s="9" t="s">
        <v>6005</v>
      </c>
      <c r="B1003" s="10" t="s">
        <v>6006</v>
      </c>
      <c r="C1003" s="10" t="n">
        <v>0.6</v>
      </c>
      <c r="D1003" s="0" t="s">
        <v>6007</v>
      </c>
      <c r="E1003" s="0" t="s">
        <v>5997</v>
      </c>
      <c r="F1003" s="0" t="s">
        <v>3160</v>
      </c>
      <c r="G1003" s="0" t="s">
        <v>5998</v>
      </c>
    </row>
    <row r="1004" customFormat="false" ht="12.8" hidden="false" customHeight="false" outlineLevel="0" collapsed="false">
      <c r="A1004" s="9" t="s">
        <v>6008</v>
      </c>
      <c r="B1004" s="10" t="s">
        <v>6009</v>
      </c>
      <c r="C1004" s="10" t="n">
        <v>0.88</v>
      </c>
      <c r="D1004" s="0" t="s">
        <v>6010</v>
      </c>
      <c r="E1004" s="0" t="s">
        <v>5997</v>
      </c>
      <c r="F1004" s="0" t="s">
        <v>3160</v>
      </c>
      <c r="G1004" s="0" t="s">
        <v>5998</v>
      </c>
    </row>
    <row r="1005" customFormat="false" ht="12.8" hidden="false" customHeight="false" outlineLevel="0" collapsed="false">
      <c r="A1005" s="9" t="s">
        <v>6011</v>
      </c>
      <c r="B1005" s="10" t="s">
        <v>6012</v>
      </c>
      <c r="C1005" s="10" t="n">
        <v>0.85</v>
      </c>
      <c r="D1005" s="0" t="s">
        <v>6013</v>
      </c>
      <c r="E1005" s="0" t="s">
        <v>5997</v>
      </c>
      <c r="F1005" s="0" t="s">
        <v>3160</v>
      </c>
      <c r="G1005" s="0" t="s">
        <v>5998</v>
      </c>
    </row>
    <row r="1006" customFormat="false" ht="12.8" hidden="false" customHeight="false" outlineLevel="0" collapsed="false">
      <c r="A1006" s="9" t="s">
        <v>6014</v>
      </c>
      <c r="B1006" s="10" t="s">
        <v>6015</v>
      </c>
      <c r="C1006" s="10" t="n">
        <v>0.65</v>
      </c>
      <c r="D1006" s="0" t="s">
        <v>6016</v>
      </c>
      <c r="E1006" s="0" t="s">
        <v>5997</v>
      </c>
      <c r="F1006" s="0" t="s">
        <v>3160</v>
      </c>
      <c r="G1006" s="0" t="s">
        <v>5998</v>
      </c>
    </row>
    <row r="1007" customFormat="false" ht="12.8" hidden="false" customHeight="false" outlineLevel="0" collapsed="false">
      <c r="A1007" s="9" t="s">
        <v>6017</v>
      </c>
      <c r="B1007" s="10" t="s">
        <v>6018</v>
      </c>
      <c r="C1007" s="10" t="n">
        <v>0.58</v>
      </c>
      <c r="D1007" s="0" t="s">
        <v>6019</v>
      </c>
      <c r="E1007" s="0" t="s">
        <v>5997</v>
      </c>
      <c r="F1007" s="0" t="s">
        <v>3160</v>
      </c>
      <c r="G1007" s="0" t="s">
        <v>5998</v>
      </c>
    </row>
    <row r="1008" customFormat="false" ht="12.8" hidden="false" customHeight="false" outlineLevel="0" collapsed="false">
      <c r="A1008" s="9" t="s">
        <v>6020</v>
      </c>
      <c r="B1008" s="10" t="s">
        <v>6021</v>
      </c>
      <c r="C1008" s="10" t="n">
        <v>0.78</v>
      </c>
      <c r="D1008" s="0" t="s">
        <v>6022</v>
      </c>
      <c r="E1008" s="0" t="s">
        <v>5997</v>
      </c>
      <c r="F1008" s="0" t="s">
        <v>3160</v>
      </c>
      <c r="G1008" s="0" t="s">
        <v>5998</v>
      </c>
    </row>
    <row r="1009" customFormat="false" ht="12.8" hidden="false" customHeight="false" outlineLevel="0" collapsed="false">
      <c r="A1009" s="9" t="s">
        <v>6023</v>
      </c>
      <c r="B1009" s="10" t="s">
        <v>6024</v>
      </c>
      <c r="C1009" s="10" t="n">
        <v>0.8</v>
      </c>
      <c r="D1009" s="0" t="s">
        <v>6025</v>
      </c>
      <c r="E1009" s="0" t="s">
        <v>5997</v>
      </c>
      <c r="F1009" s="0" t="s">
        <v>3160</v>
      </c>
      <c r="G1009" s="0" t="s">
        <v>5998</v>
      </c>
    </row>
    <row r="1010" customFormat="false" ht="12.8" hidden="false" customHeight="false" outlineLevel="0" collapsed="false">
      <c r="A1010" s="9" t="s">
        <v>6026</v>
      </c>
      <c r="B1010" s="10" t="s">
        <v>6027</v>
      </c>
      <c r="C1010" s="10" t="n">
        <v>0.9</v>
      </c>
      <c r="D1010" s="0" t="s">
        <v>6028</v>
      </c>
      <c r="E1010" s="0" t="s">
        <v>5997</v>
      </c>
      <c r="F1010" s="0" t="s">
        <v>3160</v>
      </c>
      <c r="G1010" s="0" t="s">
        <v>5998</v>
      </c>
    </row>
    <row r="1011" customFormat="false" ht="12.8" hidden="false" customHeight="false" outlineLevel="0" collapsed="false">
      <c r="A1011" s="9" t="s">
        <v>6029</v>
      </c>
      <c r="B1011" s="10" t="s">
        <v>6030</v>
      </c>
      <c r="C1011" s="10" t="n">
        <v>0.85</v>
      </c>
      <c r="D1011" s="0" t="s">
        <v>6031</v>
      </c>
      <c r="E1011" s="0" t="s">
        <v>5997</v>
      </c>
      <c r="F1011" s="0" t="s">
        <v>3160</v>
      </c>
      <c r="G1011" s="0" t="s">
        <v>5998</v>
      </c>
    </row>
    <row r="1012" customFormat="false" ht="12.8" hidden="false" customHeight="false" outlineLevel="0" collapsed="false">
      <c r="A1012" s="9" t="s">
        <v>6032</v>
      </c>
      <c r="B1012" s="10" t="s">
        <v>6033</v>
      </c>
      <c r="C1012" s="10" t="n">
        <v>0.92</v>
      </c>
      <c r="D1012" s="0" t="s">
        <v>6034</v>
      </c>
      <c r="E1012" s="0" t="s">
        <v>5997</v>
      </c>
      <c r="F1012" s="0" t="s">
        <v>3160</v>
      </c>
      <c r="G1012" s="0" t="s">
        <v>5998</v>
      </c>
    </row>
    <row r="1013" customFormat="false" ht="12.8" hidden="false" customHeight="false" outlineLevel="0" collapsed="false">
      <c r="A1013" s="9" t="s">
        <v>6035</v>
      </c>
      <c r="B1013" s="10" t="s">
        <v>6036</v>
      </c>
      <c r="C1013" s="10" t="n">
        <v>0.88</v>
      </c>
      <c r="D1013" s="0" t="s">
        <v>6037</v>
      </c>
      <c r="E1013" s="0" t="s">
        <v>5997</v>
      </c>
      <c r="F1013" s="0" t="s">
        <v>3160</v>
      </c>
      <c r="G1013" s="0" t="s">
        <v>5998</v>
      </c>
    </row>
    <row r="1014" customFormat="false" ht="12.8" hidden="false" customHeight="false" outlineLevel="0" collapsed="false">
      <c r="A1014" s="9" t="s">
        <v>6038</v>
      </c>
      <c r="B1014" s="10" t="s">
        <v>6039</v>
      </c>
      <c r="C1014" s="10" t="n">
        <v>0.95</v>
      </c>
      <c r="D1014" s="0" t="s">
        <v>6040</v>
      </c>
      <c r="E1014" s="0" t="s">
        <v>5997</v>
      </c>
      <c r="F1014" s="0" t="s">
        <v>3160</v>
      </c>
      <c r="G1014" s="0" t="s">
        <v>5998</v>
      </c>
    </row>
    <row r="1015" customFormat="false" ht="12.8" hidden="false" customHeight="false" outlineLevel="0" collapsed="false">
      <c r="A1015" s="9" t="s">
        <v>6041</v>
      </c>
      <c r="B1015" s="10" t="s">
        <v>6042</v>
      </c>
      <c r="C1015" s="10" t="n">
        <v>0.32</v>
      </c>
      <c r="D1015" s="0" t="s">
        <v>6043</v>
      </c>
      <c r="E1015" s="0" t="s">
        <v>6044</v>
      </c>
      <c r="F1015" s="0" t="s">
        <v>3160</v>
      </c>
      <c r="G1015" s="0" t="s">
        <v>5998</v>
      </c>
    </row>
    <row r="1016" customFormat="false" ht="12.8" hidden="false" customHeight="false" outlineLevel="0" collapsed="false">
      <c r="A1016" s="9" t="s">
        <v>6045</v>
      </c>
      <c r="B1016" s="10" t="s">
        <v>6046</v>
      </c>
      <c r="C1016" s="10" t="n">
        <v>0.18</v>
      </c>
      <c r="D1016" s="0" t="s">
        <v>6047</v>
      </c>
      <c r="E1016" s="0" t="s">
        <v>6044</v>
      </c>
      <c r="F1016" s="0" t="s">
        <v>3160</v>
      </c>
      <c r="G1016" s="0" t="s">
        <v>5998</v>
      </c>
    </row>
    <row r="1017" customFormat="false" ht="12.8" hidden="false" customHeight="false" outlineLevel="0" collapsed="false">
      <c r="A1017" s="9" t="s">
        <v>6048</v>
      </c>
      <c r="B1017" s="10" t="s">
        <v>6049</v>
      </c>
      <c r="C1017" s="10" t="n">
        <v>0.45</v>
      </c>
      <c r="D1017" s="0" t="s">
        <v>6050</v>
      </c>
      <c r="E1017" s="0" t="s">
        <v>6044</v>
      </c>
      <c r="F1017" s="0" t="s">
        <v>3160</v>
      </c>
      <c r="G1017" s="0" t="s">
        <v>5998</v>
      </c>
    </row>
    <row r="1018" customFormat="false" ht="12.8" hidden="false" customHeight="false" outlineLevel="0" collapsed="false">
      <c r="A1018" s="9" t="s">
        <v>6051</v>
      </c>
      <c r="B1018" s="10" t="s">
        <v>6052</v>
      </c>
      <c r="C1018" s="10" t="n">
        <v>0.4</v>
      </c>
      <c r="D1018" s="0" t="s">
        <v>6053</v>
      </c>
      <c r="E1018" s="0" t="s">
        <v>6044</v>
      </c>
      <c r="F1018" s="0" t="s">
        <v>3160</v>
      </c>
      <c r="G1018" s="0" t="s">
        <v>5998</v>
      </c>
    </row>
    <row r="1019" customFormat="false" ht="12.8" hidden="false" customHeight="false" outlineLevel="0" collapsed="false">
      <c r="A1019" s="9" t="s">
        <v>6054</v>
      </c>
      <c r="B1019" s="10" t="s">
        <v>6055</v>
      </c>
      <c r="C1019" s="10" t="n">
        <v>0.12</v>
      </c>
      <c r="D1019" s="0" t="s">
        <v>6056</v>
      </c>
      <c r="E1019" s="0" t="s">
        <v>6044</v>
      </c>
      <c r="F1019" s="0" t="s">
        <v>3160</v>
      </c>
      <c r="G1019" s="0" t="s">
        <v>5998</v>
      </c>
    </row>
    <row r="1020" customFormat="false" ht="12.8" hidden="false" customHeight="false" outlineLevel="0" collapsed="false">
      <c r="A1020" s="9" t="s">
        <v>6057</v>
      </c>
      <c r="B1020" s="10" t="s">
        <v>6058</v>
      </c>
      <c r="C1020" s="10" t="n">
        <v>0.15</v>
      </c>
      <c r="D1020" s="0" t="s">
        <v>6059</v>
      </c>
      <c r="E1020" s="0" t="s">
        <v>6044</v>
      </c>
      <c r="F1020" s="0" t="s">
        <v>3160</v>
      </c>
      <c r="G1020" s="0" t="s">
        <v>5998</v>
      </c>
    </row>
    <row r="1021" customFormat="false" ht="12.8" hidden="false" customHeight="false" outlineLevel="0" collapsed="false">
      <c r="A1021" s="9" t="s">
        <v>6060</v>
      </c>
      <c r="B1021" s="10" t="s">
        <v>6061</v>
      </c>
      <c r="C1021" s="10" t="n">
        <v>0.35</v>
      </c>
      <c r="D1021" s="0" t="s">
        <v>6062</v>
      </c>
      <c r="E1021" s="0" t="s">
        <v>6044</v>
      </c>
      <c r="F1021" s="0" t="s">
        <v>3160</v>
      </c>
      <c r="G1021" s="0" t="s">
        <v>5998</v>
      </c>
    </row>
    <row r="1022" customFormat="false" ht="12.8" hidden="false" customHeight="false" outlineLevel="0" collapsed="false">
      <c r="A1022" s="9" t="s">
        <v>6063</v>
      </c>
      <c r="B1022" s="10" t="s">
        <v>6064</v>
      </c>
      <c r="C1022" s="10" t="n">
        <v>0.42</v>
      </c>
      <c r="D1022" s="0" t="s">
        <v>6065</v>
      </c>
      <c r="E1022" s="0" t="s">
        <v>6044</v>
      </c>
      <c r="F1022" s="0" t="s">
        <v>3160</v>
      </c>
      <c r="G1022" s="0" t="s">
        <v>5998</v>
      </c>
    </row>
    <row r="1023" customFormat="false" ht="12.8" hidden="false" customHeight="false" outlineLevel="0" collapsed="false">
      <c r="A1023" s="9" t="s">
        <v>6066</v>
      </c>
      <c r="B1023" s="10" t="s">
        <v>6067</v>
      </c>
      <c r="C1023" s="10" t="n">
        <v>0.22</v>
      </c>
      <c r="D1023" s="0" t="s">
        <v>6068</v>
      </c>
      <c r="E1023" s="0" t="s">
        <v>6044</v>
      </c>
      <c r="F1023" s="0" t="s">
        <v>3160</v>
      </c>
      <c r="G1023" s="0" t="s">
        <v>5998</v>
      </c>
    </row>
    <row r="1024" customFormat="false" ht="12.8" hidden="false" customHeight="false" outlineLevel="0" collapsed="false">
      <c r="A1024" s="9" t="s">
        <v>6069</v>
      </c>
      <c r="B1024" s="10" t="s">
        <v>6070</v>
      </c>
      <c r="C1024" s="10" t="n">
        <v>0.2</v>
      </c>
      <c r="D1024" s="0" t="s">
        <v>6071</v>
      </c>
      <c r="E1024" s="0" t="s">
        <v>6044</v>
      </c>
      <c r="F1024" s="0" t="s">
        <v>3160</v>
      </c>
      <c r="G1024" s="0" t="s">
        <v>5998</v>
      </c>
    </row>
    <row r="1025" customFormat="false" ht="12.8" hidden="false" customHeight="false" outlineLevel="0" collapsed="false">
      <c r="A1025" s="9" t="s">
        <v>6072</v>
      </c>
      <c r="B1025" s="10" t="s">
        <v>6073</v>
      </c>
      <c r="C1025" s="10" t="n">
        <v>0.1</v>
      </c>
      <c r="D1025" s="0" t="s">
        <v>6074</v>
      </c>
      <c r="E1025" s="0" t="s">
        <v>6044</v>
      </c>
      <c r="F1025" s="0" t="s">
        <v>3160</v>
      </c>
      <c r="G1025" s="0" t="s">
        <v>5998</v>
      </c>
    </row>
    <row r="1026" customFormat="false" ht="12.8" hidden="false" customHeight="false" outlineLevel="0" collapsed="false">
      <c r="A1026" s="9" t="s">
        <v>6075</v>
      </c>
      <c r="B1026" s="10" t="s">
        <v>6076</v>
      </c>
      <c r="C1026" s="10" t="n">
        <v>0.15</v>
      </c>
      <c r="D1026" s="0" t="s">
        <v>6077</v>
      </c>
      <c r="E1026" s="0" t="s">
        <v>6044</v>
      </c>
      <c r="F1026" s="0" t="s">
        <v>3160</v>
      </c>
      <c r="G1026" s="0" t="s">
        <v>5998</v>
      </c>
    </row>
    <row r="1028" customFormat="false" ht="12.8" hidden="false" customHeight="false" outlineLevel="0" collapsed="false">
      <c r="A1028" s="9" t="s">
        <v>6078</v>
      </c>
      <c r="B1028" s="10" t="s">
        <v>6079</v>
      </c>
      <c r="C1028" s="10" t="n">
        <v>0.08</v>
      </c>
      <c r="D1028" s="0" t="s">
        <v>6080</v>
      </c>
      <c r="E1028" s="0" t="s">
        <v>6044</v>
      </c>
      <c r="F1028" s="0" t="s">
        <v>3160</v>
      </c>
      <c r="G1028" s="0" t="s">
        <v>5998</v>
      </c>
    </row>
    <row r="1029" customFormat="false" ht="12.8" hidden="false" customHeight="false" outlineLevel="0" collapsed="false">
      <c r="A1029" s="9" t="s">
        <v>6081</v>
      </c>
      <c r="B1029" s="10" t="s">
        <v>6082</v>
      </c>
      <c r="C1029" s="10" t="n">
        <v>0.12</v>
      </c>
      <c r="D1029" s="0" t="s">
        <v>6083</v>
      </c>
      <c r="E1029" s="0" t="s">
        <v>6044</v>
      </c>
      <c r="F1029" s="0" t="s">
        <v>3160</v>
      </c>
      <c r="G1029" s="0" t="s">
        <v>5998</v>
      </c>
    </row>
    <row r="1030" customFormat="false" ht="12.8" hidden="false" customHeight="false" outlineLevel="0" collapsed="false">
      <c r="A1030" s="9" t="s">
        <v>6084</v>
      </c>
      <c r="B1030" s="10" t="s">
        <v>6085</v>
      </c>
      <c r="C1030" s="10" t="n">
        <v>0.05</v>
      </c>
      <c r="D1030" s="0" t="s">
        <v>6086</v>
      </c>
      <c r="E1030" s="0" t="s">
        <v>6044</v>
      </c>
      <c r="F1030" s="0" t="s">
        <v>3160</v>
      </c>
      <c r="G1030" s="0" t="s">
        <v>5998</v>
      </c>
    </row>
    <row r="1036" customFormat="false" ht="12.8" hidden="false" customHeight="false" outlineLevel="0" collapsed="false">
      <c r="A1036" s="9" t="s">
        <v>6087</v>
      </c>
      <c r="B1036" s="10" t="s">
        <v>6088</v>
      </c>
      <c r="C1036" s="10" t="n">
        <v>38.2</v>
      </c>
      <c r="D1036" s="0" t="s">
        <v>6089</v>
      </c>
      <c r="E1036" s="0" t="s">
        <v>6090</v>
      </c>
      <c r="F1036" s="0" t="s">
        <v>3160</v>
      </c>
      <c r="G1036" s="0" t="s">
        <v>6091</v>
      </c>
    </row>
    <row r="1037" customFormat="false" ht="12.8" hidden="false" customHeight="false" outlineLevel="0" collapsed="false">
      <c r="A1037" s="9" t="s">
        <v>6092</v>
      </c>
      <c r="B1037" s="10" t="s">
        <v>6093</v>
      </c>
      <c r="C1037" s="10" t="n">
        <v>41.5</v>
      </c>
      <c r="D1037" s="0" t="s">
        <v>6094</v>
      </c>
      <c r="E1037" s="0" t="s">
        <v>6090</v>
      </c>
      <c r="F1037" s="0" t="s">
        <v>3160</v>
      </c>
      <c r="G1037" s="0" t="s">
        <v>6091</v>
      </c>
    </row>
    <row r="1038" customFormat="false" ht="12.8" hidden="false" customHeight="false" outlineLevel="0" collapsed="false">
      <c r="A1038" s="9" t="s">
        <v>6095</v>
      </c>
      <c r="B1038" s="10" t="s">
        <v>6096</v>
      </c>
      <c r="C1038" s="10" t="n">
        <v>32.8</v>
      </c>
      <c r="D1038" s="0" t="s">
        <v>6097</v>
      </c>
      <c r="E1038" s="0" t="s">
        <v>6090</v>
      </c>
      <c r="F1038" s="0" t="s">
        <v>3160</v>
      </c>
      <c r="G1038" s="0" t="s">
        <v>6091</v>
      </c>
    </row>
    <row r="1039" customFormat="false" ht="12.8" hidden="false" customHeight="false" outlineLevel="0" collapsed="false">
      <c r="A1039" s="9" t="s">
        <v>6098</v>
      </c>
      <c r="B1039" s="10" t="s">
        <v>6099</v>
      </c>
      <c r="C1039" s="10" t="n">
        <v>35.4</v>
      </c>
      <c r="D1039" s="0" t="s">
        <v>6100</v>
      </c>
      <c r="E1039" s="0" t="s">
        <v>6090</v>
      </c>
      <c r="F1039" s="0" t="s">
        <v>3160</v>
      </c>
      <c r="G1039" s="0" t="s">
        <v>6091</v>
      </c>
    </row>
    <row r="1040" customFormat="false" ht="12.8" hidden="false" customHeight="false" outlineLevel="0" collapsed="false">
      <c r="A1040" s="9" t="s">
        <v>6101</v>
      </c>
      <c r="B1040" s="10" t="s">
        <v>6102</v>
      </c>
      <c r="C1040" s="10" t="n">
        <v>42.1</v>
      </c>
      <c r="D1040" s="0" t="s">
        <v>6103</v>
      </c>
      <c r="E1040" s="0" t="s">
        <v>6090</v>
      </c>
      <c r="F1040" s="0" t="s">
        <v>3160</v>
      </c>
      <c r="G1040" s="0" t="s">
        <v>6091</v>
      </c>
    </row>
    <row r="1041" customFormat="false" ht="12.8" hidden="false" customHeight="false" outlineLevel="0" collapsed="false">
      <c r="A1041" s="9" t="s">
        <v>6104</v>
      </c>
      <c r="B1041" s="10" t="s">
        <v>6105</v>
      </c>
      <c r="C1041" s="10" t="n">
        <v>40.8</v>
      </c>
      <c r="D1041" s="0" t="s">
        <v>6106</v>
      </c>
      <c r="E1041" s="0" t="s">
        <v>6090</v>
      </c>
      <c r="F1041" s="0" t="s">
        <v>3160</v>
      </c>
      <c r="G1041" s="0" t="s">
        <v>6091</v>
      </c>
    </row>
    <row r="1042" customFormat="false" ht="12.8" hidden="false" customHeight="false" outlineLevel="0" collapsed="false">
      <c r="A1042" s="9" t="s">
        <v>6107</v>
      </c>
      <c r="B1042" s="10" t="s">
        <v>6108</v>
      </c>
      <c r="C1042" s="10" t="n">
        <v>34.6</v>
      </c>
      <c r="D1042" s="0" t="s">
        <v>6109</v>
      </c>
      <c r="E1042" s="0" t="s">
        <v>6090</v>
      </c>
      <c r="F1042" s="0" t="s">
        <v>3160</v>
      </c>
      <c r="G1042" s="0" t="s">
        <v>6091</v>
      </c>
    </row>
    <row r="1043" customFormat="false" ht="12.8" hidden="false" customHeight="false" outlineLevel="0" collapsed="false">
      <c r="A1043" s="9" t="s">
        <v>6110</v>
      </c>
      <c r="B1043" s="10" t="s">
        <v>6111</v>
      </c>
      <c r="C1043" s="10" t="n">
        <v>36.7</v>
      </c>
      <c r="D1043" s="0" t="s">
        <v>6112</v>
      </c>
      <c r="E1043" s="0" t="s">
        <v>6090</v>
      </c>
      <c r="F1043" s="0" t="s">
        <v>3160</v>
      </c>
      <c r="G1043" s="0" t="s">
        <v>6091</v>
      </c>
    </row>
    <row r="1044" customFormat="false" ht="12.8" hidden="false" customHeight="false" outlineLevel="0" collapsed="false">
      <c r="A1044" s="9" t="s">
        <v>6113</v>
      </c>
      <c r="B1044" s="10" t="s">
        <v>6114</v>
      </c>
      <c r="C1044" s="10" t="n">
        <v>39.2</v>
      </c>
      <c r="D1044" s="0" t="s">
        <v>6115</v>
      </c>
      <c r="E1044" s="0" t="s">
        <v>6090</v>
      </c>
      <c r="F1044" s="0" t="s">
        <v>3160</v>
      </c>
      <c r="G1044" s="0" t="s">
        <v>6091</v>
      </c>
    </row>
    <row r="1045" customFormat="false" ht="12.8" hidden="false" customHeight="false" outlineLevel="0" collapsed="false">
      <c r="A1045" s="9" t="s">
        <v>6116</v>
      </c>
      <c r="B1045" s="10" t="s">
        <v>6117</v>
      </c>
      <c r="C1045" s="10" t="n">
        <v>38.9</v>
      </c>
      <c r="D1045" s="0" t="s">
        <v>6118</v>
      </c>
      <c r="E1045" s="0" t="s">
        <v>6090</v>
      </c>
      <c r="F1045" s="0" t="s">
        <v>3160</v>
      </c>
      <c r="G1045" s="0" t="s">
        <v>6091</v>
      </c>
    </row>
    <row r="1046" customFormat="false" ht="12.8" hidden="false" customHeight="false" outlineLevel="0" collapsed="false">
      <c r="A1046" s="9" t="s">
        <v>6119</v>
      </c>
      <c r="B1046" s="10" t="s">
        <v>6120</v>
      </c>
      <c r="C1046" s="10" t="n">
        <v>40.5</v>
      </c>
      <c r="D1046" s="0" t="s">
        <v>6121</v>
      </c>
      <c r="E1046" s="0" t="s">
        <v>6090</v>
      </c>
      <c r="F1046" s="0" t="s">
        <v>3160</v>
      </c>
      <c r="G1046" s="0" t="s">
        <v>6091</v>
      </c>
    </row>
    <row r="1047" customFormat="false" ht="12.8" hidden="false" customHeight="false" outlineLevel="0" collapsed="false">
      <c r="A1047" s="9" t="s">
        <v>6122</v>
      </c>
      <c r="B1047" s="10" t="s">
        <v>6123</v>
      </c>
      <c r="C1047" s="10" t="n">
        <v>39.8</v>
      </c>
      <c r="D1047" s="0" t="s">
        <v>6124</v>
      </c>
      <c r="E1047" s="0" t="s">
        <v>6090</v>
      </c>
      <c r="F1047" s="0" t="s">
        <v>3160</v>
      </c>
      <c r="G1047" s="0" t="s">
        <v>6091</v>
      </c>
    </row>
    <row r="1048" customFormat="false" ht="12.8" hidden="false" customHeight="false" outlineLevel="0" collapsed="false">
      <c r="A1048" s="9" t="s">
        <v>6125</v>
      </c>
      <c r="B1048" s="10" t="s">
        <v>6126</v>
      </c>
      <c r="C1048" s="10" t="n">
        <v>41</v>
      </c>
      <c r="D1048" s="0" t="s">
        <v>6127</v>
      </c>
      <c r="E1048" s="0" t="s">
        <v>6090</v>
      </c>
      <c r="F1048" s="0" t="s">
        <v>3160</v>
      </c>
      <c r="G1048" s="0" t="s">
        <v>6091</v>
      </c>
    </row>
    <row r="1049" customFormat="false" ht="12.8" hidden="false" customHeight="false" outlineLevel="0" collapsed="false">
      <c r="A1049" s="9" t="s">
        <v>6128</v>
      </c>
      <c r="B1049" s="10" t="s">
        <v>6129</v>
      </c>
      <c r="C1049" s="10" t="n">
        <v>40.2</v>
      </c>
      <c r="D1049" s="0" t="s">
        <v>6130</v>
      </c>
      <c r="E1049" s="0" t="s">
        <v>6090</v>
      </c>
      <c r="F1049" s="0" t="s">
        <v>3160</v>
      </c>
      <c r="G1049" s="0" t="s">
        <v>6091</v>
      </c>
    </row>
    <row r="1050" customFormat="false" ht="12.8" hidden="false" customHeight="false" outlineLevel="0" collapsed="false">
      <c r="A1050" s="9" t="s">
        <v>6131</v>
      </c>
      <c r="B1050" s="10" t="s">
        <v>6132</v>
      </c>
      <c r="C1050" s="10" t="n">
        <v>40</v>
      </c>
      <c r="D1050" s="0" t="s">
        <v>6133</v>
      </c>
      <c r="E1050" s="0" t="s">
        <v>6090</v>
      </c>
      <c r="F1050" s="0" t="s">
        <v>3160</v>
      </c>
      <c r="G1050" s="0" t="s">
        <v>6091</v>
      </c>
    </row>
    <row r="1056" customFormat="false" ht="12.8" hidden="false" customHeight="false" outlineLevel="0" collapsed="false">
      <c r="A1056" s="9" t="s">
        <v>6134</v>
      </c>
      <c r="B1056" s="10" t="s">
        <v>6135</v>
      </c>
      <c r="C1056" s="10" t="n">
        <v>3.8</v>
      </c>
      <c r="D1056" s="0" t="s">
        <v>6136</v>
      </c>
      <c r="E1056" s="0" t="s">
        <v>6137</v>
      </c>
      <c r="F1056" s="0" t="s">
        <v>3160</v>
      </c>
      <c r="G1056" s="0" t="s">
        <v>5998</v>
      </c>
    </row>
    <row r="1057" customFormat="false" ht="12.8" hidden="false" customHeight="false" outlineLevel="0" collapsed="false">
      <c r="A1057" s="9" t="s">
        <v>6138</v>
      </c>
      <c r="B1057" s="10" t="s">
        <v>6139</v>
      </c>
      <c r="C1057" s="10" t="n">
        <v>4.2</v>
      </c>
      <c r="D1057" s="0" t="s">
        <v>6140</v>
      </c>
      <c r="E1057" s="0" t="s">
        <v>6137</v>
      </c>
      <c r="F1057" s="0" t="s">
        <v>3160</v>
      </c>
      <c r="G1057" s="0" t="s">
        <v>5998</v>
      </c>
    </row>
    <row r="1058" customFormat="false" ht="12.8" hidden="false" customHeight="false" outlineLevel="0" collapsed="false">
      <c r="A1058" s="9" t="s">
        <v>6141</v>
      </c>
      <c r="B1058" s="10" t="s">
        <v>6142</v>
      </c>
      <c r="C1058" s="10" t="n">
        <v>2.9</v>
      </c>
      <c r="D1058" s="0" t="s">
        <v>6143</v>
      </c>
      <c r="E1058" s="0" t="s">
        <v>6137</v>
      </c>
      <c r="F1058" s="0" t="s">
        <v>3160</v>
      </c>
      <c r="G1058" s="0" t="s">
        <v>5998</v>
      </c>
    </row>
    <row r="1059" customFormat="false" ht="12.8" hidden="false" customHeight="false" outlineLevel="0" collapsed="false">
      <c r="A1059" s="9" t="s">
        <v>6144</v>
      </c>
      <c r="B1059" s="10" t="s">
        <v>6145</v>
      </c>
      <c r="C1059" s="10" t="n">
        <v>3.1</v>
      </c>
      <c r="D1059" s="0" t="s">
        <v>6146</v>
      </c>
      <c r="E1059" s="0" t="s">
        <v>6137</v>
      </c>
      <c r="F1059" s="0" t="s">
        <v>3160</v>
      </c>
      <c r="G1059" s="0" t="s">
        <v>5998</v>
      </c>
    </row>
    <row r="1060" customFormat="false" ht="12.8" hidden="false" customHeight="false" outlineLevel="0" collapsed="false">
      <c r="A1060" s="9" t="s">
        <v>6147</v>
      </c>
      <c r="B1060" s="10" t="s">
        <v>6148</v>
      </c>
      <c r="C1060" s="10" t="n">
        <v>5.6</v>
      </c>
      <c r="D1060" s="0" t="s">
        <v>6149</v>
      </c>
      <c r="E1060" s="0" t="s">
        <v>6137</v>
      </c>
      <c r="F1060" s="0" t="s">
        <v>3160</v>
      </c>
      <c r="G1060" s="0" t="s">
        <v>5998</v>
      </c>
    </row>
    <row r="1061" customFormat="false" ht="12.8" hidden="false" customHeight="false" outlineLevel="0" collapsed="false">
      <c r="A1061" s="9" t="s">
        <v>6150</v>
      </c>
      <c r="B1061" s="10" t="s">
        <v>6151</v>
      </c>
      <c r="C1061" s="10" t="n">
        <v>4.8</v>
      </c>
      <c r="D1061" s="0" t="s">
        <v>6152</v>
      </c>
      <c r="E1061" s="0" t="s">
        <v>6137</v>
      </c>
      <c r="F1061" s="0" t="s">
        <v>3160</v>
      </c>
      <c r="G1061" s="0" t="s">
        <v>5998</v>
      </c>
    </row>
    <row r="1062" customFormat="false" ht="12.8" hidden="false" customHeight="false" outlineLevel="0" collapsed="false">
      <c r="A1062" s="9" t="s">
        <v>6153</v>
      </c>
      <c r="B1062" s="10" t="s">
        <v>6154</v>
      </c>
      <c r="C1062" s="10" t="n">
        <v>3.4</v>
      </c>
      <c r="D1062" s="0" t="s">
        <v>6155</v>
      </c>
      <c r="E1062" s="0" t="s">
        <v>6137</v>
      </c>
      <c r="F1062" s="0" t="s">
        <v>3160</v>
      </c>
      <c r="G1062" s="0" t="s">
        <v>5998</v>
      </c>
    </row>
    <row r="1063" customFormat="false" ht="12.8" hidden="false" customHeight="false" outlineLevel="0" collapsed="false">
      <c r="A1063" s="9" t="s">
        <v>6156</v>
      </c>
      <c r="B1063" s="10" t="s">
        <v>6157</v>
      </c>
      <c r="C1063" s="10" t="n">
        <v>3</v>
      </c>
      <c r="D1063" s="0" t="s">
        <v>6158</v>
      </c>
      <c r="E1063" s="0" t="s">
        <v>6137</v>
      </c>
      <c r="F1063" s="0" t="s">
        <v>3160</v>
      </c>
      <c r="G1063" s="0" t="s">
        <v>5998</v>
      </c>
    </row>
    <row r="1064" customFormat="false" ht="12.8" hidden="false" customHeight="false" outlineLevel="0" collapsed="false">
      <c r="A1064" s="9" t="s">
        <v>6159</v>
      </c>
      <c r="B1064" s="10" t="s">
        <v>6160</v>
      </c>
      <c r="C1064" s="10" t="n">
        <v>4.5</v>
      </c>
      <c r="D1064" s="0" t="s">
        <v>6161</v>
      </c>
      <c r="E1064" s="0" t="s">
        <v>6137</v>
      </c>
      <c r="F1064" s="0" t="s">
        <v>3160</v>
      </c>
      <c r="G1064" s="0" t="s">
        <v>5998</v>
      </c>
    </row>
    <row r="1065" customFormat="false" ht="12.8" hidden="false" customHeight="false" outlineLevel="0" collapsed="false">
      <c r="A1065" s="9" t="s">
        <v>6162</v>
      </c>
      <c r="B1065" s="10" t="s">
        <v>6163</v>
      </c>
      <c r="C1065" s="10" t="n">
        <v>5.2</v>
      </c>
      <c r="D1065" s="0" t="s">
        <v>6164</v>
      </c>
      <c r="E1065" s="0" t="s">
        <v>6137</v>
      </c>
      <c r="F1065" s="0" t="s">
        <v>3160</v>
      </c>
      <c r="G1065" s="0" t="s">
        <v>5998</v>
      </c>
    </row>
    <row r="1066" customFormat="false" ht="12.8" hidden="false" customHeight="false" outlineLevel="0" collapsed="false">
      <c r="A1066" s="9" t="s">
        <v>6165</v>
      </c>
      <c r="B1066" s="10" t="s">
        <v>6166</v>
      </c>
      <c r="C1066" s="10" t="n">
        <v>6.1</v>
      </c>
      <c r="D1066" s="0" t="s">
        <v>6167</v>
      </c>
      <c r="E1066" s="0" t="s">
        <v>6137</v>
      </c>
      <c r="F1066" s="0" t="s">
        <v>3160</v>
      </c>
      <c r="G1066" s="0" t="s">
        <v>5998</v>
      </c>
    </row>
    <row r="1067" customFormat="false" ht="12.8" hidden="false" customHeight="false" outlineLevel="0" collapsed="false">
      <c r="A1067" s="9" t="s">
        <v>6168</v>
      </c>
      <c r="B1067" s="10" t="s">
        <v>6169</v>
      </c>
      <c r="C1067" s="10" t="n">
        <v>7.3</v>
      </c>
      <c r="D1067" s="0" t="s">
        <v>6170</v>
      </c>
      <c r="E1067" s="0" t="s">
        <v>6137</v>
      </c>
      <c r="F1067" s="0" t="s">
        <v>3160</v>
      </c>
      <c r="G1067" s="0" t="s">
        <v>5998</v>
      </c>
    </row>
    <row r="1068" customFormat="false" ht="12.8" hidden="false" customHeight="false" outlineLevel="0" collapsed="false">
      <c r="A1068" s="9" t="s">
        <v>6171</v>
      </c>
      <c r="B1068" s="10" t="s">
        <v>6172</v>
      </c>
      <c r="C1068" s="10" t="n">
        <v>6.8</v>
      </c>
      <c r="D1068" s="0" t="s">
        <v>6173</v>
      </c>
      <c r="E1068" s="0" t="s">
        <v>6137</v>
      </c>
      <c r="F1068" s="0" t="s">
        <v>3160</v>
      </c>
      <c r="G1068" s="0" t="s">
        <v>5998</v>
      </c>
    </row>
    <row r="1069" customFormat="false" ht="12.8" hidden="false" customHeight="false" outlineLevel="0" collapsed="false">
      <c r="A1069" s="9" t="s">
        <v>6174</v>
      </c>
      <c r="B1069" s="10" t="s">
        <v>6175</v>
      </c>
      <c r="C1069" s="10" t="n">
        <v>5.9</v>
      </c>
      <c r="D1069" s="0" t="s">
        <v>6176</v>
      </c>
      <c r="E1069" s="0" t="s">
        <v>6137</v>
      </c>
      <c r="F1069" s="0" t="s">
        <v>3160</v>
      </c>
      <c r="G1069" s="0" t="s">
        <v>5998</v>
      </c>
    </row>
    <row r="1070" customFormat="false" ht="12.8" hidden="false" customHeight="false" outlineLevel="0" collapsed="false">
      <c r="A1070" s="9" t="s">
        <v>6177</v>
      </c>
      <c r="B1070" s="10" t="s">
        <v>6178</v>
      </c>
      <c r="C1070" s="10" t="n">
        <v>8.4</v>
      </c>
      <c r="D1070" s="0" t="s">
        <v>6179</v>
      </c>
      <c r="E1070" s="0" t="s">
        <v>6137</v>
      </c>
      <c r="F1070" s="0" t="s">
        <v>3160</v>
      </c>
      <c r="G1070" s="0" t="s">
        <v>5998</v>
      </c>
    </row>
    <row r="1076" customFormat="false" ht="12.8" hidden="false" customHeight="false" outlineLevel="0" collapsed="false">
      <c r="A1076" s="9" t="s">
        <v>6180</v>
      </c>
      <c r="B1076" s="10" t="s">
        <v>6181</v>
      </c>
      <c r="C1076" s="10" t="n">
        <v>0.42</v>
      </c>
      <c r="D1076" s="0" t="s">
        <v>6182</v>
      </c>
      <c r="E1076" s="0" t="s">
        <v>6183</v>
      </c>
      <c r="F1076" s="0" t="s">
        <v>3160</v>
      </c>
      <c r="G1076" s="0" t="s">
        <v>5998</v>
      </c>
    </row>
    <row r="1077" customFormat="false" ht="12.8" hidden="false" customHeight="false" outlineLevel="0" collapsed="false">
      <c r="A1077" s="9" t="s">
        <v>6184</v>
      </c>
      <c r="B1077" s="10" t="s">
        <v>6185</v>
      </c>
      <c r="C1077" s="10" t="n">
        <v>0.48</v>
      </c>
      <c r="D1077" s="0" t="s">
        <v>6186</v>
      </c>
      <c r="E1077" s="0" t="s">
        <v>6183</v>
      </c>
      <c r="F1077" s="0" t="s">
        <v>3160</v>
      </c>
      <c r="G1077" s="0" t="s">
        <v>5998</v>
      </c>
    </row>
    <row r="1078" customFormat="false" ht="12.8" hidden="false" customHeight="false" outlineLevel="0" collapsed="false">
      <c r="A1078" s="9" t="s">
        <v>6187</v>
      </c>
      <c r="B1078" s="10" t="s">
        <v>6188</v>
      </c>
      <c r="C1078" s="10" t="n">
        <v>0.72</v>
      </c>
      <c r="D1078" s="0" t="s">
        <v>6189</v>
      </c>
      <c r="E1078" s="0" t="s">
        <v>6183</v>
      </c>
      <c r="F1078" s="0" t="s">
        <v>3160</v>
      </c>
      <c r="G1078" s="0" t="s">
        <v>5998</v>
      </c>
    </row>
    <row r="1079" customFormat="false" ht="12.8" hidden="false" customHeight="false" outlineLevel="0" collapsed="false">
      <c r="A1079" s="9" t="s">
        <v>6190</v>
      </c>
      <c r="B1079" s="10" t="s">
        <v>6191</v>
      </c>
      <c r="C1079" s="10" t="n">
        <v>0.65</v>
      </c>
      <c r="D1079" s="0" t="s">
        <v>6192</v>
      </c>
      <c r="E1079" s="0" t="s">
        <v>6183</v>
      </c>
      <c r="F1079" s="0" t="s">
        <v>3160</v>
      </c>
      <c r="G1079" s="0" t="s">
        <v>5998</v>
      </c>
    </row>
    <row r="1080" customFormat="false" ht="12.8" hidden="false" customHeight="false" outlineLevel="0" collapsed="false">
      <c r="A1080" s="9" t="s">
        <v>6193</v>
      </c>
      <c r="B1080" s="10" t="s">
        <v>6194</v>
      </c>
      <c r="C1080" s="10" t="n">
        <v>0.28</v>
      </c>
      <c r="D1080" s="0" t="s">
        <v>6195</v>
      </c>
      <c r="E1080" s="0" t="s">
        <v>6183</v>
      </c>
      <c r="F1080" s="0" t="s">
        <v>3160</v>
      </c>
      <c r="G1080" s="0" t="s">
        <v>5998</v>
      </c>
    </row>
    <row r="1081" customFormat="false" ht="12.8" hidden="false" customHeight="false" outlineLevel="0" collapsed="false">
      <c r="A1081" s="9" t="s">
        <v>6196</v>
      </c>
      <c r="B1081" s="10" t="s">
        <v>6197</v>
      </c>
      <c r="C1081" s="10" t="n">
        <v>0.35</v>
      </c>
      <c r="D1081" s="0" t="s">
        <v>6198</v>
      </c>
      <c r="E1081" s="0" t="s">
        <v>6183</v>
      </c>
      <c r="F1081" s="0" t="s">
        <v>3160</v>
      </c>
      <c r="G1081" s="0" t="s">
        <v>5998</v>
      </c>
    </row>
    <row r="1082" customFormat="false" ht="12.8" hidden="false" customHeight="false" outlineLevel="0" collapsed="false">
      <c r="A1082" s="9" t="s">
        <v>6199</v>
      </c>
      <c r="B1082" s="10" t="s">
        <v>6200</v>
      </c>
      <c r="C1082" s="10" t="n">
        <v>0.58</v>
      </c>
      <c r="D1082" s="0" t="s">
        <v>6201</v>
      </c>
      <c r="E1082" s="0" t="s">
        <v>6183</v>
      </c>
      <c r="F1082" s="0" t="s">
        <v>3160</v>
      </c>
      <c r="G1082" s="0" t="s">
        <v>5998</v>
      </c>
    </row>
    <row r="1083" customFormat="false" ht="12.8" hidden="false" customHeight="false" outlineLevel="0" collapsed="false">
      <c r="A1083" s="9" t="s">
        <v>6202</v>
      </c>
      <c r="B1083" s="10" t="s">
        <v>6203</v>
      </c>
      <c r="C1083" s="10" t="n">
        <v>0.68</v>
      </c>
      <c r="D1083" s="0" t="s">
        <v>6204</v>
      </c>
      <c r="E1083" s="0" t="s">
        <v>6183</v>
      </c>
      <c r="F1083" s="0" t="s">
        <v>3160</v>
      </c>
      <c r="G1083" s="0" t="s">
        <v>5998</v>
      </c>
    </row>
    <row r="1084" customFormat="false" ht="12.8" hidden="false" customHeight="false" outlineLevel="0" collapsed="false">
      <c r="A1084" s="9" t="s">
        <v>6205</v>
      </c>
      <c r="B1084" s="10" t="s">
        <v>6206</v>
      </c>
      <c r="C1084" s="10" t="n">
        <v>0.44</v>
      </c>
      <c r="D1084" s="0" t="s">
        <v>6207</v>
      </c>
      <c r="E1084" s="0" t="s">
        <v>6183</v>
      </c>
      <c r="F1084" s="0" t="s">
        <v>3160</v>
      </c>
      <c r="G1084" s="0" t="s">
        <v>5998</v>
      </c>
    </row>
    <row r="1085" customFormat="false" ht="12.8" hidden="false" customHeight="false" outlineLevel="0" collapsed="false">
      <c r="A1085" s="9" t="s">
        <v>6208</v>
      </c>
      <c r="B1085" s="10" t="s">
        <v>6209</v>
      </c>
      <c r="C1085" s="10" t="n">
        <v>0.32</v>
      </c>
      <c r="D1085" s="0" t="s">
        <v>6210</v>
      </c>
      <c r="E1085" s="0" t="s">
        <v>6183</v>
      </c>
      <c r="F1085" s="0" t="s">
        <v>3160</v>
      </c>
      <c r="G1085" s="0" t="s">
        <v>5998</v>
      </c>
    </row>
    <row r="1086" customFormat="false" ht="12.8" hidden="false" customHeight="false" outlineLevel="0" collapsed="false">
      <c r="A1086" s="9" t="s">
        <v>6211</v>
      </c>
      <c r="B1086" s="10" t="s">
        <v>6212</v>
      </c>
      <c r="C1086" s="10" t="n">
        <v>0.22</v>
      </c>
      <c r="D1086" s="0" t="s">
        <v>6213</v>
      </c>
      <c r="E1086" s="0" t="s">
        <v>6183</v>
      </c>
      <c r="F1086" s="0" t="s">
        <v>3160</v>
      </c>
      <c r="G1086" s="0" t="s">
        <v>5998</v>
      </c>
    </row>
    <row r="1087" customFormat="false" ht="12.8" hidden="false" customHeight="false" outlineLevel="0" collapsed="false">
      <c r="A1087" s="9" t="s">
        <v>6214</v>
      </c>
      <c r="B1087" s="10" t="s">
        <v>6215</v>
      </c>
      <c r="C1087" s="10" t="n">
        <v>0.18</v>
      </c>
      <c r="D1087" s="0" t="s">
        <v>6216</v>
      </c>
      <c r="E1087" s="0" t="s">
        <v>6183</v>
      </c>
      <c r="F1087" s="0" t="s">
        <v>3160</v>
      </c>
      <c r="G1087" s="0" t="s">
        <v>5998</v>
      </c>
    </row>
    <row r="1088" customFormat="false" ht="12.8" hidden="false" customHeight="false" outlineLevel="0" collapsed="false">
      <c r="A1088" s="9" t="s">
        <v>6217</v>
      </c>
      <c r="B1088" s="10" t="s">
        <v>6218</v>
      </c>
      <c r="C1088" s="10" t="n">
        <v>0.2</v>
      </c>
      <c r="D1088" s="0" t="s">
        <v>6219</v>
      </c>
      <c r="E1088" s="0" t="s">
        <v>6183</v>
      </c>
      <c r="F1088" s="0" t="s">
        <v>3160</v>
      </c>
      <c r="G1088" s="0" t="s">
        <v>5998</v>
      </c>
    </row>
    <row r="1089" customFormat="false" ht="12.8" hidden="false" customHeight="false" outlineLevel="0" collapsed="false">
      <c r="A1089" s="9" t="s">
        <v>6220</v>
      </c>
      <c r="B1089" s="10" t="s">
        <v>6221</v>
      </c>
      <c r="C1089" s="10" t="n">
        <v>0.25</v>
      </c>
      <c r="D1089" s="0" t="s">
        <v>6222</v>
      </c>
      <c r="E1089" s="0" t="s">
        <v>6183</v>
      </c>
      <c r="F1089" s="0" t="s">
        <v>3160</v>
      </c>
      <c r="G1089" s="0" t="s">
        <v>5998</v>
      </c>
    </row>
    <row r="1090" customFormat="false" ht="12.8" hidden="false" customHeight="false" outlineLevel="0" collapsed="false">
      <c r="A1090" s="9" t="s">
        <v>6223</v>
      </c>
      <c r="B1090" s="10" t="s">
        <v>6224</v>
      </c>
      <c r="C1090" s="10" t="n">
        <v>0.12</v>
      </c>
      <c r="D1090" s="0" t="s">
        <v>6225</v>
      </c>
      <c r="E1090" s="0" t="s">
        <v>6183</v>
      </c>
      <c r="F1090" s="0" t="s">
        <v>3160</v>
      </c>
      <c r="G1090" s="0" t="s">
        <v>5998</v>
      </c>
    </row>
    <row r="1096" customFormat="false" ht="12.8" hidden="false" customHeight="false" outlineLevel="0" collapsed="false">
      <c r="A1096" s="9" t="s">
        <v>6226</v>
      </c>
      <c r="B1096" s="10" t="s">
        <v>6227</v>
      </c>
      <c r="C1096" s="10" t="n">
        <v>48000</v>
      </c>
      <c r="D1096" s="0" t="s">
        <v>6228</v>
      </c>
      <c r="E1096" s="0" t="s">
        <v>6229</v>
      </c>
      <c r="F1096" s="0" t="s">
        <v>3160</v>
      </c>
      <c r="G1096" s="0" t="s">
        <v>6230</v>
      </c>
    </row>
    <row r="1097" customFormat="false" ht="12.8" hidden="false" customHeight="false" outlineLevel="0" collapsed="false">
      <c r="A1097" s="9" t="s">
        <v>6231</v>
      </c>
      <c r="B1097" s="10" t="s">
        <v>6232</v>
      </c>
      <c r="C1097" s="10" t="n">
        <v>92000</v>
      </c>
      <c r="D1097" s="0" t="s">
        <v>6233</v>
      </c>
      <c r="E1097" s="0" t="s">
        <v>6229</v>
      </c>
      <c r="F1097" s="0" t="s">
        <v>3160</v>
      </c>
      <c r="G1097" s="0" t="s">
        <v>6230</v>
      </c>
    </row>
    <row r="1099" customFormat="false" ht="12.8" hidden="false" customHeight="false" outlineLevel="0" collapsed="false">
      <c r="A1099" s="9" t="s">
        <v>6234</v>
      </c>
      <c r="B1099" s="10" t="s">
        <v>6235</v>
      </c>
      <c r="C1099" s="10" t="n">
        <v>52000</v>
      </c>
      <c r="D1099" s="0" t="s">
        <v>6236</v>
      </c>
      <c r="E1099" s="0" t="s">
        <v>6229</v>
      </c>
      <c r="F1099" s="0" t="s">
        <v>3160</v>
      </c>
      <c r="G1099" s="0" t="s">
        <v>6230</v>
      </c>
    </row>
    <row r="1100" customFormat="false" ht="12.8" hidden="false" customHeight="false" outlineLevel="0" collapsed="false">
      <c r="A1100" s="9" t="s">
        <v>6237</v>
      </c>
      <c r="B1100" s="10" t="s">
        <v>6238</v>
      </c>
      <c r="C1100" s="10" t="n">
        <v>48000</v>
      </c>
      <c r="D1100" s="0" t="s">
        <v>6239</v>
      </c>
      <c r="E1100" s="0" t="s">
        <v>6229</v>
      </c>
      <c r="F1100" s="0" t="s">
        <v>3160</v>
      </c>
      <c r="G1100" s="0" t="s">
        <v>6230</v>
      </c>
    </row>
    <row r="1101" customFormat="false" ht="12.8" hidden="false" customHeight="false" outlineLevel="0" collapsed="false">
      <c r="A1101" s="9" t="s">
        <v>6240</v>
      </c>
      <c r="B1101" s="10" t="s">
        <v>6241</v>
      </c>
      <c r="C1101" s="10" t="n">
        <v>135000</v>
      </c>
      <c r="D1101" s="0" t="s">
        <v>6242</v>
      </c>
      <c r="E1101" s="0" t="s">
        <v>6229</v>
      </c>
      <c r="F1101" s="0" t="s">
        <v>3160</v>
      </c>
      <c r="G1101" s="0" t="s">
        <v>6230</v>
      </c>
    </row>
    <row r="1102" customFormat="false" ht="12.8" hidden="false" customHeight="false" outlineLevel="0" collapsed="false">
      <c r="A1102" s="9" t="s">
        <v>6243</v>
      </c>
      <c r="B1102" s="10" t="s">
        <v>6244</v>
      </c>
      <c r="C1102" s="10" t="n">
        <v>98000</v>
      </c>
      <c r="D1102" s="0" t="s">
        <v>6245</v>
      </c>
      <c r="E1102" s="0" t="s">
        <v>6229</v>
      </c>
      <c r="F1102" s="0" t="s">
        <v>3160</v>
      </c>
      <c r="G1102" s="0" t="s">
        <v>6230</v>
      </c>
    </row>
    <row r="1103" customFormat="false" ht="12.8" hidden="false" customHeight="false" outlineLevel="0" collapsed="false">
      <c r="A1103" s="9" t="s">
        <v>6246</v>
      </c>
      <c r="B1103" s="10" t="s">
        <v>6247</v>
      </c>
      <c r="C1103" s="10" t="n">
        <v>62000</v>
      </c>
      <c r="D1103" s="0" t="s">
        <v>6248</v>
      </c>
      <c r="E1103" s="0" t="s">
        <v>6229</v>
      </c>
      <c r="F1103" s="0" t="s">
        <v>3160</v>
      </c>
      <c r="G1103" s="0" t="s">
        <v>6230</v>
      </c>
    </row>
    <row r="1104" customFormat="false" ht="12.8" hidden="false" customHeight="false" outlineLevel="0" collapsed="false">
      <c r="A1104" s="9" t="s">
        <v>6249</v>
      </c>
      <c r="B1104" s="10" t="s">
        <v>6250</v>
      </c>
      <c r="C1104" s="10" t="n">
        <v>55000</v>
      </c>
      <c r="D1104" s="0" t="s">
        <v>6251</v>
      </c>
      <c r="E1104" s="0" t="s">
        <v>6229</v>
      </c>
      <c r="F1104" s="0" t="s">
        <v>3160</v>
      </c>
      <c r="G1104" s="0" t="s">
        <v>6230</v>
      </c>
    </row>
    <row r="1105" customFormat="false" ht="12.8" hidden="false" customHeight="false" outlineLevel="0" collapsed="false">
      <c r="A1105" s="9" t="s">
        <v>6252</v>
      </c>
      <c r="B1105" s="10" t="s">
        <v>6253</v>
      </c>
      <c r="C1105" s="10" t="n">
        <v>72000</v>
      </c>
      <c r="D1105" s="0" t="s">
        <v>6254</v>
      </c>
      <c r="E1105" s="0" t="s">
        <v>6229</v>
      </c>
      <c r="F1105" s="0" t="s">
        <v>3160</v>
      </c>
      <c r="G1105" s="0" t="s">
        <v>6230</v>
      </c>
    </row>
    <row r="1106" customFormat="false" ht="12.8" hidden="false" customHeight="false" outlineLevel="0" collapsed="false">
      <c r="A1106" s="9" t="s">
        <v>6255</v>
      </c>
      <c r="B1106" s="10" t="s">
        <v>6256</v>
      </c>
      <c r="C1106" s="10" t="n">
        <v>88000</v>
      </c>
      <c r="D1106" s="0" t="s">
        <v>6257</v>
      </c>
      <c r="E1106" s="0" t="s">
        <v>6229</v>
      </c>
      <c r="F1106" s="0" t="s">
        <v>3160</v>
      </c>
      <c r="G1106" s="0" t="s">
        <v>6230</v>
      </c>
    </row>
    <row r="1107" customFormat="false" ht="12.8" hidden="false" customHeight="false" outlineLevel="0" collapsed="false">
      <c r="A1107" s="9" t="s">
        <v>6258</v>
      </c>
      <c r="B1107" s="10" t="s">
        <v>6259</v>
      </c>
      <c r="C1107" s="10" t="n">
        <v>145000</v>
      </c>
      <c r="D1107" s="0" t="s">
        <v>6260</v>
      </c>
      <c r="E1107" s="0" t="s">
        <v>6229</v>
      </c>
      <c r="F1107" s="0" t="s">
        <v>3160</v>
      </c>
      <c r="G1107" s="0" t="s">
        <v>6230</v>
      </c>
    </row>
    <row r="1108" customFormat="false" ht="12.8" hidden="false" customHeight="false" outlineLevel="0" collapsed="false">
      <c r="A1108" s="9" t="s">
        <v>6261</v>
      </c>
      <c r="B1108" s="10" t="s">
        <v>6262</v>
      </c>
      <c r="C1108" s="10" t="n">
        <v>78000</v>
      </c>
      <c r="D1108" s="0" t="s">
        <v>6263</v>
      </c>
      <c r="E1108" s="0" t="s">
        <v>6229</v>
      </c>
      <c r="F1108" s="0" t="s">
        <v>3160</v>
      </c>
      <c r="G1108" s="0" t="s">
        <v>6230</v>
      </c>
    </row>
    <row r="1109" customFormat="false" ht="12.8" hidden="false" customHeight="false" outlineLevel="0" collapsed="false">
      <c r="A1109" s="9" t="s">
        <v>6264</v>
      </c>
      <c r="B1109" s="10" t="s">
        <v>6265</v>
      </c>
      <c r="C1109" s="10" t="n">
        <v>165000</v>
      </c>
      <c r="D1109" s="0" t="s">
        <v>6266</v>
      </c>
      <c r="E1109" s="0" t="s">
        <v>6229</v>
      </c>
      <c r="F1109" s="0" t="s">
        <v>3160</v>
      </c>
      <c r="G1109" s="0" t="s">
        <v>6230</v>
      </c>
    </row>
    <row r="1110" customFormat="false" ht="12.8" hidden="false" customHeight="false" outlineLevel="0" collapsed="false">
      <c r="A1110" s="9" t="s">
        <v>6267</v>
      </c>
      <c r="B1110" s="10" t="s">
        <v>6268</v>
      </c>
      <c r="C1110" s="10" t="n">
        <v>132000</v>
      </c>
      <c r="D1110" s="0" t="s">
        <v>6269</v>
      </c>
      <c r="E1110" s="0" t="s">
        <v>6229</v>
      </c>
      <c r="F1110" s="0" t="s">
        <v>3160</v>
      </c>
      <c r="G1110" s="0" t="s">
        <v>6230</v>
      </c>
    </row>
    <row r="1111" customFormat="false" ht="12.8" hidden="false" customHeight="false" outlineLevel="0" collapsed="false">
      <c r="A1111" s="9" t="s">
        <v>6270</v>
      </c>
      <c r="B1111" s="10" t="s">
        <v>6271</v>
      </c>
      <c r="C1111" s="10" t="n">
        <v>95000</v>
      </c>
      <c r="D1111" s="0" t="s">
        <v>6272</v>
      </c>
      <c r="E1111" s="0" t="s">
        <v>6229</v>
      </c>
      <c r="F1111" s="0" t="s">
        <v>3160</v>
      </c>
      <c r="G1111" s="0" t="s">
        <v>6230</v>
      </c>
    </row>
    <row r="1117" customFormat="false" ht="12.8" hidden="false" customHeight="false" outlineLevel="0" collapsed="false">
      <c r="A1117" s="9" t="s">
        <v>6273</v>
      </c>
      <c r="B1117" s="10" t="s">
        <v>6274</v>
      </c>
      <c r="C1117" s="10" t="n">
        <v>2</v>
      </c>
      <c r="D1117" s="0" t="s">
        <v>6275</v>
      </c>
      <c r="E1117" s="0" t="s">
        <v>6276</v>
      </c>
      <c r="F1117" s="0" t="s">
        <v>3160</v>
      </c>
      <c r="G1117" s="0" t="s">
        <v>6277</v>
      </c>
    </row>
    <row r="1118" customFormat="false" ht="12.8" hidden="false" customHeight="false" outlineLevel="0" collapsed="false">
      <c r="A1118" s="9" t="s">
        <v>6278</v>
      </c>
      <c r="B1118" s="10" t="s">
        <v>6279</v>
      </c>
      <c r="C1118" s="10" t="n">
        <v>2</v>
      </c>
      <c r="D1118" s="0" t="s">
        <v>6280</v>
      </c>
      <c r="E1118" s="0" t="s">
        <v>6276</v>
      </c>
      <c r="F1118" s="0" t="s">
        <v>3160</v>
      </c>
      <c r="G1118" s="0" t="s">
        <v>6277</v>
      </c>
    </row>
    <row r="1119" customFormat="false" ht="12.8" hidden="false" customHeight="false" outlineLevel="0" collapsed="false">
      <c r="A1119" s="9" t="s">
        <v>6281</v>
      </c>
      <c r="B1119" s="10" t="s">
        <v>6282</v>
      </c>
      <c r="C1119" s="10" t="n">
        <v>2</v>
      </c>
      <c r="D1119" s="0" t="s">
        <v>6283</v>
      </c>
      <c r="E1119" s="0" t="s">
        <v>6276</v>
      </c>
      <c r="F1119" s="0" t="s">
        <v>3160</v>
      </c>
      <c r="G1119" s="0" t="s">
        <v>6277</v>
      </c>
    </row>
    <row r="1120" customFormat="false" ht="12.8" hidden="false" customHeight="false" outlineLevel="0" collapsed="false">
      <c r="A1120" s="9" t="s">
        <v>6284</v>
      </c>
      <c r="B1120" s="10" t="s">
        <v>6285</v>
      </c>
      <c r="C1120" s="10" t="n">
        <v>1</v>
      </c>
      <c r="D1120" s="0" t="s">
        <v>6286</v>
      </c>
      <c r="E1120" s="0" t="s">
        <v>6276</v>
      </c>
      <c r="F1120" s="0" t="s">
        <v>3160</v>
      </c>
      <c r="G1120" s="0" t="s">
        <v>6277</v>
      </c>
    </row>
    <row r="1121" customFormat="false" ht="12.8" hidden="false" customHeight="false" outlineLevel="0" collapsed="false">
      <c r="A1121" s="9" t="s">
        <v>6287</v>
      </c>
      <c r="B1121" s="10" t="s">
        <v>6288</v>
      </c>
      <c r="C1121" s="10" t="n">
        <v>3</v>
      </c>
      <c r="D1121" s="0" t="s">
        <v>6289</v>
      </c>
      <c r="E1121" s="0" t="s">
        <v>6276</v>
      </c>
      <c r="F1121" s="0" t="s">
        <v>3160</v>
      </c>
      <c r="G1121" s="0" t="s">
        <v>6277</v>
      </c>
    </row>
    <row r="1122" customFormat="false" ht="12.8" hidden="false" customHeight="false" outlineLevel="0" collapsed="false">
      <c r="A1122" s="9" t="s">
        <v>6290</v>
      </c>
      <c r="B1122" s="10" t="s">
        <v>6291</v>
      </c>
      <c r="C1122" s="10" t="n">
        <v>3</v>
      </c>
      <c r="D1122" s="0" t="s">
        <v>6292</v>
      </c>
      <c r="E1122" s="0" t="s">
        <v>6276</v>
      </c>
      <c r="F1122" s="0" t="s">
        <v>3160</v>
      </c>
      <c r="G1122" s="0" t="s">
        <v>6277</v>
      </c>
    </row>
    <row r="1123" customFormat="false" ht="12.8" hidden="false" customHeight="false" outlineLevel="0" collapsed="false">
      <c r="A1123" s="9" t="s">
        <v>6293</v>
      </c>
      <c r="B1123" s="10" t="s">
        <v>6294</v>
      </c>
      <c r="C1123" s="10" t="n">
        <v>2</v>
      </c>
      <c r="D1123" s="0" t="s">
        <v>6295</v>
      </c>
      <c r="E1123" s="0" t="s">
        <v>6276</v>
      </c>
      <c r="F1123" s="0" t="s">
        <v>3160</v>
      </c>
      <c r="G1123" s="0" t="s">
        <v>6277</v>
      </c>
    </row>
    <row r="1124" customFormat="false" ht="12.8" hidden="false" customHeight="false" outlineLevel="0" collapsed="false">
      <c r="A1124" s="9" t="s">
        <v>6296</v>
      </c>
      <c r="B1124" s="10" t="s">
        <v>6297</v>
      </c>
      <c r="C1124" s="10" t="n">
        <v>1</v>
      </c>
      <c r="D1124" s="0" t="s">
        <v>6298</v>
      </c>
      <c r="E1124" s="0" t="s">
        <v>6276</v>
      </c>
      <c r="F1124" s="0" t="s">
        <v>3160</v>
      </c>
      <c r="G1124" s="0" t="s">
        <v>6277</v>
      </c>
    </row>
    <row r="1125" customFormat="false" ht="12.8" hidden="false" customHeight="false" outlineLevel="0" collapsed="false">
      <c r="A1125" s="9" t="s">
        <v>6299</v>
      </c>
      <c r="B1125" s="10" t="s">
        <v>6300</v>
      </c>
      <c r="C1125" s="10" t="n">
        <v>3</v>
      </c>
      <c r="D1125" s="0" t="s">
        <v>6301</v>
      </c>
      <c r="E1125" s="0" t="s">
        <v>6276</v>
      </c>
      <c r="F1125" s="0" t="s">
        <v>3160</v>
      </c>
      <c r="G1125" s="0" t="s">
        <v>6277</v>
      </c>
    </row>
    <row r="1126" customFormat="false" ht="12.8" hidden="false" customHeight="false" outlineLevel="0" collapsed="false">
      <c r="A1126" s="9" t="s">
        <v>6302</v>
      </c>
      <c r="B1126" s="10" t="s">
        <v>6303</v>
      </c>
      <c r="C1126" s="10" t="n">
        <v>4</v>
      </c>
      <c r="D1126" s="0" t="s">
        <v>6304</v>
      </c>
      <c r="E1126" s="0" t="s">
        <v>6276</v>
      </c>
      <c r="F1126" s="0" t="s">
        <v>3160</v>
      </c>
      <c r="G1126" s="0" t="s">
        <v>6277</v>
      </c>
    </row>
    <row r="1127" customFormat="false" ht="12.8" hidden="false" customHeight="false" outlineLevel="0" collapsed="false">
      <c r="A1127" s="9" t="s">
        <v>6305</v>
      </c>
      <c r="B1127" s="10" t="s">
        <v>6306</v>
      </c>
      <c r="C1127" s="10" t="n">
        <v>5</v>
      </c>
      <c r="D1127" s="0" t="s">
        <v>6307</v>
      </c>
      <c r="E1127" s="0" t="s">
        <v>6276</v>
      </c>
      <c r="F1127" s="0" t="s">
        <v>3160</v>
      </c>
      <c r="G1127" s="0" t="s">
        <v>6277</v>
      </c>
    </row>
    <row r="1128" customFormat="false" ht="12.8" hidden="false" customHeight="false" outlineLevel="0" collapsed="false">
      <c r="A1128" s="9" t="s">
        <v>6308</v>
      </c>
      <c r="B1128" s="10" t="s">
        <v>6309</v>
      </c>
      <c r="C1128" s="10" t="n">
        <v>6</v>
      </c>
      <c r="D1128" s="0" t="s">
        <v>6310</v>
      </c>
      <c r="E1128" s="0" t="s">
        <v>6276</v>
      </c>
      <c r="F1128" s="0" t="s">
        <v>3160</v>
      </c>
      <c r="G1128" s="0" t="s">
        <v>6277</v>
      </c>
    </row>
    <row r="1129" customFormat="false" ht="12.8" hidden="false" customHeight="false" outlineLevel="0" collapsed="false">
      <c r="A1129" s="9" t="s">
        <v>6311</v>
      </c>
      <c r="B1129" s="10" t="s">
        <v>6312</v>
      </c>
      <c r="C1129" s="10" t="n">
        <v>5</v>
      </c>
      <c r="D1129" s="0" t="s">
        <v>6313</v>
      </c>
      <c r="E1129" s="0" t="s">
        <v>6276</v>
      </c>
      <c r="F1129" s="0" t="s">
        <v>3160</v>
      </c>
      <c r="G1129" s="0" t="s">
        <v>6277</v>
      </c>
    </row>
    <row r="1130" customFormat="false" ht="12.8" hidden="false" customHeight="false" outlineLevel="0" collapsed="false">
      <c r="A1130" s="9" t="s">
        <v>6314</v>
      </c>
      <c r="B1130" s="10" t="s">
        <v>6315</v>
      </c>
      <c r="C1130" s="10" t="n">
        <v>5</v>
      </c>
      <c r="D1130" s="0" t="s">
        <v>6316</v>
      </c>
      <c r="E1130" s="0" t="s">
        <v>6276</v>
      </c>
      <c r="F1130" s="0" t="s">
        <v>3160</v>
      </c>
      <c r="G1130" s="0" t="s">
        <v>6277</v>
      </c>
    </row>
    <row r="1131" customFormat="false" ht="12.8" hidden="false" customHeight="false" outlineLevel="0" collapsed="false">
      <c r="A1131" s="9" t="s">
        <v>6317</v>
      </c>
      <c r="B1131" s="10" t="s">
        <v>6318</v>
      </c>
      <c r="C1131" s="10" t="n">
        <v>4</v>
      </c>
      <c r="D1131" s="0" t="s">
        <v>6319</v>
      </c>
      <c r="E1131" s="0" t="s">
        <v>6276</v>
      </c>
      <c r="F1131" s="0" t="s">
        <v>3160</v>
      </c>
      <c r="G1131" s="0" t="s">
        <v>6277</v>
      </c>
    </row>
    <row r="1137" customFormat="false" ht="12.8" hidden="false" customHeight="false" outlineLevel="0" collapsed="false">
      <c r="A1137" s="9" t="s">
        <v>6320</v>
      </c>
      <c r="B1137" s="10" t="s">
        <v>6321</v>
      </c>
      <c r="C1137" s="10" t="n">
        <v>250000</v>
      </c>
      <c r="D1137" s="0" t="s">
        <v>6322</v>
      </c>
      <c r="E1137" s="0" t="s">
        <v>6323</v>
      </c>
      <c r="F1137" s="0" t="s">
        <v>6324</v>
      </c>
      <c r="G1137" s="0" t="s">
        <v>6325</v>
      </c>
    </row>
    <row r="1138" customFormat="false" ht="12.8" hidden="false" customHeight="false" outlineLevel="0" collapsed="false">
      <c r="A1138" s="9" t="s">
        <v>6326</v>
      </c>
      <c r="B1138" s="10" t="s">
        <v>6327</v>
      </c>
      <c r="C1138" s="10" t="n">
        <v>180000</v>
      </c>
      <c r="D1138" s="0" t="s">
        <v>6328</v>
      </c>
      <c r="E1138" s="0" t="s">
        <v>6323</v>
      </c>
      <c r="F1138" s="0" t="s">
        <v>6324</v>
      </c>
      <c r="G1138" s="0" t="s">
        <v>6325</v>
      </c>
    </row>
    <row r="1139" customFormat="false" ht="12.8" hidden="false" customHeight="false" outlineLevel="0" collapsed="false">
      <c r="A1139" s="9" t="s">
        <v>6329</v>
      </c>
      <c r="B1139" s="10" t="s">
        <v>6330</v>
      </c>
      <c r="C1139" s="10" t="n">
        <v>320000</v>
      </c>
      <c r="D1139" s="0" t="s">
        <v>6331</v>
      </c>
      <c r="E1139" s="0" t="s">
        <v>6323</v>
      </c>
      <c r="F1139" s="0" t="s">
        <v>6324</v>
      </c>
      <c r="G1139" s="0" t="s">
        <v>6325</v>
      </c>
    </row>
    <row r="1140" customFormat="false" ht="12.8" hidden="false" customHeight="false" outlineLevel="0" collapsed="false">
      <c r="A1140" s="9" t="s">
        <v>6332</v>
      </c>
      <c r="B1140" s="10" t="s">
        <v>6333</v>
      </c>
      <c r="C1140" s="10" t="n">
        <v>95000</v>
      </c>
      <c r="D1140" s="0" t="s">
        <v>6334</v>
      </c>
      <c r="E1140" s="0" t="s">
        <v>6323</v>
      </c>
      <c r="F1140" s="0" t="s">
        <v>6324</v>
      </c>
      <c r="G1140" s="0" t="s">
        <v>6325</v>
      </c>
    </row>
    <row r="1141" customFormat="false" ht="12.8" hidden="false" customHeight="false" outlineLevel="0" collapsed="false">
      <c r="A1141" s="9" t="s">
        <v>6335</v>
      </c>
      <c r="B1141" s="10" t="s">
        <v>6336</v>
      </c>
      <c r="C1141" s="10" t="n">
        <v>420000</v>
      </c>
      <c r="D1141" s="0" t="s">
        <v>6337</v>
      </c>
      <c r="E1141" s="0" t="s">
        <v>6323</v>
      </c>
      <c r="F1141" s="0" t="s">
        <v>6324</v>
      </c>
      <c r="G1141" s="0" t="s">
        <v>6325</v>
      </c>
    </row>
    <row r="1142" customFormat="false" ht="12.8" hidden="false" customHeight="false" outlineLevel="0" collapsed="false">
      <c r="A1142" s="9" t="s">
        <v>6338</v>
      </c>
      <c r="B1142" s="10" t="s">
        <v>6339</v>
      </c>
      <c r="C1142" s="10" t="n">
        <v>150000</v>
      </c>
      <c r="D1142" s="0" t="s">
        <v>6340</v>
      </c>
      <c r="E1142" s="0" t="s">
        <v>6323</v>
      </c>
      <c r="F1142" s="0" t="s">
        <v>6324</v>
      </c>
      <c r="G1142" s="0" t="s">
        <v>6325</v>
      </c>
    </row>
    <row r="1143" customFormat="false" ht="12.8" hidden="false" customHeight="false" outlineLevel="0" collapsed="false">
      <c r="A1143" s="9" t="s">
        <v>6341</v>
      </c>
      <c r="B1143" s="10" t="s">
        <v>6342</v>
      </c>
      <c r="C1143" s="10" t="n">
        <v>380000</v>
      </c>
      <c r="D1143" s="0" t="s">
        <v>6343</v>
      </c>
      <c r="E1143" s="0" t="s">
        <v>6323</v>
      </c>
      <c r="F1143" s="0" t="s">
        <v>6324</v>
      </c>
      <c r="G1143" s="0" t="s">
        <v>6325</v>
      </c>
    </row>
    <row r="1144" customFormat="false" ht="12.8" hidden="false" customHeight="false" outlineLevel="0" collapsed="false">
      <c r="A1144" s="9" t="s">
        <v>6344</v>
      </c>
      <c r="B1144" s="10" t="s">
        <v>6345</v>
      </c>
      <c r="C1144" s="10" t="n">
        <v>80000</v>
      </c>
      <c r="D1144" s="0" t="s">
        <v>6346</v>
      </c>
      <c r="E1144" s="0" t="s">
        <v>6323</v>
      </c>
      <c r="F1144" s="0" t="s">
        <v>6324</v>
      </c>
      <c r="G1144" s="0" t="s">
        <v>6325</v>
      </c>
    </row>
    <row r="1145" customFormat="false" ht="12.8" hidden="false" customHeight="false" outlineLevel="0" collapsed="false">
      <c r="A1145" s="9" t="s">
        <v>6347</v>
      </c>
      <c r="B1145" s="10" t="s">
        <v>6348</v>
      </c>
      <c r="C1145" s="10" t="n">
        <v>70000</v>
      </c>
      <c r="D1145" s="0" t="s">
        <v>6349</v>
      </c>
      <c r="E1145" s="0" t="s">
        <v>6323</v>
      </c>
      <c r="F1145" s="0" t="s">
        <v>6324</v>
      </c>
      <c r="G1145" s="0" t="s">
        <v>6325</v>
      </c>
    </row>
    <row r="1146" customFormat="false" ht="12.8" hidden="false" customHeight="false" outlineLevel="0" collapsed="false">
      <c r="A1146" s="9" t="s">
        <v>6350</v>
      </c>
      <c r="B1146" s="10" t="s">
        <v>6351</v>
      </c>
      <c r="C1146" s="10" t="n">
        <v>450000</v>
      </c>
      <c r="D1146" s="0" t="s">
        <v>6352</v>
      </c>
      <c r="E1146" s="0" t="s">
        <v>6323</v>
      </c>
      <c r="F1146" s="0" t="s">
        <v>6324</v>
      </c>
      <c r="G1146" s="0" t="s">
        <v>6325</v>
      </c>
    </row>
    <row r="1147" customFormat="false" ht="12.8" hidden="false" customHeight="false" outlineLevel="0" collapsed="false">
      <c r="A1147" s="9" t="s">
        <v>6353</v>
      </c>
      <c r="B1147" s="10" t="s">
        <v>6354</v>
      </c>
      <c r="C1147" s="10" t="n">
        <v>280000</v>
      </c>
      <c r="D1147" s="0" t="s">
        <v>6355</v>
      </c>
      <c r="E1147" s="0" t="s">
        <v>6323</v>
      </c>
      <c r="F1147" s="0" t="s">
        <v>6324</v>
      </c>
      <c r="G1147" s="0" t="s">
        <v>6325</v>
      </c>
    </row>
    <row r="1148" customFormat="false" ht="12.8" hidden="false" customHeight="false" outlineLevel="0" collapsed="false">
      <c r="A1148" s="9" t="s">
        <v>6356</v>
      </c>
      <c r="B1148" s="10" t="s">
        <v>6357</v>
      </c>
      <c r="C1148" s="10" t="n">
        <v>220000</v>
      </c>
      <c r="D1148" s="0" t="s">
        <v>6358</v>
      </c>
      <c r="E1148" s="0" t="s">
        <v>6323</v>
      </c>
      <c r="F1148" s="0" t="s">
        <v>6324</v>
      </c>
      <c r="G1148" s="0" t="s">
        <v>6325</v>
      </c>
    </row>
    <row r="1150" customFormat="false" ht="12.8" hidden="false" customHeight="false" outlineLevel="0" collapsed="false">
      <c r="A1150" s="9" t="s">
        <v>6359</v>
      </c>
      <c r="B1150" s="10" t="s">
        <v>6360</v>
      </c>
      <c r="C1150" s="10" t="n">
        <v>180000</v>
      </c>
      <c r="D1150" s="0" t="s">
        <v>6361</v>
      </c>
      <c r="E1150" s="0" t="s">
        <v>6323</v>
      </c>
      <c r="F1150" s="0" t="s">
        <v>6324</v>
      </c>
      <c r="G1150" s="0" t="s">
        <v>6325</v>
      </c>
    </row>
    <row r="1151" customFormat="false" ht="12.8" hidden="false" customHeight="false" outlineLevel="0" collapsed="false">
      <c r="A1151" s="9" t="s">
        <v>6362</v>
      </c>
      <c r="B1151" s="10" t="s">
        <v>6363</v>
      </c>
      <c r="C1151" s="10" t="n">
        <v>120000</v>
      </c>
      <c r="D1151" s="0" t="s">
        <v>6364</v>
      </c>
      <c r="E1151" s="0" t="s">
        <v>6323</v>
      </c>
      <c r="F1151" s="0" t="s">
        <v>6324</v>
      </c>
      <c r="G1151" s="0" t="s">
        <v>6325</v>
      </c>
    </row>
    <row r="1152" customFormat="false" ht="12.8" hidden="false" customHeight="false" outlineLevel="0" collapsed="false">
      <c r="A1152" s="9" t="s">
        <v>6365</v>
      </c>
      <c r="B1152" s="10" t="s">
        <v>6366</v>
      </c>
      <c r="C1152" s="10" t="n">
        <v>250000</v>
      </c>
      <c r="D1152" s="0" t="s">
        <v>6367</v>
      </c>
      <c r="E1152" s="0" t="s">
        <v>6323</v>
      </c>
      <c r="F1152" s="0" t="s">
        <v>6324</v>
      </c>
      <c r="G1152" s="0" t="s">
        <v>6325</v>
      </c>
    </row>
    <row r="1153" customFormat="false" ht="12.8" hidden="false" customHeight="false" outlineLevel="0" collapsed="false">
      <c r="A1153" s="9" t="s">
        <v>6368</v>
      </c>
      <c r="B1153" s="10" t="s">
        <v>6369</v>
      </c>
      <c r="C1153" s="10" t="n">
        <v>0.0012</v>
      </c>
      <c r="D1153" s="0" t="s">
        <v>6370</v>
      </c>
      <c r="E1153" s="0" t="s">
        <v>6323</v>
      </c>
      <c r="F1153" s="0" t="s">
        <v>6324</v>
      </c>
      <c r="G1153" s="0" t="s">
        <v>6325</v>
      </c>
    </row>
    <row r="1154" customFormat="false" ht="12.8" hidden="false" customHeight="false" outlineLevel="0" collapsed="false">
      <c r="A1154" s="9" t="s">
        <v>6371</v>
      </c>
      <c r="B1154" s="10" t="s">
        <v>6372</v>
      </c>
      <c r="C1154" s="10" t="n">
        <v>0.0009</v>
      </c>
      <c r="D1154" s="0" t="s">
        <v>6373</v>
      </c>
      <c r="E1154" s="0" t="s">
        <v>6323</v>
      </c>
      <c r="F1154" s="0" t="s">
        <v>6324</v>
      </c>
      <c r="G1154" s="0" t="s">
        <v>6325</v>
      </c>
    </row>
    <row r="1155" customFormat="false" ht="12.8" hidden="false" customHeight="false" outlineLevel="0" collapsed="false">
      <c r="A1155" s="9" t="s">
        <v>6374</v>
      </c>
      <c r="B1155" s="10" t="s">
        <v>6375</v>
      </c>
      <c r="C1155" s="10" t="n">
        <v>0.0015</v>
      </c>
      <c r="D1155" s="0" t="s">
        <v>6376</v>
      </c>
      <c r="E1155" s="0" t="s">
        <v>6323</v>
      </c>
      <c r="F1155" s="0" t="s">
        <v>6324</v>
      </c>
      <c r="G1155" s="0" t="s">
        <v>6325</v>
      </c>
    </row>
    <row r="1156" customFormat="false" ht="12.8" hidden="false" customHeight="false" outlineLevel="0" collapsed="false">
      <c r="A1156" s="9" t="s">
        <v>6377</v>
      </c>
      <c r="B1156" s="10" t="s">
        <v>6378</v>
      </c>
      <c r="C1156" s="10" t="n">
        <v>0.0018</v>
      </c>
      <c r="D1156" s="0" t="s">
        <v>6379</v>
      </c>
      <c r="E1156" s="0" t="s">
        <v>6323</v>
      </c>
      <c r="F1156" s="0" t="s">
        <v>6324</v>
      </c>
      <c r="G1156" s="0" t="s">
        <v>6325</v>
      </c>
    </row>
    <row r="1157" customFormat="false" ht="12.8" hidden="false" customHeight="false" outlineLevel="0" collapsed="false">
      <c r="A1157" s="9" t="s">
        <v>6380</v>
      </c>
      <c r="B1157" s="10" t="s">
        <v>6381</v>
      </c>
      <c r="C1157" s="10" t="n">
        <v>0.0008</v>
      </c>
      <c r="D1157" s="0" t="s">
        <v>6382</v>
      </c>
      <c r="E1157" s="0" t="s">
        <v>6323</v>
      </c>
      <c r="F1157" s="0" t="s">
        <v>6324</v>
      </c>
      <c r="G1157" s="0" t="s">
        <v>6325</v>
      </c>
    </row>
    <row r="1158" customFormat="false" ht="12.8" hidden="false" customHeight="false" outlineLevel="0" collapsed="false">
      <c r="A1158" s="9" t="s">
        <v>6383</v>
      </c>
      <c r="B1158" s="10" t="s">
        <v>6384</v>
      </c>
      <c r="C1158" s="10" t="n">
        <v>0.001</v>
      </c>
      <c r="D1158" s="0" t="s">
        <v>6385</v>
      </c>
      <c r="E1158" s="0" t="s">
        <v>6323</v>
      </c>
      <c r="F1158" s="0" t="s">
        <v>6324</v>
      </c>
      <c r="G1158" s="0" t="s">
        <v>6325</v>
      </c>
    </row>
    <row r="1159" customFormat="false" ht="12.8" hidden="false" customHeight="false" outlineLevel="0" collapsed="false">
      <c r="A1159" s="9" t="s">
        <v>6386</v>
      </c>
      <c r="B1159" s="10" t="s">
        <v>6387</v>
      </c>
      <c r="C1159" s="10" t="n">
        <v>0.0014</v>
      </c>
      <c r="D1159" s="0" t="s">
        <v>6388</v>
      </c>
      <c r="E1159" s="0" t="s">
        <v>6323</v>
      </c>
      <c r="F1159" s="0" t="s">
        <v>6324</v>
      </c>
      <c r="G1159" s="0" t="s">
        <v>6325</v>
      </c>
    </row>
    <row r="1160" customFormat="false" ht="12.8" hidden="false" customHeight="false" outlineLevel="0" collapsed="false">
      <c r="A1160" s="9" t="s">
        <v>6389</v>
      </c>
      <c r="B1160" s="10" t="s">
        <v>6390</v>
      </c>
      <c r="C1160" s="10" t="n">
        <v>0.0021</v>
      </c>
      <c r="D1160" s="0" t="s">
        <v>6391</v>
      </c>
      <c r="E1160" s="0" t="s">
        <v>6323</v>
      </c>
      <c r="F1160" s="0" t="s">
        <v>6324</v>
      </c>
      <c r="G1160" s="0" t="s">
        <v>6325</v>
      </c>
    </row>
    <row r="1161" customFormat="false" ht="12.8" hidden="false" customHeight="false" outlineLevel="0" collapsed="false">
      <c r="A1161" s="9" t="s">
        <v>6392</v>
      </c>
      <c r="B1161" s="10" t="s">
        <v>6393</v>
      </c>
      <c r="C1161" s="10" t="n">
        <v>0.0013</v>
      </c>
      <c r="D1161" s="0" t="s">
        <v>6394</v>
      </c>
      <c r="E1161" s="0" t="s">
        <v>6323</v>
      </c>
      <c r="F1161" s="0" t="s">
        <v>6324</v>
      </c>
      <c r="G1161" s="0" t="s">
        <v>6325</v>
      </c>
    </row>
    <row r="1162" customFormat="false" ht="12.8" hidden="false" customHeight="false" outlineLevel="0" collapsed="false">
      <c r="A1162" s="9" t="s">
        <v>6395</v>
      </c>
      <c r="B1162" s="10" t="s">
        <v>6396</v>
      </c>
      <c r="C1162" s="10" t="n">
        <v>0.0007</v>
      </c>
      <c r="D1162" s="0" t="s">
        <v>6397</v>
      </c>
      <c r="E1162" s="0" t="s">
        <v>6323</v>
      </c>
      <c r="F1162" s="0" t="s">
        <v>6324</v>
      </c>
      <c r="G1162" s="0" t="s">
        <v>6325</v>
      </c>
    </row>
    <row r="1163" customFormat="false" ht="12.8" hidden="false" customHeight="false" outlineLevel="0" collapsed="false">
      <c r="A1163" s="9" t="s">
        <v>6398</v>
      </c>
      <c r="B1163" s="10" t="s">
        <v>6399</v>
      </c>
      <c r="C1163" s="10" t="n">
        <v>0.0006</v>
      </c>
      <c r="D1163" s="0" t="s">
        <v>6400</v>
      </c>
      <c r="E1163" s="0" t="s">
        <v>6323</v>
      </c>
      <c r="F1163" s="0" t="s">
        <v>6324</v>
      </c>
      <c r="G1163" s="0" t="s">
        <v>6325</v>
      </c>
    </row>
    <row r="1164" customFormat="false" ht="12.8" hidden="false" customHeight="false" outlineLevel="0" collapsed="false">
      <c r="A1164" s="9" t="s">
        <v>6401</v>
      </c>
      <c r="B1164" s="10" t="s">
        <v>6402</v>
      </c>
      <c r="C1164" s="10" t="n">
        <v>0.0005</v>
      </c>
      <c r="D1164" s="0" t="s">
        <v>6403</v>
      </c>
      <c r="E1164" s="0" t="s">
        <v>6323</v>
      </c>
      <c r="F1164" s="0" t="s">
        <v>6324</v>
      </c>
      <c r="G1164" s="0" t="s">
        <v>6325</v>
      </c>
    </row>
    <row r="1165" customFormat="false" ht="12.8" hidden="false" customHeight="false" outlineLevel="0" collapsed="false">
      <c r="A1165" s="9" t="s">
        <v>6404</v>
      </c>
      <c r="B1165" s="10" t="s">
        <v>6405</v>
      </c>
      <c r="C1165" s="10" t="n">
        <v>0.0004</v>
      </c>
      <c r="D1165" s="0" t="s">
        <v>6406</v>
      </c>
      <c r="E1165" s="0" t="s">
        <v>6323</v>
      </c>
      <c r="F1165" s="0" t="s">
        <v>6324</v>
      </c>
      <c r="G1165" s="0" t="s">
        <v>6325</v>
      </c>
    </row>
    <row r="1166" customFormat="false" ht="12.8" hidden="false" customHeight="false" outlineLevel="0" collapsed="false">
      <c r="A1166" s="9" t="s">
        <v>6407</v>
      </c>
      <c r="B1166" s="10" t="s">
        <v>6408</v>
      </c>
      <c r="C1166" s="10" t="n">
        <v>0.0007</v>
      </c>
      <c r="D1166" s="0" t="s">
        <v>6409</v>
      </c>
      <c r="E1166" s="0" t="s">
        <v>6323</v>
      </c>
      <c r="F1166" s="0" t="s">
        <v>6324</v>
      </c>
      <c r="G1166" s="0" t="s">
        <v>6325</v>
      </c>
    </row>
    <row r="1167" customFormat="false" ht="12.8" hidden="false" customHeight="false" outlineLevel="0" collapsed="false">
      <c r="A1167" s="9" t="s">
        <v>6410</v>
      </c>
      <c r="B1167" s="10" t="s">
        <v>6411</v>
      </c>
      <c r="C1167" s="10" t="n">
        <v>0.0003</v>
      </c>
      <c r="D1167" s="0" t="s">
        <v>6412</v>
      </c>
      <c r="E1167" s="0" t="s">
        <v>6323</v>
      </c>
      <c r="F1167" s="0" t="s">
        <v>6324</v>
      </c>
      <c r="G1167" s="0" t="s">
        <v>6325</v>
      </c>
    </row>
    <row r="1168" customFormat="false" ht="12.8" hidden="false" customHeight="false" outlineLevel="0" collapsed="false">
      <c r="A1168" s="9" t="s">
        <v>6413</v>
      </c>
      <c r="B1168" s="10" t="s">
        <v>6414</v>
      </c>
      <c r="C1168" s="10" t="n">
        <v>0.0011</v>
      </c>
      <c r="D1168" s="0" t="s">
        <v>6415</v>
      </c>
      <c r="E1168" s="0" t="s">
        <v>6323</v>
      </c>
      <c r="F1168" s="0" t="s">
        <v>6324</v>
      </c>
      <c r="G1168" s="0" t="s">
        <v>6325</v>
      </c>
    </row>
    <row r="1169" customFormat="false" ht="12.8" hidden="false" customHeight="false" outlineLevel="0" collapsed="false">
      <c r="A1169" s="9" t="s">
        <v>6416</v>
      </c>
      <c r="B1169" s="10" t="s">
        <v>6417</v>
      </c>
      <c r="C1169" s="10" t="n">
        <v>0.0008</v>
      </c>
      <c r="D1169" s="0" t="s">
        <v>6418</v>
      </c>
      <c r="E1169" s="0" t="s">
        <v>6323</v>
      </c>
      <c r="F1169" s="0" t="s">
        <v>6324</v>
      </c>
      <c r="G1169" s="0" t="s">
        <v>6325</v>
      </c>
    </row>
    <row r="1170" customFormat="false" ht="12.8" hidden="false" customHeight="false" outlineLevel="0" collapsed="false">
      <c r="A1170" s="9" t="s">
        <v>6419</v>
      </c>
      <c r="B1170" s="10" t="s">
        <v>6420</v>
      </c>
      <c r="C1170" s="10" t="n">
        <v>0.0013</v>
      </c>
      <c r="D1170" s="0" t="s">
        <v>6421</v>
      </c>
      <c r="E1170" s="0" t="s">
        <v>6323</v>
      </c>
      <c r="F1170" s="0" t="s">
        <v>6324</v>
      </c>
      <c r="G1170" s="0" t="s">
        <v>6325</v>
      </c>
    </row>
    <row r="1171" customFormat="false" ht="12.8" hidden="false" customHeight="false" outlineLevel="0" collapsed="false">
      <c r="A1171" s="9" t="s">
        <v>6422</v>
      </c>
      <c r="B1171" s="10" t="s">
        <v>6423</v>
      </c>
      <c r="C1171" s="10" t="n">
        <v>0.0016</v>
      </c>
      <c r="D1171" s="0" t="s">
        <v>6424</v>
      </c>
      <c r="E1171" s="0" t="s">
        <v>6323</v>
      </c>
      <c r="F1171" s="0" t="s">
        <v>6324</v>
      </c>
      <c r="G1171" s="0" t="s">
        <v>6325</v>
      </c>
    </row>
    <row r="1172" customFormat="false" ht="12.8" hidden="false" customHeight="false" outlineLevel="0" collapsed="false">
      <c r="A1172" s="9" t="s">
        <v>6425</v>
      </c>
      <c r="B1172" s="10" t="s">
        <v>6426</v>
      </c>
      <c r="C1172" s="10" t="n">
        <v>0.0007</v>
      </c>
      <c r="D1172" s="0" t="s">
        <v>6427</v>
      </c>
      <c r="E1172" s="0" t="s">
        <v>6323</v>
      </c>
      <c r="F1172" s="0" t="s">
        <v>6324</v>
      </c>
      <c r="G1172" s="0" t="s">
        <v>6325</v>
      </c>
    </row>
    <row r="1173" customFormat="false" ht="12.8" hidden="false" customHeight="false" outlineLevel="0" collapsed="false">
      <c r="A1173" s="9" t="s">
        <v>6428</v>
      </c>
      <c r="B1173" s="10" t="s">
        <v>6429</v>
      </c>
      <c r="C1173" s="10" t="n">
        <v>0.0009</v>
      </c>
      <c r="D1173" s="0" t="s">
        <v>6430</v>
      </c>
      <c r="E1173" s="0" t="s">
        <v>6323</v>
      </c>
      <c r="F1173" s="0" t="s">
        <v>6324</v>
      </c>
      <c r="G1173" s="0" t="s">
        <v>6325</v>
      </c>
    </row>
    <row r="1174" customFormat="false" ht="12.8" hidden="false" customHeight="false" outlineLevel="0" collapsed="false">
      <c r="A1174" s="9" t="s">
        <v>6431</v>
      </c>
      <c r="B1174" s="10" t="s">
        <v>6432</v>
      </c>
      <c r="C1174" s="10" t="n">
        <v>0.0012</v>
      </c>
      <c r="D1174" s="0" t="s">
        <v>6433</v>
      </c>
      <c r="E1174" s="0" t="s">
        <v>6323</v>
      </c>
      <c r="F1174" s="0" t="s">
        <v>6324</v>
      </c>
      <c r="G1174" s="0" t="s">
        <v>6325</v>
      </c>
    </row>
    <row r="1175" customFormat="false" ht="12.8" hidden="false" customHeight="false" outlineLevel="0" collapsed="false">
      <c r="A1175" s="9" t="s">
        <v>6434</v>
      </c>
      <c r="B1175" s="10" t="s">
        <v>6435</v>
      </c>
      <c r="C1175" s="10" t="n">
        <v>0.0019</v>
      </c>
      <c r="D1175" s="0" t="s">
        <v>6436</v>
      </c>
      <c r="E1175" s="0" t="s">
        <v>6323</v>
      </c>
      <c r="F1175" s="0" t="s">
        <v>6324</v>
      </c>
      <c r="G1175" s="0" t="s">
        <v>6325</v>
      </c>
    </row>
    <row r="1176" customFormat="false" ht="12.8" hidden="false" customHeight="false" outlineLevel="0" collapsed="false">
      <c r="A1176" s="9" t="s">
        <v>6437</v>
      </c>
      <c r="B1176" s="10" t="s">
        <v>6438</v>
      </c>
      <c r="C1176" s="10" t="n">
        <v>0.0011</v>
      </c>
      <c r="D1176" s="0" t="s">
        <v>6439</v>
      </c>
      <c r="E1176" s="0" t="s">
        <v>6323</v>
      </c>
      <c r="F1176" s="0" t="s">
        <v>6324</v>
      </c>
      <c r="G1176" s="0" t="s">
        <v>6325</v>
      </c>
    </row>
    <row r="1177" customFormat="false" ht="12.8" hidden="false" customHeight="false" outlineLevel="0" collapsed="false">
      <c r="A1177" s="9" t="s">
        <v>6440</v>
      </c>
      <c r="B1177" s="10" t="s">
        <v>6441</v>
      </c>
      <c r="C1177" s="10" t="n">
        <v>0.0006</v>
      </c>
      <c r="D1177" s="0" t="s">
        <v>6442</v>
      </c>
      <c r="E1177" s="0" t="s">
        <v>6323</v>
      </c>
      <c r="F1177" s="0" t="s">
        <v>6324</v>
      </c>
      <c r="G1177" s="0" t="s">
        <v>6325</v>
      </c>
    </row>
    <row r="1178" customFormat="false" ht="12.8" hidden="false" customHeight="false" outlineLevel="0" collapsed="false">
      <c r="A1178" s="9" t="s">
        <v>6443</v>
      </c>
      <c r="B1178" s="10" t="s">
        <v>6444</v>
      </c>
      <c r="C1178" s="10" t="n">
        <v>0.0005</v>
      </c>
      <c r="D1178" s="0" t="s">
        <v>6445</v>
      </c>
      <c r="E1178" s="0" t="s">
        <v>6323</v>
      </c>
      <c r="F1178" s="0" t="s">
        <v>6324</v>
      </c>
      <c r="G1178" s="0" t="s">
        <v>6325</v>
      </c>
    </row>
    <row r="1179" customFormat="false" ht="12.8" hidden="false" customHeight="false" outlineLevel="0" collapsed="false">
      <c r="A1179" s="9" t="s">
        <v>6446</v>
      </c>
      <c r="B1179" s="10" t="s">
        <v>6447</v>
      </c>
      <c r="C1179" s="10" t="n">
        <v>0.0004</v>
      </c>
      <c r="D1179" s="0" t="s">
        <v>6448</v>
      </c>
      <c r="E1179" s="0" t="s">
        <v>6323</v>
      </c>
      <c r="F1179" s="0" t="s">
        <v>6324</v>
      </c>
      <c r="G1179" s="0" t="s">
        <v>6325</v>
      </c>
    </row>
    <row r="1180" customFormat="false" ht="12.8" hidden="false" customHeight="false" outlineLevel="0" collapsed="false">
      <c r="A1180" s="9" t="s">
        <v>6449</v>
      </c>
      <c r="B1180" s="10" t="s">
        <v>6450</v>
      </c>
      <c r="C1180" s="10" t="n">
        <v>0.0004</v>
      </c>
      <c r="D1180" s="0" t="s">
        <v>6451</v>
      </c>
      <c r="E1180" s="0" t="s">
        <v>6323</v>
      </c>
      <c r="F1180" s="0" t="s">
        <v>6324</v>
      </c>
      <c r="G1180" s="0" t="s">
        <v>6325</v>
      </c>
    </row>
    <row r="1181" customFormat="false" ht="12.8" hidden="false" customHeight="false" outlineLevel="0" collapsed="false">
      <c r="A1181" s="9" t="s">
        <v>6452</v>
      </c>
      <c r="B1181" s="10" t="s">
        <v>6453</v>
      </c>
      <c r="C1181" s="10" t="n">
        <v>0.0003</v>
      </c>
      <c r="D1181" s="0" t="s">
        <v>6454</v>
      </c>
      <c r="E1181" s="0" t="s">
        <v>6323</v>
      </c>
      <c r="F1181" s="0" t="s">
        <v>6324</v>
      </c>
      <c r="G1181" s="0" t="s">
        <v>6325</v>
      </c>
    </row>
    <row r="1182" customFormat="false" ht="12.8" hidden="false" customHeight="false" outlineLevel="0" collapsed="false">
      <c r="A1182" s="9" t="s">
        <v>6455</v>
      </c>
      <c r="B1182" s="10" t="s">
        <v>6456</v>
      </c>
      <c r="C1182" s="10" t="n">
        <v>0.0005</v>
      </c>
      <c r="D1182" s="0" t="s">
        <v>6457</v>
      </c>
      <c r="E1182" s="0" t="s">
        <v>6323</v>
      </c>
      <c r="F1182" s="0" t="s">
        <v>6324</v>
      </c>
      <c r="G1182" s="0" t="s">
        <v>6325</v>
      </c>
    </row>
    <row r="1183" customFormat="false" ht="12.8" hidden="false" customHeight="false" outlineLevel="0" collapsed="false">
      <c r="A1183" s="9" t="s">
        <v>6458</v>
      </c>
      <c r="B1183" s="10" t="s">
        <v>6459</v>
      </c>
      <c r="C1183" s="10" t="n">
        <v>0.0006</v>
      </c>
      <c r="D1183" s="0" t="s">
        <v>6460</v>
      </c>
      <c r="E1183" s="0" t="s">
        <v>6323</v>
      </c>
      <c r="F1183" s="0" t="s">
        <v>6324</v>
      </c>
      <c r="G1183" s="0" t="s">
        <v>6325</v>
      </c>
    </row>
    <row r="1184" customFormat="false" ht="12.8" hidden="false" customHeight="false" outlineLevel="0" collapsed="false">
      <c r="A1184" s="9" t="s">
        <v>6461</v>
      </c>
      <c r="B1184" s="10" t="s">
        <v>6462</v>
      </c>
      <c r="C1184" s="10" t="n">
        <v>0.0002</v>
      </c>
      <c r="D1184" s="0" t="s">
        <v>6463</v>
      </c>
      <c r="E1184" s="0" t="s">
        <v>6323</v>
      </c>
      <c r="F1184" s="0" t="s">
        <v>6324</v>
      </c>
      <c r="G1184" s="0" t="s">
        <v>6325</v>
      </c>
    </row>
    <row r="1185" customFormat="false" ht="12.8" hidden="false" customHeight="false" outlineLevel="0" collapsed="false">
      <c r="A1185" s="9" t="s">
        <v>6464</v>
      </c>
      <c r="B1185" s="10" t="s">
        <v>6465</v>
      </c>
      <c r="C1185" s="10" t="n">
        <v>0.0003</v>
      </c>
      <c r="D1185" s="0" t="s">
        <v>6466</v>
      </c>
      <c r="E1185" s="0" t="s">
        <v>6323</v>
      </c>
      <c r="F1185" s="0" t="s">
        <v>6324</v>
      </c>
      <c r="G1185" s="0" t="s">
        <v>6325</v>
      </c>
    </row>
    <row r="1186" customFormat="false" ht="12.8" hidden="false" customHeight="false" outlineLevel="0" collapsed="false">
      <c r="A1186" s="9" t="s">
        <v>6467</v>
      </c>
      <c r="B1186" s="10" t="s">
        <v>6468</v>
      </c>
      <c r="C1186" s="10" t="n">
        <v>0.0004</v>
      </c>
      <c r="D1186" s="0" t="s">
        <v>6469</v>
      </c>
      <c r="E1186" s="0" t="s">
        <v>6323</v>
      </c>
      <c r="F1186" s="0" t="s">
        <v>6324</v>
      </c>
      <c r="G1186" s="0" t="s">
        <v>6325</v>
      </c>
    </row>
    <row r="1187" customFormat="false" ht="12.8" hidden="false" customHeight="false" outlineLevel="0" collapsed="false">
      <c r="A1187" s="9" t="s">
        <v>6470</v>
      </c>
      <c r="B1187" s="10" t="s">
        <v>6471</v>
      </c>
      <c r="C1187" s="10" t="n">
        <v>0.0007</v>
      </c>
      <c r="D1187" s="0" t="s">
        <v>6472</v>
      </c>
      <c r="E1187" s="0" t="s">
        <v>6323</v>
      </c>
      <c r="F1187" s="0" t="s">
        <v>6324</v>
      </c>
      <c r="G1187" s="0" t="s">
        <v>6325</v>
      </c>
    </row>
    <row r="1188" customFormat="false" ht="12.8" hidden="false" customHeight="false" outlineLevel="0" collapsed="false">
      <c r="A1188" s="9" t="s">
        <v>6473</v>
      </c>
      <c r="B1188" s="10" t="s">
        <v>6474</v>
      </c>
      <c r="C1188" s="10" t="n">
        <v>0.0004</v>
      </c>
      <c r="D1188" s="0" t="s">
        <v>6475</v>
      </c>
      <c r="E1188" s="0" t="s">
        <v>6323</v>
      </c>
      <c r="F1188" s="0" t="s">
        <v>6324</v>
      </c>
      <c r="G1188" s="0" t="s">
        <v>6325</v>
      </c>
    </row>
    <row r="1189" customFormat="false" ht="12.8" hidden="false" customHeight="false" outlineLevel="0" collapsed="false">
      <c r="A1189" s="9" t="s">
        <v>6476</v>
      </c>
      <c r="B1189" s="10" t="s">
        <v>6477</v>
      </c>
      <c r="C1189" s="10" t="n">
        <v>0.0002</v>
      </c>
      <c r="D1189" s="0" t="s">
        <v>6478</v>
      </c>
      <c r="E1189" s="0" t="s">
        <v>6323</v>
      </c>
      <c r="F1189" s="0" t="s">
        <v>6324</v>
      </c>
      <c r="G1189" s="0" t="s">
        <v>6325</v>
      </c>
    </row>
    <row r="1191" customFormat="false" ht="12.8" hidden="false" customHeight="false" outlineLevel="0" collapsed="false">
      <c r="A1191" s="9" t="s">
        <v>6479</v>
      </c>
      <c r="B1191" s="10" t="s">
        <v>6480</v>
      </c>
      <c r="C1191" s="10" t="n">
        <v>0.0002</v>
      </c>
      <c r="D1191" s="0" t="s">
        <v>6481</v>
      </c>
      <c r="E1191" s="0" t="s">
        <v>6323</v>
      </c>
      <c r="F1191" s="0" t="s">
        <v>6324</v>
      </c>
      <c r="G1191" s="0" t="s">
        <v>6325</v>
      </c>
    </row>
    <row r="1192" customFormat="false" ht="12.8" hidden="false" customHeight="false" outlineLevel="0" collapsed="false">
      <c r="A1192" s="9" t="s">
        <v>6482</v>
      </c>
      <c r="B1192" s="10" t="s">
        <v>6483</v>
      </c>
      <c r="C1192" s="10" t="n">
        <v>0.0002</v>
      </c>
      <c r="D1192" s="0" t="s">
        <v>6484</v>
      </c>
      <c r="E1192" s="0" t="s">
        <v>6323</v>
      </c>
      <c r="F1192" s="0" t="s">
        <v>6324</v>
      </c>
      <c r="G1192" s="0" t="s">
        <v>6325</v>
      </c>
    </row>
    <row r="1193" customFormat="false" ht="12.8" hidden="false" customHeight="false" outlineLevel="0" collapsed="false">
      <c r="A1193" s="9" t="s">
        <v>6485</v>
      </c>
      <c r="B1193" s="10" t="s">
        <v>6486</v>
      </c>
      <c r="C1193" s="10" t="n">
        <v>0.0002</v>
      </c>
      <c r="D1193" s="0" t="s">
        <v>6487</v>
      </c>
      <c r="E1193" s="0" t="s">
        <v>6323</v>
      </c>
      <c r="F1193" s="0" t="s">
        <v>6324</v>
      </c>
      <c r="G1193" s="0" t="s">
        <v>6325</v>
      </c>
    </row>
    <row r="1194" customFormat="false" ht="12.8" hidden="false" customHeight="false" outlineLevel="0" collapsed="false">
      <c r="A1194" s="9" t="s">
        <v>6488</v>
      </c>
      <c r="B1194" s="10" t="s">
        <v>6489</v>
      </c>
      <c r="C1194" s="10" t="n">
        <v>0.0002</v>
      </c>
      <c r="D1194" s="0" t="s">
        <v>6490</v>
      </c>
      <c r="E1194" s="0" t="s">
        <v>6323</v>
      </c>
      <c r="F1194" s="0" t="s">
        <v>6324</v>
      </c>
      <c r="G1194" s="0" t="s">
        <v>6325</v>
      </c>
    </row>
    <row r="1195" customFormat="false" ht="12.8" hidden="false" customHeight="false" outlineLevel="0" collapsed="false">
      <c r="A1195" s="9" t="s">
        <v>6491</v>
      </c>
      <c r="B1195" s="10" t="s">
        <v>6492</v>
      </c>
      <c r="C1195" s="10" t="n">
        <v>0.00015</v>
      </c>
      <c r="D1195" s="0" t="s">
        <v>6493</v>
      </c>
      <c r="E1195" s="0" t="s">
        <v>6323</v>
      </c>
      <c r="F1195" s="0" t="s">
        <v>6324</v>
      </c>
      <c r="G1195" s="0" t="s">
        <v>6325</v>
      </c>
    </row>
    <row r="1196" customFormat="false" ht="12.8" hidden="false" customHeight="false" outlineLevel="0" collapsed="false">
      <c r="A1196" s="9" t="s">
        <v>6494</v>
      </c>
      <c r="B1196" s="10" t="s">
        <v>6495</v>
      </c>
      <c r="C1196" s="10" t="n">
        <v>0.0008</v>
      </c>
      <c r="D1196" s="0" t="s">
        <v>6496</v>
      </c>
      <c r="E1196" s="0" t="s">
        <v>6323</v>
      </c>
      <c r="F1196" s="0" t="s">
        <v>6324</v>
      </c>
      <c r="G1196" s="0" t="s">
        <v>6325</v>
      </c>
    </row>
    <row r="1197" customFormat="false" ht="12.8" hidden="false" customHeight="false" outlineLevel="0" collapsed="false">
      <c r="A1197" s="9" t="s">
        <v>6497</v>
      </c>
      <c r="B1197" s="10" t="s">
        <v>6498</v>
      </c>
      <c r="C1197" s="10" t="n">
        <v>0.0006</v>
      </c>
      <c r="D1197" s="0" t="s">
        <v>6499</v>
      </c>
      <c r="E1197" s="0" t="s">
        <v>6323</v>
      </c>
      <c r="F1197" s="0" t="s">
        <v>6324</v>
      </c>
      <c r="G1197" s="0" t="s">
        <v>6325</v>
      </c>
    </row>
    <row r="1198" customFormat="false" ht="12.8" hidden="false" customHeight="false" outlineLevel="0" collapsed="false">
      <c r="A1198" s="9" t="s">
        <v>6500</v>
      </c>
      <c r="B1198" s="10" t="s">
        <v>6501</v>
      </c>
      <c r="C1198" s="10" t="n">
        <v>0.001</v>
      </c>
      <c r="D1198" s="0" t="s">
        <v>6502</v>
      </c>
      <c r="E1198" s="0" t="s">
        <v>6323</v>
      </c>
      <c r="F1198" s="0" t="s">
        <v>6324</v>
      </c>
      <c r="G1198" s="0" t="s">
        <v>6325</v>
      </c>
    </row>
    <row r="1199" customFormat="false" ht="12.8" hidden="false" customHeight="false" outlineLevel="0" collapsed="false">
      <c r="A1199" s="9" t="s">
        <v>6503</v>
      </c>
      <c r="B1199" s="10" t="s">
        <v>6504</v>
      </c>
      <c r="C1199" s="10" t="n">
        <v>0.0012</v>
      </c>
      <c r="D1199" s="0" t="s">
        <v>6505</v>
      </c>
      <c r="E1199" s="0" t="s">
        <v>6323</v>
      </c>
      <c r="F1199" s="0" t="s">
        <v>6324</v>
      </c>
      <c r="G1199" s="0" t="s">
        <v>6325</v>
      </c>
    </row>
    <row r="1200" customFormat="false" ht="12.8" hidden="false" customHeight="false" outlineLevel="0" collapsed="false">
      <c r="A1200" s="9" t="s">
        <v>6506</v>
      </c>
      <c r="B1200" s="10" t="s">
        <v>6507</v>
      </c>
      <c r="C1200" s="10" t="n">
        <v>0.0004</v>
      </c>
      <c r="D1200" s="0" t="s">
        <v>6508</v>
      </c>
      <c r="E1200" s="0" t="s">
        <v>6323</v>
      </c>
      <c r="F1200" s="0" t="s">
        <v>6324</v>
      </c>
      <c r="G1200" s="0" t="s">
        <v>6325</v>
      </c>
    </row>
    <row r="1201" customFormat="false" ht="12.8" hidden="false" customHeight="false" outlineLevel="0" collapsed="false">
      <c r="A1201" s="9" t="s">
        <v>6509</v>
      </c>
      <c r="B1201" s="10" t="s">
        <v>6510</v>
      </c>
      <c r="C1201" s="10" t="n">
        <v>0.0005</v>
      </c>
      <c r="D1201" s="0" t="s">
        <v>6511</v>
      </c>
      <c r="E1201" s="0" t="s">
        <v>6323</v>
      </c>
      <c r="F1201" s="0" t="s">
        <v>6324</v>
      </c>
      <c r="G1201" s="0" t="s">
        <v>6325</v>
      </c>
    </row>
    <row r="1202" customFormat="false" ht="12.8" hidden="false" customHeight="false" outlineLevel="0" collapsed="false">
      <c r="A1202" s="9" t="s">
        <v>6512</v>
      </c>
      <c r="B1202" s="10" t="s">
        <v>6513</v>
      </c>
      <c r="C1202" s="10" t="n">
        <v>0.0009</v>
      </c>
      <c r="D1202" s="0" t="s">
        <v>6514</v>
      </c>
      <c r="E1202" s="0" t="s">
        <v>6323</v>
      </c>
      <c r="F1202" s="0" t="s">
        <v>6324</v>
      </c>
      <c r="G1202" s="0" t="s">
        <v>6325</v>
      </c>
    </row>
    <row r="1203" customFormat="false" ht="12.8" hidden="false" customHeight="false" outlineLevel="0" collapsed="false">
      <c r="A1203" s="9" t="s">
        <v>6515</v>
      </c>
      <c r="B1203" s="10" t="s">
        <v>6516</v>
      </c>
      <c r="C1203" s="10" t="n">
        <v>0.0014</v>
      </c>
      <c r="D1203" s="0" t="s">
        <v>6517</v>
      </c>
      <c r="E1203" s="0" t="s">
        <v>6323</v>
      </c>
      <c r="F1203" s="0" t="s">
        <v>6324</v>
      </c>
      <c r="G1203" s="0" t="s">
        <v>6325</v>
      </c>
    </row>
    <row r="1204" customFormat="false" ht="12.8" hidden="false" customHeight="false" outlineLevel="0" collapsed="false">
      <c r="A1204" s="9" t="s">
        <v>6518</v>
      </c>
      <c r="B1204" s="10" t="s">
        <v>6519</v>
      </c>
      <c r="C1204" s="10" t="n">
        <v>0.0007</v>
      </c>
      <c r="D1204" s="0" t="s">
        <v>6520</v>
      </c>
      <c r="E1204" s="0" t="s">
        <v>6323</v>
      </c>
      <c r="F1204" s="0" t="s">
        <v>6324</v>
      </c>
      <c r="G1204" s="0" t="s">
        <v>6325</v>
      </c>
    </row>
    <row r="1205" customFormat="false" ht="12.8" hidden="false" customHeight="false" outlineLevel="0" collapsed="false">
      <c r="A1205" s="9" t="s">
        <v>6521</v>
      </c>
      <c r="B1205" s="10" t="s">
        <v>6522</v>
      </c>
      <c r="C1205" s="10" t="n">
        <v>0.0004</v>
      </c>
      <c r="D1205" s="0" t="s">
        <v>6523</v>
      </c>
      <c r="E1205" s="0" t="s">
        <v>6323</v>
      </c>
      <c r="F1205" s="0" t="s">
        <v>6324</v>
      </c>
      <c r="G1205" s="0" t="s">
        <v>6325</v>
      </c>
    </row>
    <row r="1206" customFormat="false" ht="12.8" hidden="false" customHeight="false" outlineLevel="0" collapsed="false">
      <c r="A1206" s="9" t="s">
        <v>6524</v>
      </c>
      <c r="B1206" s="10" t="s">
        <v>6525</v>
      </c>
      <c r="C1206" s="10" t="n">
        <v>0.0003</v>
      </c>
      <c r="D1206" s="0" t="s">
        <v>6526</v>
      </c>
      <c r="E1206" s="0" t="s">
        <v>6323</v>
      </c>
      <c r="F1206" s="0" t="s">
        <v>6324</v>
      </c>
      <c r="G1206" s="0" t="s">
        <v>6325</v>
      </c>
    </row>
    <row r="1207" customFormat="false" ht="12.8" hidden="false" customHeight="false" outlineLevel="0" collapsed="false">
      <c r="A1207" s="9" t="s">
        <v>6527</v>
      </c>
      <c r="B1207" s="10" t="s">
        <v>6528</v>
      </c>
      <c r="C1207" s="10" t="n">
        <v>0.0003</v>
      </c>
      <c r="D1207" s="0" t="s">
        <v>6529</v>
      </c>
      <c r="E1207" s="0" t="s">
        <v>6323</v>
      </c>
      <c r="F1207" s="0" t="s">
        <v>6324</v>
      </c>
      <c r="G1207" s="0" t="s">
        <v>6325</v>
      </c>
    </row>
    <row r="1208" customFormat="false" ht="12.8" hidden="false" customHeight="false" outlineLevel="0" collapsed="false">
      <c r="A1208" s="9" t="s">
        <v>6530</v>
      </c>
      <c r="B1208" s="10" t="s">
        <v>6531</v>
      </c>
      <c r="C1208" s="10" t="n">
        <v>0.0003</v>
      </c>
      <c r="D1208" s="0" t="s">
        <v>6532</v>
      </c>
      <c r="E1208" s="0" t="s">
        <v>6323</v>
      </c>
      <c r="F1208" s="0" t="s">
        <v>6324</v>
      </c>
      <c r="G1208" s="0" t="s">
        <v>6325</v>
      </c>
    </row>
    <row r="1209" customFormat="false" ht="12.8" hidden="false" customHeight="false" outlineLevel="0" collapsed="false">
      <c r="A1209" s="9" t="s">
        <v>6533</v>
      </c>
      <c r="B1209" s="10" t="s">
        <v>6534</v>
      </c>
      <c r="C1209" s="10" t="n">
        <v>0.0004</v>
      </c>
      <c r="D1209" s="0" t="s">
        <v>6535</v>
      </c>
      <c r="E1209" s="0" t="s">
        <v>6323</v>
      </c>
      <c r="F1209" s="0" t="s">
        <v>6324</v>
      </c>
      <c r="G1209" s="0" t="s">
        <v>6325</v>
      </c>
    </row>
    <row r="1210" customFormat="false" ht="12.8" hidden="false" customHeight="false" outlineLevel="0" collapsed="false">
      <c r="A1210" s="9" t="s">
        <v>6536</v>
      </c>
      <c r="B1210" s="10" t="s">
        <v>6537</v>
      </c>
      <c r="C1210" s="10" t="n">
        <v>0.0002</v>
      </c>
      <c r="D1210" s="0" t="s">
        <v>6538</v>
      </c>
      <c r="E1210" s="0" t="s">
        <v>6323</v>
      </c>
      <c r="F1210" s="0" t="s">
        <v>6324</v>
      </c>
      <c r="G1210" s="0" t="s">
        <v>6325</v>
      </c>
    </row>
    <row r="1211" customFormat="false" ht="12.8" hidden="false" customHeight="false" outlineLevel="0" collapsed="false">
      <c r="A1211" s="9" t="s">
        <v>6539</v>
      </c>
      <c r="B1211" s="10" t="s">
        <v>6540</v>
      </c>
      <c r="C1211" s="10" t="n">
        <v>2.5</v>
      </c>
      <c r="D1211" s="0" t="s">
        <v>6541</v>
      </c>
      <c r="E1211" s="0" t="s">
        <v>6542</v>
      </c>
      <c r="F1211" s="0" t="s">
        <v>6543</v>
      </c>
      <c r="G1211" s="0" t="s">
        <v>6324</v>
      </c>
      <c r="H1211" s="0" t="s">
        <v>6325</v>
      </c>
    </row>
    <row r="1212" customFormat="false" ht="12.8" hidden="false" customHeight="false" outlineLevel="0" collapsed="false">
      <c r="A1212" s="9" t="s">
        <v>6544</v>
      </c>
      <c r="B1212" s="10" t="s">
        <v>6545</v>
      </c>
      <c r="C1212" s="10" t="n">
        <v>3.2</v>
      </c>
      <c r="D1212" s="0" t="s">
        <v>6546</v>
      </c>
      <c r="E1212" s="0" t="s">
        <v>6542</v>
      </c>
      <c r="F1212" s="0" t="s">
        <v>6543</v>
      </c>
      <c r="G1212" s="0" t="s">
        <v>6324</v>
      </c>
      <c r="H1212" s="0" t="s">
        <v>6325</v>
      </c>
    </row>
    <row r="1213" customFormat="false" ht="12.8" hidden="false" customHeight="false" outlineLevel="0" collapsed="false">
      <c r="A1213" s="9" t="s">
        <v>6547</v>
      </c>
      <c r="B1213" s="10" t="s">
        <v>6548</v>
      </c>
      <c r="C1213" s="10" t="n">
        <v>1.8</v>
      </c>
      <c r="D1213" s="0" t="s">
        <v>6549</v>
      </c>
      <c r="E1213" s="0" t="s">
        <v>6542</v>
      </c>
      <c r="F1213" s="0" t="s">
        <v>6543</v>
      </c>
      <c r="G1213" s="0" t="s">
        <v>6324</v>
      </c>
      <c r="H1213" s="0" t="s">
        <v>6325</v>
      </c>
    </row>
    <row r="1214" customFormat="false" ht="12.8" hidden="false" customHeight="false" outlineLevel="0" collapsed="false">
      <c r="A1214" s="9" t="s">
        <v>6550</v>
      </c>
      <c r="B1214" s="10" t="s">
        <v>6551</v>
      </c>
      <c r="C1214" s="10" t="n">
        <v>2.1</v>
      </c>
      <c r="D1214" s="0" t="s">
        <v>6552</v>
      </c>
      <c r="E1214" s="0" t="s">
        <v>6542</v>
      </c>
      <c r="F1214" s="0" t="s">
        <v>6543</v>
      </c>
      <c r="G1214" s="0" t="s">
        <v>6324</v>
      </c>
      <c r="H1214" s="0" t="s">
        <v>6325</v>
      </c>
    </row>
    <row r="1215" customFormat="false" ht="12.8" hidden="false" customHeight="false" outlineLevel="0" collapsed="false">
      <c r="A1215" s="9" t="s">
        <v>6553</v>
      </c>
      <c r="B1215" s="10" t="s">
        <v>6554</v>
      </c>
      <c r="C1215" s="10" t="n">
        <v>4.1</v>
      </c>
      <c r="D1215" s="0" t="s">
        <v>6555</v>
      </c>
      <c r="E1215" s="0" t="s">
        <v>6542</v>
      </c>
      <c r="F1215" s="0" t="s">
        <v>6543</v>
      </c>
      <c r="G1215" s="0" t="s">
        <v>6324</v>
      </c>
      <c r="H1215" s="0" t="s">
        <v>6325</v>
      </c>
    </row>
    <row r="1216" customFormat="false" ht="12.8" hidden="false" customHeight="false" outlineLevel="0" collapsed="false">
      <c r="A1216" s="9" t="s">
        <v>6556</v>
      </c>
      <c r="B1216" s="10" t="s">
        <v>6557</v>
      </c>
      <c r="C1216" s="10" t="n">
        <v>3.8</v>
      </c>
      <c r="D1216" s="0" t="s">
        <v>6558</v>
      </c>
      <c r="E1216" s="0" t="s">
        <v>6542</v>
      </c>
      <c r="F1216" s="0" t="s">
        <v>6543</v>
      </c>
      <c r="G1216" s="0" t="s">
        <v>6324</v>
      </c>
      <c r="H1216" s="0" t="s">
        <v>6325</v>
      </c>
    </row>
    <row r="1217" customFormat="false" ht="12.8" hidden="false" customHeight="false" outlineLevel="0" collapsed="false">
      <c r="A1217" s="9" t="s">
        <v>6559</v>
      </c>
      <c r="B1217" s="10" t="s">
        <v>6560</v>
      </c>
      <c r="C1217" s="10" t="n">
        <v>2.4</v>
      </c>
      <c r="D1217" s="0" t="s">
        <v>6561</v>
      </c>
      <c r="E1217" s="0" t="s">
        <v>6542</v>
      </c>
      <c r="F1217" s="0" t="s">
        <v>6543</v>
      </c>
      <c r="G1217" s="0" t="s">
        <v>6324</v>
      </c>
      <c r="H1217" s="0" t="s">
        <v>6325</v>
      </c>
    </row>
    <row r="1218" customFormat="false" ht="12.8" hidden="false" customHeight="false" outlineLevel="0" collapsed="false">
      <c r="A1218" s="9" t="s">
        <v>6562</v>
      </c>
      <c r="B1218" s="10" t="s">
        <v>6563</v>
      </c>
      <c r="C1218" s="10" t="n">
        <v>2</v>
      </c>
      <c r="D1218" s="0" t="s">
        <v>6564</v>
      </c>
      <c r="E1218" s="0" t="s">
        <v>6542</v>
      </c>
      <c r="F1218" s="0" t="s">
        <v>6543</v>
      </c>
      <c r="G1218" s="0" t="s">
        <v>6324</v>
      </c>
      <c r="H1218" s="0" t="s">
        <v>6325</v>
      </c>
    </row>
    <row r="1219" customFormat="false" ht="12.8" hidden="false" customHeight="false" outlineLevel="0" collapsed="false">
      <c r="A1219" s="9" t="s">
        <v>6565</v>
      </c>
      <c r="B1219" s="10" t="s">
        <v>6566</v>
      </c>
      <c r="C1219" s="10" t="n">
        <v>3.5</v>
      </c>
      <c r="D1219" s="0" t="s">
        <v>6567</v>
      </c>
      <c r="E1219" s="0" t="s">
        <v>6542</v>
      </c>
      <c r="F1219" s="0" t="s">
        <v>6543</v>
      </c>
      <c r="G1219" s="0" t="s">
        <v>6324</v>
      </c>
      <c r="H1219" s="0" t="s">
        <v>6325</v>
      </c>
    </row>
    <row r="1220" customFormat="false" ht="12.8" hidden="false" customHeight="false" outlineLevel="0" collapsed="false">
      <c r="A1220" s="9" t="s">
        <v>6568</v>
      </c>
      <c r="B1220" s="10" t="s">
        <v>6569</v>
      </c>
      <c r="C1220" s="10" t="n">
        <v>5.2</v>
      </c>
      <c r="D1220" s="0" t="s">
        <v>6570</v>
      </c>
      <c r="E1220" s="0" t="s">
        <v>6542</v>
      </c>
      <c r="F1220" s="0" t="s">
        <v>6543</v>
      </c>
      <c r="G1220" s="0" t="s">
        <v>6324</v>
      </c>
      <c r="H1220" s="0" t="s">
        <v>6325</v>
      </c>
    </row>
    <row r="1221" customFormat="false" ht="12.8" hidden="false" customHeight="false" outlineLevel="0" collapsed="false">
      <c r="A1221" s="9" t="s">
        <v>6571</v>
      </c>
      <c r="B1221" s="10" t="s">
        <v>6572</v>
      </c>
      <c r="C1221" s="10" t="n">
        <v>7.8</v>
      </c>
      <c r="D1221" s="0" t="s">
        <v>6573</v>
      </c>
      <c r="E1221" s="0" t="s">
        <v>6542</v>
      </c>
      <c r="F1221" s="0" t="s">
        <v>6543</v>
      </c>
      <c r="G1221" s="0" t="s">
        <v>6324</v>
      </c>
      <c r="H1221" s="0" t="s">
        <v>6325</v>
      </c>
    </row>
    <row r="1222" customFormat="false" ht="12.8" hidden="false" customHeight="false" outlineLevel="0" collapsed="false">
      <c r="A1222" s="9" t="s">
        <v>6574</v>
      </c>
      <c r="B1222" s="10" t="s">
        <v>6575</v>
      </c>
      <c r="C1222" s="10" t="n">
        <v>4.6</v>
      </c>
      <c r="D1222" s="0" t="s">
        <v>6576</v>
      </c>
      <c r="E1222" s="0" t="s">
        <v>6542</v>
      </c>
      <c r="F1222" s="0" t="s">
        <v>6543</v>
      </c>
      <c r="G1222" s="0" t="s">
        <v>6324</v>
      </c>
      <c r="H1222" s="0" t="s">
        <v>6325</v>
      </c>
    </row>
    <row r="1223" customFormat="false" ht="12.8" hidden="false" customHeight="false" outlineLevel="0" collapsed="false">
      <c r="A1223" s="9" t="s">
        <v>6577</v>
      </c>
      <c r="B1223" s="10" t="s">
        <v>6578</v>
      </c>
      <c r="C1223" s="10" t="n">
        <v>6.5</v>
      </c>
      <c r="D1223" s="0" t="s">
        <v>6579</v>
      </c>
      <c r="E1223" s="0" t="s">
        <v>6542</v>
      </c>
      <c r="F1223" s="0" t="s">
        <v>6543</v>
      </c>
      <c r="G1223" s="0" t="s">
        <v>6324</v>
      </c>
      <c r="H1223" s="0" t="s">
        <v>6325</v>
      </c>
    </row>
    <row r="1224" customFormat="false" ht="12.8" hidden="false" customHeight="false" outlineLevel="0" collapsed="false">
      <c r="A1224" s="9" t="s">
        <v>6580</v>
      </c>
      <c r="B1224" s="10" t="s">
        <v>6581</v>
      </c>
      <c r="C1224" s="10" t="n">
        <v>6.2</v>
      </c>
      <c r="D1224" s="0" t="s">
        <v>6582</v>
      </c>
      <c r="E1224" s="0" t="s">
        <v>6542</v>
      </c>
      <c r="F1224" s="0" t="s">
        <v>6543</v>
      </c>
      <c r="G1224" s="0" t="s">
        <v>6324</v>
      </c>
      <c r="H1224" s="0" t="s">
        <v>6325</v>
      </c>
    </row>
    <row r="1225" customFormat="false" ht="12.8" hidden="false" customHeight="false" outlineLevel="0" collapsed="false">
      <c r="A1225" s="9" t="s">
        <v>6583</v>
      </c>
      <c r="B1225" s="10" t="s">
        <v>6584</v>
      </c>
      <c r="C1225" s="10" t="n">
        <v>4</v>
      </c>
      <c r="D1225" s="0" t="s">
        <v>6585</v>
      </c>
      <c r="E1225" s="0" t="s">
        <v>6542</v>
      </c>
      <c r="F1225" s="0" t="s">
        <v>6543</v>
      </c>
      <c r="G1225" s="0" t="s">
        <v>6324</v>
      </c>
      <c r="H1225" s="0" t="s">
        <v>6325</v>
      </c>
    </row>
    <row r="1226" customFormat="false" ht="12.8" hidden="false" customHeight="false" outlineLevel="0" collapsed="false">
      <c r="A1226" s="9" t="s">
        <v>6586</v>
      </c>
      <c r="B1226" s="10" t="s">
        <v>6587</v>
      </c>
      <c r="C1226" s="10" t="n">
        <v>12000</v>
      </c>
      <c r="D1226" s="0" t="s">
        <v>6588</v>
      </c>
      <c r="E1226" s="0" t="s">
        <v>6589</v>
      </c>
      <c r="F1226" s="0" t="s">
        <v>6590</v>
      </c>
      <c r="G1226" s="0" t="s">
        <v>6324</v>
      </c>
      <c r="H1226" s="0" t="s">
        <v>6325</v>
      </c>
    </row>
    <row r="1227" customFormat="false" ht="12.8" hidden="false" customHeight="false" outlineLevel="0" collapsed="false">
      <c r="A1227" s="9" t="s">
        <v>6591</v>
      </c>
      <c r="B1227" s="10" t="s">
        <v>6592</v>
      </c>
      <c r="C1227" s="10" t="n">
        <v>18000</v>
      </c>
      <c r="D1227" s="0" t="s">
        <v>6593</v>
      </c>
      <c r="E1227" s="0" t="s">
        <v>6589</v>
      </c>
      <c r="F1227" s="0" t="s">
        <v>6590</v>
      </c>
      <c r="G1227" s="0" t="s">
        <v>6324</v>
      </c>
      <c r="H1227" s="0" t="s">
        <v>6325</v>
      </c>
    </row>
    <row r="1228" customFormat="false" ht="12.8" hidden="false" customHeight="false" outlineLevel="0" collapsed="false">
      <c r="A1228" s="9" t="s">
        <v>6594</v>
      </c>
      <c r="B1228" s="10" t="s">
        <v>6595</v>
      </c>
      <c r="C1228" s="10" t="n">
        <v>9000</v>
      </c>
      <c r="D1228" s="0" t="s">
        <v>6596</v>
      </c>
      <c r="E1228" s="0" t="s">
        <v>6589</v>
      </c>
      <c r="F1228" s="0" t="s">
        <v>6590</v>
      </c>
      <c r="G1228" s="0" t="s">
        <v>6324</v>
      </c>
      <c r="H1228" s="0" t="s">
        <v>6325</v>
      </c>
    </row>
    <row r="1229" customFormat="false" ht="12.8" hidden="false" customHeight="false" outlineLevel="0" collapsed="false">
      <c r="A1229" s="9" t="s">
        <v>6597</v>
      </c>
      <c r="B1229" s="10" t="s">
        <v>6598</v>
      </c>
      <c r="C1229" s="10" t="n">
        <v>11000</v>
      </c>
      <c r="D1229" s="0" t="s">
        <v>6599</v>
      </c>
      <c r="E1229" s="0" t="s">
        <v>6589</v>
      </c>
      <c r="F1229" s="0" t="s">
        <v>6590</v>
      </c>
      <c r="G1229" s="0" t="s">
        <v>6324</v>
      </c>
      <c r="H1229" s="0" t="s">
        <v>6325</v>
      </c>
    </row>
    <row r="1230" customFormat="false" ht="12.8" hidden="false" customHeight="false" outlineLevel="0" collapsed="false">
      <c r="A1230" s="9" t="s">
        <v>6600</v>
      </c>
      <c r="B1230" s="10" t="s">
        <v>6601</v>
      </c>
      <c r="C1230" s="10" t="n">
        <v>25000</v>
      </c>
      <c r="D1230" s="0" t="s">
        <v>6602</v>
      </c>
      <c r="E1230" s="0" t="s">
        <v>6589</v>
      </c>
      <c r="F1230" s="0" t="s">
        <v>6590</v>
      </c>
      <c r="G1230" s="0" t="s">
        <v>6324</v>
      </c>
      <c r="H1230" s="0" t="s">
        <v>6325</v>
      </c>
    </row>
    <row r="1231" customFormat="false" ht="12.8" hidden="false" customHeight="false" outlineLevel="0" collapsed="false">
      <c r="A1231" s="9" t="s">
        <v>6603</v>
      </c>
      <c r="B1231" s="10" t="s">
        <v>6604</v>
      </c>
      <c r="C1231" s="10" t="n">
        <v>22000</v>
      </c>
      <c r="D1231" s="0" t="s">
        <v>6605</v>
      </c>
      <c r="E1231" s="0" t="s">
        <v>6589</v>
      </c>
      <c r="F1231" s="0" t="s">
        <v>6590</v>
      </c>
      <c r="G1231" s="0" t="s">
        <v>6324</v>
      </c>
      <c r="H1231" s="0" t="s">
        <v>6325</v>
      </c>
    </row>
    <row r="1232" customFormat="false" ht="12.8" hidden="false" customHeight="false" outlineLevel="0" collapsed="false">
      <c r="A1232" s="9" t="s">
        <v>6606</v>
      </c>
      <c r="B1232" s="10" t="s">
        <v>6607</v>
      </c>
      <c r="C1232" s="10" t="n">
        <v>14000</v>
      </c>
      <c r="D1232" s="0" t="s">
        <v>6608</v>
      </c>
      <c r="E1232" s="0" t="s">
        <v>6589</v>
      </c>
      <c r="F1232" s="0" t="s">
        <v>6590</v>
      </c>
      <c r="G1232" s="0" t="s">
        <v>6324</v>
      </c>
      <c r="H1232" s="0" t="s">
        <v>6325</v>
      </c>
    </row>
    <row r="1233" customFormat="false" ht="12.8" hidden="false" customHeight="false" outlineLevel="0" collapsed="false">
      <c r="A1233" s="9" t="s">
        <v>6609</v>
      </c>
      <c r="B1233" s="10" t="s">
        <v>6610</v>
      </c>
      <c r="C1233" s="10" t="n">
        <v>10000</v>
      </c>
      <c r="D1233" s="0" t="s">
        <v>6611</v>
      </c>
      <c r="E1233" s="0" t="s">
        <v>6589</v>
      </c>
      <c r="F1233" s="0" t="s">
        <v>6590</v>
      </c>
      <c r="G1233" s="0" t="s">
        <v>6324</v>
      </c>
      <c r="H1233" s="0" t="s">
        <v>6325</v>
      </c>
    </row>
    <row r="1234" customFormat="false" ht="12.8" hidden="false" customHeight="false" outlineLevel="0" collapsed="false">
      <c r="A1234" s="9" t="s">
        <v>6612</v>
      </c>
      <c r="B1234" s="10" t="s">
        <v>6613</v>
      </c>
      <c r="C1234" s="10" t="n">
        <v>19000</v>
      </c>
      <c r="D1234" s="0" t="s">
        <v>6614</v>
      </c>
      <c r="E1234" s="0" t="s">
        <v>6589</v>
      </c>
      <c r="F1234" s="0" t="s">
        <v>6590</v>
      </c>
      <c r="G1234" s="0" t="s">
        <v>6324</v>
      </c>
      <c r="H1234" s="0" t="s">
        <v>6325</v>
      </c>
    </row>
    <row r="1235" customFormat="false" ht="12.8" hidden="false" customHeight="false" outlineLevel="0" collapsed="false">
      <c r="A1235" s="9" t="s">
        <v>6615</v>
      </c>
      <c r="B1235" s="10" t="s">
        <v>6616</v>
      </c>
      <c r="C1235" s="10" t="n">
        <v>32000</v>
      </c>
      <c r="D1235" s="0" t="s">
        <v>6617</v>
      </c>
      <c r="E1235" s="0" t="s">
        <v>6589</v>
      </c>
      <c r="F1235" s="0" t="s">
        <v>6590</v>
      </c>
      <c r="G1235" s="0" t="s">
        <v>6324</v>
      </c>
      <c r="H1235" s="0" t="s">
        <v>6325</v>
      </c>
    </row>
    <row r="1236" customFormat="false" ht="12.8" hidden="false" customHeight="false" outlineLevel="0" collapsed="false">
      <c r="A1236" s="9" t="s">
        <v>6618</v>
      </c>
      <c r="B1236" s="10" t="s">
        <v>6619</v>
      </c>
      <c r="C1236" s="10" t="n">
        <v>48000</v>
      </c>
      <c r="D1236" s="0" t="s">
        <v>6620</v>
      </c>
      <c r="E1236" s="0" t="s">
        <v>6589</v>
      </c>
      <c r="F1236" s="0" t="s">
        <v>6590</v>
      </c>
      <c r="G1236" s="0" t="s">
        <v>6324</v>
      </c>
      <c r="H1236" s="0" t="s">
        <v>6325</v>
      </c>
    </row>
    <row r="1237" customFormat="false" ht="12.8" hidden="false" customHeight="false" outlineLevel="0" collapsed="false">
      <c r="A1237" s="9" t="s">
        <v>6621</v>
      </c>
      <c r="B1237" s="10" t="s">
        <v>6622</v>
      </c>
      <c r="C1237" s="10" t="n">
        <v>28000</v>
      </c>
      <c r="D1237" s="0" t="s">
        <v>6623</v>
      </c>
      <c r="E1237" s="0" t="s">
        <v>6589</v>
      </c>
      <c r="F1237" s="0" t="s">
        <v>6590</v>
      </c>
      <c r="G1237" s="0" t="s">
        <v>6324</v>
      </c>
      <c r="H1237" s="0" t="s">
        <v>6325</v>
      </c>
    </row>
    <row r="1238" customFormat="false" ht="12.8" hidden="false" customHeight="false" outlineLevel="0" collapsed="false">
      <c r="A1238" s="9" t="s">
        <v>6624</v>
      </c>
      <c r="B1238" s="10" t="s">
        <v>6625</v>
      </c>
      <c r="C1238" s="10" t="n">
        <v>40000</v>
      </c>
      <c r="D1238" s="0" t="s">
        <v>6626</v>
      </c>
      <c r="E1238" s="0" t="s">
        <v>6589</v>
      </c>
      <c r="F1238" s="0" t="s">
        <v>6590</v>
      </c>
      <c r="G1238" s="0" t="s">
        <v>6324</v>
      </c>
      <c r="H1238" s="0" t="s">
        <v>6325</v>
      </c>
    </row>
    <row r="1239" customFormat="false" ht="12.8" hidden="false" customHeight="false" outlineLevel="0" collapsed="false">
      <c r="A1239" s="9" t="s">
        <v>6627</v>
      </c>
      <c r="B1239" s="10" t="s">
        <v>6628</v>
      </c>
      <c r="C1239" s="10" t="n">
        <v>38000</v>
      </c>
      <c r="D1239" s="0" t="s">
        <v>6629</v>
      </c>
      <c r="E1239" s="0" t="s">
        <v>6589</v>
      </c>
      <c r="F1239" s="0" t="s">
        <v>6590</v>
      </c>
      <c r="G1239" s="0" t="s">
        <v>6324</v>
      </c>
      <c r="H1239" s="0" t="s">
        <v>6325</v>
      </c>
    </row>
    <row r="1240" customFormat="false" ht="12.8" hidden="false" customHeight="false" outlineLevel="0" collapsed="false">
      <c r="A1240" s="9" t="s">
        <v>6630</v>
      </c>
      <c r="B1240" s="10" t="s">
        <v>6631</v>
      </c>
      <c r="C1240" s="10" t="n">
        <v>25000</v>
      </c>
      <c r="D1240" s="0" t="s">
        <v>6632</v>
      </c>
      <c r="E1240" s="0" t="s">
        <v>6589</v>
      </c>
      <c r="F1240" s="0" t="s">
        <v>6590</v>
      </c>
      <c r="G1240" s="0" t="s">
        <v>6324</v>
      </c>
      <c r="H1240" s="0" t="s">
        <v>6325</v>
      </c>
    </row>
    <row r="1242" customFormat="false" ht="12.8" hidden="false" customHeight="false" outlineLevel="0" collapsed="false">
      <c r="A1242" s="9" t="s">
        <v>6633</v>
      </c>
      <c r="B1242" s="10" t="s">
        <v>6634</v>
      </c>
      <c r="C1242" s="10" t="n">
        <v>1800000</v>
      </c>
      <c r="D1242" s="0" t="s">
        <v>6635</v>
      </c>
      <c r="E1242" s="0" t="s">
        <v>6636</v>
      </c>
      <c r="F1242" s="0" t="s">
        <v>6323</v>
      </c>
      <c r="G1242" s="0" t="s">
        <v>6324</v>
      </c>
      <c r="H1242" s="0" t="s">
        <v>6325</v>
      </c>
    </row>
    <row r="1243" customFormat="false" ht="12.8" hidden="false" customHeight="false" outlineLevel="0" collapsed="false">
      <c r="A1243" s="9" t="s">
        <v>6637</v>
      </c>
      <c r="B1243" s="10" t="s">
        <v>6638</v>
      </c>
      <c r="C1243" s="10" t="n">
        <v>4500000</v>
      </c>
      <c r="D1243" s="0" t="s">
        <v>6639</v>
      </c>
      <c r="E1243" s="0" t="s">
        <v>6636</v>
      </c>
      <c r="F1243" s="0" t="s">
        <v>6323</v>
      </c>
      <c r="G1243" s="0" t="s">
        <v>6324</v>
      </c>
      <c r="H1243" s="0" t="s">
        <v>6325</v>
      </c>
    </row>
    <row r="1244" customFormat="false" ht="12.8" hidden="false" customHeight="false" outlineLevel="0" collapsed="false">
      <c r="A1244" s="9" t="s">
        <v>6640</v>
      </c>
      <c r="B1244" s="10" t="s">
        <v>6641</v>
      </c>
      <c r="C1244" s="10" t="n">
        <v>32000000</v>
      </c>
      <c r="D1244" s="0" t="s">
        <v>6642</v>
      </c>
      <c r="E1244" s="0" t="s">
        <v>6636</v>
      </c>
      <c r="F1244" s="0" t="s">
        <v>6323</v>
      </c>
      <c r="G1244" s="0" t="s">
        <v>6324</v>
      </c>
      <c r="H1244" s="0" t="s">
        <v>6325</v>
      </c>
    </row>
    <row r="1245" customFormat="false" ht="12.8" hidden="false" customHeight="false" outlineLevel="0" collapsed="false">
      <c r="A1245" s="9" t="s">
        <v>6643</v>
      </c>
      <c r="B1245" s="10" t="s">
        <v>6644</v>
      </c>
      <c r="C1245" s="10" t="n">
        <v>4800000</v>
      </c>
      <c r="D1245" s="0" t="s">
        <v>6645</v>
      </c>
      <c r="E1245" s="0" t="s">
        <v>6636</v>
      </c>
      <c r="F1245" s="0" t="s">
        <v>6323</v>
      </c>
      <c r="G1245" s="0" t="s">
        <v>6324</v>
      </c>
      <c r="H1245" s="0" t="s">
        <v>6325</v>
      </c>
    </row>
    <row r="1246" customFormat="false" ht="12.8" hidden="false" customHeight="false" outlineLevel="0" collapsed="false">
      <c r="A1246" s="9" t="s">
        <v>6646</v>
      </c>
      <c r="B1246" s="10" t="s">
        <v>6647</v>
      </c>
      <c r="C1246" s="10" t="n">
        <v>62000000</v>
      </c>
      <c r="D1246" s="0" t="s">
        <v>6648</v>
      </c>
      <c r="E1246" s="0" t="s">
        <v>6636</v>
      </c>
      <c r="F1246" s="0" t="s">
        <v>6323</v>
      </c>
      <c r="G1246" s="0" t="s">
        <v>6324</v>
      </c>
      <c r="H1246" s="0" t="s">
        <v>6325</v>
      </c>
    </row>
    <row r="1247" customFormat="false" ht="12.8" hidden="false" customHeight="false" outlineLevel="0" collapsed="false">
      <c r="A1247" s="9" t="s">
        <v>6649</v>
      </c>
      <c r="B1247" s="10" t="s">
        <v>6650</v>
      </c>
      <c r="C1247" s="10" t="n">
        <v>21000000</v>
      </c>
      <c r="D1247" s="0" t="s">
        <v>6651</v>
      </c>
      <c r="E1247" s="0" t="s">
        <v>6636</v>
      </c>
      <c r="F1247" s="0" t="s">
        <v>6323</v>
      </c>
      <c r="G1247" s="0" t="s">
        <v>6324</v>
      </c>
      <c r="H1247" s="0" t="s">
        <v>6325</v>
      </c>
    </row>
    <row r="1248" customFormat="false" ht="12.8" hidden="false" customHeight="false" outlineLevel="0" collapsed="false">
      <c r="A1248" s="9" t="s">
        <v>6652</v>
      </c>
      <c r="B1248" s="10" t="s">
        <v>6653</v>
      </c>
      <c r="C1248" s="10" t="n">
        <v>43000000</v>
      </c>
      <c r="D1248" s="0" t="s">
        <v>6654</v>
      </c>
      <c r="E1248" s="0" t="s">
        <v>6636</v>
      </c>
      <c r="F1248" s="0" t="s">
        <v>6323</v>
      </c>
      <c r="G1248" s="0" t="s">
        <v>6324</v>
      </c>
      <c r="H1248" s="0" t="s">
        <v>6325</v>
      </c>
    </row>
    <row r="1249" customFormat="false" ht="12.8" hidden="false" customHeight="false" outlineLevel="0" collapsed="false">
      <c r="A1249" s="9" t="s">
        <v>6655</v>
      </c>
      <c r="B1249" s="10" t="s">
        <v>6656</v>
      </c>
      <c r="C1249" s="10" t="n">
        <v>3000000</v>
      </c>
      <c r="D1249" s="0" t="s">
        <v>6657</v>
      </c>
      <c r="E1249" s="0" t="s">
        <v>6636</v>
      </c>
      <c r="F1249" s="0" t="s">
        <v>6323</v>
      </c>
      <c r="G1249" s="0" t="s">
        <v>6324</v>
      </c>
      <c r="H1249" s="0" t="s">
        <v>6325</v>
      </c>
    </row>
    <row r="1250" customFormat="false" ht="12.8" hidden="false" customHeight="false" outlineLevel="0" collapsed="false">
      <c r="A1250" s="9" t="s">
        <v>6658</v>
      </c>
      <c r="B1250" s="10" t="s">
        <v>6659</v>
      </c>
      <c r="C1250" s="10" t="n">
        <v>2500000</v>
      </c>
      <c r="D1250" s="0" t="s">
        <v>6660</v>
      </c>
      <c r="E1250" s="0" t="s">
        <v>6636</v>
      </c>
      <c r="F1250" s="0" t="s">
        <v>6323</v>
      </c>
      <c r="G1250" s="0" t="s">
        <v>6324</v>
      </c>
      <c r="H1250" s="0" t="s">
        <v>6325</v>
      </c>
    </row>
    <row r="1251" customFormat="false" ht="12.8" hidden="false" customHeight="false" outlineLevel="0" collapsed="false">
      <c r="A1251" s="9" t="s">
        <v>6661</v>
      </c>
      <c r="B1251" s="10" t="s">
        <v>6662</v>
      </c>
      <c r="C1251" s="10" t="n">
        <v>95000000</v>
      </c>
      <c r="D1251" s="0" t="s">
        <v>6663</v>
      </c>
      <c r="E1251" s="0" t="s">
        <v>6636</v>
      </c>
      <c r="F1251" s="0" t="s">
        <v>6323</v>
      </c>
      <c r="G1251" s="0" t="s">
        <v>6324</v>
      </c>
      <c r="H1251" s="0" t="s">
        <v>6325</v>
      </c>
    </row>
    <row r="1252" customFormat="false" ht="12.8" hidden="false" customHeight="false" outlineLevel="0" collapsed="false">
      <c r="A1252" s="9" t="s">
        <v>6664</v>
      </c>
      <c r="B1252" s="10" t="s">
        <v>6665</v>
      </c>
      <c r="C1252" s="10" t="n">
        <v>60000000</v>
      </c>
      <c r="D1252" s="0" t="s">
        <v>6666</v>
      </c>
      <c r="E1252" s="0" t="s">
        <v>6636</v>
      </c>
      <c r="F1252" s="0" t="s">
        <v>6323</v>
      </c>
      <c r="G1252" s="0" t="s">
        <v>6324</v>
      </c>
      <c r="H1252" s="0" t="s">
        <v>6325</v>
      </c>
    </row>
    <row r="1253" customFormat="false" ht="12.8" hidden="false" customHeight="false" outlineLevel="0" collapsed="false">
      <c r="A1253" s="9" t="s">
        <v>6667</v>
      </c>
      <c r="B1253" s="10" t="s">
        <v>6668</v>
      </c>
      <c r="C1253" s="10" t="n">
        <v>38000000</v>
      </c>
      <c r="D1253" s="0" t="s">
        <v>6669</v>
      </c>
      <c r="E1253" s="0" t="s">
        <v>6636</v>
      </c>
      <c r="F1253" s="0" t="s">
        <v>6323</v>
      </c>
      <c r="G1253" s="0" t="s">
        <v>6324</v>
      </c>
      <c r="H1253" s="0" t="s">
        <v>6325</v>
      </c>
    </row>
    <row r="1254" customFormat="false" ht="12.8" hidden="false" customHeight="false" outlineLevel="0" collapsed="false">
      <c r="A1254" s="9" t="s">
        <v>6670</v>
      </c>
      <c r="B1254" s="10" t="s">
        <v>6671</v>
      </c>
      <c r="C1254" s="10" t="n">
        <v>27000000</v>
      </c>
      <c r="D1254" s="0" t="s">
        <v>6672</v>
      </c>
      <c r="E1254" s="0" t="s">
        <v>6636</v>
      </c>
      <c r="F1254" s="0" t="s">
        <v>6323</v>
      </c>
      <c r="G1254" s="0" t="s">
        <v>6324</v>
      </c>
      <c r="H1254" s="0" t="s">
        <v>6325</v>
      </c>
    </row>
    <row r="1255" customFormat="false" ht="12.8" hidden="false" customHeight="false" outlineLevel="0" collapsed="false">
      <c r="A1255" s="9" t="s">
        <v>6673</v>
      </c>
      <c r="B1255" s="10" t="s">
        <v>6674</v>
      </c>
      <c r="C1255" s="10" t="n">
        <v>8000000</v>
      </c>
      <c r="D1255" s="0" t="s">
        <v>6675</v>
      </c>
      <c r="E1255" s="0" t="s">
        <v>6636</v>
      </c>
      <c r="F1255" s="0" t="s">
        <v>6323</v>
      </c>
      <c r="G1255" s="0" t="s">
        <v>6324</v>
      </c>
      <c r="H1255" s="0" t="s">
        <v>6325</v>
      </c>
    </row>
    <row r="1256" customFormat="false" ht="12.8" hidden="false" customHeight="false" outlineLevel="0" collapsed="false">
      <c r="A1256" s="9" t="s">
        <v>6676</v>
      </c>
      <c r="B1256" s="10" t="s">
        <v>6677</v>
      </c>
      <c r="C1256" s="10" t="n">
        <v>110000000</v>
      </c>
      <c r="D1256" s="0" t="s">
        <v>6678</v>
      </c>
      <c r="E1256" s="0" t="s">
        <v>6636</v>
      </c>
      <c r="F1256" s="0" t="s">
        <v>6323</v>
      </c>
      <c r="G1256" s="0" t="s">
        <v>6324</v>
      </c>
      <c r="H1256" s="0" t="s">
        <v>6325</v>
      </c>
    </row>
    <row r="1262" customFormat="false" ht="12.8" hidden="false" customHeight="false" outlineLevel="0" collapsed="false">
      <c r="A1262" s="9" t="s">
        <v>6679</v>
      </c>
      <c r="B1262" s="10" t="s">
        <v>6680</v>
      </c>
      <c r="C1262" s="10" t="n">
        <v>900000</v>
      </c>
      <c r="D1262" s="0" t="s">
        <v>6681</v>
      </c>
      <c r="E1262" s="0" t="s">
        <v>6636</v>
      </c>
      <c r="F1262" s="0" t="s">
        <v>6323</v>
      </c>
      <c r="G1262" s="0" t="s">
        <v>6324</v>
      </c>
      <c r="H1262" s="0" t="s">
        <v>6325</v>
      </c>
    </row>
    <row r="1263" customFormat="false" ht="12.8" hidden="false" customHeight="false" outlineLevel="0" collapsed="false">
      <c r="A1263" s="9" t="s">
        <v>6682</v>
      </c>
      <c r="B1263" s="10" t="s">
        <v>6683</v>
      </c>
      <c r="C1263" s="10" t="n">
        <v>2200000</v>
      </c>
      <c r="D1263" s="0" t="s">
        <v>6684</v>
      </c>
      <c r="E1263" s="0" t="s">
        <v>6636</v>
      </c>
      <c r="F1263" s="0" t="s">
        <v>6323</v>
      </c>
      <c r="G1263" s="0" t="s">
        <v>6324</v>
      </c>
      <c r="H1263" s="0" t="s">
        <v>6325</v>
      </c>
    </row>
    <row r="1264" customFormat="false" ht="12.8" hidden="false" customHeight="false" outlineLevel="0" collapsed="false">
      <c r="A1264" s="9" t="s">
        <v>6685</v>
      </c>
      <c r="B1264" s="10" t="s">
        <v>6686</v>
      </c>
      <c r="C1264" s="10" t="n">
        <v>14000000</v>
      </c>
      <c r="D1264" s="0" t="s">
        <v>6687</v>
      </c>
      <c r="E1264" s="0" t="s">
        <v>6636</v>
      </c>
      <c r="F1264" s="0" t="s">
        <v>6323</v>
      </c>
      <c r="G1264" s="0" t="s">
        <v>6324</v>
      </c>
      <c r="H1264" s="0" t="s">
        <v>6325</v>
      </c>
    </row>
    <row r="1265" customFormat="false" ht="12.8" hidden="false" customHeight="false" outlineLevel="0" collapsed="false">
      <c r="A1265" s="9" t="s">
        <v>6688</v>
      </c>
      <c r="B1265" s="10" t="s">
        <v>6689</v>
      </c>
      <c r="C1265" s="10" t="n">
        <v>2100000</v>
      </c>
      <c r="D1265" s="0" t="s">
        <v>6690</v>
      </c>
      <c r="E1265" s="0" t="s">
        <v>6636</v>
      </c>
      <c r="F1265" s="0" t="s">
        <v>6323</v>
      </c>
      <c r="G1265" s="0" t="s">
        <v>6324</v>
      </c>
      <c r="H1265" s="0" t="s">
        <v>6325</v>
      </c>
    </row>
    <row r="1266" customFormat="false" ht="12.8" hidden="false" customHeight="false" outlineLevel="0" collapsed="false">
      <c r="A1266" s="9" t="s">
        <v>6691</v>
      </c>
      <c r="B1266" s="10" t="s">
        <v>6692</v>
      </c>
      <c r="C1266" s="10" t="n">
        <v>28000000</v>
      </c>
      <c r="D1266" s="0" t="s">
        <v>6693</v>
      </c>
      <c r="E1266" s="0" t="s">
        <v>6636</v>
      </c>
      <c r="F1266" s="0" t="s">
        <v>6323</v>
      </c>
      <c r="G1266" s="0" t="s">
        <v>6324</v>
      </c>
      <c r="H1266" s="0" t="s">
        <v>6325</v>
      </c>
    </row>
    <row r="1267" customFormat="false" ht="12.8" hidden="false" customHeight="false" outlineLevel="0" collapsed="false">
      <c r="A1267" s="9" t="s">
        <v>6694</v>
      </c>
      <c r="B1267" s="10" t="s">
        <v>6695</v>
      </c>
      <c r="C1267" s="10" t="n">
        <v>9500000</v>
      </c>
      <c r="D1267" s="0" t="s">
        <v>6696</v>
      </c>
      <c r="E1267" s="0" t="s">
        <v>6636</v>
      </c>
      <c r="F1267" s="0" t="s">
        <v>6323</v>
      </c>
      <c r="G1267" s="0" t="s">
        <v>6324</v>
      </c>
      <c r="H1267" s="0" t="s">
        <v>6325</v>
      </c>
    </row>
    <row r="1268" customFormat="false" ht="12.8" hidden="false" customHeight="false" outlineLevel="0" collapsed="false">
      <c r="A1268" s="9" t="s">
        <v>6697</v>
      </c>
      <c r="B1268" s="10" t="s">
        <v>6698</v>
      </c>
      <c r="C1268" s="10" t="n">
        <v>19000000</v>
      </c>
      <c r="D1268" s="0" t="s">
        <v>6699</v>
      </c>
      <c r="E1268" s="0" t="s">
        <v>6636</v>
      </c>
      <c r="F1268" s="0" t="s">
        <v>6323</v>
      </c>
      <c r="G1268" s="0" t="s">
        <v>6324</v>
      </c>
      <c r="H1268" s="0" t="s">
        <v>6325</v>
      </c>
    </row>
    <row r="1269" customFormat="false" ht="12.8" hidden="false" customHeight="false" outlineLevel="0" collapsed="false">
      <c r="A1269" s="9" t="s">
        <v>6700</v>
      </c>
      <c r="B1269" s="10" t="s">
        <v>6701</v>
      </c>
      <c r="C1269" s="10" t="n">
        <v>1300000</v>
      </c>
      <c r="D1269" s="0" t="s">
        <v>6702</v>
      </c>
      <c r="E1269" s="0" t="s">
        <v>6636</v>
      </c>
      <c r="F1269" s="0" t="s">
        <v>6323</v>
      </c>
      <c r="G1269" s="0" t="s">
        <v>6324</v>
      </c>
      <c r="H1269" s="0" t="s">
        <v>6325</v>
      </c>
    </row>
    <row r="1270" customFormat="false" ht="12.8" hidden="false" customHeight="false" outlineLevel="0" collapsed="false">
      <c r="A1270" s="9" t="s">
        <v>6703</v>
      </c>
      <c r="B1270" s="10" t="s">
        <v>6704</v>
      </c>
      <c r="C1270" s="10" t="n">
        <v>1100000</v>
      </c>
      <c r="D1270" s="0" t="s">
        <v>6705</v>
      </c>
      <c r="E1270" s="0" t="s">
        <v>6636</v>
      </c>
      <c r="F1270" s="0" t="s">
        <v>6323</v>
      </c>
      <c r="G1270" s="0" t="s">
        <v>6324</v>
      </c>
      <c r="H1270" s="0" t="s">
        <v>6325</v>
      </c>
    </row>
    <row r="1271" customFormat="false" ht="12.8" hidden="false" customHeight="false" outlineLevel="0" collapsed="false">
      <c r="A1271" s="9" t="s">
        <v>6706</v>
      </c>
      <c r="B1271" s="10" t="s">
        <v>6707</v>
      </c>
      <c r="C1271" s="10" t="n">
        <v>42000000</v>
      </c>
      <c r="D1271" s="0" t="s">
        <v>6708</v>
      </c>
      <c r="E1271" s="0" t="s">
        <v>6636</v>
      </c>
      <c r="F1271" s="0" t="s">
        <v>6323</v>
      </c>
      <c r="G1271" s="0" t="s">
        <v>6324</v>
      </c>
      <c r="H1271" s="0" t="s">
        <v>6325</v>
      </c>
    </row>
    <row r="1272" customFormat="false" ht="12.8" hidden="false" customHeight="false" outlineLevel="0" collapsed="false">
      <c r="A1272" s="9" t="s">
        <v>6709</v>
      </c>
      <c r="B1272" s="10" t="s">
        <v>6710</v>
      </c>
      <c r="C1272" s="10" t="n">
        <v>32000000</v>
      </c>
      <c r="D1272" s="0" t="s">
        <v>6711</v>
      </c>
      <c r="E1272" s="0" t="s">
        <v>6636</v>
      </c>
      <c r="F1272" s="0" t="s">
        <v>6323</v>
      </c>
      <c r="G1272" s="0" t="s">
        <v>6324</v>
      </c>
      <c r="H1272" s="0" t="s">
        <v>6325</v>
      </c>
    </row>
    <row r="1273" customFormat="false" ht="12.8" hidden="false" customHeight="false" outlineLevel="0" collapsed="false">
      <c r="A1273" s="9" t="s">
        <v>6712</v>
      </c>
      <c r="B1273" s="10" t="s">
        <v>6713</v>
      </c>
      <c r="C1273" s="10" t="n">
        <v>17000000</v>
      </c>
      <c r="D1273" s="0" t="s">
        <v>6714</v>
      </c>
      <c r="E1273" s="0" t="s">
        <v>6636</v>
      </c>
      <c r="F1273" s="0" t="s">
        <v>6323</v>
      </c>
      <c r="G1273" s="0" t="s">
        <v>6324</v>
      </c>
      <c r="H1273" s="0" t="s">
        <v>6325</v>
      </c>
    </row>
    <row r="1274" customFormat="false" ht="12.8" hidden="false" customHeight="false" outlineLevel="0" collapsed="false">
      <c r="A1274" s="9" t="s">
        <v>6715</v>
      </c>
      <c r="B1274" s="10" t="s">
        <v>6716</v>
      </c>
      <c r="C1274" s="10" t="n">
        <v>14000000</v>
      </c>
      <c r="D1274" s="0" t="s">
        <v>6717</v>
      </c>
      <c r="E1274" s="0" t="s">
        <v>6636</v>
      </c>
      <c r="F1274" s="0" t="s">
        <v>6323</v>
      </c>
      <c r="G1274" s="0" t="s">
        <v>6324</v>
      </c>
      <c r="H1274" s="0" t="s">
        <v>6325</v>
      </c>
    </row>
    <row r="1275" customFormat="false" ht="12.8" hidden="false" customHeight="false" outlineLevel="0" collapsed="false">
      <c r="A1275" s="9" t="s">
        <v>6718</v>
      </c>
      <c r="B1275" s="10" t="s">
        <v>6719</v>
      </c>
      <c r="C1275" s="10" t="n">
        <v>4500000</v>
      </c>
      <c r="D1275" s="0" t="s">
        <v>6720</v>
      </c>
      <c r="E1275" s="0" t="s">
        <v>6636</v>
      </c>
      <c r="F1275" s="0" t="s">
        <v>6323</v>
      </c>
      <c r="G1275" s="0" t="s">
        <v>6324</v>
      </c>
      <c r="H1275" s="0" t="s">
        <v>6325</v>
      </c>
    </row>
    <row r="1276" customFormat="false" ht="12.8" hidden="false" customHeight="false" outlineLevel="0" collapsed="false">
      <c r="A1276" s="9" t="s">
        <v>6721</v>
      </c>
      <c r="B1276" s="10" t="s">
        <v>6722</v>
      </c>
      <c r="C1276" s="10" t="n">
        <v>50000000</v>
      </c>
      <c r="D1276" s="0" t="s">
        <v>6723</v>
      </c>
      <c r="E1276" s="0" t="s">
        <v>6636</v>
      </c>
      <c r="F1276" s="0" t="s">
        <v>6323</v>
      </c>
      <c r="G1276" s="0" t="s">
        <v>6324</v>
      </c>
      <c r="H1276" s="0" t="s">
        <v>6325</v>
      </c>
    </row>
    <row r="1281" customFormat="false" ht="12.8" hidden="false" customHeight="false" outlineLevel="0" collapsed="false">
      <c r="A1281" s="9" t="s">
        <v>6724</v>
      </c>
      <c r="B1281" s="10" t="s">
        <v>6725</v>
      </c>
      <c r="C1281" s="10" t="n">
        <v>1400000</v>
      </c>
      <c r="D1281" s="0" t="s">
        <v>6726</v>
      </c>
      <c r="E1281" s="0" t="s">
        <v>6636</v>
      </c>
      <c r="F1281" s="0" t="s">
        <v>6323</v>
      </c>
      <c r="G1281" s="0" t="s">
        <v>6324</v>
      </c>
      <c r="H1281" s="0" t="s">
        <v>6325</v>
      </c>
    </row>
    <row r="1282" customFormat="false" ht="12.8" hidden="false" customHeight="false" outlineLevel="0" collapsed="false">
      <c r="A1282" s="9" t="s">
        <v>6727</v>
      </c>
      <c r="B1282" s="10" t="s">
        <v>6728</v>
      </c>
      <c r="C1282" s="10" t="n">
        <v>3500000</v>
      </c>
      <c r="D1282" s="0" t="s">
        <v>6729</v>
      </c>
      <c r="E1282" s="0" t="s">
        <v>6636</v>
      </c>
      <c r="F1282" s="0" t="s">
        <v>6323</v>
      </c>
      <c r="G1282" s="0" t="s">
        <v>6324</v>
      </c>
      <c r="H1282" s="0" t="s">
        <v>6325</v>
      </c>
    </row>
    <row r="1283" customFormat="false" ht="12.8" hidden="false" customHeight="false" outlineLevel="0" collapsed="false">
      <c r="A1283" s="9" t="s">
        <v>6730</v>
      </c>
      <c r="B1283" s="10" t="s">
        <v>6731</v>
      </c>
      <c r="C1283" s="10" t="n">
        <v>22000000</v>
      </c>
      <c r="D1283" s="0" t="s">
        <v>6732</v>
      </c>
      <c r="E1283" s="0" t="s">
        <v>6636</v>
      </c>
      <c r="F1283" s="0" t="s">
        <v>6323</v>
      </c>
      <c r="G1283" s="0" t="s">
        <v>6324</v>
      </c>
      <c r="H1283" s="0" t="s">
        <v>6325</v>
      </c>
    </row>
    <row r="1284" customFormat="false" ht="12.8" hidden="false" customHeight="false" outlineLevel="0" collapsed="false">
      <c r="A1284" s="9" t="s">
        <v>6733</v>
      </c>
      <c r="B1284" s="10" t="s">
        <v>6734</v>
      </c>
      <c r="C1284" s="10" t="n">
        <v>3300000</v>
      </c>
      <c r="D1284" s="0" t="s">
        <v>6735</v>
      </c>
      <c r="E1284" s="0" t="s">
        <v>6636</v>
      </c>
      <c r="F1284" s="0" t="s">
        <v>6323</v>
      </c>
      <c r="G1284" s="0" t="s">
        <v>6324</v>
      </c>
      <c r="H1284" s="0" t="s">
        <v>6325</v>
      </c>
    </row>
    <row r="1285" customFormat="false" ht="12.8" hidden="false" customHeight="false" outlineLevel="0" collapsed="false">
      <c r="A1285" s="9" t="s">
        <v>6736</v>
      </c>
      <c r="B1285" s="10" t="s">
        <v>6737</v>
      </c>
      <c r="C1285" s="10" t="n">
        <v>44000000</v>
      </c>
      <c r="D1285" s="0" t="s">
        <v>6738</v>
      </c>
      <c r="E1285" s="0" t="s">
        <v>6636</v>
      </c>
      <c r="F1285" s="0" t="s">
        <v>6323</v>
      </c>
      <c r="G1285" s="0" t="s">
        <v>6324</v>
      </c>
      <c r="H1285" s="0" t="s">
        <v>6325</v>
      </c>
    </row>
    <row r="1286" customFormat="false" ht="12.8" hidden="false" customHeight="false" outlineLevel="0" collapsed="false">
      <c r="A1286" s="9" t="s">
        <v>6739</v>
      </c>
      <c r="B1286" s="10" t="s">
        <v>6740</v>
      </c>
      <c r="C1286" s="10" t="n">
        <v>15000000</v>
      </c>
      <c r="D1286" s="0" t="s">
        <v>6741</v>
      </c>
      <c r="E1286" s="0" t="s">
        <v>6636</v>
      </c>
      <c r="F1286" s="0" t="s">
        <v>6323</v>
      </c>
      <c r="G1286" s="0" t="s">
        <v>6324</v>
      </c>
      <c r="H1286" s="0" t="s">
        <v>6325</v>
      </c>
    </row>
    <row r="1287" customFormat="false" ht="12.8" hidden="false" customHeight="false" outlineLevel="0" collapsed="false">
      <c r="A1287" s="9" t="s">
        <v>6742</v>
      </c>
      <c r="B1287" s="10" t="s">
        <v>6743</v>
      </c>
      <c r="C1287" s="10" t="n">
        <v>30000000</v>
      </c>
      <c r="D1287" s="0" t="s">
        <v>6744</v>
      </c>
      <c r="E1287" s="0" t="s">
        <v>6636</v>
      </c>
      <c r="F1287" s="0" t="s">
        <v>6323</v>
      </c>
      <c r="G1287" s="0" t="s">
        <v>6324</v>
      </c>
      <c r="H1287" s="0" t="s">
        <v>6325</v>
      </c>
    </row>
    <row r="1288" customFormat="false" ht="12.8" hidden="false" customHeight="false" outlineLevel="0" collapsed="false">
      <c r="A1288" s="9" t="s">
        <v>6745</v>
      </c>
      <c r="B1288" s="10" t="s">
        <v>6746</v>
      </c>
      <c r="C1288" s="10" t="n">
        <v>2100000</v>
      </c>
      <c r="D1288" s="0" t="s">
        <v>6747</v>
      </c>
      <c r="E1288" s="0" t="s">
        <v>6636</v>
      </c>
      <c r="F1288" s="0" t="s">
        <v>6323</v>
      </c>
      <c r="G1288" s="0" t="s">
        <v>6324</v>
      </c>
      <c r="H1288" s="0" t="s">
        <v>6325</v>
      </c>
    </row>
    <row r="1289" customFormat="false" ht="12.8" hidden="false" customHeight="false" outlineLevel="0" collapsed="false">
      <c r="A1289" s="9" t="s">
        <v>6748</v>
      </c>
      <c r="B1289" s="10" t="s">
        <v>6749</v>
      </c>
      <c r="C1289" s="10" t="n">
        <v>1800000</v>
      </c>
      <c r="D1289" s="0" t="s">
        <v>6750</v>
      </c>
      <c r="E1289" s="0" t="s">
        <v>6636</v>
      </c>
      <c r="F1289" s="0" t="s">
        <v>6323</v>
      </c>
      <c r="G1289" s="0" t="s">
        <v>6324</v>
      </c>
      <c r="H1289" s="0" t="s">
        <v>6325</v>
      </c>
    </row>
    <row r="1290" customFormat="false" ht="12.8" hidden="false" customHeight="false" outlineLevel="0" collapsed="false">
      <c r="A1290" s="9" t="s">
        <v>6751</v>
      </c>
      <c r="B1290" s="10" t="s">
        <v>6752</v>
      </c>
      <c r="C1290" s="10" t="n">
        <v>66000000</v>
      </c>
      <c r="D1290" s="0" t="s">
        <v>6753</v>
      </c>
      <c r="E1290" s="0" t="s">
        <v>6636</v>
      </c>
      <c r="F1290" s="0" t="s">
        <v>6323</v>
      </c>
      <c r="G1290" s="0" t="s">
        <v>6324</v>
      </c>
      <c r="H1290" s="0" t="s">
        <v>6325</v>
      </c>
    </row>
    <row r="1291" customFormat="false" ht="12.8" hidden="false" customHeight="false" outlineLevel="0" collapsed="false">
      <c r="A1291" s="9" t="s">
        <v>6754</v>
      </c>
      <c r="B1291" s="10" t="s">
        <v>6755</v>
      </c>
      <c r="C1291" s="10" t="n">
        <v>50000000</v>
      </c>
      <c r="D1291" s="0" t="s">
        <v>6756</v>
      </c>
      <c r="E1291" s="0" t="s">
        <v>6636</v>
      </c>
      <c r="F1291" s="0" t="s">
        <v>6323</v>
      </c>
      <c r="G1291" s="0" t="s">
        <v>6324</v>
      </c>
      <c r="H1291" s="0" t="s">
        <v>6325</v>
      </c>
    </row>
    <row r="1292" customFormat="false" ht="12.8" hidden="false" customHeight="false" outlineLevel="0" collapsed="false">
      <c r="A1292" s="9" t="s">
        <v>6757</v>
      </c>
      <c r="B1292" s="10" t="s">
        <v>6758</v>
      </c>
      <c r="C1292" s="10" t="n">
        <v>27000000</v>
      </c>
      <c r="D1292" s="0" t="s">
        <v>6759</v>
      </c>
      <c r="E1292" s="0" t="s">
        <v>6636</v>
      </c>
      <c r="F1292" s="0" t="s">
        <v>6323</v>
      </c>
      <c r="G1292" s="0" t="s">
        <v>6324</v>
      </c>
      <c r="H1292" s="0" t="s">
        <v>6325</v>
      </c>
    </row>
    <row r="1293" customFormat="false" ht="12.8" hidden="false" customHeight="false" outlineLevel="0" collapsed="false">
      <c r="A1293" s="9" t="s">
        <v>6760</v>
      </c>
      <c r="B1293" s="10" t="s">
        <v>6761</v>
      </c>
      <c r="C1293" s="10" t="n">
        <v>22000000</v>
      </c>
      <c r="D1293" s="0" t="s">
        <v>6762</v>
      </c>
      <c r="E1293" s="0" t="s">
        <v>6636</v>
      </c>
      <c r="F1293" s="0" t="s">
        <v>6323</v>
      </c>
      <c r="G1293" s="0" t="s">
        <v>6324</v>
      </c>
      <c r="H1293" s="0" t="s">
        <v>6325</v>
      </c>
    </row>
    <row r="1294" customFormat="false" ht="12.8" hidden="false" customHeight="false" outlineLevel="0" collapsed="false">
      <c r="A1294" s="9" t="s">
        <v>6763</v>
      </c>
      <c r="B1294" s="10" t="s">
        <v>6764</v>
      </c>
      <c r="C1294" s="10" t="n">
        <v>7000000</v>
      </c>
      <c r="D1294" s="0" t="s">
        <v>6765</v>
      </c>
      <c r="E1294" s="0" t="s">
        <v>6636</v>
      </c>
      <c r="F1294" s="0" t="s">
        <v>6323</v>
      </c>
      <c r="G1294" s="0" t="s">
        <v>6324</v>
      </c>
      <c r="H1294" s="0" t="s">
        <v>6325</v>
      </c>
    </row>
    <row r="1295" customFormat="false" ht="12.8" hidden="false" customHeight="false" outlineLevel="0" collapsed="false">
      <c r="A1295" s="9" t="s">
        <v>6766</v>
      </c>
      <c r="B1295" s="10" t="s">
        <v>6767</v>
      </c>
      <c r="C1295" s="10" t="n">
        <v>78000000</v>
      </c>
      <c r="D1295" s="0" t="s">
        <v>6768</v>
      </c>
      <c r="E1295" s="0" t="s">
        <v>6636</v>
      </c>
      <c r="F1295" s="0" t="s">
        <v>6323</v>
      </c>
      <c r="G1295" s="0" t="s">
        <v>6324</v>
      </c>
      <c r="H1295" s="0" t="s">
        <v>6325</v>
      </c>
    </row>
    <row r="1301" customFormat="false" ht="12.8" hidden="false" customHeight="false" outlineLevel="0" collapsed="false">
      <c r="A1301" s="9" t="s">
        <v>6769</v>
      </c>
      <c r="B1301" s="10" t="s">
        <v>6770</v>
      </c>
      <c r="C1301" s="10" t="n">
        <v>1200000</v>
      </c>
      <c r="D1301" s="0" t="s">
        <v>6771</v>
      </c>
      <c r="E1301" s="0" t="s">
        <v>6636</v>
      </c>
      <c r="F1301" s="0" t="s">
        <v>6323</v>
      </c>
      <c r="G1301" s="0" t="s">
        <v>6324</v>
      </c>
      <c r="H1301" s="0" t="s">
        <v>6325</v>
      </c>
    </row>
    <row r="1302" customFormat="false" ht="12.8" hidden="false" customHeight="false" outlineLevel="0" collapsed="false">
      <c r="A1302" s="9" t="s">
        <v>6772</v>
      </c>
      <c r="B1302" s="10" t="s">
        <v>6773</v>
      </c>
      <c r="C1302" s="10" t="n">
        <v>2800000</v>
      </c>
      <c r="D1302" s="0" t="s">
        <v>6774</v>
      </c>
      <c r="E1302" s="0" t="s">
        <v>6636</v>
      </c>
      <c r="F1302" s="0" t="s">
        <v>6323</v>
      </c>
      <c r="G1302" s="0" t="s">
        <v>6324</v>
      </c>
      <c r="H1302" s="0" t="s">
        <v>6325</v>
      </c>
    </row>
    <row r="1303" customFormat="false" ht="12.8" hidden="false" customHeight="false" outlineLevel="0" collapsed="false">
      <c r="A1303" s="9" t="s">
        <v>6775</v>
      </c>
      <c r="B1303" s="10" t="s">
        <v>6776</v>
      </c>
      <c r="C1303" s="10" t="n">
        <v>18000000</v>
      </c>
      <c r="D1303" s="0" t="s">
        <v>6777</v>
      </c>
      <c r="E1303" s="0" t="s">
        <v>6636</v>
      </c>
      <c r="F1303" s="0" t="s">
        <v>6323</v>
      </c>
      <c r="G1303" s="0" t="s">
        <v>6324</v>
      </c>
      <c r="H1303" s="0" t="s">
        <v>6325</v>
      </c>
    </row>
    <row r="1304" customFormat="false" ht="12.8" hidden="false" customHeight="false" outlineLevel="0" collapsed="false">
      <c r="A1304" s="9" t="s">
        <v>6778</v>
      </c>
      <c r="B1304" s="10" t="s">
        <v>6779</v>
      </c>
      <c r="C1304" s="10" t="n">
        <v>4200000</v>
      </c>
      <c r="D1304" s="0" t="s">
        <v>6780</v>
      </c>
      <c r="E1304" s="0" t="s">
        <v>6636</v>
      </c>
      <c r="F1304" s="0" t="s">
        <v>6323</v>
      </c>
      <c r="G1304" s="0" t="s">
        <v>6324</v>
      </c>
      <c r="H1304" s="0" t="s">
        <v>6325</v>
      </c>
    </row>
    <row r="1305" customFormat="false" ht="12.8" hidden="false" customHeight="false" outlineLevel="0" collapsed="false">
      <c r="A1305" s="9" t="s">
        <v>6781</v>
      </c>
      <c r="B1305" s="10" t="s">
        <v>6782</v>
      </c>
      <c r="C1305" s="10" t="n">
        <v>35000000</v>
      </c>
      <c r="D1305" s="0" t="s">
        <v>6783</v>
      </c>
      <c r="E1305" s="0" t="s">
        <v>6636</v>
      </c>
      <c r="F1305" s="0" t="s">
        <v>6323</v>
      </c>
      <c r="G1305" s="0" t="s">
        <v>6324</v>
      </c>
      <c r="H1305" s="0" t="s">
        <v>6325</v>
      </c>
    </row>
    <row r="1307" customFormat="false" ht="12.8" hidden="false" customHeight="false" outlineLevel="0" collapsed="false">
      <c r="A1307" s="9" t="s">
        <v>6784</v>
      </c>
      <c r="B1307" s="10" t="s">
        <v>6785</v>
      </c>
      <c r="C1307" s="10" t="n">
        <v>12000000</v>
      </c>
      <c r="D1307" s="0" t="s">
        <v>6786</v>
      </c>
      <c r="E1307" s="0" t="s">
        <v>6636</v>
      </c>
      <c r="F1307" s="0" t="s">
        <v>6323</v>
      </c>
      <c r="G1307" s="0" t="s">
        <v>6324</v>
      </c>
      <c r="H1307" s="0" t="s">
        <v>6325</v>
      </c>
    </row>
    <row r="1308" customFormat="false" ht="12.8" hidden="false" customHeight="false" outlineLevel="0" collapsed="false">
      <c r="A1308" s="9" t="s">
        <v>6787</v>
      </c>
      <c r="B1308" s="10" t="s">
        <v>6788</v>
      </c>
      <c r="C1308" s="10" t="n">
        <v>24000000</v>
      </c>
      <c r="D1308" s="0" t="s">
        <v>6789</v>
      </c>
      <c r="E1308" s="0" t="s">
        <v>6636</v>
      </c>
      <c r="F1308" s="0" t="s">
        <v>6323</v>
      </c>
      <c r="G1308" s="0" t="s">
        <v>6324</v>
      </c>
      <c r="H1308" s="0" t="s">
        <v>6325</v>
      </c>
    </row>
    <row r="1309" customFormat="false" ht="12.8" hidden="false" customHeight="false" outlineLevel="0" collapsed="false">
      <c r="A1309" s="9" t="s">
        <v>6790</v>
      </c>
      <c r="B1309" s="10" t="s">
        <v>6791</v>
      </c>
      <c r="C1309" s="10" t="n">
        <v>1600000</v>
      </c>
      <c r="D1309" s="0" t="s">
        <v>6792</v>
      </c>
      <c r="E1309" s="0" t="s">
        <v>6636</v>
      </c>
      <c r="F1309" s="0" t="s">
        <v>6323</v>
      </c>
      <c r="G1309" s="0" t="s">
        <v>6324</v>
      </c>
      <c r="H1309" s="0" t="s">
        <v>6325</v>
      </c>
    </row>
    <row r="1310" customFormat="false" ht="12.8" hidden="false" customHeight="false" outlineLevel="0" collapsed="false">
      <c r="A1310" s="9" t="s">
        <v>6793</v>
      </c>
      <c r="B1310" s="10" t="s">
        <v>6794</v>
      </c>
      <c r="C1310" s="10" t="n">
        <v>1400000</v>
      </c>
      <c r="D1310" s="0" t="s">
        <v>6795</v>
      </c>
      <c r="E1310" s="0" t="s">
        <v>6636</v>
      </c>
      <c r="F1310" s="0" t="s">
        <v>6323</v>
      </c>
      <c r="G1310" s="0" t="s">
        <v>6324</v>
      </c>
      <c r="H1310" s="0" t="s">
        <v>6325</v>
      </c>
    </row>
    <row r="1311" customFormat="false" ht="12.8" hidden="false" customHeight="false" outlineLevel="0" collapsed="false">
      <c r="A1311" s="9" t="s">
        <v>6796</v>
      </c>
      <c r="B1311" s="10" t="s">
        <v>6797</v>
      </c>
      <c r="C1311" s="10" t="n">
        <v>52000000</v>
      </c>
      <c r="D1311" s="0" t="s">
        <v>6798</v>
      </c>
      <c r="E1311" s="0" t="s">
        <v>6636</v>
      </c>
      <c r="F1311" s="0" t="s">
        <v>6323</v>
      </c>
      <c r="G1311" s="0" t="s">
        <v>6324</v>
      </c>
      <c r="H1311" s="0" t="s">
        <v>6325</v>
      </c>
    </row>
    <row r="1312" customFormat="false" ht="12.8" hidden="false" customHeight="false" outlineLevel="0" collapsed="false">
      <c r="A1312" s="9" t="s">
        <v>6799</v>
      </c>
      <c r="B1312" s="10" t="s">
        <v>6800</v>
      </c>
      <c r="C1312" s="10" t="n">
        <v>40000000</v>
      </c>
      <c r="D1312" s="0" t="s">
        <v>6801</v>
      </c>
      <c r="E1312" s="0" t="s">
        <v>6636</v>
      </c>
      <c r="F1312" s="0" t="s">
        <v>6323</v>
      </c>
      <c r="G1312" s="0" t="s">
        <v>6324</v>
      </c>
      <c r="H1312" s="0" t="s">
        <v>6325</v>
      </c>
    </row>
    <row r="1313" customFormat="false" ht="12.8" hidden="false" customHeight="false" outlineLevel="0" collapsed="false">
      <c r="A1313" s="9" t="s">
        <v>6802</v>
      </c>
      <c r="B1313" s="10" t="s">
        <v>6803</v>
      </c>
      <c r="C1313" s="10" t="n">
        <v>21000000</v>
      </c>
      <c r="D1313" s="0" t="s">
        <v>6804</v>
      </c>
      <c r="E1313" s="0" t="s">
        <v>6636</v>
      </c>
      <c r="F1313" s="0" t="s">
        <v>6323</v>
      </c>
      <c r="G1313" s="0" t="s">
        <v>6324</v>
      </c>
      <c r="H1313" s="0" t="s">
        <v>6325</v>
      </c>
    </row>
    <row r="1314" customFormat="false" ht="12.8" hidden="false" customHeight="false" outlineLevel="0" collapsed="false">
      <c r="A1314" s="9" t="s">
        <v>6805</v>
      </c>
      <c r="B1314" s="10" t="s">
        <v>6806</v>
      </c>
      <c r="C1314" s="10" t="n">
        <v>18000000</v>
      </c>
      <c r="D1314" s="0" t="s">
        <v>6807</v>
      </c>
      <c r="E1314" s="0" t="s">
        <v>6636</v>
      </c>
      <c r="F1314" s="0" t="s">
        <v>6323</v>
      </c>
      <c r="G1314" s="0" t="s">
        <v>6324</v>
      </c>
      <c r="H1314" s="0" t="s">
        <v>6325</v>
      </c>
    </row>
    <row r="1315" customFormat="false" ht="12.8" hidden="false" customHeight="false" outlineLevel="0" collapsed="false">
      <c r="A1315" s="9" t="s">
        <v>6808</v>
      </c>
      <c r="B1315" s="10" t="s">
        <v>6809</v>
      </c>
      <c r="C1315" s="10" t="n">
        <v>6000000</v>
      </c>
      <c r="D1315" s="0" t="s">
        <v>6810</v>
      </c>
      <c r="E1315" s="0" t="s">
        <v>6636</v>
      </c>
      <c r="F1315" s="0" t="s">
        <v>6323</v>
      </c>
      <c r="G1315" s="0" t="s">
        <v>6324</v>
      </c>
      <c r="H1315" s="0" t="s">
        <v>6325</v>
      </c>
    </row>
    <row r="1316" customFormat="false" ht="12.8" hidden="false" customHeight="false" outlineLevel="0" collapsed="false">
      <c r="A1316" s="9" t="s">
        <v>6811</v>
      </c>
      <c r="B1316" s="10" t="s">
        <v>6812</v>
      </c>
      <c r="C1316" s="10" t="n">
        <v>62000000</v>
      </c>
      <c r="D1316" s="0" t="s">
        <v>6813</v>
      </c>
      <c r="E1316" s="0" t="s">
        <v>6636</v>
      </c>
      <c r="F1316" s="0" t="s">
        <v>6323</v>
      </c>
      <c r="G1316" s="0" t="s">
        <v>6324</v>
      </c>
      <c r="H1316" s="0" t="s">
        <v>6325</v>
      </c>
    </row>
    <row r="1322" customFormat="false" ht="12.8" hidden="false" customHeight="false" outlineLevel="0" collapsed="false">
      <c r="A1322" s="9" t="s">
        <v>6814</v>
      </c>
      <c r="B1322" s="10" t="s">
        <v>6815</v>
      </c>
      <c r="C1322" s="10" t="n">
        <v>30</v>
      </c>
      <c r="D1322" s="0" t="s">
        <v>6816</v>
      </c>
      <c r="E1322" s="0" t="s">
        <v>3150</v>
      </c>
      <c r="F1322" s="0" t="s">
        <v>3151</v>
      </c>
      <c r="G1322" s="0" t="s">
        <v>6817</v>
      </c>
    </row>
    <row r="1323" customFormat="false" ht="12.8" hidden="false" customHeight="false" outlineLevel="0" collapsed="false">
      <c r="A1323" s="9" t="s">
        <v>6818</v>
      </c>
      <c r="B1323" s="10" t="s">
        <v>6819</v>
      </c>
      <c r="C1323" s="10" t="n">
        <v>112.1</v>
      </c>
      <c r="D1323" s="0" t="s">
        <v>6820</v>
      </c>
      <c r="E1323" s="0" t="s">
        <v>3150</v>
      </c>
      <c r="F1323" s="0" t="s">
        <v>3151</v>
      </c>
      <c r="G1323" s="0" t="s">
        <v>3152</v>
      </c>
    </row>
    <row r="1324" customFormat="false" ht="12.8" hidden="false" customHeight="false" outlineLevel="0" collapsed="false">
      <c r="A1324" s="9" t="s">
        <v>6821</v>
      </c>
      <c r="B1324" s="10" t="s">
        <v>6822</v>
      </c>
      <c r="C1324" s="10" t="n">
        <v>217.3</v>
      </c>
      <c r="D1324" s="0" t="s">
        <v>6823</v>
      </c>
      <c r="E1324" s="0" t="s">
        <v>3150</v>
      </c>
      <c r="F1324" s="0" t="s">
        <v>3151</v>
      </c>
      <c r="G1324" s="0" t="s">
        <v>3152</v>
      </c>
    </row>
    <row r="1325" customFormat="false" ht="12.8" hidden="false" customHeight="false" outlineLevel="0" collapsed="false">
      <c r="A1325" s="9" t="s">
        <v>6824</v>
      </c>
      <c r="B1325" s="10" t="s">
        <v>6825</v>
      </c>
      <c r="C1325" s="10" t="n">
        <v>65</v>
      </c>
      <c r="D1325" s="0" t="s">
        <v>6826</v>
      </c>
      <c r="E1325" s="0" t="s">
        <v>6827</v>
      </c>
      <c r="F1325" s="0" t="s">
        <v>3160</v>
      </c>
      <c r="G1325" s="0" t="s">
        <v>3161</v>
      </c>
    </row>
    <row r="1326" customFormat="false" ht="12.8" hidden="false" customHeight="false" outlineLevel="0" collapsed="false">
      <c r="A1326" s="9" t="s">
        <v>6828</v>
      </c>
      <c r="B1326" s="10" t="s">
        <v>6829</v>
      </c>
      <c r="C1326" s="10" t="n">
        <v>287.1</v>
      </c>
      <c r="D1326" s="0" t="s">
        <v>6830</v>
      </c>
      <c r="E1326" s="0" t="s">
        <v>3150</v>
      </c>
      <c r="F1326" s="0" t="s">
        <v>3151</v>
      </c>
      <c r="G1326" s="0" t="s">
        <v>3152</v>
      </c>
    </row>
    <row r="1327" customFormat="false" ht="12.8" hidden="false" customHeight="false" outlineLevel="0" collapsed="false">
      <c r="A1327" s="9" t="s">
        <v>6831</v>
      </c>
      <c r="B1327" s="10" t="s">
        <v>6832</v>
      </c>
      <c r="C1327" s="10" t="n">
        <v>92.1</v>
      </c>
      <c r="D1327" s="0" t="s">
        <v>6833</v>
      </c>
      <c r="E1327" s="0" t="s">
        <v>3150</v>
      </c>
      <c r="F1327" s="0" t="s">
        <v>3151</v>
      </c>
      <c r="G1327" s="0" t="s">
        <v>3152</v>
      </c>
    </row>
    <row r="1328" customFormat="false" ht="12.8" hidden="false" customHeight="false" outlineLevel="0" collapsed="false">
      <c r="A1328" s="9" t="s">
        <v>6834</v>
      </c>
      <c r="B1328" s="10" t="s">
        <v>6835</v>
      </c>
      <c r="C1328" s="10" t="n">
        <v>326.9</v>
      </c>
      <c r="D1328" s="0" t="s">
        <v>6836</v>
      </c>
      <c r="E1328" s="0" t="s">
        <v>3150</v>
      </c>
      <c r="F1328" s="0" t="s">
        <v>3151</v>
      </c>
      <c r="G1328" s="0" t="s">
        <v>3152</v>
      </c>
    </row>
    <row r="1329" customFormat="false" ht="12.8" hidden="false" customHeight="false" outlineLevel="0" collapsed="false">
      <c r="A1329" s="9" t="s">
        <v>6837</v>
      </c>
      <c r="B1329" s="10" t="s">
        <v>6838</v>
      </c>
      <c r="C1329" s="10" t="n">
        <v>56.2</v>
      </c>
      <c r="D1329" s="0" t="s">
        <v>6839</v>
      </c>
      <c r="E1329" s="0" t="s">
        <v>6827</v>
      </c>
      <c r="F1329" s="0" t="s">
        <v>3160</v>
      </c>
      <c r="G1329" s="0" t="s">
        <v>3174</v>
      </c>
    </row>
    <row r="1330" customFormat="false" ht="12.8" hidden="false" customHeight="false" outlineLevel="0" collapsed="false">
      <c r="A1330" s="9" t="s">
        <v>6840</v>
      </c>
      <c r="B1330" s="10" t="s">
        <v>6841</v>
      </c>
      <c r="C1330" s="10" t="n">
        <v>45.9</v>
      </c>
      <c r="D1330" s="0" t="s">
        <v>6842</v>
      </c>
      <c r="E1330" s="0" t="s">
        <v>6827</v>
      </c>
      <c r="F1330" s="0" t="s">
        <v>3160</v>
      </c>
      <c r="G1330" s="0" t="s">
        <v>3178</v>
      </c>
    </row>
    <row r="1331" customFormat="false" ht="12.8" hidden="false" customHeight="false" outlineLevel="0" collapsed="false">
      <c r="A1331" s="9" t="s">
        <v>6843</v>
      </c>
      <c r="B1331" s="10" t="s">
        <v>6844</v>
      </c>
      <c r="C1331" s="10" t="n">
        <v>326.9</v>
      </c>
      <c r="D1331" s="0" t="s">
        <v>6845</v>
      </c>
      <c r="E1331" s="0" t="s">
        <v>3150</v>
      </c>
      <c r="F1331" s="0" t="s">
        <v>3151</v>
      </c>
      <c r="G1331" s="0" t="s">
        <v>3152</v>
      </c>
    </row>
    <row r="1332" customFormat="false" ht="12.8" hidden="false" customHeight="false" outlineLevel="0" collapsed="false">
      <c r="A1332" s="9" t="s">
        <v>6846</v>
      </c>
      <c r="B1332" s="10" t="s">
        <v>6847</v>
      </c>
      <c r="C1332" s="10" t="n">
        <v>204.5</v>
      </c>
      <c r="D1332" s="0" t="s">
        <v>6848</v>
      </c>
      <c r="E1332" s="0" t="s">
        <v>3150</v>
      </c>
      <c r="F1332" s="0" t="s">
        <v>3151</v>
      </c>
      <c r="G1332" s="0" t="s">
        <v>3152</v>
      </c>
    </row>
    <row r="1333" customFormat="false" ht="12.8" hidden="false" customHeight="false" outlineLevel="0" collapsed="false">
      <c r="A1333" s="9" t="s">
        <v>6849</v>
      </c>
      <c r="B1333" s="10" t="s">
        <v>6850</v>
      </c>
      <c r="C1333" s="10" t="n">
        <v>180</v>
      </c>
      <c r="D1333" s="0" t="s">
        <v>6851</v>
      </c>
      <c r="E1333" s="0" t="s">
        <v>6852</v>
      </c>
      <c r="F1333" s="0" t="s">
        <v>3151</v>
      </c>
      <c r="G1333" s="0" t="s">
        <v>3152</v>
      </c>
    </row>
    <row r="1334" customFormat="false" ht="12.8" hidden="false" customHeight="false" outlineLevel="0" collapsed="false">
      <c r="A1334" s="9" t="s">
        <v>6853</v>
      </c>
      <c r="B1334" s="10" t="s">
        <v>6854</v>
      </c>
      <c r="C1334" s="10" t="n">
        <v>120</v>
      </c>
      <c r="D1334" s="0" t="s">
        <v>6855</v>
      </c>
      <c r="E1334" s="0" t="s">
        <v>6852</v>
      </c>
      <c r="F1334" s="0" t="s">
        <v>3151</v>
      </c>
      <c r="G1334" s="0" t="s">
        <v>3152</v>
      </c>
    </row>
    <row r="1335" customFormat="false" ht="12.8" hidden="false" customHeight="false" outlineLevel="0" collapsed="false">
      <c r="A1335" s="9" t="s">
        <v>6856</v>
      </c>
      <c r="B1335" s="10" t="s">
        <v>6857</v>
      </c>
      <c r="C1335" s="10" t="n">
        <v>80</v>
      </c>
      <c r="D1335" s="0" t="s">
        <v>6858</v>
      </c>
      <c r="E1335" s="0" t="s">
        <v>6852</v>
      </c>
      <c r="F1335" s="0" t="s">
        <v>3151</v>
      </c>
      <c r="G1335" s="0" t="s">
        <v>3152</v>
      </c>
    </row>
    <row r="1336" customFormat="false" ht="12.8" hidden="false" customHeight="false" outlineLevel="0" collapsed="false">
      <c r="A1336" s="9" t="s">
        <v>6859</v>
      </c>
      <c r="B1336" s="10" t="s">
        <v>6860</v>
      </c>
      <c r="C1336" s="10" t="n">
        <v>150</v>
      </c>
      <c r="D1336" s="0" t="s">
        <v>6861</v>
      </c>
      <c r="E1336" s="0" t="s">
        <v>6852</v>
      </c>
      <c r="F1336" s="0" t="s">
        <v>3151</v>
      </c>
      <c r="G1336" s="0" t="s">
        <v>3152</v>
      </c>
    </row>
    <row r="1342" customFormat="false" ht="12.8" hidden="false" customHeight="false" outlineLevel="0" collapsed="false">
      <c r="A1342" s="9" t="s">
        <v>6862</v>
      </c>
      <c r="B1342" s="10" t="s">
        <v>6863</v>
      </c>
      <c r="C1342" s="10" t="n">
        <v>1.15</v>
      </c>
      <c r="D1342" s="0" t="s">
        <v>6864</v>
      </c>
      <c r="E1342" s="0" t="s">
        <v>6865</v>
      </c>
      <c r="F1342" s="0" t="s">
        <v>3160</v>
      </c>
      <c r="G1342" s="0" t="s">
        <v>6866</v>
      </c>
    </row>
    <row r="1343" customFormat="false" ht="12.8" hidden="false" customHeight="false" outlineLevel="0" collapsed="false">
      <c r="A1343" s="9" t="s">
        <v>6867</v>
      </c>
      <c r="B1343" s="10" t="s">
        <v>6868</v>
      </c>
      <c r="C1343" s="10" t="n">
        <v>1.08</v>
      </c>
      <c r="D1343" s="0" t="s">
        <v>6869</v>
      </c>
      <c r="E1343" s="0" t="s">
        <v>6865</v>
      </c>
      <c r="F1343" s="0" t="s">
        <v>3160</v>
      </c>
      <c r="G1343" s="0" t="s">
        <v>6866</v>
      </c>
    </row>
    <row r="1344" customFormat="false" ht="12.8" hidden="false" customHeight="false" outlineLevel="0" collapsed="false">
      <c r="A1344" s="9" t="s">
        <v>6870</v>
      </c>
      <c r="B1344" s="10" t="s">
        <v>6871</v>
      </c>
      <c r="C1344" s="10" t="n">
        <v>1.05</v>
      </c>
      <c r="D1344" s="0" t="s">
        <v>6872</v>
      </c>
      <c r="E1344" s="0" t="s">
        <v>6865</v>
      </c>
      <c r="F1344" s="0" t="s">
        <v>3160</v>
      </c>
      <c r="G1344" s="0" t="s">
        <v>6866</v>
      </c>
    </row>
    <row r="1345" customFormat="false" ht="12.8" hidden="false" customHeight="false" outlineLevel="0" collapsed="false">
      <c r="A1345" s="9" t="s">
        <v>6873</v>
      </c>
      <c r="B1345" s="10" t="s">
        <v>6874</v>
      </c>
      <c r="C1345" s="10" t="n">
        <v>1.12</v>
      </c>
      <c r="D1345" s="0" t="s">
        <v>6875</v>
      </c>
      <c r="E1345" s="0" t="s">
        <v>6865</v>
      </c>
      <c r="F1345" s="0" t="s">
        <v>3160</v>
      </c>
      <c r="G1345" s="0" t="s">
        <v>6866</v>
      </c>
    </row>
    <row r="1346" customFormat="false" ht="12.8" hidden="false" customHeight="false" outlineLevel="0" collapsed="false">
      <c r="A1346" s="9" t="s">
        <v>6876</v>
      </c>
      <c r="B1346" s="10" t="s">
        <v>6877</v>
      </c>
      <c r="C1346" s="10" t="n">
        <v>1.03</v>
      </c>
      <c r="D1346" s="0" t="s">
        <v>6878</v>
      </c>
      <c r="E1346" s="0" t="s">
        <v>6865</v>
      </c>
      <c r="F1346" s="0" t="s">
        <v>3160</v>
      </c>
      <c r="G1346" s="0" t="s">
        <v>6866</v>
      </c>
    </row>
    <row r="1347" customFormat="false" ht="12.8" hidden="false" customHeight="false" outlineLevel="0" collapsed="false">
      <c r="A1347" s="9" t="s">
        <v>6879</v>
      </c>
      <c r="B1347" s="10" t="s">
        <v>6880</v>
      </c>
      <c r="C1347" s="10" t="n">
        <v>1.06</v>
      </c>
      <c r="D1347" s="0" t="s">
        <v>6881</v>
      </c>
      <c r="E1347" s="0" t="s">
        <v>6865</v>
      </c>
      <c r="F1347" s="0" t="s">
        <v>3160</v>
      </c>
      <c r="G1347" s="0" t="s">
        <v>6866</v>
      </c>
    </row>
    <row r="1348" customFormat="false" ht="12.8" hidden="false" customHeight="false" outlineLevel="0" collapsed="false">
      <c r="A1348" s="9" t="s">
        <v>6882</v>
      </c>
      <c r="B1348" s="10" t="s">
        <v>6883</v>
      </c>
      <c r="C1348" s="10" t="n">
        <v>1.04</v>
      </c>
      <c r="D1348" s="0" t="s">
        <v>6884</v>
      </c>
      <c r="E1348" s="0" t="s">
        <v>6865</v>
      </c>
      <c r="F1348" s="0" t="s">
        <v>3160</v>
      </c>
      <c r="G1348" s="0" t="s">
        <v>6866</v>
      </c>
    </row>
    <row r="1349" customFormat="false" ht="12.8" hidden="false" customHeight="false" outlineLevel="0" collapsed="false">
      <c r="A1349" s="9" t="s">
        <v>6885</v>
      </c>
      <c r="B1349" s="10" t="s">
        <v>6886</v>
      </c>
      <c r="C1349" s="10" t="n">
        <v>1.18</v>
      </c>
      <c r="D1349" s="0" t="s">
        <v>6887</v>
      </c>
      <c r="E1349" s="0" t="s">
        <v>6865</v>
      </c>
      <c r="F1349" s="0" t="s">
        <v>3160</v>
      </c>
      <c r="G1349" s="0" t="s">
        <v>6866</v>
      </c>
    </row>
    <row r="1350" customFormat="false" ht="12.8" hidden="false" customHeight="false" outlineLevel="0" collapsed="false">
      <c r="A1350" s="9" t="s">
        <v>6888</v>
      </c>
      <c r="B1350" s="10" t="s">
        <v>6889</v>
      </c>
      <c r="C1350" s="10" t="n">
        <v>1.1</v>
      </c>
      <c r="D1350" s="0" t="s">
        <v>6890</v>
      </c>
      <c r="E1350" s="0" t="s">
        <v>6865</v>
      </c>
      <c r="F1350" s="0" t="s">
        <v>3160</v>
      </c>
      <c r="G1350" s="0" t="s">
        <v>6866</v>
      </c>
    </row>
    <row r="1351" customFormat="false" ht="12.8" hidden="false" customHeight="false" outlineLevel="0" collapsed="false">
      <c r="A1351" s="9" t="s">
        <v>6891</v>
      </c>
      <c r="B1351" s="10" t="s">
        <v>6892</v>
      </c>
      <c r="C1351" s="10" t="n">
        <v>1.02</v>
      </c>
      <c r="D1351" s="0" t="s">
        <v>6893</v>
      </c>
      <c r="E1351" s="0" t="s">
        <v>6865</v>
      </c>
      <c r="F1351" s="0" t="s">
        <v>3160</v>
      </c>
      <c r="G1351" s="0" t="s">
        <v>6866</v>
      </c>
    </row>
    <row r="1353" customFormat="false" ht="12.8" hidden="false" customHeight="false" outlineLevel="0" collapsed="false">
      <c r="A1353" s="9" t="s">
        <v>6894</v>
      </c>
      <c r="B1353" s="10" t="s">
        <v>6892</v>
      </c>
      <c r="C1353" s="10" t="n">
        <v>1.02</v>
      </c>
      <c r="D1353" s="0" t="s">
        <v>6893</v>
      </c>
      <c r="E1353" s="0" t="s">
        <v>6865</v>
      </c>
      <c r="F1353" s="0" t="s">
        <v>3160</v>
      </c>
      <c r="G1353" s="0" t="s">
        <v>6866</v>
      </c>
    </row>
    <row r="1354" customFormat="false" ht="12.8" hidden="false" customHeight="false" outlineLevel="0" collapsed="false">
      <c r="A1354" s="9" t="s">
        <v>6895</v>
      </c>
      <c r="B1354" s="10" t="s">
        <v>6896</v>
      </c>
      <c r="C1354" s="10" t="n">
        <v>1.01</v>
      </c>
      <c r="D1354" s="0" t="s">
        <v>6897</v>
      </c>
      <c r="E1354" s="0" t="s">
        <v>6865</v>
      </c>
      <c r="F1354" s="0" t="s">
        <v>3160</v>
      </c>
      <c r="G1354" s="0" t="s">
        <v>6866</v>
      </c>
    </row>
    <row r="1355" customFormat="false" ht="12.8" hidden="false" customHeight="false" outlineLevel="0" collapsed="false">
      <c r="A1355" s="9" t="s">
        <v>6898</v>
      </c>
      <c r="B1355" s="10" t="s">
        <v>6899</v>
      </c>
      <c r="C1355" s="10" t="n">
        <v>1</v>
      </c>
      <c r="D1355" s="0" t="s">
        <v>6900</v>
      </c>
      <c r="E1355" s="0" t="s">
        <v>6865</v>
      </c>
      <c r="F1355" s="0" t="s">
        <v>3160</v>
      </c>
      <c r="G1355" s="0" t="s">
        <v>6866</v>
      </c>
    </row>
    <row r="1356" customFormat="false" ht="12.8" hidden="false" customHeight="false" outlineLevel="0" collapsed="false">
      <c r="A1356" s="9" t="s">
        <v>6901</v>
      </c>
      <c r="B1356" s="10" t="s">
        <v>6902</v>
      </c>
      <c r="C1356" s="10" t="n">
        <v>1.01</v>
      </c>
      <c r="D1356" s="0" t="s">
        <v>6903</v>
      </c>
      <c r="E1356" s="0" t="s">
        <v>6865</v>
      </c>
      <c r="F1356" s="0" t="s">
        <v>3160</v>
      </c>
      <c r="G1356" s="0" t="s">
        <v>6866</v>
      </c>
    </row>
    <row r="1357" customFormat="false" ht="12.8" hidden="false" customHeight="false" outlineLevel="0" collapsed="false">
      <c r="A1357" s="9" t="s">
        <v>6904</v>
      </c>
      <c r="B1357" s="10" t="s">
        <v>6905</v>
      </c>
      <c r="C1357" s="10" t="n">
        <v>1.03</v>
      </c>
      <c r="D1357" s="0" t="s">
        <v>6906</v>
      </c>
      <c r="E1357" s="0" t="s">
        <v>6865</v>
      </c>
      <c r="F1357" s="0" t="s">
        <v>3160</v>
      </c>
      <c r="G1357" s="0" t="s">
        <v>6866</v>
      </c>
    </row>
    <row r="1358" customFormat="false" ht="12.8" hidden="false" customHeight="false" outlineLevel="0" collapsed="false">
      <c r="A1358" s="9" t="s">
        <v>6907</v>
      </c>
      <c r="B1358" s="10" t="s">
        <v>6908</v>
      </c>
      <c r="C1358" s="10" t="n">
        <v>1</v>
      </c>
      <c r="D1358" s="0" t="s">
        <v>6909</v>
      </c>
      <c r="E1358" s="0" t="s">
        <v>6865</v>
      </c>
      <c r="F1358" s="0" t="s">
        <v>3160</v>
      </c>
      <c r="G1358" s="0" t="s">
        <v>6866</v>
      </c>
    </row>
    <row r="1364" customFormat="false" ht="12.8" hidden="false" customHeight="false" outlineLevel="0" collapsed="false">
      <c r="A1364" s="9" t="s">
        <v>6910</v>
      </c>
      <c r="B1364" s="10" t="s">
        <v>4231</v>
      </c>
      <c r="C1364" s="10" t="n">
        <v>0.67</v>
      </c>
      <c r="D1364" s="0" t="s">
        <v>4232</v>
      </c>
      <c r="E1364" s="0" t="s">
        <v>4248</v>
      </c>
      <c r="F1364" s="0" t="s">
        <v>3160</v>
      </c>
      <c r="G1364" s="0" t="s">
        <v>4205</v>
      </c>
    </row>
    <row r="1365" customFormat="false" ht="12.8" hidden="false" customHeight="false" outlineLevel="0" collapsed="false">
      <c r="A1365" s="9" t="s">
        <v>6911</v>
      </c>
      <c r="B1365" s="10" t="s">
        <v>4234</v>
      </c>
      <c r="C1365" s="10" t="n">
        <v>0.6</v>
      </c>
      <c r="D1365" s="0" t="s">
        <v>4235</v>
      </c>
      <c r="E1365" s="0" t="s">
        <v>4248</v>
      </c>
      <c r="F1365" s="0" t="s">
        <v>3160</v>
      </c>
      <c r="G1365" s="0" t="s">
        <v>4205</v>
      </c>
    </row>
    <row r="1366" customFormat="false" ht="12.8" hidden="false" customHeight="false" outlineLevel="0" collapsed="false">
      <c r="A1366" s="9" t="s">
        <v>6912</v>
      </c>
      <c r="B1366" s="10" t="s">
        <v>4237</v>
      </c>
      <c r="C1366" s="10" t="n">
        <v>0.75</v>
      </c>
      <c r="D1366" s="0" t="s">
        <v>4238</v>
      </c>
      <c r="E1366" s="0" t="s">
        <v>4248</v>
      </c>
      <c r="F1366" s="0" t="s">
        <v>3160</v>
      </c>
      <c r="G1366" s="0" t="s">
        <v>4205</v>
      </c>
    </row>
    <row r="1367" customFormat="false" ht="12.8" hidden="false" customHeight="false" outlineLevel="0" collapsed="false">
      <c r="A1367" s="9" t="s">
        <v>6913</v>
      </c>
      <c r="B1367" s="10" t="s">
        <v>4240</v>
      </c>
      <c r="C1367" s="10" t="n">
        <v>0.6</v>
      </c>
      <c r="D1367" s="0" t="s">
        <v>4241</v>
      </c>
      <c r="E1367" s="0" t="s">
        <v>4248</v>
      </c>
      <c r="F1367" s="0" t="s">
        <v>3160</v>
      </c>
      <c r="G1367" s="0" t="s">
        <v>4205</v>
      </c>
    </row>
    <row r="1368" customFormat="false" ht="12.8" hidden="false" customHeight="false" outlineLevel="0" collapsed="false">
      <c r="A1368" s="9" t="s">
        <v>6914</v>
      </c>
      <c r="B1368" s="10" t="s">
        <v>4243</v>
      </c>
      <c r="C1368" s="10" t="n">
        <v>0.67</v>
      </c>
      <c r="D1368" s="0" t="s">
        <v>4244</v>
      </c>
      <c r="E1368" s="0" t="s">
        <v>4248</v>
      </c>
      <c r="F1368" s="0" t="s">
        <v>3160</v>
      </c>
      <c r="G1368" s="0" t="s">
        <v>4205</v>
      </c>
    </row>
    <row r="1369" customFormat="false" ht="12.8" hidden="false" customHeight="false" outlineLevel="0" collapsed="false">
      <c r="A1369" s="9" t="s">
        <v>6915</v>
      </c>
      <c r="B1369" s="10" t="s">
        <v>4246</v>
      </c>
      <c r="C1369" s="10" t="n">
        <v>0.75</v>
      </c>
      <c r="D1369" s="0" t="s">
        <v>4247</v>
      </c>
      <c r="E1369" s="0" t="s">
        <v>4248</v>
      </c>
      <c r="F1369" s="0" t="s">
        <v>3160</v>
      </c>
      <c r="G1369" s="0" t="s">
        <v>4205</v>
      </c>
    </row>
    <row r="1375" customFormat="false" ht="12.8" hidden="false" customHeight="false" outlineLevel="0" collapsed="false">
      <c r="A1375" s="9" t="s">
        <v>6916</v>
      </c>
      <c r="B1375" s="10" t="s">
        <v>3572</v>
      </c>
      <c r="C1375" s="10" t="n">
        <v>0.88</v>
      </c>
      <c r="D1375" s="0" t="s">
        <v>4271</v>
      </c>
      <c r="E1375" s="0" t="s">
        <v>4252</v>
      </c>
      <c r="F1375" s="0" t="s">
        <v>3160</v>
      </c>
      <c r="G1375" s="0" t="s">
        <v>4253</v>
      </c>
    </row>
    <row r="1376" customFormat="false" ht="12.8" hidden="false" customHeight="false" outlineLevel="0" collapsed="false">
      <c r="A1376" s="9" t="s">
        <v>6917</v>
      </c>
      <c r="B1376" s="10" t="s">
        <v>3581</v>
      </c>
      <c r="C1376" s="10" t="n">
        <v>0.9</v>
      </c>
      <c r="D1376" s="0" t="s">
        <v>4273</v>
      </c>
      <c r="E1376" s="0" t="s">
        <v>4252</v>
      </c>
      <c r="F1376" s="0" t="s">
        <v>3160</v>
      </c>
      <c r="G1376" s="0" t="s">
        <v>4253</v>
      </c>
    </row>
    <row r="1377" customFormat="false" ht="12.8" hidden="false" customHeight="false" outlineLevel="0" collapsed="false">
      <c r="A1377" s="9" t="s">
        <v>6918</v>
      </c>
      <c r="B1377" s="10" t="s">
        <v>3590</v>
      </c>
      <c r="C1377" s="10" t="n">
        <v>0.92</v>
      </c>
      <c r="D1377" s="0" t="s">
        <v>4275</v>
      </c>
      <c r="E1377" s="0" t="s">
        <v>4252</v>
      </c>
      <c r="F1377" s="0" t="s">
        <v>3160</v>
      </c>
      <c r="G1377" s="0" t="s">
        <v>4253</v>
      </c>
    </row>
    <row r="1378" customFormat="false" ht="12.8" hidden="false" customHeight="false" outlineLevel="0" collapsed="false">
      <c r="A1378" s="9" t="s">
        <v>6919</v>
      </c>
      <c r="B1378" s="10" t="s">
        <v>3599</v>
      </c>
      <c r="C1378" s="10" t="n">
        <v>0.9</v>
      </c>
      <c r="D1378" s="0" t="s">
        <v>4277</v>
      </c>
      <c r="E1378" s="0" t="s">
        <v>4252</v>
      </c>
      <c r="F1378" s="0" t="s">
        <v>3160</v>
      </c>
      <c r="G1378" s="0" t="s">
        <v>4253</v>
      </c>
    </row>
    <row r="1379" customFormat="false" ht="12.8" hidden="false" customHeight="false" outlineLevel="0" collapsed="false">
      <c r="A1379" s="9" t="s">
        <v>6920</v>
      </c>
      <c r="B1379" s="10" t="s">
        <v>4279</v>
      </c>
      <c r="C1379" s="10" t="n">
        <v>0.85</v>
      </c>
      <c r="D1379" s="0" t="s">
        <v>4280</v>
      </c>
      <c r="E1379" s="0" t="s">
        <v>4252</v>
      </c>
      <c r="F1379" s="0" t="s">
        <v>3160</v>
      </c>
      <c r="G1379" s="0" t="s">
        <v>4253</v>
      </c>
    </row>
    <row r="1380" customFormat="false" ht="12.8" hidden="false" customHeight="false" outlineLevel="0" collapsed="false">
      <c r="A1380" s="9" t="s">
        <v>6921</v>
      </c>
      <c r="B1380" s="10" t="s">
        <v>3717</v>
      </c>
      <c r="C1380" s="10" t="n">
        <v>0.95</v>
      </c>
      <c r="D1380" s="0" t="s">
        <v>4282</v>
      </c>
      <c r="E1380" s="0" t="s">
        <v>4252</v>
      </c>
      <c r="F1380" s="0" t="s">
        <v>3160</v>
      </c>
      <c r="G1380" s="0" t="s">
        <v>4253</v>
      </c>
    </row>
    <row r="1381" customFormat="false" ht="12.8" hidden="false" customHeight="false" outlineLevel="0" collapsed="false">
      <c r="A1381" s="9" t="s">
        <v>6922</v>
      </c>
      <c r="B1381" s="10" t="s">
        <v>3575</v>
      </c>
      <c r="C1381" s="10" t="n">
        <v>0.06</v>
      </c>
      <c r="D1381" s="0" t="s">
        <v>4304</v>
      </c>
      <c r="E1381" s="0" t="s">
        <v>4285</v>
      </c>
      <c r="F1381" s="0" t="s">
        <v>3160</v>
      </c>
      <c r="G1381" s="0" t="s">
        <v>4286</v>
      </c>
    </row>
    <row r="1382" customFormat="false" ht="12.8" hidden="false" customHeight="false" outlineLevel="0" collapsed="false">
      <c r="A1382" s="9" t="s">
        <v>6923</v>
      </c>
      <c r="B1382" s="10" t="s">
        <v>3584</v>
      </c>
      <c r="C1382" s="10" t="n">
        <v>0.05</v>
      </c>
      <c r="D1382" s="0" t="s">
        <v>4306</v>
      </c>
      <c r="E1382" s="0" t="s">
        <v>4285</v>
      </c>
      <c r="F1382" s="0" t="s">
        <v>3160</v>
      </c>
      <c r="G1382" s="0" t="s">
        <v>4286</v>
      </c>
    </row>
    <row r="1383" customFormat="false" ht="12.8" hidden="false" customHeight="false" outlineLevel="0" collapsed="false">
      <c r="A1383" s="9" t="s">
        <v>6924</v>
      </c>
      <c r="B1383" s="10" t="s">
        <v>3593</v>
      </c>
      <c r="C1383" s="10" t="n">
        <v>0.04</v>
      </c>
      <c r="D1383" s="0" t="s">
        <v>4308</v>
      </c>
      <c r="E1383" s="0" t="s">
        <v>4285</v>
      </c>
      <c r="F1383" s="0" t="s">
        <v>3160</v>
      </c>
      <c r="G1383" s="0" t="s">
        <v>4286</v>
      </c>
    </row>
    <row r="1384" customFormat="false" ht="12.8" hidden="false" customHeight="false" outlineLevel="0" collapsed="false">
      <c r="A1384" s="9" t="s">
        <v>6925</v>
      </c>
      <c r="B1384" s="10" t="s">
        <v>3602</v>
      </c>
      <c r="C1384" s="10" t="n">
        <v>0.05</v>
      </c>
      <c r="D1384" s="0" t="s">
        <v>4310</v>
      </c>
      <c r="E1384" s="0" t="s">
        <v>4285</v>
      </c>
      <c r="F1384" s="0" t="s">
        <v>3160</v>
      </c>
      <c r="G1384" s="0" t="s">
        <v>4286</v>
      </c>
    </row>
    <row r="1385" customFormat="false" ht="12.8" hidden="false" customHeight="false" outlineLevel="0" collapsed="false">
      <c r="A1385" s="9" t="s">
        <v>6926</v>
      </c>
      <c r="B1385" s="10" t="s">
        <v>4312</v>
      </c>
      <c r="C1385" s="10" t="n">
        <v>0.075</v>
      </c>
      <c r="D1385" s="0" t="s">
        <v>4313</v>
      </c>
      <c r="E1385" s="0" t="s">
        <v>4285</v>
      </c>
      <c r="F1385" s="0" t="s">
        <v>3160</v>
      </c>
      <c r="G1385" s="0" t="s">
        <v>4286</v>
      </c>
    </row>
    <row r="1386" customFormat="false" ht="12.8" hidden="false" customHeight="false" outlineLevel="0" collapsed="false">
      <c r="A1386" s="9" t="s">
        <v>6927</v>
      </c>
      <c r="B1386" s="10" t="s">
        <v>3720</v>
      </c>
      <c r="C1386" s="10" t="n">
        <v>0.025</v>
      </c>
      <c r="D1386" s="0" t="s">
        <v>4315</v>
      </c>
      <c r="E1386" s="0" t="s">
        <v>4285</v>
      </c>
      <c r="F1386" s="0" t="s">
        <v>3160</v>
      </c>
      <c r="G1386" s="0" t="s">
        <v>4286</v>
      </c>
    </row>
    <row r="1387" customFormat="false" ht="12.8" hidden="false" customHeight="false" outlineLevel="0" collapsed="false">
      <c r="A1387" s="9" t="s">
        <v>6928</v>
      </c>
      <c r="B1387" s="10" t="s">
        <v>4346</v>
      </c>
      <c r="C1387" s="10" t="n">
        <v>29</v>
      </c>
      <c r="D1387" s="0" t="s">
        <v>4347</v>
      </c>
      <c r="E1387" s="0" t="s">
        <v>4319</v>
      </c>
      <c r="F1387" s="0" t="s">
        <v>3160</v>
      </c>
      <c r="G1387" s="0" t="s">
        <v>4320</v>
      </c>
    </row>
    <row r="1388" customFormat="false" ht="12.8" hidden="false" customHeight="false" outlineLevel="0" collapsed="false">
      <c r="A1388" s="9" t="s">
        <v>6929</v>
      </c>
      <c r="B1388" s="10" t="s">
        <v>4349</v>
      </c>
      <c r="C1388" s="10" t="n">
        <v>15</v>
      </c>
      <c r="D1388" s="0" t="s">
        <v>4350</v>
      </c>
      <c r="E1388" s="0" t="s">
        <v>4319</v>
      </c>
      <c r="F1388" s="0" t="s">
        <v>3160</v>
      </c>
      <c r="G1388" s="0" t="s">
        <v>4320</v>
      </c>
    </row>
    <row r="1389" customFormat="false" ht="12.8" hidden="false" customHeight="false" outlineLevel="0" collapsed="false">
      <c r="A1389" s="9" t="s">
        <v>6930</v>
      </c>
      <c r="B1389" s="10" t="s">
        <v>4352</v>
      </c>
      <c r="C1389" s="10" t="n">
        <v>11</v>
      </c>
      <c r="D1389" s="0" t="s">
        <v>4353</v>
      </c>
      <c r="E1389" s="0" t="s">
        <v>4319</v>
      </c>
      <c r="F1389" s="0" t="s">
        <v>3160</v>
      </c>
      <c r="G1389" s="0" t="s">
        <v>4320</v>
      </c>
    </row>
    <row r="1390" customFormat="false" ht="12.8" hidden="false" customHeight="false" outlineLevel="0" collapsed="false">
      <c r="A1390" s="9" t="s">
        <v>6931</v>
      </c>
      <c r="B1390" s="10" t="s">
        <v>4355</v>
      </c>
      <c r="C1390" s="10" t="n">
        <v>9</v>
      </c>
      <c r="D1390" s="0" t="s">
        <v>4356</v>
      </c>
      <c r="E1390" s="0" t="s">
        <v>4319</v>
      </c>
      <c r="F1390" s="0" t="s">
        <v>3160</v>
      </c>
      <c r="G1390" s="0" t="s">
        <v>4320</v>
      </c>
    </row>
    <row r="1391" customFormat="false" ht="12.8" hidden="false" customHeight="false" outlineLevel="0" collapsed="false">
      <c r="A1391" s="9" t="s">
        <v>6932</v>
      </c>
      <c r="B1391" s="10" t="s">
        <v>4358</v>
      </c>
      <c r="C1391" s="10" t="n">
        <v>6</v>
      </c>
      <c r="D1391" s="0" t="s">
        <v>4359</v>
      </c>
      <c r="E1391" s="0" t="s">
        <v>4319</v>
      </c>
      <c r="F1391" s="0" t="s">
        <v>3160</v>
      </c>
      <c r="G1391" s="0" t="s">
        <v>4320</v>
      </c>
    </row>
    <row r="1392" customFormat="false" ht="12.8" hidden="false" customHeight="false" outlineLevel="0" collapsed="false">
      <c r="A1392" s="9" t="s">
        <v>6933</v>
      </c>
      <c r="B1392" s="10" t="s">
        <v>4361</v>
      </c>
      <c r="C1392" s="10" t="n">
        <v>3</v>
      </c>
      <c r="D1392" s="0" t="s">
        <v>4362</v>
      </c>
      <c r="E1392" s="0" t="s">
        <v>4319</v>
      </c>
      <c r="F1392" s="0" t="s">
        <v>3160</v>
      </c>
      <c r="G1392" s="0" t="s">
        <v>4320</v>
      </c>
    </row>
    <row r="1394" customFormat="false" ht="12.8" hidden="false" customHeight="false" outlineLevel="0" collapsed="false">
      <c r="A1394" s="9" t="s">
        <v>6934</v>
      </c>
      <c r="B1394" s="10" t="s">
        <v>4231</v>
      </c>
      <c r="C1394" s="10" t="n">
        <v>0.67</v>
      </c>
      <c r="D1394" s="0" t="s">
        <v>4232</v>
      </c>
      <c r="E1394" s="0" t="s">
        <v>4248</v>
      </c>
      <c r="F1394" s="0" t="s">
        <v>3160</v>
      </c>
      <c r="G1394" s="0" t="s">
        <v>4205</v>
      </c>
    </row>
    <row r="1395" customFormat="false" ht="12.8" hidden="false" customHeight="false" outlineLevel="0" collapsed="false">
      <c r="A1395" s="9" t="s">
        <v>6935</v>
      </c>
      <c r="B1395" s="10" t="s">
        <v>4234</v>
      </c>
      <c r="C1395" s="10" t="n">
        <v>0.6</v>
      </c>
      <c r="D1395" s="0" t="s">
        <v>4235</v>
      </c>
      <c r="E1395" s="0" t="s">
        <v>4248</v>
      </c>
      <c r="F1395" s="0" t="s">
        <v>3160</v>
      </c>
      <c r="G1395" s="0" t="s">
        <v>4205</v>
      </c>
    </row>
    <row r="1396" customFormat="false" ht="12.8" hidden="false" customHeight="false" outlineLevel="0" collapsed="false">
      <c r="A1396" s="9" t="s">
        <v>6936</v>
      </c>
      <c r="B1396" s="10" t="s">
        <v>4237</v>
      </c>
      <c r="C1396" s="10" t="n">
        <v>0.75</v>
      </c>
      <c r="D1396" s="0" t="s">
        <v>4238</v>
      </c>
      <c r="E1396" s="0" t="s">
        <v>4248</v>
      </c>
      <c r="F1396" s="0" t="s">
        <v>3160</v>
      </c>
      <c r="G1396" s="0" t="s">
        <v>4205</v>
      </c>
    </row>
    <row r="1397" customFormat="false" ht="12.8" hidden="false" customHeight="false" outlineLevel="0" collapsed="false">
      <c r="A1397" s="9" t="s">
        <v>6937</v>
      </c>
      <c r="B1397" s="10" t="s">
        <v>4240</v>
      </c>
      <c r="C1397" s="10" t="n">
        <v>0.6</v>
      </c>
      <c r="D1397" s="0" t="s">
        <v>4241</v>
      </c>
      <c r="E1397" s="0" t="s">
        <v>4248</v>
      </c>
      <c r="F1397" s="0" t="s">
        <v>3160</v>
      </c>
      <c r="G1397" s="0" t="s">
        <v>4205</v>
      </c>
    </row>
    <row r="1398" customFormat="false" ht="12.8" hidden="false" customHeight="false" outlineLevel="0" collapsed="false">
      <c r="A1398" s="9" t="s">
        <v>6938</v>
      </c>
      <c r="B1398" s="10" t="s">
        <v>4243</v>
      </c>
      <c r="C1398" s="10" t="n">
        <v>0.67</v>
      </c>
      <c r="D1398" s="0" t="s">
        <v>4244</v>
      </c>
      <c r="E1398" s="0" t="s">
        <v>4248</v>
      </c>
      <c r="F1398" s="0" t="s">
        <v>3160</v>
      </c>
      <c r="G1398" s="0" t="s">
        <v>4205</v>
      </c>
    </row>
    <row r="1399" customFormat="false" ht="12.8" hidden="false" customHeight="false" outlineLevel="0" collapsed="false">
      <c r="A1399" s="9" t="s">
        <v>6939</v>
      </c>
      <c r="B1399" s="10" t="s">
        <v>4246</v>
      </c>
      <c r="C1399" s="10" t="n">
        <v>0.75</v>
      </c>
      <c r="D1399" s="0" t="s">
        <v>4247</v>
      </c>
      <c r="E1399" s="0" t="s">
        <v>4248</v>
      </c>
      <c r="F1399" s="0" t="s">
        <v>3160</v>
      </c>
      <c r="G1399" s="0" t="s">
        <v>4205</v>
      </c>
    </row>
    <row r="1405" customFormat="false" ht="12.8" hidden="false" customHeight="false" outlineLevel="0" collapsed="false">
      <c r="A1405" s="9" t="s">
        <v>6940</v>
      </c>
      <c r="B1405" s="10" t="s">
        <v>4147</v>
      </c>
      <c r="C1405" s="10" t="n">
        <v>35</v>
      </c>
      <c r="D1405" s="0" t="s">
        <v>4148</v>
      </c>
      <c r="E1405" s="0" t="s">
        <v>4062</v>
      </c>
      <c r="F1405" s="0" t="s">
        <v>3151</v>
      </c>
      <c r="G1405" s="0" t="s">
        <v>4063</v>
      </c>
    </row>
    <row r="1406" customFormat="false" ht="12.8" hidden="false" customHeight="false" outlineLevel="0" collapsed="false">
      <c r="A1406" s="9" t="s">
        <v>6941</v>
      </c>
      <c r="B1406" s="10" t="s">
        <v>4150</v>
      </c>
      <c r="C1406" s="10" t="n">
        <v>33.25</v>
      </c>
      <c r="D1406" s="0" t="s">
        <v>4151</v>
      </c>
      <c r="E1406" s="0" t="s">
        <v>4067</v>
      </c>
      <c r="F1406" s="0" t="s">
        <v>3160</v>
      </c>
      <c r="G1406" s="0" t="s">
        <v>4068</v>
      </c>
    </row>
    <row r="1407" customFormat="false" ht="12.8" hidden="false" customHeight="false" outlineLevel="0" collapsed="false">
      <c r="A1407" s="9" t="s">
        <v>6942</v>
      </c>
      <c r="B1407" s="10" t="s">
        <v>4153</v>
      </c>
      <c r="C1407" s="10" t="n">
        <v>29.23</v>
      </c>
      <c r="D1407" s="0" t="s">
        <v>4154</v>
      </c>
      <c r="E1407" s="0" t="s">
        <v>4072</v>
      </c>
      <c r="F1407" s="0" t="s">
        <v>3160</v>
      </c>
      <c r="G1407" s="0" t="s">
        <v>4073</v>
      </c>
    </row>
    <row r="1408" customFormat="false" ht="12.8" hidden="false" customHeight="false" outlineLevel="0" collapsed="false">
      <c r="A1408" s="9" t="s">
        <v>6943</v>
      </c>
      <c r="B1408" s="10" t="s">
        <v>4156</v>
      </c>
      <c r="C1408" s="10" t="n">
        <v>40</v>
      </c>
      <c r="D1408" s="0" t="s">
        <v>4157</v>
      </c>
      <c r="E1408" s="0" t="s">
        <v>4062</v>
      </c>
      <c r="F1408" s="0" t="s">
        <v>3151</v>
      </c>
      <c r="G1408" s="0" t="s">
        <v>4063</v>
      </c>
    </row>
    <row r="1409" customFormat="false" ht="12.8" hidden="false" customHeight="false" outlineLevel="0" collapsed="false">
      <c r="A1409" s="9" t="s">
        <v>6944</v>
      </c>
      <c r="B1409" s="10" t="s">
        <v>4159</v>
      </c>
      <c r="C1409" s="10" t="n">
        <v>38</v>
      </c>
      <c r="D1409" s="0" t="s">
        <v>4160</v>
      </c>
      <c r="E1409" s="0" t="s">
        <v>4067</v>
      </c>
      <c r="F1409" s="0" t="s">
        <v>3160</v>
      </c>
      <c r="G1409" s="0" t="s">
        <v>4068</v>
      </c>
    </row>
    <row r="1410" customFormat="false" ht="12.8" hidden="false" customHeight="false" outlineLevel="0" collapsed="false">
      <c r="A1410" s="9" t="s">
        <v>6945</v>
      </c>
      <c r="B1410" s="10" t="s">
        <v>4162</v>
      </c>
      <c r="C1410" s="10" t="n">
        <v>33.4</v>
      </c>
      <c r="D1410" s="0" t="s">
        <v>4163</v>
      </c>
      <c r="E1410" s="0" t="s">
        <v>4072</v>
      </c>
      <c r="F1410" s="0" t="s">
        <v>3160</v>
      </c>
      <c r="G1410" s="0" t="s">
        <v>4073</v>
      </c>
    </row>
    <row r="1411" customFormat="false" ht="12.8" hidden="false" customHeight="false" outlineLevel="0" collapsed="false">
      <c r="A1411" s="9" t="s">
        <v>6946</v>
      </c>
      <c r="B1411" s="10" t="s">
        <v>4165</v>
      </c>
      <c r="C1411" s="10" t="n">
        <v>30</v>
      </c>
      <c r="D1411" s="0" t="s">
        <v>4166</v>
      </c>
      <c r="E1411" s="0" t="s">
        <v>4062</v>
      </c>
      <c r="F1411" s="0" t="s">
        <v>3151</v>
      </c>
      <c r="G1411" s="0" t="s">
        <v>4063</v>
      </c>
    </row>
    <row r="1412" customFormat="false" ht="12.8" hidden="false" customHeight="false" outlineLevel="0" collapsed="false">
      <c r="A1412" s="9" t="s">
        <v>6947</v>
      </c>
      <c r="B1412" s="10" t="s">
        <v>4168</v>
      </c>
      <c r="C1412" s="10" t="n">
        <v>28.5</v>
      </c>
      <c r="D1412" s="0" t="s">
        <v>4169</v>
      </c>
      <c r="E1412" s="0" t="s">
        <v>4067</v>
      </c>
      <c r="F1412" s="0" t="s">
        <v>3160</v>
      </c>
      <c r="G1412" s="0" t="s">
        <v>4068</v>
      </c>
    </row>
    <row r="1413" customFormat="false" ht="12.8" hidden="false" customHeight="false" outlineLevel="0" collapsed="false">
      <c r="A1413" s="9" t="s">
        <v>6948</v>
      </c>
      <c r="B1413" s="10" t="s">
        <v>4171</v>
      </c>
      <c r="C1413" s="10" t="n">
        <v>25.05</v>
      </c>
      <c r="D1413" s="0" t="s">
        <v>4172</v>
      </c>
      <c r="E1413" s="0" t="s">
        <v>4072</v>
      </c>
      <c r="F1413" s="0" t="s">
        <v>3160</v>
      </c>
      <c r="G1413" s="0" t="s">
        <v>4073</v>
      </c>
    </row>
    <row r="1414" customFormat="false" ht="12.8" hidden="false" customHeight="false" outlineLevel="0" collapsed="false">
      <c r="A1414" s="9" t="s">
        <v>6949</v>
      </c>
      <c r="B1414" s="10" t="s">
        <v>4174</v>
      </c>
      <c r="C1414" s="10" t="n">
        <v>38</v>
      </c>
      <c r="D1414" s="0" t="s">
        <v>4175</v>
      </c>
      <c r="E1414" s="0" t="s">
        <v>4062</v>
      </c>
      <c r="F1414" s="0" t="s">
        <v>3151</v>
      </c>
      <c r="G1414" s="0" t="s">
        <v>4063</v>
      </c>
    </row>
    <row r="1415" customFormat="false" ht="12.8" hidden="false" customHeight="false" outlineLevel="0" collapsed="false">
      <c r="A1415" s="9" t="s">
        <v>6950</v>
      </c>
      <c r="B1415" s="10" t="s">
        <v>4177</v>
      </c>
      <c r="C1415" s="10" t="n">
        <v>36.1</v>
      </c>
      <c r="D1415" s="0" t="s">
        <v>4178</v>
      </c>
      <c r="E1415" s="0" t="s">
        <v>4067</v>
      </c>
      <c r="F1415" s="0" t="s">
        <v>3160</v>
      </c>
      <c r="G1415" s="0" t="s">
        <v>4068</v>
      </c>
    </row>
    <row r="1416" customFormat="false" ht="12.8" hidden="false" customHeight="false" outlineLevel="0" collapsed="false">
      <c r="A1416" s="9" t="s">
        <v>6951</v>
      </c>
      <c r="B1416" s="10" t="s">
        <v>4180</v>
      </c>
      <c r="C1416" s="10" t="n">
        <v>31.73</v>
      </c>
      <c r="D1416" s="0" t="s">
        <v>4181</v>
      </c>
      <c r="E1416" s="0" t="s">
        <v>4072</v>
      </c>
      <c r="F1416" s="0" t="s">
        <v>3160</v>
      </c>
      <c r="G1416" s="0" t="s">
        <v>4073</v>
      </c>
    </row>
    <row r="1417" customFormat="false" ht="12.8" hidden="false" customHeight="false" outlineLevel="0" collapsed="false">
      <c r="A1417" s="9" t="s">
        <v>6952</v>
      </c>
      <c r="B1417" s="10" t="s">
        <v>4183</v>
      </c>
      <c r="C1417" s="10" t="n">
        <v>45</v>
      </c>
      <c r="D1417" s="0" t="s">
        <v>4184</v>
      </c>
      <c r="E1417" s="0" t="s">
        <v>4062</v>
      </c>
      <c r="F1417" s="0" t="s">
        <v>3151</v>
      </c>
      <c r="G1417" s="0" t="s">
        <v>4063</v>
      </c>
    </row>
    <row r="1418" customFormat="false" ht="12.8" hidden="false" customHeight="false" outlineLevel="0" collapsed="false">
      <c r="A1418" s="9" t="s">
        <v>6953</v>
      </c>
      <c r="B1418" s="10" t="s">
        <v>4186</v>
      </c>
      <c r="C1418" s="10" t="n">
        <v>42.75</v>
      </c>
      <c r="D1418" s="0" t="s">
        <v>4187</v>
      </c>
      <c r="E1418" s="0" t="s">
        <v>4067</v>
      </c>
      <c r="F1418" s="0" t="s">
        <v>3160</v>
      </c>
      <c r="G1418" s="0" t="s">
        <v>4068</v>
      </c>
    </row>
    <row r="1419" customFormat="false" ht="12.8" hidden="false" customHeight="false" outlineLevel="0" collapsed="false">
      <c r="A1419" s="9" t="s">
        <v>6954</v>
      </c>
      <c r="B1419" s="10" t="s">
        <v>4189</v>
      </c>
      <c r="C1419" s="10" t="n">
        <v>37.58</v>
      </c>
      <c r="D1419" s="0" t="s">
        <v>4190</v>
      </c>
      <c r="E1419" s="0" t="s">
        <v>4072</v>
      </c>
      <c r="F1419" s="0" t="s">
        <v>3160</v>
      </c>
      <c r="G1419" s="0" t="s">
        <v>4073</v>
      </c>
    </row>
    <row r="1420" customFormat="false" ht="12.8" hidden="false" customHeight="false" outlineLevel="0" collapsed="false">
      <c r="A1420" s="9" t="s">
        <v>6955</v>
      </c>
      <c r="B1420" s="10" t="s">
        <v>4192</v>
      </c>
      <c r="C1420" s="10" t="n">
        <v>32</v>
      </c>
      <c r="D1420" s="0" t="s">
        <v>4193</v>
      </c>
      <c r="E1420" s="0" t="s">
        <v>4062</v>
      </c>
      <c r="F1420" s="0" t="s">
        <v>3151</v>
      </c>
      <c r="G1420" s="0" t="s">
        <v>4063</v>
      </c>
    </row>
    <row r="1421" customFormat="false" ht="12.8" hidden="false" customHeight="false" outlineLevel="0" collapsed="false">
      <c r="A1421" s="9" t="s">
        <v>6956</v>
      </c>
      <c r="B1421" s="10" t="s">
        <v>4195</v>
      </c>
      <c r="C1421" s="10" t="n">
        <v>30.4</v>
      </c>
      <c r="D1421" s="0" t="s">
        <v>4196</v>
      </c>
      <c r="E1421" s="0" t="s">
        <v>4067</v>
      </c>
      <c r="F1421" s="0" t="s">
        <v>3160</v>
      </c>
      <c r="G1421" s="0" t="s">
        <v>4068</v>
      </c>
    </row>
    <row r="1422" customFormat="false" ht="12.8" hidden="false" customHeight="false" outlineLevel="0" collapsed="false">
      <c r="A1422" s="9" t="s">
        <v>6957</v>
      </c>
      <c r="B1422" s="10" t="s">
        <v>4198</v>
      </c>
      <c r="C1422" s="10" t="n">
        <v>26.72</v>
      </c>
      <c r="D1422" s="0" t="s">
        <v>4199</v>
      </c>
      <c r="E1422" s="0" t="s">
        <v>4072</v>
      </c>
      <c r="F1422" s="0" t="s">
        <v>3160</v>
      </c>
      <c r="G1422" s="0" t="s">
        <v>4073</v>
      </c>
    </row>
    <row r="1428" customFormat="false" ht="12.8" hidden="false" customHeight="false" outlineLevel="0" collapsed="false">
      <c r="A1428" s="9" t="s">
        <v>6958</v>
      </c>
      <c r="B1428" s="10" t="s">
        <v>4393</v>
      </c>
      <c r="C1428" s="10" t="n">
        <v>0.68</v>
      </c>
      <c r="D1428" s="0" t="s">
        <v>4394</v>
      </c>
      <c r="E1428" s="0" t="s">
        <v>4366</v>
      </c>
      <c r="F1428" s="0" t="s">
        <v>3151</v>
      </c>
      <c r="G1428" s="0" t="s">
        <v>4367</v>
      </c>
    </row>
    <row r="1429" customFormat="false" ht="12.8" hidden="false" customHeight="false" outlineLevel="0" collapsed="false">
      <c r="A1429" s="9" t="s">
        <v>6959</v>
      </c>
      <c r="B1429" s="10" t="s">
        <v>4396</v>
      </c>
      <c r="C1429" s="10" t="n">
        <v>0.7</v>
      </c>
      <c r="D1429" s="0" t="s">
        <v>4397</v>
      </c>
      <c r="E1429" s="0" t="s">
        <v>4366</v>
      </c>
      <c r="F1429" s="0" t="s">
        <v>3151</v>
      </c>
      <c r="G1429" s="0" t="s">
        <v>4367</v>
      </c>
    </row>
    <row r="1430" customFormat="false" ht="12.8" hidden="false" customHeight="false" outlineLevel="0" collapsed="false">
      <c r="A1430" s="9" t="s">
        <v>6960</v>
      </c>
      <c r="B1430" s="10" t="s">
        <v>4399</v>
      </c>
      <c r="C1430" s="10" t="n">
        <v>0.72</v>
      </c>
      <c r="D1430" s="0" t="s">
        <v>4400</v>
      </c>
      <c r="E1430" s="0" t="s">
        <v>4366</v>
      </c>
      <c r="F1430" s="0" t="s">
        <v>3151</v>
      </c>
      <c r="G1430" s="0" t="s">
        <v>4367</v>
      </c>
    </row>
    <row r="1431" customFormat="false" ht="12.8" hidden="false" customHeight="false" outlineLevel="0" collapsed="false">
      <c r="A1431" s="9" t="s">
        <v>6961</v>
      </c>
      <c r="B1431" s="10" t="s">
        <v>4402</v>
      </c>
      <c r="C1431" s="10" t="n">
        <v>0.75</v>
      </c>
      <c r="D1431" s="0" t="s">
        <v>4403</v>
      </c>
      <c r="E1431" s="0" t="s">
        <v>4366</v>
      </c>
      <c r="F1431" s="0" t="s">
        <v>3151</v>
      </c>
      <c r="G1431" s="0" t="s">
        <v>4367</v>
      </c>
    </row>
    <row r="1432" customFormat="false" ht="12.8" hidden="false" customHeight="false" outlineLevel="0" collapsed="false">
      <c r="A1432" s="9" t="s">
        <v>6962</v>
      </c>
      <c r="B1432" s="10" t="s">
        <v>4405</v>
      </c>
      <c r="C1432" s="10" t="n">
        <v>0.71</v>
      </c>
      <c r="D1432" s="0" t="s">
        <v>4406</v>
      </c>
      <c r="E1432" s="0" t="s">
        <v>4366</v>
      </c>
      <c r="F1432" s="0" t="s">
        <v>3151</v>
      </c>
      <c r="G1432" s="0" t="s">
        <v>4367</v>
      </c>
    </row>
    <row r="1433" customFormat="false" ht="12.8" hidden="false" customHeight="false" outlineLevel="0" collapsed="false">
      <c r="A1433" s="9" t="s">
        <v>6963</v>
      </c>
      <c r="B1433" s="10" t="s">
        <v>4408</v>
      </c>
      <c r="C1433" s="10" t="n">
        <v>0.78</v>
      </c>
      <c r="D1433" s="0" t="s">
        <v>4409</v>
      </c>
      <c r="E1433" s="0" t="s">
        <v>4366</v>
      </c>
      <c r="F1433" s="0" t="s">
        <v>3151</v>
      </c>
      <c r="G1433" s="0" t="s">
        <v>4367</v>
      </c>
    </row>
    <row r="1435" customFormat="false" ht="12.8" hidden="false" customHeight="false" outlineLevel="0" collapsed="false">
      <c r="A1435" s="9" t="s">
        <v>6964</v>
      </c>
      <c r="B1435" s="10" t="s">
        <v>4439</v>
      </c>
      <c r="C1435" s="10" t="n">
        <v>0.714</v>
      </c>
      <c r="D1435" s="0" t="s">
        <v>4440</v>
      </c>
      <c r="E1435" s="0" t="s">
        <v>3820</v>
      </c>
      <c r="F1435" s="0" t="s">
        <v>3160</v>
      </c>
      <c r="G1435" s="0" t="s">
        <v>4413</v>
      </c>
    </row>
    <row r="1436" customFormat="false" ht="12.8" hidden="false" customHeight="false" outlineLevel="0" collapsed="false">
      <c r="A1436" s="9" t="s">
        <v>6965</v>
      </c>
      <c r="B1436" s="10" t="s">
        <v>4442</v>
      </c>
      <c r="C1436" s="10" t="n">
        <v>0.735</v>
      </c>
      <c r="D1436" s="0" t="s">
        <v>4443</v>
      </c>
      <c r="E1436" s="0" t="s">
        <v>3820</v>
      </c>
      <c r="F1436" s="0" t="s">
        <v>3160</v>
      </c>
      <c r="G1436" s="0" t="s">
        <v>4413</v>
      </c>
    </row>
    <row r="1437" customFormat="false" ht="12.8" hidden="false" customHeight="false" outlineLevel="0" collapsed="false">
      <c r="A1437" s="9" t="s">
        <v>6966</v>
      </c>
      <c r="B1437" s="10" t="s">
        <v>4445</v>
      </c>
      <c r="C1437" s="10" t="n">
        <v>0.756</v>
      </c>
      <c r="D1437" s="0" t="s">
        <v>4446</v>
      </c>
      <c r="E1437" s="0" t="s">
        <v>3820</v>
      </c>
      <c r="F1437" s="0" t="s">
        <v>3160</v>
      </c>
      <c r="G1437" s="0" t="s">
        <v>4413</v>
      </c>
    </row>
    <row r="1438" customFormat="false" ht="12.8" hidden="false" customHeight="false" outlineLevel="0" collapsed="false">
      <c r="A1438" s="9" t="s">
        <v>6967</v>
      </c>
      <c r="B1438" s="10" t="s">
        <v>4448</v>
      </c>
      <c r="C1438" s="10" t="n">
        <v>0.788</v>
      </c>
      <c r="D1438" s="0" t="s">
        <v>4449</v>
      </c>
      <c r="E1438" s="0" t="s">
        <v>3820</v>
      </c>
      <c r="F1438" s="0" t="s">
        <v>3160</v>
      </c>
      <c r="G1438" s="0" t="s">
        <v>4413</v>
      </c>
    </row>
    <row r="1439" customFormat="false" ht="12.8" hidden="false" customHeight="false" outlineLevel="0" collapsed="false">
      <c r="A1439" s="9" t="s">
        <v>6968</v>
      </c>
      <c r="B1439" s="10" t="s">
        <v>4451</v>
      </c>
      <c r="C1439" s="10" t="n">
        <v>0.746</v>
      </c>
      <c r="D1439" s="0" t="s">
        <v>4452</v>
      </c>
      <c r="E1439" s="0" t="s">
        <v>3820</v>
      </c>
      <c r="F1439" s="0" t="s">
        <v>3160</v>
      </c>
      <c r="G1439" s="0" t="s">
        <v>4413</v>
      </c>
    </row>
    <row r="1440" customFormat="false" ht="12.8" hidden="false" customHeight="false" outlineLevel="0" collapsed="false">
      <c r="A1440" s="9" t="s">
        <v>6969</v>
      </c>
      <c r="B1440" s="10" t="s">
        <v>4454</v>
      </c>
      <c r="C1440" s="10" t="n">
        <v>0.819</v>
      </c>
      <c r="D1440" s="0" t="s">
        <v>4455</v>
      </c>
      <c r="E1440" s="0" t="s">
        <v>3820</v>
      </c>
      <c r="F1440" s="0" t="s">
        <v>3160</v>
      </c>
      <c r="G1440" s="0" t="s">
        <v>4413</v>
      </c>
    </row>
    <row r="1441" customFormat="false" ht="12.8" hidden="false" customHeight="false" outlineLevel="0" collapsed="false">
      <c r="A1441" s="9" t="s">
        <v>6970</v>
      </c>
      <c r="B1441" s="10" t="s">
        <v>4484</v>
      </c>
      <c r="C1441" s="10" t="n">
        <v>0.646</v>
      </c>
      <c r="D1441" s="0" t="s">
        <v>4485</v>
      </c>
      <c r="E1441" s="0" t="s">
        <v>3820</v>
      </c>
      <c r="F1441" s="0" t="s">
        <v>3160</v>
      </c>
      <c r="G1441" s="0" t="s">
        <v>4413</v>
      </c>
    </row>
    <row r="1442" customFormat="false" ht="12.8" hidden="false" customHeight="false" outlineLevel="0" collapsed="false">
      <c r="A1442" s="9" t="s">
        <v>6971</v>
      </c>
      <c r="B1442" s="10" t="s">
        <v>4487</v>
      </c>
      <c r="C1442" s="10" t="n">
        <v>0.665</v>
      </c>
      <c r="D1442" s="0" t="s">
        <v>4488</v>
      </c>
      <c r="E1442" s="0" t="s">
        <v>3820</v>
      </c>
      <c r="F1442" s="0" t="s">
        <v>3160</v>
      </c>
      <c r="G1442" s="0" t="s">
        <v>4413</v>
      </c>
    </row>
    <row r="1443" customFormat="false" ht="12.8" hidden="false" customHeight="false" outlineLevel="0" collapsed="false">
      <c r="A1443" s="9" t="s">
        <v>6972</v>
      </c>
      <c r="B1443" s="10" t="s">
        <v>4490</v>
      </c>
      <c r="C1443" s="10" t="n">
        <v>0.684</v>
      </c>
      <c r="D1443" s="0" t="s">
        <v>4491</v>
      </c>
      <c r="E1443" s="0" t="s">
        <v>3820</v>
      </c>
      <c r="F1443" s="0" t="s">
        <v>3160</v>
      </c>
      <c r="G1443" s="0" t="s">
        <v>4413</v>
      </c>
    </row>
    <row r="1444" customFormat="false" ht="12.8" hidden="false" customHeight="false" outlineLevel="0" collapsed="false">
      <c r="A1444" s="9" t="s">
        <v>6973</v>
      </c>
      <c r="B1444" s="10" t="s">
        <v>4493</v>
      </c>
      <c r="C1444" s="10" t="n">
        <v>0.713</v>
      </c>
      <c r="D1444" s="0" t="s">
        <v>4494</v>
      </c>
      <c r="E1444" s="0" t="s">
        <v>3820</v>
      </c>
      <c r="F1444" s="0" t="s">
        <v>3160</v>
      </c>
      <c r="G1444" s="0" t="s">
        <v>4413</v>
      </c>
    </row>
    <row r="1445" customFormat="false" ht="12.8" hidden="false" customHeight="false" outlineLevel="0" collapsed="false">
      <c r="A1445" s="9" t="s">
        <v>6974</v>
      </c>
      <c r="B1445" s="10" t="s">
        <v>4496</v>
      </c>
      <c r="C1445" s="10" t="n">
        <v>0.674</v>
      </c>
      <c r="D1445" s="0" t="s">
        <v>4497</v>
      </c>
      <c r="E1445" s="0" t="s">
        <v>3820</v>
      </c>
      <c r="F1445" s="0" t="s">
        <v>3160</v>
      </c>
      <c r="G1445" s="0" t="s">
        <v>4413</v>
      </c>
    </row>
    <row r="1446" customFormat="false" ht="12.8" hidden="false" customHeight="false" outlineLevel="0" collapsed="false">
      <c r="A1446" s="9" t="s">
        <v>6975</v>
      </c>
      <c r="B1446" s="10" t="s">
        <v>4499</v>
      </c>
      <c r="C1446" s="10" t="n">
        <v>0.741</v>
      </c>
      <c r="D1446" s="0" t="s">
        <v>4500</v>
      </c>
      <c r="E1446" s="0" t="s">
        <v>3820</v>
      </c>
      <c r="F1446" s="0" t="s">
        <v>3160</v>
      </c>
      <c r="G1446" s="0" t="s">
        <v>4413</v>
      </c>
    </row>
    <row r="1447" customFormat="false" ht="12.8" hidden="false" customHeight="false" outlineLevel="0" collapsed="false">
      <c r="A1447" s="9" t="s">
        <v>6976</v>
      </c>
      <c r="B1447" s="10" t="s">
        <v>4711</v>
      </c>
      <c r="C1447" s="10" t="n">
        <v>0.75</v>
      </c>
      <c r="D1447" s="0" t="s">
        <v>4712</v>
      </c>
      <c r="E1447" s="0" t="s">
        <v>3820</v>
      </c>
      <c r="F1447" s="0" t="s">
        <v>3160</v>
      </c>
      <c r="G1447" s="0" t="s">
        <v>4413</v>
      </c>
    </row>
    <row r="1448" customFormat="false" ht="12.8" hidden="false" customHeight="false" outlineLevel="0" collapsed="false">
      <c r="A1448" s="9" t="s">
        <v>6977</v>
      </c>
      <c r="B1448" s="10" t="s">
        <v>4714</v>
      </c>
      <c r="C1448" s="10" t="n">
        <v>0.77</v>
      </c>
      <c r="D1448" s="0" t="s">
        <v>4715</v>
      </c>
      <c r="E1448" s="0" t="s">
        <v>3820</v>
      </c>
      <c r="F1448" s="0" t="s">
        <v>3160</v>
      </c>
      <c r="G1448" s="0" t="s">
        <v>4413</v>
      </c>
    </row>
    <row r="1449" customFormat="false" ht="12.8" hidden="false" customHeight="false" outlineLevel="0" collapsed="false">
      <c r="A1449" s="9" t="s">
        <v>6978</v>
      </c>
      <c r="B1449" s="10" t="s">
        <v>4717</v>
      </c>
      <c r="C1449" s="10" t="n">
        <v>0.79</v>
      </c>
      <c r="D1449" s="0" t="s">
        <v>4718</v>
      </c>
      <c r="E1449" s="0" t="s">
        <v>3820</v>
      </c>
      <c r="F1449" s="0" t="s">
        <v>3160</v>
      </c>
      <c r="G1449" s="0" t="s">
        <v>4413</v>
      </c>
    </row>
    <row r="1450" customFormat="false" ht="12.8" hidden="false" customHeight="false" outlineLevel="0" collapsed="false">
      <c r="A1450" s="9" t="s">
        <v>6979</v>
      </c>
      <c r="B1450" s="10" t="s">
        <v>4720</v>
      </c>
      <c r="C1450" s="10" t="n">
        <v>0.82</v>
      </c>
      <c r="D1450" s="0" t="s">
        <v>4721</v>
      </c>
      <c r="E1450" s="0" t="s">
        <v>3820</v>
      </c>
      <c r="F1450" s="0" t="s">
        <v>3160</v>
      </c>
      <c r="G1450" s="0" t="s">
        <v>4413</v>
      </c>
    </row>
    <row r="1451" customFormat="false" ht="12.8" hidden="false" customHeight="false" outlineLevel="0" collapsed="false">
      <c r="A1451" s="9" t="s">
        <v>6980</v>
      </c>
      <c r="B1451" s="10" t="s">
        <v>4723</v>
      </c>
      <c r="C1451" s="10" t="n">
        <v>0.78</v>
      </c>
      <c r="D1451" s="0" t="s">
        <v>4724</v>
      </c>
      <c r="E1451" s="0" t="s">
        <v>3820</v>
      </c>
      <c r="F1451" s="0" t="s">
        <v>3160</v>
      </c>
      <c r="G1451" s="0" t="s">
        <v>4413</v>
      </c>
    </row>
    <row r="1452" customFormat="false" ht="12.8" hidden="false" customHeight="false" outlineLevel="0" collapsed="false">
      <c r="A1452" s="9" t="s">
        <v>6981</v>
      </c>
      <c r="B1452" s="10" t="s">
        <v>4726</v>
      </c>
      <c r="C1452" s="10" t="n">
        <v>0.85</v>
      </c>
      <c r="D1452" s="0" t="s">
        <v>4727</v>
      </c>
      <c r="E1452" s="0" t="s">
        <v>3820</v>
      </c>
      <c r="F1452" s="0" t="s">
        <v>3160</v>
      </c>
      <c r="G1452" s="0" t="s">
        <v>4413</v>
      </c>
    </row>
    <row r="1453" customFormat="false" ht="12.8" hidden="false" customHeight="false" outlineLevel="0" collapsed="false">
      <c r="A1453" s="9" t="s">
        <v>6982</v>
      </c>
      <c r="B1453" s="10" t="s">
        <v>4756</v>
      </c>
      <c r="C1453" s="10" t="n">
        <v>0.71</v>
      </c>
      <c r="D1453" s="0" t="s">
        <v>4757</v>
      </c>
      <c r="E1453" s="0" t="s">
        <v>3820</v>
      </c>
      <c r="F1453" s="0" t="s">
        <v>3160</v>
      </c>
      <c r="G1453" s="0" t="s">
        <v>4413</v>
      </c>
    </row>
    <row r="1454" customFormat="false" ht="12.8" hidden="false" customHeight="false" outlineLevel="0" collapsed="false">
      <c r="A1454" s="9" t="s">
        <v>6983</v>
      </c>
      <c r="B1454" s="10" t="s">
        <v>4759</v>
      </c>
      <c r="C1454" s="10" t="n">
        <v>0.73</v>
      </c>
      <c r="D1454" s="0" t="s">
        <v>4760</v>
      </c>
      <c r="E1454" s="0" t="s">
        <v>3820</v>
      </c>
      <c r="F1454" s="0" t="s">
        <v>3160</v>
      </c>
      <c r="G1454" s="0" t="s">
        <v>4413</v>
      </c>
    </row>
    <row r="1455" customFormat="false" ht="12.8" hidden="false" customHeight="false" outlineLevel="0" collapsed="false">
      <c r="A1455" s="9" t="s">
        <v>6984</v>
      </c>
      <c r="B1455" s="10" t="s">
        <v>4762</v>
      </c>
      <c r="C1455" s="10" t="n">
        <v>0.75</v>
      </c>
      <c r="D1455" s="0" t="s">
        <v>4763</v>
      </c>
      <c r="E1455" s="0" t="s">
        <v>3820</v>
      </c>
      <c r="F1455" s="0" t="s">
        <v>3160</v>
      </c>
      <c r="G1455" s="0" t="s">
        <v>4413</v>
      </c>
    </row>
    <row r="1456" customFormat="false" ht="12.8" hidden="false" customHeight="false" outlineLevel="0" collapsed="false">
      <c r="A1456" s="9" t="s">
        <v>6985</v>
      </c>
      <c r="B1456" s="10" t="s">
        <v>4765</v>
      </c>
      <c r="C1456" s="10" t="n">
        <v>0.78</v>
      </c>
      <c r="D1456" s="0" t="s">
        <v>4766</v>
      </c>
      <c r="E1456" s="0" t="s">
        <v>3820</v>
      </c>
      <c r="F1456" s="0" t="s">
        <v>3160</v>
      </c>
      <c r="G1456" s="0" t="s">
        <v>4413</v>
      </c>
    </row>
    <row r="1457" customFormat="false" ht="12.8" hidden="false" customHeight="false" outlineLevel="0" collapsed="false">
      <c r="A1457" s="9" t="s">
        <v>6986</v>
      </c>
      <c r="B1457" s="10" t="s">
        <v>4768</v>
      </c>
      <c r="C1457" s="10" t="n">
        <v>0.74</v>
      </c>
      <c r="D1457" s="0" t="s">
        <v>4769</v>
      </c>
      <c r="E1457" s="0" t="s">
        <v>3820</v>
      </c>
      <c r="F1457" s="0" t="s">
        <v>3160</v>
      </c>
      <c r="G1457" s="0" t="s">
        <v>4413</v>
      </c>
    </row>
    <row r="1458" customFormat="false" ht="12.8" hidden="false" customHeight="false" outlineLevel="0" collapsed="false">
      <c r="A1458" s="9" t="s">
        <v>6987</v>
      </c>
      <c r="B1458" s="10" t="s">
        <v>4771</v>
      </c>
      <c r="C1458" s="10" t="n">
        <v>0.81</v>
      </c>
      <c r="D1458" s="0" t="s">
        <v>4772</v>
      </c>
      <c r="E1458" s="0" t="s">
        <v>3820</v>
      </c>
      <c r="F1458" s="0" t="s">
        <v>3160</v>
      </c>
      <c r="G1458" s="0" t="s">
        <v>4413</v>
      </c>
    </row>
    <row r="1464" customFormat="false" ht="12.8" hidden="false" customHeight="false" outlineLevel="0" collapsed="false">
      <c r="A1464" s="9" t="s">
        <v>6988</v>
      </c>
      <c r="B1464" s="10" t="s">
        <v>4850</v>
      </c>
      <c r="C1464" s="10" t="n">
        <v>0.04</v>
      </c>
      <c r="D1464" s="0" t="s">
        <v>4851</v>
      </c>
      <c r="E1464" s="0" t="s">
        <v>3820</v>
      </c>
      <c r="F1464" s="0" t="s">
        <v>3160</v>
      </c>
      <c r="G1464" s="0" t="s">
        <v>4413</v>
      </c>
    </row>
    <row r="1466" customFormat="false" ht="12.8" hidden="false" customHeight="false" outlineLevel="0" collapsed="false">
      <c r="A1466" s="9" t="s">
        <v>6989</v>
      </c>
      <c r="B1466" s="10" t="s">
        <v>4853</v>
      </c>
      <c r="C1466" s="10" t="n">
        <v>0.04</v>
      </c>
      <c r="D1466" s="0" t="s">
        <v>4854</v>
      </c>
      <c r="E1466" s="0" t="s">
        <v>3820</v>
      </c>
      <c r="F1466" s="0" t="s">
        <v>3160</v>
      </c>
      <c r="G1466" s="0" t="s">
        <v>4413</v>
      </c>
    </row>
    <row r="1467" customFormat="false" ht="12.8" hidden="false" customHeight="false" outlineLevel="0" collapsed="false">
      <c r="A1467" s="9" t="s">
        <v>6990</v>
      </c>
      <c r="B1467" s="10" t="s">
        <v>4856</v>
      </c>
      <c r="C1467" s="10" t="n">
        <v>0.04</v>
      </c>
      <c r="D1467" s="0" t="s">
        <v>4857</v>
      </c>
      <c r="E1467" s="0" t="s">
        <v>3820</v>
      </c>
      <c r="F1467" s="0" t="s">
        <v>3160</v>
      </c>
      <c r="G1467" s="0" t="s">
        <v>4413</v>
      </c>
    </row>
    <row r="1468" customFormat="false" ht="12.8" hidden="false" customHeight="false" outlineLevel="0" collapsed="false">
      <c r="A1468" s="9" t="s">
        <v>6991</v>
      </c>
      <c r="B1468" s="10" t="s">
        <v>4859</v>
      </c>
      <c r="C1468" s="10" t="n">
        <v>0.04</v>
      </c>
      <c r="D1468" s="0" t="s">
        <v>4860</v>
      </c>
      <c r="E1468" s="0" t="s">
        <v>3820</v>
      </c>
      <c r="F1468" s="0" t="s">
        <v>3160</v>
      </c>
      <c r="G1468" s="0" t="s">
        <v>4413</v>
      </c>
    </row>
    <row r="1469" customFormat="false" ht="12.8" hidden="false" customHeight="false" outlineLevel="0" collapsed="false">
      <c r="A1469" s="9" t="s">
        <v>6992</v>
      </c>
      <c r="B1469" s="10" t="s">
        <v>4862</v>
      </c>
      <c r="C1469" s="10" t="n">
        <v>0.04</v>
      </c>
      <c r="D1469" s="0" t="s">
        <v>4863</v>
      </c>
      <c r="E1469" s="0" t="s">
        <v>3820</v>
      </c>
      <c r="F1469" s="0" t="s">
        <v>3160</v>
      </c>
      <c r="G1469" s="0" t="s">
        <v>4413</v>
      </c>
    </row>
    <row r="1470" customFormat="false" ht="12.8" hidden="false" customHeight="false" outlineLevel="0" collapsed="false">
      <c r="A1470" s="9" t="s">
        <v>6993</v>
      </c>
      <c r="B1470" s="10" t="s">
        <v>4865</v>
      </c>
      <c r="C1470" s="10" t="n">
        <v>0.03</v>
      </c>
      <c r="D1470" s="0" t="s">
        <v>4866</v>
      </c>
      <c r="E1470" s="0" t="s">
        <v>3820</v>
      </c>
      <c r="F1470" s="0" t="s">
        <v>3160</v>
      </c>
      <c r="G1470" s="0" t="s">
        <v>4413</v>
      </c>
    </row>
    <row r="1471" customFormat="false" ht="12.8" hidden="false" customHeight="false" outlineLevel="0" collapsed="false">
      <c r="A1471" s="9" t="s">
        <v>6994</v>
      </c>
      <c r="B1471" s="10" t="s">
        <v>4895</v>
      </c>
      <c r="C1471" s="10" t="n">
        <v>0.07</v>
      </c>
      <c r="D1471" s="0" t="s">
        <v>4896</v>
      </c>
      <c r="E1471" s="0" t="s">
        <v>3820</v>
      </c>
      <c r="F1471" s="0" t="s">
        <v>3160</v>
      </c>
      <c r="G1471" s="0" t="s">
        <v>4413</v>
      </c>
    </row>
    <row r="1472" customFormat="false" ht="12.8" hidden="false" customHeight="false" outlineLevel="0" collapsed="false">
      <c r="A1472" s="9" t="s">
        <v>6995</v>
      </c>
      <c r="B1472" s="10" t="s">
        <v>4898</v>
      </c>
      <c r="C1472" s="10" t="n">
        <v>0.07</v>
      </c>
      <c r="D1472" s="0" t="s">
        <v>4899</v>
      </c>
      <c r="E1472" s="0" t="s">
        <v>3820</v>
      </c>
      <c r="F1472" s="0" t="s">
        <v>3160</v>
      </c>
      <c r="G1472" s="0" t="s">
        <v>4413</v>
      </c>
    </row>
    <row r="1473" customFormat="false" ht="12.8" hidden="false" customHeight="false" outlineLevel="0" collapsed="false">
      <c r="A1473" s="9" t="s">
        <v>6996</v>
      </c>
      <c r="B1473" s="10" t="s">
        <v>4901</v>
      </c>
      <c r="C1473" s="10" t="n">
        <v>0.07</v>
      </c>
      <c r="D1473" s="0" t="s">
        <v>4902</v>
      </c>
      <c r="E1473" s="0" t="s">
        <v>3820</v>
      </c>
      <c r="F1473" s="0" t="s">
        <v>3160</v>
      </c>
      <c r="G1473" s="0" t="s">
        <v>4413</v>
      </c>
    </row>
    <row r="1474" customFormat="false" ht="12.8" hidden="false" customHeight="false" outlineLevel="0" collapsed="false">
      <c r="A1474" s="9" t="s">
        <v>6997</v>
      </c>
      <c r="B1474" s="10" t="s">
        <v>4904</v>
      </c>
      <c r="C1474" s="10" t="n">
        <v>0.07</v>
      </c>
      <c r="D1474" s="0" t="s">
        <v>4905</v>
      </c>
      <c r="E1474" s="0" t="s">
        <v>3820</v>
      </c>
      <c r="F1474" s="0" t="s">
        <v>3160</v>
      </c>
      <c r="G1474" s="0" t="s">
        <v>4413</v>
      </c>
    </row>
    <row r="1475" customFormat="false" ht="12.8" hidden="false" customHeight="false" outlineLevel="0" collapsed="false">
      <c r="A1475" s="9" t="s">
        <v>6998</v>
      </c>
      <c r="B1475" s="10" t="s">
        <v>4907</v>
      </c>
      <c r="C1475" s="10" t="n">
        <v>0.07</v>
      </c>
      <c r="D1475" s="0" t="s">
        <v>4908</v>
      </c>
      <c r="E1475" s="0" t="s">
        <v>3820</v>
      </c>
      <c r="F1475" s="0" t="s">
        <v>3160</v>
      </c>
      <c r="G1475" s="0" t="s">
        <v>4413</v>
      </c>
    </row>
    <row r="1476" customFormat="false" ht="12.8" hidden="false" customHeight="false" outlineLevel="0" collapsed="false">
      <c r="A1476" s="9" t="s">
        <v>6999</v>
      </c>
      <c r="B1476" s="10" t="s">
        <v>4910</v>
      </c>
      <c r="C1476" s="10" t="n">
        <v>0.07</v>
      </c>
      <c r="D1476" s="0" t="s">
        <v>4911</v>
      </c>
      <c r="E1476" s="0" t="s">
        <v>3820</v>
      </c>
      <c r="F1476" s="0" t="s">
        <v>3160</v>
      </c>
      <c r="G1476" s="0" t="s">
        <v>4413</v>
      </c>
    </row>
    <row r="1482" customFormat="false" ht="12.8" hidden="false" customHeight="false" outlineLevel="0" collapsed="false">
      <c r="A1482" s="9" t="s">
        <v>7000</v>
      </c>
      <c r="B1482" s="10" t="s">
        <v>4985</v>
      </c>
      <c r="C1482" s="10" t="n">
        <v>0.042</v>
      </c>
      <c r="D1482" s="0" t="s">
        <v>4986</v>
      </c>
      <c r="E1482" s="0" t="s">
        <v>3820</v>
      </c>
      <c r="F1482" s="0" t="s">
        <v>3160</v>
      </c>
      <c r="G1482" s="0" t="s">
        <v>4413</v>
      </c>
    </row>
    <row r="1483" customFormat="false" ht="12.8" hidden="false" customHeight="false" outlineLevel="0" collapsed="false">
      <c r="A1483" s="9" t="s">
        <v>7001</v>
      </c>
      <c r="B1483" s="10" t="s">
        <v>4988</v>
      </c>
      <c r="C1483" s="10" t="n">
        <v>0.031</v>
      </c>
      <c r="D1483" s="0" t="s">
        <v>4989</v>
      </c>
      <c r="E1483" s="0" t="s">
        <v>3820</v>
      </c>
      <c r="F1483" s="0" t="s">
        <v>3160</v>
      </c>
      <c r="G1483" s="0" t="s">
        <v>4413</v>
      </c>
    </row>
    <row r="1484" customFormat="false" ht="12.8" hidden="false" customHeight="false" outlineLevel="0" collapsed="false">
      <c r="A1484" s="9" t="s">
        <v>7002</v>
      </c>
      <c r="B1484" s="10" t="s">
        <v>4991</v>
      </c>
      <c r="C1484" s="10" t="n">
        <v>0.038</v>
      </c>
      <c r="D1484" s="0" t="s">
        <v>4992</v>
      </c>
      <c r="E1484" s="0" t="s">
        <v>3820</v>
      </c>
      <c r="F1484" s="0" t="s">
        <v>3160</v>
      </c>
      <c r="G1484" s="0" t="s">
        <v>4413</v>
      </c>
    </row>
    <row r="1485" customFormat="false" ht="12.8" hidden="false" customHeight="false" outlineLevel="0" collapsed="false">
      <c r="A1485" s="9" t="s">
        <v>7003</v>
      </c>
      <c r="B1485" s="10" t="s">
        <v>4994</v>
      </c>
      <c r="C1485" s="10" t="n">
        <v>0.032</v>
      </c>
      <c r="D1485" s="0" t="s">
        <v>4995</v>
      </c>
      <c r="E1485" s="0" t="s">
        <v>3820</v>
      </c>
      <c r="F1485" s="0" t="s">
        <v>3160</v>
      </c>
      <c r="G1485" s="0" t="s">
        <v>4413</v>
      </c>
    </row>
    <row r="1486" customFormat="false" ht="12.8" hidden="false" customHeight="false" outlineLevel="0" collapsed="false">
      <c r="A1486" s="9" t="s">
        <v>7004</v>
      </c>
      <c r="B1486" s="10" t="s">
        <v>4997</v>
      </c>
      <c r="C1486" s="10" t="n">
        <v>0.035</v>
      </c>
      <c r="D1486" s="0" t="s">
        <v>4998</v>
      </c>
      <c r="E1486" s="0" t="s">
        <v>3820</v>
      </c>
      <c r="F1486" s="0" t="s">
        <v>3160</v>
      </c>
      <c r="G1486" s="0" t="s">
        <v>4413</v>
      </c>
    </row>
    <row r="1487" customFormat="false" ht="12.8" hidden="false" customHeight="false" outlineLevel="0" collapsed="false">
      <c r="A1487" s="9" t="s">
        <v>7005</v>
      </c>
      <c r="B1487" s="10" t="s">
        <v>5000</v>
      </c>
      <c r="C1487" s="10" t="n">
        <v>0.025</v>
      </c>
      <c r="D1487" s="0" t="s">
        <v>5001</v>
      </c>
      <c r="E1487" s="0" t="s">
        <v>3820</v>
      </c>
      <c r="F1487" s="0" t="s">
        <v>3160</v>
      </c>
      <c r="G1487" s="0" t="s">
        <v>4413</v>
      </c>
    </row>
    <row r="1488" customFormat="false" ht="12.8" hidden="false" customHeight="false" outlineLevel="0" collapsed="false">
      <c r="A1488" s="9" t="s">
        <v>7006</v>
      </c>
      <c r="B1488" s="10" t="s">
        <v>5030</v>
      </c>
      <c r="C1488" s="10" t="n">
        <v>0.088</v>
      </c>
      <c r="D1488" s="0" t="s">
        <v>5031</v>
      </c>
      <c r="E1488" s="0" t="s">
        <v>3820</v>
      </c>
      <c r="F1488" s="0" t="s">
        <v>3160</v>
      </c>
      <c r="G1488" s="0" t="s">
        <v>4413</v>
      </c>
    </row>
    <row r="1489" customFormat="false" ht="12.8" hidden="false" customHeight="false" outlineLevel="0" collapsed="false">
      <c r="A1489" s="9" t="s">
        <v>7007</v>
      </c>
      <c r="B1489" s="10" t="s">
        <v>5033</v>
      </c>
      <c r="C1489" s="10" t="n">
        <v>0.065</v>
      </c>
      <c r="D1489" s="0" t="s">
        <v>5034</v>
      </c>
      <c r="E1489" s="0" t="s">
        <v>3820</v>
      </c>
      <c r="F1489" s="0" t="s">
        <v>3160</v>
      </c>
      <c r="G1489" s="0" t="s">
        <v>4413</v>
      </c>
    </row>
    <row r="1490" customFormat="false" ht="12.8" hidden="false" customHeight="false" outlineLevel="0" collapsed="false">
      <c r="A1490" s="9" t="s">
        <v>7008</v>
      </c>
      <c r="B1490" s="10" t="s">
        <v>5036</v>
      </c>
      <c r="C1490" s="10" t="n">
        <v>0.072</v>
      </c>
      <c r="D1490" s="0" t="s">
        <v>5037</v>
      </c>
      <c r="E1490" s="0" t="s">
        <v>3820</v>
      </c>
      <c r="F1490" s="0" t="s">
        <v>3160</v>
      </c>
      <c r="G1490" s="0" t="s">
        <v>4413</v>
      </c>
    </row>
    <row r="1491" customFormat="false" ht="12.8" hidden="false" customHeight="false" outlineLevel="0" collapsed="false">
      <c r="A1491" s="9" t="s">
        <v>7009</v>
      </c>
      <c r="B1491" s="10" t="s">
        <v>5039</v>
      </c>
      <c r="C1491" s="10" t="n">
        <v>0.068</v>
      </c>
      <c r="D1491" s="0" t="s">
        <v>5040</v>
      </c>
      <c r="E1491" s="0" t="s">
        <v>3820</v>
      </c>
      <c r="F1491" s="0" t="s">
        <v>3160</v>
      </c>
      <c r="G1491" s="0" t="s">
        <v>4413</v>
      </c>
    </row>
    <row r="1492" customFormat="false" ht="12.8" hidden="false" customHeight="false" outlineLevel="0" collapsed="false">
      <c r="A1492" s="9" t="s">
        <v>7010</v>
      </c>
      <c r="B1492" s="10" t="s">
        <v>5042</v>
      </c>
      <c r="C1492" s="10" t="n">
        <v>0.078</v>
      </c>
      <c r="D1492" s="0" t="s">
        <v>5043</v>
      </c>
      <c r="E1492" s="0" t="s">
        <v>3820</v>
      </c>
      <c r="F1492" s="0" t="s">
        <v>3160</v>
      </c>
      <c r="G1492" s="0" t="s">
        <v>4413</v>
      </c>
    </row>
    <row r="1493" customFormat="false" ht="12.8" hidden="false" customHeight="false" outlineLevel="0" collapsed="false">
      <c r="A1493" s="9" t="s">
        <v>7011</v>
      </c>
      <c r="B1493" s="10" t="s">
        <v>5045</v>
      </c>
      <c r="C1493" s="10" t="n">
        <v>0.045</v>
      </c>
      <c r="D1493" s="0" t="s">
        <v>5046</v>
      </c>
      <c r="E1493" s="0" t="s">
        <v>3820</v>
      </c>
      <c r="F1493" s="0" t="s">
        <v>3160</v>
      </c>
      <c r="G1493" s="0" t="s">
        <v>4413</v>
      </c>
    </row>
    <row r="1499" customFormat="false" ht="12.8" hidden="false" customHeight="false" outlineLevel="0" collapsed="false">
      <c r="A1499" s="9" t="s">
        <v>7012</v>
      </c>
      <c r="B1499" s="10" t="s">
        <v>5123</v>
      </c>
      <c r="C1499" s="10" t="n">
        <v>0.24</v>
      </c>
      <c r="D1499" s="0" t="s">
        <v>5124</v>
      </c>
      <c r="E1499" s="0" t="s">
        <v>5097</v>
      </c>
      <c r="F1499" s="0" t="s">
        <v>3160</v>
      </c>
      <c r="G1499" s="0" t="s">
        <v>5051</v>
      </c>
    </row>
    <row r="1500" customFormat="false" ht="12.8" hidden="false" customHeight="false" outlineLevel="0" collapsed="false">
      <c r="A1500" s="9" t="s">
        <v>7013</v>
      </c>
      <c r="B1500" s="10" t="s">
        <v>5126</v>
      </c>
      <c r="C1500" s="10" t="n">
        <v>0.17</v>
      </c>
      <c r="D1500" s="0" t="s">
        <v>5127</v>
      </c>
      <c r="E1500" s="0" t="s">
        <v>5097</v>
      </c>
      <c r="F1500" s="0" t="s">
        <v>3160</v>
      </c>
      <c r="G1500" s="0" t="s">
        <v>5051</v>
      </c>
    </row>
    <row r="1501" customFormat="false" ht="12.8" hidden="false" customHeight="false" outlineLevel="0" collapsed="false">
      <c r="A1501" s="9" t="s">
        <v>7014</v>
      </c>
      <c r="B1501" s="10" t="s">
        <v>5129</v>
      </c>
      <c r="C1501" s="10" t="n">
        <v>0.21</v>
      </c>
      <c r="D1501" s="0" t="s">
        <v>5130</v>
      </c>
      <c r="E1501" s="0" t="s">
        <v>5097</v>
      </c>
      <c r="F1501" s="0" t="s">
        <v>3160</v>
      </c>
      <c r="G1501" s="0" t="s">
        <v>5051</v>
      </c>
    </row>
    <row r="1502" customFormat="false" ht="12.8" hidden="false" customHeight="false" outlineLevel="0" collapsed="false">
      <c r="A1502" s="9" t="s">
        <v>7015</v>
      </c>
      <c r="B1502" s="10" t="s">
        <v>5132</v>
      </c>
      <c r="C1502" s="10" t="n">
        <v>0.19</v>
      </c>
      <c r="D1502" s="0" t="s">
        <v>5133</v>
      </c>
      <c r="E1502" s="0" t="s">
        <v>5097</v>
      </c>
      <c r="F1502" s="0" t="s">
        <v>3160</v>
      </c>
      <c r="G1502" s="0" t="s">
        <v>5051</v>
      </c>
    </row>
    <row r="1503" customFormat="false" ht="12.8" hidden="false" customHeight="false" outlineLevel="0" collapsed="false">
      <c r="A1503" s="9" t="s">
        <v>7016</v>
      </c>
      <c r="B1503" s="10" t="s">
        <v>5135</v>
      </c>
      <c r="C1503" s="10" t="n">
        <v>0.18</v>
      </c>
      <c r="D1503" s="0" t="s">
        <v>5136</v>
      </c>
      <c r="E1503" s="0" t="s">
        <v>5097</v>
      </c>
      <c r="F1503" s="0" t="s">
        <v>3160</v>
      </c>
      <c r="G1503" s="0" t="s">
        <v>5051</v>
      </c>
    </row>
    <row r="1504" customFormat="false" ht="12.8" hidden="false" customHeight="false" outlineLevel="0" collapsed="false">
      <c r="A1504" s="9" t="s">
        <v>7017</v>
      </c>
      <c r="B1504" s="10" t="s">
        <v>5138</v>
      </c>
      <c r="C1504" s="10" t="n">
        <v>0.12</v>
      </c>
      <c r="D1504" s="0" t="s">
        <v>5139</v>
      </c>
      <c r="E1504" s="0" t="s">
        <v>5097</v>
      </c>
      <c r="F1504" s="0" t="s">
        <v>3160</v>
      </c>
      <c r="G1504" s="0" t="s">
        <v>5051</v>
      </c>
    </row>
    <row r="1505" customFormat="false" ht="12.8" hidden="false" customHeight="false" outlineLevel="0" collapsed="false">
      <c r="A1505" s="9" t="s">
        <v>7018</v>
      </c>
      <c r="B1505" s="10" t="s">
        <v>5168</v>
      </c>
      <c r="C1505" s="10" t="n">
        <v>0.41</v>
      </c>
      <c r="D1505" s="0" t="s">
        <v>5169</v>
      </c>
      <c r="E1505" s="0" t="s">
        <v>5097</v>
      </c>
      <c r="F1505" s="0" t="s">
        <v>3160</v>
      </c>
      <c r="G1505" s="0" t="s">
        <v>5051</v>
      </c>
    </row>
    <row r="1506" customFormat="false" ht="12.8" hidden="false" customHeight="false" outlineLevel="0" collapsed="false">
      <c r="A1506" s="9" t="s">
        <v>7019</v>
      </c>
      <c r="B1506" s="10" t="s">
        <v>5171</v>
      </c>
      <c r="C1506" s="10" t="n">
        <v>0.29</v>
      </c>
      <c r="D1506" s="0" t="s">
        <v>5172</v>
      </c>
      <c r="E1506" s="0" t="s">
        <v>5097</v>
      </c>
      <c r="F1506" s="0" t="s">
        <v>3160</v>
      </c>
      <c r="G1506" s="0" t="s">
        <v>5051</v>
      </c>
    </row>
    <row r="1507" customFormat="false" ht="12.8" hidden="false" customHeight="false" outlineLevel="0" collapsed="false">
      <c r="A1507" s="9" t="s">
        <v>7020</v>
      </c>
      <c r="B1507" s="10" t="s">
        <v>5174</v>
      </c>
      <c r="C1507" s="10" t="n">
        <v>0.36</v>
      </c>
      <c r="D1507" s="0" t="s">
        <v>5175</v>
      </c>
      <c r="E1507" s="0" t="s">
        <v>5097</v>
      </c>
      <c r="F1507" s="0" t="s">
        <v>3160</v>
      </c>
      <c r="G1507" s="0" t="s">
        <v>5051</v>
      </c>
    </row>
    <row r="1508" customFormat="false" ht="12.8" hidden="false" customHeight="false" outlineLevel="0" collapsed="false">
      <c r="A1508" s="9" t="s">
        <v>7021</v>
      </c>
      <c r="B1508" s="10" t="s">
        <v>5177</v>
      </c>
      <c r="C1508" s="10" t="n">
        <v>0.33</v>
      </c>
      <c r="D1508" s="0" t="s">
        <v>5178</v>
      </c>
      <c r="E1508" s="0" t="s">
        <v>5097</v>
      </c>
      <c r="F1508" s="0" t="s">
        <v>3160</v>
      </c>
      <c r="G1508" s="0" t="s">
        <v>5051</v>
      </c>
    </row>
    <row r="1509" customFormat="false" ht="12.8" hidden="false" customHeight="false" outlineLevel="0" collapsed="false">
      <c r="A1509" s="9" t="s">
        <v>7022</v>
      </c>
      <c r="B1509" s="10" t="s">
        <v>5180</v>
      </c>
      <c r="C1509" s="10" t="n">
        <v>0.31</v>
      </c>
      <c r="D1509" s="0" t="s">
        <v>5181</v>
      </c>
      <c r="E1509" s="0" t="s">
        <v>5097</v>
      </c>
      <c r="F1509" s="0" t="s">
        <v>3160</v>
      </c>
      <c r="G1509" s="0" t="s">
        <v>5051</v>
      </c>
    </row>
    <row r="1510" customFormat="false" ht="12.8" hidden="false" customHeight="false" outlineLevel="0" collapsed="false">
      <c r="A1510" s="9" t="s">
        <v>7023</v>
      </c>
      <c r="B1510" s="10" t="s">
        <v>5183</v>
      </c>
      <c r="C1510" s="10" t="n">
        <v>0.22</v>
      </c>
      <c r="D1510" s="0" t="s">
        <v>5184</v>
      </c>
      <c r="E1510" s="0" t="s">
        <v>5097</v>
      </c>
      <c r="F1510" s="0" t="s">
        <v>3160</v>
      </c>
      <c r="G1510" s="0" t="s">
        <v>5051</v>
      </c>
    </row>
    <row r="1516" customFormat="false" ht="12.8" hidden="false" customHeight="false" outlineLevel="0" collapsed="false">
      <c r="A1516" s="9" t="s">
        <v>7024</v>
      </c>
      <c r="B1516" s="10" t="s">
        <v>5261</v>
      </c>
      <c r="C1516" s="10" t="n">
        <v>5200</v>
      </c>
      <c r="D1516" s="0" t="s">
        <v>5262</v>
      </c>
      <c r="E1516" s="0" t="s">
        <v>5235</v>
      </c>
      <c r="F1516" s="0" t="s">
        <v>3160</v>
      </c>
      <c r="G1516" s="0" t="s">
        <v>5189</v>
      </c>
    </row>
    <row r="1517" customFormat="false" ht="12.8" hidden="false" customHeight="false" outlineLevel="0" collapsed="false">
      <c r="A1517" s="9" t="s">
        <v>7025</v>
      </c>
      <c r="B1517" s="10" t="s">
        <v>5264</v>
      </c>
      <c r="C1517" s="10" t="n">
        <v>5600</v>
      </c>
      <c r="D1517" s="0" t="s">
        <v>5265</v>
      </c>
      <c r="E1517" s="0" t="s">
        <v>5235</v>
      </c>
      <c r="F1517" s="0" t="s">
        <v>3160</v>
      </c>
      <c r="G1517" s="0" t="s">
        <v>5189</v>
      </c>
    </row>
    <row r="1518" customFormat="false" ht="12.8" hidden="false" customHeight="false" outlineLevel="0" collapsed="false">
      <c r="A1518" s="9" t="s">
        <v>7026</v>
      </c>
      <c r="B1518" s="10" t="s">
        <v>5267</v>
      </c>
      <c r="C1518" s="10" t="n">
        <v>5400</v>
      </c>
      <c r="D1518" s="0" t="s">
        <v>5268</v>
      </c>
      <c r="E1518" s="0" t="s">
        <v>5235</v>
      </c>
      <c r="F1518" s="0" t="s">
        <v>3160</v>
      </c>
      <c r="G1518" s="0" t="s">
        <v>5189</v>
      </c>
    </row>
    <row r="1519" customFormat="false" ht="12.8" hidden="false" customHeight="false" outlineLevel="0" collapsed="false">
      <c r="A1519" s="9" t="s">
        <v>7027</v>
      </c>
      <c r="B1519" s="10" t="s">
        <v>5270</v>
      </c>
      <c r="C1519" s="10" t="n">
        <v>5500</v>
      </c>
      <c r="D1519" s="0" t="s">
        <v>5271</v>
      </c>
      <c r="E1519" s="0" t="s">
        <v>5235</v>
      </c>
      <c r="F1519" s="0" t="s">
        <v>3160</v>
      </c>
      <c r="G1519" s="0" t="s">
        <v>5189</v>
      </c>
    </row>
    <row r="1520" customFormat="false" ht="12.8" hidden="false" customHeight="false" outlineLevel="0" collapsed="false">
      <c r="A1520" s="9" t="s">
        <v>7028</v>
      </c>
      <c r="B1520" s="10" t="s">
        <v>5273</v>
      </c>
      <c r="C1520" s="10" t="n">
        <v>5700</v>
      </c>
      <c r="D1520" s="0" t="s">
        <v>5274</v>
      </c>
      <c r="E1520" s="0" t="s">
        <v>5235</v>
      </c>
      <c r="F1520" s="0" t="s">
        <v>3160</v>
      </c>
      <c r="G1520" s="0" t="s">
        <v>5189</v>
      </c>
    </row>
    <row r="1521" customFormat="false" ht="12.8" hidden="false" customHeight="false" outlineLevel="0" collapsed="false">
      <c r="A1521" s="9" t="s">
        <v>7029</v>
      </c>
      <c r="B1521" s="10" t="s">
        <v>5276</v>
      </c>
      <c r="C1521" s="10" t="n">
        <v>5900</v>
      </c>
      <c r="D1521" s="0" t="s">
        <v>5277</v>
      </c>
      <c r="E1521" s="0" t="s">
        <v>5235</v>
      </c>
      <c r="F1521" s="0" t="s">
        <v>3160</v>
      </c>
      <c r="G1521" s="0" t="s">
        <v>5189</v>
      </c>
    </row>
    <row r="1522" customFormat="false" ht="12.8" hidden="false" customHeight="false" outlineLevel="0" collapsed="false">
      <c r="A1522" s="9" t="s">
        <v>7030</v>
      </c>
      <c r="B1522" s="10" t="s">
        <v>5306</v>
      </c>
      <c r="C1522" s="10" t="n">
        <v>5400</v>
      </c>
      <c r="D1522" s="0" t="s">
        <v>5307</v>
      </c>
      <c r="E1522" s="0" t="s">
        <v>5235</v>
      </c>
      <c r="F1522" s="0" t="s">
        <v>3160</v>
      </c>
      <c r="G1522" s="0" t="s">
        <v>5189</v>
      </c>
    </row>
    <row r="1523" customFormat="false" ht="12.8" hidden="false" customHeight="false" outlineLevel="0" collapsed="false">
      <c r="A1523" s="9" t="s">
        <v>7031</v>
      </c>
      <c r="B1523" s="10" t="s">
        <v>5309</v>
      </c>
      <c r="C1523" s="10" t="n">
        <v>5800</v>
      </c>
      <c r="D1523" s="0" t="s">
        <v>5310</v>
      </c>
      <c r="E1523" s="0" t="s">
        <v>5235</v>
      </c>
      <c r="F1523" s="0" t="s">
        <v>3160</v>
      </c>
      <c r="G1523" s="0" t="s">
        <v>5189</v>
      </c>
    </row>
    <row r="1524" customFormat="false" ht="12.8" hidden="false" customHeight="false" outlineLevel="0" collapsed="false">
      <c r="A1524" s="9" t="s">
        <v>7032</v>
      </c>
      <c r="B1524" s="10" t="s">
        <v>5312</v>
      </c>
      <c r="C1524" s="10" t="n">
        <v>5600</v>
      </c>
      <c r="D1524" s="0" t="s">
        <v>5313</v>
      </c>
      <c r="E1524" s="0" t="s">
        <v>5235</v>
      </c>
      <c r="F1524" s="0" t="s">
        <v>3160</v>
      </c>
      <c r="G1524" s="0" t="s">
        <v>5189</v>
      </c>
    </row>
    <row r="1525" customFormat="false" ht="12.8" hidden="false" customHeight="false" outlineLevel="0" collapsed="false">
      <c r="A1525" s="9" t="s">
        <v>7033</v>
      </c>
      <c r="B1525" s="10" t="s">
        <v>5315</v>
      </c>
      <c r="C1525" s="10" t="n">
        <v>5700</v>
      </c>
      <c r="D1525" s="0" t="s">
        <v>5316</v>
      </c>
      <c r="E1525" s="0" t="s">
        <v>5235</v>
      </c>
      <c r="F1525" s="0" t="s">
        <v>3160</v>
      </c>
      <c r="G1525" s="0" t="s">
        <v>5189</v>
      </c>
    </row>
    <row r="1526" customFormat="false" ht="12.8" hidden="false" customHeight="false" outlineLevel="0" collapsed="false">
      <c r="A1526" s="9" t="s">
        <v>7034</v>
      </c>
      <c r="B1526" s="10" t="s">
        <v>5318</v>
      </c>
      <c r="C1526" s="10" t="n">
        <v>5900</v>
      </c>
      <c r="D1526" s="0" t="s">
        <v>5319</v>
      </c>
      <c r="E1526" s="0" t="s">
        <v>5235</v>
      </c>
      <c r="F1526" s="0" t="s">
        <v>3160</v>
      </c>
      <c r="G1526" s="0" t="s">
        <v>5189</v>
      </c>
    </row>
    <row r="1527" customFormat="false" ht="12.8" hidden="false" customHeight="false" outlineLevel="0" collapsed="false">
      <c r="A1527" s="9" t="s">
        <v>7035</v>
      </c>
      <c r="B1527" s="10" t="s">
        <v>5321</v>
      </c>
      <c r="C1527" s="10" t="n">
        <v>6100</v>
      </c>
      <c r="D1527" s="0" t="s">
        <v>5322</v>
      </c>
      <c r="E1527" s="0" t="s">
        <v>5235</v>
      </c>
      <c r="F1527" s="0" t="s">
        <v>3160</v>
      </c>
      <c r="G1527" s="0" t="s">
        <v>5189</v>
      </c>
    </row>
    <row r="1533" customFormat="false" ht="12.8" hidden="false" customHeight="false" outlineLevel="0" collapsed="false">
      <c r="A1533" s="9" t="s">
        <v>7036</v>
      </c>
      <c r="B1533" s="10" t="s">
        <v>5399</v>
      </c>
      <c r="C1533" s="10" t="n">
        <v>0.043</v>
      </c>
      <c r="D1533" s="0" t="s">
        <v>5400</v>
      </c>
      <c r="E1533" s="0" t="s">
        <v>5373</v>
      </c>
      <c r="F1533" s="0" t="s">
        <v>3160</v>
      </c>
      <c r="G1533" s="0" t="s">
        <v>5327</v>
      </c>
    </row>
    <row r="1534" customFormat="false" ht="12.8" hidden="false" customHeight="false" outlineLevel="0" collapsed="false">
      <c r="A1534" s="9" t="s">
        <v>7037</v>
      </c>
      <c r="B1534" s="10" t="s">
        <v>5402</v>
      </c>
      <c r="C1534" s="10" t="n">
        <v>0.05</v>
      </c>
      <c r="D1534" s="0" t="s">
        <v>5403</v>
      </c>
      <c r="E1534" s="0" t="s">
        <v>5373</v>
      </c>
      <c r="F1534" s="0" t="s">
        <v>3160</v>
      </c>
      <c r="G1534" s="0" t="s">
        <v>5327</v>
      </c>
    </row>
    <row r="1535" customFormat="false" ht="12.8" hidden="false" customHeight="false" outlineLevel="0" collapsed="false">
      <c r="A1535" s="9" t="s">
        <v>7038</v>
      </c>
      <c r="B1535" s="10" t="s">
        <v>5405</v>
      </c>
      <c r="C1535" s="10" t="n">
        <v>0.045</v>
      </c>
      <c r="D1535" s="0" t="s">
        <v>5406</v>
      </c>
      <c r="E1535" s="0" t="s">
        <v>5373</v>
      </c>
      <c r="F1535" s="0" t="s">
        <v>3160</v>
      </c>
      <c r="G1535" s="0" t="s">
        <v>5327</v>
      </c>
    </row>
    <row r="1537" customFormat="false" ht="12.8" hidden="false" customHeight="false" outlineLevel="0" collapsed="false">
      <c r="A1537" s="9" t="s">
        <v>7039</v>
      </c>
      <c r="B1537" s="10" t="s">
        <v>5408</v>
      </c>
      <c r="C1537" s="10" t="n">
        <v>0.047</v>
      </c>
      <c r="D1537" s="0" t="s">
        <v>5409</v>
      </c>
      <c r="E1537" s="0" t="s">
        <v>5373</v>
      </c>
      <c r="F1537" s="0" t="s">
        <v>3160</v>
      </c>
      <c r="G1537" s="0" t="s">
        <v>5327</v>
      </c>
    </row>
    <row r="1538" customFormat="false" ht="12.8" hidden="false" customHeight="false" outlineLevel="0" collapsed="false">
      <c r="A1538" s="9" t="s">
        <v>7040</v>
      </c>
      <c r="B1538" s="10" t="s">
        <v>5411</v>
      </c>
      <c r="C1538" s="10" t="n">
        <v>0.053</v>
      </c>
      <c r="D1538" s="0" t="s">
        <v>5412</v>
      </c>
      <c r="E1538" s="0" t="s">
        <v>5373</v>
      </c>
      <c r="F1538" s="0" t="s">
        <v>3160</v>
      </c>
      <c r="G1538" s="0" t="s">
        <v>5327</v>
      </c>
    </row>
    <row r="1539" customFormat="false" ht="12.8" hidden="false" customHeight="false" outlineLevel="0" collapsed="false">
      <c r="A1539" s="9" t="s">
        <v>7041</v>
      </c>
      <c r="B1539" s="10" t="s">
        <v>5414</v>
      </c>
      <c r="C1539" s="10" t="n">
        <v>0.055</v>
      </c>
      <c r="D1539" s="0" t="s">
        <v>5415</v>
      </c>
      <c r="E1539" s="0" t="s">
        <v>5373</v>
      </c>
      <c r="F1539" s="0" t="s">
        <v>3160</v>
      </c>
      <c r="G1539" s="0" t="s">
        <v>5327</v>
      </c>
    </row>
    <row r="1540" customFormat="false" ht="12.8" hidden="false" customHeight="false" outlineLevel="0" collapsed="false">
      <c r="A1540" s="9" t="s">
        <v>7042</v>
      </c>
      <c r="B1540" s="10" t="s">
        <v>5445</v>
      </c>
      <c r="C1540" s="10" t="n">
        <v>0.038</v>
      </c>
      <c r="D1540" s="0" t="s">
        <v>5446</v>
      </c>
      <c r="E1540" s="0" t="s">
        <v>5419</v>
      </c>
      <c r="F1540" s="0" t="s">
        <v>3160</v>
      </c>
      <c r="G1540" s="0" t="s">
        <v>5327</v>
      </c>
    </row>
    <row r="1541" customFormat="false" ht="12.8" hidden="false" customHeight="false" outlineLevel="0" collapsed="false">
      <c r="A1541" s="9" t="s">
        <v>7043</v>
      </c>
      <c r="B1541" s="10" t="s">
        <v>5448</v>
      </c>
      <c r="C1541" s="10" t="n">
        <v>0.045</v>
      </c>
      <c r="D1541" s="0" t="s">
        <v>5449</v>
      </c>
      <c r="E1541" s="0" t="s">
        <v>5419</v>
      </c>
      <c r="F1541" s="0" t="s">
        <v>3160</v>
      </c>
      <c r="G1541" s="0" t="s">
        <v>5327</v>
      </c>
    </row>
    <row r="1542" customFormat="false" ht="12.8" hidden="false" customHeight="false" outlineLevel="0" collapsed="false">
      <c r="A1542" s="9" t="s">
        <v>7044</v>
      </c>
      <c r="B1542" s="10" t="s">
        <v>5451</v>
      </c>
      <c r="C1542" s="10" t="n">
        <v>0.04</v>
      </c>
      <c r="D1542" s="0" t="s">
        <v>5452</v>
      </c>
      <c r="E1542" s="0" t="s">
        <v>5419</v>
      </c>
      <c r="F1542" s="0" t="s">
        <v>3160</v>
      </c>
      <c r="G1542" s="0" t="s">
        <v>5327</v>
      </c>
    </row>
    <row r="1543" customFormat="false" ht="12.8" hidden="false" customHeight="false" outlineLevel="0" collapsed="false">
      <c r="A1543" s="9" t="s">
        <v>7045</v>
      </c>
      <c r="B1543" s="10" t="s">
        <v>5454</v>
      </c>
      <c r="C1543" s="10" t="n">
        <v>0.042</v>
      </c>
      <c r="D1543" s="0" t="s">
        <v>5455</v>
      </c>
      <c r="E1543" s="0" t="s">
        <v>5419</v>
      </c>
      <c r="F1543" s="0" t="s">
        <v>3160</v>
      </c>
      <c r="G1543" s="0" t="s">
        <v>5327</v>
      </c>
    </row>
    <row r="1544" customFormat="false" ht="12.8" hidden="false" customHeight="false" outlineLevel="0" collapsed="false">
      <c r="A1544" s="9" t="s">
        <v>7046</v>
      </c>
      <c r="B1544" s="10" t="s">
        <v>5457</v>
      </c>
      <c r="C1544" s="10" t="n">
        <v>0.048</v>
      </c>
      <c r="D1544" s="0" t="s">
        <v>5458</v>
      </c>
      <c r="E1544" s="0" t="s">
        <v>5419</v>
      </c>
      <c r="F1544" s="0" t="s">
        <v>3160</v>
      </c>
      <c r="G1544" s="0" t="s">
        <v>5327</v>
      </c>
    </row>
    <row r="1545" customFormat="false" ht="12.8" hidden="false" customHeight="false" outlineLevel="0" collapsed="false">
      <c r="A1545" s="9" t="s">
        <v>7047</v>
      </c>
      <c r="B1545" s="10" t="s">
        <v>5460</v>
      </c>
      <c r="C1545" s="10" t="n">
        <v>0.05</v>
      </c>
      <c r="D1545" s="0" t="s">
        <v>5461</v>
      </c>
      <c r="E1545" s="0" t="s">
        <v>5419</v>
      </c>
      <c r="F1545" s="0" t="s">
        <v>3160</v>
      </c>
      <c r="G1545" s="0" t="s">
        <v>5327</v>
      </c>
    </row>
    <row r="1551" customFormat="false" ht="12.8" hidden="false" customHeight="false" outlineLevel="0" collapsed="false">
      <c r="A1551" s="9" t="s">
        <v>7048</v>
      </c>
      <c r="B1551" s="10" t="s">
        <v>5537</v>
      </c>
      <c r="C1551" s="10" t="n">
        <v>1350</v>
      </c>
      <c r="D1551" s="0" t="s">
        <v>5538</v>
      </c>
      <c r="E1551" s="0" t="s">
        <v>5373</v>
      </c>
      <c r="F1551" s="0" t="s">
        <v>3160</v>
      </c>
      <c r="G1551" s="0" t="s">
        <v>5466</v>
      </c>
    </row>
    <row r="1552" customFormat="false" ht="12.8" hidden="false" customHeight="false" outlineLevel="0" collapsed="false">
      <c r="A1552" s="9" t="s">
        <v>7049</v>
      </c>
      <c r="B1552" s="10" t="s">
        <v>5540</v>
      </c>
      <c r="C1552" s="10" t="n">
        <v>1500</v>
      </c>
      <c r="D1552" s="0" t="s">
        <v>5541</v>
      </c>
      <c r="E1552" s="0" t="s">
        <v>5373</v>
      </c>
      <c r="F1552" s="0" t="s">
        <v>3160</v>
      </c>
      <c r="G1552" s="0" t="s">
        <v>5466</v>
      </c>
    </row>
    <row r="1553" customFormat="false" ht="12.8" hidden="false" customHeight="false" outlineLevel="0" collapsed="false">
      <c r="A1553" s="9" t="s">
        <v>7050</v>
      </c>
      <c r="B1553" s="10" t="s">
        <v>5543</v>
      </c>
      <c r="C1553" s="10" t="n">
        <v>1400</v>
      </c>
      <c r="D1553" s="0" t="s">
        <v>5544</v>
      </c>
      <c r="E1553" s="0" t="s">
        <v>5373</v>
      </c>
      <c r="F1553" s="0" t="s">
        <v>3160</v>
      </c>
      <c r="G1553" s="0" t="s">
        <v>5466</v>
      </c>
    </row>
    <row r="1554" customFormat="false" ht="12.8" hidden="false" customHeight="false" outlineLevel="0" collapsed="false">
      <c r="A1554" s="9" t="s">
        <v>7051</v>
      </c>
      <c r="B1554" s="10" t="s">
        <v>5546</v>
      </c>
      <c r="C1554" s="10" t="n">
        <v>1450</v>
      </c>
      <c r="D1554" s="0" t="s">
        <v>5547</v>
      </c>
      <c r="E1554" s="0" t="s">
        <v>5373</v>
      </c>
      <c r="F1554" s="0" t="s">
        <v>3160</v>
      </c>
      <c r="G1554" s="0" t="s">
        <v>5466</v>
      </c>
    </row>
    <row r="1555" customFormat="false" ht="12.8" hidden="false" customHeight="false" outlineLevel="0" collapsed="false">
      <c r="A1555" s="9" t="s">
        <v>7052</v>
      </c>
      <c r="B1555" s="10" t="s">
        <v>5549</v>
      </c>
      <c r="C1555" s="10" t="n">
        <v>1550</v>
      </c>
      <c r="D1555" s="0" t="s">
        <v>5550</v>
      </c>
      <c r="E1555" s="0" t="s">
        <v>5373</v>
      </c>
      <c r="F1555" s="0" t="s">
        <v>3160</v>
      </c>
      <c r="G1555" s="0" t="s">
        <v>5466</v>
      </c>
    </row>
    <row r="1556" customFormat="false" ht="12.8" hidden="false" customHeight="false" outlineLevel="0" collapsed="false">
      <c r="A1556" s="9" t="s">
        <v>7053</v>
      </c>
      <c r="B1556" s="10" t="s">
        <v>5552</v>
      </c>
      <c r="C1556" s="10" t="n">
        <v>1600</v>
      </c>
      <c r="D1556" s="0" t="s">
        <v>5553</v>
      </c>
      <c r="E1556" s="0" t="s">
        <v>5373</v>
      </c>
      <c r="F1556" s="0" t="s">
        <v>3160</v>
      </c>
      <c r="G1556" s="0" t="s">
        <v>5466</v>
      </c>
    </row>
    <row r="1557" customFormat="false" ht="12.8" hidden="false" customHeight="false" outlineLevel="0" collapsed="false">
      <c r="A1557" s="9" t="s">
        <v>7054</v>
      </c>
      <c r="B1557" s="10" t="s">
        <v>5582</v>
      </c>
      <c r="C1557" s="10" t="n">
        <v>1250</v>
      </c>
      <c r="D1557" s="0" t="s">
        <v>5583</v>
      </c>
      <c r="E1557" s="0" t="s">
        <v>5419</v>
      </c>
      <c r="F1557" s="0" t="s">
        <v>3160</v>
      </c>
      <c r="G1557" s="0" t="s">
        <v>5466</v>
      </c>
    </row>
    <row r="1558" customFormat="false" ht="12.8" hidden="false" customHeight="false" outlineLevel="0" collapsed="false">
      <c r="A1558" s="9" t="s">
        <v>7055</v>
      </c>
      <c r="B1558" s="10" t="s">
        <v>5585</v>
      </c>
      <c r="C1558" s="10" t="n">
        <v>1400</v>
      </c>
      <c r="D1558" s="0" t="s">
        <v>5586</v>
      </c>
      <c r="E1558" s="0" t="s">
        <v>5419</v>
      </c>
      <c r="F1558" s="0" t="s">
        <v>3160</v>
      </c>
      <c r="G1558" s="0" t="s">
        <v>5466</v>
      </c>
    </row>
    <row r="1559" customFormat="false" ht="12.8" hidden="false" customHeight="false" outlineLevel="0" collapsed="false">
      <c r="A1559" s="9" t="s">
        <v>7056</v>
      </c>
      <c r="B1559" s="10" t="s">
        <v>5588</v>
      </c>
      <c r="C1559" s="10" t="n">
        <v>1300</v>
      </c>
      <c r="D1559" s="0" t="s">
        <v>5589</v>
      </c>
      <c r="E1559" s="0" t="s">
        <v>5419</v>
      </c>
      <c r="F1559" s="0" t="s">
        <v>3160</v>
      </c>
      <c r="G1559" s="0" t="s">
        <v>5466</v>
      </c>
    </row>
    <row r="1560" customFormat="false" ht="12.8" hidden="false" customHeight="false" outlineLevel="0" collapsed="false">
      <c r="A1560" s="9" t="s">
        <v>7057</v>
      </c>
      <c r="B1560" s="10" t="s">
        <v>5591</v>
      </c>
      <c r="C1560" s="10" t="n">
        <v>1350</v>
      </c>
      <c r="D1560" s="0" t="s">
        <v>5592</v>
      </c>
      <c r="E1560" s="0" t="s">
        <v>5419</v>
      </c>
      <c r="F1560" s="0" t="s">
        <v>3160</v>
      </c>
      <c r="G1560" s="0" t="s">
        <v>5466</v>
      </c>
    </row>
    <row r="1561" customFormat="false" ht="12.8" hidden="false" customHeight="false" outlineLevel="0" collapsed="false">
      <c r="A1561" s="9" t="s">
        <v>7058</v>
      </c>
      <c r="B1561" s="10" t="s">
        <v>5594</v>
      </c>
      <c r="C1561" s="10" t="n">
        <v>1450</v>
      </c>
      <c r="D1561" s="0" t="s">
        <v>5595</v>
      </c>
      <c r="E1561" s="0" t="s">
        <v>5419</v>
      </c>
      <c r="F1561" s="0" t="s">
        <v>3160</v>
      </c>
      <c r="G1561" s="0" t="s">
        <v>5466</v>
      </c>
    </row>
    <row r="1562" customFormat="false" ht="12.8" hidden="false" customHeight="false" outlineLevel="0" collapsed="false">
      <c r="A1562" s="9" t="s">
        <v>7059</v>
      </c>
      <c r="B1562" s="10" t="s">
        <v>5597</v>
      </c>
      <c r="C1562" s="10" t="n">
        <v>1500</v>
      </c>
      <c r="D1562" s="0" t="s">
        <v>5598</v>
      </c>
      <c r="E1562" s="0" t="s">
        <v>5419</v>
      </c>
      <c r="F1562" s="0" t="s">
        <v>3160</v>
      </c>
      <c r="G1562" s="0" t="s">
        <v>5466</v>
      </c>
    </row>
    <row r="1568" customFormat="false" ht="12.8" hidden="false" customHeight="false" outlineLevel="0" collapsed="false">
      <c r="A1568" s="9" t="s">
        <v>7060</v>
      </c>
      <c r="B1568" s="10" t="s">
        <v>5675</v>
      </c>
      <c r="C1568" s="10" t="n">
        <v>0.84</v>
      </c>
      <c r="D1568" s="0" t="s">
        <v>5676</v>
      </c>
      <c r="E1568" s="0" t="s">
        <v>5649</v>
      </c>
      <c r="F1568" s="0" t="s">
        <v>3160</v>
      </c>
      <c r="G1568" s="0" t="s">
        <v>5603</v>
      </c>
    </row>
    <row r="1569" customFormat="false" ht="12.8" hidden="false" customHeight="false" outlineLevel="0" collapsed="false">
      <c r="A1569" s="9" t="s">
        <v>7061</v>
      </c>
      <c r="B1569" s="10" t="s">
        <v>5678</v>
      </c>
      <c r="C1569" s="10" t="n">
        <v>0.88</v>
      </c>
      <c r="D1569" s="0" t="s">
        <v>5679</v>
      </c>
      <c r="E1569" s="0" t="s">
        <v>5649</v>
      </c>
      <c r="F1569" s="0" t="s">
        <v>3160</v>
      </c>
      <c r="G1569" s="0" t="s">
        <v>5603</v>
      </c>
    </row>
    <row r="1570" customFormat="false" ht="12.8" hidden="false" customHeight="false" outlineLevel="0" collapsed="false">
      <c r="A1570" s="9" t="s">
        <v>7062</v>
      </c>
      <c r="B1570" s="10" t="s">
        <v>5681</v>
      </c>
      <c r="C1570" s="10" t="n">
        <v>0.86</v>
      </c>
      <c r="D1570" s="0" t="s">
        <v>5682</v>
      </c>
      <c r="E1570" s="0" t="s">
        <v>5649</v>
      </c>
      <c r="F1570" s="0" t="s">
        <v>3160</v>
      </c>
      <c r="G1570" s="0" t="s">
        <v>5603</v>
      </c>
    </row>
    <row r="1571" customFormat="false" ht="12.8" hidden="false" customHeight="false" outlineLevel="0" collapsed="false">
      <c r="A1571" s="9" t="s">
        <v>7063</v>
      </c>
      <c r="B1571" s="10" t="s">
        <v>5684</v>
      </c>
      <c r="C1571" s="10" t="n">
        <v>0.9</v>
      </c>
      <c r="D1571" s="0" t="s">
        <v>5685</v>
      </c>
      <c r="E1571" s="0" t="s">
        <v>5649</v>
      </c>
      <c r="F1571" s="0" t="s">
        <v>3160</v>
      </c>
      <c r="G1571" s="0" t="s">
        <v>5603</v>
      </c>
    </row>
    <row r="1572" customFormat="false" ht="12.8" hidden="false" customHeight="false" outlineLevel="0" collapsed="false">
      <c r="A1572" s="9" t="s">
        <v>7064</v>
      </c>
      <c r="B1572" s="10" t="s">
        <v>5687</v>
      </c>
      <c r="C1572" s="10" t="n">
        <v>0.88</v>
      </c>
      <c r="D1572" s="0" t="s">
        <v>5688</v>
      </c>
      <c r="E1572" s="0" t="s">
        <v>5649</v>
      </c>
      <c r="F1572" s="0" t="s">
        <v>3160</v>
      </c>
      <c r="G1572" s="0" t="s">
        <v>5603</v>
      </c>
    </row>
    <row r="1573" customFormat="false" ht="12.8" hidden="false" customHeight="false" outlineLevel="0" collapsed="false">
      <c r="A1573" s="9" t="s">
        <v>7065</v>
      </c>
      <c r="B1573" s="10" t="s">
        <v>5690</v>
      </c>
      <c r="C1573" s="10" t="n">
        <v>0.92</v>
      </c>
      <c r="D1573" s="0" t="s">
        <v>5691</v>
      </c>
      <c r="E1573" s="0" t="s">
        <v>5649</v>
      </c>
      <c r="F1573" s="0" t="s">
        <v>3160</v>
      </c>
      <c r="G1573" s="0" t="s">
        <v>5603</v>
      </c>
    </row>
    <row r="1574" customFormat="false" ht="12.8" hidden="false" customHeight="false" outlineLevel="0" collapsed="false">
      <c r="A1574" s="9" t="s">
        <v>7066</v>
      </c>
      <c r="B1574" s="10" t="s">
        <v>5721</v>
      </c>
      <c r="C1574" s="10" t="n">
        <v>0.7</v>
      </c>
      <c r="D1574" s="0" t="s">
        <v>5722</v>
      </c>
      <c r="E1574" s="0" t="s">
        <v>5695</v>
      </c>
      <c r="F1574" s="0" t="s">
        <v>3160</v>
      </c>
      <c r="G1574" s="0" t="s">
        <v>5603</v>
      </c>
    </row>
    <row r="1575" customFormat="false" ht="12.8" hidden="false" customHeight="false" outlineLevel="0" collapsed="false">
      <c r="A1575" s="9" t="s">
        <v>7067</v>
      </c>
      <c r="B1575" s="10" t="s">
        <v>5724</v>
      </c>
      <c r="C1575" s="10" t="n">
        <v>0.75</v>
      </c>
      <c r="D1575" s="0" t="s">
        <v>5725</v>
      </c>
      <c r="E1575" s="0" t="s">
        <v>5695</v>
      </c>
      <c r="F1575" s="0" t="s">
        <v>3160</v>
      </c>
      <c r="G1575" s="0" t="s">
        <v>5603</v>
      </c>
    </row>
    <row r="1576" customFormat="false" ht="12.8" hidden="false" customHeight="false" outlineLevel="0" collapsed="false">
      <c r="A1576" s="9" t="s">
        <v>7068</v>
      </c>
      <c r="B1576" s="10" t="s">
        <v>5727</v>
      </c>
      <c r="C1576" s="10" t="n">
        <v>0.72</v>
      </c>
      <c r="D1576" s="0" t="s">
        <v>5728</v>
      </c>
      <c r="E1576" s="0" t="s">
        <v>5695</v>
      </c>
      <c r="F1576" s="0" t="s">
        <v>3160</v>
      </c>
      <c r="G1576" s="0" t="s">
        <v>5603</v>
      </c>
    </row>
    <row r="1578" customFormat="false" ht="12.8" hidden="false" customHeight="false" outlineLevel="0" collapsed="false">
      <c r="A1578" s="9" t="s">
        <v>7069</v>
      </c>
      <c r="B1578" s="10" t="s">
        <v>5730</v>
      </c>
      <c r="C1578" s="10" t="n">
        <v>0.78</v>
      </c>
      <c r="D1578" s="0" t="s">
        <v>5731</v>
      </c>
      <c r="E1578" s="0" t="s">
        <v>5695</v>
      </c>
      <c r="F1578" s="0" t="s">
        <v>3160</v>
      </c>
      <c r="G1578" s="0" t="s">
        <v>5603</v>
      </c>
    </row>
    <row r="1579" customFormat="false" ht="12.8" hidden="false" customHeight="false" outlineLevel="0" collapsed="false">
      <c r="A1579" s="9" t="s">
        <v>7070</v>
      </c>
      <c r="B1579" s="10" t="s">
        <v>5733</v>
      </c>
      <c r="C1579" s="10" t="n">
        <v>0.76</v>
      </c>
      <c r="D1579" s="0" t="s">
        <v>5734</v>
      </c>
      <c r="E1579" s="0" t="s">
        <v>5695</v>
      </c>
      <c r="F1579" s="0" t="s">
        <v>3160</v>
      </c>
      <c r="G1579" s="0" t="s">
        <v>5603</v>
      </c>
    </row>
    <row r="1580" customFormat="false" ht="12.8" hidden="false" customHeight="false" outlineLevel="0" collapsed="false">
      <c r="A1580" s="9" t="s">
        <v>7071</v>
      </c>
      <c r="B1580" s="10" t="s">
        <v>5736</v>
      </c>
      <c r="C1580" s="10" t="n">
        <v>0.8</v>
      </c>
      <c r="D1580" s="0" t="s">
        <v>5737</v>
      </c>
      <c r="E1580" s="0" t="s">
        <v>5695</v>
      </c>
      <c r="F1580" s="0" t="s">
        <v>3160</v>
      </c>
      <c r="G1580" s="0" t="s">
        <v>5603</v>
      </c>
    </row>
    <row r="1586" customFormat="false" ht="12.8" hidden="false" customHeight="false" outlineLevel="0" collapsed="false">
      <c r="A1586" s="9" t="s">
        <v>7072</v>
      </c>
      <c r="B1586" s="10" t="s">
        <v>7073</v>
      </c>
      <c r="C1586" s="10" t="n">
        <v>0.0765</v>
      </c>
      <c r="D1586" s="0" t="s">
        <v>5769</v>
      </c>
      <c r="E1586" s="0" t="s">
        <v>5741</v>
      </c>
      <c r="F1586" s="0" t="s">
        <v>3151</v>
      </c>
      <c r="G1586" s="0" t="s">
        <v>5742</v>
      </c>
    </row>
    <row r="1587" customFormat="false" ht="12.8" hidden="false" customHeight="false" outlineLevel="0" collapsed="false">
      <c r="A1587" s="9" t="s">
        <v>7074</v>
      </c>
      <c r="B1587" s="10" t="s">
        <v>7075</v>
      </c>
      <c r="C1587" s="10" t="n">
        <v>0.0765</v>
      </c>
      <c r="D1587" s="0" t="s">
        <v>5772</v>
      </c>
      <c r="E1587" s="0" t="s">
        <v>5741</v>
      </c>
      <c r="F1587" s="0" t="s">
        <v>3151</v>
      </c>
      <c r="G1587" s="0" t="s">
        <v>5742</v>
      </c>
    </row>
    <row r="1588" customFormat="false" ht="12.8" hidden="false" customHeight="false" outlineLevel="0" collapsed="false">
      <c r="A1588" s="9" t="s">
        <v>7076</v>
      </c>
      <c r="B1588" s="10" t="s">
        <v>7077</v>
      </c>
      <c r="C1588" s="10" t="n">
        <v>0.0765</v>
      </c>
      <c r="D1588" s="0" t="s">
        <v>5775</v>
      </c>
      <c r="E1588" s="0" t="s">
        <v>5741</v>
      </c>
      <c r="F1588" s="0" t="s">
        <v>3151</v>
      </c>
      <c r="G1588" s="0" t="s">
        <v>5742</v>
      </c>
    </row>
    <row r="1589" customFormat="false" ht="12.8" hidden="false" customHeight="false" outlineLevel="0" collapsed="false">
      <c r="A1589" s="9" t="s">
        <v>7078</v>
      </c>
      <c r="B1589" s="10" t="s">
        <v>7079</v>
      </c>
      <c r="C1589" s="10" t="n">
        <v>0.0765</v>
      </c>
      <c r="D1589" s="0" t="s">
        <v>5778</v>
      </c>
      <c r="E1589" s="0" t="s">
        <v>5741</v>
      </c>
      <c r="F1589" s="0" t="s">
        <v>3151</v>
      </c>
      <c r="G1589" s="0" t="s">
        <v>5742</v>
      </c>
    </row>
    <row r="1590" customFormat="false" ht="12.8" hidden="false" customHeight="false" outlineLevel="0" collapsed="false">
      <c r="A1590" s="9" t="s">
        <v>7080</v>
      </c>
      <c r="B1590" s="10" t="s">
        <v>7081</v>
      </c>
      <c r="C1590" s="10" t="n">
        <v>0.0765</v>
      </c>
      <c r="D1590" s="0" t="s">
        <v>5781</v>
      </c>
      <c r="E1590" s="0" t="s">
        <v>5741</v>
      </c>
      <c r="F1590" s="0" t="s">
        <v>3151</v>
      </c>
      <c r="G1590" s="0" t="s">
        <v>5742</v>
      </c>
    </row>
    <row r="1591" customFormat="false" ht="12.8" hidden="false" customHeight="false" outlineLevel="0" collapsed="false">
      <c r="A1591" s="9" t="s">
        <v>7082</v>
      </c>
      <c r="B1591" s="10" t="s">
        <v>7083</v>
      </c>
      <c r="C1591" s="10" t="n">
        <v>0.0765</v>
      </c>
      <c r="D1591" s="0" t="s">
        <v>5784</v>
      </c>
      <c r="E1591" s="0" t="s">
        <v>5741</v>
      </c>
      <c r="F1591" s="0" t="s">
        <v>3151</v>
      </c>
      <c r="G1591" s="0" t="s">
        <v>5742</v>
      </c>
    </row>
    <row r="1592" customFormat="false" ht="12.8" hidden="false" customHeight="false" outlineLevel="0" collapsed="false">
      <c r="A1592" s="9" t="s">
        <v>7084</v>
      </c>
      <c r="B1592" s="10" t="s">
        <v>7085</v>
      </c>
      <c r="C1592" s="10" t="n">
        <v>0.0765</v>
      </c>
      <c r="D1592" s="0" t="s">
        <v>5814</v>
      </c>
      <c r="E1592" s="0" t="s">
        <v>5741</v>
      </c>
      <c r="F1592" s="0" t="s">
        <v>3151</v>
      </c>
      <c r="G1592" s="0" t="s">
        <v>5742</v>
      </c>
    </row>
    <row r="1593" customFormat="false" ht="12.8" hidden="false" customHeight="false" outlineLevel="0" collapsed="false">
      <c r="A1593" s="9" t="s">
        <v>7086</v>
      </c>
      <c r="B1593" s="10" t="s">
        <v>7087</v>
      </c>
      <c r="C1593" s="10" t="n">
        <v>0.0765</v>
      </c>
      <c r="D1593" s="0" t="s">
        <v>5817</v>
      </c>
      <c r="E1593" s="0" t="s">
        <v>5741</v>
      </c>
      <c r="F1593" s="0" t="s">
        <v>3151</v>
      </c>
      <c r="G1593" s="0" t="s">
        <v>5742</v>
      </c>
    </row>
    <row r="1594" customFormat="false" ht="12.8" hidden="false" customHeight="false" outlineLevel="0" collapsed="false">
      <c r="A1594" s="9" t="s">
        <v>7088</v>
      </c>
      <c r="B1594" s="10" t="s">
        <v>7089</v>
      </c>
      <c r="C1594" s="10" t="n">
        <v>0.0765</v>
      </c>
      <c r="D1594" s="0" t="s">
        <v>5820</v>
      </c>
      <c r="E1594" s="0" t="s">
        <v>5741</v>
      </c>
      <c r="F1594" s="0" t="s">
        <v>3151</v>
      </c>
      <c r="G1594" s="0" t="s">
        <v>5742</v>
      </c>
    </row>
    <row r="1595" customFormat="false" ht="12.8" hidden="false" customHeight="false" outlineLevel="0" collapsed="false">
      <c r="A1595" s="9" t="s">
        <v>7090</v>
      </c>
      <c r="B1595" s="10" t="s">
        <v>7091</v>
      </c>
      <c r="C1595" s="10" t="n">
        <v>0.0765</v>
      </c>
      <c r="D1595" s="0" t="s">
        <v>5823</v>
      </c>
      <c r="E1595" s="0" t="s">
        <v>5741</v>
      </c>
      <c r="F1595" s="0" t="s">
        <v>3151</v>
      </c>
      <c r="G1595" s="0" t="s">
        <v>5742</v>
      </c>
    </row>
    <row r="1596" customFormat="false" ht="12.8" hidden="false" customHeight="false" outlineLevel="0" collapsed="false">
      <c r="A1596" s="9" t="s">
        <v>7092</v>
      </c>
      <c r="B1596" s="10" t="s">
        <v>7093</v>
      </c>
      <c r="C1596" s="10" t="n">
        <v>0.0765</v>
      </c>
      <c r="D1596" s="0" t="s">
        <v>5826</v>
      </c>
      <c r="E1596" s="0" t="s">
        <v>5741</v>
      </c>
      <c r="F1596" s="0" t="s">
        <v>3151</v>
      </c>
      <c r="G1596" s="0" t="s">
        <v>5742</v>
      </c>
    </row>
    <row r="1597" customFormat="false" ht="12.8" hidden="false" customHeight="false" outlineLevel="0" collapsed="false">
      <c r="A1597" s="9" t="s">
        <v>7094</v>
      </c>
      <c r="B1597" s="10" t="s">
        <v>7095</v>
      </c>
      <c r="C1597" s="10" t="n">
        <v>0.0765</v>
      </c>
      <c r="D1597" s="0" t="s">
        <v>5829</v>
      </c>
      <c r="E1597" s="0" t="s">
        <v>5741</v>
      </c>
      <c r="F1597" s="0" t="s">
        <v>3151</v>
      </c>
      <c r="G1597" s="0" t="s">
        <v>5742</v>
      </c>
    </row>
    <row r="1598" customFormat="false" ht="12.8" hidden="false" customHeight="false" outlineLevel="0" collapsed="false">
      <c r="A1598" s="9" t="s">
        <v>7096</v>
      </c>
      <c r="B1598" s="10" t="s">
        <v>7097</v>
      </c>
      <c r="C1598" s="10" t="n">
        <v>0.0765</v>
      </c>
      <c r="D1598" s="0" t="s">
        <v>5860</v>
      </c>
      <c r="E1598" s="0" t="s">
        <v>5833</v>
      </c>
      <c r="F1598" s="0" t="s">
        <v>3151</v>
      </c>
      <c r="G1598" s="0" t="s">
        <v>5742</v>
      </c>
    </row>
    <row r="1599" customFormat="false" ht="12.8" hidden="false" customHeight="false" outlineLevel="0" collapsed="false">
      <c r="A1599" s="9" t="s">
        <v>7098</v>
      </c>
      <c r="B1599" s="10" t="s">
        <v>7099</v>
      </c>
      <c r="C1599" s="10" t="n">
        <v>0.0765</v>
      </c>
      <c r="D1599" s="0" t="s">
        <v>5863</v>
      </c>
      <c r="E1599" s="0" t="s">
        <v>5833</v>
      </c>
      <c r="F1599" s="0" t="s">
        <v>3151</v>
      </c>
      <c r="G1599" s="0" t="s">
        <v>5742</v>
      </c>
    </row>
    <row r="1600" customFormat="false" ht="12.8" hidden="false" customHeight="false" outlineLevel="0" collapsed="false">
      <c r="A1600" s="9" t="s">
        <v>7100</v>
      </c>
      <c r="B1600" s="10" t="s">
        <v>7101</v>
      </c>
      <c r="C1600" s="10" t="n">
        <v>0.0765</v>
      </c>
      <c r="D1600" s="0" t="s">
        <v>5866</v>
      </c>
      <c r="E1600" s="0" t="s">
        <v>5833</v>
      </c>
      <c r="F1600" s="0" t="s">
        <v>3151</v>
      </c>
      <c r="G1600" s="0" t="s">
        <v>5742</v>
      </c>
    </row>
    <row r="1601" customFormat="false" ht="12.8" hidden="false" customHeight="false" outlineLevel="0" collapsed="false">
      <c r="A1601" s="9" t="s">
        <v>7102</v>
      </c>
      <c r="B1601" s="10" t="s">
        <v>7103</v>
      </c>
      <c r="C1601" s="10" t="n">
        <v>0.0765</v>
      </c>
      <c r="D1601" s="0" t="s">
        <v>5869</v>
      </c>
      <c r="E1601" s="0" t="s">
        <v>5833</v>
      </c>
      <c r="F1601" s="0" t="s">
        <v>3151</v>
      </c>
      <c r="G1601" s="0" t="s">
        <v>5742</v>
      </c>
    </row>
    <row r="1602" customFormat="false" ht="12.8" hidden="false" customHeight="false" outlineLevel="0" collapsed="false">
      <c r="A1602" s="9" t="s">
        <v>7104</v>
      </c>
      <c r="B1602" s="10" t="s">
        <v>7105</v>
      </c>
      <c r="C1602" s="10" t="n">
        <v>0.0765</v>
      </c>
      <c r="D1602" s="0" t="s">
        <v>5872</v>
      </c>
      <c r="E1602" s="0" t="s">
        <v>5833</v>
      </c>
      <c r="F1602" s="0" t="s">
        <v>3151</v>
      </c>
      <c r="G1602" s="0" t="s">
        <v>5742</v>
      </c>
    </row>
    <row r="1603" customFormat="false" ht="12.8" hidden="false" customHeight="false" outlineLevel="0" collapsed="false">
      <c r="A1603" s="9" t="s">
        <v>7106</v>
      </c>
      <c r="B1603" s="10" t="s">
        <v>7107</v>
      </c>
      <c r="C1603" s="10" t="n">
        <v>0.0765</v>
      </c>
      <c r="D1603" s="0" t="s">
        <v>5875</v>
      </c>
      <c r="E1603" s="0" t="s">
        <v>5833</v>
      </c>
      <c r="F1603" s="0" t="s">
        <v>3151</v>
      </c>
      <c r="G1603" s="0" t="s">
        <v>5742</v>
      </c>
    </row>
    <row r="1609" customFormat="false" ht="12.8" hidden="false" customHeight="false" outlineLevel="0" collapsed="false">
      <c r="A1609" s="9" t="s">
        <v>7108</v>
      </c>
      <c r="B1609" s="10" t="s">
        <v>7109</v>
      </c>
      <c r="C1609" s="10" t="n">
        <v>0.14</v>
      </c>
      <c r="D1609" s="0" t="s">
        <v>5078</v>
      </c>
      <c r="E1609" s="0" t="s">
        <v>5050</v>
      </c>
      <c r="F1609" s="0" t="s">
        <v>3160</v>
      </c>
      <c r="G1609" s="0" t="s">
        <v>5051</v>
      </c>
    </row>
    <row r="1610" customFormat="false" ht="12.8" hidden="false" customHeight="false" outlineLevel="0" collapsed="false">
      <c r="A1610" s="9" t="s">
        <v>7110</v>
      </c>
      <c r="B1610" s="10" t="s">
        <v>7111</v>
      </c>
      <c r="C1610" s="10" t="n">
        <v>0.09</v>
      </c>
      <c r="D1610" s="0" t="s">
        <v>5081</v>
      </c>
      <c r="E1610" s="0" t="s">
        <v>5050</v>
      </c>
      <c r="F1610" s="0" t="s">
        <v>3160</v>
      </c>
      <c r="G1610" s="0" t="s">
        <v>5051</v>
      </c>
    </row>
    <row r="1611" customFormat="false" ht="12.8" hidden="false" customHeight="false" outlineLevel="0" collapsed="false">
      <c r="A1611" s="9" t="s">
        <v>7112</v>
      </c>
      <c r="B1611" s="10" t="s">
        <v>7113</v>
      </c>
      <c r="C1611" s="10" t="n">
        <v>0.12</v>
      </c>
      <c r="D1611" s="0" t="s">
        <v>5084</v>
      </c>
      <c r="E1611" s="0" t="s">
        <v>5050</v>
      </c>
      <c r="F1611" s="0" t="s">
        <v>3160</v>
      </c>
      <c r="G1611" s="0" t="s">
        <v>5051</v>
      </c>
    </row>
    <row r="1612" customFormat="false" ht="12.8" hidden="false" customHeight="false" outlineLevel="0" collapsed="false">
      <c r="A1612" s="9" t="s">
        <v>7114</v>
      </c>
      <c r="B1612" s="10" t="s">
        <v>7115</v>
      </c>
      <c r="C1612" s="10" t="n">
        <v>0.11</v>
      </c>
      <c r="D1612" s="0" t="s">
        <v>5087</v>
      </c>
      <c r="E1612" s="0" t="s">
        <v>5050</v>
      </c>
      <c r="F1612" s="0" t="s">
        <v>3160</v>
      </c>
      <c r="G1612" s="0" t="s">
        <v>5051</v>
      </c>
    </row>
    <row r="1613" customFormat="false" ht="12.8" hidden="false" customHeight="false" outlineLevel="0" collapsed="false">
      <c r="A1613" s="9" t="s">
        <v>7116</v>
      </c>
      <c r="B1613" s="10" t="s">
        <v>7117</v>
      </c>
      <c r="C1613" s="10" t="n">
        <v>0.1</v>
      </c>
      <c r="D1613" s="0" t="s">
        <v>5090</v>
      </c>
      <c r="E1613" s="0" t="s">
        <v>5050</v>
      </c>
      <c r="F1613" s="0" t="s">
        <v>3160</v>
      </c>
      <c r="G1613" s="0" t="s">
        <v>5051</v>
      </c>
    </row>
    <row r="1614" customFormat="false" ht="12.8" hidden="false" customHeight="false" outlineLevel="0" collapsed="false">
      <c r="A1614" s="9" t="s">
        <v>7118</v>
      </c>
      <c r="B1614" s="10" t="s">
        <v>7119</v>
      </c>
      <c r="C1614" s="10" t="n">
        <v>0.06</v>
      </c>
      <c r="D1614" s="0" t="s">
        <v>5093</v>
      </c>
      <c r="E1614" s="0" t="s">
        <v>5050</v>
      </c>
      <c r="F1614" s="0" t="s">
        <v>3160</v>
      </c>
      <c r="G1614" s="0" t="s">
        <v>5051</v>
      </c>
    </row>
    <row r="1620" customFormat="false" ht="12.8" hidden="false" customHeight="false" outlineLevel="0" collapsed="false">
      <c r="A1620" s="9" t="s">
        <v>7120</v>
      </c>
      <c r="B1620" s="10" t="s">
        <v>7121</v>
      </c>
      <c r="C1620" s="10" t="n">
        <v>4800</v>
      </c>
      <c r="D1620" s="0" t="s">
        <v>5216</v>
      </c>
      <c r="E1620" s="0" t="s">
        <v>5188</v>
      </c>
      <c r="F1620" s="0" t="s">
        <v>3160</v>
      </c>
      <c r="G1620" s="0" t="s">
        <v>5189</v>
      </c>
    </row>
    <row r="1621" customFormat="false" ht="12.8" hidden="false" customHeight="false" outlineLevel="0" collapsed="false">
      <c r="A1621" s="9" t="s">
        <v>7122</v>
      </c>
      <c r="B1621" s="10" t="s">
        <v>7123</v>
      </c>
      <c r="C1621" s="10" t="n">
        <v>5200</v>
      </c>
      <c r="D1621" s="0" t="s">
        <v>5219</v>
      </c>
      <c r="E1621" s="0" t="s">
        <v>5188</v>
      </c>
      <c r="F1621" s="0" t="s">
        <v>3160</v>
      </c>
      <c r="G1621" s="0" t="s">
        <v>5189</v>
      </c>
    </row>
    <row r="1622" customFormat="false" ht="12.8" hidden="false" customHeight="false" outlineLevel="0" collapsed="false">
      <c r="A1622" s="9" t="s">
        <v>7124</v>
      </c>
      <c r="B1622" s="10" t="s">
        <v>7125</v>
      </c>
      <c r="C1622" s="10" t="n">
        <v>5000</v>
      </c>
      <c r="D1622" s="0" t="s">
        <v>5222</v>
      </c>
      <c r="E1622" s="0" t="s">
        <v>5188</v>
      </c>
      <c r="F1622" s="0" t="s">
        <v>3160</v>
      </c>
      <c r="G1622" s="0" t="s">
        <v>5189</v>
      </c>
    </row>
    <row r="1623" customFormat="false" ht="12.8" hidden="false" customHeight="false" outlineLevel="0" collapsed="false">
      <c r="A1623" s="9" t="s">
        <v>7126</v>
      </c>
      <c r="B1623" s="10" t="s">
        <v>7127</v>
      </c>
      <c r="C1623" s="10" t="n">
        <v>5100</v>
      </c>
      <c r="D1623" s="0" t="s">
        <v>5225</v>
      </c>
      <c r="E1623" s="0" t="s">
        <v>5188</v>
      </c>
      <c r="F1623" s="0" t="s">
        <v>3160</v>
      </c>
      <c r="G1623" s="0" t="s">
        <v>5189</v>
      </c>
    </row>
    <row r="1624" customFormat="false" ht="12.8" hidden="false" customHeight="false" outlineLevel="0" collapsed="false">
      <c r="A1624" s="9" t="s">
        <v>7128</v>
      </c>
      <c r="B1624" s="10" t="s">
        <v>7129</v>
      </c>
      <c r="C1624" s="10" t="n">
        <v>5300</v>
      </c>
      <c r="D1624" s="0" t="s">
        <v>5228</v>
      </c>
      <c r="E1624" s="0" t="s">
        <v>5188</v>
      </c>
      <c r="F1624" s="0" t="s">
        <v>3160</v>
      </c>
      <c r="G1624" s="0" t="s">
        <v>5189</v>
      </c>
    </row>
    <row r="1625" customFormat="false" ht="12.8" hidden="false" customHeight="false" outlineLevel="0" collapsed="false">
      <c r="A1625" s="9" t="s">
        <v>7130</v>
      </c>
      <c r="B1625" s="10" t="s">
        <v>7131</v>
      </c>
      <c r="C1625" s="10" t="n">
        <v>5500</v>
      </c>
      <c r="D1625" s="0" t="s">
        <v>5231</v>
      </c>
      <c r="E1625" s="0" t="s">
        <v>5188</v>
      </c>
      <c r="F1625" s="0" t="s">
        <v>3160</v>
      </c>
      <c r="G1625" s="0" t="s">
        <v>5189</v>
      </c>
    </row>
    <row r="1631" customFormat="false" ht="12.8" hidden="false" customHeight="false" outlineLevel="0" collapsed="false">
      <c r="A1631" s="9" t="s">
        <v>7132</v>
      </c>
      <c r="B1631" s="10" t="s">
        <v>7133</v>
      </c>
      <c r="C1631" s="10" t="n">
        <v>0.048</v>
      </c>
      <c r="D1631" s="0" t="s">
        <v>5354</v>
      </c>
      <c r="E1631" s="0" t="s">
        <v>5326</v>
      </c>
      <c r="F1631" s="0" t="s">
        <v>3160</v>
      </c>
      <c r="G1631" s="0" t="s">
        <v>5327</v>
      </c>
    </row>
    <row r="1632" customFormat="false" ht="12.8" hidden="false" customHeight="false" outlineLevel="0" collapsed="false">
      <c r="A1632" s="9" t="s">
        <v>7134</v>
      </c>
      <c r="B1632" s="10" t="s">
        <v>7135</v>
      </c>
      <c r="C1632" s="10" t="n">
        <v>0.055</v>
      </c>
      <c r="D1632" s="0" t="s">
        <v>5357</v>
      </c>
      <c r="E1632" s="0" t="s">
        <v>5326</v>
      </c>
      <c r="F1632" s="0" t="s">
        <v>3160</v>
      </c>
      <c r="G1632" s="0" t="s">
        <v>5327</v>
      </c>
    </row>
    <row r="1633" customFormat="false" ht="12.8" hidden="false" customHeight="false" outlineLevel="0" collapsed="false">
      <c r="A1633" s="9" t="s">
        <v>7136</v>
      </c>
      <c r="B1633" s="10" t="s">
        <v>7137</v>
      </c>
      <c r="C1633" s="10" t="n">
        <v>0.05</v>
      </c>
      <c r="D1633" s="0" t="s">
        <v>5360</v>
      </c>
      <c r="E1633" s="0" t="s">
        <v>5326</v>
      </c>
      <c r="F1633" s="0" t="s">
        <v>3160</v>
      </c>
      <c r="G1633" s="0" t="s">
        <v>5327</v>
      </c>
    </row>
    <row r="1634" customFormat="false" ht="12.8" hidden="false" customHeight="false" outlineLevel="0" collapsed="false">
      <c r="A1634" s="9" t="s">
        <v>7138</v>
      </c>
      <c r="B1634" s="10" t="s">
        <v>7139</v>
      </c>
      <c r="C1634" s="10" t="n">
        <v>0.052</v>
      </c>
      <c r="D1634" s="0" t="s">
        <v>5363</v>
      </c>
      <c r="E1634" s="0" t="s">
        <v>5326</v>
      </c>
      <c r="F1634" s="0" t="s">
        <v>3160</v>
      </c>
      <c r="G1634" s="0" t="s">
        <v>5327</v>
      </c>
    </row>
    <row r="1635" customFormat="false" ht="12.8" hidden="false" customHeight="false" outlineLevel="0" collapsed="false">
      <c r="A1635" s="9" t="s">
        <v>7140</v>
      </c>
      <c r="B1635" s="10" t="s">
        <v>7141</v>
      </c>
      <c r="C1635" s="10" t="n">
        <v>0.058</v>
      </c>
      <c r="D1635" s="0" t="s">
        <v>5366</v>
      </c>
      <c r="E1635" s="0" t="s">
        <v>5326</v>
      </c>
      <c r="F1635" s="0" t="s">
        <v>3160</v>
      </c>
      <c r="G1635" s="0" t="s">
        <v>5327</v>
      </c>
    </row>
    <row r="1636" customFormat="false" ht="12.8" hidden="false" customHeight="false" outlineLevel="0" collapsed="false">
      <c r="A1636" s="9" t="s">
        <v>7142</v>
      </c>
      <c r="B1636" s="10" t="s">
        <v>7143</v>
      </c>
      <c r="C1636" s="10" t="n">
        <v>0.06</v>
      </c>
      <c r="D1636" s="0" t="s">
        <v>5369</v>
      </c>
      <c r="E1636" s="0" t="s">
        <v>5326</v>
      </c>
      <c r="F1636" s="0" t="s">
        <v>3160</v>
      </c>
      <c r="G1636" s="0" t="s">
        <v>5327</v>
      </c>
    </row>
    <row r="1642" customFormat="false" ht="12.8" hidden="false" customHeight="false" outlineLevel="0" collapsed="false">
      <c r="A1642" s="9" t="s">
        <v>7144</v>
      </c>
      <c r="B1642" s="10" t="s">
        <v>7145</v>
      </c>
      <c r="C1642" s="10" t="n">
        <v>1450</v>
      </c>
      <c r="D1642" s="0" t="s">
        <v>5493</v>
      </c>
      <c r="E1642" s="0" t="s">
        <v>5465</v>
      </c>
      <c r="F1642" s="0" t="s">
        <v>3160</v>
      </c>
      <c r="G1642" s="0" t="s">
        <v>5466</v>
      </c>
    </row>
    <row r="1643" customFormat="false" ht="12.8" hidden="false" customHeight="false" outlineLevel="0" collapsed="false">
      <c r="A1643" s="9" t="s">
        <v>7146</v>
      </c>
      <c r="B1643" s="10" t="s">
        <v>7147</v>
      </c>
      <c r="C1643" s="10" t="n">
        <v>1600</v>
      </c>
      <c r="D1643" s="0" t="s">
        <v>5496</v>
      </c>
      <c r="E1643" s="0" t="s">
        <v>5465</v>
      </c>
      <c r="F1643" s="0" t="s">
        <v>3160</v>
      </c>
      <c r="G1643" s="0" t="s">
        <v>5466</v>
      </c>
    </row>
    <row r="1644" customFormat="false" ht="12.8" hidden="false" customHeight="false" outlineLevel="0" collapsed="false">
      <c r="A1644" s="9" t="s">
        <v>7148</v>
      </c>
      <c r="B1644" s="10" t="s">
        <v>7149</v>
      </c>
      <c r="C1644" s="10" t="n">
        <v>1500</v>
      </c>
      <c r="D1644" s="0" t="s">
        <v>5499</v>
      </c>
      <c r="E1644" s="0" t="s">
        <v>5465</v>
      </c>
      <c r="F1644" s="0" t="s">
        <v>3160</v>
      </c>
      <c r="G1644" s="0" t="s">
        <v>5466</v>
      </c>
    </row>
    <row r="1645" customFormat="false" ht="12.8" hidden="false" customHeight="false" outlineLevel="0" collapsed="false">
      <c r="A1645" s="9" t="s">
        <v>7150</v>
      </c>
      <c r="B1645" s="10" t="s">
        <v>7151</v>
      </c>
      <c r="C1645" s="10" t="n">
        <v>1550</v>
      </c>
      <c r="D1645" s="0" t="s">
        <v>5502</v>
      </c>
      <c r="E1645" s="0" t="s">
        <v>5465</v>
      </c>
      <c r="F1645" s="0" t="s">
        <v>3160</v>
      </c>
      <c r="G1645" s="0" t="s">
        <v>5466</v>
      </c>
    </row>
    <row r="1646" customFormat="false" ht="12.8" hidden="false" customHeight="false" outlineLevel="0" collapsed="false">
      <c r="A1646" s="9" t="s">
        <v>7152</v>
      </c>
      <c r="B1646" s="10" t="s">
        <v>7153</v>
      </c>
      <c r="C1646" s="10" t="n">
        <v>1650</v>
      </c>
      <c r="D1646" s="0" t="s">
        <v>5505</v>
      </c>
      <c r="E1646" s="0" t="s">
        <v>5465</v>
      </c>
      <c r="F1646" s="0" t="s">
        <v>3160</v>
      </c>
      <c r="G1646" s="0" t="s">
        <v>5466</v>
      </c>
    </row>
    <row r="1647" customFormat="false" ht="12.8" hidden="false" customHeight="false" outlineLevel="0" collapsed="false">
      <c r="A1647" s="9" t="s">
        <v>7154</v>
      </c>
      <c r="B1647" s="10" t="s">
        <v>7155</v>
      </c>
      <c r="C1647" s="10" t="n">
        <v>1700</v>
      </c>
      <c r="D1647" s="0" t="s">
        <v>5508</v>
      </c>
      <c r="E1647" s="0" t="s">
        <v>5465</v>
      </c>
      <c r="F1647" s="0" t="s">
        <v>3160</v>
      </c>
      <c r="G1647" s="0" t="s">
        <v>5466</v>
      </c>
    </row>
    <row r="1649" customFormat="false" ht="12.8" hidden="false" customHeight="false" outlineLevel="0" collapsed="false">
      <c r="A1649" s="9" t="s">
        <v>7156</v>
      </c>
      <c r="B1649" s="10" t="s">
        <v>7157</v>
      </c>
      <c r="C1649" s="10" t="n">
        <v>0.94</v>
      </c>
      <c r="D1649" s="0" t="s">
        <v>5630</v>
      </c>
      <c r="E1649" s="0" t="s">
        <v>5602</v>
      </c>
      <c r="F1649" s="0" t="s">
        <v>3160</v>
      </c>
      <c r="G1649" s="0" t="s">
        <v>5603</v>
      </c>
    </row>
    <row r="1650" customFormat="false" ht="12.8" hidden="false" customHeight="false" outlineLevel="0" collapsed="false">
      <c r="A1650" s="9" t="s">
        <v>7158</v>
      </c>
      <c r="B1650" s="10" t="s">
        <v>7159</v>
      </c>
      <c r="C1650" s="10" t="n">
        <v>0.96</v>
      </c>
      <c r="D1650" s="0" t="s">
        <v>5633</v>
      </c>
      <c r="E1650" s="0" t="s">
        <v>5602</v>
      </c>
      <c r="F1650" s="0" t="s">
        <v>3160</v>
      </c>
      <c r="G1650" s="0" t="s">
        <v>5603</v>
      </c>
    </row>
    <row r="1651" customFormat="false" ht="12.8" hidden="false" customHeight="false" outlineLevel="0" collapsed="false">
      <c r="A1651" s="9" t="s">
        <v>7160</v>
      </c>
      <c r="B1651" s="10" t="s">
        <v>7161</v>
      </c>
      <c r="C1651" s="10" t="n">
        <v>0.95</v>
      </c>
      <c r="D1651" s="0" t="s">
        <v>5636</v>
      </c>
      <c r="E1651" s="0" t="s">
        <v>5602</v>
      </c>
      <c r="F1651" s="0" t="s">
        <v>3160</v>
      </c>
      <c r="G1651" s="0" t="s">
        <v>5603</v>
      </c>
    </row>
    <row r="1652" customFormat="false" ht="12.8" hidden="false" customHeight="false" outlineLevel="0" collapsed="false">
      <c r="A1652" s="9" t="s">
        <v>7162</v>
      </c>
      <c r="B1652" s="10" t="s">
        <v>7163</v>
      </c>
      <c r="C1652" s="10" t="n">
        <v>0.97</v>
      </c>
      <c r="D1652" s="0" t="s">
        <v>5639</v>
      </c>
      <c r="E1652" s="0" t="s">
        <v>5602</v>
      </c>
      <c r="F1652" s="0" t="s">
        <v>3160</v>
      </c>
      <c r="G1652" s="0" t="s">
        <v>5603</v>
      </c>
    </row>
    <row r="1653" customFormat="false" ht="12.8" hidden="false" customHeight="false" outlineLevel="0" collapsed="false">
      <c r="A1653" s="9" t="s">
        <v>7164</v>
      </c>
      <c r="B1653" s="10" t="s">
        <v>7165</v>
      </c>
      <c r="C1653" s="10" t="n">
        <v>0.96</v>
      </c>
      <c r="D1653" s="0" t="s">
        <v>5642</v>
      </c>
      <c r="E1653" s="0" t="s">
        <v>5602</v>
      </c>
      <c r="F1653" s="0" t="s">
        <v>3160</v>
      </c>
      <c r="G1653" s="0" t="s">
        <v>5603</v>
      </c>
    </row>
    <row r="1654" customFormat="false" ht="12.8" hidden="false" customHeight="false" outlineLevel="0" collapsed="false">
      <c r="A1654" s="9" t="s">
        <v>7166</v>
      </c>
      <c r="B1654" s="10" t="s">
        <v>7167</v>
      </c>
      <c r="C1654" s="10" t="n">
        <v>0.98</v>
      </c>
      <c r="D1654" s="0" t="s">
        <v>5645</v>
      </c>
      <c r="E1654" s="0" t="s">
        <v>5602</v>
      </c>
      <c r="F1654" s="0" t="s">
        <v>3160</v>
      </c>
      <c r="G1654" s="0" t="s">
        <v>5603</v>
      </c>
    </row>
    <row r="1660" customFormat="false" ht="12.8" hidden="false" customHeight="false" outlineLevel="0" collapsed="false">
      <c r="A1660" s="9" t="s">
        <v>7168</v>
      </c>
      <c r="B1660" s="10" t="s">
        <v>7145</v>
      </c>
      <c r="C1660" s="10" t="n">
        <v>1450</v>
      </c>
      <c r="D1660" s="0" t="s">
        <v>5493</v>
      </c>
      <c r="E1660" s="0" t="s">
        <v>5465</v>
      </c>
      <c r="F1660" s="0" t="s">
        <v>3160</v>
      </c>
      <c r="G1660" s="0" t="s">
        <v>5466</v>
      </c>
    </row>
    <row r="1661" customFormat="false" ht="12.8" hidden="false" customHeight="false" outlineLevel="0" collapsed="false">
      <c r="A1661" s="9" t="s">
        <v>7169</v>
      </c>
      <c r="B1661" s="10" t="s">
        <v>7147</v>
      </c>
      <c r="C1661" s="10" t="n">
        <v>1600</v>
      </c>
      <c r="D1661" s="0" t="s">
        <v>5496</v>
      </c>
      <c r="E1661" s="0" t="s">
        <v>5465</v>
      </c>
      <c r="F1661" s="0" t="s">
        <v>3160</v>
      </c>
      <c r="G1661" s="0" t="s">
        <v>5466</v>
      </c>
    </row>
    <row r="1662" customFormat="false" ht="12.8" hidden="false" customHeight="false" outlineLevel="0" collapsed="false">
      <c r="A1662" s="9" t="s">
        <v>7170</v>
      </c>
      <c r="B1662" s="10" t="s">
        <v>7149</v>
      </c>
      <c r="C1662" s="10" t="n">
        <v>1500</v>
      </c>
      <c r="D1662" s="0" t="s">
        <v>5499</v>
      </c>
      <c r="E1662" s="0" t="s">
        <v>5465</v>
      </c>
      <c r="F1662" s="0" t="s">
        <v>3160</v>
      </c>
      <c r="G1662" s="0" t="s">
        <v>5466</v>
      </c>
    </row>
    <row r="1663" customFormat="false" ht="12.8" hidden="false" customHeight="false" outlineLevel="0" collapsed="false">
      <c r="A1663" s="9" t="s">
        <v>7171</v>
      </c>
      <c r="B1663" s="10" t="s">
        <v>7151</v>
      </c>
      <c r="C1663" s="10" t="n">
        <v>1550</v>
      </c>
      <c r="D1663" s="0" t="s">
        <v>5502</v>
      </c>
      <c r="E1663" s="0" t="s">
        <v>5465</v>
      </c>
      <c r="F1663" s="0" t="s">
        <v>3160</v>
      </c>
      <c r="G1663" s="0" t="s">
        <v>5466</v>
      </c>
    </row>
    <row r="1664" customFormat="false" ht="12.8" hidden="false" customHeight="false" outlineLevel="0" collapsed="false">
      <c r="A1664" s="9" t="s">
        <v>7172</v>
      </c>
      <c r="B1664" s="10" t="s">
        <v>7153</v>
      </c>
      <c r="C1664" s="10" t="n">
        <v>1650</v>
      </c>
      <c r="D1664" s="0" t="s">
        <v>5505</v>
      </c>
      <c r="E1664" s="0" t="s">
        <v>5465</v>
      </c>
      <c r="F1664" s="0" t="s">
        <v>3160</v>
      </c>
      <c r="G1664" s="0" t="s">
        <v>5466</v>
      </c>
    </row>
    <row r="1665" customFormat="false" ht="12.8" hidden="false" customHeight="false" outlineLevel="0" collapsed="false">
      <c r="A1665" s="9" t="s">
        <v>7173</v>
      </c>
      <c r="B1665" s="10" t="s">
        <v>7155</v>
      </c>
      <c r="C1665" s="10" t="n">
        <v>1700</v>
      </c>
      <c r="D1665" s="0" t="s">
        <v>5508</v>
      </c>
      <c r="E1665" s="0" t="s">
        <v>5465</v>
      </c>
      <c r="F1665" s="0" t="s">
        <v>3160</v>
      </c>
      <c r="G1665" s="0" t="s">
        <v>5466</v>
      </c>
    </row>
    <row r="1671" customFormat="false" ht="12.8" hidden="false" customHeight="false" outlineLevel="0" collapsed="false">
      <c r="A1671" s="9" t="s">
        <v>7174</v>
      </c>
      <c r="B1671" s="10" t="s">
        <v>7175</v>
      </c>
      <c r="C1671" s="10" t="n">
        <v>1</v>
      </c>
      <c r="D1671" s="0" t="s">
        <v>4532</v>
      </c>
      <c r="E1671" s="0" t="s">
        <v>4504</v>
      </c>
      <c r="F1671" s="0" t="s">
        <v>3151</v>
      </c>
      <c r="G1671" s="0" t="s">
        <v>4505</v>
      </c>
    </row>
    <row r="1672" customFormat="false" ht="12.8" hidden="false" customHeight="false" outlineLevel="0" collapsed="false">
      <c r="A1672" s="9" t="s">
        <v>7176</v>
      </c>
      <c r="B1672" s="10" t="s">
        <v>7177</v>
      </c>
      <c r="C1672" s="10" t="n">
        <v>1</v>
      </c>
      <c r="D1672" s="0" t="s">
        <v>4535</v>
      </c>
      <c r="E1672" s="0" t="s">
        <v>4504</v>
      </c>
      <c r="F1672" s="0" t="s">
        <v>3151</v>
      </c>
      <c r="G1672" s="0" t="s">
        <v>4505</v>
      </c>
    </row>
    <row r="1673" customFormat="false" ht="12.8" hidden="false" customHeight="false" outlineLevel="0" collapsed="false">
      <c r="A1673" s="9" t="s">
        <v>7178</v>
      </c>
      <c r="B1673" s="10" t="s">
        <v>7179</v>
      </c>
      <c r="C1673" s="10" t="n">
        <v>1</v>
      </c>
      <c r="D1673" s="0" t="s">
        <v>4538</v>
      </c>
      <c r="E1673" s="0" t="s">
        <v>4504</v>
      </c>
      <c r="F1673" s="0" t="s">
        <v>3151</v>
      </c>
      <c r="G1673" s="0" t="s">
        <v>4505</v>
      </c>
    </row>
    <row r="1674" customFormat="false" ht="12.8" hidden="false" customHeight="false" outlineLevel="0" collapsed="false">
      <c r="A1674" s="9" t="s">
        <v>7180</v>
      </c>
      <c r="B1674" s="10" t="s">
        <v>7181</v>
      </c>
      <c r="C1674" s="10" t="n">
        <v>1</v>
      </c>
      <c r="D1674" s="0" t="s">
        <v>4541</v>
      </c>
      <c r="E1674" s="0" t="s">
        <v>4504</v>
      </c>
      <c r="F1674" s="0" t="s">
        <v>3151</v>
      </c>
      <c r="G1674" s="0" t="s">
        <v>4505</v>
      </c>
    </row>
    <row r="1675" customFormat="false" ht="12.8" hidden="false" customHeight="false" outlineLevel="0" collapsed="false">
      <c r="A1675" s="9" t="s">
        <v>7182</v>
      </c>
      <c r="B1675" s="10" t="s">
        <v>7183</v>
      </c>
      <c r="C1675" s="10" t="n">
        <v>1</v>
      </c>
      <c r="D1675" s="0" t="s">
        <v>4544</v>
      </c>
      <c r="E1675" s="0" t="s">
        <v>4504</v>
      </c>
      <c r="F1675" s="0" t="s">
        <v>3151</v>
      </c>
      <c r="G1675" s="0" t="s">
        <v>4505</v>
      </c>
    </row>
    <row r="1676" customFormat="false" ht="12.8" hidden="false" customHeight="false" outlineLevel="0" collapsed="false">
      <c r="A1676" s="9" t="s">
        <v>7184</v>
      </c>
      <c r="B1676" s="10" t="s">
        <v>7185</v>
      </c>
      <c r="C1676" s="10" t="n">
        <v>1</v>
      </c>
      <c r="D1676" s="0" t="s">
        <v>4547</v>
      </c>
      <c r="E1676" s="0" t="s">
        <v>4504</v>
      </c>
      <c r="F1676" s="0" t="s">
        <v>3151</v>
      </c>
      <c r="G1676" s="0" t="s">
        <v>4505</v>
      </c>
    </row>
    <row r="1677" customFormat="false" ht="12.8" hidden="false" customHeight="false" outlineLevel="0" collapsed="false">
      <c r="A1677" s="9" t="s">
        <v>7186</v>
      </c>
      <c r="B1677" s="10" t="s">
        <v>7187</v>
      </c>
      <c r="C1677" s="10" t="n">
        <v>1</v>
      </c>
      <c r="D1677" s="0" t="s">
        <v>4577</v>
      </c>
      <c r="E1677" s="0" t="s">
        <v>4504</v>
      </c>
      <c r="F1677" s="0" t="s">
        <v>3160</v>
      </c>
      <c r="G1677" s="0" t="s">
        <v>4505</v>
      </c>
    </row>
    <row r="1678" customFormat="false" ht="12.8" hidden="false" customHeight="false" outlineLevel="0" collapsed="false">
      <c r="A1678" s="9" t="s">
        <v>7188</v>
      </c>
      <c r="B1678" s="10" t="s">
        <v>7189</v>
      </c>
      <c r="C1678" s="10" t="n">
        <v>1</v>
      </c>
      <c r="D1678" s="0" t="s">
        <v>4580</v>
      </c>
      <c r="E1678" s="0" t="s">
        <v>4504</v>
      </c>
      <c r="F1678" s="0" t="s">
        <v>3160</v>
      </c>
      <c r="G1678" s="0" t="s">
        <v>4505</v>
      </c>
    </row>
    <row r="1679" customFormat="false" ht="12.8" hidden="false" customHeight="false" outlineLevel="0" collapsed="false">
      <c r="A1679" s="9" t="s">
        <v>7190</v>
      </c>
      <c r="B1679" s="10" t="s">
        <v>7191</v>
      </c>
      <c r="C1679" s="10" t="n">
        <v>1</v>
      </c>
      <c r="D1679" s="0" t="s">
        <v>4583</v>
      </c>
      <c r="E1679" s="0" t="s">
        <v>4504</v>
      </c>
      <c r="F1679" s="0" t="s">
        <v>3160</v>
      </c>
      <c r="G1679" s="0" t="s">
        <v>4505</v>
      </c>
    </row>
    <row r="1680" customFormat="false" ht="12.8" hidden="false" customHeight="false" outlineLevel="0" collapsed="false">
      <c r="A1680" s="9" t="s">
        <v>7192</v>
      </c>
      <c r="B1680" s="10" t="s">
        <v>7193</v>
      </c>
      <c r="C1680" s="10" t="n">
        <v>1</v>
      </c>
      <c r="D1680" s="0" t="s">
        <v>4586</v>
      </c>
      <c r="E1680" s="0" t="s">
        <v>4504</v>
      </c>
      <c r="F1680" s="0" t="s">
        <v>3160</v>
      </c>
      <c r="G1680" s="0" t="s">
        <v>4505</v>
      </c>
    </row>
    <row r="1681" customFormat="false" ht="12.8" hidden="false" customHeight="false" outlineLevel="0" collapsed="false">
      <c r="A1681" s="9" t="s">
        <v>7194</v>
      </c>
      <c r="B1681" s="10" t="s">
        <v>7195</v>
      </c>
      <c r="C1681" s="10" t="n">
        <v>1</v>
      </c>
      <c r="D1681" s="0" t="s">
        <v>4589</v>
      </c>
      <c r="E1681" s="0" t="s">
        <v>4504</v>
      </c>
      <c r="F1681" s="0" t="s">
        <v>3160</v>
      </c>
      <c r="G1681" s="0" t="s">
        <v>4505</v>
      </c>
    </row>
    <row r="1682" customFormat="false" ht="12.8" hidden="false" customHeight="false" outlineLevel="0" collapsed="false">
      <c r="A1682" s="9" t="s">
        <v>7196</v>
      </c>
      <c r="B1682" s="10" t="s">
        <v>7197</v>
      </c>
      <c r="C1682" s="10" t="n">
        <v>1</v>
      </c>
      <c r="D1682" s="0" t="s">
        <v>4592</v>
      </c>
      <c r="E1682" s="0" t="s">
        <v>4504</v>
      </c>
      <c r="F1682" s="0" t="s">
        <v>3160</v>
      </c>
      <c r="G1682" s="0" t="s">
        <v>4505</v>
      </c>
    </row>
    <row r="1683" customFormat="false" ht="12.8" hidden="false" customHeight="false" outlineLevel="0" collapsed="false">
      <c r="A1683" s="9" t="s">
        <v>7198</v>
      </c>
      <c r="B1683" s="10" t="s">
        <v>7199</v>
      </c>
      <c r="C1683" s="10" t="n">
        <v>1</v>
      </c>
      <c r="D1683" s="0" t="s">
        <v>4622</v>
      </c>
      <c r="E1683" s="0" t="s">
        <v>4504</v>
      </c>
      <c r="F1683" s="0" t="s">
        <v>3160</v>
      </c>
      <c r="G1683" s="0" t="s">
        <v>4505</v>
      </c>
    </row>
    <row r="1684" customFormat="false" ht="12.8" hidden="false" customHeight="false" outlineLevel="0" collapsed="false">
      <c r="A1684" s="9" t="s">
        <v>7200</v>
      </c>
      <c r="B1684" s="10" t="s">
        <v>7201</v>
      </c>
      <c r="C1684" s="10" t="n">
        <v>1</v>
      </c>
      <c r="D1684" s="0" t="s">
        <v>4625</v>
      </c>
      <c r="E1684" s="0" t="s">
        <v>4504</v>
      </c>
      <c r="F1684" s="0" t="s">
        <v>3160</v>
      </c>
      <c r="G1684" s="0" t="s">
        <v>4505</v>
      </c>
    </row>
    <row r="1685" customFormat="false" ht="12.8" hidden="false" customHeight="false" outlineLevel="0" collapsed="false">
      <c r="A1685" s="9" t="s">
        <v>7202</v>
      </c>
      <c r="B1685" s="10" t="s">
        <v>7203</v>
      </c>
      <c r="C1685" s="10" t="n">
        <v>1</v>
      </c>
      <c r="D1685" s="0" t="s">
        <v>4628</v>
      </c>
      <c r="E1685" s="0" t="s">
        <v>4504</v>
      </c>
      <c r="F1685" s="0" t="s">
        <v>3160</v>
      </c>
      <c r="G1685" s="0" t="s">
        <v>4505</v>
      </c>
    </row>
    <row r="1686" customFormat="false" ht="12.8" hidden="false" customHeight="false" outlineLevel="0" collapsed="false">
      <c r="A1686" s="9" t="s">
        <v>7204</v>
      </c>
      <c r="B1686" s="10" t="s">
        <v>7205</v>
      </c>
      <c r="C1686" s="10" t="n">
        <v>1</v>
      </c>
      <c r="D1686" s="0" t="s">
        <v>4631</v>
      </c>
      <c r="E1686" s="0" t="s">
        <v>4504</v>
      </c>
      <c r="F1686" s="0" t="s">
        <v>3160</v>
      </c>
      <c r="G1686" s="0" t="s">
        <v>4505</v>
      </c>
    </row>
    <row r="1687" customFormat="false" ht="12.8" hidden="false" customHeight="false" outlineLevel="0" collapsed="false">
      <c r="A1687" s="9" t="s">
        <v>7206</v>
      </c>
      <c r="B1687" s="10" t="s">
        <v>7207</v>
      </c>
      <c r="C1687" s="10" t="n">
        <v>1</v>
      </c>
      <c r="D1687" s="0" t="s">
        <v>4634</v>
      </c>
      <c r="E1687" s="0" t="s">
        <v>4504</v>
      </c>
      <c r="F1687" s="0" t="s">
        <v>3160</v>
      </c>
      <c r="G1687" s="0" t="s">
        <v>4505</v>
      </c>
    </row>
    <row r="1688" customFormat="false" ht="12.8" hidden="false" customHeight="false" outlineLevel="0" collapsed="false">
      <c r="A1688" s="9" t="s">
        <v>7208</v>
      </c>
      <c r="B1688" s="10" t="s">
        <v>7209</v>
      </c>
      <c r="C1688" s="10" t="n">
        <v>1</v>
      </c>
      <c r="D1688" s="0" t="s">
        <v>4637</v>
      </c>
      <c r="E1688" s="0" t="s">
        <v>4504</v>
      </c>
      <c r="F1688" s="0" t="s">
        <v>3160</v>
      </c>
      <c r="G1688" s="0" t="s">
        <v>4505</v>
      </c>
    </row>
    <row r="1694" customFormat="false" ht="12.8" hidden="false" customHeight="false" outlineLevel="0" collapsed="false">
      <c r="A1694" s="9" t="s">
        <v>7210</v>
      </c>
      <c r="B1694" s="10" t="s">
        <v>7211</v>
      </c>
      <c r="C1694" s="10" t="n">
        <v>0.71</v>
      </c>
      <c r="D1694" s="0" t="s">
        <v>4667</v>
      </c>
      <c r="E1694" s="0" t="s">
        <v>4366</v>
      </c>
      <c r="F1694" s="0" t="s">
        <v>3151</v>
      </c>
      <c r="G1694" s="0" t="s">
        <v>4367</v>
      </c>
    </row>
    <row r="1695" customFormat="false" ht="12.8" hidden="false" customHeight="false" outlineLevel="0" collapsed="false">
      <c r="A1695" s="9" t="s">
        <v>7212</v>
      </c>
      <c r="B1695" s="10" t="s">
        <v>7213</v>
      </c>
      <c r="C1695" s="10" t="n">
        <v>0.73</v>
      </c>
      <c r="D1695" s="0" t="s">
        <v>4670</v>
      </c>
      <c r="E1695" s="0" t="s">
        <v>4366</v>
      </c>
      <c r="F1695" s="0" t="s">
        <v>3151</v>
      </c>
      <c r="G1695" s="0" t="s">
        <v>4367</v>
      </c>
    </row>
    <row r="1696" customFormat="false" ht="12.8" hidden="false" customHeight="false" outlineLevel="0" collapsed="false">
      <c r="A1696" s="9" t="s">
        <v>7214</v>
      </c>
      <c r="B1696" s="10" t="s">
        <v>7215</v>
      </c>
      <c r="C1696" s="10" t="n">
        <v>0.75</v>
      </c>
      <c r="D1696" s="0" t="s">
        <v>4673</v>
      </c>
      <c r="E1696" s="0" t="s">
        <v>4366</v>
      </c>
      <c r="F1696" s="0" t="s">
        <v>3151</v>
      </c>
      <c r="G1696" s="0" t="s">
        <v>4367</v>
      </c>
    </row>
    <row r="1697" customFormat="false" ht="12.8" hidden="false" customHeight="false" outlineLevel="0" collapsed="false">
      <c r="A1697" s="9" t="s">
        <v>7216</v>
      </c>
      <c r="B1697" s="10" t="s">
        <v>7217</v>
      </c>
      <c r="C1697" s="10" t="n">
        <v>0.78</v>
      </c>
      <c r="D1697" s="0" t="s">
        <v>4676</v>
      </c>
      <c r="E1697" s="0" t="s">
        <v>4366</v>
      </c>
      <c r="F1697" s="0" t="s">
        <v>3151</v>
      </c>
      <c r="G1697" s="0" t="s">
        <v>4367</v>
      </c>
    </row>
    <row r="1698" customFormat="false" ht="12.8" hidden="false" customHeight="false" outlineLevel="0" collapsed="false">
      <c r="A1698" s="9" t="s">
        <v>7218</v>
      </c>
      <c r="B1698" s="10" t="s">
        <v>7219</v>
      </c>
      <c r="C1698" s="10" t="n">
        <v>0.74</v>
      </c>
      <c r="D1698" s="0" t="s">
        <v>4679</v>
      </c>
      <c r="E1698" s="0" t="s">
        <v>4366</v>
      </c>
      <c r="F1698" s="0" t="s">
        <v>3151</v>
      </c>
      <c r="G1698" s="0" t="s">
        <v>4367</v>
      </c>
    </row>
    <row r="1699" customFormat="false" ht="12.8" hidden="false" customHeight="false" outlineLevel="0" collapsed="false">
      <c r="A1699" s="9" t="s">
        <v>7220</v>
      </c>
      <c r="B1699" s="10" t="s">
        <v>7221</v>
      </c>
      <c r="C1699" s="10" t="n">
        <v>0.81</v>
      </c>
      <c r="D1699" s="0" t="s">
        <v>4682</v>
      </c>
      <c r="E1699" s="0" t="s">
        <v>4366</v>
      </c>
      <c r="F1699" s="0" t="s">
        <v>3151</v>
      </c>
      <c r="G1699" s="0" t="s">
        <v>4367</v>
      </c>
    </row>
    <row r="1705" customFormat="false" ht="12.8" hidden="false" customHeight="false" outlineLevel="0" collapsed="false">
      <c r="A1705" s="9" t="s">
        <v>7222</v>
      </c>
      <c r="B1705" s="10" t="s">
        <v>3903</v>
      </c>
      <c r="C1705" s="10" t="n">
        <v>0.018</v>
      </c>
      <c r="D1705" s="0" t="s">
        <v>4802</v>
      </c>
      <c r="E1705" s="0" t="s">
        <v>4366</v>
      </c>
      <c r="F1705" s="0" t="s">
        <v>3151</v>
      </c>
      <c r="G1705" s="0" t="s">
        <v>4367</v>
      </c>
    </row>
    <row r="1706" customFormat="false" ht="12.8" hidden="false" customHeight="false" outlineLevel="0" collapsed="false">
      <c r="A1706" s="9" t="s">
        <v>7223</v>
      </c>
      <c r="B1706" s="10" t="s">
        <v>3912</v>
      </c>
      <c r="C1706" s="10" t="n">
        <v>0.018</v>
      </c>
      <c r="D1706" s="0" t="s">
        <v>4805</v>
      </c>
      <c r="E1706" s="0" t="s">
        <v>4366</v>
      </c>
      <c r="F1706" s="0" t="s">
        <v>3151</v>
      </c>
      <c r="G1706" s="0" t="s">
        <v>4367</v>
      </c>
    </row>
    <row r="1707" customFormat="false" ht="12.8" hidden="false" customHeight="false" outlineLevel="0" collapsed="false">
      <c r="A1707" s="9" t="s">
        <v>7224</v>
      </c>
      <c r="B1707" s="10" t="s">
        <v>3921</v>
      </c>
      <c r="C1707" s="10" t="n">
        <v>0.018</v>
      </c>
      <c r="D1707" s="0" t="s">
        <v>4808</v>
      </c>
      <c r="E1707" s="0" t="s">
        <v>4366</v>
      </c>
      <c r="F1707" s="0" t="s">
        <v>3151</v>
      </c>
      <c r="G1707" s="0" t="s">
        <v>4367</v>
      </c>
    </row>
    <row r="1708" customFormat="false" ht="12.8" hidden="false" customHeight="false" outlineLevel="0" collapsed="false">
      <c r="A1708" s="9" t="s">
        <v>7225</v>
      </c>
      <c r="B1708" s="10" t="s">
        <v>3930</v>
      </c>
      <c r="C1708" s="10" t="n">
        <v>0.018</v>
      </c>
      <c r="D1708" s="0" t="s">
        <v>4811</v>
      </c>
      <c r="E1708" s="0" t="s">
        <v>4366</v>
      </c>
      <c r="F1708" s="0" t="s">
        <v>3151</v>
      </c>
      <c r="G1708" s="0" t="s">
        <v>4367</v>
      </c>
    </row>
    <row r="1709" customFormat="false" ht="12.8" hidden="false" customHeight="false" outlineLevel="0" collapsed="false">
      <c r="A1709" s="9" t="s">
        <v>7226</v>
      </c>
      <c r="B1709" s="10" t="s">
        <v>7227</v>
      </c>
      <c r="C1709" s="10" t="n">
        <v>0.018</v>
      </c>
      <c r="D1709" s="0" t="s">
        <v>4814</v>
      </c>
      <c r="E1709" s="0" t="s">
        <v>4366</v>
      </c>
      <c r="F1709" s="0" t="s">
        <v>3151</v>
      </c>
      <c r="G1709" s="0" t="s">
        <v>4367</v>
      </c>
    </row>
    <row r="1710" customFormat="false" ht="12.8" hidden="false" customHeight="false" outlineLevel="0" collapsed="false">
      <c r="A1710" s="9" t="s">
        <v>7228</v>
      </c>
      <c r="B1710" s="10" t="s">
        <v>4050</v>
      </c>
      <c r="C1710" s="10" t="n">
        <v>0.018</v>
      </c>
      <c r="D1710" s="0" t="s">
        <v>4817</v>
      </c>
      <c r="E1710" s="0" t="s">
        <v>4366</v>
      </c>
      <c r="F1710" s="0" t="s">
        <v>3151</v>
      </c>
      <c r="G1710" s="0" t="s">
        <v>4367</v>
      </c>
    </row>
    <row r="1716" customFormat="false" ht="12.8" hidden="false" customHeight="false" outlineLevel="0" collapsed="false">
      <c r="A1716" s="9" t="s">
        <v>7229</v>
      </c>
      <c r="B1716" s="10" t="s">
        <v>7230</v>
      </c>
      <c r="C1716" s="10" t="n">
        <v>0.034</v>
      </c>
      <c r="D1716" s="0" t="s">
        <v>4941</v>
      </c>
      <c r="E1716" s="0" t="s">
        <v>4366</v>
      </c>
      <c r="F1716" s="0" t="s">
        <v>3151</v>
      </c>
      <c r="G1716" s="0" t="s">
        <v>4367</v>
      </c>
    </row>
    <row r="1717" customFormat="false" ht="12.8" hidden="false" customHeight="false" outlineLevel="0" collapsed="false">
      <c r="A1717" s="9" t="s">
        <v>7231</v>
      </c>
      <c r="B1717" s="10" t="s">
        <v>7232</v>
      </c>
      <c r="C1717" s="10" t="n">
        <v>0.024</v>
      </c>
      <c r="D1717" s="0" t="s">
        <v>4944</v>
      </c>
      <c r="E1717" s="0" t="s">
        <v>4366</v>
      </c>
      <c r="F1717" s="0" t="s">
        <v>3151</v>
      </c>
      <c r="G1717" s="0" t="s">
        <v>4367</v>
      </c>
    </row>
    <row r="1718" customFormat="false" ht="12.8" hidden="false" customHeight="false" outlineLevel="0" collapsed="false">
      <c r="A1718" s="9" t="s">
        <v>7233</v>
      </c>
      <c r="B1718" s="10" t="s">
        <v>7234</v>
      </c>
      <c r="C1718" s="10" t="n">
        <v>0.03</v>
      </c>
      <c r="D1718" s="0" t="s">
        <v>4947</v>
      </c>
      <c r="E1718" s="0" t="s">
        <v>4366</v>
      </c>
      <c r="F1718" s="0" t="s">
        <v>3151</v>
      </c>
      <c r="G1718" s="0" t="s">
        <v>4367</v>
      </c>
    </row>
    <row r="1719" customFormat="false" ht="12.8" hidden="false" customHeight="false" outlineLevel="0" collapsed="false">
      <c r="A1719" s="9" t="s">
        <v>7235</v>
      </c>
      <c r="B1719" s="10" t="s">
        <v>7236</v>
      </c>
      <c r="C1719" s="10" t="n">
        <v>0.025</v>
      </c>
      <c r="D1719" s="0" t="s">
        <v>4950</v>
      </c>
      <c r="E1719" s="0" t="s">
        <v>4366</v>
      </c>
      <c r="F1719" s="0" t="s">
        <v>3151</v>
      </c>
      <c r="G1719" s="0" t="s">
        <v>4367</v>
      </c>
    </row>
    <row r="1720" customFormat="false" ht="12.8" hidden="false" customHeight="false" outlineLevel="0" collapsed="false">
      <c r="A1720" s="9" t="s">
        <v>7237</v>
      </c>
      <c r="B1720" s="10" t="s">
        <v>7238</v>
      </c>
      <c r="C1720" s="10" t="n">
        <v>0.028</v>
      </c>
      <c r="D1720" s="0" t="s">
        <v>4953</v>
      </c>
      <c r="E1720" s="0" t="s">
        <v>4366</v>
      </c>
      <c r="F1720" s="0" t="s">
        <v>3151</v>
      </c>
      <c r="G1720" s="0" t="s">
        <v>4367</v>
      </c>
    </row>
    <row r="1721" customFormat="false" ht="12.8" hidden="false" customHeight="false" outlineLevel="0" collapsed="false">
      <c r="A1721" s="9" t="s">
        <v>7239</v>
      </c>
      <c r="B1721" s="10" t="s">
        <v>7240</v>
      </c>
      <c r="C1721" s="10" t="n">
        <v>0.02</v>
      </c>
      <c r="D1721" s="0" t="s">
        <v>4956</v>
      </c>
      <c r="E1721" s="0" t="s">
        <v>4366</v>
      </c>
      <c r="F1721" s="0" t="s">
        <v>3151</v>
      </c>
      <c r="G1721" s="0" t="s">
        <v>4367</v>
      </c>
    </row>
    <row r="1727" customFormat="false" ht="12.8" hidden="false" customHeight="false" outlineLevel="0" collapsed="false">
      <c r="A1727" s="9" t="s">
        <v>7241</v>
      </c>
      <c r="B1727" s="10" t="s">
        <v>7242</v>
      </c>
      <c r="C1727" s="10" t="n">
        <v>0.24</v>
      </c>
      <c r="D1727" s="0" t="s">
        <v>5124</v>
      </c>
      <c r="E1727" s="0" t="s">
        <v>5097</v>
      </c>
      <c r="F1727" s="0" t="s">
        <v>3160</v>
      </c>
      <c r="G1727" s="0" t="s">
        <v>5051</v>
      </c>
    </row>
    <row r="1728" customFormat="false" ht="12.8" hidden="false" customHeight="false" outlineLevel="0" collapsed="false">
      <c r="A1728" s="9" t="s">
        <v>7243</v>
      </c>
      <c r="B1728" s="10" t="s">
        <v>7244</v>
      </c>
      <c r="C1728" s="10" t="n">
        <v>0.17</v>
      </c>
      <c r="D1728" s="0" t="s">
        <v>5127</v>
      </c>
      <c r="E1728" s="0" t="s">
        <v>5097</v>
      </c>
      <c r="F1728" s="0" t="s">
        <v>3160</v>
      </c>
      <c r="G1728" s="0" t="s">
        <v>5051</v>
      </c>
    </row>
    <row r="1730" customFormat="false" ht="12.8" hidden="false" customHeight="false" outlineLevel="0" collapsed="false">
      <c r="A1730" s="9" t="s">
        <v>7245</v>
      </c>
      <c r="B1730" s="10" t="s">
        <v>7246</v>
      </c>
      <c r="C1730" s="10" t="n">
        <v>0.21</v>
      </c>
      <c r="D1730" s="0" t="s">
        <v>5130</v>
      </c>
      <c r="E1730" s="0" t="s">
        <v>5097</v>
      </c>
      <c r="F1730" s="0" t="s">
        <v>3160</v>
      </c>
      <c r="G1730" s="0" t="s">
        <v>5051</v>
      </c>
    </row>
    <row r="1731" customFormat="false" ht="12.8" hidden="false" customHeight="false" outlineLevel="0" collapsed="false">
      <c r="A1731" s="9" t="s">
        <v>7247</v>
      </c>
      <c r="B1731" s="10" t="s">
        <v>7248</v>
      </c>
      <c r="C1731" s="10" t="n">
        <v>0.19</v>
      </c>
      <c r="D1731" s="0" t="s">
        <v>5133</v>
      </c>
      <c r="E1731" s="0" t="s">
        <v>5097</v>
      </c>
      <c r="F1731" s="0" t="s">
        <v>3160</v>
      </c>
      <c r="G1731" s="0" t="s">
        <v>5051</v>
      </c>
    </row>
    <row r="1732" customFormat="false" ht="12.8" hidden="false" customHeight="false" outlineLevel="0" collapsed="false">
      <c r="A1732" s="9" t="s">
        <v>7249</v>
      </c>
      <c r="B1732" s="10" t="s">
        <v>7250</v>
      </c>
      <c r="C1732" s="10" t="n">
        <v>0.18</v>
      </c>
      <c r="D1732" s="0" t="s">
        <v>5136</v>
      </c>
      <c r="E1732" s="0" t="s">
        <v>5097</v>
      </c>
      <c r="F1732" s="0" t="s">
        <v>3160</v>
      </c>
      <c r="G1732" s="0" t="s">
        <v>5051</v>
      </c>
    </row>
    <row r="1733" customFormat="false" ht="12.8" hidden="false" customHeight="false" outlineLevel="0" collapsed="false">
      <c r="A1733" s="9" t="s">
        <v>7251</v>
      </c>
      <c r="B1733" s="10" t="s">
        <v>7252</v>
      </c>
      <c r="C1733" s="10" t="n">
        <v>0.12</v>
      </c>
      <c r="D1733" s="0" t="s">
        <v>5139</v>
      </c>
      <c r="E1733" s="0" t="s">
        <v>5097</v>
      </c>
      <c r="F1733" s="0" t="s">
        <v>3160</v>
      </c>
      <c r="G1733" s="0" t="s">
        <v>5051</v>
      </c>
    </row>
    <row r="1734" customFormat="false" ht="12.8" hidden="false" customHeight="false" outlineLevel="0" collapsed="false">
      <c r="A1734" s="9" t="s">
        <v>7253</v>
      </c>
      <c r="B1734" s="10" t="s">
        <v>7254</v>
      </c>
      <c r="C1734" s="10" t="n">
        <v>0.41</v>
      </c>
      <c r="D1734" s="0" t="s">
        <v>5169</v>
      </c>
      <c r="E1734" s="0" t="s">
        <v>5097</v>
      </c>
      <c r="F1734" s="0" t="s">
        <v>3160</v>
      </c>
      <c r="G1734" s="0" t="s">
        <v>5051</v>
      </c>
    </row>
    <row r="1735" customFormat="false" ht="12.8" hidden="false" customHeight="false" outlineLevel="0" collapsed="false">
      <c r="A1735" s="9" t="s">
        <v>7255</v>
      </c>
      <c r="B1735" s="10" t="s">
        <v>7256</v>
      </c>
      <c r="C1735" s="10" t="n">
        <v>0.29</v>
      </c>
      <c r="D1735" s="0" t="s">
        <v>5172</v>
      </c>
      <c r="E1735" s="0" t="s">
        <v>5097</v>
      </c>
      <c r="F1735" s="0" t="s">
        <v>3160</v>
      </c>
      <c r="G1735" s="0" t="s">
        <v>5051</v>
      </c>
    </row>
    <row r="1736" customFormat="false" ht="12.8" hidden="false" customHeight="false" outlineLevel="0" collapsed="false">
      <c r="A1736" s="9" t="s">
        <v>7257</v>
      </c>
      <c r="B1736" s="10" t="s">
        <v>7258</v>
      </c>
      <c r="C1736" s="10" t="n">
        <v>0.36</v>
      </c>
      <c r="D1736" s="0" t="s">
        <v>5175</v>
      </c>
      <c r="E1736" s="0" t="s">
        <v>5097</v>
      </c>
      <c r="F1736" s="0" t="s">
        <v>3160</v>
      </c>
      <c r="G1736" s="0" t="s">
        <v>5051</v>
      </c>
    </row>
    <row r="1737" customFormat="false" ht="12.8" hidden="false" customHeight="false" outlineLevel="0" collapsed="false">
      <c r="A1737" s="9" t="s">
        <v>7259</v>
      </c>
      <c r="B1737" s="10" t="s">
        <v>7260</v>
      </c>
      <c r="C1737" s="10" t="n">
        <v>0.33</v>
      </c>
      <c r="D1737" s="0" t="s">
        <v>5178</v>
      </c>
      <c r="E1737" s="0" t="s">
        <v>5097</v>
      </c>
      <c r="F1737" s="0" t="s">
        <v>3160</v>
      </c>
      <c r="G1737" s="0" t="s">
        <v>5051</v>
      </c>
    </row>
    <row r="1738" customFormat="false" ht="12.8" hidden="false" customHeight="false" outlineLevel="0" collapsed="false">
      <c r="A1738" s="9" t="s">
        <v>7261</v>
      </c>
      <c r="B1738" s="10" t="s">
        <v>7262</v>
      </c>
      <c r="C1738" s="10" t="n">
        <v>0.31</v>
      </c>
      <c r="D1738" s="0" t="s">
        <v>5181</v>
      </c>
      <c r="E1738" s="0" t="s">
        <v>5097</v>
      </c>
      <c r="F1738" s="0" t="s">
        <v>3160</v>
      </c>
      <c r="G1738" s="0" t="s">
        <v>5051</v>
      </c>
    </row>
    <row r="1739" customFormat="false" ht="12.8" hidden="false" customHeight="false" outlineLevel="0" collapsed="false">
      <c r="A1739" s="9" t="s">
        <v>7263</v>
      </c>
      <c r="B1739" s="10" t="s">
        <v>7264</v>
      </c>
      <c r="C1739" s="10" t="n">
        <v>0.22</v>
      </c>
      <c r="D1739" s="0" t="s">
        <v>5184</v>
      </c>
      <c r="E1739" s="0" t="s">
        <v>5097</v>
      </c>
      <c r="F1739" s="0" t="s">
        <v>3160</v>
      </c>
      <c r="G1739" s="0" t="s">
        <v>5051</v>
      </c>
    </row>
    <row r="1740" customFormat="false" ht="12.8" hidden="false" customHeight="false" outlineLevel="0" collapsed="false">
      <c r="A1740" s="9" t="s">
        <v>7265</v>
      </c>
      <c r="B1740" s="10" t="s">
        <v>7266</v>
      </c>
      <c r="C1740" s="10" t="n">
        <v>5400</v>
      </c>
      <c r="D1740" s="0" t="s">
        <v>5307</v>
      </c>
      <c r="E1740" s="0" t="s">
        <v>5235</v>
      </c>
      <c r="F1740" s="0" t="s">
        <v>3160</v>
      </c>
      <c r="G1740" s="0" t="s">
        <v>5189</v>
      </c>
    </row>
    <row r="1741" customFormat="false" ht="12.8" hidden="false" customHeight="false" outlineLevel="0" collapsed="false">
      <c r="A1741" s="9" t="s">
        <v>7267</v>
      </c>
      <c r="B1741" s="10" t="s">
        <v>7268</v>
      </c>
      <c r="C1741" s="10" t="n">
        <v>5800</v>
      </c>
      <c r="D1741" s="0" t="s">
        <v>5310</v>
      </c>
      <c r="E1741" s="0" t="s">
        <v>5235</v>
      </c>
      <c r="F1741" s="0" t="s">
        <v>3160</v>
      </c>
      <c r="G1741" s="0" t="s">
        <v>5189</v>
      </c>
    </row>
    <row r="1742" customFormat="false" ht="12.8" hidden="false" customHeight="false" outlineLevel="0" collapsed="false">
      <c r="A1742" s="9" t="s">
        <v>7269</v>
      </c>
      <c r="B1742" s="10" t="s">
        <v>7270</v>
      </c>
      <c r="C1742" s="10" t="n">
        <v>5600</v>
      </c>
      <c r="D1742" s="0" t="s">
        <v>5313</v>
      </c>
      <c r="E1742" s="0" t="s">
        <v>5235</v>
      </c>
      <c r="F1742" s="0" t="s">
        <v>3160</v>
      </c>
      <c r="G1742" s="0" t="s">
        <v>5189</v>
      </c>
    </row>
    <row r="1743" customFormat="false" ht="12.8" hidden="false" customHeight="false" outlineLevel="0" collapsed="false">
      <c r="A1743" s="9" t="s">
        <v>7271</v>
      </c>
      <c r="B1743" s="10" t="s">
        <v>7272</v>
      </c>
      <c r="C1743" s="10" t="n">
        <v>5700</v>
      </c>
      <c r="D1743" s="0" t="s">
        <v>5316</v>
      </c>
      <c r="E1743" s="0" t="s">
        <v>5235</v>
      </c>
      <c r="F1743" s="0" t="s">
        <v>3160</v>
      </c>
      <c r="G1743" s="0" t="s">
        <v>5189</v>
      </c>
    </row>
    <row r="1744" customFormat="false" ht="12.8" hidden="false" customHeight="false" outlineLevel="0" collapsed="false">
      <c r="A1744" s="9" t="s">
        <v>7273</v>
      </c>
      <c r="B1744" s="10" t="s">
        <v>7274</v>
      </c>
      <c r="C1744" s="10" t="n">
        <v>5900</v>
      </c>
      <c r="D1744" s="0" t="s">
        <v>5319</v>
      </c>
      <c r="E1744" s="0" t="s">
        <v>5235</v>
      </c>
      <c r="F1744" s="0" t="s">
        <v>3160</v>
      </c>
      <c r="G1744" s="0" t="s">
        <v>5189</v>
      </c>
    </row>
    <row r="1745" customFormat="false" ht="12.8" hidden="false" customHeight="false" outlineLevel="0" collapsed="false">
      <c r="A1745" s="9" t="s">
        <v>7275</v>
      </c>
      <c r="B1745" s="10" t="s">
        <v>7276</v>
      </c>
      <c r="C1745" s="10" t="n">
        <v>6100</v>
      </c>
      <c r="D1745" s="0" t="s">
        <v>5322</v>
      </c>
      <c r="E1745" s="0" t="s">
        <v>5235</v>
      </c>
      <c r="F1745" s="0" t="s">
        <v>3160</v>
      </c>
      <c r="G1745" s="0" t="s">
        <v>5189</v>
      </c>
    </row>
    <row r="1746" customFormat="false" ht="12.8" hidden="false" customHeight="false" outlineLevel="0" collapsed="false">
      <c r="A1746" s="9" t="s">
        <v>7277</v>
      </c>
      <c r="B1746" s="10" t="s">
        <v>7278</v>
      </c>
      <c r="C1746" s="10" t="n">
        <v>0.038</v>
      </c>
      <c r="D1746" s="0" t="s">
        <v>5446</v>
      </c>
      <c r="E1746" s="0" t="s">
        <v>5419</v>
      </c>
      <c r="F1746" s="0" t="s">
        <v>3160</v>
      </c>
      <c r="G1746" s="0" t="s">
        <v>5327</v>
      </c>
    </row>
    <row r="1747" customFormat="false" ht="12.8" hidden="false" customHeight="false" outlineLevel="0" collapsed="false">
      <c r="A1747" s="9" t="s">
        <v>7279</v>
      </c>
      <c r="B1747" s="10" t="s">
        <v>7280</v>
      </c>
      <c r="C1747" s="10" t="n">
        <v>0.045</v>
      </c>
      <c r="D1747" s="0" t="s">
        <v>5449</v>
      </c>
      <c r="E1747" s="0" t="s">
        <v>5419</v>
      </c>
      <c r="F1747" s="0" t="s">
        <v>3160</v>
      </c>
      <c r="G1747" s="0" t="s">
        <v>5327</v>
      </c>
    </row>
    <row r="1748" customFormat="false" ht="12.8" hidden="false" customHeight="false" outlineLevel="0" collapsed="false">
      <c r="A1748" s="9" t="s">
        <v>7281</v>
      </c>
      <c r="B1748" s="10" t="s">
        <v>7282</v>
      </c>
      <c r="C1748" s="10" t="n">
        <v>0.04</v>
      </c>
      <c r="D1748" s="0" t="s">
        <v>5452</v>
      </c>
      <c r="E1748" s="0" t="s">
        <v>5419</v>
      </c>
      <c r="F1748" s="0" t="s">
        <v>3160</v>
      </c>
      <c r="G1748" s="0" t="s">
        <v>5327</v>
      </c>
    </row>
    <row r="1749" customFormat="false" ht="12.8" hidden="false" customHeight="false" outlineLevel="0" collapsed="false">
      <c r="A1749" s="9" t="s">
        <v>7283</v>
      </c>
      <c r="B1749" s="10" t="s">
        <v>7284</v>
      </c>
      <c r="C1749" s="10" t="n">
        <v>0.042</v>
      </c>
      <c r="D1749" s="0" t="s">
        <v>5455</v>
      </c>
      <c r="E1749" s="0" t="s">
        <v>5419</v>
      </c>
      <c r="F1749" s="0" t="s">
        <v>3160</v>
      </c>
      <c r="G1749" s="0" t="s">
        <v>5327</v>
      </c>
    </row>
    <row r="1750" customFormat="false" ht="12.8" hidden="false" customHeight="false" outlineLevel="0" collapsed="false">
      <c r="A1750" s="9" t="s">
        <v>7285</v>
      </c>
      <c r="B1750" s="10" t="s">
        <v>7286</v>
      </c>
      <c r="C1750" s="10" t="n">
        <v>0.048</v>
      </c>
      <c r="D1750" s="0" t="s">
        <v>5458</v>
      </c>
      <c r="E1750" s="0" t="s">
        <v>5419</v>
      </c>
      <c r="F1750" s="0" t="s">
        <v>3160</v>
      </c>
      <c r="G1750" s="0" t="s">
        <v>5327</v>
      </c>
    </row>
    <row r="1751" customFormat="false" ht="12.8" hidden="false" customHeight="false" outlineLevel="0" collapsed="false">
      <c r="A1751" s="9" t="s">
        <v>7287</v>
      </c>
      <c r="B1751" s="10" t="s">
        <v>7288</v>
      </c>
      <c r="C1751" s="10" t="n">
        <v>0.05</v>
      </c>
      <c r="D1751" s="0" t="s">
        <v>5461</v>
      </c>
      <c r="E1751" s="0" t="s">
        <v>5419</v>
      </c>
      <c r="F1751" s="0" t="s">
        <v>3160</v>
      </c>
      <c r="G1751" s="0" t="s">
        <v>5327</v>
      </c>
    </row>
    <row r="1752" customFormat="false" ht="12.8" hidden="false" customHeight="false" outlineLevel="0" collapsed="false">
      <c r="A1752" s="9" t="s">
        <v>7289</v>
      </c>
      <c r="B1752" s="10" t="s">
        <v>7290</v>
      </c>
      <c r="C1752" s="10" t="n">
        <v>1250</v>
      </c>
      <c r="D1752" s="0" t="s">
        <v>5583</v>
      </c>
      <c r="E1752" s="0" t="s">
        <v>5419</v>
      </c>
      <c r="F1752" s="0" t="s">
        <v>3160</v>
      </c>
      <c r="G1752" s="0" t="s">
        <v>5466</v>
      </c>
    </row>
    <row r="1753" customFormat="false" ht="12.8" hidden="false" customHeight="false" outlineLevel="0" collapsed="false">
      <c r="A1753" s="9" t="s">
        <v>7291</v>
      </c>
      <c r="B1753" s="10" t="s">
        <v>7292</v>
      </c>
      <c r="C1753" s="10" t="n">
        <v>1400</v>
      </c>
      <c r="D1753" s="0" t="s">
        <v>5586</v>
      </c>
      <c r="E1753" s="0" t="s">
        <v>5419</v>
      </c>
      <c r="F1753" s="0" t="s">
        <v>3160</v>
      </c>
      <c r="G1753" s="0" t="s">
        <v>5466</v>
      </c>
    </row>
    <row r="1754" customFormat="false" ht="12.8" hidden="false" customHeight="false" outlineLevel="0" collapsed="false">
      <c r="A1754" s="9" t="s">
        <v>7293</v>
      </c>
      <c r="B1754" s="10" t="s">
        <v>7294</v>
      </c>
      <c r="C1754" s="10" t="n">
        <v>1300</v>
      </c>
      <c r="D1754" s="0" t="s">
        <v>5589</v>
      </c>
      <c r="E1754" s="0" t="s">
        <v>5419</v>
      </c>
      <c r="F1754" s="0" t="s">
        <v>3160</v>
      </c>
      <c r="G1754" s="0" t="s">
        <v>5466</v>
      </c>
    </row>
    <row r="1755" customFormat="false" ht="12.8" hidden="false" customHeight="false" outlineLevel="0" collapsed="false">
      <c r="A1755" s="9" t="s">
        <v>7295</v>
      </c>
      <c r="B1755" s="10" t="s">
        <v>7296</v>
      </c>
      <c r="C1755" s="10" t="n">
        <v>1350</v>
      </c>
      <c r="D1755" s="0" t="s">
        <v>5592</v>
      </c>
      <c r="E1755" s="0" t="s">
        <v>5419</v>
      </c>
      <c r="F1755" s="0" t="s">
        <v>3160</v>
      </c>
      <c r="G1755" s="0" t="s">
        <v>5466</v>
      </c>
    </row>
    <row r="1756" customFormat="false" ht="12.8" hidden="false" customHeight="false" outlineLevel="0" collapsed="false">
      <c r="A1756" s="9" t="s">
        <v>7297</v>
      </c>
      <c r="B1756" s="10" t="s">
        <v>7298</v>
      </c>
      <c r="C1756" s="10" t="n">
        <v>1450</v>
      </c>
      <c r="D1756" s="0" t="s">
        <v>5595</v>
      </c>
      <c r="E1756" s="0" t="s">
        <v>5419</v>
      </c>
      <c r="F1756" s="0" t="s">
        <v>3160</v>
      </c>
      <c r="G1756" s="0" t="s">
        <v>5466</v>
      </c>
    </row>
    <row r="1757" customFormat="false" ht="12.8" hidden="false" customHeight="false" outlineLevel="0" collapsed="false">
      <c r="A1757" s="9" t="s">
        <v>7299</v>
      </c>
      <c r="B1757" s="10" t="s">
        <v>7300</v>
      </c>
      <c r="C1757" s="10" t="n">
        <v>1500</v>
      </c>
      <c r="D1757" s="0" t="s">
        <v>5598</v>
      </c>
      <c r="E1757" s="0" t="s">
        <v>5419</v>
      </c>
      <c r="F1757" s="0" t="s">
        <v>3160</v>
      </c>
      <c r="G1757" s="0" t="s">
        <v>5466</v>
      </c>
    </row>
    <row r="1758" customFormat="false" ht="12.8" hidden="false" customHeight="false" outlineLevel="0" collapsed="false">
      <c r="A1758" s="9" t="s">
        <v>7301</v>
      </c>
      <c r="B1758" s="10" t="s">
        <v>7302</v>
      </c>
      <c r="C1758" s="10" t="n">
        <v>0.7</v>
      </c>
      <c r="D1758" s="0" t="s">
        <v>5722</v>
      </c>
      <c r="E1758" s="0" t="s">
        <v>5695</v>
      </c>
      <c r="F1758" s="0" t="s">
        <v>3160</v>
      </c>
      <c r="G1758" s="0" t="s">
        <v>5603</v>
      </c>
    </row>
    <row r="1759" customFormat="false" ht="12.8" hidden="false" customHeight="false" outlineLevel="0" collapsed="false">
      <c r="A1759" s="9" t="s">
        <v>7303</v>
      </c>
      <c r="B1759" s="10" t="s">
        <v>7304</v>
      </c>
      <c r="C1759" s="10" t="n">
        <v>0.75</v>
      </c>
      <c r="D1759" s="0" t="s">
        <v>5725</v>
      </c>
      <c r="E1759" s="0" t="s">
        <v>5695</v>
      </c>
      <c r="F1759" s="0" t="s">
        <v>3160</v>
      </c>
      <c r="G1759" s="0" t="s">
        <v>5603</v>
      </c>
    </row>
    <row r="1760" customFormat="false" ht="12.8" hidden="false" customHeight="false" outlineLevel="0" collapsed="false">
      <c r="A1760" s="9" t="s">
        <v>7305</v>
      </c>
      <c r="B1760" s="10" t="s">
        <v>7306</v>
      </c>
      <c r="C1760" s="10" t="n">
        <v>0.72</v>
      </c>
      <c r="D1760" s="0" t="s">
        <v>5728</v>
      </c>
      <c r="E1760" s="0" t="s">
        <v>5695</v>
      </c>
      <c r="F1760" s="0" t="s">
        <v>3160</v>
      </c>
      <c r="G1760" s="0" t="s">
        <v>5603</v>
      </c>
    </row>
    <row r="1761" customFormat="false" ht="12.8" hidden="false" customHeight="false" outlineLevel="0" collapsed="false">
      <c r="A1761" s="9" t="s">
        <v>7307</v>
      </c>
      <c r="B1761" s="10" t="s">
        <v>7308</v>
      </c>
      <c r="C1761" s="10" t="n">
        <v>0.78</v>
      </c>
      <c r="D1761" s="0" t="s">
        <v>5731</v>
      </c>
      <c r="E1761" s="0" t="s">
        <v>5695</v>
      </c>
      <c r="F1761" s="0" t="s">
        <v>3160</v>
      </c>
      <c r="G1761" s="0" t="s">
        <v>5603</v>
      </c>
    </row>
    <row r="1762" customFormat="false" ht="12.8" hidden="false" customHeight="false" outlineLevel="0" collapsed="false">
      <c r="A1762" s="9" t="s">
        <v>7309</v>
      </c>
      <c r="B1762" s="10" t="s">
        <v>7310</v>
      </c>
      <c r="C1762" s="10" t="n">
        <v>0.76</v>
      </c>
      <c r="D1762" s="0" t="s">
        <v>5734</v>
      </c>
      <c r="E1762" s="0" t="s">
        <v>5695</v>
      </c>
      <c r="F1762" s="0" t="s">
        <v>3160</v>
      </c>
      <c r="G1762" s="0" t="s">
        <v>5603</v>
      </c>
    </row>
    <row r="1763" customFormat="false" ht="12.8" hidden="false" customHeight="false" outlineLevel="0" collapsed="false">
      <c r="A1763" s="9" t="s">
        <v>7311</v>
      </c>
      <c r="B1763" s="10" t="s">
        <v>7312</v>
      </c>
      <c r="C1763" s="10" t="n">
        <v>0.8</v>
      </c>
      <c r="D1763" s="0" t="s">
        <v>5737</v>
      </c>
      <c r="E1763" s="0" t="s">
        <v>5695</v>
      </c>
      <c r="F1763" s="0" t="s">
        <v>3160</v>
      </c>
      <c r="G1763" s="0" t="s">
        <v>5603</v>
      </c>
    </row>
    <row r="1764" customFormat="false" ht="12.8" hidden="false" customHeight="false" outlineLevel="0" collapsed="false">
      <c r="A1764" s="9" t="s">
        <v>7313</v>
      </c>
      <c r="B1764" s="10" t="s">
        <v>7314</v>
      </c>
      <c r="C1764" s="10" t="n">
        <v>4200000</v>
      </c>
      <c r="D1764" s="0" t="s">
        <v>7315</v>
      </c>
      <c r="E1764" s="0" t="s">
        <v>6636</v>
      </c>
      <c r="F1764" s="0" t="s">
        <v>6323</v>
      </c>
      <c r="G1764" s="0" t="s">
        <v>6324</v>
      </c>
      <c r="H1764" s="0" t="s">
        <v>6325</v>
      </c>
    </row>
    <row r="1765" customFormat="false" ht="12.8" hidden="false" customHeight="false" outlineLevel="0" collapsed="false">
      <c r="A1765" s="9" t="s">
        <v>7316</v>
      </c>
      <c r="B1765" s="10" t="s">
        <v>7317</v>
      </c>
      <c r="C1765" s="10" t="n">
        <v>3200000</v>
      </c>
      <c r="D1765" s="0" t="s">
        <v>7318</v>
      </c>
      <c r="E1765" s="0" t="s">
        <v>6636</v>
      </c>
      <c r="F1765" s="0" t="s">
        <v>6323</v>
      </c>
      <c r="G1765" s="0" t="s">
        <v>6324</v>
      </c>
      <c r="H1765" s="0" t="s">
        <v>6325</v>
      </c>
    </row>
    <row r="1766" customFormat="false" ht="12.8" hidden="false" customHeight="false" outlineLevel="0" collapsed="false">
      <c r="A1766" s="9" t="s">
        <v>7319</v>
      </c>
      <c r="B1766" s="10" t="s">
        <v>7320</v>
      </c>
      <c r="C1766" s="10" t="n">
        <v>1700000</v>
      </c>
      <c r="D1766" s="0" t="s">
        <v>7321</v>
      </c>
      <c r="E1766" s="0" t="s">
        <v>6636</v>
      </c>
      <c r="F1766" s="0" t="s">
        <v>6323</v>
      </c>
      <c r="G1766" s="0" t="s">
        <v>6324</v>
      </c>
      <c r="H1766" s="0" t="s">
        <v>6325</v>
      </c>
    </row>
    <row r="1767" customFormat="false" ht="12.8" hidden="false" customHeight="false" outlineLevel="0" collapsed="false">
      <c r="A1767" s="9" t="s">
        <v>7322</v>
      </c>
      <c r="B1767" s="10" t="s">
        <v>7323</v>
      </c>
      <c r="C1767" s="10" t="n">
        <v>1400000</v>
      </c>
      <c r="D1767" s="0" t="s">
        <v>7324</v>
      </c>
      <c r="E1767" s="0" t="s">
        <v>6636</v>
      </c>
      <c r="F1767" s="0" t="s">
        <v>6323</v>
      </c>
      <c r="G1767" s="0" t="s">
        <v>6324</v>
      </c>
      <c r="H1767" s="0" t="s">
        <v>6325</v>
      </c>
    </row>
    <row r="1768" customFormat="false" ht="12.8" hidden="false" customHeight="false" outlineLevel="0" collapsed="false">
      <c r="A1768" s="9" t="s">
        <v>7325</v>
      </c>
      <c r="B1768" s="10" t="s">
        <v>7326</v>
      </c>
      <c r="C1768" s="10" t="n">
        <v>450000</v>
      </c>
      <c r="D1768" s="0" t="s">
        <v>7327</v>
      </c>
      <c r="E1768" s="0" t="s">
        <v>6636</v>
      </c>
      <c r="F1768" s="0" t="s">
        <v>6323</v>
      </c>
      <c r="G1768" s="0" t="s">
        <v>6324</v>
      </c>
      <c r="H1768" s="0" t="s">
        <v>6325</v>
      </c>
    </row>
    <row r="1769" customFormat="false" ht="12.8" hidden="false" customHeight="false" outlineLevel="0" collapsed="false">
      <c r="A1769" s="9" t="s">
        <v>7328</v>
      </c>
      <c r="B1769" s="10" t="s">
        <v>7329</v>
      </c>
      <c r="C1769" s="10" t="n">
        <v>5000000</v>
      </c>
      <c r="D1769" s="0" t="s">
        <v>7330</v>
      </c>
      <c r="E1769" s="0" t="s">
        <v>6636</v>
      </c>
      <c r="F1769" s="0" t="s">
        <v>6323</v>
      </c>
      <c r="G1769" s="0" t="s">
        <v>6324</v>
      </c>
      <c r="H1769" s="0" t="s">
        <v>6325</v>
      </c>
    </row>
    <row r="1771" customFormat="false" ht="12.8" hidden="false" customHeight="false" outlineLevel="0" collapsed="false">
      <c r="A1771" s="9" t="s">
        <v>7331</v>
      </c>
      <c r="B1771" s="10" t="s">
        <v>7332</v>
      </c>
      <c r="C1771" s="10" t="n">
        <v>1800000</v>
      </c>
      <c r="D1771" s="0" t="s">
        <v>7333</v>
      </c>
      <c r="E1771" s="0" t="s">
        <v>6636</v>
      </c>
      <c r="F1771" s="0" t="s">
        <v>6323</v>
      </c>
      <c r="G1771" s="0" t="s">
        <v>6324</v>
      </c>
      <c r="H1771" s="0" t="s">
        <v>6325</v>
      </c>
    </row>
    <row r="1772" customFormat="false" ht="12.8" hidden="false" customHeight="false" outlineLevel="0" collapsed="false">
      <c r="A1772" s="9" t="s">
        <v>7334</v>
      </c>
      <c r="B1772" s="10" t="s">
        <v>7335</v>
      </c>
      <c r="C1772" s="10" t="n">
        <v>1200000</v>
      </c>
      <c r="D1772" s="0" t="s">
        <v>7336</v>
      </c>
      <c r="E1772" s="0" t="s">
        <v>6636</v>
      </c>
      <c r="F1772" s="0" t="s">
        <v>6323</v>
      </c>
      <c r="G1772" s="0" t="s">
        <v>6324</v>
      </c>
      <c r="H1772" s="0" t="s">
        <v>6325</v>
      </c>
    </row>
    <row r="1773" customFormat="false" ht="12.8" hidden="false" customHeight="false" outlineLevel="0" collapsed="false">
      <c r="A1773" s="9" t="s">
        <v>7337</v>
      </c>
      <c r="B1773" s="10" t="s">
        <v>7338</v>
      </c>
      <c r="C1773" s="10" t="n">
        <v>800000</v>
      </c>
      <c r="D1773" s="0" t="s">
        <v>7339</v>
      </c>
      <c r="E1773" s="0" t="s">
        <v>6636</v>
      </c>
      <c r="F1773" s="0" t="s">
        <v>6323</v>
      </c>
      <c r="G1773" s="0" t="s">
        <v>6324</v>
      </c>
      <c r="H1773" s="0" t="s">
        <v>6325</v>
      </c>
    </row>
    <row r="1774" customFormat="false" ht="12.8" hidden="false" customHeight="false" outlineLevel="0" collapsed="false">
      <c r="A1774" s="9" t="s">
        <v>7340</v>
      </c>
      <c r="B1774" s="10" t="s">
        <v>7341</v>
      </c>
      <c r="C1774" s="10" t="n">
        <v>700000</v>
      </c>
      <c r="D1774" s="0" t="s">
        <v>7342</v>
      </c>
      <c r="E1774" s="0" t="s">
        <v>6636</v>
      </c>
      <c r="F1774" s="0" t="s">
        <v>6323</v>
      </c>
      <c r="G1774" s="0" t="s">
        <v>6324</v>
      </c>
      <c r="H1774" s="0" t="s">
        <v>6325</v>
      </c>
    </row>
    <row r="1775" customFormat="false" ht="12.8" hidden="false" customHeight="false" outlineLevel="0" collapsed="false">
      <c r="A1775" s="9" t="s">
        <v>7343</v>
      </c>
      <c r="B1775" s="10" t="s">
        <v>7344</v>
      </c>
      <c r="C1775" s="10" t="n">
        <v>300000</v>
      </c>
      <c r="D1775" s="0" t="s">
        <v>7345</v>
      </c>
      <c r="E1775" s="0" t="s">
        <v>6636</v>
      </c>
      <c r="F1775" s="0" t="s">
        <v>6323</v>
      </c>
      <c r="G1775" s="0" t="s">
        <v>6324</v>
      </c>
      <c r="H1775" s="0" t="s">
        <v>6325</v>
      </c>
    </row>
    <row r="1776" customFormat="false" ht="12.8" hidden="false" customHeight="false" outlineLevel="0" collapsed="false">
      <c r="A1776" s="9" t="s">
        <v>7346</v>
      </c>
      <c r="B1776" s="10" t="s">
        <v>7347</v>
      </c>
      <c r="C1776" s="10" t="n">
        <v>2500000</v>
      </c>
      <c r="D1776" s="0" t="s">
        <v>7348</v>
      </c>
      <c r="E1776" s="0" t="s">
        <v>6636</v>
      </c>
      <c r="F1776" s="0" t="s">
        <v>6323</v>
      </c>
      <c r="G1776" s="0" t="s">
        <v>6324</v>
      </c>
      <c r="H1776" s="0" t="s">
        <v>6325</v>
      </c>
    </row>
    <row r="1782" customFormat="false" ht="12.8" hidden="false" customHeight="false" outlineLevel="0" collapsed="false">
      <c r="A1782" s="9" t="s">
        <v>7349</v>
      </c>
      <c r="B1782" s="10" t="s">
        <v>7350</v>
      </c>
      <c r="C1782" s="10" t="n">
        <v>6600000</v>
      </c>
      <c r="D1782" s="0" t="s">
        <v>7351</v>
      </c>
      <c r="E1782" s="0" t="s">
        <v>6636</v>
      </c>
      <c r="F1782" s="0" t="s">
        <v>6323</v>
      </c>
      <c r="G1782" s="0" t="s">
        <v>6324</v>
      </c>
      <c r="H1782" s="0" t="s">
        <v>6325</v>
      </c>
    </row>
    <row r="1783" customFormat="false" ht="12.8" hidden="false" customHeight="false" outlineLevel="0" collapsed="false">
      <c r="A1783" s="9" t="s">
        <v>7352</v>
      </c>
      <c r="B1783" s="10" t="s">
        <v>7353</v>
      </c>
      <c r="C1783" s="10" t="n">
        <v>5000000</v>
      </c>
      <c r="D1783" s="0" t="s">
        <v>7354</v>
      </c>
      <c r="E1783" s="0" t="s">
        <v>6636</v>
      </c>
      <c r="F1783" s="0" t="s">
        <v>6323</v>
      </c>
      <c r="G1783" s="0" t="s">
        <v>6324</v>
      </c>
      <c r="H1783" s="0" t="s">
        <v>6325</v>
      </c>
    </row>
    <row r="1784" customFormat="false" ht="12.8" hidden="false" customHeight="false" outlineLevel="0" collapsed="false">
      <c r="A1784" s="9" t="s">
        <v>7355</v>
      </c>
      <c r="B1784" s="10" t="s">
        <v>7356</v>
      </c>
      <c r="C1784" s="10" t="n">
        <v>2700000</v>
      </c>
      <c r="D1784" s="0" t="s">
        <v>7357</v>
      </c>
      <c r="E1784" s="0" t="s">
        <v>6636</v>
      </c>
      <c r="F1784" s="0" t="s">
        <v>6323</v>
      </c>
      <c r="G1784" s="0" t="s">
        <v>6324</v>
      </c>
      <c r="H1784" s="0" t="s">
        <v>6325</v>
      </c>
    </row>
    <row r="1785" customFormat="false" ht="12.8" hidden="false" customHeight="false" outlineLevel="0" collapsed="false">
      <c r="A1785" s="9" t="s">
        <v>7358</v>
      </c>
      <c r="B1785" s="10" t="s">
        <v>7359</v>
      </c>
      <c r="C1785" s="10" t="n">
        <v>2200000</v>
      </c>
      <c r="D1785" s="0" t="s">
        <v>7360</v>
      </c>
      <c r="E1785" s="0" t="s">
        <v>6636</v>
      </c>
      <c r="F1785" s="0" t="s">
        <v>6323</v>
      </c>
      <c r="G1785" s="0" t="s">
        <v>6324</v>
      </c>
      <c r="H1785" s="0" t="s">
        <v>6325</v>
      </c>
    </row>
    <row r="1786" customFormat="false" ht="12.8" hidden="false" customHeight="false" outlineLevel="0" collapsed="false">
      <c r="A1786" s="9" t="s">
        <v>7361</v>
      </c>
      <c r="B1786" s="10" t="s">
        <v>7362</v>
      </c>
      <c r="C1786" s="10" t="n">
        <v>700000</v>
      </c>
      <c r="D1786" s="0" t="s">
        <v>7363</v>
      </c>
      <c r="E1786" s="0" t="s">
        <v>6636</v>
      </c>
      <c r="F1786" s="0" t="s">
        <v>6323</v>
      </c>
      <c r="G1786" s="0" t="s">
        <v>6324</v>
      </c>
      <c r="H1786" s="0" t="s">
        <v>6325</v>
      </c>
    </row>
    <row r="1787" customFormat="false" ht="12.8" hidden="false" customHeight="false" outlineLevel="0" collapsed="false">
      <c r="A1787" s="9" t="s">
        <v>7364</v>
      </c>
      <c r="B1787" s="10" t="s">
        <v>7365</v>
      </c>
      <c r="C1787" s="10" t="n">
        <v>7800000</v>
      </c>
      <c r="D1787" s="0" t="s">
        <v>7366</v>
      </c>
      <c r="E1787" s="0" t="s">
        <v>6636</v>
      </c>
      <c r="F1787" s="0" t="s">
        <v>6323</v>
      </c>
      <c r="G1787" s="0" t="s">
        <v>6324</v>
      </c>
      <c r="H1787" s="0" t="s">
        <v>6325</v>
      </c>
    </row>
    <row r="1788" customFormat="false" ht="12.8" hidden="false" customHeight="false" outlineLevel="0" collapsed="false">
      <c r="A1788" s="9" t="s">
        <v>7367</v>
      </c>
      <c r="B1788" s="10" t="s">
        <v>7368</v>
      </c>
      <c r="C1788" s="10" t="n">
        <v>2900000</v>
      </c>
      <c r="D1788" s="0" t="s">
        <v>7369</v>
      </c>
      <c r="E1788" s="0" t="s">
        <v>6636</v>
      </c>
      <c r="F1788" s="0" t="s">
        <v>6323</v>
      </c>
      <c r="G1788" s="0" t="s">
        <v>6324</v>
      </c>
      <c r="H1788" s="0" t="s">
        <v>6325</v>
      </c>
    </row>
    <row r="1789" customFormat="false" ht="12.8" hidden="false" customHeight="false" outlineLevel="0" collapsed="false">
      <c r="A1789" s="9" t="s">
        <v>7370</v>
      </c>
      <c r="B1789" s="10" t="s">
        <v>7371</v>
      </c>
      <c r="C1789" s="10" t="n">
        <v>1500000</v>
      </c>
      <c r="D1789" s="0" t="s">
        <v>7372</v>
      </c>
      <c r="E1789" s="0" t="s">
        <v>6636</v>
      </c>
      <c r="F1789" s="0" t="s">
        <v>6323</v>
      </c>
      <c r="G1789" s="0" t="s">
        <v>6324</v>
      </c>
      <c r="H1789" s="0" t="s">
        <v>6325</v>
      </c>
    </row>
    <row r="1790" customFormat="false" ht="12.8" hidden="false" customHeight="false" outlineLevel="0" collapsed="false">
      <c r="A1790" s="9" t="s">
        <v>7373</v>
      </c>
      <c r="B1790" s="10" t="s">
        <v>7374</v>
      </c>
      <c r="C1790" s="10" t="n">
        <v>1100000</v>
      </c>
      <c r="D1790" s="0" t="s">
        <v>7375</v>
      </c>
      <c r="E1790" s="0" t="s">
        <v>6636</v>
      </c>
      <c r="F1790" s="0" t="s">
        <v>6323</v>
      </c>
      <c r="G1790" s="0" t="s">
        <v>6324</v>
      </c>
      <c r="H1790" s="0" t="s">
        <v>6325</v>
      </c>
    </row>
    <row r="1791" customFormat="false" ht="12.8" hidden="false" customHeight="false" outlineLevel="0" collapsed="false">
      <c r="A1791" s="9" t="s">
        <v>7376</v>
      </c>
      <c r="B1791" s="10" t="s">
        <v>7377</v>
      </c>
      <c r="C1791" s="10" t="n">
        <v>900000</v>
      </c>
      <c r="D1791" s="0" t="s">
        <v>7378</v>
      </c>
      <c r="E1791" s="0" t="s">
        <v>6636</v>
      </c>
      <c r="F1791" s="0" t="s">
        <v>6323</v>
      </c>
      <c r="G1791" s="0" t="s">
        <v>6324</v>
      </c>
      <c r="H1791" s="0" t="s">
        <v>6325</v>
      </c>
    </row>
    <row r="1792" customFormat="false" ht="12.8" hidden="false" customHeight="false" outlineLevel="0" collapsed="false">
      <c r="A1792" s="9" t="s">
        <v>7379</v>
      </c>
      <c r="B1792" s="10" t="s">
        <v>7380</v>
      </c>
      <c r="C1792" s="10" t="n">
        <v>600000</v>
      </c>
      <c r="D1792" s="0" t="s">
        <v>7381</v>
      </c>
      <c r="E1792" s="0" t="s">
        <v>6636</v>
      </c>
      <c r="F1792" s="0" t="s">
        <v>6323</v>
      </c>
      <c r="G1792" s="0" t="s">
        <v>6324</v>
      </c>
      <c r="H1792" s="0" t="s">
        <v>6325</v>
      </c>
    </row>
    <row r="1793" customFormat="false" ht="12.8" hidden="false" customHeight="false" outlineLevel="0" collapsed="false">
      <c r="A1793" s="9" t="s">
        <v>7382</v>
      </c>
      <c r="B1793" s="10" t="s">
        <v>7383</v>
      </c>
      <c r="C1793" s="10" t="n">
        <v>300000</v>
      </c>
      <c r="D1793" s="0" t="s">
        <v>7384</v>
      </c>
      <c r="E1793" s="0" t="s">
        <v>6636</v>
      </c>
      <c r="F1793" s="0" t="s">
        <v>6323</v>
      </c>
      <c r="G1793" s="0" t="s">
        <v>6324</v>
      </c>
      <c r="H1793" s="0" t="s">
        <v>6325</v>
      </c>
    </row>
    <row r="1799" customFormat="false" ht="12.8" hidden="false" customHeight="false" outlineLevel="0" collapsed="false">
      <c r="A1799" s="9" t="s">
        <v>7385</v>
      </c>
      <c r="B1799" s="10" t="s">
        <v>7386</v>
      </c>
      <c r="C1799" s="10" t="n">
        <v>5200000</v>
      </c>
      <c r="D1799" s="0" t="s">
        <v>7387</v>
      </c>
      <c r="E1799" s="0" t="s">
        <v>6636</v>
      </c>
      <c r="F1799" s="0" t="s">
        <v>6323</v>
      </c>
      <c r="G1799" s="0" t="s">
        <v>6324</v>
      </c>
      <c r="H1799" s="0" t="s">
        <v>6325</v>
      </c>
    </row>
    <row r="1800" customFormat="false" ht="12.8" hidden="false" customHeight="false" outlineLevel="0" collapsed="false">
      <c r="A1800" s="9" t="s">
        <v>7388</v>
      </c>
      <c r="B1800" s="10" t="s">
        <v>7389</v>
      </c>
      <c r="C1800" s="10" t="n">
        <v>3300000</v>
      </c>
      <c r="D1800" s="0" t="s">
        <v>7390</v>
      </c>
      <c r="E1800" s="0" t="s">
        <v>6636</v>
      </c>
      <c r="F1800" s="0" t="s">
        <v>6323</v>
      </c>
      <c r="G1800" s="0" t="s">
        <v>6324</v>
      </c>
      <c r="H1800" s="0" t="s">
        <v>6325</v>
      </c>
    </row>
    <row r="1801" customFormat="false" ht="12.8" hidden="false" customHeight="false" outlineLevel="0" collapsed="false">
      <c r="A1801" s="9" t="s">
        <v>7391</v>
      </c>
      <c r="B1801" s="10" t="s">
        <v>7392</v>
      </c>
      <c r="C1801" s="10" t="n">
        <v>2100000</v>
      </c>
      <c r="D1801" s="0" t="s">
        <v>7393</v>
      </c>
      <c r="E1801" s="0" t="s">
        <v>6636</v>
      </c>
      <c r="F1801" s="0" t="s">
        <v>6323</v>
      </c>
      <c r="G1801" s="0" t="s">
        <v>6324</v>
      </c>
      <c r="H1801" s="0" t="s">
        <v>6325</v>
      </c>
    </row>
    <row r="1802" customFormat="false" ht="12.8" hidden="false" customHeight="false" outlineLevel="0" collapsed="false">
      <c r="A1802" s="9" t="s">
        <v>7394</v>
      </c>
      <c r="B1802" s="10" t="s">
        <v>7395</v>
      </c>
      <c r="C1802" s="10" t="n">
        <v>1500000</v>
      </c>
      <c r="D1802" s="0" t="s">
        <v>7396</v>
      </c>
      <c r="E1802" s="0" t="s">
        <v>6636</v>
      </c>
      <c r="F1802" s="0" t="s">
        <v>6323</v>
      </c>
      <c r="G1802" s="0" t="s">
        <v>6324</v>
      </c>
      <c r="H1802" s="0" t="s">
        <v>6325</v>
      </c>
    </row>
    <row r="1803" customFormat="false" ht="12.8" hidden="false" customHeight="false" outlineLevel="0" collapsed="false">
      <c r="A1803" s="9" t="s">
        <v>7397</v>
      </c>
      <c r="B1803" s="10" t="s">
        <v>7398</v>
      </c>
      <c r="C1803" s="10" t="n">
        <v>900000</v>
      </c>
      <c r="D1803" s="0" t="s">
        <v>7399</v>
      </c>
      <c r="E1803" s="0" t="s">
        <v>6636</v>
      </c>
      <c r="F1803" s="0" t="s">
        <v>6323</v>
      </c>
      <c r="G1803" s="0" t="s">
        <v>6324</v>
      </c>
      <c r="H1803" s="0" t="s">
        <v>6325</v>
      </c>
    </row>
    <row r="1804" customFormat="false" ht="12.8" hidden="false" customHeight="false" outlineLevel="0" collapsed="false">
      <c r="A1804" s="9" t="s">
        <v>7400</v>
      </c>
      <c r="B1804" s="10" t="s">
        <v>7401</v>
      </c>
      <c r="C1804" s="10" t="n">
        <v>600000</v>
      </c>
      <c r="D1804" s="0" t="s">
        <v>7402</v>
      </c>
      <c r="E1804" s="0" t="s">
        <v>6636</v>
      </c>
      <c r="F1804" s="0" t="s">
        <v>6323</v>
      </c>
      <c r="G1804" s="0" t="s">
        <v>6324</v>
      </c>
      <c r="H1804" s="0" t="s">
        <v>6325</v>
      </c>
    </row>
    <row r="1805" customFormat="false" ht="12.8" hidden="false" customHeight="false" outlineLevel="0" collapsed="false">
      <c r="A1805" s="9" t="s">
        <v>7403</v>
      </c>
      <c r="B1805" s="10" t="s">
        <v>7404</v>
      </c>
      <c r="C1805" s="10" t="n">
        <v>1040000</v>
      </c>
      <c r="D1805" s="0" t="s">
        <v>7405</v>
      </c>
      <c r="E1805" s="0" t="s">
        <v>6636</v>
      </c>
      <c r="F1805" s="0" t="s">
        <v>6323</v>
      </c>
      <c r="G1805" s="0" t="s">
        <v>6324</v>
      </c>
      <c r="H1805" s="0" t="s">
        <v>6325</v>
      </c>
    </row>
    <row r="1806" customFormat="false" ht="12.8" hidden="false" customHeight="false" outlineLevel="0" collapsed="false">
      <c r="A1806" s="9" t="s">
        <v>7406</v>
      </c>
      <c r="B1806" s="10" t="s">
        <v>7407</v>
      </c>
      <c r="C1806" s="10" t="n">
        <v>660000</v>
      </c>
      <c r="D1806" s="0" t="s">
        <v>7408</v>
      </c>
      <c r="E1806" s="0" t="s">
        <v>6636</v>
      </c>
      <c r="F1806" s="0" t="s">
        <v>6323</v>
      </c>
      <c r="G1806" s="0" t="s">
        <v>6324</v>
      </c>
      <c r="H1806" s="0" t="s">
        <v>6325</v>
      </c>
    </row>
    <row r="1807" customFormat="false" ht="12.8" hidden="false" customHeight="false" outlineLevel="0" collapsed="false">
      <c r="A1807" s="9" t="s">
        <v>7409</v>
      </c>
      <c r="B1807" s="10" t="s">
        <v>7410</v>
      </c>
      <c r="C1807" s="10" t="n">
        <v>420000</v>
      </c>
      <c r="D1807" s="0" t="s">
        <v>7411</v>
      </c>
      <c r="E1807" s="0" t="s">
        <v>6636</v>
      </c>
      <c r="F1807" s="0" t="s">
        <v>6323</v>
      </c>
      <c r="G1807" s="0" t="s">
        <v>6324</v>
      </c>
      <c r="H1807" s="0" t="s">
        <v>6325</v>
      </c>
    </row>
    <row r="1808" customFormat="false" ht="12.8" hidden="false" customHeight="false" outlineLevel="0" collapsed="false">
      <c r="A1808" s="9" t="s">
        <v>7412</v>
      </c>
      <c r="B1808" s="10" t="s">
        <v>7413</v>
      </c>
      <c r="C1808" s="10" t="n">
        <v>300000</v>
      </c>
      <c r="D1808" s="0" t="s">
        <v>7414</v>
      </c>
      <c r="E1808" s="0" t="s">
        <v>6636</v>
      </c>
      <c r="F1808" s="0" t="s">
        <v>6323</v>
      </c>
      <c r="G1808" s="0" t="s">
        <v>6324</v>
      </c>
      <c r="H1808" s="0" t="s">
        <v>6325</v>
      </c>
    </row>
    <row r="1809" customFormat="false" ht="12.8" hidden="false" customHeight="false" outlineLevel="0" collapsed="false">
      <c r="A1809" s="9" t="s">
        <v>7415</v>
      </c>
      <c r="B1809" s="10" t="s">
        <v>7416</v>
      </c>
      <c r="C1809" s="10" t="n">
        <v>180000</v>
      </c>
      <c r="D1809" s="0" t="s">
        <v>7417</v>
      </c>
      <c r="E1809" s="0" t="s">
        <v>6636</v>
      </c>
      <c r="F1809" s="0" t="s">
        <v>6323</v>
      </c>
      <c r="G1809" s="0" t="s">
        <v>6324</v>
      </c>
      <c r="H1809" s="0" t="s">
        <v>6325</v>
      </c>
    </row>
    <row r="1810" customFormat="false" ht="12.8" hidden="false" customHeight="false" outlineLevel="0" collapsed="false">
      <c r="A1810" s="9" t="s">
        <v>7418</v>
      </c>
      <c r="B1810" s="10" t="s">
        <v>7419</v>
      </c>
      <c r="C1810" s="10" t="n">
        <v>120000</v>
      </c>
      <c r="D1810" s="0" t="s">
        <v>7420</v>
      </c>
      <c r="E1810" s="0" t="s">
        <v>6636</v>
      </c>
      <c r="F1810" s="0" t="s">
        <v>6323</v>
      </c>
      <c r="G1810" s="0" t="s">
        <v>6324</v>
      </c>
      <c r="H1810" s="0" t="s">
        <v>6325</v>
      </c>
    </row>
    <row r="1816" customFormat="false" ht="12.8" hidden="false" customHeight="false" outlineLevel="0" collapsed="false">
      <c r="A1816" s="9" t="s">
        <v>7421</v>
      </c>
      <c r="B1816" s="10" t="s">
        <v>6844</v>
      </c>
      <c r="C1816" s="10" t="n">
        <v>326.9</v>
      </c>
      <c r="D1816" s="0" t="s">
        <v>6845</v>
      </c>
      <c r="E1816" s="0" t="s">
        <v>3150</v>
      </c>
      <c r="F1816" s="0" t="s">
        <v>3151</v>
      </c>
      <c r="G1816" s="0" t="s">
        <v>3152</v>
      </c>
    </row>
    <row r="1817" customFormat="false" ht="12.8" hidden="false" customHeight="false" outlineLevel="0" collapsed="false">
      <c r="A1817" s="9" t="s">
        <v>7422</v>
      </c>
      <c r="B1817" s="10" t="s">
        <v>6847</v>
      </c>
      <c r="C1817" s="10" t="n">
        <v>204.5</v>
      </c>
      <c r="D1817" s="0" t="s">
        <v>6848</v>
      </c>
      <c r="E1817" s="0" t="s">
        <v>3150</v>
      </c>
      <c r="F1817" s="0" t="s">
        <v>3151</v>
      </c>
      <c r="G1817" s="0" t="s">
        <v>3152</v>
      </c>
    </row>
    <row r="1818" customFormat="false" ht="12.8" hidden="false" customHeight="false" outlineLevel="0" collapsed="false">
      <c r="A1818" s="9" t="s">
        <v>7423</v>
      </c>
      <c r="B1818" s="10" t="s">
        <v>6850</v>
      </c>
      <c r="C1818" s="10" t="n">
        <v>180</v>
      </c>
      <c r="D1818" s="0" t="s">
        <v>6851</v>
      </c>
      <c r="E1818" s="0" t="s">
        <v>6852</v>
      </c>
      <c r="F1818" s="0" t="s">
        <v>3151</v>
      </c>
      <c r="G1818" s="0" t="s">
        <v>3152</v>
      </c>
    </row>
    <row r="1819" customFormat="false" ht="12.8" hidden="false" customHeight="false" outlineLevel="0" collapsed="false">
      <c r="A1819" s="9" t="s">
        <v>7424</v>
      </c>
      <c r="B1819" s="10" t="s">
        <v>6854</v>
      </c>
      <c r="C1819" s="10" t="n">
        <v>120</v>
      </c>
      <c r="D1819" s="0" t="s">
        <v>6855</v>
      </c>
      <c r="E1819" s="0" t="s">
        <v>6852</v>
      </c>
      <c r="F1819" s="0" t="s">
        <v>3151</v>
      </c>
      <c r="G1819" s="0" t="s">
        <v>3152</v>
      </c>
    </row>
    <row r="1820" customFormat="false" ht="12.8" hidden="false" customHeight="false" outlineLevel="0" collapsed="false">
      <c r="A1820" s="9" t="s">
        <v>7425</v>
      </c>
      <c r="B1820" s="10" t="s">
        <v>6857</v>
      </c>
      <c r="C1820" s="10" t="n">
        <v>80</v>
      </c>
      <c r="D1820" s="0" t="s">
        <v>6858</v>
      </c>
      <c r="E1820" s="0" t="s">
        <v>6852</v>
      </c>
      <c r="F1820" s="0" t="s">
        <v>3151</v>
      </c>
      <c r="G1820" s="0" t="s">
        <v>3152</v>
      </c>
    </row>
    <row r="1821" customFormat="false" ht="12.8" hidden="false" customHeight="false" outlineLevel="0" collapsed="false">
      <c r="A1821" s="9" t="s">
        <v>7426</v>
      </c>
      <c r="B1821" s="10" t="s">
        <v>6860</v>
      </c>
      <c r="C1821" s="10" t="n">
        <v>150</v>
      </c>
      <c r="D1821" s="0" t="s">
        <v>6861</v>
      </c>
      <c r="E1821" s="0" t="s">
        <v>6852</v>
      </c>
      <c r="F1821" s="0" t="s">
        <v>3151</v>
      </c>
      <c r="G1821" s="0" t="s">
        <v>3152</v>
      </c>
    </row>
    <row r="1827" customFormat="false" ht="12.8" hidden="false" customHeight="false" outlineLevel="0" collapsed="false">
      <c r="A1827" s="9" t="s">
        <v>7427</v>
      </c>
      <c r="B1827" s="10" t="s">
        <v>6892</v>
      </c>
      <c r="C1827" s="10" t="n">
        <v>1.02</v>
      </c>
      <c r="D1827" s="0" t="s">
        <v>6893</v>
      </c>
      <c r="E1827" s="0" t="s">
        <v>6865</v>
      </c>
      <c r="F1827" s="0" t="s">
        <v>3160</v>
      </c>
      <c r="G1827" s="0" t="s">
        <v>6866</v>
      </c>
    </row>
    <row r="1828" customFormat="false" ht="12.8" hidden="false" customHeight="false" outlineLevel="0" collapsed="false">
      <c r="A1828" s="9" t="s">
        <v>7428</v>
      </c>
      <c r="B1828" s="10" t="s">
        <v>6896</v>
      </c>
      <c r="C1828" s="10" t="n">
        <v>1.01</v>
      </c>
      <c r="D1828" s="0" t="s">
        <v>6897</v>
      </c>
      <c r="E1828" s="0" t="s">
        <v>6865</v>
      </c>
      <c r="F1828" s="0" t="s">
        <v>3160</v>
      </c>
      <c r="G1828" s="0" t="s">
        <v>6866</v>
      </c>
    </row>
    <row r="1829" customFormat="false" ht="12.8" hidden="false" customHeight="false" outlineLevel="0" collapsed="false">
      <c r="A1829" s="9" t="s">
        <v>7429</v>
      </c>
      <c r="B1829" s="10" t="s">
        <v>6899</v>
      </c>
      <c r="C1829" s="10" t="n">
        <v>1</v>
      </c>
      <c r="D1829" s="0" t="s">
        <v>6900</v>
      </c>
      <c r="E1829" s="0" t="s">
        <v>6865</v>
      </c>
      <c r="F1829" s="0" t="s">
        <v>3160</v>
      </c>
      <c r="G1829" s="0" t="s">
        <v>6866</v>
      </c>
    </row>
    <row r="1830" customFormat="false" ht="12.8" hidden="false" customHeight="false" outlineLevel="0" collapsed="false">
      <c r="A1830" s="9" t="s">
        <v>7430</v>
      </c>
      <c r="B1830" s="10" t="s">
        <v>6902</v>
      </c>
      <c r="C1830" s="10" t="n">
        <v>1.01</v>
      </c>
      <c r="D1830" s="0" t="s">
        <v>6903</v>
      </c>
      <c r="E1830" s="0" t="s">
        <v>6865</v>
      </c>
      <c r="F1830" s="0" t="s">
        <v>3160</v>
      </c>
      <c r="G1830" s="0" t="s">
        <v>6866</v>
      </c>
    </row>
    <row r="1832" customFormat="false" ht="12.8" hidden="false" customHeight="false" outlineLevel="0" collapsed="false">
      <c r="A1832" s="9" t="s">
        <v>7431</v>
      </c>
      <c r="B1832" s="10" t="s">
        <v>6905</v>
      </c>
      <c r="C1832" s="10" t="n">
        <v>1.03</v>
      </c>
      <c r="D1832" s="0" t="s">
        <v>6906</v>
      </c>
      <c r="E1832" s="0" t="s">
        <v>6865</v>
      </c>
      <c r="F1832" s="0" t="s">
        <v>3160</v>
      </c>
      <c r="G1832" s="0" t="s">
        <v>6866</v>
      </c>
    </row>
    <row r="1833" customFormat="false" ht="12.8" hidden="false" customHeight="false" outlineLevel="0" collapsed="false">
      <c r="A1833" s="9" t="s">
        <v>7432</v>
      </c>
      <c r="B1833" s="10" t="s">
        <v>6908</v>
      </c>
      <c r="C1833" s="10" t="n">
        <v>1</v>
      </c>
      <c r="D1833" s="0" t="s">
        <v>6909</v>
      </c>
      <c r="E1833" s="0" t="s">
        <v>6865</v>
      </c>
      <c r="F1833" s="0" t="s">
        <v>3160</v>
      </c>
      <c r="G1833" s="0" t="s">
        <v>6866</v>
      </c>
    </row>
    <row r="1834" customFormat="false" ht="12.8" hidden="false" customHeight="false" outlineLevel="0" collapsed="false">
      <c r="A1834" s="9" t="s">
        <v>7433</v>
      </c>
      <c r="B1834" s="10" t="s">
        <v>4147</v>
      </c>
      <c r="C1834" s="10" t="n">
        <v>35</v>
      </c>
      <c r="D1834" s="0" t="s">
        <v>4148</v>
      </c>
      <c r="E1834" s="0" t="s">
        <v>4062</v>
      </c>
      <c r="F1834" s="0" t="s">
        <v>3151</v>
      </c>
      <c r="G1834" s="0" t="s">
        <v>4063</v>
      </c>
    </row>
    <row r="1835" customFormat="false" ht="12.8" hidden="false" customHeight="false" outlineLevel="0" collapsed="false">
      <c r="A1835" s="9" t="s">
        <v>7434</v>
      </c>
      <c r="B1835" s="10" t="s">
        <v>4156</v>
      </c>
      <c r="C1835" s="10" t="n">
        <v>40</v>
      </c>
      <c r="D1835" s="0" t="s">
        <v>4157</v>
      </c>
      <c r="E1835" s="0" t="s">
        <v>4062</v>
      </c>
      <c r="F1835" s="0" t="s">
        <v>3151</v>
      </c>
      <c r="G1835" s="0" t="s">
        <v>4063</v>
      </c>
    </row>
    <row r="1836" customFormat="false" ht="12.8" hidden="false" customHeight="false" outlineLevel="0" collapsed="false">
      <c r="A1836" s="9" t="s">
        <v>7435</v>
      </c>
      <c r="B1836" s="10" t="s">
        <v>4165</v>
      </c>
      <c r="C1836" s="10" t="n">
        <v>30</v>
      </c>
      <c r="D1836" s="0" t="s">
        <v>4166</v>
      </c>
      <c r="E1836" s="0" t="s">
        <v>4062</v>
      </c>
      <c r="F1836" s="0" t="s">
        <v>3151</v>
      </c>
      <c r="G1836" s="0" t="s">
        <v>4063</v>
      </c>
    </row>
    <row r="1837" customFormat="false" ht="12.8" hidden="false" customHeight="false" outlineLevel="0" collapsed="false">
      <c r="A1837" s="9" t="s">
        <v>7436</v>
      </c>
      <c r="B1837" s="10" t="s">
        <v>4174</v>
      </c>
      <c r="C1837" s="10" t="n">
        <v>38</v>
      </c>
      <c r="D1837" s="0" t="s">
        <v>4175</v>
      </c>
      <c r="E1837" s="0" t="s">
        <v>4062</v>
      </c>
      <c r="F1837" s="0" t="s">
        <v>3151</v>
      </c>
      <c r="G1837" s="0" t="s">
        <v>4063</v>
      </c>
    </row>
    <row r="1838" customFormat="false" ht="12.8" hidden="false" customHeight="false" outlineLevel="0" collapsed="false">
      <c r="A1838" s="9" t="s">
        <v>7437</v>
      </c>
      <c r="B1838" s="10" t="s">
        <v>4183</v>
      </c>
      <c r="C1838" s="10" t="n">
        <v>45</v>
      </c>
      <c r="D1838" s="0" t="s">
        <v>4184</v>
      </c>
      <c r="E1838" s="0" t="s">
        <v>4062</v>
      </c>
      <c r="F1838" s="0" t="s">
        <v>3151</v>
      </c>
      <c r="G1838" s="0" t="s">
        <v>4063</v>
      </c>
    </row>
    <row r="1839" customFormat="false" ht="12.8" hidden="false" customHeight="false" outlineLevel="0" collapsed="false">
      <c r="A1839" s="9" t="s">
        <v>7438</v>
      </c>
      <c r="B1839" s="10" t="s">
        <v>4192</v>
      </c>
      <c r="C1839" s="10" t="n">
        <v>32</v>
      </c>
      <c r="D1839" s="0" t="s">
        <v>4193</v>
      </c>
      <c r="E1839" s="0" t="s">
        <v>4062</v>
      </c>
      <c r="F1839" s="0" t="s">
        <v>3151</v>
      </c>
      <c r="G1839" s="0" t="s">
        <v>4063</v>
      </c>
    </row>
    <row r="1840" customFormat="false" ht="12.8" hidden="false" customHeight="false" outlineLevel="0" collapsed="false">
      <c r="A1840" s="9" t="s">
        <v>7439</v>
      </c>
      <c r="B1840" s="10" t="s">
        <v>4393</v>
      </c>
      <c r="C1840" s="10" t="n">
        <v>0.68</v>
      </c>
      <c r="D1840" s="0" t="s">
        <v>4394</v>
      </c>
      <c r="E1840" s="0" t="s">
        <v>4366</v>
      </c>
      <c r="F1840" s="0" t="s">
        <v>3151</v>
      </c>
      <c r="G1840" s="0" t="s">
        <v>4367</v>
      </c>
    </row>
    <row r="1841" customFormat="false" ht="12.8" hidden="false" customHeight="false" outlineLevel="0" collapsed="false">
      <c r="A1841" s="9" t="s">
        <v>7440</v>
      </c>
      <c r="B1841" s="10" t="s">
        <v>4396</v>
      </c>
      <c r="C1841" s="10" t="n">
        <v>0.7</v>
      </c>
      <c r="D1841" s="0" t="s">
        <v>4397</v>
      </c>
      <c r="E1841" s="0" t="s">
        <v>4366</v>
      </c>
      <c r="F1841" s="0" t="s">
        <v>3151</v>
      </c>
      <c r="G1841" s="0" t="s">
        <v>4367</v>
      </c>
    </row>
    <row r="1842" customFormat="false" ht="12.8" hidden="false" customHeight="false" outlineLevel="0" collapsed="false">
      <c r="A1842" s="9" t="s">
        <v>7441</v>
      </c>
      <c r="B1842" s="10" t="s">
        <v>4399</v>
      </c>
      <c r="C1842" s="10" t="n">
        <v>0.72</v>
      </c>
      <c r="D1842" s="0" t="s">
        <v>4400</v>
      </c>
      <c r="E1842" s="0" t="s">
        <v>4366</v>
      </c>
      <c r="F1842" s="0" t="s">
        <v>3151</v>
      </c>
      <c r="G1842" s="0" t="s">
        <v>4367</v>
      </c>
    </row>
    <row r="1843" customFormat="false" ht="12.8" hidden="false" customHeight="false" outlineLevel="0" collapsed="false">
      <c r="A1843" s="9" t="s">
        <v>7442</v>
      </c>
      <c r="B1843" s="10" t="s">
        <v>4402</v>
      </c>
      <c r="C1843" s="10" t="n">
        <v>0.75</v>
      </c>
      <c r="D1843" s="0" t="s">
        <v>4403</v>
      </c>
      <c r="E1843" s="0" t="s">
        <v>4366</v>
      </c>
      <c r="F1843" s="0" t="s">
        <v>3151</v>
      </c>
      <c r="G1843" s="0" t="s">
        <v>4367</v>
      </c>
    </row>
    <row r="1844" customFormat="false" ht="12.8" hidden="false" customHeight="false" outlineLevel="0" collapsed="false">
      <c r="A1844" s="9" t="s">
        <v>7443</v>
      </c>
      <c r="B1844" s="10" t="s">
        <v>4405</v>
      </c>
      <c r="C1844" s="10" t="n">
        <v>0.71</v>
      </c>
      <c r="D1844" s="0" t="s">
        <v>4406</v>
      </c>
      <c r="E1844" s="0" t="s">
        <v>4366</v>
      </c>
      <c r="F1844" s="0" t="s">
        <v>3151</v>
      </c>
      <c r="G1844" s="0" t="s">
        <v>4367</v>
      </c>
    </row>
    <row r="1845" customFormat="false" ht="12.8" hidden="false" customHeight="false" outlineLevel="0" collapsed="false">
      <c r="A1845" s="9" t="s">
        <v>7444</v>
      </c>
      <c r="B1845" s="10" t="s">
        <v>4408</v>
      </c>
      <c r="C1845" s="10" t="n">
        <v>0.78</v>
      </c>
      <c r="D1845" s="0" t="s">
        <v>4409</v>
      </c>
      <c r="E1845" s="0" t="s">
        <v>4366</v>
      </c>
      <c r="F1845" s="0" t="s">
        <v>3151</v>
      </c>
      <c r="G1845" s="0" t="s">
        <v>4367</v>
      </c>
    </row>
    <row r="1846" customFormat="false" ht="12.8" hidden="false" customHeight="false" outlineLevel="0" collapsed="false">
      <c r="A1846" s="9" t="s">
        <v>7445</v>
      </c>
      <c r="B1846" s="10" t="s">
        <v>4666</v>
      </c>
      <c r="C1846" s="10" t="n">
        <v>0.71</v>
      </c>
      <c r="D1846" s="0" t="s">
        <v>4667</v>
      </c>
      <c r="E1846" s="0" t="s">
        <v>4366</v>
      </c>
      <c r="F1846" s="0" t="s">
        <v>3151</v>
      </c>
      <c r="G1846" s="0" t="s">
        <v>4367</v>
      </c>
    </row>
    <row r="1847" customFormat="false" ht="12.8" hidden="false" customHeight="false" outlineLevel="0" collapsed="false">
      <c r="A1847" s="9" t="s">
        <v>7446</v>
      </c>
      <c r="B1847" s="10" t="s">
        <v>4669</v>
      </c>
      <c r="C1847" s="10" t="n">
        <v>0.73</v>
      </c>
      <c r="D1847" s="0" t="s">
        <v>4670</v>
      </c>
      <c r="E1847" s="0" t="s">
        <v>4366</v>
      </c>
      <c r="F1847" s="0" t="s">
        <v>3151</v>
      </c>
      <c r="G1847" s="0" t="s">
        <v>4367</v>
      </c>
    </row>
    <row r="1848" customFormat="false" ht="12.8" hidden="false" customHeight="false" outlineLevel="0" collapsed="false">
      <c r="A1848" s="9" t="s">
        <v>7447</v>
      </c>
      <c r="B1848" s="10" t="s">
        <v>4672</v>
      </c>
      <c r="C1848" s="10" t="n">
        <v>0.75</v>
      </c>
      <c r="D1848" s="0" t="s">
        <v>4673</v>
      </c>
      <c r="E1848" s="0" t="s">
        <v>4366</v>
      </c>
      <c r="F1848" s="0" t="s">
        <v>3151</v>
      </c>
      <c r="G1848" s="0" t="s">
        <v>4367</v>
      </c>
    </row>
    <row r="1849" customFormat="false" ht="12.8" hidden="false" customHeight="false" outlineLevel="0" collapsed="false">
      <c r="A1849" s="9" t="s">
        <v>7448</v>
      </c>
      <c r="B1849" s="10" t="s">
        <v>4675</v>
      </c>
      <c r="C1849" s="10" t="n">
        <v>0.78</v>
      </c>
      <c r="D1849" s="0" t="s">
        <v>4676</v>
      </c>
      <c r="E1849" s="0" t="s">
        <v>4366</v>
      </c>
      <c r="F1849" s="0" t="s">
        <v>3151</v>
      </c>
      <c r="G1849" s="0" t="s">
        <v>4367</v>
      </c>
    </row>
    <row r="1850" customFormat="false" ht="12.8" hidden="false" customHeight="false" outlineLevel="0" collapsed="false">
      <c r="A1850" s="9" t="s">
        <v>7449</v>
      </c>
      <c r="B1850" s="10" t="s">
        <v>4678</v>
      </c>
      <c r="C1850" s="10" t="n">
        <v>0.74</v>
      </c>
      <c r="D1850" s="0" t="s">
        <v>4679</v>
      </c>
      <c r="E1850" s="0" t="s">
        <v>4366</v>
      </c>
      <c r="F1850" s="0" t="s">
        <v>3151</v>
      </c>
      <c r="G1850" s="0" t="s">
        <v>4367</v>
      </c>
    </row>
    <row r="1851" customFormat="false" ht="12.8" hidden="false" customHeight="false" outlineLevel="0" collapsed="false">
      <c r="A1851" s="9" t="s">
        <v>7450</v>
      </c>
      <c r="B1851" s="10" t="s">
        <v>4681</v>
      </c>
      <c r="C1851" s="10" t="n">
        <v>0.81</v>
      </c>
      <c r="D1851" s="0" t="s">
        <v>4682</v>
      </c>
      <c r="E1851" s="0" t="s">
        <v>4366</v>
      </c>
      <c r="F1851" s="0" t="s">
        <v>3151</v>
      </c>
      <c r="G1851" s="0" t="s">
        <v>4367</v>
      </c>
    </row>
    <row r="1852" customFormat="false" ht="12.8" hidden="false" customHeight="false" outlineLevel="0" collapsed="false">
      <c r="A1852" s="9" t="s">
        <v>7451</v>
      </c>
      <c r="B1852" s="10" t="s">
        <v>4801</v>
      </c>
      <c r="C1852" s="10" t="n">
        <v>0.018</v>
      </c>
      <c r="D1852" s="0" t="s">
        <v>4802</v>
      </c>
      <c r="E1852" s="0" t="s">
        <v>4366</v>
      </c>
      <c r="F1852" s="0" t="s">
        <v>3151</v>
      </c>
      <c r="G1852" s="0" t="s">
        <v>4367</v>
      </c>
    </row>
    <row r="1853" customFormat="false" ht="12.8" hidden="false" customHeight="false" outlineLevel="0" collapsed="false">
      <c r="A1853" s="9" t="s">
        <v>7452</v>
      </c>
      <c r="B1853" s="10" t="s">
        <v>4804</v>
      </c>
      <c r="C1853" s="10" t="n">
        <v>0.018</v>
      </c>
      <c r="D1853" s="0" t="s">
        <v>4805</v>
      </c>
      <c r="E1853" s="0" t="s">
        <v>4366</v>
      </c>
      <c r="F1853" s="0" t="s">
        <v>3151</v>
      </c>
      <c r="G1853" s="0" t="s">
        <v>4367</v>
      </c>
    </row>
    <row r="1854" customFormat="false" ht="12.8" hidden="false" customHeight="false" outlineLevel="0" collapsed="false">
      <c r="A1854" s="9" t="s">
        <v>7453</v>
      </c>
      <c r="B1854" s="10" t="s">
        <v>4807</v>
      </c>
      <c r="C1854" s="10" t="n">
        <v>0.018</v>
      </c>
      <c r="D1854" s="0" t="s">
        <v>4808</v>
      </c>
      <c r="E1854" s="0" t="s">
        <v>4366</v>
      </c>
      <c r="F1854" s="0" t="s">
        <v>3151</v>
      </c>
      <c r="G1854" s="0" t="s">
        <v>4367</v>
      </c>
    </row>
    <row r="1855" customFormat="false" ht="12.8" hidden="false" customHeight="false" outlineLevel="0" collapsed="false">
      <c r="A1855" s="9" t="s">
        <v>7454</v>
      </c>
      <c r="B1855" s="10" t="s">
        <v>4810</v>
      </c>
      <c r="C1855" s="10" t="n">
        <v>0.018</v>
      </c>
      <c r="D1855" s="0" t="s">
        <v>4811</v>
      </c>
      <c r="E1855" s="0" t="s">
        <v>4366</v>
      </c>
      <c r="F1855" s="0" t="s">
        <v>3151</v>
      </c>
      <c r="G1855" s="0" t="s">
        <v>4367</v>
      </c>
    </row>
    <row r="1856" customFormat="false" ht="12.8" hidden="false" customHeight="false" outlineLevel="0" collapsed="false">
      <c r="A1856" s="9" t="s">
        <v>7455</v>
      </c>
      <c r="B1856" s="10" t="s">
        <v>4813</v>
      </c>
      <c r="C1856" s="10" t="n">
        <v>0.018</v>
      </c>
      <c r="D1856" s="0" t="s">
        <v>4814</v>
      </c>
      <c r="E1856" s="0" t="s">
        <v>4366</v>
      </c>
      <c r="F1856" s="0" t="s">
        <v>3151</v>
      </c>
      <c r="G1856" s="0" t="s">
        <v>4367</v>
      </c>
    </row>
    <row r="1858" customFormat="false" ht="12.8" hidden="false" customHeight="false" outlineLevel="0" collapsed="false">
      <c r="A1858" s="9" t="s">
        <v>7456</v>
      </c>
      <c r="B1858" s="10" t="s">
        <v>4816</v>
      </c>
      <c r="C1858" s="10" t="n">
        <v>0.018</v>
      </c>
      <c r="D1858" s="0" t="s">
        <v>4817</v>
      </c>
      <c r="E1858" s="0" t="s">
        <v>4366</v>
      </c>
      <c r="F1858" s="0" t="s">
        <v>3151</v>
      </c>
      <c r="G1858" s="0" t="s">
        <v>4367</v>
      </c>
    </row>
    <row r="1859" customFormat="false" ht="12.8" hidden="false" customHeight="false" outlineLevel="0" collapsed="false">
      <c r="A1859" s="9" t="s">
        <v>7457</v>
      </c>
      <c r="B1859" s="10" t="s">
        <v>4940</v>
      </c>
      <c r="C1859" s="10" t="n">
        <v>0.034</v>
      </c>
      <c r="D1859" s="0" t="s">
        <v>4941</v>
      </c>
      <c r="E1859" s="0" t="s">
        <v>4366</v>
      </c>
      <c r="F1859" s="0" t="s">
        <v>3151</v>
      </c>
      <c r="G1859" s="0" t="s">
        <v>4367</v>
      </c>
    </row>
    <row r="1860" customFormat="false" ht="12.8" hidden="false" customHeight="false" outlineLevel="0" collapsed="false">
      <c r="A1860" s="9" t="s">
        <v>7458</v>
      </c>
      <c r="B1860" s="10" t="s">
        <v>4943</v>
      </c>
      <c r="C1860" s="10" t="n">
        <v>0.024</v>
      </c>
      <c r="D1860" s="0" t="s">
        <v>4944</v>
      </c>
      <c r="E1860" s="0" t="s">
        <v>4366</v>
      </c>
      <c r="F1860" s="0" t="s">
        <v>3151</v>
      </c>
      <c r="G1860" s="0" t="s">
        <v>4367</v>
      </c>
    </row>
    <row r="1861" customFormat="false" ht="12.8" hidden="false" customHeight="false" outlineLevel="0" collapsed="false">
      <c r="A1861" s="9" t="s">
        <v>7459</v>
      </c>
      <c r="B1861" s="10" t="s">
        <v>4946</v>
      </c>
      <c r="C1861" s="10" t="n">
        <v>0.03</v>
      </c>
      <c r="D1861" s="0" t="s">
        <v>4947</v>
      </c>
      <c r="E1861" s="0" t="s">
        <v>4366</v>
      </c>
      <c r="F1861" s="0" t="s">
        <v>3151</v>
      </c>
      <c r="G1861" s="0" t="s">
        <v>4367</v>
      </c>
    </row>
    <row r="1862" customFormat="false" ht="12.8" hidden="false" customHeight="false" outlineLevel="0" collapsed="false">
      <c r="A1862" s="9" t="s">
        <v>7460</v>
      </c>
      <c r="B1862" s="10" t="s">
        <v>4949</v>
      </c>
      <c r="C1862" s="10" t="n">
        <v>0.025</v>
      </c>
      <c r="D1862" s="0" t="s">
        <v>4950</v>
      </c>
      <c r="E1862" s="0" t="s">
        <v>4366</v>
      </c>
      <c r="F1862" s="0" t="s">
        <v>3151</v>
      </c>
      <c r="G1862" s="0" t="s">
        <v>4367</v>
      </c>
    </row>
    <row r="1863" customFormat="false" ht="12.8" hidden="false" customHeight="false" outlineLevel="0" collapsed="false">
      <c r="A1863" s="9" t="s">
        <v>7461</v>
      </c>
      <c r="B1863" s="10" t="s">
        <v>4952</v>
      </c>
      <c r="C1863" s="10" t="n">
        <v>0.028</v>
      </c>
      <c r="D1863" s="0" t="s">
        <v>4953</v>
      </c>
      <c r="E1863" s="0" t="s">
        <v>4366</v>
      </c>
      <c r="F1863" s="0" t="s">
        <v>3151</v>
      </c>
      <c r="G1863" s="0" t="s">
        <v>4367</v>
      </c>
    </row>
    <row r="1864" customFormat="false" ht="12.8" hidden="false" customHeight="false" outlineLevel="0" collapsed="false">
      <c r="A1864" s="9" t="s">
        <v>7462</v>
      </c>
      <c r="B1864" s="10" t="s">
        <v>4955</v>
      </c>
      <c r="C1864" s="10" t="n">
        <v>0.02</v>
      </c>
      <c r="D1864" s="0" t="s">
        <v>4956</v>
      </c>
      <c r="E1864" s="0" t="s">
        <v>4366</v>
      </c>
      <c r="F1864" s="0" t="s">
        <v>3151</v>
      </c>
      <c r="G1864" s="0" t="s">
        <v>4367</v>
      </c>
    </row>
    <row r="1870" customFormat="false" ht="12.8" hidden="false" customHeight="false" outlineLevel="0" collapsed="false">
      <c r="A1870" s="9" t="s">
        <v>7463</v>
      </c>
      <c r="B1870" s="10" t="s">
        <v>7109</v>
      </c>
      <c r="C1870" s="10" t="n">
        <v>0.14</v>
      </c>
      <c r="D1870" s="0" t="s">
        <v>5078</v>
      </c>
      <c r="E1870" s="0" t="s">
        <v>5050</v>
      </c>
      <c r="F1870" s="0" t="s">
        <v>3160</v>
      </c>
      <c r="G1870" s="0" t="s">
        <v>5051</v>
      </c>
    </row>
    <row r="1871" customFormat="false" ht="12.8" hidden="false" customHeight="false" outlineLevel="0" collapsed="false">
      <c r="A1871" s="9" t="s">
        <v>7464</v>
      </c>
      <c r="B1871" s="10" t="s">
        <v>7111</v>
      </c>
      <c r="C1871" s="10" t="n">
        <v>0.09</v>
      </c>
      <c r="D1871" s="0" t="s">
        <v>5081</v>
      </c>
      <c r="E1871" s="0" t="s">
        <v>5050</v>
      </c>
      <c r="F1871" s="0" t="s">
        <v>3160</v>
      </c>
      <c r="G1871" s="0" t="s">
        <v>5051</v>
      </c>
    </row>
    <row r="1872" customFormat="false" ht="12.8" hidden="false" customHeight="false" outlineLevel="0" collapsed="false">
      <c r="A1872" s="9" t="s">
        <v>7465</v>
      </c>
      <c r="B1872" s="10" t="s">
        <v>7113</v>
      </c>
      <c r="C1872" s="10" t="n">
        <v>0.12</v>
      </c>
      <c r="D1872" s="0" t="s">
        <v>5084</v>
      </c>
      <c r="E1872" s="0" t="s">
        <v>5050</v>
      </c>
      <c r="F1872" s="0" t="s">
        <v>3160</v>
      </c>
      <c r="G1872" s="0" t="s">
        <v>5051</v>
      </c>
    </row>
    <row r="1873" customFormat="false" ht="12.8" hidden="false" customHeight="false" outlineLevel="0" collapsed="false">
      <c r="A1873" s="9" t="s">
        <v>7466</v>
      </c>
      <c r="B1873" s="10" t="s">
        <v>7115</v>
      </c>
      <c r="C1873" s="10" t="n">
        <v>0.11</v>
      </c>
      <c r="D1873" s="0" t="s">
        <v>5087</v>
      </c>
      <c r="E1873" s="0" t="s">
        <v>5050</v>
      </c>
      <c r="F1873" s="0" t="s">
        <v>3160</v>
      </c>
      <c r="G1873" s="0" t="s">
        <v>5051</v>
      </c>
    </row>
    <row r="1874" customFormat="false" ht="12.8" hidden="false" customHeight="false" outlineLevel="0" collapsed="false">
      <c r="A1874" s="9" t="s">
        <v>7467</v>
      </c>
      <c r="B1874" s="10" t="s">
        <v>7117</v>
      </c>
      <c r="C1874" s="10" t="n">
        <v>0.1</v>
      </c>
      <c r="D1874" s="0" t="s">
        <v>5090</v>
      </c>
      <c r="E1874" s="0" t="s">
        <v>5050</v>
      </c>
      <c r="F1874" s="0" t="s">
        <v>3160</v>
      </c>
      <c r="G1874" s="0" t="s">
        <v>5051</v>
      </c>
    </row>
    <row r="1875" customFormat="false" ht="12.8" hidden="false" customHeight="false" outlineLevel="0" collapsed="false">
      <c r="A1875" s="9" t="s">
        <v>7468</v>
      </c>
      <c r="B1875" s="10" t="s">
        <v>7119</v>
      </c>
      <c r="C1875" s="10" t="n">
        <v>0.06</v>
      </c>
      <c r="D1875" s="0" t="s">
        <v>5093</v>
      </c>
      <c r="E1875" s="0" t="s">
        <v>5050</v>
      </c>
      <c r="F1875" s="0" t="s">
        <v>3160</v>
      </c>
      <c r="G1875" s="0" t="s">
        <v>5051</v>
      </c>
    </row>
    <row r="1881" customFormat="false" ht="12.8" hidden="false" customHeight="false" outlineLevel="0" collapsed="false">
      <c r="A1881" s="9" t="s">
        <v>7469</v>
      </c>
      <c r="B1881" s="10" t="s">
        <v>7121</v>
      </c>
      <c r="C1881" s="10" t="n">
        <v>4800</v>
      </c>
      <c r="D1881" s="0" t="s">
        <v>5216</v>
      </c>
      <c r="E1881" s="0" t="s">
        <v>5188</v>
      </c>
      <c r="F1881" s="0" t="s">
        <v>3160</v>
      </c>
      <c r="G1881" s="0" t="s">
        <v>5189</v>
      </c>
    </row>
    <row r="1882" customFormat="false" ht="12.8" hidden="false" customHeight="false" outlineLevel="0" collapsed="false">
      <c r="A1882" s="9" t="s">
        <v>7470</v>
      </c>
      <c r="B1882" s="10" t="s">
        <v>7123</v>
      </c>
      <c r="C1882" s="10" t="n">
        <v>5200</v>
      </c>
      <c r="D1882" s="0" t="s">
        <v>5219</v>
      </c>
      <c r="E1882" s="0" t="s">
        <v>5188</v>
      </c>
      <c r="F1882" s="0" t="s">
        <v>3160</v>
      </c>
      <c r="G1882" s="0" t="s">
        <v>5189</v>
      </c>
    </row>
    <row r="1883" customFormat="false" ht="12.8" hidden="false" customHeight="false" outlineLevel="0" collapsed="false">
      <c r="A1883" s="9" t="s">
        <v>7471</v>
      </c>
      <c r="B1883" s="10" t="s">
        <v>7125</v>
      </c>
      <c r="C1883" s="10" t="n">
        <v>5000</v>
      </c>
      <c r="D1883" s="0" t="s">
        <v>5222</v>
      </c>
      <c r="E1883" s="0" t="s">
        <v>5188</v>
      </c>
      <c r="F1883" s="0" t="s">
        <v>3160</v>
      </c>
      <c r="G1883" s="0" t="s">
        <v>5189</v>
      </c>
    </row>
    <row r="1884" customFormat="false" ht="12.8" hidden="false" customHeight="false" outlineLevel="0" collapsed="false">
      <c r="A1884" s="9" t="s">
        <v>7472</v>
      </c>
      <c r="B1884" s="10" t="s">
        <v>7127</v>
      </c>
      <c r="C1884" s="10" t="n">
        <v>5100</v>
      </c>
      <c r="D1884" s="0" t="s">
        <v>5225</v>
      </c>
      <c r="E1884" s="0" t="s">
        <v>5188</v>
      </c>
      <c r="F1884" s="0" t="s">
        <v>3160</v>
      </c>
      <c r="G1884" s="0" t="s">
        <v>5189</v>
      </c>
    </row>
    <row r="1885" customFormat="false" ht="12.8" hidden="false" customHeight="false" outlineLevel="0" collapsed="false">
      <c r="A1885" s="9" t="s">
        <v>7473</v>
      </c>
      <c r="B1885" s="10" t="s">
        <v>7129</v>
      </c>
      <c r="C1885" s="10" t="n">
        <v>5300</v>
      </c>
      <c r="D1885" s="0" t="s">
        <v>5228</v>
      </c>
      <c r="E1885" s="0" t="s">
        <v>5188</v>
      </c>
      <c r="F1885" s="0" t="s">
        <v>3160</v>
      </c>
      <c r="G1885" s="0" t="s">
        <v>5189</v>
      </c>
    </row>
    <row r="1886" customFormat="false" ht="12.8" hidden="false" customHeight="false" outlineLevel="0" collapsed="false">
      <c r="A1886" s="9" t="s">
        <v>7474</v>
      </c>
      <c r="B1886" s="10" t="s">
        <v>7131</v>
      </c>
      <c r="C1886" s="10" t="n">
        <v>5500</v>
      </c>
      <c r="D1886" s="0" t="s">
        <v>5231</v>
      </c>
      <c r="E1886" s="0" t="s">
        <v>5188</v>
      </c>
      <c r="F1886" s="0" t="s">
        <v>3160</v>
      </c>
      <c r="G1886" s="0" t="s">
        <v>5189</v>
      </c>
    </row>
    <row r="1892" customFormat="false" ht="12.8" hidden="false" customHeight="false" outlineLevel="0" collapsed="false">
      <c r="A1892" s="9" t="s">
        <v>7475</v>
      </c>
      <c r="B1892" s="10" t="s">
        <v>7133</v>
      </c>
      <c r="C1892" s="10" t="n">
        <v>0.048</v>
      </c>
      <c r="D1892" s="0" t="s">
        <v>5354</v>
      </c>
      <c r="E1892" s="0" t="s">
        <v>5326</v>
      </c>
      <c r="F1892" s="0" t="s">
        <v>3160</v>
      </c>
      <c r="G1892" s="0" t="s">
        <v>5327</v>
      </c>
    </row>
    <row r="1893" customFormat="false" ht="12.8" hidden="false" customHeight="false" outlineLevel="0" collapsed="false">
      <c r="A1893" s="9" t="s">
        <v>7476</v>
      </c>
      <c r="B1893" s="10" t="s">
        <v>7135</v>
      </c>
      <c r="C1893" s="10" t="n">
        <v>0.055</v>
      </c>
      <c r="D1893" s="0" t="s">
        <v>5357</v>
      </c>
      <c r="E1893" s="0" t="s">
        <v>5326</v>
      </c>
      <c r="F1893" s="0" t="s">
        <v>3160</v>
      </c>
      <c r="G1893" s="0" t="s">
        <v>5327</v>
      </c>
    </row>
    <row r="1894" customFormat="false" ht="12.8" hidden="false" customHeight="false" outlineLevel="0" collapsed="false">
      <c r="A1894" s="9" t="s">
        <v>7477</v>
      </c>
      <c r="B1894" s="10" t="s">
        <v>7137</v>
      </c>
      <c r="C1894" s="10" t="n">
        <v>0.05</v>
      </c>
      <c r="D1894" s="0" t="s">
        <v>5360</v>
      </c>
      <c r="E1894" s="0" t="s">
        <v>5326</v>
      </c>
      <c r="F1894" s="0" t="s">
        <v>3160</v>
      </c>
      <c r="G1894" s="0" t="s">
        <v>5327</v>
      </c>
    </row>
    <row r="1895" customFormat="false" ht="12.8" hidden="false" customHeight="false" outlineLevel="0" collapsed="false">
      <c r="A1895" s="9" t="s">
        <v>7478</v>
      </c>
      <c r="B1895" s="10" t="s">
        <v>7139</v>
      </c>
      <c r="C1895" s="10" t="n">
        <v>0.052</v>
      </c>
      <c r="D1895" s="0" t="s">
        <v>5363</v>
      </c>
      <c r="E1895" s="0" t="s">
        <v>5326</v>
      </c>
      <c r="F1895" s="0" t="s">
        <v>3160</v>
      </c>
      <c r="G1895" s="0" t="s">
        <v>5327</v>
      </c>
    </row>
    <row r="1896" customFormat="false" ht="12.8" hidden="false" customHeight="false" outlineLevel="0" collapsed="false">
      <c r="A1896" s="9" t="s">
        <v>7479</v>
      </c>
      <c r="B1896" s="10" t="s">
        <v>7141</v>
      </c>
      <c r="C1896" s="10" t="n">
        <v>0.058</v>
      </c>
      <c r="D1896" s="0" t="s">
        <v>5366</v>
      </c>
      <c r="E1896" s="0" t="s">
        <v>5326</v>
      </c>
      <c r="F1896" s="0" t="s">
        <v>3160</v>
      </c>
      <c r="G1896" s="0" t="s">
        <v>5327</v>
      </c>
    </row>
    <row r="1897" customFormat="false" ht="12.8" hidden="false" customHeight="false" outlineLevel="0" collapsed="false">
      <c r="A1897" s="9" t="s">
        <v>7480</v>
      </c>
      <c r="B1897" s="10" t="s">
        <v>7143</v>
      </c>
      <c r="C1897" s="10" t="n">
        <v>0.06</v>
      </c>
      <c r="D1897" s="0" t="s">
        <v>5369</v>
      </c>
      <c r="E1897" s="0" t="s">
        <v>5326</v>
      </c>
      <c r="F1897" s="0" t="s">
        <v>3160</v>
      </c>
      <c r="G1897" s="0" t="s">
        <v>5327</v>
      </c>
    </row>
    <row r="1903" customFormat="false" ht="12.8" hidden="false" customHeight="false" outlineLevel="0" collapsed="false">
      <c r="A1903" s="9" t="s">
        <v>7481</v>
      </c>
      <c r="B1903" s="10" t="s">
        <v>7145</v>
      </c>
      <c r="C1903" s="10" t="n">
        <v>1450</v>
      </c>
      <c r="D1903" s="0" t="s">
        <v>5493</v>
      </c>
      <c r="E1903" s="0" t="s">
        <v>5465</v>
      </c>
      <c r="F1903" s="0" t="s">
        <v>3160</v>
      </c>
      <c r="G1903" s="0" t="s">
        <v>5466</v>
      </c>
    </row>
    <row r="1904" customFormat="false" ht="12.8" hidden="false" customHeight="false" outlineLevel="0" collapsed="false">
      <c r="A1904" s="9" t="s">
        <v>7482</v>
      </c>
      <c r="B1904" s="10" t="s">
        <v>7147</v>
      </c>
      <c r="C1904" s="10" t="n">
        <v>1600</v>
      </c>
      <c r="D1904" s="0" t="s">
        <v>5496</v>
      </c>
      <c r="E1904" s="0" t="s">
        <v>5465</v>
      </c>
      <c r="F1904" s="0" t="s">
        <v>3160</v>
      </c>
      <c r="G1904" s="0" t="s">
        <v>5466</v>
      </c>
    </row>
    <row r="1905" customFormat="false" ht="12.8" hidden="false" customHeight="false" outlineLevel="0" collapsed="false">
      <c r="A1905" s="9" t="s">
        <v>7483</v>
      </c>
      <c r="B1905" s="10" t="s">
        <v>7149</v>
      </c>
      <c r="C1905" s="10" t="n">
        <v>1500</v>
      </c>
      <c r="D1905" s="0" t="s">
        <v>5499</v>
      </c>
      <c r="E1905" s="0" t="s">
        <v>5465</v>
      </c>
      <c r="F1905" s="0" t="s">
        <v>3160</v>
      </c>
      <c r="G1905" s="0" t="s">
        <v>5466</v>
      </c>
    </row>
    <row r="1906" customFormat="false" ht="12.8" hidden="false" customHeight="false" outlineLevel="0" collapsed="false">
      <c r="A1906" s="9" t="s">
        <v>7484</v>
      </c>
      <c r="B1906" s="10" t="s">
        <v>7151</v>
      </c>
      <c r="C1906" s="10" t="n">
        <v>1550</v>
      </c>
      <c r="D1906" s="0" t="s">
        <v>5502</v>
      </c>
      <c r="E1906" s="0" t="s">
        <v>5465</v>
      </c>
      <c r="F1906" s="0" t="s">
        <v>3160</v>
      </c>
      <c r="G1906" s="0" t="s">
        <v>5466</v>
      </c>
    </row>
    <row r="1907" customFormat="false" ht="12.8" hidden="false" customHeight="false" outlineLevel="0" collapsed="false">
      <c r="A1907" s="9" t="s">
        <v>7485</v>
      </c>
      <c r="B1907" s="10" t="s">
        <v>7153</v>
      </c>
      <c r="C1907" s="10" t="n">
        <v>1650</v>
      </c>
      <c r="D1907" s="0" t="s">
        <v>5505</v>
      </c>
      <c r="E1907" s="0" t="s">
        <v>5465</v>
      </c>
      <c r="F1907" s="0" t="s">
        <v>3160</v>
      </c>
      <c r="G1907" s="0" t="s">
        <v>5466</v>
      </c>
    </row>
    <row r="1908" customFormat="false" ht="12.8" hidden="false" customHeight="false" outlineLevel="0" collapsed="false">
      <c r="A1908" s="9" t="s">
        <v>7486</v>
      </c>
      <c r="B1908" s="10" t="s">
        <v>7155</v>
      </c>
      <c r="C1908" s="10" t="n">
        <v>1700</v>
      </c>
      <c r="D1908" s="0" t="s">
        <v>5508</v>
      </c>
      <c r="E1908" s="0" t="s">
        <v>5465</v>
      </c>
      <c r="F1908" s="0" t="s">
        <v>3160</v>
      </c>
      <c r="G1908" s="0" t="s">
        <v>5466</v>
      </c>
    </row>
    <row r="1914" customFormat="false" ht="12.8" hidden="false" customHeight="false" outlineLevel="0" collapsed="false">
      <c r="A1914" s="9" t="s">
        <v>7487</v>
      </c>
      <c r="B1914" s="10" t="s">
        <v>7157</v>
      </c>
      <c r="C1914" s="10" t="n">
        <v>0.94</v>
      </c>
      <c r="D1914" s="0" t="s">
        <v>5630</v>
      </c>
      <c r="E1914" s="0" t="s">
        <v>5602</v>
      </c>
      <c r="F1914" s="0" t="s">
        <v>3160</v>
      </c>
      <c r="G1914" s="0" t="s">
        <v>5603</v>
      </c>
    </row>
    <row r="1915" customFormat="false" ht="12.8" hidden="false" customHeight="false" outlineLevel="0" collapsed="false">
      <c r="A1915" s="9" t="s">
        <v>7488</v>
      </c>
      <c r="B1915" s="10" t="s">
        <v>7159</v>
      </c>
      <c r="C1915" s="10" t="n">
        <v>0.96</v>
      </c>
      <c r="D1915" s="0" t="s">
        <v>5633</v>
      </c>
      <c r="E1915" s="0" t="s">
        <v>5602</v>
      </c>
      <c r="F1915" s="0" t="s">
        <v>3160</v>
      </c>
      <c r="G1915" s="0" t="s">
        <v>5603</v>
      </c>
    </row>
    <row r="1916" customFormat="false" ht="12.8" hidden="false" customHeight="false" outlineLevel="0" collapsed="false">
      <c r="A1916" s="9" t="s">
        <v>7489</v>
      </c>
      <c r="B1916" s="10" t="s">
        <v>7161</v>
      </c>
      <c r="C1916" s="10" t="n">
        <v>0.95</v>
      </c>
      <c r="D1916" s="0" t="s">
        <v>5636</v>
      </c>
      <c r="E1916" s="0" t="s">
        <v>5602</v>
      </c>
      <c r="F1916" s="0" t="s">
        <v>3160</v>
      </c>
      <c r="G1916" s="0" t="s">
        <v>5603</v>
      </c>
    </row>
    <row r="1917" customFormat="false" ht="12.8" hidden="false" customHeight="false" outlineLevel="0" collapsed="false">
      <c r="A1917" s="9" t="s">
        <v>7490</v>
      </c>
      <c r="B1917" s="10" t="s">
        <v>7163</v>
      </c>
      <c r="C1917" s="10" t="n">
        <v>0.97</v>
      </c>
      <c r="D1917" s="0" t="s">
        <v>5639</v>
      </c>
      <c r="E1917" s="0" t="s">
        <v>5602</v>
      </c>
      <c r="F1917" s="0" t="s">
        <v>3160</v>
      </c>
      <c r="G1917" s="0" t="s">
        <v>5603</v>
      </c>
    </row>
    <row r="1918" customFormat="false" ht="12.8" hidden="false" customHeight="false" outlineLevel="0" collapsed="false">
      <c r="A1918" s="9" t="s">
        <v>7491</v>
      </c>
      <c r="B1918" s="10" t="s">
        <v>7165</v>
      </c>
      <c r="C1918" s="10" t="n">
        <v>0.96</v>
      </c>
      <c r="D1918" s="0" t="s">
        <v>5642</v>
      </c>
      <c r="E1918" s="0" t="s">
        <v>5602</v>
      </c>
      <c r="F1918" s="0" t="s">
        <v>3160</v>
      </c>
      <c r="G1918" s="0" t="s">
        <v>5603</v>
      </c>
    </row>
    <row r="1919" customFormat="false" ht="12.8" hidden="false" customHeight="false" outlineLevel="0" collapsed="false">
      <c r="A1919" s="9" t="s">
        <v>7492</v>
      </c>
      <c r="B1919" s="10" t="s">
        <v>7167</v>
      </c>
      <c r="C1919" s="10" t="n">
        <v>0.98</v>
      </c>
      <c r="D1919" s="0" t="s">
        <v>5645</v>
      </c>
      <c r="E1919" s="0" t="s">
        <v>5602</v>
      </c>
      <c r="F1919" s="0" t="s">
        <v>3160</v>
      </c>
      <c r="G1919" s="0" t="s">
        <v>5603</v>
      </c>
    </row>
    <row r="1925" customFormat="false" ht="12.8" hidden="false" customHeight="false" outlineLevel="0" collapsed="false">
      <c r="A1925" s="9" t="s">
        <v>7493</v>
      </c>
      <c r="B1925" s="10" t="s">
        <v>4231</v>
      </c>
      <c r="C1925" s="10" t="n">
        <v>0.67</v>
      </c>
      <c r="D1925" s="0" t="s">
        <v>4232</v>
      </c>
      <c r="E1925" s="0" t="s">
        <v>4248</v>
      </c>
      <c r="F1925" s="0" t="s">
        <v>3160</v>
      </c>
      <c r="G1925" s="0" t="s">
        <v>4205</v>
      </c>
    </row>
    <row r="1926" customFormat="false" ht="12.8" hidden="false" customHeight="false" outlineLevel="0" collapsed="false">
      <c r="A1926" s="9" t="s">
        <v>7494</v>
      </c>
      <c r="B1926" s="10" t="s">
        <v>4234</v>
      </c>
      <c r="C1926" s="10" t="n">
        <v>0.6</v>
      </c>
      <c r="D1926" s="0" t="s">
        <v>4235</v>
      </c>
      <c r="E1926" s="0" t="s">
        <v>4248</v>
      </c>
      <c r="F1926" s="0" t="s">
        <v>3160</v>
      </c>
      <c r="G1926" s="0" t="s">
        <v>4205</v>
      </c>
    </row>
    <row r="1927" customFormat="false" ht="12.8" hidden="false" customHeight="false" outlineLevel="0" collapsed="false">
      <c r="A1927" s="9" t="s">
        <v>7495</v>
      </c>
      <c r="B1927" s="10" t="s">
        <v>4237</v>
      </c>
      <c r="C1927" s="10" t="n">
        <v>0.75</v>
      </c>
      <c r="D1927" s="0" t="s">
        <v>4238</v>
      </c>
      <c r="E1927" s="0" t="s">
        <v>4248</v>
      </c>
      <c r="F1927" s="0" t="s">
        <v>3160</v>
      </c>
      <c r="G1927" s="0" t="s">
        <v>4205</v>
      </c>
    </row>
    <row r="1928" customFormat="false" ht="12.8" hidden="false" customHeight="false" outlineLevel="0" collapsed="false">
      <c r="A1928" s="9" t="s">
        <v>7496</v>
      </c>
      <c r="B1928" s="10" t="s">
        <v>4240</v>
      </c>
      <c r="C1928" s="10" t="n">
        <v>0.6</v>
      </c>
      <c r="D1928" s="0" t="s">
        <v>4241</v>
      </c>
      <c r="E1928" s="0" t="s">
        <v>4248</v>
      </c>
      <c r="F1928" s="0" t="s">
        <v>3160</v>
      </c>
      <c r="G1928" s="0" t="s">
        <v>4205</v>
      </c>
    </row>
    <row r="1929" customFormat="false" ht="12.8" hidden="false" customHeight="false" outlineLevel="0" collapsed="false">
      <c r="A1929" s="9" t="s">
        <v>7497</v>
      </c>
      <c r="B1929" s="10" t="s">
        <v>4243</v>
      </c>
      <c r="C1929" s="10" t="n">
        <v>0.67</v>
      </c>
      <c r="D1929" s="0" t="s">
        <v>4244</v>
      </c>
      <c r="E1929" s="0" t="s">
        <v>4248</v>
      </c>
      <c r="F1929" s="0" t="s">
        <v>3160</v>
      </c>
      <c r="G1929" s="0" t="s">
        <v>4205</v>
      </c>
    </row>
    <row r="1930" customFormat="false" ht="12.8" hidden="false" customHeight="false" outlineLevel="0" collapsed="false">
      <c r="A1930" s="9" t="s">
        <v>7498</v>
      </c>
      <c r="B1930" s="10" t="s">
        <v>4246</v>
      </c>
      <c r="C1930" s="10" t="n">
        <v>0.75</v>
      </c>
      <c r="D1930" s="0" t="s">
        <v>4247</v>
      </c>
      <c r="E1930" s="0" t="s">
        <v>4248</v>
      </c>
      <c r="F1930" s="0" t="s">
        <v>3160</v>
      </c>
      <c r="G1930" s="0" t="s">
        <v>4205</v>
      </c>
    </row>
    <row r="1936" customFormat="false" ht="12.8" hidden="false" customHeight="false" outlineLevel="0" collapsed="false">
      <c r="A1936" s="9" t="s">
        <v>7499</v>
      </c>
      <c r="B1936" s="10" t="s">
        <v>6117</v>
      </c>
      <c r="C1936" s="10" t="n">
        <v>38.9</v>
      </c>
      <c r="D1936" s="0" t="s">
        <v>6118</v>
      </c>
      <c r="E1936" s="0" t="s">
        <v>6090</v>
      </c>
      <c r="F1936" s="0" t="s">
        <v>3160</v>
      </c>
      <c r="G1936" s="0" t="s">
        <v>6091</v>
      </c>
    </row>
    <row r="1937" customFormat="false" ht="12.8" hidden="false" customHeight="false" outlineLevel="0" collapsed="false">
      <c r="A1937" s="9" t="s">
        <v>7500</v>
      </c>
      <c r="B1937" s="10" t="s">
        <v>6120</v>
      </c>
      <c r="C1937" s="10" t="n">
        <v>40.5</v>
      </c>
      <c r="D1937" s="0" t="s">
        <v>6121</v>
      </c>
      <c r="E1937" s="0" t="s">
        <v>6090</v>
      </c>
      <c r="F1937" s="0" t="s">
        <v>3160</v>
      </c>
      <c r="G1937" s="0" t="s">
        <v>6091</v>
      </c>
    </row>
    <row r="1938" customFormat="false" ht="12.8" hidden="false" customHeight="false" outlineLevel="0" collapsed="false">
      <c r="A1938" s="9" t="s">
        <v>7501</v>
      </c>
      <c r="B1938" s="10" t="s">
        <v>6123</v>
      </c>
      <c r="C1938" s="10" t="n">
        <v>39.8</v>
      </c>
      <c r="D1938" s="0" t="s">
        <v>6124</v>
      </c>
      <c r="E1938" s="0" t="s">
        <v>6090</v>
      </c>
      <c r="F1938" s="0" t="s">
        <v>3160</v>
      </c>
      <c r="G1938" s="0" t="s">
        <v>6091</v>
      </c>
    </row>
    <row r="1939" customFormat="false" ht="12.8" hidden="false" customHeight="false" outlineLevel="0" collapsed="false">
      <c r="A1939" s="9" t="s">
        <v>7502</v>
      </c>
      <c r="B1939" s="10" t="s">
        <v>6126</v>
      </c>
      <c r="C1939" s="10" t="n">
        <v>41</v>
      </c>
      <c r="D1939" s="0" t="s">
        <v>6127</v>
      </c>
      <c r="E1939" s="0" t="s">
        <v>6090</v>
      </c>
      <c r="F1939" s="0" t="s">
        <v>3160</v>
      </c>
      <c r="G1939" s="0" t="s">
        <v>6091</v>
      </c>
    </row>
    <row r="1940" customFormat="false" ht="12.8" hidden="false" customHeight="false" outlineLevel="0" collapsed="false">
      <c r="A1940" s="9" t="s">
        <v>7503</v>
      </c>
      <c r="B1940" s="10" t="s">
        <v>6129</v>
      </c>
      <c r="C1940" s="10" t="n">
        <v>40.2</v>
      </c>
      <c r="D1940" s="0" t="s">
        <v>6130</v>
      </c>
      <c r="E1940" s="0" t="s">
        <v>6090</v>
      </c>
      <c r="F1940" s="0" t="s">
        <v>3160</v>
      </c>
      <c r="G1940" s="0" t="s">
        <v>6091</v>
      </c>
    </row>
    <row r="1941" customFormat="false" ht="12.8" hidden="false" customHeight="false" outlineLevel="0" collapsed="false">
      <c r="A1941" s="9" t="s">
        <v>7504</v>
      </c>
      <c r="B1941" s="10" t="s">
        <v>6132</v>
      </c>
      <c r="C1941" s="10" t="n">
        <v>40</v>
      </c>
      <c r="D1941" s="0" t="s">
        <v>6133</v>
      </c>
      <c r="E1941" s="0" t="s">
        <v>6090</v>
      </c>
      <c r="F1941" s="0" t="s">
        <v>3160</v>
      </c>
      <c r="G1941" s="0" t="s">
        <v>6091</v>
      </c>
    </row>
    <row r="1947" customFormat="false" ht="12.8" hidden="false" customHeight="false" outlineLevel="0" collapsed="false">
      <c r="A1947" s="9" t="s">
        <v>7505</v>
      </c>
      <c r="B1947" s="10" t="s">
        <v>6163</v>
      </c>
      <c r="C1947" s="10" t="n">
        <v>5.2</v>
      </c>
      <c r="D1947" s="0" t="s">
        <v>6164</v>
      </c>
      <c r="E1947" s="0" t="s">
        <v>6137</v>
      </c>
      <c r="F1947" s="0" t="s">
        <v>3160</v>
      </c>
      <c r="G1947" s="0" t="s">
        <v>5998</v>
      </c>
    </row>
    <row r="1948" customFormat="false" ht="12.8" hidden="false" customHeight="false" outlineLevel="0" collapsed="false">
      <c r="A1948" s="9" t="s">
        <v>7506</v>
      </c>
      <c r="B1948" s="10" t="s">
        <v>6166</v>
      </c>
      <c r="C1948" s="10" t="n">
        <v>6.1</v>
      </c>
      <c r="D1948" s="0" t="s">
        <v>6167</v>
      </c>
      <c r="E1948" s="0" t="s">
        <v>6137</v>
      </c>
      <c r="F1948" s="0" t="s">
        <v>3160</v>
      </c>
      <c r="G1948" s="0" t="s">
        <v>5998</v>
      </c>
    </row>
    <row r="1949" customFormat="false" ht="12.8" hidden="false" customHeight="false" outlineLevel="0" collapsed="false">
      <c r="A1949" s="9" t="s">
        <v>7507</v>
      </c>
      <c r="B1949" s="10" t="s">
        <v>6169</v>
      </c>
      <c r="C1949" s="10" t="n">
        <v>7.3</v>
      </c>
      <c r="D1949" s="0" t="s">
        <v>6170</v>
      </c>
      <c r="E1949" s="0" t="s">
        <v>6137</v>
      </c>
      <c r="F1949" s="0" t="s">
        <v>3160</v>
      </c>
      <c r="G1949" s="0" t="s">
        <v>5998</v>
      </c>
    </row>
    <row r="1950" customFormat="false" ht="12.8" hidden="false" customHeight="false" outlineLevel="0" collapsed="false">
      <c r="A1950" s="9" t="s">
        <v>7508</v>
      </c>
      <c r="B1950" s="10" t="s">
        <v>6172</v>
      </c>
      <c r="C1950" s="10" t="n">
        <v>6.8</v>
      </c>
      <c r="D1950" s="0" t="s">
        <v>6173</v>
      </c>
      <c r="E1950" s="0" t="s">
        <v>6137</v>
      </c>
      <c r="F1950" s="0" t="s">
        <v>3160</v>
      </c>
      <c r="G1950" s="0" t="s">
        <v>5998</v>
      </c>
    </row>
    <row r="1951" customFormat="false" ht="12.8" hidden="false" customHeight="false" outlineLevel="0" collapsed="false">
      <c r="A1951" s="9" t="s">
        <v>7509</v>
      </c>
      <c r="B1951" s="10" t="s">
        <v>6175</v>
      </c>
      <c r="C1951" s="10" t="n">
        <v>5.9</v>
      </c>
      <c r="D1951" s="0" t="s">
        <v>6176</v>
      </c>
      <c r="E1951" s="0" t="s">
        <v>6137</v>
      </c>
      <c r="F1951" s="0" t="s">
        <v>3160</v>
      </c>
      <c r="G1951" s="0" t="s">
        <v>5998</v>
      </c>
    </row>
    <row r="1952" customFormat="false" ht="12.8" hidden="false" customHeight="false" outlineLevel="0" collapsed="false">
      <c r="A1952" s="9" t="s">
        <v>7510</v>
      </c>
      <c r="B1952" s="10" t="s">
        <v>6178</v>
      </c>
      <c r="C1952" s="10" t="n">
        <v>8.4</v>
      </c>
      <c r="D1952" s="0" t="s">
        <v>6179</v>
      </c>
      <c r="E1952" s="0" t="s">
        <v>6137</v>
      </c>
      <c r="F1952" s="0" t="s">
        <v>3160</v>
      </c>
      <c r="G1952" s="0" t="s">
        <v>5998</v>
      </c>
    </row>
    <row r="1954" customFormat="false" ht="12.8" hidden="false" customHeight="false" outlineLevel="0" collapsed="false">
      <c r="A1954" s="9" t="s">
        <v>7511</v>
      </c>
      <c r="B1954" s="10" t="s">
        <v>6163</v>
      </c>
      <c r="C1954" s="10" t="n">
        <v>5.2</v>
      </c>
      <c r="D1954" s="0" t="s">
        <v>6164</v>
      </c>
      <c r="E1954" s="0" t="s">
        <v>6137</v>
      </c>
      <c r="F1954" s="0" t="s">
        <v>3160</v>
      </c>
      <c r="G1954" s="0" t="s">
        <v>5998</v>
      </c>
    </row>
    <row r="1955" customFormat="false" ht="12.8" hidden="false" customHeight="false" outlineLevel="0" collapsed="false">
      <c r="A1955" s="9" t="s">
        <v>7512</v>
      </c>
      <c r="B1955" s="10" t="s">
        <v>6166</v>
      </c>
      <c r="C1955" s="10" t="n">
        <v>6.1</v>
      </c>
      <c r="D1955" s="0" t="s">
        <v>6167</v>
      </c>
      <c r="E1955" s="0" t="s">
        <v>6137</v>
      </c>
      <c r="F1955" s="0" t="s">
        <v>3160</v>
      </c>
      <c r="G1955" s="0" t="s">
        <v>5998</v>
      </c>
    </row>
    <row r="1956" customFormat="false" ht="12.8" hidden="false" customHeight="false" outlineLevel="0" collapsed="false">
      <c r="A1956" s="9" t="s">
        <v>7513</v>
      </c>
      <c r="B1956" s="10" t="s">
        <v>6169</v>
      </c>
      <c r="C1956" s="10" t="n">
        <v>7.3</v>
      </c>
      <c r="D1956" s="0" t="s">
        <v>6170</v>
      </c>
      <c r="E1956" s="0" t="s">
        <v>6137</v>
      </c>
      <c r="F1956" s="0" t="s">
        <v>3160</v>
      </c>
      <c r="G1956" s="0" t="s">
        <v>5998</v>
      </c>
    </row>
    <row r="1957" customFormat="false" ht="12.8" hidden="false" customHeight="false" outlineLevel="0" collapsed="false">
      <c r="A1957" s="9" t="s">
        <v>7514</v>
      </c>
      <c r="B1957" s="10" t="s">
        <v>6172</v>
      </c>
      <c r="C1957" s="10" t="n">
        <v>6.8</v>
      </c>
      <c r="D1957" s="0" t="s">
        <v>6173</v>
      </c>
      <c r="E1957" s="0" t="s">
        <v>6137</v>
      </c>
      <c r="F1957" s="0" t="s">
        <v>3160</v>
      </c>
      <c r="G1957" s="0" t="s">
        <v>5998</v>
      </c>
    </row>
    <row r="1958" customFormat="false" ht="12.8" hidden="false" customHeight="false" outlineLevel="0" collapsed="false">
      <c r="A1958" s="9" t="s">
        <v>7515</v>
      </c>
      <c r="B1958" s="10" t="s">
        <v>6175</v>
      </c>
      <c r="C1958" s="10" t="n">
        <v>5.9</v>
      </c>
      <c r="D1958" s="0" t="s">
        <v>6176</v>
      </c>
      <c r="E1958" s="0" t="s">
        <v>6137</v>
      </c>
      <c r="F1958" s="0" t="s">
        <v>3160</v>
      </c>
      <c r="G1958" s="0" t="s">
        <v>5998</v>
      </c>
    </row>
    <row r="1959" customFormat="false" ht="12.8" hidden="false" customHeight="false" outlineLevel="0" collapsed="false">
      <c r="A1959" s="9" t="s">
        <v>7516</v>
      </c>
      <c r="B1959" s="10" t="s">
        <v>6178</v>
      </c>
      <c r="C1959" s="10" t="n">
        <v>8.4</v>
      </c>
      <c r="D1959" s="0" t="s">
        <v>6179</v>
      </c>
      <c r="E1959" s="0" t="s">
        <v>6137</v>
      </c>
      <c r="F1959" s="0" t="s">
        <v>3160</v>
      </c>
      <c r="G1959" s="0" t="s">
        <v>5998</v>
      </c>
    </row>
    <row r="1965" customFormat="false" ht="12.8" hidden="false" customHeight="false" outlineLevel="0" collapsed="false">
      <c r="A1965" s="9" t="s">
        <v>7517</v>
      </c>
      <c r="B1965" s="10" t="s">
        <v>6209</v>
      </c>
      <c r="C1965" s="10" t="n">
        <v>0.32</v>
      </c>
      <c r="D1965" s="0" t="s">
        <v>6210</v>
      </c>
      <c r="E1965" s="0" t="s">
        <v>6183</v>
      </c>
      <c r="F1965" s="0" t="s">
        <v>3160</v>
      </c>
      <c r="G1965" s="0" t="s">
        <v>5998</v>
      </c>
    </row>
    <row r="1966" customFormat="false" ht="12.8" hidden="false" customHeight="false" outlineLevel="0" collapsed="false">
      <c r="A1966" s="9" t="s">
        <v>7518</v>
      </c>
      <c r="B1966" s="10" t="s">
        <v>6212</v>
      </c>
      <c r="C1966" s="10" t="n">
        <v>0.22</v>
      </c>
      <c r="D1966" s="0" t="s">
        <v>6213</v>
      </c>
      <c r="E1966" s="0" t="s">
        <v>6183</v>
      </c>
      <c r="F1966" s="0" t="s">
        <v>3160</v>
      </c>
      <c r="G1966" s="0" t="s">
        <v>5998</v>
      </c>
    </row>
    <row r="1967" customFormat="false" ht="12.8" hidden="false" customHeight="false" outlineLevel="0" collapsed="false">
      <c r="A1967" s="9" t="s">
        <v>7519</v>
      </c>
      <c r="B1967" s="10" t="s">
        <v>6215</v>
      </c>
      <c r="C1967" s="10" t="n">
        <v>0.18</v>
      </c>
      <c r="D1967" s="0" t="s">
        <v>6216</v>
      </c>
      <c r="E1967" s="0" t="s">
        <v>6183</v>
      </c>
      <c r="F1967" s="0" t="s">
        <v>3160</v>
      </c>
      <c r="G1967" s="0" t="s">
        <v>5998</v>
      </c>
    </row>
    <row r="1968" customFormat="false" ht="12.8" hidden="false" customHeight="false" outlineLevel="0" collapsed="false">
      <c r="A1968" s="9" t="s">
        <v>7520</v>
      </c>
      <c r="B1968" s="10" t="s">
        <v>6218</v>
      </c>
      <c r="C1968" s="10" t="n">
        <v>0.2</v>
      </c>
      <c r="D1968" s="0" t="s">
        <v>6219</v>
      </c>
      <c r="E1968" s="0" t="s">
        <v>6183</v>
      </c>
      <c r="F1968" s="0" t="s">
        <v>3160</v>
      </c>
      <c r="G1968" s="0" t="s">
        <v>5998</v>
      </c>
    </row>
    <row r="1969" customFormat="false" ht="12.8" hidden="false" customHeight="false" outlineLevel="0" collapsed="false">
      <c r="A1969" s="9" t="s">
        <v>7521</v>
      </c>
      <c r="B1969" s="10" t="s">
        <v>6221</v>
      </c>
      <c r="C1969" s="10" t="n">
        <v>0.25</v>
      </c>
      <c r="D1969" s="0" t="s">
        <v>6222</v>
      </c>
      <c r="E1969" s="0" t="s">
        <v>6183</v>
      </c>
      <c r="F1969" s="0" t="s">
        <v>3160</v>
      </c>
      <c r="G1969" s="0" t="s">
        <v>5998</v>
      </c>
    </row>
    <row r="1970" customFormat="false" ht="12.8" hidden="false" customHeight="false" outlineLevel="0" collapsed="false">
      <c r="A1970" s="9" t="s">
        <v>7522</v>
      </c>
      <c r="B1970" s="10" t="s">
        <v>6224</v>
      </c>
      <c r="C1970" s="10" t="n">
        <v>0.12</v>
      </c>
      <c r="D1970" s="0" t="s">
        <v>6225</v>
      </c>
      <c r="E1970" s="0" t="s">
        <v>6183</v>
      </c>
      <c r="F1970" s="0" t="s">
        <v>3160</v>
      </c>
      <c r="G1970" s="0" t="s">
        <v>5998</v>
      </c>
    </row>
    <row r="1976" customFormat="false" ht="12.8" hidden="false" customHeight="false" outlineLevel="0" collapsed="false">
      <c r="A1976" s="9" t="s">
        <v>7523</v>
      </c>
      <c r="B1976" s="10" t="s">
        <v>6256</v>
      </c>
      <c r="C1976" s="10" t="n">
        <v>88000</v>
      </c>
      <c r="D1976" s="0" t="s">
        <v>6257</v>
      </c>
      <c r="E1976" s="0" t="s">
        <v>6229</v>
      </c>
      <c r="F1976" s="0" t="s">
        <v>3160</v>
      </c>
      <c r="G1976" s="0" t="s">
        <v>6230</v>
      </c>
    </row>
    <row r="1977" customFormat="false" ht="12.8" hidden="false" customHeight="false" outlineLevel="0" collapsed="false">
      <c r="A1977" s="9" t="s">
        <v>7524</v>
      </c>
      <c r="B1977" s="10" t="s">
        <v>6259</v>
      </c>
      <c r="C1977" s="10" t="n">
        <v>145000</v>
      </c>
      <c r="D1977" s="0" t="s">
        <v>6260</v>
      </c>
      <c r="E1977" s="0" t="s">
        <v>6229</v>
      </c>
      <c r="F1977" s="0" t="s">
        <v>3160</v>
      </c>
      <c r="G1977" s="0" t="s">
        <v>6230</v>
      </c>
    </row>
    <row r="1978" customFormat="false" ht="12.8" hidden="false" customHeight="false" outlineLevel="0" collapsed="false">
      <c r="A1978" s="9" t="s">
        <v>7525</v>
      </c>
      <c r="B1978" s="10" t="s">
        <v>6262</v>
      </c>
      <c r="C1978" s="10" t="n">
        <v>78000</v>
      </c>
      <c r="D1978" s="0" t="s">
        <v>6263</v>
      </c>
      <c r="E1978" s="0" t="s">
        <v>6229</v>
      </c>
      <c r="F1978" s="0" t="s">
        <v>3160</v>
      </c>
      <c r="G1978" s="0" t="s">
        <v>6230</v>
      </c>
    </row>
    <row r="1979" customFormat="false" ht="12.8" hidden="false" customHeight="false" outlineLevel="0" collapsed="false">
      <c r="A1979" s="9" t="s">
        <v>7526</v>
      </c>
      <c r="B1979" s="10" t="s">
        <v>6265</v>
      </c>
      <c r="C1979" s="10" t="n">
        <v>165000</v>
      </c>
      <c r="D1979" s="0" t="s">
        <v>6266</v>
      </c>
      <c r="E1979" s="0" t="s">
        <v>6229</v>
      </c>
      <c r="F1979" s="0" t="s">
        <v>3160</v>
      </c>
      <c r="G1979" s="0" t="s">
        <v>6230</v>
      </c>
    </row>
    <row r="1980" customFormat="false" ht="12.8" hidden="false" customHeight="false" outlineLevel="0" collapsed="false">
      <c r="A1980" s="9" t="s">
        <v>7527</v>
      </c>
      <c r="B1980" s="10" t="s">
        <v>6268</v>
      </c>
      <c r="C1980" s="10" t="n">
        <v>132000</v>
      </c>
      <c r="D1980" s="0" t="s">
        <v>6269</v>
      </c>
      <c r="E1980" s="0" t="s">
        <v>6229</v>
      </c>
      <c r="F1980" s="0" t="s">
        <v>3160</v>
      </c>
      <c r="G1980" s="0" t="s">
        <v>6230</v>
      </c>
    </row>
    <row r="1981" customFormat="false" ht="12.8" hidden="false" customHeight="false" outlineLevel="0" collapsed="false">
      <c r="A1981" s="9" t="s">
        <v>7528</v>
      </c>
      <c r="B1981" s="10" t="s">
        <v>6271</v>
      </c>
      <c r="C1981" s="10" t="n">
        <v>95000</v>
      </c>
      <c r="D1981" s="0" t="s">
        <v>6272</v>
      </c>
      <c r="E1981" s="0" t="s">
        <v>6229</v>
      </c>
      <c r="F1981" s="0" t="s">
        <v>3160</v>
      </c>
      <c r="G1981" s="0" t="s">
        <v>6230</v>
      </c>
    </row>
    <row r="1987" customFormat="false" ht="12.8" hidden="false" customHeight="false" outlineLevel="0" collapsed="false">
      <c r="A1987" s="9" t="s">
        <v>7529</v>
      </c>
      <c r="B1987" s="10" t="s">
        <v>6303</v>
      </c>
      <c r="C1987" s="10" t="n">
        <v>4</v>
      </c>
      <c r="D1987" s="0" t="s">
        <v>7530</v>
      </c>
      <c r="E1987" s="0" t="s">
        <v>6276</v>
      </c>
      <c r="F1987" s="0" t="s">
        <v>3160</v>
      </c>
      <c r="G1987" s="0" t="s">
        <v>6277</v>
      </c>
    </row>
    <row r="1988" customFormat="false" ht="12.8" hidden="false" customHeight="false" outlineLevel="0" collapsed="false">
      <c r="A1988" s="9" t="s">
        <v>7531</v>
      </c>
      <c r="B1988" s="10" t="s">
        <v>6306</v>
      </c>
      <c r="C1988" s="10" t="n">
        <v>5</v>
      </c>
      <c r="D1988" s="0" t="s">
        <v>6307</v>
      </c>
      <c r="E1988" s="0" t="s">
        <v>6276</v>
      </c>
      <c r="F1988" s="0" t="s">
        <v>3160</v>
      </c>
      <c r="G1988" s="0" t="s">
        <v>6277</v>
      </c>
    </row>
    <row r="1989" customFormat="false" ht="12.8" hidden="false" customHeight="false" outlineLevel="0" collapsed="false">
      <c r="A1989" s="9" t="s">
        <v>7532</v>
      </c>
      <c r="B1989" s="10" t="s">
        <v>6309</v>
      </c>
      <c r="C1989" s="10" t="n">
        <v>6</v>
      </c>
      <c r="D1989" s="0" t="s">
        <v>6310</v>
      </c>
      <c r="E1989" s="0" t="s">
        <v>6276</v>
      </c>
      <c r="F1989" s="0" t="s">
        <v>3160</v>
      </c>
      <c r="G1989" s="0" t="s">
        <v>6277</v>
      </c>
    </row>
    <row r="1990" customFormat="false" ht="12.8" hidden="false" customHeight="false" outlineLevel="0" collapsed="false">
      <c r="A1990" s="9" t="s">
        <v>7533</v>
      </c>
      <c r="B1990" s="10" t="s">
        <v>6312</v>
      </c>
      <c r="C1990" s="10" t="n">
        <v>5</v>
      </c>
      <c r="D1990" s="0" t="s">
        <v>6313</v>
      </c>
      <c r="E1990" s="0" t="s">
        <v>6276</v>
      </c>
      <c r="F1990" s="0" t="s">
        <v>3160</v>
      </c>
      <c r="G1990" s="0" t="s">
        <v>6277</v>
      </c>
    </row>
    <row r="1991" customFormat="false" ht="12.8" hidden="false" customHeight="false" outlineLevel="0" collapsed="false">
      <c r="A1991" s="9" t="s">
        <v>7534</v>
      </c>
      <c r="B1991" s="10" t="s">
        <v>6315</v>
      </c>
      <c r="C1991" s="10" t="n">
        <v>5</v>
      </c>
      <c r="D1991" s="0" t="s">
        <v>6316</v>
      </c>
      <c r="E1991" s="0" t="s">
        <v>6276</v>
      </c>
      <c r="F1991" s="0" t="s">
        <v>3160</v>
      </c>
      <c r="G1991" s="0" t="s">
        <v>6277</v>
      </c>
    </row>
    <row r="1992" customFormat="false" ht="12.8" hidden="false" customHeight="false" outlineLevel="0" collapsed="false">
      <c r="A1992" s="9" t="s">
        <v>7535</v>
      </c>
      <c r="B1992" s="10" t="s">
        <v>6318</v>
      </c>
      <c r="C1992" s="10" t="n">
        <v>4</v>
      </c>
      <c r="D1992" s="0" t="s">
        <v>6319</v>
      </c>
      <c r="E1992" s="0" t="s">
        <v>6276</v>
      </c>
      <c r="F1992" s="0" t="s">
        <v>3160</v>
      </c>
      <c r="G1992" s="0" t="s">
        <v>6277</v>
      </c>
    </row>
    <row r="1998" customFormat="false" ht="12.8" hidden="false" customHeight="false" outlineLevel="0" collapsed="false">
      <c r="A1998" s="9" t="s">
        <v>7536</v>
      </c>
      <c r="B1998" s="10" t="s">
        <v>7537</v>
      </c>
      <c r="C1998" s="10" t="n">
        <v>320000</v>
      </c>
      <c r="D1998" s="0" t="s">
        <v>7538</v>
      </c>
      <c r="E1998" s="0" t="s">
        <v>6323</v>
      </c>
      <c r="F1998" s="0" t="s">
        <v>6324</v>
      </c>
      <c r="G1998" s="0" t="s">
        <v>6325</v>
      </c>
    </row>
    <row r="1999" customFormat="false" ht="12.8" hidden="false" customHeight="false" outlineLevel="0" collapsed="false">
      <c r="A1999" s="9" t="s">
        <v>7539</v>
      </c>
      <c r="B1999" s="10" t="s">
        <v>7540</v>
      </c>
      <c r="C1999" s="10" t="n">
        <v>200000</v>
      </c>
      <c r="D1999" s="0" t="s">
        <v>7541</v>
      </c>
      <c r="E1999" s="0" t="s">
        <v>6323</v>
      </c>
      <c r="F1999" s="0" t="s">
        <v>6324</v>
      </c>
      <c r="G1999" s="0" t="s">
        <v>6325</v>
      </c>
    </row>
    <row r="2000" customFormat="false" ht="12.8" hidden="false" customHeight="false" outlineLevel="0" collapsed="false">
      <c r="A2000" s="9" t="s">
        <v>7542</v>
      </c>
      <c r="B2000" s="10" t="s">
        <v>7543</v>
      </c>
      <c r="C2000" s="10" t="n">
        <v>150000</v>
      </c>
      <c r="D2000" s="0" t="s">
        <v>7544</v>
      </c>
      <c r="E2000" s="0" t="s">
        <v>6323</v>
      </c>
      <c r="F2000" s="0" t="s">
        <v>6324</v>
      </c>
      <c r="G2000" s="0" t="s">
        <v>6325</v>
      </c>
    </row>
    <row r="2001" customFormat="false" ht="12.8" hidden="false" customHeight="false" outlineLevel="0" collapsed="false">
      <c r="A2001" s="9" t="s">
        <v>7545</v>
      </c>
      <c r="B2001" s="10" t="s">
        <v>7546</v>
      </c>
      <c r="C2001" s="10" t="n">
        <v>120000</v>
      </c>
      <c r="D2001" s="0" t="s">
        <v>7547</v>
      </c>
      <c r="E2001" s="0" t="s">
        <v>6323</v>
      </c>
      <c r="F2001" s="0" t="s">
        <v>6324</v>
      </c>
      <c r="G2001" s="0" t="s">
        <v>6325</v>
      </c>
    </row>
    <row r="2002" customFormat="false" ht="12.8" hidden="false" customHeight="false" outlineLevel="0" collapsed="false">
      <c r="A2002" s="9" t="s">
        <v>7548</v>
      </c>
      <c r="B2002" s="10" t="s">
        <v>7549</v>
      </c>
      <c r="C2002" s="10" t="n">
        <v>80000</v>
      </c>
      <c r="D2002" s="0" t="s">
        <v>7550</v>
      </c>
      <c r="E2002" s="0" t="s">
        <v>6323</v>
      </c>
      <c r="F2002" s="0" t="s">
        <v>6324</v>
      </c>
      <c r="G2002" s="0" t="s">
        <v>6325</v>
      </c>
    </row>
    <row r="2003" customFormat="false" ht="12.8" hidden="false" customHeight="false" outlineLevel="0" collapsed="false">
      <c r="A2003" s="9" t="s">
        <v>7551</v>
      </c>
      <c r="B2003" s="10" t="s">
        <v>7552</v>
      </c>
      <c r="C2003" s="10" t="n">
        <v>180000</v>
      </c>
      <c r="D2003" s="0" t="s">
        <v>7553</v>
      </c>
      <c r="E2003" s="0" t="s">
        <v>6323</v>
      </c>
      <c r="F2003" s="0" t="s">
        <v>6324</v>
      </c>
      <c r="G2003" s="0" t="s">
        <v>6325</v>
      </c>
    </row>
    <row r="2004" customFormat="false" ht="12.8" hidden="false" customHeight="false" outlineLevel="0" collapsed="false">
      <c r="A2004" s="9" t="s">
        <v>7554</v>
      </c>
      <c r="B2004" s="10" t="s">
        <v>7555</v>
      </c>
      <c r="C2004" s="10" t="n">
        <v>180000</v>
      </c>
      <c r="D2004" s="0" t="s">
        <v>7556</v>
      </c>
      <c r="E2004" s="0" t="s">
        <v>6323</v>
      </c>
      <c r="F2004" s="0" t="s">
        <v>6324</v>
      </c>
      <c r="G2004" s="0" t="s">
        <v>6325</v>
      </c>
    </row>
    <row r="2005" customFormat="false" ht="12.8" hidden="false" customHeight="false" outlineLevel="0" collapsed="false">
      <c r="A2005" s="9" t="s">
        <v>7557</v>
      </c>
      <c r="B2005" s="10" t="s">
        <v>7558</v>
      </c>
      <c r="C2005" s="10" t="n">
        <v>100000</v>
      </c>
      <c r="D2005" s="0" t="s">
        <v>7559</v>
      </c>
      <c r="E2005" s="0" t="s">
        <v>6323</v>
      </c>
      <c r="F2005" s="0" t="s">
        <v>6324</v>
      </c>
      <c r="G2005" s="0" t="s">
        <v>6325</v>
      </c>
    </row>
    <row r="2006" customFormat="false" ht="12.8" hidden="false" customHeight="false" outlineLevel="0" collapsed="false">
      <c r="A2006" s="9" t="s">
        <v>7560</v>
      </c>
      <c r="B2006" s="10" t="s">
        <v>7561</v>
      </c>
      <c r="C2006" s="10" t="n">
        <v>70000</v>
      </c>
      <c r="D2006" s="0" t="s">
        <v>7562</v>
      </c>
      <c r="E2006" s="0" t="s">
        <v>6323</v>
      </c>
      <c r="F2006" s="0" t="s">
        <v>6324</v>
      </c>
      <c r="G2006" s="0" t="s">
        <v>6325</v>
      </c>
    </row>
    <row r="2007" customFormat="false" ht="12.8" hidden="false" customHeight="false" outlineLevel="0" collapsed="false">
      <c r="A2007" s="9" t="s">
        <v>7563</v>
      </c>
      <c r="B2007" s="10" t="s">
        <v>7564</v>
      </c>
      <c r="C2007" s="10" t="n">
        <v>60000</v>
      </c>
      <c r="D2007" s="0" t="s">
        <v>7565</v>
      </c>
      <c r="E2007" s="0" t="s">
        <v>6323</v>
      </c>
      <c r="F2007" s="0" t="s">
        <v>6324</v>
      </c>
      <c r="G2007" s="0" t="s">
        <v>6325</v>
      </c>
    </row>
    <row r="2008" customFormat="false" ht="12.8" hidden="false" customHeight="false" outlineLevel="0" collapsed="false">
      <c r="A2008" s="9" t="s">
        <v>7566</v>
      </c>
      <c r="B2008" s="10" t="s">
        <v>7567</v>
      </c>
      <c r="C2008" s="10" t="n">
        <v>40000</v>
      </c>
      <c r="D2008" s="0" t="s">
        <v>7568</v>
      </c>
      <c r="E2008" s="0" t="s">
        <v>6323</v>
      </c>
      <c r="F2008" s="0" t="s">
        <v>6324</v>
      </c>
      <c r="G2008" s="0" t="s">
        <v>6325</v>
      </c>
    </row>
    <row r="2009" customFormat="false" ht="12.8" hidden="false" customHeight="false" outlineLevel="0" collapsed="false">
      <c r="A2009" s="9" t="s">
        <v>7569</v>
      </c>
      <c r="B2009" s="10" t="s">
        <v>7570</v>
      </c>
      <c r="C2009" s="10" t="n">
        <v>30000</v>
      </c>
      <c r="D2009" s="0" t="s">
        <v>7571</v>
      </c>
      <c r="E2009" s="0" t="s">
        <v>6323</v>
      </c>
      <c r="F2009" s="0" t="s">
        <v>6324</v>
      </c>
      <c r="G2009" s="0" t="s">
        <v>6325</v>
      </c>
    </row>
    <row r="2015" customFormat="false" ht="12.8" hidden="false" customHeight="false" outlineLevel="0" collapsed="false">
      <c r="A2015" s="9" t="s">
        <v>7572</v>
      </c>
      <c r="B2015" s="10" t="s">
        <v>7573</v>
      </c>
      <c r="C2015" s="10" t="n">
        <v>0.0007</v>
      </c>
      <c r="D2015" s="0" t="s">
        <v>7574</v>
      </c>
      <c r="E2015" s="0" t="s">
        <v>6323</v>
      </c>
      <c r="F2015" s="0" t="s">
        <v>6324</v>
      </c>
      <c r="G2015" s="0" t="s">
        <v>6325</v>
      </c>
    </row>
    <row r="2016" customFormat="false" ht="12.8" hidden="false" customHeight="false" outlineLevel="0" collapsed="false">
      <c r="A2016" s="9" t="s">
        <v>7575</v>
      </c>
      <c r="B2016" s="10" t="s">
        <v>7576</v>
      </c>
      <c r="C2016" s="10" t="n">
        <v>0.0006</v>
      </c>
      <c r="D2016" s="0" t="s">
        <v>7577</v>
      </c>
      <c r="E2016" s="0" t="s">
        <v>6323</v>
      </c>
      <c r="F2016" s="0" t="s">
        <v>6324</v>
      </c>
      <c r="G2016" s="0" t="s">
        <v>6325</v>
      </c>
    </row>
    <row r="2017" customFormat="false" ht="12.8" hidden="false" customHeight="false" outlineLevel="0" collapsed="false">
      <c r="A2017" s="9" t="s">
        <v>7578</v>
      </c>
      <c r="B2017" s="10" t="s">
        <v>7579</v>
      </c>
      <c r="C2017" s="10" t="n">
        <v>0.0005</v>
      </c>
      <c r="D2017" s="0" t="s">
        <v>7580</v>
      </c>
      <c r="E2017" s="0" t="s">
        <v>6323</v>
      </c>
      <c r="F2017" s="0" t="s">
        <v>6324</v>
      </c>
      <c r="G2017" s="0" t="s">
        <v>6325</v>
      </c>
    </row>
    <row r="2018" customFormat="false" ht="12.8" hidden="false" customHeight="false" outlineLevel="0" collapsed="false">
      <c r="A2018" s="9" t="s">
        <v>7581</v>
      </c>
      <c r="B2018" s="10" t="s">
        <v>7582</v>
      </c>
      <c r="C2018" s="10" t="n">
        <v>0.0004</v>
      </c>
      <c r="D2018" s="0" t="s">
        <v>7583</v>
      </c>
      <c r="E2018" s="0" t="s">
        <v>6323</v>
      </c>
      <c r="F2018" s="0" t="s">
        <v>6324</v>
      </c>
      <c r="G2018" s="0" t="s">
        <v>6325</v>
      </c>
    </row>
    <row r="2020" customFormat="false" ht="12.8" hidden="false" customHeight="false" outlineLevel="0" collapsed="false">
      <c r="A2020" s="9" t="s">
        <v>7584</v>
      </c>
      <c r="B2020" s="10" t="s">
        <v>7585</v>
      </c>
      <c r="C2020" s="10" t="n">
        <v>0.0007</v>
      </c>
      <c r="D2020" s="0" t="s">
        <v>7586</v>
      </c>
      <c r="E2020" s="0" t="s">
        <v>6323</v>
      </c>
      <c r="F2020" s="0" t="s">
        <v>6324</v>
      </c>
      <c r="G2020" s="0" t="s">
        <v>6325</v>
      </c>
    </row>
    <row r="2021" customFormat="false" ht="12.8" hidden="false" customHeight="false" outlineLevel="0" collapsed="false">
      <c r="A2021" s="9" t="s">
        <v>7587</v>
      </c>
      <c r="B2021" s="10" t="s">
        <v>7588</v>
      </c>
      <c r="C2021" s="10" t="n">
        <v>0.0003</v>
      </c>
      <c r="D2021" s="0" t="s">
        <v>7589</v>
      </c>
      <c r="E2021" s="0" t="s">
        <v>6323</v>
      </c>
      <c r="F2021" s="0" t="s">
        <v>6324</v>
      </c>
      <c r="G2021" s="0" t="s">
        <v>6325</v>
      </c>
    </row>
    <row r="2022" customFormat="false" ht="12.8" hidden="false" customHeight="false" outlineLevel="0" collapsed="false">
      <c r="A2022" s="9" t="s">
        <v>7590</v>
      </c>
      <c r="B2022" s="10" t="s">
        <v>7591</v>
      </c>
      <c r="C2022" s="10" t="n">
        <v>0.0011</v>
      </c>
      <c r="D2022" s="0" t="s">
        <v>7592</v>
      </c>
      <c r="E2022" s="0" t="s">
        <v>6323</v>
      </c>
      <c r="F2022" s="0" t="s">
        <v>6324</v>
      </c>
      <c r="G2022" s="0" t="s">
        <v>6325</v>
      </c>
    </row>
    <row r="2023" customFormat="false" ht="12.8" hidden="false" customHeight="false" outlineLevel="0" collapsed="false">
      <c r="A2023" s="9" t="s">
        <v>7593</v>
      </c>
      <c r="B2023" s="10" t="s">
        <v>7594</v>
      </c>
      <c r="C2023" s="10" t="n">
        <v>0.0009</v>
      </c>
      <c r="D2023" s="0" t="s">
        <v>7595</v>
      </c>
      <c r="E2023" s="0" t="s">
        <v>6323</v>
      </c>
      <c r="F2023" s="0" t="s">
        <v>6324</v>
      </c>
      <c r="G2023" s="0" t="s">
        <v>6325</v>
      </c>
    </row>
    <row r="2024" customFormat="false" ht="12.8" hidden="false" customHeight="false" outlineLevel="0" collapsed="false">
      <c r="A2024" s="9" t="s">
        <v>7596</v>
      </c>
      <c r="B2024" s="10" t="s">
        <v>7597</v>
      </c>
      <c r="C2024" s="10" t="n">
        <v>0.0008</v>
      </c>
      <c r="D2024" s="0" t="s">
        <v>7598</v>
      </c>
      <c r="E2024" s="0" t="s">
        <v>6323</v>
      </c>
      <c r="F2024" s="0" t="s">
        <v>6324</v>
      </c>
      <c r="G2024" s="0" t="s">
        <v>6325</v>
      </c>
    </row>
    <row r="2025" customFormat="false" ht="12.8" hidden="false" customHeight="false" outlineLevel="0" collapsed="false">
      <c r="A2025" s="9" t="s">
        <v>7599</v>
      </c>
      <c r="B2025" s="10" t="s">
        <v>7600</v>
      </c>
      <c r="C2025" s="10" t="n">
        <v>0.0007</v>
      </c>
      <c r="D2025" s="0" t="s">
        <v>7601</v>
      </c>
      <c r="E2025" s="0" t="s">
        <v>6323</v>
      </c>
      <c r="F2025" s="0" t="s">
        <v>6324</v>
      </c>
      <c r="G2025" s="0" t="s">
        <v>6325</v>
      </c>
    </row>
    <row r="2026" customFormat="false" ht="12.8" hidden="false" customHeight="false" outlineLevel="0" collapsed="false">
      <c r="A2026" s="9" t="s">
        <v>7602</v>
      </c>
      <c r="B2026" s="10" t="s">
        <v>7603</v>
      </c>
      <c r="C2026" s="10" t="n">
        <v>0.001</v>
      </c>
      <c r="D2026" s="0" t="s">
        <v>7604</v>
      </c>
      <c r="E2026" s="0" t="s">
        <v>6323</v>
      </c>
      <c r="F2026" s="0" t="s">
        <v>6324</v>
      </c>
      <c r="G2026" s="0" t="s">
        <v>6325</v>
      </c>
    </row>
    <row r="2027" customFormat="false" ht="12.8" hidden="false" customHeight="false" outlineLevel="0" collapsed="false">
      <c r="A2027" s="9" t="s">
        <v>7605</v>
      </c>
      <c r="B2027" s="10" t="s">
        <v>7606</v>
      </c>
      <c r="C2027" s="10" t="n">
        <v>0.0005</v>
      </c>
      <c r="D2027" s="0" t="s">
        <v>7607</v>
      </c>
      <c r="E2027" s="0" t="s">
        <v>6323</v>
      </c>
      <c r="F2027" s="0" t="s">
        <v>6324</v>
      </c>
      <c r="G2027" s="0" t="s">
        <v>6325</v>
      </c>
    </row>
    <row r="2033" customFormat="false" ht="12.8" hidden="false" customHeight="false" outlineLevel="0" collapsed="false">
      <c r="A2033" s="9" t="s">
        <v>7608</v>
      </c>
      <c r="B2033" s="10" t="s">
        <v>7609</v>
      </c>
      <c r="C2033" s="10" t="n">
        <v>0.001</v>
      </c>
      <c r="D2033" s="0" t="s">
        <v>7610</v>
      </c>
      <c r="E2033" s="0" t="s">
        <v>6323</v>
      </c>
      <c r="F2033" s="0" t="s">
        <v>6324</v>
      </c>
      <c r="G2033" s="0" t="s">
        <v>6325</v>
      </c>
    </row>
    <row r="2034" customFormat="false" ht="12.8" hidden="false" customHeight="false" outlineLevel="0" collapsed="false">
      <c r="A2034" s="9" t="s">
        <v>7611</v>
      </c>
      <c r="B2034" s="10" t="s">
        <v>7612</v>
      </c>
      <c r="C2034" s="10" t="n">
        <v>0.0008</v>
      </c>
      <c r="D2034" s="0" t="s">
        <v>7613</v>
      </c>
      <c r="E2034" s="0" t="s">
        <v>6323</v>
      </c>
      <c r="F2034" s="0" t="s">
        <v>6324</v>
      </c>
      <c r="G2034" s="0" t="s">
        <v>6325</v>
      </c>
    </row>
    <row r="2035" customFormat="false" ht="12.8" hidden="false" customHeight="false" outlineLevel="0" collapsed="false">
      <c r="A2035" s="9" t="s">
        <v>7614</v>
      </c>
      <c r="B2035" s="10" t="s">
        <v>7615</v>
      </c>
      <c r="C2035" s="10" t="n">
        <v>0.0007</v>
      </c>
      <c r="D2035" s="0" t="s">
        <v>7616</v>
      </c>
      <c r="E2035" s="0" t="s">
        <v>6323</v>
      </c>
      <c r="F2035" s="0" t="s">
        <v>6324</v>
      </c>
      <c r="G2035" s="0" t="s">
        <v>6325</v>
      </c>
    </row>
    <row r="2036" customFormat="false" ht="12.8" hidden="false" customHeight="false" outlineLevel="0" collapsed="false">
      <c r="A2036" s="9" t="s">
        <v>7617</v>
      </c>
      <c r="B2036" s="10" t="s">
        <v>7618</v>
      </c>
      <c r="C2036" s="10" t="n">
        <v>0.0006</v>
      </c>
      <c r="D2036" s="0" t="s">
        <v>7619</v>
      </c>
      <c r="E2036" s="0" t="s">
        <v>6323</v>
      </c>
      <c r="F2036" s="0" t="s">
        <v>6324</v>
      </c>
      <c r="G2036" s="0" t="s">
        <v>6325</v>
      </c>
    </row>
    <row r="2037" customFormat="false" ht="12.8" hidden="false" customHeight="false" outlineLevel="0" collapsed="false">
      <c r="A2037" s="9" t="s">
        <v>7620</v>
      </c>
      <c r="B2037" s="10" t="s">
        <v>7621</v>
      </c>
      <c r="C2037" s="10" t="n">
        <v>0.0009</v>
      </c>
      <c r="D2037" s="0" t="s">
        <v>7622</v>
      </c>
      <c r="E2037" s="0" t="s">
        <v>6323</v>
      </c>
      <c r="F2037" s="0" t="s">
        <v>6324</v>
      </c>
      <c r="G2037" s="0" t="s">
        <v>6325</v>
      </c>
    </row>
    <row r="2038" customFormat="false" ht="12.8" hidden="false" customHeight="false" outlineLevel="0" collapsed="false">
      <c r="A2038" s="9" t="s">
        <v>7623</v>
      </c>
      <c r="B2038" s="10" t="s">
        <v>7624</v>
      </c>
      <c r="C2038" s="10" t="n">
        <v>0.0004</v>
      </c>
      <c r="D2038" s="0" t="s">
        <v>7625</v>
      </c>
      <c r="E2038" s="0" t="s">
        <v>6323</v>
      </c>
      <c r="F2038" s="0" t="s">
        <v>6324</v>
      </c>
      <c r="G2038" s="0" t="s">
        <v>6325</v>
      </c>
    </row>
    <row r="2039" customFormat="false" ht="12.8" hidden="false" customHeight="false" outlineLevel="0" collapsed="false">
      <c r="A2039" s="9" t="s">
        <v>7626</v>
      </c>
      <c r="B2039" s="10" t="s">
        <v>7627</v>
      </c>
      <c r="C2039" s="10" t="n">
        <v>0.0014</v>
      </c>
      <c r="D2039" s="0" t="s">
        <v>7628</v>
      </c>
      <c r="E2039" s="0" t="s">
        <v>6323</v>
      </c>
      <c r="F2039" s="0" t="s">
        <v>6324</v>
      </c>
      <c r="G2039" s="0" t="s">
        <v>6325</v>
      </c>
    </row>
    <row r="2040" customFormat="false" ht="12.8" hidden="false" customHeight="false" outlineLevel="0" collapsed="false">
      <c r="A2040" s="9" t="s">
        <v>7629</v>
      </c>
      <c r="B2040" s="10" t="s">
        <v>7630</v>
      </c>
      <c r="C2040" s="10" t="n">
        <v>0.0011</v>
      </c>
      <c r="D2040" s="0" t="s">
        <v>7631</v>
      </c>
      <c r="E2040" s="0" t="s">
        <v>6323</v>
      </c>
      <c r="F2040" s="0" t="s">
        <v>6324</v>
      </c>
      <c r="G2040" s="0" t="s">
        <v>6325</v>
      </c>
    </row>
    <row r="2041" customFormat="false" ht="12.8" hidden="false" customHeight="false" outlineLevel="0" collapsed="false">
      <c r="A2041" s="9" t="s">
        <v>7632</v>
      </c>
      <c r="B2041" s="10" t="s">
        <v>7633</v>
      </c>
      <c r="C2041" s="10" t="n">
        <v>0.001</v>
      </c>
      <c r="D2041" s="0" t="s">
        <v>7634</v>
      </c>
      <c r="E2041" s="0" t="s">
        <v>6323</v>
      </c>
      <c r="F2041" s="0" t="s">
        <v>6324</v>
      </c>
      <c r="G2041" s="0" t="s">
        <v>6325</v>
      </c>
    </row>
    <row r="2042" customFormat="false" ht="12.8" hidden="false" customHeight="false" outlineLevel="0" collapsed="false">
      <c r="A2042" s="9" t="s">
        <v>7635</v>
      </c>
      <c r="B2042" s="10" t="s">
        <v>7636</v>
      </c>
      <c r="C2042" s="10" t="n">
        <v>0.0009</v>
      </c>
      <c r="D2042" s="0" t="s">
        <v>7637</v>
      </c>
      <c r="E2042" s="0" t="s">
        <v>6323</v>
      </c>
      <c r="F2042" s="0" t="s">
        <v>6324</v>
      </c>
      <c r="G2042" s="0" t="s">
        <v>6325</v>
      </c>
    </row>
    <row r="2043" customFormat="false" ht="12.8" hidden="false" customHeight="false" outlineLevel="0" collapsed="false">
      <c r="A2043" s="9" t="s">
        <v>7638</v>
      </c>
      <c r="B2043" s="10" t="s">
        <v>7639</v>
      </c>
      <c r="C2043" s="10" t="n">
        <v>0.0012</v>
      </c>
      <c r="D2043" s="0" t="s">
        <v>7640</v>
      </c>
      <c r="E2043" s="0" t="s">
        <v>6323</v>
      </c>
      <c r="F2043" s="0" t="s">
        <v>6324</v>
      </c>
      <c r="G2043" s="0" t="s">
        <v>6325</v>
      </c>
    </row>
    <row r="2044" customFormat="false" ht="12.8" hidden="false" customHeight="false" outlineLevel="0" collapsed="false">
      <c r="A2044" s="9" t="s">
        <v>7641</v>
      </c>
      <c r="B2044" s="10" t="s">
        <v>7642</v>
      </c>
      <c r="C2044" s="10" t="n">
        <v>0.0006</v>
      </c>
      <c r="D2044" s="0" t="s">
        <v>7643</v>
      </c>
      <c r="E2044" s="0" t="s">
        <v>6323</v>
      </c>
      <c r="F2044" s="0" t="s">
        <v>6324</v>
      </c>
      <c r="G2044" s="0" t="s">
        <v>6325</v>
      </c>
    </row>
    <row r="2050" customFormat="false" ht="12.8" hidden="false" customHeight="false" outlineLevel="0" collapsed="false">
      <c r="A2050" s="9" t="s">
        <v>7644</v>
      </c>
      <c r="B2050" s="10" t="s">
        <v>7645</v>
      </c>
      <c r="C2050" s="10" t="n">
        <v>0.0003</v>
      </c>
      <c r="D2050" s="0" t="s">
        <v>7646</v>
      </c>
      <c r="E2050" s="0" t="s">
        <v>6323</v>
      </c>
      <c r="F2050" s="0" t="s">
        <v>6324</v>
      </c>
      <c r="G2050" s="0" t="s">
        <v>6325</v>
      </c>
    </row>
    <row r="2051" customFormat="false" ht="12.8" hidden="false" customHeight="false" outlineLevel="0" collapsed="false">
      <c r="A2051" s="9" t="s">
        <v>7647</v>
      </c>
      <c r="B2051" s="10" t="s">
        <v>7648</v>
      </c>
      <c r="C2051" s="10" t="n">
        <v>0.00025</v>
      </c>
      <c r="D2051" s="0" t="s">
        <v>7649</v>
      </c>
      <c r="E2051" s="0" t="s">
        <v>6323</v>
      </c>
      <c r="F2051" s="0" t="s">
        <v>6324</v>
      </c>
      <c r="G2051" s="0" t="s">
        <v>6325</v>
      </c>
    </row>
    <row r="2052" customFormat="false" ht="12.8" hidden="false" customHeight="false" outlineLevel="0" collapsed="false">
      <c r="A2052" s="9" t="s">
        <v>7650</v>
      </c>
      <c r="B2052" s="10" t="s">
        <v>7651</v>
      </c>
      <c r="C2052" s="10" t="n">
        <v>0.00025</v>
      </c>
      <c r="D2052" s="0" t="s">
        <v>7652</v>
      </c>
      <c r="E2052" s="0" t="s">
        <v>6323</v>
      </c>
      <c r="F2052" s="0" t="s">
        <v>6324</v>
      </c>
      <c r="G2052" s="0" t="s">
        <v>6325</v>
      </c>
    </row>
    <row r="2053" customFormat="false" ht="12.8" hidden="false" customHeight="false" outlineLevel="0" collapsed="false">
      <c r="A2053" s="9" t="s">
        <v>7653</v>
      </c>
      <c r="B2053" s="10" t="s">
        <v>7654</v>
      </c>
      <c r="C2053" s="10" t="n">
        <v>0.00025</v>
      </c>
      <c r="D2053" s="0" t="s">
        <v>7655</v>
      </c>
      <c r="E2053" s="0" t="s">
        <v>6323</v>
      </c>
      <c r="F2053" s="0" t="s">
        <v>6324</v>
      </c>
      <c r="G2053" s="0" t="s">
        <v>6325</v>
      </c>
    </row>
    <row r="2054" customFormat="false" ht="12.8" hidden="false" customHeight="false" outlineLevel="0" collapsed="false">
      <c r="A2054" s="9" t="s">
        <v>7656</v>
      </c>
      <c r="B2054" s="10" t="s">
        <v>7657</v>
      </c>
      <c r="C2054" s="10" t="n">
        <v>0.0003</v>
      </c>
      <c r="D2054" s="0" t="s">
        <v>7658</v>
      </c>
      <c r="E2054" s="0" t="s">
        <v>6323</v>
      </c>
      <c r="F2054" s="0" t="s">
        <v>6324</v>
      </c>
      <c r="G2054" s="0" t="s">
        <v>6325</v>
      </c>
    </row>
    <row r="2055" customFormat="false" ht="12.8" hidden="false" customHeight="false" outlineLevel="0" collapsed="false">
      <c r="A2055" s="9" t="s">
        <v>7659</v>
      </c>
      <c r="B2055" s="10" t="s">
        <v>7660</v>
      </c>
      <c r="C2055" s="10" t="n">
        <v>0.0002</v>
      </c>
      <c r="D2055" s="0" t="s">
        <v>7661</v>
      </c>
      <c r="E2055" s="0" t="s">
        <v>6323</v>
      </c>
      <c r="F2055" s="0" t="s">
        <v>6324</v>
      </c>
      <c r="G2055" s="0" t="s">
        <v>6325</v>
      </c>
    </row>
    <row r="2056" customFormat="false" ht="12.8" hidden="false" customHeight="false" outlineLevel="0" collapsed="false">
      <c r="A2056" s="9" t="s">
        <v>7662</v>
      </c>
      <c r="B2056" s="10" t="s">
        <v>7663</v>
      </c>
      <c r="C2056" s="10" t="n">
        <v>0.0006</v>
      </c>
      <c r="D2056" s="0" t="s">
        <v>7664</v>
      </c>
      <c r="E2056" s="0" t="s">
        <v>6323</v>
      </c>
      <c r="F2056" s="0" t="s">
        <v>6324</v>
      </c>
      <c r="G2056" s="0" t="s">
        <v>6325</v>
      </c>
    </row>
    <row r="2057" customFormat="false" ht="12.8" hidden="false" customHeight="false" outlineLevel="0" collapsed="false">
      <c r="A2057" s="9" t="s">
        <v>7665</v>
      </c>
      <c r="B2057" s="10" t="s">
        <v>7666</v>
      </c>
      <c r="C2057" s="10" t="n">
        <v>0.0005</v>
      </c>
      <c r="D2057" s="0" t="s">
        <v>7667</v>
      </c>
      <c r="E2057" s="0" t="s">
        <v>6323</v>
      </c>
      <c r="F2057" s="0" t="s">
        <v>6324</v>
      </c>
      <c r="G2057" s="0" t="s">
        <v>6325</v>
      </c>
    </row>
    <row r="2058" customFormat="false" ht="12.8" hidden="false" customHeight="false" outlineLevel="0" collapsed="false">
      <c r="A2058" s="9" t="s">
        <v>7668</v>
      </c>
      <c r="B2058" s="10" t="s">
        <v>7669</v>
      </c>
      <c r="C2058" s="10" t="n">
        <v>0.0005</v>
      </c>
      <c r="D2058" s="0" t="s">
        <v>7670</v>
      </c>
      <c r="E2058" s="0" t="s">
        <v>6323</v>
      </c>
      <c r="F2058" s="0" t="s">
        <v>6324</v>
      </c>
      <c r="G2058" s="0" t="s">
        <v>6325</v>
      </c>
    </row>
    <row r="2059" customFormat="false" ht="12.8" hidden="false" customHeight="false" outlineLevel="0" collapsed="false">
      <c r="A2059" s="9" t="s">
        <v>7671</v>
      </c>
      <c r="B2059" s="10" t="s">
        <v>7672</v>
      </c>
      <c r="C2059" s="10" t="n">
        <v>0.0005</v>
      </c>
      <c r="D2059" s="0" t="s">
        <v>7673</v>
      </c>
      <c r="E2059" s="0" t="s">
        <v>6323</v>
      </c>
      <c r="F2059" s="0" t="s">
        <v>6324</v>
      </c>
      <c r="G2059" s="0" t="s">
        <v>6325</v>
      </c>
    </row>
    <row r="2060" customFormat="false" ht="12.8" hidden="false" customHeight="false" outlineLevel="0" collapsed="false">
      <c r="A2060" s="9" t="s">
        <v>7674</v>
      </c>
      <c r="B2060" s="10" t="s">
        <v>7675</v>
      </c>
      <c r="C2060" s="10" t="n">
        <v>0.0006</v>
      </c>
      <c r="D2060" s="0" t="s">
        <v>7676</v>
      </c>
      <c r="E2060" s="0" t="s">
        <v>6323</v>
      </c>
      <c r="F2060" s="0" t="s">
        <v>6324</v>
      </c>
      <c r="G2060" s="0" t="s">
        <v>6325</v>
      </c>
    </row>
    <row r="2061" customFormat="false" ht="12.8" hidden="false" customHeight="false" outlineLevel="0" collapsed="false">
      <c r="A2061" s="9" t="s">
        <v>7677</v>
      </c>
      <c r="B2061" s="10" t="s">
        <v>7678</v>
      </c>
      <c r="C2061" s="10" t="n">
        <v>0.0004</v>
      </c>
      <c r="D2061" s="0" t="s">
        <v>7679</v>
      </c>
      <c r="E2061" s="0" t="s">
        <v>6323</v>
      </c>
      <c r="F2061" s="0" t="s">
        <v>6324</v>
      </c>
      <c r="G2061" s="0" t="s">
        <v>6325</v>
      </c>
    </row>
    <row r="2067" customFormat="false" ht="12.8" hidden="false" customHeight="false" outlineLevel="0" collapsed="false">
      <c r="A2067" s="9" t="s">
        <v>7680</v>
      </c>
      <c r="B2067" s="10" t="s">
        <v>7681</v>
      </c>
      <c r="C2067" s="10" t="n">
        <v>0.0005</v>
      </c>
      <c r="D2067" s="0" t="s">
        <v>7682</v>
      </c>
      <c r="E2067" s="0" t="s">
        <v>6323</v>
      </c>
      <c r="F2067" s="0" t="s">
        <v>6324</v>
      </c>
      <c r="G2067" s="0" t="s">
        <v>6325</v>
      </c>
    </row>
    <row r="2068" customFormat="false" ht="12.8" hidden="false" customHeight="false" outlineLevel="0" collapsed="false">
      <c r="A2068" s="9" t="s">
        <v>7683</v>
      </c>
      <c r="B2068" s="10" t="s">
        <v>7684</v>
      </c>
      <c r="C2068" s="10" t="n">
        <v>0.0004</v>
      </c>
      <c r="D2068" s="0" t="s">
        <v>7685</v>
      </c>
      <c r="E2068" s="0" t="s">
        <v>6323</v>
      </c>
      <c r="F2068" s="0" t="s">
        <v>6324</v>
      </c>
      <c r="G2068" s="0" t="s">
        <v>6325</v>
      </c>
    </row>
    <row r="2069" customFormat="false" ht="12.8" hidden="false" customHeight="false" outlineLevel="0" collapsed="false">
      <c r="A2069" s="9" t="s">
        <v>7686</v>
      </c>
      <c r="B2069" s="10" t="s">
        <v>7687</v>
      </c>
      <c r="C2069" s="10" t="n">
        <v>0.00045</v>
      </c>
      <c r="D2069" s="0" t="s">
        <v>7688</v>
      </c>
      <c r="E2069" s="0" t="s">
        <v>6323</v>
      </c>
      <c r="F2069" s="0" t="s">
        <v>6324</v>
      </c>
      <c r="G2069" s="0" t="s">
        <v>6325</v>
      </c>
    </row>
    <row r="2070" customFormat="false" ht="12.8" hidden="false" customHeight="false" outlineLevel="0" collapsed="false">
      <c r="A2070" s="9" t="s">
        <v>7689</v>
      </c>
      <c r="B2070" s="10" t="s">
        <v>7690</v>
      </c>
      <c r="C2070" s="10" t="n">
        <v>0.0004</v>
      </c>
      <c r="D2070" s="0" t="s">
        <v>7691</v>
      </c>
      <c r="E2070" s="0" t="s">
        <v>6323</v>
      </c>
      <c r="F2070" s="0" t="s">
        <v>6324</v>
      </c>
      <c r="G2070" s="0" t="s">
        <v>6325</v>
      </c>
    </row>
    <row r="2071" customFormat="false" ht="12.8" hidden="false" customHeight="false" outlineLevel="0" collapsed="false">
      <c r="A2071" s="9" t="s">
        <v>7692</v>
      </c>
      <c r="B2071" s="10" t="s">
        <v>7693</v>
      </c>
      <c r="C2071" s="10" t="n">
        <v>0.0005</v>
      </c>
      <c r="D2071" s="0" t="s">
        <v>7694</v>
      </c>
      <c r="E2071" s="0" t="s">
        <v>6323</v>
      </c>
      <c r="F2071" s="0" t="s">
        <v>6324</v>
      </c>
      <c r="G2071" s="0" t="s">
        <v>6325</v>
      </c>
    </row>
    <row r="2072" customFormat="false" ht="12.8" hidden="false" customHeight="false" outlineLevel="0" collapsed="false">
      <c r="A2072" s="9" t="s">
        <v>7695</v>
      </c>
      <c r="B2072" s="10" t="s">
        <v>7696</v>
      </c>
      <c r="C2072" s="10" t="n">
        <v>0.0003</v>
      </c>
      <c r="D2072" s="0" t="s">
        <v>7697</v>
      </c>
      <c r="E2072" s="0" t="s">
        <v>6323</v>
      </c>
      <c r="F2072" s="0" t="s">
        <v>6324</v>
      </c>
      <c r="G2072" s="0" t="s">
        <v>6325</v>
      </c>
    </row>
    <row r="2073" customFormat="false" ht="12.8" hidden="false" customHeight="false" outlineLevel="0" collapsed="false">
      <c r="A2073" s="9" t="s">
        <v>7698</v>
      </c>
      <c r="B2073" s="10" t="s">
        <v>7699</v>
      </c>
      <c r="C2073" s="10" t="n">
        <v>0.001</v>
      </c>
      <c r="D2073" s="0" t="s">
        <v>7700</v>
      </c>
      <c r="E2073" s="0" t="s">
        <v>6323</v>
      </c>
      <c r="F2073" s="0" t="s">
        <v>6324</v>
      </c>
      <c r="G2073" s="0" t="s">
        <v>6325</v>
      </c>
    </row>
    <row r="2074" customFormat="false" ht="12.8" hidden="false" customHeight="false" outlineLevel="0" collapsed="false">
      <c r="A2074" s="9" t="s">
        <v>7701</v>
      </c>
      <c r="B2074" s="10" t="s">
        <v>7702</v>
      </c>
      <c r="C2074" s="10" t="n">
        <v>0.0007</v>
      </c>
      <c r="D2074" s="0" t="s">
        <v>7703</v>
      </c>
      <c r="E2074" s="0" t="s">
        <v>6323</v>
      </c>
      <c r="F2074" s="0" t="s">
        <v>6324</v>
      </c>
      <c r="G2074" s="0" t="s">
        <v>6325</v>
      </c>
    </row>
    <row r="2075" customFormat="false" ht="12.8" hidden="false" customHeight="false" outlineLevel="0" collapsed="false">
      <c r="A2075" s="9" t="s">
        <v>7704</v>
      </c>
      <c r="B2075" s="10" t="s">
        <v>7705</v>
      </c>
      <c r="C2075" s="10" t="n">
        <v>0.0008</v>
      </c>
      <c r="D2075" s="0" t="s">
        <v>7706</v>
      </c>
      <c r="E2075" s="0" t="s">
        <v>6323</v>
      </c>
      <c r="F2075" s="0" t="s">
        <v>6324</v>
      </c>
      <c r="G2075" s="0" t="s">
        <v>6325</v>
      </c>
    </row>
    <row r="2076" customFormat="false" ht="12.8" hidden="false" customHeight="false" outlineLevel="0" collapsed="false">
      <c r="A2076" s="9" t="s">
        <v>7707</v>
      </c>
      <c r="B2076" s="10" t="s">
        <v>7708</v>
      </c>
      <c r="C2076" s="10" t="n">
        <v>0.0007</v>
      </c>
      <c r="D2076" s="0" t="s">
        <v>7709</v>
      </c>
      <c r="E2076" s="0" t="s">
        <v>6323</v>
      </c>
      <c r="F2076" s="0" t="s">
        <v>6324</v>
      </c>
      <c r="G2076" s="0" t="s">
        <v>6325</v>
      </c>
    </row>
    <row r="2077" customFormat="false" ht="12.8" hidden="false" customHeight="false" outlineLevel="0" collapsed="false">
      <c r="A2077" s="9" t="s">
        <v>7710</v>
      </c>
      <c r="B2077" s="10" t="s">
        <v>7711</v>
      </c>
      <c r="C2077" s="10" t="n">
        <v>0.0009</v>
      </c>
      <c r="D2077" s="0" t="s">
        <v>7712</v>
      </c>
      <c r="E2077" s="0" t="s">
        <v>6323</v>
      </c>
      <c r="F2077" s="0" t="s">
        <v>6324</v>
      </c>
      <c r="G2077" s="0" t="s">
        <v>6325</v>
      </c>
    </row>
    <row r="2078" customFormat="false" ht="12.8" hidden="false" customHeight="false" outlineLevel="0" collapsed="false">
      <c r="A2078" s="9" t="s">
        <v>7713</v>
      </c>
      <c r="B2078" s="10" t="s">
        <v>7714</v>
      </c>
      <c r="C2078" s="10" t="n">
        <v>0.0005</v>
      </c>
      <c r="D2078" s="0" t="s">
        <v>7715</v>
      </c>
      <c r="E2078" s="0" t="s">
        <v>6323</v>
      </c>
      <c r="F2078" s="0" t="s">
        <v>6324</v>
      </c>
      <c r="G2078" s="0" t="s">
        <v>6325</v>
      </c>
    </row>
    <row r="2084" customFormat="false" ht="12.8" hidden="false" customHeight="false" outlineLevel="0" collapsed="false">
      <c r="A2084" s="9" t="s">
        <v>7716</v>
      </c>
      <c r="B2084" s="10" t="s">
        <v>7717</v>
      </c>
      <c r="C2084" s="10" t="n">
        <v>4.8</v>
      </c>
      <c r="D2084" s="0" t="s">
        <v>7718</v>
      </c>
      <c r="E2084" s="0" t="s">
        <v>6542</v>
      </c>
      <c r="F2084" s="0" t="s">
        <v>6543</v>
      </c>
      <c r="G2084" s="0" t="s">
        <v>6324</v>
      </c>
      <c r="H2084" s="0" t="s">
        <v>6325</v>
      </c>
    </row>
    <row r="2085" customFormat="false" ht="12.8" hidden="false" customHeight="false" outlineLevel="0" collapsed="false">
      <c r="A2085" s="9" t="s">
        <v>7719</v>
      </c>
      <c r="B2085" s="10" t="s">
        <v>7720</v>
      </c>
      <c r="C2085" s="10" t="n">
        <v>7.2</v>
      </c>
      <c r="D2085" s="0" t="s">
        <v>7721</v>
      </c>
      <c r="E2085" s="0" t="s">
        <v>6542</v>
      </c>
      <c r="F2085" s="0" t="s">
        <v>6543</v>
      </c>
      <c r="G2085" s="0" t="s">
        <v>6324</v>
      </c>
      <c r="H2085" s="0" t="s">
        <v>6325</v>
      </c>
    </row>
    <row r="2086" customFormat="false" ht="12.8" hidden="false" customHeight="false" outlineLevel="0" collapsed="false">
      <c r="A2086" s="9" t="s">
        <v>7722</v>
      </c>
      <c r="B2086" s="10" t="s">
        <v>7723</v>
      </c>
      <c r="C2086" s="10" t="n">
        <v>4.2</v>
      </c>
      <c r="D2086" s="0" t="s">
        <v>7724</v>
      </c>
      <c r="E2086" s="0" t="s">
        <v>6542</v>
      </c>
      <c r="F2086" s="0" t="s">
        <v>6543</v>
      </c>
      <c r="G2086" s="0" t="s">
        <v>6324</v>
      </c>
      <c r="H2086" s="0" t="s">
        <v>6325</v>
      </c>
    </row>
    <row r="2087" customFormat="false" ht="12.8" hidden="false" customHeight="false" outlineLevel="0" collapsed="false">
      <c r="A2087" s="9" t="s">
        <v>7725</v>
      </c>
      <c r="B2087" s="10" t="s">
        <v>7726</v>
      </c>
      <c r="C2087" s="10" t="n">
        <v>6</v>
      </c>
      <c r="D2087" s="0" t="s">
        <v>7727</v>
      </c>
      <c r="E2087" s="0" t="s">
        <v>6542</v>
      </c>
      <c r="F2087" s="0" t="s">
        <v>6543</v>
      </c>
      <c r="G2087" s="0" t="s">
        <v>6324</v>
      </c>
      <c r="H2087" s="0" t="s">
        <v>6325</v>
      </c>
    </row>
    <row r="2088" customFormat="false" ht="12.8" hidden="false" customHeight="false" outlineLevel="0" collapsed="false">
      <c r="A2088" s="9" t="s">
        <v>7728</v>
      </c>
      <c r="B2088" s="10" t="s">
        <v>7729</v>
      </c>
      <c r="C2088" s="10" t="n">
        <v>5.8</v>
      </c>
      <c r="D2088" s="0" t="s">
        <v>7730</v>
      </c>
      <c r="E2088" s="0" t="s">
        <v>6542</v>
      </c>
      <c r="F2088" s="0" t="s">
        <v>6543</v>
      </c>
      <c r="G2088" s="0" t="s">
        <v>6324</v>
      </c>
      <c r="H2088" s="0" t="s">
        <v>6325</v>
      </c>
    </row>
    <row r="2089" customFormat="false" ht="12.8" hidden="false" customHeight="false" outlineLevel="0" collapsed="false">
      <c r="A2089" s="9" t="s">
        <v>7731</v>
      </c>
      <c r="B2089" s="10" t="s">
        <v>7732</v>
      </c>
      <c r="C2089" s="10" t="n">
        <v>3.8</v>
      </c>
      <c r="D2089" s="0" t="s">
        <v>7733</v>
      </c>
      <c r="E2089" s="0" t="s">
        <v>6542</v>
      </c>
      <c r="F2089" s="0" t="s">
        <v>6543</v>
      </c>
      <c r="G2089" s="0" t="s">
        <v>6324</v>
      </c>
      <c r="H2089" s="0" t="s">
        <v>6325</v>
      </c>
    </row>
    <row r="2091" customFormat="false" ht="12.8" hidden="false" customHeight="false" outlineLevel="0" collapsed="false">
      <c r="A2091" s="9" t="s">
        <v>7734</v>
      </c>
      <c r="B2091" s="10" t="s">
        <v>7729</v>
      </c>
      <c r="C2091" s="10" t="n">
        <v>5.8</v>
      </c>
      <c r="D2091" s="0" t="s">
        <v>7730</v>
      </c>
      <c r="E2091" s="0" t="s">
        <v>6542</v>
      </c>
      <c r="F2091" s="0" t="s">
        <v>6543</v>
      </c>
      <c r="G2091" s="0" t="s">
        <v>6324</v>
      </c>
      <c r="H2091" s="0" t="s">
        <v>6325</v>
      </c>
    </row>
    <row r="2092" customFormat="false" ht="12.8" hidden="false" customHeight="false" outlineLevel="0" collapsed="false">
      <c r="A2092" s="9" t="s">
        <v>7735</v>
      </c>
      <c r="B2092" s="10" t="s">
        <v>7732</v>
      </c>
      <c r="C2092" s="10" t="n">
        <v>3.8</v>
      </c>
      <c r="D2092" s="0" t="s">
        <v>7733</v>
      </c>
      <c r="E2092" s="0" t="s">
        <v>6542</v>
      </c>
      <c r="F2092" s="0" t="s">
        <v>6543</v>
      </c>
      <c r="G2092" s="0" t="s">
        <v>6324</v>
      </c>
      <c r="H2092" s="0" t="s">
        <v>6325</v>
      </c>
    </row>
    <row r="2093" customFormat="false" ht="12.8" hidden="false" customHeight="false" outlineLevel="0" collapsed="false">
      <c r="A2093" s="9" t="s">
        <v>7736</v>
      </c>
      <c r="B2093" s="10" t="s">
        <v>7737</v>
      </c>
      <c r="C2093" s="10" t="n">
        <v>4.2</v>
      </c>
      <c r="D2093" s="0" t="s">
        <v>7738</v>
      </c>
      <c r="E2093" s="0" t="s">
        <v>6542</v>
      </c>
      <c r="F2093" s="0" t="s">
        <v>6543</v>
      </c>
      <c r="G2093" s="0" t="s">
        <v>6324</v>
      </c>
      <c r="H2093" s="0" t="s">
        <v>6325</v>
      </c>
    </row>
    <row r="2094" customFormat="false" ht="12.8" hidden="false" customHeight="false" outlineLevel="0" collapsed="false">
      <c r="A2094" s="9" t="s">
        <v>7739</v>
      </c>
      <c r="B2094" s="10" t="s">
        <v>7740</v>
      </c>
      <c r="C2094" s="10" t="n">
        <v>6.3</v>
      </c>
      <c r="D2094" s="0" t="s">
        <v>7741</v>
      </c>
      <c r="E2094" s="0" t="s">
        <v>6542</v>
      </c>
      <c r="F2094" s="0" t="s">
        <v>6543</v>
      </c>
      <c r="G2094" s="0" t="s">
        <v>6324</v>
      </c>
      <c r="H2094" s="0" t="s">
        <v>6325</v>
      </c>
    </row>
    <row r="2095" customFormat="false" ht="12.8" hidden="false" customHeight="false" outlineLevel="0" collapsed="false">
      <c r="A2095" s="9" t="s">
        <v>7742</v>
      </c>
      <c r="B2095" s="10" t="s">
        <v>7743</v>
      </c>
      <c r="C2095" s="10" t="n">
        <v>3.7</v>
      </c>
      <c r="D2095" s="0" t="s">
        <v>7744</v>
      </c>
      <c r="E2095" s="0" t="s">
        <v>6542</v>
      </c>
      <c r="F2095" s="0" t="s">
        <v>6543</v>
      </c>
      <c r="G2095" s="0" t="s">
        <v>6324</v>
      </c>
      <c r="H2095" s="0" t="s">
        <v>6325</v>
      </c>
    </row>
    <row r="2096" customFormat="false" ht="12.8" hidden="false" customHeight="false" outlineLevel="0" collapsed="false">
      <c r="A2096" s="9" t="s">
        <v>7745</v>
      </c>
      <c r="B2096" s="10" t="s">
        <v>7746</v>
      </c>
      <c r="C2096" s="10" t="n">
        <v>5.3</v>
      </c>
      <c r="D2096" s="0" t="s">
        <v>7747</v>
      </c>
      <c r="E2096" s="0" t="s">
        <v>6542</v>
      </c>
      <c r="F2096" s="0" t="s">
        <v>6543</v>
      </c>
      <c r="G2096" s="0" t="s">
        <v>6324</v>
      </c>
      <c r="H2096" s="0" t="s">
        <v>6325</v>
      </c>
    </row>
    <row r="2097" customFormat="false" ht="12.8" hidden="false" customHeight="false" outlineLevel="0" collapsed="false">
      <c r="A2097" s="9" t="s">
        <v>7748</v>
      </c>
      <c r="B2097" s="10" t="s">
        <v>7749</v>
      </c>
      <c r="C2097" s="10" t="n">
        <v>5.1</v>
      </c>
      <c r="D2097" s="0" t="s">
        <v>7750</v>
      </c>
      <c r="E2097" s="0" t="s">
        <v>6542</v>
      </c>
      <c r="F2097" s="0" t="s">
        <v>6543</v>
      </c>
      <c r="G2097" s="0" t="s">
        <v>6324</v>
      </c>
      <c r="H2097" s="0" t="s">
        <v>6325</v>
      </c>
    </row>
    <row r="2098" customFormat="false" ht="12.8" hidden="false" customHeight="false" outlineLevel="0" collapsed="false">
      <c r="A2098" s="9" t="s">
        <v>7751</v>
      </c>
      <c r="B2098" s="10" t="s">
        <v>7752</v>
      </c>
      <c r="C2098" s="10" t="n">
        <v>3.3</v>
      </c>
      <c r="D2098" s="0" t="s">
        <v>7753</v>
      </c>
      <c r="E2098" s="0" t="s">
        <v>6542</v>
      </c>
      <c r="F2098" s="0" t="s">
        <v>6543</v>
      </c>
      <c r="G2098" s="0" t="s">
        <v>6324</v>
      </c>
      <c r="H2098" s="0" t="s">
        <v>6325</v>
      </c>
    </row>
    <row r="2104" customFormat="false" ht="12.8" hidden="false" customHeight="false" outlineLevel="0" collapsed="false">
      <c r="A2104" s="9" t="s">
        <v>7754</v>
      </c>
      <c r="B2104" s="10" t="s">
        <v>7755</v>
      </c>
      <c r="C2104" s="10" t="n">
        <v>29000</v>
      </c>
      <c r="D2104" s="0" t="s">
        <v>7756</v>
      </c>
      <c r="E2104" s="0" t="s">
        <v>6589</v>
      </c>
      <c r="F2104" s="0" t="s">
        <v>6590</v>
      </c>
      <c r="G2104" s="0" t="s">
        <v>6324</v>
      </c>
      <c r="H2104" s="0" t="s">
        <v>6325</v>
      </c>
    </row>
    <row r="2105" customFormat="false" ht="12.8" hidden="false" customHeight="false" outlineLevel="0" collapsed="false">
      <c r="A2105" s="9" t="s">
        <v>7757</v>
      </c>
      <c r="B2105" s="10" t="s">
        <v>7758</v>
      </c>
      <c r="C2105" s="10" t="n">
        <v>46000</v>
      </c>
      <c r="D2105" s="0" t="s">
        <v>7759</v>
      </c>
      <c r="E2105" s="0" t="s">
        <v>6589</v>
      </c>
      <c r="F2105" s="0" t="s">
        <v>6590</v>
      </c>
      <c r="G2105" s="0" t="s">
        <v>6324</v>
      </c>
      <c r="H2105" s="0" t="s">
        <v>6325</v>
      </c>
    </row>
    <row r="2106" customFormat="false" ht="12.8" hidden="false" customHeight="false" outlineLevel="0" collapsed="false">
      <c r="A2106" s="9" t="s">
        <v>7760</v>
      </c>
      <c r="B2106" s="10" t="s">
        <v>7761</v>
      </c>
      <c r="C2106" s="10" t="n">
        <v>26000</v>
      </c>
      <c r="D2106" s="0" t="s">
        <v>7762</v>
      </c>
      <c r="E2106" s="0" t="s">
        <v>6589</v>
      </c>
      <c r="F2106" s="0" t="s">
        <v>6590</v>
      </c>
      <c r="G2106" s="0" t="s">
        <v>6324</v>
      </c>
      <c r="H2106" s="0" t="s">
        <v>6325</v>
      </c>
    </row>
    <row r="2107" customFormat="false" ht="12.8" hidden="false" customHeight="false" outlineLevel="0" collapsed="false">
      <c r="A2107" s="9" t="s">
        <v>7763</v>
      </c>
      <c r="B2107" s="10" t="s">
        <v>7764</v>
      </c>
      <c r="C2107" s="10" t="n">
        <v>35000</v>
      </c>
      <c r="D2107" s="0" t="s">
        <v>7765</v>
      </c>
      <c r="E2107" s="0" t="s">
        <v>6589</v>
      </c>
      <c r="F2107" s="0" t="s">
        <v>6590</v>
      </c>
      <c r="G2107" s="0" t="s">
        <v>6324</v>
      </c>
      <c r="H2107" s="0" t="s">
        <v>6325</v>
      </c>
    </row>
    <row r="2108" customFormat="false" ht="12.8" hidden="false" customHeight="false" outlineLevel="0" collapsed="false">
      <c r="A2108" s="9" t="s">
        <v>7766</v>
      </c>
      <c r="B2108" s="10" t="s">
        <v>7767</v>
      </c>
      <c r="C2108" s="10" t="n">
        <v>33000</v>
      </c>
      <c r="D2108" s="0" t="s">
        <v>7768</v>
      </c>
      <c r="E2108" s="0" t="s">
        <v>6589</v>
      </c>
      <c r="F2108" s="0" t="s">
        <v>6590</v>
      </c>
      <c r="G2108" s="0" t="s">
        <v>6324</v>
      </c>
      <c r="H2108" s="0" t="s">
        <v>6325</v>
      </c>
    </row>
    <row r="2109" customFormat="false" ht="12.8" hidden="false" customHeight="false" outlineLevel="0" collapsed="false">
      <c r="A2109" s="9" t="s">
        <v>7769</v>
      </c>
      <c r="B2109" s="10" t="s">
        <v>7770</v>
      </c>
      <c r="C2109" s="10" t="n">
        <v>22000</v>
      </c>
      <c r="D2109" s="0" t="s">
        <v>7771</v>
      </c>
      <c r="E2109" s="0" t="s">
        <v>6589</v>
      </c>
      <c r="F2109" s="0" t="s">
        <v>6590</v>
      </c>
      <c r="G2109" s="0" t="s">
        <v>6324</v>
      </c>
      <c r="H2109" s="0" t="s">
        <v>6325</v>
      </c>
    </row>
    <row r="2110" customFormat="false" ht="12.8" hidden="false" customHeight="false" outlineLevel="0" collapsed="false">
      <c r="A2110" s="9" t="s">
        <v>7772</v>
      </c>
      <c r="B2110" s="10" t="s">
        <v>7773</v>
      </c>
      <c r="C2110" s="10" t="n">
        <v>22000</v>
      </c>
      <c r="D2110" s="0" t="s">
        <v>7774</v>
      </c>
      <c r="E2110" s="0" t="s">
        <v>6589</v>
      </c>
      <c r="F2110" s="0" t="s">
        <v>6590</v>
      </c>
      <c r="G2110" s="0" t="s">
        <v>6324</v>
      </c>
      <c r="H2110" s="0" t="s">
        <v>6325</v>
      </c>
    </row>
    <row r="2111" customFormat="false" ht="12.8" hidden="false" customHeight="false" outlineLevel="0" collapsed="false">
      <c r="A2111" s="9" t="s">
        <v>7775</v>
      </c>
      <c r="B2111" s="10" t="s">
        <v>7776</v>
      </c>
      <c r="C2111" s="10" t="n">
        <v>30000</v>
      </c>
      <c r="D2111" s="0" t="s">
        <v>7777</v>
      </c>
      <c r="E2111" s="0" t="s">
        <v>6589</v>
      </c>
      <c r="F2111" s="0" t="s">
        <v>6590</v>
      </c>
      <c r="G2111" s="0" t="s">
        <v>6324</v>
      </c>
      <c r="H2111" s="0" t="s">
        <v>6325</v>
      </c>
    </row>
    <row r="2112" customFormat="false" ht="12.8" hidden="false" customHeight="false" outlineLevel="0" collapsed="false">
      <c r="A2112" s="9" t="s">
        <v>7778</v>
      </c>
      <c r="B2112" s="10" t="s">
        <v>7779</v>
      </c>
      <c r="C2112" s="10" t="n">
        <v>18000</v>
      </c>
      <c r="D2112" s="0" t="s">
        <v>7780</v>
      </c>
      <c r="E2112" s="0" t="s">
        <v>6589</v>
      </c>
      <c r="F2112" s="0" t="s">
        <v>6590</v>
      </c>
      <c r="G2112" s="0" t="s">
        <v>6324</v>
      </c>
      <c r="H2112" s="0" t="s">
        <v>6325</v>
      </c>
    </row>
    <row r="2113" customFormat="false" ht="12.8" hidden="false" customHeight="false" outlineLevel="0" collapsed="false">
      <c r="A2113" s="9" t="s">
        <v>7781</v>
      </c>
      <c r="B2113" s="10" t="s">
        <v>7782</v>
      </c>
      <c r="C2113" s="10" t="n">
        <v>25000</v>
      </c>
      <c r="D2113" s="0" t="s">
        <v>7783</v>
      </c>
      <c r="E2113" s="0" t="s">
        <v>6589</v>
      </c>
      <c r="F2113" s="0" t="s">
        <v>6590</v>
      </c>
      <c r="G2113" s="0" t="s">
        <v>6324</v>
      </c>
      <c r="H2113" s="0" t="s">
        <v>6325</v>
      </c>
    </row>
    <row r="2114" customFormat="false" ht="12.8" hidden="false" customHeight="false" outlineLevel="0" collapsed="false">
      <c r="A2114" s="9" t="s">
        <v>7784</v>
      </c>
      <c r="B2114" s="10" t="s">
        <v>7785</v>
      </c>
      <c r="C2114" s="10" t="n">
        <v>24000</v>
      </c>
      <c r="D2114" s="0" t="s">
        <v>7786</v>
      </c>
      <c r="E2114" s="0" t="s">
        <v>6589</v>
      </c>
      <c r="F2114" s="0" t="s">
        <v>6590</v>
      </c>
      <c r="G2114" s="0" t="s">
        <v>6324</v>
      </c>
      <c r="H2114" s="0" t="s">
        <v>6325</v>
      </c>
    </row>
    <row r="2115" customFormat="false" ht="12.8" hidden="false" customHeight="false" outlineLevel="0" collapsed="false">
      <c r="A2115" s="9" t="s">
        <v>7787</v>
      </c>
      <c r="B2115" s="10" t="s">
        <v>7788</v>
      </c>
      <c r="C2115" s="10" t="n">
        <v>16000</v>
      </c>
      <c r="D2115" s="0" t="s">
        <v>7789</v>
      </c>
      <c r="E2115" s="0" t="s">
        <v>6589</v>
      </c>
      <c r="F2115" s="0" t="s">
        <v>6590</v>
      </c>
      <c r="G2115" s="0" t="s">
        <v>6324</v>
      </c>
      <c r="H2115" s="0" t="s">
        <v>6325</v>
      </c>
    </row>
    <row r="2121" customFormat="false" ht="12.8" hidden="false" customHeight="false" outlineLevel="0" collapsed="false">
      <c r="A2121" s="9" t="s">
        <v>7790</v>
      </c>
      <c r="B2121" s="10" t="s">
        <v>7791</v>
      </c>
      <c r="C2121" s="10" t="n">
        <v>9500000</v>
      </c>
      <c r="D2121" s="0" t="s">
        <v>7792</v>
      </c>
      <c r="E2121" s="0" t="s">
        <v>6636</v>
      </c>
      <c r="F2121" s="0" t="s">
        <v>6323</v>
      </c>
      <c r="G2121" s="0" t="s">
        <v>6324</v>
      </c>
      <c r="H2121" s="0" t="s">
        <v>6325</v>
      </c>
    </row>
    <row r="2122" customFormat="false" ht="12.8" hidden="false" customHeight="false" outlineLevel="0" collapsed="false">
      <c r="A2122" s="9" t="s">
        <v>7793</v>
      </c>
      <c r="B2122" s="10" t="s">
        <v>7794</v>
      </c>
      <c r="C2122" s="10" t="n">
        <v>6000000</v>
      </c>
      <c r="D2122" s="0" t="s">
        <v>7795</v>
      </c>
      <c r="E2122" s="0" t="s">
        <v>6636</v>
      </c>
      <c r="F2122" s="0" t="s">
        <v>6323</v>
      </c>
      <c r="G2122" s="0" t="s">
        <v>6324</v>
      </c>
      <c r="H2122" s="0" t="s">
        <v>6325</v>
      </c>
    </row>
    <row r="2123" customFormat="false" ht="12.8" hidden="false" customHeight="false" outlineLevel="0" collapsed="false">
      <c r="A2123" s="9" t="s">
        <v>7796</v>
      </c>
      <c r="B2123" s="10" t="s">
        <v>7797</v>
      </c>
      <c r="C2123" s="10" t="n">
        <v>3800000</v>
      </c>
      <c r="D2123" s="0" t="s">
        <v>7798</v>
      </c>
      <c r="E2123" s="0" t="s">
        <v>6636</v>
      </c>
      <c r="F2123" s="0" t="s">
        <v>6323</v>
      </c>
      <c r="G2123" s="0" t="s">
        <v>6324</v>
      </c>
      <c r="H2123" s="0" t="s">
        <v>6325</v>
      </c>
    </row>
    <row r="2124" customFormat="false" ht="12.8" hidden="false" customHeight="false" outlineLevel="0" collapsed="false">
      <c r="A2124" s="9" t="s">
        <v>7799</v>
      </c>
      <c r="B2124" s="10" t="s">
        <v>7800</v>
      </c>
      <c r="C2124" s="10" t="n">
        <v>2700000</v>
      </c>
      <c r="D2124" s="0" t="s">
        <v>7801</v>
      </c>
      <c r="E2124" s="0" t="s">
        <v>6636</v>
      </c>
      <c r="F2124" s="0" t="s">
        <v>6323</v>
      </c>
      <c r="G2124" s="0" t="s">
        <v>6324</v>
      </c>
      <c r="H2124" s="0" t="s">
        <v>6325</v>
      </c>
    </row>
    <row r="2125" customFormat="false" ht="12.8" hidden="false" customHeight="false" outlineLevel="0" collapsed="false">
      <c r="A2125" s="9" t="s">
        <v>7802</v>
      </c>
      <c r="B2125" s="10" t="s">
        <v>7803</v>
      </c>
      <c r="C2125" s="10" t="n">
        <v>800000</v>
      </c>
      <c r="D2125" s="0" t="s">
        <v>7804</v>
      </c>
      <c r="E2125" s="0" t="s">
        <v>6636</v>
      </c>
      <c r="F2125" s="0" t="s">
        <v>6323</v>
      </c>
      <c r="G2125" s="0" t="s">
        <v>6324</v>
      </c>
      <c r="H2125" s="0" t="s">
        <v>6325</v>
      </c>
    </row>
    <row r="2126" customFormat="false" ht="12.8" hidden="false" customHeight="false" outlineLevel="0" collapsed="false">
      <c r="A2126" s="9" t="s">
        <v>7805</v>
      </c>
      <c r="B2126" s="10" t="s">
        <v>7806</v>
      </c>
      <c r="C2126" s="10" t="n">
        <v>11000000</v>
      </c>
      <c r="D2126" s="0" t="s">
        <v>7807</v>
      </c>
      <c r="E2126" s="0" t="s">
        <v>6636</v>
      </c>
      <c r="F2126" s="0" t="s">
        <v>6323</v>
      </c>
      <c r="G2126" s="0" t="s">
        <v>6324</v>
      </c>
      <c r="H2126" s="0" t="s">
        <v>6325</v>
      </c>
    </row>
    <row r="2127" customFormat="false" ht="12.8" hidden="false" customHeight="false" outlineLevel="0" collapsed="false">
      <c r="A2127" s="9" t="s">
        <v>7808</v>
      </c>
      <c r="B2127" s="10" t="s">
        <v>7809</v>
      </c>
      <c r="C2127" s="10" t="n">
        <v>1872000</v>
      </c>
      <c r="D2127" s="0" t="s">
        <v>7810</v>
      </c>
      <c r="E2127" s="0" t="s">
        <v>6636</v>
      </c>
      <c r="F2127" s="0" t="s">
        <v>6323</v>
      </c>
      <c r="G2127" s="0" t="s">
        <v>6324</v>
      </c>
      <c r="H2127" s="0" t="s">
        <v>6325</v>
      </c>
    </row>
    <row r="2128" customFormat="false" ht="12.8" hidden="false" customHeight="false" outlineLevel="0" collapsed="false">
      <c r="A2128" s="9" t="s">
        <v>7811</v>
      </c>
      <c r="B2128" s="10" t="s">
        <v>7812</v>
      </c>
      <c r="C2128" s="10" t="n">
        <v>1188000</v>
      </c>
      <c r="D2128" s="0" t="s">
        <v>7813</v>
      </c>
      <c r="E2128" s="0" t="s">
        <v>6636</v>
      </c>
      <c r="F2128" s="0" t="s">
        <v>6323</v>
      </c>
      <c r="G2128" s="0" t="s">
        <v>6324</v>
      </c>
      <c r="H2128" s="0" t="s">
        <v>6325</v>
      </c>
    </row>
    <row r="2129" customFormat="false" ht="12.8" hidden="false" customHeight="false" outlineLevel="0" collapsed="false">
      <c r="A2129" s="9" t="s">
        <v>7814</v>
      </c>
      <c r="B2129" s="10" t="s">
        <v>7815</v>
      </c>
      <c r="C2129" s="10" t="n">
        <v>756000</v>
      </c>
      <c r="D2129" s="0" t="s">
        <v>7816</v>
      </c>
      <c r="E2129" s="0" t="s">
        <v>6636</v>
      </c>
      <c r="F2129" s="0" t="s">
        <v>6323</v>
      </c>
      <c r="G2129" s="0" t="s">
        <v>6324</v>
      </c>
      <c r="H2129" s="0" t="s">
        <v>6325</v>
      </c>
    </row>
    <row r="2130" customFormat="false" ht="12.8" hidden="false" customHeight="false" outlineLevel="0" collapsed="false">
      <c r="A2130" s="9" t="s">
        <v>7817</v>
      </c>
      <c r="B2130" s="10" t="s">
        <v>7818</v>
      </c>
      <c r="C2130" s="10" t="n">
        <v>540000</v>
      </c>
      <c r="D2130" s="0" t="s">
        <v>7819</v>
      </c>
      <c r="E2130" s="0" t="s">
        <v>6636</v>
      </c>
      <c r="F2130" s="0" t="s">
        <v>6323</v>
      </c>
      <c r="G2130" s="0" t="s">
        <v>6324</v>
      </c>
      <c r="H2130" s="0" t="s">
        <v>6325</v>
      </c>
    </row>
    <row r="2132" customFormat="false" ht="12.8" hidden="false" customHeight="false" outlineLevel="0" collapsed="false">
      <c r="A2132" s="9" t="s">
        <v>7820</v>
      </c>
      <c r="B2132" s="10" t="s">
        <v>7821</v>
      </c>
      <c r="C2132" s="10" t="n">
        <v>162000</v>
      </c>
      <c r="D2132" s="0" t="s">
        <v>7822</v>
      </c>
      <c r="E2132" s="0" t="s">
        <v>6636</v>
      </c>
      <c r="F2132" s="0" t="s">
        <v>6323</v>
      </c>
      <c r="G2132" s="0" t="s">
        <v>6324</v>
      </c>
      <c r="H2132" s="0" t="s">
        <v>6325</v>
      </c>
    </row>
    <row r="2133" customFormat="false" ht="12.8" hidden="false" customHeight="false" outlineLevel="0" collapsed="false">
      <c r="A2133" s="9" t="s">
        <v>7823</v>
      </c>
      <c r="B2133" s="10" t="s">
        <v>7824</v>
      </c>
      <c r="C2133" s="10" t="n">
        <v>216000</v>
      </c>
      <c r="D2133" s="0" t="s">
        <v>7825</v>
      </c>
      <c r="E2133" s="0" t="s">
        <v>6636</v>
      </c>
      <c r="F2133" s="0" t="s">
        <v>6323</v>
      </c>
      <c r="G2133" s="0" t="s">
        <v>6324</v>
      </c>
      <c r="H2133" s="0" t="s">
        <v>6325</v>
      </c>
    </row>
    <row r="2139" customFormat="false" ht="12.8" hidden="false" customHeight="false" outlineLevel="0" collapsed="false">
      <c r="A2139" s="9" t="s">
        <v>7826</v>
      </c>
      <c r="B2139" s="10" t="s">
        <v>7314</v>
      </c>
      <c r="C2139" s="10" t="n">
        <v>4200000</v>
      </c>
      <c r="D2139" s="0" t="s">
        <v>7315</v>
      </c>
      <c r="E2139" s="0" t="s">
        <v>6636</v>
      </c>
      <c r="F2139" s="0" t="s">
        <v>6323</v>
      </c>
      <c r="G2139" s="0" t="s">
        <v>6324</v>
      </c>
      <c r="H2139" s="0" t="s">
        <v>6325</v>
      </c>
    </row>
    <row r="2140" customFormat="false" ht="12.8" hidden="false" customHeight="false" outlineLevel="0" collapsed="false">
      <c r="A2140" s="9" t="s">
        <v>7827</v>
      </c>
      <c r="B2140" s="10" t="s">
        <v>7317</v>
      </c>
      <c r="C2140" s="10" t="n">
        <v>3200000</v>
      </c>
      <c r="D2140" s="0" t="s">
        <v>7318</v>
      </c>
      <c r="E2140" s="0" t="s">
        <v>6636</v>
      </c>
      <c r="F2140" s="0" t="s">
        <v>6323</v>
      </c>
      <c r="G2140" s="0" t="s">
        <v>6324</v>
      </c>
      <c r="H2140" s="0" t="s">
        <v>6325</v>
      </c>
    </row>
    <row r="2141" customFormat="false" ht="12.8" hidden="false" customHeight="false" outlineLevel="0" collapsed="false">
      <c r="A2141" s="9" t="s">
        <v>7828</v>
      </c>
      <c r="B2141" s="10" t="s">
        <v>7320</v>
      </c>
      <c r="C2141" s="10" t="n">
        <v>1700000</v>
      </c>
      <c r="D2141" s="0" t="s">
        <v>7321</v>
      </c>
      <c r="E2141" s="0" t="s">
        <v>6636</v>
      </c>
      <c r="F2141" s="0" t="s">
        <v>6323</v>
      </c>
      <c r="G2141" s="0" t="s">
        <v>6324</v>
      </c>
      <c r="H2141" s="0" t="s">
        <v>6325</v>
      </c>
    </row>
    <row r="2142" customFormat="false" ht="12.8" hidden="false" customHeight="false" outlineLevel="0" collapsed="false">
      <c r="A2142" s="9" t="s">
        <v>7829</v>
      </c>
      <c r="B2142" s="10" t="s">
        <v>7323</v>
      </c>
      <c r="C2142" s="10" t="n">
        <v>1400000</v>
      </c>
      <c r="D2142" s="0" t="s">
        <v>7324</v>
      </c>
      <c r="E2142" s="0" t="s">
        <v>6636</v>
      </c>
      <c r="F2142" s="0" t="s">
        <v>6323</v>
      </c>
      <c r="G2142" s="0" t="s">
        <v>6324</v>
      </c>
      <c r="H2142" s="0" t="s">
        <v>6325</v>
      </c>
    </row>
    <row r="2143" customFormat="false" ht="12.8" hidden="false" customHeight="false" outlineLevel="0" collapsed="false">
      <c r="A2143" s="9" t="s">
        <v>7830</v>
      </c>
      <c r="B2143" s="10" t="s">
        <v>7326</v>
      </c>
      <c r="C2143" s="10" t="n">
        <v>450000</v>
      </c>
      <c r="D2143" s="0" t="s">
        <v>7327</v>
      </c>
      <c r="E2143" s="0" t="s">
        <v>6636</v>
      </c>
      <c r="F2143" s="0" t="s">
        <v>6323</v>
      </c>
      <c r="G2143" s="0" t="s">
        <v>6324</v>
      </c>
      <c r="H2143" s="0" t="s">
        <v>6325</v>
      </c>
    </row>
    <row r="2144" customFormat="false" ht="12.8" hidden="false" customHeight="false" outlineLevel="0" collapsed="false">
      <c r="A2144" s="9" t="s">
        <v>7831</v>
      </c>
      <c r="B2144" s="10" t="s">
        <v>7329</v>
      </c>
      <c r="C2144" s="10" t="n">
        <v>5000000</v>
      </c>
      <c r="D2144" s="0" t="s">
        <v>7330</v>
      </c>
      <c r="E2144" s="0" t="s">
        <v>6636</v>
      </c>
      <c r="F2144" s="0" t="s">
        <v>6323</v>
      </c>
      <c r="G2144" s="0" t="s">
        <v>6324</v>
      </c>
      <c r="H2144" s="0" t="s">
        <v>6325</v>
      </c>
    </row>
    <row r="2145" customFormat="false" ht="12.8" hidden="false" customHeight="false" outlineLevel="0" collapsed="false">
      <c r="A2145" s="9" t="s">
        <v>7832</v>
      </c>
      <c r="B2145" s="10" t="s">
        <v>7332</v>
      </c>
      <c r="C2145" s="10" t="n">
        <v>1800000</v>
      </c>
      <c r="D2145" s="0" t="s">
        <v>7333</v>
      </c>
      <c r="E2145" s="0" t="s">
        <v>6636</v>
      </c>
      <c r="F2145" s="0" t="s">
        <v>6323</v>
      </c>
      <c r="G2145" s="0" t="s">
        <v>6324</v>
      </c>
      <c r="H2145" s="0" t="s">
        <v>6325</v>
      </c>
    </row>
    <row r="2146" customFormat="false" ht="12.8" hidden="false" customHeight="false" outlineLevel="0" collapsed="false">
      <c r="A2146" s="9" t="s">
        <v>7833</v>
      </c>
      <c r="B2146" s="10" t="s">
        <v>7335</v>
      </c>
      <c r="C2146" s="10" t="n">
        <v>1200000</v>
      </c>
      <c r="D2146" s="0" t="s">
        <v>7336</v>
      </c>
      <c r="E2146" s="0" t="s">
        <v>6636</v>
      </c>
      <c r="F2146" s="0" t="s">
        <v>6323</v>
      </c>
      <c r="G2146" s="0" t="s">
        <v>6324</v>
      </c>
      <c r="H2146" s="0" t="s">
        <v>6325</v>
      </c>
    </row>
    <row r="2147" customFormat="false" ht="12.8" hidden="false" customHeight="false" outlineLevel="0" collapsed="false">
      <c r="A2147" s="9" t="s">
        <v>7834</v>
      </c>
      <c r="B2147" s="10" t="s">
        <v>7338</v>
      </c>
      <c r="C2147" s="10" t="n">
        <v>800000</v>
      </c>
      <c r="D2147" s="0" t="s">
        <v>7339</v>
      </c>
      <c r="E2147" s="0" t="s">
        <v>6636</v>
      </c>
      <c r="F2147" s="0" t="s">
        <v>6323</v>
      </c>
      <c r="G2147" s="0" t="s">
        <v>6324</v>
      </c>
      <c r="H2147" s="0" t="s">
        <v>6325</v>
      </c>
    </row>
    <row r="2148" customFormat="false" ht="12.8" hidden="false" customHeight="false" outlineLevel="0" collapsed="false">
      <c r="A2148" s="9" t="s">
        <v>7835</v>
      </c>
      <c r="B2148" s="10" t="s">
        <v>7341</v>
      </c>
      <c r="C2148" s="10" t="n">
        <v>700000</v>
      </c>
      <c r="D2148" s="0" t="s">
        <v>7342</v>
      </c>
      <c r="E2148" s="0" t="s">
        <v>6636</v>
      </c>
      <c r="F2148" s="0" t="s">
        <v>6323</v>
      </c>
      <c r="G2148" s="0" t="s">
        <v>6324</v>
      </c>
      <c r="H2148" s="0" t="s">
        <v>6325</v>
      </c>
    </row>
    <row r="2149" customFormat="false" ht="12.8" hidden="false" customHeight="false" outlineLevel="0" collapsed="false">
      <c r="A2149" s="9" t="s">
        <v>7836</v>
      </c>
      <c r="B2149" s="10" t="s">
        <v>7344</v>
      </c>
      <c r="C2149" s="10" t="n">
        <v>300000</v>
      </c>
      <c r="D2149" s="0" t="s">
        <v>7345</v>
      </c>
      <c r="E2149" s="0" t="s">
        <v>6636</v>
      </c>
      <c r="F2149" s="0" t="s">
        <v>6323</v>
      </c>
      <c r="G2149" s="0" t="s">
        <v>6324</v>
      </c>
      <c r="H2149" s="0" t="s">
        <v>6325</v>
      </c>
    </row>
    <row r="2150" customFormat="false" ht="12.8" hidden="false" customHeight="false" outlineLevel="0" collapsed="false">
      <c r="A2150" s="9" t="s">
        <v>7837</v>
      </c>
      <c r="B2150" s="10" t="s">
        <v>7347</v>
      </c>
      <c r="C2150" s="10" t="n">
        <v>2500000</v>
      </c>
      <c r="D2150" s="0" t="s">
        <v>7348</v>
      </c>
      <c r="E2150" s="0" t="s">
        <v>6636</v>
      </c>
      <c r="F2150" s="0" t="s">
        <v>6323</v>
      </c>
      <c r="G2150" s="0" t="s">
        <v>6324</v>
      </c>
      <c r="H2150" s="0" t="s">
        <v>6325</v>
      </c>
    </row>
    <row r="2156" customFormat="false" ht="12.8" hidden="false" customHeight="false" outlineLevel="0" collapsed="false">
      <c r="A2156" s="9" t="s">
        <v>7838</v>
      </c>
      <c r="B2156" s="10" t="s">
        <v>7350</v>
      </c>
      <c r="C2156" s="10" t="n">
        <v>6600000</v>
      </c>
      <c r="D2156" s="0" t="s">
        <v>7351</v>
      </c>
      <c r="E2156" s="0" t="s">
        <v>6636</v>
      </c>
      <c r="F2156" s="0" t="s">
        <v>6323</v>
      </c>
      <c r="G2156" s="0" t="s">
        <v>6324</v>
      </c>
      <c r="H2156" s="0" t="s">
        <v>6325</v>
      </c>
    </row>
    <row r="2157" customFormat="false" ht="12.8" hidden="false" customHeight="false" outlineLevel="0" collapsed="false">
      <c r="A2157" s="9" t="s">
        <v>7839</v>
      </c>
      <c r="B2157" s="10" t="s">
        <v>7353</v>
      </c>
      <c r="C2157" s="10" t="n">
        <v>5000000</v>
      </c>
      <c r="D2157" s="0" t="s">
        <v>7354</v>
      </c>
      <c r="E2157" s="0" t="s">
        <v>6636</v>
      </c>
      <c r="F2157" s="0" t="s">
        <v>6323</v>
      </c>
      <c r="G2157" s="0" t="s">
        <v>6324</v>
      </c>
      <c r="H2157" s="0" t="s">
        <v>6325</v>
      </c>
    </row>
    <row r="2158" customFormat="false" ht="12.8" hidden="false" customHeight="false" outlineLevel="0" collapsed="false">
      <c r="A2158" s="9" t="s">
        <v>7840</v>
      </c>
      <c r="B2158" s="10" t="s">
        <v>7356</v>
      </c>
      <c r="C2158" s="10" t="n">
        <v>2700000</v>
      </c>
      <c r="D2158" s="0" t="s">
        <v>7357</v>
      </c>
      <c r="E2158" s="0" t="s">
        <v>6636</v>
      </c>
      <c r="F2158" s="0" t="s">
        <v>6323</v>
      </c>
      <c r="G2158" s="0" t="s">
        <v>6324</v>
      </c>
      <c r="H2158" s="0" t="s">
        <v>6325</v>
      </c>
    </row>
    <row r="2159" customFormat="false" ht="12.8" hidden="false" customHeight="false" outlineLevel="0" collapsed="false">
      <c r="A2159" s="9" t="s">
        <v>7841</v>
      </c>
      <c r="B2159" s="10" t="s">
        <v>7359</v>
      </c>
      <c r="C2159" s="10" t="n">
        <v>2200000</v>
      </c>
      <c r="D2159" s="0" t="s">
        <v>7360</v>
      </c>
      <c r="E2159" s="0" t="s">
        <v>6636</v>
      </c>
      <c r="F2159" s="0" t="s">
        <v>6323</v>
      </c>
      <c r="G2159" s="0" t="s">
        <v>6324</v>
      </c>
      <c r="H2159" s="0" t="s">
        <v>6325</v>
      </c>
    </row>
    <row r="2160" customFormat="false" ht="12.8" hidden="false" customHeight="false" outlineLevel="0" collapsed="false">
      <c r="A2160" s="9" t="s">
        <v>7842</v>
      </c>
      <c r="B2160" s="10" t="s">
        <v>7362</v>
      </c>
      <c r="C2160" s="10" t="n">
        <v>700000</v>
      </c>
      <c r="D2160" s="0" t="s">
        <v>7363</v>
      </c>
      <c r="E2160" s="0" t="s">
        <v>6636</v>
      </c>
      <c r="F2160" s="0" t="s">
        <v>6323</v>
      </c>
      <c r="G2160" s="0" t="s">
        <v>6324</v>
      </c>
      <c r="H2160" s="0" t="s">
        <v>6325</v>
      </c>
    </row>
    <row r="2161" customFormat="false" ht="12.8" hidden="false" customHeight="false" outlineLevel="0" collapsed="false">
      <c r="A2161" s="9" t="s">
        <v>7843</v>
      </c>
      <c r="B2161" s="10" t="s">
        <v>7365</v>
      </c>
      <c r="C2161" s="10" t="n">
        <v>7800000</v>
      </c>
      <c r="D2161" s="0" t="s">
        <v>7366</v>
      </c>
      <c r="E2161" s="0" t="s">
        <v>6636</v>
      </c>
      <c r="F2161" s="0" t="s">
        <v>6323</v>
      </c>
      <c r="G2161" s="0" t="s">
        <v>6324</v>
      </c>
      <c r="H2161" s="0" t="s">
        <v>6325</v>
      </c>
    </row>
    <row r="2162" customFormat="false" ht="12.8" hidden="false" customHeight="false" outlineLevel="0" collapsed="false">
      <c r="A2162" s="9" t="s">
        <v>7844</v>
      </c>
      <c r="B2162" s="10" t="s">
        <v>7368</v>
      </c>
      <c r="C2162" s="10" t="n">
        <v>2900000</v>
      </c>
      <c r="D2162" s="0" t="s">
        <v>7369</v>
      </c>
      <c r="E2162" s="0" t="s">
        <v>6636</v>
      </c>
      <c r="F2162" s="0" t="s">
        <v>6323</v>
      </c>
      <c r="G2162" s="0" t="s">
        <v>6324</v>
      </c>
      <c r="H2162" s="0" t="s">
        <v>6325</v>
      </c>
    </row>
    <row r="2163" customFormat="false" ht="12.8" hidden="false" customHeight="false" outlineLevel="0" collapsed="false">
      <c r="A2163" s="9" t="s">
        <v>7845</v>
      </c>
      <c r="B2163" s="10" t="s">
        <v>7371</v>
      </c>
      <c r="C2163" s="10" t="n">
        <v>1500000</v>
      </c>
      <c r="D2163" s="0" t="s">
        <v>7372</v>
      </c>
      <c r="E2163" s="0" t="s">
        <v>6636</v>
      </c>
      <c r="F2163" s="0" t="s">
        <v>6323</v>
      </c>
      <c r="G2163" s="0" t="s">
        <v>6324</v>
      </c>
      <c r="H2163" s="0" t="s">
        <v>6325</v>
      </c>
    </row>
    <row r="2164" customFormat="false" ht="12.8" hidden="false" customHeight="false" outlineLevel="0" collapsed="false">
      <c r="A2164" s="9" t="s">
        <v>7846</v>
      </c>
      <c r="B2164" s="10" t="s">
        <v>7374</v>
      </c>
      <c r="C2164" s="10" t="n">
        <v>1100000</v>
      </c>
      <c r="D2164" s="0" t="s">
        <v>7375</v>
      </c>
      <c r="E2164" s="0" t="s">
        <v>6636</v>
      </c>
      <c r="F2164" s="0" t="s">
        <v>6323</v>
      </c>
      <c r="G2164" s="0" t="s">
        <v>6324</v>
      </c>
      <c r="H2164" s="0" t="s">
        <v>6325</v>
      </c>
    </row>
    <row r="2165" customFormat="false" ht="12.8" hidden="false" customHeight="false" outlineLevel="0" collapsed="false">
      <c r="A2165" s="9" t="s">
        <v>7847</v>
      </c>
      <c r="B2165" s="10" t="s">
        <v>7377</v>
      </c>
      <c r="C2165" s="10" t="n">
        <v>900000</v>
      </c>
      <c r="D2165" s="0" t="s">
        <v>7378</v>
      </c>
      <c r="E2165" s="0" t="s">
        <v>6636</v>
      </c>
      <c r="F2165" s="0" t="s">
        <v>6323</v>
      </c>
      <c r="G2165" s="0" t="s">
        <v>6324</v>
      </c>
      <c r="H2165" s="0" t="s">
        <v>6325</v>
      </c>
    </row>
    <row r="2166" customFormat="false" ht="12.8" hidden="false" customHeight="false" outlineLevel="0" collapsed="false">
      <c r="A2166" s="9" t="s">
        <v>7848</v>
      </c>
      <c r="B2166" s="10" t="s">
        <v>7380</v>
      </c>
      <c r="C2166" s="10" t="n">
        <v>600000</v>
      </c>
      <c r="D2166" s="0" t="s">
        <v>7381</v>
      </c>
      <c r="E2166" s="0" t="s">
        <v>6636</v>
      </c>
      <c r="F2166" s="0" t="s">
        <v>6323</v>
      </c>
      <c r="G2166" s="0" t="s">
        <v>6324</v>
      </c>
      <c r="H2166" s="0" t="s">
        <v>6325</v>
      </c>
    </row>
    <row r="2168" customFormat="false" ht="12.8" hidden="false" customHeight="false" outlineLevel="0" collapsed="false">
      <c r="A2168" s="9" t="s">
        <v>7820</v>
      </c>
      <c r="B2168" s="10" t="s">
        <v>7821</v>
      </c>
      <c r="C2168" s="10" t="n">
        <v>162000</v>
      </c>
      <c r="D2168" s="0" t="s">
        <v>7822</v>
      </c>
      <c r="E2168" s="0" t="s">
        <v>6636</v>
      </c>
      <c r="F2168" s="0" t="s">
        <v>6323</v>
      </c>
      <c r="G2168" s="0" t="s">
        <v>6324</v>
      </c>
      <c r="H2168" s="0" t="s">
        <v>6325</v>
      </c>
    </row>
    <row r="2169" customFormat="false" ht="12.8" hidden="false" customHeight="false" outlineLevel="0" collapsed="false">
      <c r="A2169" s="9" t="s">
        <v>7823</v>
      </c>
      <c r="B2169" s="10" t="s">
        <v>7824</v>
      </c>
      <c r="C2169" s="10" t="n">
        <v>216000</v>
      </c>
      <c r="D2169" s="0" t="s">
        <v>7825</v>
      </c>
      <c r="E2169" s="0" t="s">
        <v>6636</v>
      </c>
      <c r="F2169" s="0" t="s">
        <v>6323</v>
      </c>
      <c r="G2169" s="0" t="s">
        <v>6324</v>
      </c>
      <c r="H2169" s="0" t="s">
        <v>6325</v>
      </c>
    </row>
    <row r="2175" customFormat="false" ht="12.8" hidden="false" customHeight="false" outlineLevel="0" collapsed="false">
      <c r="A2175" s="9" t="s">
        <v>7826</v>
      </c>
      <c r="B2175" s="10" t="s">
        <v>7314</v>
      </c>
      <c r="C2175" s="10" t="n">
        <v>4200000</v>
      </c>
      <c r="D2175" s="0" t="s">
        <v>7315</v>
      </c>
      <c r="E2175" s="0" t="s">
        <v>6636</v>
      </c>
      <c r="F2175" s="0" t="s">
        <v>6323</v>
      </c>
      <c r="G2175" s="0" t="s">
        <v>6324</v>
      </c>
      <c r="H2175" s="0" t="s">
        <v>6325</v>
      </c>
    </row>
    <row r="2176" customFormat="false" ht="12.8" hidden="false" customHeight="false" outlineLevel="0" collapsed="false">
      <c r="A2176" s="9" t="s">
        <v>7827</v>
      </c>
      <c r="B2176" s="10" t="s">
        <v>7317</v>
      </c>
      <c r="C2176" s="10" t="n">
        <v>3200000</v>
      </c>
      <c r="D2176" s="0" t="s">
        <v>7318</v>
      </c>
      <c r="E2176" s="0" t="s">
        <v>6636</v>
      </c>
      <c r="F2176" s="0" t="s">
        <v>6323</v>
      </c>
      <c r="G2176" s="0" t="s">
        <v>6324</v>
      </c>
      <c r="H2176" s="0" t="s">
        <v>6325</v>
      </c>
    </row>
    <row r="2177" customFormat="false" ht="12.8" hidden="false" customHeight="false" outlineLevel="0" collapsed="false">
      <c r="A2177" s="9" t="s">
        <v>7828</v>
      </c>
      <c r="B2177" s="10" t="s">
        <v>7320</v>
      </c>
      <c r="C2177" s="10" t="n">
        <v>1700000</v>
      </c>
      <c r="D2177" s="0" t="s">
        <v>7321</v>
      </c>
      <c r="E2177" s="0" t="s">
        <v>6636</v>
      </c>
      <c r="F2177" s="0" t="s">
        <v>6323</v>
      </c>
      <c r="G2177" s="0" t="s">
        <v>6324</v>
      </c>
      <c r="H2177" s="0" t="s">
        <v>6325</v>
      </c>
    </row>
    <row r="2178" customFormat="false" ht="12.8" hidden="false" customHeight="false" outlineLevel="0" collapsed="false">
      <c r="A2178" s="9" t="s">
        <v>7829</v>
      </c>
      <c r="B2178" s="10" t="s">
        <v>7323</v>
      </c>
      <c r="C2178" s="10" t="n">
        <v>1400000</v>
      </c>
      <c r="D2178" s="0" t="s">
        <v>7324</v>
      </c>
      <c r="E2178" s="0" t="s">
        <v>6636</v>
      </c>
      <c r="F2178" s="0" t="s">
        <v>6323</v>
      </c>
      <c r="G2178" s="0" t="s">
        <v>6324</v>
      </c>
      <c r="H2178" s="0" t="s">
        <v>6325</v>
      </c>
    </row>
    <row r="2179" customFormat="false" ht="12.8" hidden="false" customHeight="false" outlineLevel="0" collapsed="false">
      <c r="A2179" s="9" t="s">
        <v>7830</v>
      </c>
      <c r="B2179" s="10" t="s">
        <v>7326</v>
      </c>
      <c r="C2179" s="10" t="n">
        <v>450000</v>
      </c>
      <c r="D2179" s="0" t="s">
        <v>7327</v>
      </c>
      <c r="E2179" s="0" t="s">
        <v>6636</v>
      </c>
      <c r="F2179" s="0" t="s">
        <v>6323</v>
      </c>
      <c r="G2179" s="0" t="s">
        <v>6324</v>
      </c>
      <c r="H2179" s="0" t="s">
        <v>6325</v>
      </c>
    </row>
    <row r="2180" customFormat="false" ht="12.8" hidden="false" customHeight="false" outlineLevel="0" collapsed="false">
      <c r="A2180" s="9" t="s">
        <v>7831</v>
      </c>
      <c r="B2180" s="10" t="s">
        <v>7329</v>
      </c>
      <c r="C2180" s="10" t="n">
        <v>5000000</v>
      </c>
      <c r="D2180" s="0" t="s">
        <v>7330</v>
      </c>
      <c r="E2180" s="0" t="s">
        <v>6636</v>
      </c>
      <c r="F2180" s="0" t="s">
        <v>6323</v>
      </c>
      <c r="G2180" s="0" t="s">
        <v>6324</v>
      </c>
      <c r="H2180" s="0" t="s">
        <v>6325</v>
      </c>
    </row>
    <row r="2181" customFormat="false" ht="12.8" hidden="false" customHeight="false" outlineLevel="0" collapsed="false">
      <c r="A2181" s="9" t="s">
        <v>7832</v>
      </c>
      <c r="B2181" s="10" t="s">
        <v>7332</v>
      </c>
      <c r="C2181" s="10" t="n">
        <v>1800000</v>
      </c>
      <c r="D2181" s="0" t="s">
        <v>7333</v>
      </c>
      <c r="E2181" s="0" t="s">
        <v>6636</v>
      </c>
      <c r="F2181" s="0" t="s">
        <v>6323</v>
      </c>
      <c r="G2181" s="0" t="s">
        <v>6324</v>
      </c>
      <c r="H2181" s="0" t="s">
        <v>6325</v>
      </c>
    </row>
    <row r="2182" customFormat="false" ht="12.8" hidden="false" customHeight="false" outlineLevel="0" collapsed="false">
      <c r="A2182" s="9" t="s">
        <v>7833</v>
      </c>
      <c r="B2182" s="10" t="s">
        <v>7335</v>
      </c>
      <c r="C2182" s="10" t="n">
        <v>1200000</v>
      </c>
      <c r="D2182" s="0" t="s">
        <v>7336</v>
      </c>
      <c r="E2182" s="0" t="s">
        <v>6636</v>
      </c>
      <c r="F2182" s="0" t="s">
        <v>6323</v>
      </c>
      <c r="G2182" s="0" t="s">
        <v>6324</v>
      </c>
      <c r="H2182" s="0" t="s">
        <v>6325</v>
      </c>
    </row>
    <row r="2183" customFormat="false" ht="12.8" hidden="false" customHeight="false" outlineLevel="0" collapsed="false">
      <c r="A2183" s="9" t="s">
        <v>7834</v>
      </c>
      <c r="B2183" s="10" t="s">
        <v>7338</v>
      </c>
      <c r="C2183" s="10" t="n">
        <v>800000</v>
      </c>
      <c r="D2183" s="0" t="s">
        <v>7339</v>
      </c>
      <c r="E2183" s="0" t="s">
        <v>6636</v>
      </c>
      <c r="F2183" s="0" t="s">
        <v>6323</v>
      </c>
      <c r="G2183" s="0" t="s">
        <v>6324</v>
      </c>
      <c r="H2183" s="0" t="s">
        <v>6325</v>
      </c>
    </row>
    <row r="2184" customFormat="false" ht="12.8" hidden="false" customHeight="false" outlineLevel="0" collapsed="false">
      <c r="A2184" s="9" t="s">
        <v>7835</v>
      </c>
      <c r="B2184" s="10" t="s">
        <v>7341</v>
      </c>
      <c r="C2184" s="10" t="n">
        <v>700000</v>
      </c>
      <c r="D2184" s="0" t="s">
        <v>7342</v>
      </c>
      <c r="E2184" s="0" t="s">
        <v>6636</v>
      </c>
      <c r="F2184" s="0" t="s">
        <v>6323</v>
      </c>
      <c r="G2184" s="0" t="s">
        <v>6324</v>
      </c>
      <c r="H2184" s="0" t="s">
        <v>6325</v>
      </c>
    </row>
    <row r="2185" customFormat="false" ht="12.8" hidden="false" customHeight="false" outlineLevel="0" collapsed="false">
      <c r="A2185" s="9" t="s">
        <v>7836</v>
      </c>
      <c r="B2185" s="10" t="s">
        <v>7344</v>
      </c>
      <c r="C2185" s="10" t="n">
        <v>300000</v>
      </c>
      <c r="D2185" s="0" t="s">
        <v>7345</v>
      </c>
      <c r="E2185" s="0" t="s">
        <v>6636</v>
      </c>
      <c r="F2185" s="0" t="s">
        <v>6323</v>
      </c>
      <c r="G2185" s="0" t="s">
        <v>6324</v>
      </c>
      <c r="H2185" s="0" t="s">
        <v>6325</v>
      </c>
    </row>
    <row r="2186" customFormat="false" ht="12.8" hidden="false" customHeight="false" outlineLevel="0" collapsed="false">
      <c r="A2186" s="9" t="s">
        <v>7837</v>
      </c>
      <c r="B2186" s="10" t="s">
        <v>7347</v>
      </c>
      <c r="C2186" s="10" t="n">
        <v>2500000</v>
      </c>
      <c r="D2186" s="0" t="s">
        <v>7348</v>
      </c>
      <c r="E2186" s="0" t="s">
        <v>6636</v>
      </c>
      <c r="F2186" s="0" t="s">
        <v>6323</v>
      </c>
      <c r="G2186" s="0" t="s">
        <v>6324</v>
      </c>
      <c r="H2186" s="0" t="s">
        <v>6325</v>
      </c>
    </row>
    <row r="2192" customFormat="false" ht="12.8" hidden="false" customHeight="false" outlineLevel="0" collapsed="false">
      <c r="A2192" s="9" t="s">
        <v>7838</v>
      </c>
      <c r="B2192" s="10" t="s">
        <v>7350</v>
      </c>
      <c r="C2192" s="10" t="n">
        <v>6600000</v>
      </c>
      <c r="D2192" s="0" t="s">
        <v>7351</v>
      </c>
      <c r="E2192" s="0" t="s">
        <v>6636</v>
      </c>
      <c r="F2192" s="0" t="s">
        <v>6323</v>
      </c>
      <c r="G2192" s="0" t="s">
        <v>6324</v>
      </c>
      <c r="H2192" s="0" t="s">
        <v>6325</v>
      </c>
    </row>
    <row r="2193" customFormat="false" ht="12.8" hidden="false" customHeight="false" outlineLevel="0" collapsed="false">
      <c r="A2193" s="9" t="s">
        <v>7839</v>
      </c>
      <c r="B2193" s="10" t="s">
        <v>7353</v>
      </c>
      <c r="C2193" s="10" t="n">
        <v>5000000</v>
      </c>
      <c r="D2193" s="0" t="s">
        <v>7354</v>
      </c>
      <c r="E2193" s="0" t="s">
        <v>6636</v>
      </c>
      <c r="F2193" s="0" t="s">
        <v>6323</v>
      </c>
      <c r="G2193" s="0" t="s">
        <v>6324</v>
      </c>
      <c r="H2193" s="0" t="s">
        <v>6325</v>
      </c>
    </row>
    <row r="2194" customFormat="false" ht="12.8" hidden="false" customHeight="false" outlineLevel="0" collapsed="false">
      <c r="A2194" s="9" t="s">
        <v>7840</v>
      </c>
      <c r="B2194" s="10" t="s">
        <v>7356</v>
      </c>
      <c r="C2194" s="10" t="n">
        <v>2700000</v>
      </c>
      <c r="D2194" s="0" t="s">
        <v>7357</v>
      </c>
      <c r="E2194" s="0" t="s">
        <v>6636</v>
      </c>
      <c r="F2194" s="0" t="s">
        <v>6323</v>
      </c>
      <c r="G2194" s="0" t="s">
        <v>6324</v>
      </c>
      <c r="H2194" s="0" t="s">
        <v>6325</v>
      </c>
    </row>
    <row r="2195" customFormat="false" ht="12.8" hidden="false" customHeight="false" outlineLevel="0" collapsed="false">
      <c r="A2195" s="9" t="s">
        <v>7841</v>
      </c>
      <c r="B2195" s="10" t="s">
        <v>7359</v>
      </c>
      <c r="C2195" s="10" t="n">
        <v>2200000</v>
      </c>
      <c r="D2195" s="0" t="s">
        <v>7360</v>
      </c>
      <c r="E2195" s="0" t="s">
        <v>6636</v>
      </c>
      <c r="F2195" s="0" t="s">
        <v>6323</v>
      </c>
      <c r="G2195" s="0" t="s">
        <v>6324</v>
      </c>
      <c r="H2195" s="0" t="s">
        <v>6325</v>
      </c>
    </row>
    <row r="2196" customFormat="false" ht="12.8" hidden="false" customHeight="false" outlineLevel="0" collapsed="false">
      <c r="A2196" s="9" t="s">
        <v>7842</v>
      </c>
      <c r="B2196" s="10" t="s">
        <v>7362</v>
      </c>
      <c r="C2196" s="10" t="n">
        <v>700000</v>
      </c>
      <c r="D2196" s="0" t="s">
        <v>7363</v>
      </c>
      <c r="E2196" s="0" t="s">
        <v>6636</v>
      </c>
      <c r="F2196" s="0" t="s">
        <v>6323</v>
      </c>
      <c r="G2196" s="0" t="s">
        <v>6324</v>
      </c>
      <c r="H2196" s="0" t="s">
        <v>6325</v>
      </c>
    </row>
    <row r="2197" customFormat="false" ht="12.8" hidden="false" customHeight="false" outlineLevel="0" collapsed="false">
      <c r="A2197" s="9" t="s">
        <v>7843</v>
      </c>
      <c r="B2197" s="10" t="s">
        <v>7365</v>
      </c>
      <c r="C2197" s="10" t="n">
        <v>7800000</v>
      </c>
      <c r="D2197" s="0" t="s">
        <v>7366</v>
      </c>
      <c r="E2197" s="0" t="s">
        <v>6636</v>
      </c>
      <c r="F2197" s="0" t="s">
        <v>6323</v>
      </c>
      <c r="G2197" s="0" t="s">
        <v>6324</v>
      </c>
      <c r="H2197" s="0" t="s">
        <v>6325</v>
      </c>
    </row>
    <row r="2198" customFormat="false" ht="12.8" hidden="false" customHeight="false" outlineLevel="0" collapsed="false">
      <c r="A2198" s="9" t="s">
        <v>7844</v>
      </c>
      <c r="B2198" s="10" t="s">
        <v>7368</v>
      </c>
      <c r="C2198" s="10" t="n">
        <v>2900000</v>
      </c>
      <c r="D2198" s="0" t="s">
        <v>7369</v>
      </c>
      <c r="E2198" s="0" t="s">
        <v>6636</v>
      </c>
      <c r="F2198" s="0" t="s">
        <v>6323</v>
      </c>
      <c r="G2198" s="0" t="s">
        <v>6324</v>
      </c>
      <c r="H2198" s="0" t="s">
        <v>6325</v>
      </c>
    </row>
    <row r="2199" customFormat="false" ht="12.8" hidden="false" customHeight="false" outlineLevel="0" collapsed="false">
      <c r="A2199" s="9" t="s">
        <v>7845</v>
      </c>
      <c r="B2199" s="10" t="s">
        <v>7371</v>
      </c>
      <c r="C2199" s="10" t="n">
        <v>1500000</v>
      </c>
      <c r="D2199" s="0" t="s">
        <v>7372</v>
      </c>
      <c r="E2199" s="0" t="s">
        <v>6636</v>
      </c>
      <c r="F2199" s="0" t="s">
        <v>6323</v>
      </c>
      <c r="G2199" s="0" t="s">
        <v>6324</v>
      </c>
      <c r="H2199" s="0" t="s">
        <v>6325</v>
      </c>
    </row>
    <row r="2200" customFormat="false" ht="12.8" hidden="false" customHeight="false" outlineLevel="0" collapsed="false">
      <c r="A2200" s="9" t="s">
        <v>7846</v>
      </c>
      <c r="B2200" s="10" t="s">
        <v>7374</v>
      </c>
      <c r="C2200" s="10" t="n">
        <v>1100000</v>
      </c>
      <c r="D2200" s="0" t="s">
        <v>7375</v>
      </c>
      <c r="E2200" s="0" t="s">
        <v>6636</v>
      </c>
      <c r="F2200" s="0" t="s">
        <v>6323</v>
      </c>
      <c r="G2200" s="0" t="s">
        <v>6324</v>
      </c>
      <c r="H2200" s="0" t="s">
        <v>6325</v>
      </c>
    </row>
    <row r="2201" customFormat="false" ht="12.8" hidden="false" customHeight="false" outlineLevel="0" collapsed="false">
      <c r="A2201" s="9" t="s">
        <v>7847</v>
      </c>
      <c r="B2201" s="10" t="s">
        <v>7377</v>
      </c>
      <c r="C2201" s="10" t="n">
        <v>900000</v>
      </c>
      <c r="D2201" s="0" t="s">
        <v>7378</v>
      </c>
      <c r="E2201" s="0" t="s">
        <v>6636</v>
      </c>
      <c r="F2201" s="0" t="s">
        <v>6323</v>
      </c>
      <c r="G2201" s="0" t="s">
        <v>6324</v>
      </c>
      <c r="H2201" s="0" t="s">
        <v>6325</v>
      </c>
    </row>
    <row r="2202" customFormat="false" ht="12.8" hidden="false" customHeight="false" outlineLevel="0" collapsed="false">
      <c r="A2202" s="9" t="s">
        <v>7848</v>
      </c>
      <c r="B2202" s="10" t="s">
        <v>7380</v>
      </c>
      <c r="C2202" s="10" t="n">
        <v>600000</v>
      </c>
      <c r="D2202" s="0" t="s">
        <v>7381</v>
      </c>
      <c r="E2202" s="0" t="s">
        <v>6636</v>
      </c>
      <c r="F2202" s="0" t="s">
        <v>6323</v>
      </c>
      <c r="G2202" s="0" t="s">
        <v>6324</v>
      </c>
      <c r="H2202" s="0" t="s">
        <v>6325</v>
      </c>
    </row>
    <row r="2204" customFormat="false" ht="12.8" hidden="false" customHeight="false" outlineLevel="0" collapsed="false">
      <c r="A2204" s="9" t="s">
        <v>7849</v>
      </c>
      <c r="B2204" s="10" t="s">
        <v>7383</v>
      </c>
      <c r="C2204" s="10" t="n">
        <v>300000</v>
      </c>
      <c r="D2204" s="0" t="s">
        <v>7384</v>
      </c>
      <c r="E2204" s="0" t="s">
        <v>6636</v>
      </c>
      <c r="F2204" s="0" t="s">
        <v>6323</v>
      </c>
      <c r="G2204" s="0" t="s">
        <v>6324</v>
      </c>
      <c r="H2204" s="0" t="s">
        <v>6325</v>
      </c>
    </row>
    <row r="2210" customFormat="false" ht="12.8" hidden="false" customHeight="false" outlineLevel="0" collapsed="false">
      <c r="A2210" s="9" t="s">
        <v>7850</v>
      </c>
      <c r="B2210" s="10" t="s">
        <v>7404</v>
      </c>
      <c r="C2210" s="10" t="n">
        <v>1040000</v>
      </c>
      <c r="D2210" s="0" t="s">
        <v>7405</v>
      </c>
      <c r="E2210" s="0" t="s">
        <v>6636</v>
      </c>
      <c r="F2210" s="0" t="s">
        <v>6323</v>
      </c>
      <c r="G2210" s="0" t="s">
        <v>6324</v>
      </c>
      <c r="H2210" s="0" t="s">
        <v>6325</v>
      </c>
    </row>
    <row r="2211" customFormat="false" ht="12.8" hidden="false" customHeight="false" outlineLevel="0" collapsed="false">
      <c r="A2211" s="9" t="s">
        <v>7851</v>
      </c>
      <c r="B2211" s="10" t="s">
        <v>7407</v>
      </c>
      <c r="C2211" s="10" t="n">
        <v>660000</v>
      </c>
      <c r="D2211" s="0" t="s">
        <v>7408</v>
      </c>
      <c r="E2211" s="0" t="s">
        <v>6636</v>
      </c>
      <c r="F2211" s="0" t="s">
        <v>6323</v>
      </c>
      <c r="G2211" s="0" t="s">
        <v>6324</v>
      </c>
      <c r="H2211" s="0" t="s">
        <v>6325</v>
      </c>
    </row>
    <row r="2212" customFormat="false" ht="12.8" hidden="false" customHeight="false" outlineLevel="0" collapsed="false">
      <c r="A2212" s="9" t="s">
        <v>7852</v>
      </c>
      <c r="B2212" s="10" t="s">
        <v>7410</v>
      </c>
      <c r="C2212" s="10" t="n">
        <v>420000</v>
      </c>
      <c r="D2212" s="0" t="s">
        <v>7411</v>
      </c>
      <c r="E2212" s="0" t="s">
        <v>6636</v>
      </c>
      <c r="F2212" s="0" t="s">
        <v>6323</v>
      </c>
      <c r="G2212" s="0" t="s">
        <v>6324</v>
      </c>
      <c r="H2212" s="0" t="s">
        <v>6325</v>
      </c>
    </row>
    <row r="2213" customFormat="false" ht="12.8" hidden="false" customHeight="false" outlineLevel="0" collapsed="false">
      <c r="A2213" s="9" t="s">
        <v>7853</v>
      </c>
      <c r="B2213" s="10" t="s">
        <v>7413</v>
      </c>
      <c r="C2213" s="10" t="n">
        <v>300000</v>
      </c>
      <c r="D2213" s="0" t="s">
        <v>7414</v>
      </c>
      <c r="E2213" s="0" t="s">
        <v>6636</v>
      </c>
      <c r="F2213" s="0" t="s">
        <v>6323</v>
      </c>
      <c r="G2213" s="0" t="s">
        <v>6324</v>
      </c>
      <c r="H2213" s="0" t="s">
        <v>6325</v>
      </c>
    </row>
    <row r="2214" customFormat="false" ht="12.8" hidden="false" customHeight="false" outlineLevel="0" collapsed="false">
      <c r="A2214" s="9" t="s">
        <v>7854</v>
      </c>
      <c r="B2214" s="10" t="s">
        <v>7416</v>
      </c>
      <c r="C2214" s="10" t="n">
        <v>180000</v>
      </c>
      <c r="D2214" s="0" t="s">
        <v>7417</v>
      </c>
      <c r="E2214" s="0" t="s">
        <v>6636</v>
      </c>
      <c r="F2214" s="0" t="s">
        <v>6323</v>
      </c>
      <c r="G2214" s="0" t="s">
        <v>6324</v>
      </c>
      <c r="H2214" s="0" t="s">
        <v>6325</v>
      </c>
    </row>
    <row r="2215" customFormat="false" ht="12.8" hidden="false" customHeight="false" outlineLevel="0" collapsed="false">
      <c r="A2215" s="9" t="s">
        <v>7855</v>
      </c>
      <c r="B2215" s="10" t="s">
        <v>7419</v>
      </c>
      <c r="C2215" s="10" t="n">
        <v>120000</v>
      </c>
      <c r="D2215" s="0" t="s">
        <v>7420</v>
      </c>
      <c r="E2215" s="0" t="s">
        <v>6636</v>
      </c>
      <c r="F2215" s="0" t="s">
        <v>6323</v>
      </c>
      <c r="G2215" s="0" t="s">
        <v>6324</v>
      </c>
      <c r="H2215" s="0" t="s">
        <v>6325</v>
      </c>
    </row>
    <row r="2221" customFormat="false" ht="12.8" hidden="false" customHeight="false" outlineLevel="0" collapsed="false">
      <c r="A2221" s="9" t="s">
        <v>7856</v>
      </c>
      <c r="B2221" s="10" t="s">
        <v>6844</v>
      </c>
      <c r="C2221" s="10" t="n">
        <v>326.9</v>
      </c>
      <c r="D2221" s="0" t="s">
        <v>6845</v>
      </c>
      <c r="E2221" s="0" t="s">
        <v>3150</v>
      </c>
      <c r="F2221" s="0" t="s">
        <v>3151</v>
      </c>
      <c r="G2221" s="0" t="s">
        <v>3152</v>
      </c>
    </row>
    <row r="2222" customFormat="false" ht="12.8" hidden="false" customHeight="false" outlineLevel="0" collapsed="false">
      <c r="A2222" s="9" t="s">
        <v>7857</v>
      </c>
      <c r="B2222" s="10" t="s">
        <v>6847</v>
      </c>
      <c r="C2222" s="10" t="n">
        <v>204.5</v>
      </c>
      <c r="D2222" s="0" t="s">
        <v>6848</v>
      </c>
      <c r="E2222" s="0" t="s">
        <v>3150</v>
      </c>
      <c r="F2222" s="0" t="s">
        <v>3151</v>
      </c>
      <c r="G2222" s="0" t="s">
        <v>3152</v>
      </c>
    </row>
    <row r="2223" customFormat="false" ht="12.8" hidden="false" customHeight="false" outlineLevel="0" collapsed="false">
      <c r="A2223" s="9" t="s">
        <v>7858</v>
      </c>
      <c r="B2223" s="10" t="s">
        <v>6850</v>
      </c>
      <c r="C2223" s="10" t="n">
        <v>180</v>
      </c>
      <c r="D2223" s="0" t="s">
        <v>6851</v>
      </c>
      <c r="E2223" s="0" t="s">
        <v>6852</v>
      </c>
      <c r="F2223" s="0" t="s">
        <v>3151</v>
      </c>
      <c r="G2223" s="0" t="s">
        <v>3152</v>
      </c>
    </row>
    <row r="2224" customFormat="false" ht="12.8" hidden="false" customHeight="false" outlineLevel="0" collapsed="false">
      <c r="A2224" s="9" t="s">
        <v>7859</v>
      </c>
      <c r="B2224" s="10" t="s">
        <v>6854</v>
      </c>
      <c r="C2224" s="10" t="n">
        <v>120</v>
      </c>
      <c r="D2224" s="0" t="s">
        <v>6855</v>
      </c>
      <c r="E2224" s="0" t="s">
        <v>6852</v>
      </c>
      <c r="F2224" s="0" t="s">
        <v>3151</v>
      </c>
      <c r="G2224" s="0" t="s">
        <v>3152</v>
      </c>
    </row>
    <row r="2225" customFormat="false" ht="12.8" hidden="false" customHeight="false" outlineLevel="0" collapsed="false">
      <c r="A2225" s="9" t="s">
        <v>7860</v>
      </c>
      <c r="B2225" s="10" t="s">
        <v>6857</v>
      </c>
      <c r="C2225" s="10" t="n">
        <v>80</v>
      </c>
      <c r="D2225" s="0" t="s">
        <v>6858</v>
      </c>
      <c r="E2225" s="0" t="s">
        <v>6852</v>
      </c>
      <c r="F2225" s="0" t="s">
        <v>3151</v>
      </c>
      <c r="G2225" s="0" t="s">
        <v>3152</v>
      </c>
    </row>
    <row r="2226" customFormat="false" ht="12.8" hidden="false" customHeight="false" outlineLevel="0" collapsed="false">
      <c r="A2226" s="9" t="s">
        <v>7861</v>
      </c>
      <c r="B2226" s="10" t="s">
        <v>6860</v>
      </c>
      <c r="C2226" s="10" t="n">
        <v>150</v>
      </c>
      <c r="D2226" s="0" t="s">
        <v>6861</v>
      </c>
      <c r="E2226" s="0" t="s">
        <v>6852</v>
      </c>
      <c r="F2226" s="0" t="s">
        <v>3151</v>
      </c>
      <c r="G2226" s="0" t="s">
        <v>3152</v>
      </c>
    </row>
    <row r="2232" customFormat="false" ht="12.8" hidden="false" customHeight="false" outlineLevel="0" collapsed="false">
      <c r="A2232" s="9" t="s">
        <v>7862</v>
      </c>
      <c r="B2232" s="10" t="s">
        <v>6892</v>
      </c>
      <c r="C2232" s="10" t="n">
        <v>1.02</v>
      </c>
      <c r="D2232" s="0" t="s">
        <v>6893</v>
      </c>
      <c r="E2232" s="0" t="s">
        <v>6865</v>
      </c>
      <c r="F2232" s="0" t="s">
        <v>3160</v>
      </c>
      <c r="G2232" s="0" t="s">
        <v>6866</v>
      </c>
    </row>
    <row r="2233" customFormat="false" ht="12.8" hidden="false" customHeight="false" outlineLevel="0" collapsed="false">
      <c r="A2233" s="9" t="s">
        <v>7863</v>
      </c>
      <c r="B2233" s="10" t="s">
        <v>6896</v>
      </c>
      <c r="C2233" s="10" t="n">
        <v>1.01</v>
      </c>
      <c r="D2233" s="0" t="s">
        <v>6897</v>
      </c>
      <c r="E2233" s="0" t="s">
        <v>6865</v>
      </c>
      <c r="F2233" s="0" t="s">
        <v>3160</v>
      </c>
      <c r="G2233" s="0" t="s">
        <v>6866</v>
      </c>
    </row>
    <row r="2234" customFormat="false" ht="12.8" hidden="false" customHeight="false" outlineLevel="0" collapsed="false">
      <c r="A2234" s="9" t="s">
        <v>7864</v>
      </c>
      <c r="B2234" s="10" t="s">
        <v>6899</v>
      </c>
      <c r="C2234" s="10" t="n">
        <v>1</v>
      </c>
      <c r="D2234" s="0" t="s">
        <v>6900</v>
      </c>
      <c r="E2234" s="0" t="s">
        <v>6865</v>
      </c>
      <c r="F2234" s="0" t="s">
        <v>3160</v>
      </c>
      <c r="G2234" s="0" t="s">
        <v>6866</v>
      </c>
    </row>
    <row r="2235" customFormat="false" ht="12.8" hidden="false" customHeight="false" outlineLevel="0" collapsed="false">
      <c r="A2235" s="9" t="s">
        <v>7865</v>
      </c>
      <c r="B2235" s="10" t="s">
        <v>6902</v>
      </c>
      <c r="C2235" s="10" t="n">
        <v>1.01</v>
      </c>
      <c r="D2235" s="0" t="s">
        <v>6903</v>
      </c>
      <c r="E2235" s="0" t="s">
        <v>6865</v>
      </c>
      <c r="F2235" s="0" t="s">
        <v>3160</v>
      </c>
      <c r="G2235" s="0" t="s">
        <v>6866</v>
      </c>
    </row>
    <row r="2236" customFormat="false" ht="12.8" hidden="false" customHeight="false" outlineLevel="0" collapsed="false">
      <c r="A2236" s="9" t="s">
        <v>7866</v>
      </c>
      <c r="B2236" s="10" t="s">
        <v>6905</v>
      </c>
      <c r="C2236" s="10" t="n">
        <v>1.03</v>
      </c>
      <c r="D2236" s="0" t="s">
        <v>6906</v>
      </c>
      <c r="E2236" s="0" t="s">
        <v>6865</v>
      </c>
      <c r="F2236" s="0" t="s">
        <v>3160</v>
      </c>
      <c r="G2236" s="0" t="s">
        <v>6866</v>
      </c>
    </row>
    <row r="2237" customFormat="false" ht="12.8" hidden="false" customHeight="false" outlineLevel="0" collapsed="false">
      <c r="A2237" s="9" t="s">
        <v>7867</v>
      </c>
      <c r="B2237" s="10" t="s">
        <v>6908</v>
      </c>
      <c r="C2237" s="10" t="n">
        <v>1</v>
      </c>
      <c r="D2237" s="0" t="s">
        <v>6909</v>
      </c>
      <c r="E2237" s="0" t="s">
        <v>6865</v>
      </c>
      <c r="F2237" s="0" t="s">
        <v>3160</v>
      </c>
      <c r="G2237" s="0" t="s">
        <v>6866</v>
      </c>
    </row>
    <row r="2243" customFormat="false" ht="12.8" hidden="false" customHeight="false" outlineLevel="0" collapsed="false">
      <c r="A2243" s="9" t="s">
        <v>7868</v>
      </c>
      <c r="B2243" s="10" t="s">
        <v>4231</v>
      </c>
      <c r="C2243" s="10" t="n">
        <v>0.67</v>
      </c>
      <c r="D2243" s="0" t="s">
        <v>4232</v>
      </c>
      <c r="E2243" s="0" t="s">
        <v>4248</v>
      </c>
      <c r="F2243" s="0" t="s">
        <v>3160</v>
      </c>
      <c r="G2243" s="0" t="s">
        <v>4205</v>
      </c>
    </row>
    <row r="2244" customFormat="false" ht="12.8" hidden="false" customHeight="false" outlineLevel="0" collapsed="false">
      <c r="A2244" s="9" t="s">
        <v>7869</v>
      </c>
      <c r="B2244" s="10" t="s">
        <v>4234</v>
      </c>
      <c r="C2244" s="10" t="n">
        <v>0.6</v>
      </c>
      <c r="D2244" s="0" t="s">
        <v>4235</v>
      </c>
      <c r="E2244" s="0" t="s">
        <v>4248</v>
      </c>
      <c r="F2244" s="0" t="s">
        <v>3160</v>
      </c>
      <c r="G2244" s="0" t="s">
        <v>4205</v>
      </c>
    </row>
    <row r="2245" customFormat="false" ht="12.8" hidden="false" customHeight="false" outlineLevel="0" collapsed="false">
      <c r="A2245" s="9" t="s">
        <v>7870</v>
      </c>
      <c r="B2245" s="10" t="s">
        <v>4237</v>
      </c>
      <c r="C2245" s="10" t="n">
        <v>0.75</v>
      </c>
      <c r="D2245" s="0" t="s">
        <v>4238</v>
      </c>
      <c r="E2245" s="0" t="s">
        <v>4248</v>
      </c>
      <c r="F2245" s="0" t="s">
        <v>3160</v>
      </c>
      <c r="G2245" s="0" t="s">
        <v>4205</v>
      </c>
    </row>
    <row r="2246" customFormat="false" ht="12.8" hidden="false" customHeight="false" outlineLevel="0" collapsed="false">
      <c r="A2246" s="9" t="s">
        <v>7871</v>
      </c>
      <c r="B2246" s="10" t="s">
        <v>4240</v>
      </c>
      <c r="C2246" s="10" t="n">
        <v>0.6</v>
      </c>
      <c r="D2246" s="0" t="s">
        <v>4241</v>
      </c>
      <c r="E2246" s="0" t="s">
        <v>4248</v>
      </c>
      <c r="F2246" s="0" t="s">
        <v>3160</v>
      </c>
      <c r="G2246" s="0" t="s">
        <v>4205</v>
      </c>
    </row>
    <row r="2247" customFormat="false" ht="12.8" hidden="false" customHeight="false" outlineLevel="0" collapsed="false">
      <c r="A2247" s="9" t="s">
        <v>7872</v>
      </c>
      <c r="B2247" s="10" t="s">
        <v>4243</v>
      </c>
      <c r="C2247" s="10" t="n">
        <v>0.67</v>
      </c>
      <c r="D2247" s="0" t="s">
        <v>4244</v>
      </c>
      <c r="E2247" s="0" t="s">
        <v>4248</v>
      </c>
      <c r="F2247" s="0" t="s">
        <v>3160</v>
      </c>
      <c r="G2247" s="0" t="s">
        <v>4205</v>
      </c>
    </row>
    <row r="2248" customFormat="false" ht="12.8" hidden="false" customHeight="false" outlineLevel="0" collapsed="false">
      <c r="A2248" s="9" t="s">
        <v>7873</v>
      </c>
      <c r="B2248" s="10" t="s">
        <v>4246</v>
      </c>
      <c r="C2248" s="10" t="n">
        <v>0.75</v>
      </c>
      <c r="D2248" s="0" t="s">
        <v>4247</v>
      </c>
      <c r="E2248" s="0" t="s">
        <v>4248</v>
      </c>
      <c r="F2248" s="0" t="s">
        <v>3160</v>
      </c>
      <c r="G2248" s="0" t="s">
        <v>4205</v>
      </c>
    </row>
    <row r="2249" customFormat="false" ht="12.8" hidden="false" customHeight="false" outlineLevel="0" collapsed="false">
      <c r="A2249" s="9" t="s">
        <v>7874</v>
      </c>
      <c r="B2249" s="10" t="s">
        <v>6117</v>
      </c>
      <c r="C2249" s="10" t="n">
        <v>38.9</v>
      </c>
      <c r="D2249" s="0" t="s">
        <v>6118</v>
      </c>
      <c r="E2249" s="0" t="s">
        <v>6090</v>
      </c>
      <c r="F2249" s="0" t="s">
        <v>3160</v>
      </c>
      <c r="G2249" s="0" t="s">
        <v>6091</v>
      </c>
    </row>
    <row r="2250" customFormat="false" ht="12.8" hidden="false" customHeight="false" outlineLevel="0" collapsed="false">
      <c r="A2250" s="9" t="s">
        <v>7875</v>
      </c>
      <c r="B2250" s="10" t="s">
        <v>6120</v>
      </c>
      <c r="C2250" s="10" t="n">
        <v>40.5</v>
      </c>
      <c r="D2250" s="0" t="s">
        <v>6121</v>
      </c>
      <c r="E2250" s="0" t="s">
        <v>6090</v>
      </c>
      <c r="F2250" s="0" t="s">
        <v>3160</v>
      </c>
      <c r="G2250" s="0" t="s">
        <v>6091</v>
      </c>
    </row>
    <row r="2251" customFormat="false" ht="12.8" hidden="false" customHeight="false" outlineLevel="0" collapsed="false">
      <c r="A2251" s="9" t="s">
        <v>7876</v>
      </c>
      <c r="B2251" s="10" t="s">
        <v>6123</v>
      </c>
      <c r="C2251" s="10" t="n">
        <v>39.8</v>
      </c>
      <c r="D2251" s="0" t="s">
        <v>6124</v>
      </c>
      <c r="E2251" s="0" t="s">
        <v>6090</v>
      </c>
      <c r="F2251" s="0" t="s">
        <v>3160</v>
      </c>
      <c r="G2251" s="0" t="s">
        <v>6091</v>
      </c>
    </row>
    <row r="2252" customFormat="false" ht="12.8" hidden="false" customHeight="false" outlineLevel="0" collapsed="false">
      <c r="A2252" s="9" t="s">
        <v>7877</v>
      </c>
      <c r="B2252" s="10" t="s">
        <v>6126</v>
      </c>
      <c r="C2252" s="10" t="n">
        <v>41</v>
      </c>
      <c r="D2252" s="0" t="s">
        <v>6127</v>
      </c>
      <c r="E2252" s="0" t="s">
        <v>6090</v>
      </c>
      <c r="F2252" s="0" t="s">
        <v>3160</v>
      </c>
      <c r="G2252" s="0" t="s">
        <v>6091</v>
      </c>
    </row>
    <row r="2253" customFormat="false" ht="12.8" hidden="false" customHeight="false" outlineLevel="0" collapsed="false">
      <c r="A2253" s="9" t="s">
        <v>7878</v>
      </c>
      <c r="B2253" s="10" t="s">
        <v>6129</v>
      </c>
      <c r="C2253" s="10" t="n">
        <v>40.2</v>
      </c>
      <c r="D2253" s="0" t="s">
        <v>6130</v>
      </c>
      <c r="E2253" s="0" t="s">
        <v>6090</v>
      </c>
      <c r="F2253" s="0" t="s">
        <v>3160</v>
      </c>
      <c r="G2253" s="0" t="s">
        <v>6091</v>
      </c>
    </row>
    <row r="2254" customFormat="false" ht="12.8" hidden="false" customHeight="false" outlineLevel="0" collapsed="false">
      <c r="A2254" s="9" t="s">
        <v>7879</v>
      </c>
      <c r="B2254" s="10" t="s">
        <v>6132</v>
      </c>
      <c r="C2254" s="10" t="n">
        <v>40</v>
      </c>
      <c r="D2254" s="0" t="s">
        <v>6133</v>
      </c>
      <c r="E2254" s="0" t="s">
        <v>6090</v>
      </c>
      <c r="F2254" s="0" t="s">
        <v>3160</v>
      </c>
      <c r="G2254" s="0" t="s">
        <v>6091</v>
      </c>
    </row>
    <row r="2260" customFormat="false" ht="12.8" hidden="false" customHeight="false" outlineLevel="0" collapsed="false">
      <c r="A2260" s="9" t="s">
        <v>7880</v>
      </c>
      <c r="B2260" s="10" t="s">
        <v>6163</v>
      </c>
      <c r="C2260" s="10" t="n">
        <v>5.2</v>
      </c>
      <c r="D2260" s="0" t="s">
        <v>6164</v>
      </c>
      <c r="E2260" s="0" t="s">
        <v>6137</v>
      </c>
      <c r="F2260" s="0" t="s">
        <v>3160</v>
      </c>
      <c r="G2260" s="0" t="s">
        <v>5998</v>
      </c>
    </row>
    <row r="2261" customFormat="false" ht="12.8" hidden="false" customHeight="false" outlineLevel="0" collapsed="false">
      <c r="A2261" s="9" t="s">
        <v>7881</v>
      </c>
      <c r="B2261" s="10" t="s">
        <v>6166</v>
      </c>
      <c r="C2261" s="10" t="n">
        <v>6.1</v>
      </c>
      <c r="D2261" s="0" t="s">
        <v>6167</v>
      </c>
      <c r="E2261" s="0" t="s">
        <v>6137</v>
      </c>
      <c r="F2261" s="0" t="s">
        <v>3160</v>
      </c>
      <c r="G2261" s="0" t="s">
        <v>5998</v>
      </c>
    </row>
    <row r="2262" customFormat="false" ht="12.8" hidden="false" customHeight="false" outlineLevel="0" collapsed="false">
      <c r="A2262" s="9" t="s">
        <v>7882</v>
      </c>
      <c r="B2262" s="10" t="s">
        <v>6169</v>
      </c>
      <c r="C2262" s="10" t="n">
        <v>7.3</v>
      </c>
      <c r="D2262" s="0" t="s">
        <v>6170</v>
      </c>
      <c r="E2262" s="0" t="s">
        <v>6137</v>
      </c>
      <c r="F2262" s="0" t="s">
        <v>3160</v>
      </c>
      <c r="G2262" s="0" t="s">
        <v>5998</v>
      </c>
    </row>
    <row r="2263" customFormat="false" ht="12.8" hidden="false" customHeight="false" outlineLevel="0" collapsed="false">
      <c r="A2263" s="9" t="s">
        <v>7883</v>
      </c>
      <c r="B2263" s="10" t="s">
        <v>6172</v>
      </c>
      <c r="C2263" s="10" t="n">
        <v>6.8</v>
      </c>
      <c r="D2263" s="0" t="s">
        <v>6173</v>
      </c>
      <c r="E2263" s="0" t="s">
        <v>6137</v>
      </c>
      <c r="F2263" s="0" t="s">
        <v>3160</v>
      </c>
      <c r="G2263" s="0" t="s">
        <v>5998</v>
      </c>
    </row>
    <row r="2264" customFormat="false" ht="12.8" hidden="false" customHeight="false" outlineLevel="0" collapsed="false">
      <c r="A2264" s="9" t="s">
        <v>7884</v>
      </c>
      <c r="B2264" s="10" t="s">
        <v>6175</v>
      </c>
      <c r="C2264" s="10" t="n">
        <v>5.9</v>
      </c>
      <c r="D2264" s="0" t="s">
        <v>6176</v>
      </c>
      <c r="E2264" s="0" t="s">
        <v>6137</v>
      </c>
      <c r="F2264" s="0" t="s">
        <v>3160</v>
      </c>
      <c r="G2264" s="0" t="s">
        <v>5998</v>
      </c>
    </row>
    <row r="2265" customFormat="false" ht="12.8" hidden="false" customHeight="false" outlineLevel="0" collapsed="false">
      <c r="A2265" s="9" t="s">
        <v>7885</v>
      </c>
      <c r="B2265" s="10" t="s">
        <v>6178</v>
      </c>
      <c r="C2265" s="10" t="n">
        <v>8.4</v>
      </c>
      <c r="D2265" s="0" t="s">
        <v>6179</v>
      </c>
      <c r="E2265" s="0" t="s">
        <v>6137</v>
      </c>
      <c r="F2265" s="0" t="s">
        <v>3160</v>
      </c>
      <c r="G2265" s="0" t="s">
        <v>5998</v>
      </c>
    </row>
    <row r="2271" customFormat="false" ht="12.8" hidden="false" customHeight="false" outlineLevel="0" collapsed="false">
      <c r="A2271" s="9" t="s">
        <v>7886</v>
      </c>
      <c r="B2271" s="10" t="s">
        <v>6209</v>
      </c>
      <c r="C2271" s="10" t="n">
        <v>0.32</v>
      </c>
      <c r="D2271" s="0" t="s">
        <v>6210</v>
      </c>
      <c r="E2271" s="0" t="s">
        <v>6183</v>
      </c>
      <c r="F2271" s="0" t="s">
        <v>3160</v>
      </c>
      <c r="G2271" s="0" t="s">
        <v>5998</v>
      </c>
    </row>
    <row r="2272" customFormat="false" ht="12.8" hidden="false" customHeight="false" outlineLevel="0" collapsed="false">
      <c r="A2272" s="9" t="s">
        <v>7887</v>
      </c>
      <c r="B2272" s="10" t="s">
        <v>6212</v>
      </c>
      <c r="C2272" s="10" t="n">
        <v>0.22</v>
      </c>
      <c r="D2272" s="0" t="s">
        <v>6213</v>
      </c>
      <c r="E2272" s="0" t="s">
        <v>6183</v>
      </c>
      <c r="F2272" s="0" t="s">
        <v>3160</v>
      </c>
      <c r="G2272" s="0" t="s">
        <v>5998</v>
      </c>
    </row>
    <row r="2273" customFormat="false" ht="12.8" hidden="false" customHeight="false" outlineLevel="0" collapsed="false">
      <c r="A2273" s="9" t="s">
        <v>7888</v>
      </c>
      <c r="B2273" s="10" t="s">
        <v>6215</v>
      </c>
      <c r="C2273" s="10" t="n">
        <v>0.18</v>
      </c>
      <c r="D2273" s="0" t="s">
        <v>6216</v>
      </c>
      <c r="E2273" s="0" t="s">
        <v>6183</v>
      </c>
      <c r="F2273" s="0" t="s">
        <v>3160</v>
      </c>
      <c r="G2273" s="0" t="s">
        <v>5998</v>
      </c>
    </row>
    <row r="2274" customFormat="false" ht="12.8" hidden="false" customHeight="false" outlineLevel="0" collapsed="false">
      <c r="A2274" s="9" t="s">
        <v>7889</v>
      </c>
      <c r="B2274" s="10" t="s">
        <v>6218</v>
      </c>
      <c r="C2274" s="10" t="n">
        <v>0.2</v>
      </c>
      <c r="D2274" s="0" t="s">
        <v>6219</v>
      </c>
      <c r="E2274" s="0" t="s">
        <v>6183</v>
      </c>
      <c r="F2274" s="0" t="s">
        <v>3160</v>
      </c>
      <c r="G2274" s="0" t="s">
        <v>5998</v>
      </c>
    </row>
    <row r="2275" customFormat="false" ht="12.8" hidden="false" customHeight="false" outlineLevel="0" collapsed="false">
      <c r="A2275" s="9" t="s">
        <v>7890</v>
      </c>
      <c r="B2275" s="10" t="s">
        <v>6221</v>
      </c>
      <c r="C2275" s="10" t="n">
        <v>0.25</v>
      </c>
      <c r="D2275" s="0" t="s">
        <v>6222</v>
      </c>
      <c r="E2275" s="0" t="s">
        <v>6183</v>
      </c>
      <c r="F2275" s="0" t="s">
        <v>3160</v>
      </c>
      <c r="G2275" s="0" t="s">
        <v>5998</v>
      </c>
    </row>
    <row r="2276" customFormat="false" ht="12.8" hidden="false" customHeight="false" outlineLevel="0" collapsed="false">
      <c r="A2276" s="9" t="s">
        <v>7891</v>
      </c>
      <c r="B2276" s="10" t="s">
        <v>6224</v>
      </c>
      <c r="C2276" s="10" t="n">
        <v>0.12</v>
      </c>
      <c r="D2276" s="0" t="s">
        <v>6225</v>
      </c>
      <c r="E2276" s="0" t="s">
        <v>6183</v>
      </c>
      <c r="F2276" s="0" t="s">
        <v>3160</v>
      </c>
      <c r="G2276" s="0" t="s">
        <v>5998</v>
      </c>
    </row>
    <row r="2282" customFormat="false" ht="12.8" hidden="false" customHeight="false" outlineLevel="0" collapsed="false">
      <c r="A2282" s="9" t="s">
        <v>7892</v>
      </c>
      <c r="B2282" s="10" t="s">
        <v>6256</v>
      </c>
      <c r="C2282" s="10" t="n">
        <v>88000</v>
      </c>
      <c r="D2282" s="0" t="s">
        <v>6257</v>
      </c>
      <c r="E2282" s="0" t="s">
        <v>6229</v>
      </c>
      <c r="F2282" s="0" t="s">
        <v>3160</v>
      </c>
      <c r="G2282" s="0" t="s">
        <v>6230</v>
      </c>
    </row>
    <row r="2283" customFormat="false" ht="12.8" hidden="false" customHeight="false" outlineLevel="0" collapsed="false">
      <c r="A2283" s="9" t="s">
        <v>7893</v>
      </c>
      <c r="B2283" s="10" t="s">
        <v>6259</v>
      </c>
      <c r="C2283" s="10" t="n">
        <v>145000</v>
      </c>
      <c r="D2283" s="0" t="s">
        <v>6260</v>
      </c>
      <c r="E2283" s="0" t="s">
        <v>6229</v>
      </c>
      <c r="F2283" s="0" t="s">
        <v>3160</v>
      </c>
      <c r="G2283" s="0" t="s">
        <v>6230</v>
      </c>
    </row>
    <row r="2285" customFormat="false" ht="12.8" hidden="false" customHeight="false" outlineLevel="0" collapsed="false">
      <c r="A2285" s="9" t="s">
        <v>7894</v>
      </c>
      <c r="B2285" s="10" t="s">
        <v>6262</v>
      </c>
      <c r="C2285" s="10" t="n">
        <v>78000</v>
      </c>
      <c r="D2285" s="0" t="s">
        <v>6263</v>
      </c>
      <c r="E2285" s="0" t="s">
        <v>6229</v>
      </c>
      <c r="F2285" s="0" t="s">
        <v>3160</v>
      </c>
      <c r="G2285" s="0" t="s">
        <v>6230</v>
      </c>
    </row>
    <row r="2286" customFormat="false" ht="12.8" hidden="false" customHeight="false" outlineLevel="0" collapsed="false">
      <c r="A2286" s="9" t="s">
        <v>7895</v>
      </c>
      <c r="B2286" s="10" t="s">
        <v>6265</v>
      </c>
      <c r="C2286" s="10" t="n">
        <v>165000</v>
      </c>
      <c r="D2286" s="0" t="s">
        <v>6266</v>
      </c>
      <c r="E2286" s="0" t="s">
        <v>6229</v>
      </c>
      <c r="F2286" s="0" t="s">
        <v>3160</v>
      </c>
      <c r="G2286" s="0" t="s">
        <v>6230</v>
      </c>
    </row>
    <row r="2287" customFormat="false" ht="12.8" hidden="false" customHeight="false" outlineLevel="0" collapsed="false">
      <c r="A2287" s="9" t="s">
        <v>7896</v>
      </c>
      <c r="B2287" s="10" t="s">
        <v>6268</v>
      </c>
      <c r="C2287" s="10" t="n">
        <v>132000</v>
      </c>
      <c r="D2287" s="0" t="s">
        <v>6269</v>
      </c>
      <c r="E2287" s="0" t="s">
        <v>6229</v>
      </c>
      <c r="F2287" s="0" t="s">
        <v>3160</v>
      </c>
      <c r="G2287" s="0" t="s">
        <v>6230</v>
      </c>
    </row>
    <row r="2288" customFormat="false" ht="12.8" hidden="false" customHeight="false" outlineLevel="0" collapsed="false">
      <c r="A2288" s="9" t="s">
        <v>7897</v>
      </c>
      <c r="B2288" s="10" t="s">
        <v>6271</v>
      </c>
      <c r="C2288" s="10" t="n">
        <v>95000</v>
      </c>
      <c r="D2288" s="0" t="s">
        <v>6272</v>
      </c>
      <c r="E2288" s="0" t="s">
        <v>6229</v>
      </c>
      <c r="F2288" s="0" t="s">
        <v>3160</v>
      </c>
      <c r="G2288" s="0" t="s">
        <v>6230</v>
      </c>
    </row>
    <row r="2294" customFormat="false" ht="12.8" hidden="false" customHeight="false" outlineLevel="0" collapsed="false">
      <c r="A2294" s="9" t="s">
        <v>7898</v>
      </c>
      <c r="B2294" s="10" t="s">
        <v>6303</v>
      </c>
      <c r="C2294" s="10" t="n">
        <v>4</v>
      </c>
      <c r="D2294" s="0" t="s">
        <v>7530</v>
      </c>
      <c r="E2294" s="0" t="s">
        <v>6276</v>
      </c>
      <c r="F2294" s="0" t="s">
        <v>3160</v>
      </c>
      <c r="G2294" s="0" t="s">
        <v>6277</v>
      </c>
    </row>
    <row r="2295" customFormat="false" ht="12.8" hidden="false" customHeight="false" outlineLevel="0" collapsed="false">
      <c r="A2295" s="9" t="s">
        <v>7899</v>
      </c>
      <c r="B2295" s="10" t="s">
        <v>6306</v>
      </c>
      <c r="C2295" s="10" t="n">
        <v>5</v>
      </c>
      <c r="D2295" s="0" t="s">
        <v>6307</v>
      </c>
      <c r="E2295" s="0" t="s">
        <v>6276</v>
      </c>
      <c r="F2295" s="0" t="s">
        <v>3160</v>
      </c>
      <c r="G2295" s="0" t="s">
        <v>6277</v>
      </c>
    </row>
    <row r="2296" customFormat="false" ht="12.8" hidden="false" customHeight="false" outlineLevel="0" collapsed="false">
      <c r="A2296" s="9" t="s">
        <v>7900</v>
      </c>
      <c r="B2296" s="10" t="s">
        <v>6309</v>
      </c>
      <c r="C2296" s="10" t="n">
        <v>6</v>
      </c>
      <c r="D2296" s="0" t="s">
        <v>6310</v>
      </c>
      <c r="E2296" s="0" t="s">
        <v>6276</v>
      </c>
      <c r="F2296" s="0" t="s">
        <v>3160</v>
      </c>
      <c r="G2296" s="0" t="s">
        <v>6277</v>
      </c>
    </row>
    <row r="2297" customFormat="false" ht="12.8" hidden="false" customHeight="false" outlineLevel="0" collapsed="false">
      <c r="A2297" s="9" t="s">
        <v>7901</v>
      </c>
      <c r="B2297" s="10" t="s">
        <v>6312</v>
      </c>
      <c r="C2297" s="10" t="n">
        <v>5</v>
      </c>
      <c r="D2297" s="0" t="s">
        <v>6313</v>
      </c>
      <c r="E2297" s="0" t="s">
        <v>6276</v>
      </c>
      <c r="F2297" s="0" t="s">
        <v>3160</v>
      </c>
      <c r="G2297" s="0" t="s">
        <v>6277</v>
      </c>
    </row>
    <row r="2298" customFormat="false" ht="12.8" hidden="false" customHeight="false" outlineLevel="0" collapsed="false">
      <c r="A2298" s="9" t="s">
        <v>7902</v>
      </c>
      <c r="B2298" s="10" t="s">
        <v>6315</v>
      </c>
      <c r="C2298" s="10" t="n">
        <v>5</v>
      </c>
      <c r="D2298" s="0" t="s">
        <v>6316</v>
      </c>
      <c r="E2298" s="0" t="s">
        <v>6276</v>
      </c>
      <c r="F2298" s="0" t="s">
        <v>3160</v>
      </c>
      <c r="G2298" s="0" t="s">
        <v>6277</v>
      </c>
    </row>
    <row r="2299" customFormat="false" ht="12.8" hidden="false" customHeight="false" outlineLevel="0" collapsed="false">
      <c r="A2299" s="9" t="s">
        <v>7903</v>
      </c>
      <c r="B2299" s="10" t="s">
        <v>6318</v>
      </c>
      <c r="C2299" s="10" t="n">
        <v>4</v>
      </c>
      <c r="D2299" s="0" t="s">
        <v>6319</v>
      </c>
      <c r="E2299" s="0" t="s">
        <v>6276</v>
      </c>
      <c r="F2299" s="0" t="s">
        <v>3160</v>
      </c>
      <c r="G2299" s="0" t="s">
        <v>6277</v>
      </c>
    </row>
    <row r="2305" customFormat="false" ht="12.8" hidden="false" customHeight="false" outlineLevel="0" collapsed="false">
      <c r="A2305" s="9" t="s">
        <v>7904</v>
      </c>
      <c r="B2305" s="10" t="s">
        <v>7905</v>
      </c>
      <c r="C2305" s="10" t="n">
        <v>450000</v>
      </c>
      <c r="D2305" s="0" t="s">
        <v>6352</v>
      </c>
      <c r="E2305" s="0" t="s">
        <v>6323</v>
      </c>
      <c r="F2305" s="0" t="s">
        <v>6324</v>
      </c>
      <c r="G2305" s="0" t="s">
        <v>6325</v>
      </c>
    </row>
    <row r="2306" customFormat="false" ht="12.8" hidden="false" customHeight="false" outlineLevel="0" collapsed="false">
      <c r="A2306" s="9" t="s">
        <v>7906</v>
      </c>
      <c r="B2306" s="10" t="s">
        <v>7907</v>
      </c>
      <c r="C2306" s="10" t="n">
        <v>280000</v>
      </c>
      <c r="D2306" s="0" t="s">
        <v>6355</v>
      </c>
      <c r="E2306" s="0" t="s">
        <v>6323</v>
      </c>
      <c r="F2306" s="0" t="s">
        <v>6324</v>
      </c>
      <c r="G2306" s="0" t="s">
        <v>6325</v>
      </c>
    </row>
    <row r="2307" customFormat="false" ht="12.8" hidden="false" customHeight="false" outlineLevel="0" collapsed="false">
      <c r="A2307" s="9" t="s">
        <v>7908</v>
      </c>
      <c r="B2307" s="10" t="s">
        <v>7909</v>
      </c>
      <c r="C2307" s="10" t="n">
        <v>220000</v>
      </c>
      <c r="D2307" s="0" t="s">
        <v>6358</v>
      </c>
      <c r="E2307" s="0" t="s">
        <v>6323</v>
      </c>
      <c r="F2307" s="0" t="s">
        <v>6324</v>
      </c>
      <c r="G2307" s="0" t="s">
        <v>6325</v>
      </c>
    </row>
    <row r="2308" customFormat="false" ht="12.8" hidden="false" customHeight="false" outlineLevel="0" collapsed="false">
      <c r="A2308" s="9" t="s">
        <v>7910</v>
      </c>
      <c r="B2308" s="10" t="s">
        <v>7911</v>
      </c>
      <c r="C2308" s="10" t="n">
        <v>180000</v>
      </c>
      <c r="D2308" s="0" t="s">
        <v>6361</v>
      </c>
      <c r="E2308" s="0" t="s">
        <v>6323</v>
      </c>
      <c r="F2308" s="0" t="s">
        <v>6324</v>
      </c>
      <c r="G2308" s="0" t="s">
        <v>6325</v>
      </c>
    </row>
    <row r="2309" customFormat="false" ht="12.8" hidden="false" customHeight="false" outlineLevel="0" collapsed="false">
      <c r="A2309" s="9" t="s">
        <v>7912</v>
      </c>
      <c r="B2309" s="10" t="s">
        <v>7913</v>
      </c>
      <c r="C2309" s="10" t="n">
        <v>120000</v>
      </c>
      <c r="D2309" s="0" t="s">
        <v>6364</v>
      </c>
      <c r="E2309" s="0" t="s">
        <v>6323</v>
      </c>
      <c r="F2309" s="0" t="s">
        <v>6324</v>
      </c>
      <c r="G2309" s="0" t="s">
        <v>6325</v>
      </c>
    </row>
    <row r="2310" customFormat="false" ht="12.8" hidden="false" customHeight="false" outlineLevel="0" collapsed="false">
      <c r="A2310" s="9" t="s">
        <v>7914</v>
      </c>
      <c r="B2310" s="10" t="s">
        <v>7915</v>
      </c>
      <c r="C2310" s="10" t="n">
        <v>250000</v>
      </c>
      <c r="D2310" s="0" t="s">
        <v>6367</v>
      </c>
      <c r="E2310" s="0" t="s">
        <v>6323</v>
      </c>
      <c r="F2310" s="0" t="s">
        <v>6324</v>
      </c>
      <c r="G2310" s="0" t="s">
        <v>6325</v>
      </c>
    </row>
    <row r="2316" customFormat="false" ht="12.8" hidden="false" customHeight="false" outlineLevel="0" collapsed="false">
      <c r="A2316" s="9" t="s">
        <v>7916</v>
      </c>
      <c r="B2316" s="10" t="s">
        <v>7917</v>
      </c>
      <c r="C2316" s="10" t="n">
        <v>0.0007</v>
      </c>
      <c r="D2316" s="0" t="s">
        <v>6397</v>
      </c>
      <c r="E2316" s="0" t="s">
        <v>6323</v>
      </c>
      <c r="F2316" s="0" t="s">
        <v>6324</v>
      </c>
      <c r="G2316" s="0" t="s">
        <v>6325</v>
      </c>
    </row>
    <row r="2317" customFormat="false" ht="12.8" hidden="false" customHeight="false" outlineLevel="0" collapsed="false">
      <c r="A2317" s="9" t="s">
        <v>7918</v>
      </c>
      <c r="B2317" s="10" t="s">
        <v>7919</v>
      </c>
      <c r="C2317" s="10" t="n">
        <v>0.0006</v>
      </c>
      <c r="D2317" s="0" t="s">
        <v>6400</v>
      </c>
      <c r="E2317" s="0" t="s">
        <v>6323</v>
      </c>
      <c r="F2317" s="0" t="s">
        <v>6324</v>
      </c>
      <c r="G2317" s="0" t="s">
        <v>6325</v>
      </c>
    </row>
    <row r="2318" customFormat="false" ht="12.8" hidden="false" customHeight="false" outlineLevel="0" collapsed="false">
      <c r="A2318" s="9" t="s">
        <v>7920</v>
      </c>
      <c r="B2318" s="10" t="s">
        <v>7921</v>
      </c>
      <c r="C2318" s="10" t="n">
        <v>0.0005</v>
      </c>
      <c r="D2318" s="0" t="s">
        <v>6403</v>
      </c>
      <c r="E2318" s="0" t="s">
        <v>6323</v>
      </c>
      <c r="F2318" s="0" t="s">
        <v>6324</v>
      </c>
      <c r="G2318" s="0" t="s">
        <v>6325</v>
      </c>
    </row>
    <row r="2319" customFormat="false" ht="12.8" hidden="false" customHeight="false" outlineLevel="0" collapsed="false">
      <c r="A2319" s="9" t="s">
        <v>7922</v>
      </c>
      <c r="B2319" s="10" t="s">
        <v>7923</v>
      </c>
      <c r="C2319" s="10" t="n">
        <v>0.0004</v>
      </c>
      <c r="D2319" s="0" t="s">
        <v>6406</v>
      </c>
      <c r="E2319" s="0" t="s">
        <v>6323</v>
      </c>
      <c r="F2319" s="0" t="s">
        <v>6324</v>
      </c>
      <c r="G2319" s="0" t="s">
        <v>6325</v>
      </c>
    </row>
    <row r="2320" customFormat="false" ht="12.8" hidden="false" customHeight="false" outlineLevel="0" collapsed="false">
      <c r="A2320" s="9" t="s">
        <v>7924</v>
      </c>
      <c r="B2320" s="10" t="s">
        <v>7925</v>
      </c>
      <c r="C2320" s="10" t="n">
        <v>0.0007</v>
      </c>
      <c r="D2320" s="0" t="s">
        <v>6409</v>
      </c>
      <c r="E2320" s="0" t="s">
        <v>6323</v>
      </c>
      <c r="F2320" s="0" t="s">
        <v>6324</v>
      </c>
      <c r="G2320" s="0" t="s">
        <v>6325</v>
      </c>
    </row>
    <row r="2321" customFormat="false" ht="12.8" hidden="false" customHeight="false" outlineLevel="0" collapsed="false">
      <c r="A2321" s="9" t="s">
        <v>7926</v>
      </c>
      <c r="B2321" s="10" t="s">
        <v>7927</v>
      </c>
      <c r="C2321" s="10" t="n">
        <v>0.0003</v>
      </c>
      <c r="D2321" s="0" t="s">
        <v>6412</v>
      </c>
      <c r="E2321" s="0" t="s">
        <v>6323</v>
      </c>
      <c r="F2321" s="0" t="s">
        <v>6324</v>
      </c>
      <c r="G2321" s="0" t="s">
        <v>6325</v>
      </c>
    </row>
    <row r="2322" customFormat="false" ht="12.8" hidden="false" customHeight="false" outlineLevel="0" collapsed="false">
      <c r="A2322" s="9" t="s">
        <v>7928</v>
      </c>
      <c r="B2322" s="10" t="s">
        <v>7929</v>
      </c>
      <c r="C2322" s="10" t="n">
        <v>0.0006</v>
      </c>
      <c r="D2322" s="0" t="s">
        <v>6442</v>
      </c>
      <c r="E2322" s="0" t="s">
        <v>6323</v>
      </c>
      <c r="F2322" s="0" t="s">
        <v>6324</v>
      </c>
      <c r="G2322" s="0" t="s">
        <v>6325</v>
      </c>
    </row>
    <row r="2323" customFormat="false" ht="12.8" hidden="false" customHeight="false" outlineLevel="0" collapsed="false">
      <c r="A2323" s="9" t="s">
        <v>7930</v>
      </c>
      <c r="B2323" s="10" t="s">
        <v>7931</v>
      </c>
      <c r="C2323" s="10" t="n">
        <v>0.0005</v>
      </c>
      <c r="D2323" s="0" t="s">
        <v>6445</v>
      </c>
      <c r="E2323" s="0" t="s">
        <v>6323</v>
      </c>
      <c r="F2323" s="0" t="s">
        <v>6324</v>
      </c>
      <c r="G2323" s="0" t="s">
        <v>6325</v>
      </c>
    </row>
    <row r="2324" customFormat="false" ht="12.8" hidden="false" customHeight="false" outlineLevel="0" collapsed="false">
      <c r="A2324" s="9" t="s">
        <v>7932</v>
      </c>
      <c r="B2324" s="10" t="s">
        <v>7933</v>
      </c>
      <c r="C2324" s="10" t="n">
        <v>0.0004</v>
      </c>
      <c r="D2324" s="0" t="s">
        <v>6448</v>
      </c>
      <c r="E2324" s="0" t="s">
        <v>6323</v>
      </c>
      <c r="F2324" s="0" t="s">
        <v>6324</v>
      </c>
      <c r="G2324" s="0" t="s">
        <v>6325</v>
      </c>
    </row>
    <row r="2330" customFormat="false" ht="12.8" hidden="false" customHeight="false" outlineLevel="0" collapsed="false">
      <c r="A2330" s="9" t="s">
        <v>7934</v>
      </c>
      <c r="B2330" s="10" t="s">
        <v>7935</v>
      </c>
      <c r="C2330" s="10" t="n">
        <v>0.0002</v>
      </c>
      <c r="D2330" s="0" t="s">
        <v>6478</v>
      </c>
      <c r="E2330" s="0" t="s">
        <v>6323</v>
      </c>
      <c r="F2330" s="0" t="s">
        <v>6324</v>
      </c>
      <c r="G2330" s="0" t="s">
        <v>6325</v>
      </c>
    </row>
    <row r="2331" customFormat="false" ht="12.8" hidden="false" customHeight="false" outlineLevel="0" collapsed="false">
      <c r="A2331" s="9" t="s">
        <v>7936</v>
      </c>
      <c r="B2331" s="10" t="s">
        <v>7937</v>
      </c>
      <c r="C2331" s="10" t="n">
        <v>0.0002</v>
      </c>
      <c r="D2331" s="0" t="s">
        <v>6481</v>
      </c>
      <c r="E2331" s="0" t="s">
        <v>6323</v>
      </c>
      <c r="F2331" s="0" t="s">
        <v>6324</v>
      </c>
      <c r="G2331" s="0" t="s">
        <v>6325</v>
      </c>
    </row>
    <row r="2332" customFormat="false" ht="12.8" hidden="false" customHeight="false" outlineLevel="0" collapsed="false">
      <c r="A2332" s="9" t="s">
        <v>7938</v>
      </c>
      <c r="B2332" s="10" t="s">
        <v>7939</v>
      </c>
      <c r="C2332" s="10" t="n">
        <v>0.0002</v>
      </c>
      <c r="D2332" s="0" t="s">
        <v>6484</v>
      </c>
      <c r="E2332" s="0" t="s">
        <v>6323</v>
      </c>
      <c r="F2332" s="0" t="s">
        <v>6324</v>
      </c>
      <c r="G2332" s="0" t="s">
        <v>6325</v>
      </c>
    </row>
    <row r="2333" customFormat="false" ht="12.8" hidden="false" customHeight="false" outlineLevel="0" collapsed="false">
      <c r="A2333" s="9" t="s">
        <v>7940</v>
      </c>
      <c r="B2333" s="10" t="s">
        <v>7941</v>
      </c>
      <c r="C2333" s="10" t="n">
        <v>0.0002</v>
      </c>
      <c r="D2333" s="0" t="s">
        <v>6487</v>
      </c>
      <c r="E2333" s="0" t="s">
        <v>6323</v>
      </c>
      <c r="F2333" s="0" t="s">
        <v>6324</v>
      </c>
      <c r="G2333" s="0" t="s">
        <v>6325</v>
      </c>
    </row>
    <row r="2334" customFormat="false" ht="12.8" hidden="false" customHeight="false" outlineLevel="0" collapsed="false">
      <c r="A2334" s="9" t="s">
        <v>7942</v>
      </c>
      <c r="B2334" s="10" t="s">
        <v>7943</v>
      </c>
      <c r="C2334" s="10" t="n">
        <v>0.0002</v>
      </c>
      <c r="D2334" s="0" t="s">
        <v>6490</v>
      </c>
      <c r="E2334" s="0" t="s">
        <v>6323</v>
      </c>
      <c r="F2334" s="0" t="s">
        <v>6324</v>
      </c>
      <c r="G2334" s="0" t="s">
        <v>6325</v>
      </c>
    </row>
    <row r="2335" customFormat="false" ht="12.8" hidden="false" customHeight="false" outlineLevel="0" collapsed="false">
      <c r="A2335" s="9" t="s">
        <v>7944</v>
      </c>
      <c r="B2335" s="10" t="s">
        <v>7945</v>
      </c>
      <c r="C2335" s="10" t="n">
        <v>0.00015</v>
      </c>
      <c r="D2335" s="0" t="s">
        <v>6493</v>
      </c>
      <c r="E2335" s="0" t="s">
        <v>6323</v>
      </c>
      <c r="F2335" s="0" t="s">
        <v>6324</v>
      </c>
      <c r="G2335" s="0" t="s">
        <v>6325</v>
      </c>
    </row>
    <row r="2341" customFormat="false" ht="12.8" hidden="false" customHeight="false" outlineLevel="0" collapsed="false">
      <c r="A2341" s="9" t="s">
        <v>7946</v>
      </c>
      <c r="B2341" s="10" t="s">
        <v>7947</v>
      </c>
      <c r="C2341" s="10" t="n">
        <v>0.0004</v>
      </c>
      <c r="D2341" s="0" t="s">
        <v>6523</v>
      </c>
      <c r="E2341" s="0" t="s">
        <v>6323</v>
      </c>
      <c r="F2341" s="0" t="s">
        <v>6324</v>
      </c>
      <c r="G2341" s="0" t="s">
        <v>6325</v>
      </c>
    </row>
    <row r="2342" customFormat="false" ht="12.8" hidden="false" customHeight="false" outlineLevel="0" collapsed="false">
      <c r="A2342" s="9" t="s">
        <v>7948</v>
      </c>
      <c r="B2342" s="10" t="s">
        <v>7949</v>
      </c>
      <c r="C2342" s="10" t="n">
        <v>0.0003</v>
      </c>
      <c r="D2342" s="0" t="s">
        <v>6526</v>
      </c>
      <c r="E2342" s="0" t="s">
        <v>6323</v>
      </c>
      <c r="F2342" s="0" t="s">
        <v>6324</v>
      </c>
      <c r="G2342" s="0" t="s">
        <v>6325</v>
      </c>
    </row>
    <row r="2343" customFormat="false" ht="12.8" hidden="false" customHeight="false" outlineLevel="0" collapsed="false">
      <c r="A2343" s="9" t="s">
        <v>7950</v>
      </c>
      <c r="B2343" s="10" t="s">
        <v>7951</v>
      </c>
      <c r="C2343" s="10" t="n">
        <v>0.0003</v>
      </c>
      <c r="D2343" s="0" t="s">
        <v>6529</v>
      </c>
      <c r="E2343" s="0" t="s">
        <v>6323</v>
      </c>
      <c r="F2343" s="0" t="s">
        <v>6324</v>
      </c>
      <c r="G2343" s="0" t="s">
        <v>6325</v>
      </c>
    </row>
    <row r="2344" customFormat="false" ht="12.8" hidden="false" customHeight="false" outlineLevel="0" collapsed="false">
      <c r="A2344" s="9" t="s">
        <v>7952</v>
      </c>
      <c r="B2344" s="10" t="s">
        <v>7953</v>
      </c>
      <c r="C2344" s="10" t="n">
        <v>0.0003</v>
      </c>
      <c r="D2344" s="0" t="s">
        <v>6532</v>
      </c>
      <c r="E2344" s="0" t="s">
        <v>6323</v>
      </c>
      <c r="F2344" s="0" t="s">
        <v>6324</v>
      </c>
      <c r="G2344" s="0" t="s">
        <v>6325</v>
      </c>
    </row>
    <row r="2345" customFormat="false" ht="12.8" hidden="false" customHeight="false" outlineLevel="0" collapsed="false">
      <c r="A2345" s="9" t="s">
        <v>7954</v>
      </c>
      <c r="B2345" s="10" t="s">
        <v>7955</v>
      </c>
      <c r="C2345" s="10" t="n">
        <v>0.0004</v>
      </c>
      <c r="D2345" s="0" t="s">
        <v>6535</v>
      </c>
      <c r="E2345" s="0" t="s">
        <v>6323</v>
      </c>
      <c r="F2345" s="0" t="s">
        <v>6324</v>
      </c>
      <c r="G2345" s="0" t="s">
        <v>6325</v>
      </c>
    </row>
    <row r="2346" customFormat="false" ht="12.8" hidden="false" customHeight="false" outlineLevel="0" collapsed="false">
      <c r="A2346" s="9" t="s">
        <v>7956</v>
      </c>
      <c r="B2346" s="10" t="s">
        <v>7957</v>
      </c>
      <c r="C2346" s="10" t="n">
        <v>0.0002</v>
      </c>
      <c r="D2346" s="0" t="s">
        <v>6538</v>
      </c>
      <c r="E2346" s="0" t="s">
        <v>6323</v>
      </c>
      <c r="F2346" s="0" t="s">
        <v>6324</v>
      </c>
      <c r="G2346" s="0" t="s">
        <v>6325</v>
      </c>
    </row>
    <row r="2352" customFormat="false" ht="12.8" hidden="false" customHeight="false" outlineLevel="0" collapsed="false">
      <c r="A2352" s="9" t="s">
        <v>7958</v>
      </c>
      <c r="B2352" s="10" t="s">
        <v>7959</v>
      </c>
      <c r="C2352" s="10" t="n">
        <v>5.2</v>
      </c>
      <c r="D2352" s="0" t="s">
        <v>6570</v>
      </c>
      <c r="E2352" s="0" t="s">
        <v>6542</v>
      </c>
      <c r="F2352" s="0" t="s">
        <v>6543</v>
      </c>
      <c r="G2352" s="0" t="s">
        <v>6324</v>
      </c>
      <c r="H2352" s="0" t="s">
        <v>6325</v>
      </c>
    </row>
    <row r="2353" customFormat="false" ht="12.8" hidden="false" customHeight="false" outlineLevel="0" collapsed="false">
      <c r="A2353" s="9" t="s">
        <v>7960</v>
      </c>
      <c r="B2353" s="10" t="s">
        <v>7961</v>
      </c>
      <c r="C2353" s="10" t="n">
        <v>7.8</v>
      </c>
      <c r="D2353" s="0" t="s">
        <v>6573</v>
      </c>
      <c r="E2353" s="0" t="s">
        <v>6542</v>
      </c>
      <c r="F2353" s="0" t="s">
        <v>6543</v>
      </c>
      <c r="G2353" s="0" t="s">
        <v>6324</v>
      </c>
      <c r="H2353" s="0" t="s">
        <v>6325</v>
      </c>
    </row>
    <row r="2354" customFormat="false" ht="12.8" hidden="false" customHeight="false" outlineLevel="0" collapsed="false">
      <c r="A2354" s="9" t="s">
        <v>7962</v>
      </c>
      <c r="B2354" s="10" t="s">
        <v>7963</v>
      </c>
      <c r="C2354" s="10" t="n">
        <v>4.6</v>
      </c>
      <c r="D2354" s="0" t="s">
        <v>6576</v>
      </c>
      <c r="E2354" s="0" t="s">
        <v>6542</v>
      </c>
      <c r="F2354" s="0" t="s">
        <v>6543</v>
      </c>
      <c r="G2354" s="0" t="s">
        <v>6324</v>
      </c>
      <c r="H2354" s="0" t="s">
        <v>6325</v>
      </c>
    </row>
    <row r="2355" customFormat="false" ht="12.8" hidden="false" customHeight="false" outlineLevel="0" collapsed="false">
      <c r="A2355" s="9" t="s">
        <v>7964</v>
      </c>
      <c r="B2355" s="10" t="s">
        <v>7965</v>
      </c>
      <c r="C2355" s="10" t="n">
        <v>6.5</v>
      </c>
      <c r="D2355" s="0" t="s">
        <v>6579</v>
      </c>
      <c r="E2355" s="0" t="s">
        <v>6542</v>
      </c>
      <c r="F2355" s="0" t="s">
        <v>6543</v>
      </c>
      <c r="G2355" s="0" t="s">
        <v>6324</v>
      </c>
      <c r="H2355" s="0" t="s">
        <v>6325</v>
      </c>
    </row>
    <row r="2356" customFormat="false" ht="12.8" hidden="false" customHeight="false" outlineLevel="0" collapsed="false">
      <c r="A2356" s="9" t="s">
        <v>7966</v>
      </c>
      <c r="B2356" s="10" t="s">
        <v>7967</v>
      </c>
      <c r="C2356" s="10" t="n">
        <v>6.2</v>
      </c>
      <c r="D2356" s="0" t="s">
        <v>6582</v>
      </c>
      <c r="E2356" s="0" t="s">
        <v>6542</v>
      </c>
      <c r="F2356" s="0" t="s">
        <v>6543</v>
      </c>
      <c r="G2356" s="0" t="s">
        <v>6324</v>
      </c>
      <c r="H2356" s="0" t="s">
        <v>6325</v>
      </c>
    </row>
    <row r="2357" customFormat="false" ht="12.8" hidden="false" customHeight="false" outlineLevel="0" collapsed="false">
      <c r="A2357" s="9" t="s">
        <v>7968</v>
      </c>
      <c r="B2357" s="10" t="s">
        <v>7969</v>
      </c>
      <c r="C2357" s="10" t="n">
        <v>4</v>
      </c>
      <c r="D2357" s="0" t="s">
        <v>6585</v>
      </c>
      <c r="E2357" s="0" t="s">
        <v>6542</v>
      </c>
      <c r="F2357" s="0" t="s">
        <v>6543</v>
      </c>
      <c r="G2357" s="0" t="s">
        <v>6324</v>
      </c>
      <c r="H2357" s="0" t="s">
        <v>6325</v>
      </c>
    </row>
    <row r="2358" customFormat="false" ht="12.8" hidden="false" customHeight="false" outlineLevel="0" collapsed="false">
      <c r="A2358" s="9" t="s">
        <v>7970</v>
      </c>
      <c r="B2358" s="10" t="s">
        <v>7971</v>
      </c>
      <c r="C2358" s="10" t="n">
        <v>32000</v>
      </c>
      <c r="D2358" s="0" t="s">
        <v>6617</v>
      </c>
      <c r="E2358" s="0" t="s">
        <v>6589</v>
      </c>
      <c r="F2358" s="0" t="s">
        <v>6590</v>
      </c>
      <c r="G2358" s="0" t="s">
        <v>6324</v>
      </c>
      <c r="H2358" s="0" t="s">
        <v>6325</v>
      </c>
    </row>
    <row r="2359" customFormat="false" ht="12.8" hidden="false" customHeight="false" outlineLevel="0" collapsed="false">
      <c r="A2359" s="9" t="s">
        <v>7972</v>
      </c>
      <c r="B2359" s="10" t="s">
        <v>7973</v>
      </c>
      <c r="C2359" s="10" t="n">
        <v>48000</v>
      </c>
      <c r="D2359" s="0" t="s">
        <v>6620</v>
      </c>
      <c r="E2359" s="0" t="s">
        <v>6589</v>
      </c>
      <c r="F2359" s="0" t="s">
        <v>6590</v>
      </c>
      <c r="G2359" s="0" t="s">
        <v>6324</v>
      </c>
      <c r="H2359" s="0" t="s">
        <v>6325</v>
      </c>
    </row>
    <row r="2360" customFormat="false" ht="12.8" hidden="false" customHeight="false" outlineLevel="0" collapsed="false">
      <c r="A2360" s="9" t="s">
        <v>7974</v>
      </c>
      <c r="B2360" s="10" t="s">
        <v>7975</v>
      </c>
      <c r="C2360" s="10" t="n">
        <v>28000</v>
      </c>
      <c r="D2360" s="0" t="s">
        <v>6623</v>
      </c>
      <c r="E2360" s="0" t="s">
        <v>6589</v>
      </c>
      <c r="F2360" s="0" t="s">
        <v>6590</v>
      </c>
      <c r="G2360" s="0" t="s">
        <v>6324</v>
      </c>
      <c r="H2360" s="0" t="s">
        <v>6325</v>
      </c>
    </row>
    <row r="2361" customFormat="false" ht="12.8" hidden="false" customHeight="false" outlineLevel="0" collapsed="false">
      <c r="A2361" s="9" t="s">
        <v>7976</v>
      </c>
      <c r="B2361" s="10" t="s">
        <v>7977</v>
      </c>
      <c r="C2361" s="10" t="n">
        <v>40000</v>
      </c>
      <c r="D2361" s="0" t="s">
        <v>6626</v>
      </c>
      <c r="E2361" s="0" t="s">
        <v>6589</v>
      </c>
      <c r="F2361" s="0" t="s">
        <v>6590</v>
      </c>
      <c r="G2361" s="0" t="s">
        <v>6324</v>
      </c>
      <c r="H2361" s="0" t="s">
        <v>6325</v>
      </c>
    </row>
    <row r="2362" customFormat="false" ht="12.8" hidden="false" customHeight="false" outlineLevel="0" collapsed="false">
      <c r="A2362" s="9" t="s">
        <v>7978</v>
      </c>
      <c r="B2362" s="10" t="s">
        <v>7979</v>
      </c>
      <c r="C2362" s="10" t="n">
        <v>38000</v>
      </c>
      <c r="D2362" s="0" t="s">
        <v>6629</v>
      </c>
      <c r="E2362" s="0" t="s">
        <v>6589</v>
      </c>
      <c r="F2362" s="0" t="s">
        <v>6590</v>
      </c>
      <c r="G2362" s="0" t="s">
        <v>6324</v>
      </c>
      <c r="H2362" s="0" t="s">
        <v>6325</v>
      </c>
    </row>
    <row r="2363" customFormat="false" ht="12.8" hidden="false" customHeight="false" outlineLevel="0" collapsed="false">
      <c r="A2363" s="9" t="s">
        <v>7980</v>
      </c>
      <c r="B2363" s="10" t="s">
        <v>7981</v>
      </c>
      <c r="C2363" s="10" t="n">
        <v>25000</v>
      </c>
      <c r="D2363" s="0" t="s">
        <v>6632</v>
      </c>
      <c r="E2363" s="0" t="s">
        <v>6589</v>
      </c>
      <c r="F2363" s="0" t="s">
        <v>6590</v>
      </c>
      <c r="G2363" s="0" t="s">
        <v>6324</v>
      </c>
      <c r="H2363" s="0" t="s">
        <v>6325</v>
      </c>
    </row>
    <row r="2369" customFormat="false" ht="12.8" hidden="false" customHeight="false" outlineLevel="0" collapsed="false">
      <c r="A2369" s="9" t="s">
        <v>7982</v>
      </c>
      <c r="B2369" s="10" t="s">
        <v>7983</v>
      </c>
      <c r="C2369" s="10" t="n">
        <v>95000000</v>
      </c>
      <c r="D2369" s="0" t="s">
        <v>6663</v>
      </c>
      <c r="E2369" s="0" t="s">
        <v>6636</v>
      </c>
      <c r="F2369" s="0" t="s">
        <v>6323</v>
      </c>
      <c r="G2369" s="0" t="s">
        <v>6324</v>
      </c>
      <c r="H2369" s="0" t="s">
        <v>6325</v>
      </c>
    </row>
    <row r="2371" customFormat="false" ht="12.8" hidden="false" customHeight="false" outlineLevel="0" collapsed="false">
      <c r="A2371" s="9" t="s">
        <v>7984</v>
      </c>
      <c r="B2371" s="10" t="s">
        <v>7985</v>
      </c>
      <c r="C2371" s="10" t="n">
        <v>60000000</v>
      </c>
      <c r="D2371" s="0" t="s">
        <v>6666</v>
      </c>
      <c r="E2371" s="0" t="s">
        <v>6636</v>
      </c>
      <c r="F2371" s="0" t="s">
        <v>6323</v>
      </c>
      <c r="G2371" s="0" t="s">
        <v>6324</v>
      </c>
      <c r="H2371" s="0" t="s">
        <v>6325</v>
      </c>
    </row>
    <row r="2372" customFormat="false" ht="12.8" hidden="false" customHeight="false" outlineLevel="0" collapsed="false">
      <c r="A2372" s="9" t="s">
        <v>7986</v>
      </c>
      <c r="B2372" s="10" t="s">
        <v>7987</v>
      </c>
      <c r="C2372" s="10" t="n">
        <v>38000000</v>
      </c>
      <c r="D2372" s="0" t="s">
        <v>6669</v>
      </c>
      <c r="E2372" s="0" t="s">
        <v>6636</v>
      </c>
      <c r="F2372" s="0" t="s">
        <v>6323</v>
      </c>
      <c r="G2372" s="0" t="s">
        <v>6324</v>
      </c>
      <c r="H2372" s="0" t="s">
        <v>6325</v>
      </c>
    </row>
    <row r="2373" customFormat="false" ht="12.8" hidden="false" customHeight="false" outlineLevel="0" collapsed="false">
      <c r="A2373" s="9" t="s">
        <v>7988</v>
      </c>
      <c r="B2373" s="10" t="s">
        <v>7989</v>
      </c>
      <c r="C2373" s="10" t="n">
        <v>27000000</v>
      </c>
      <c r="D2373" s="0" t="s">
        <v>6672</v>
      </c>
      <c r="E2373" s="0" t="s">
        <v>6636</v>
      </c>
      <c r="F2373" s="0" t="s">
        <v>6323</v>
      </c>
      <c r="G2373" s="0" t="s">
        <v>6324</v>
      </c>
      <c r="H2373" s="0" t="s">
        <v>6325</v>
      </c>
    </row>
    <row r="2374" customFormat="false" ht="12.8" hidden="false" customHeight="false" outlineLevel="0" collapsed="false">
      <c r="A2374" s="9" t="s">
        <v>7990</v>
      </c>
      <c r="B2374" s="10" t="s">
        <v>7991</v>
      </c>
      <c r="C2374" s="10" t="n">
        <v>8000000</v>
      </c>
      <c r="D2374" s="0" t="s">
        <v>6675</v>
      </c>
      <c r="E2374" s="0" t="s">
        <v>6636</v>
      </c>
      <c r="F2374" s="0" t="s">
        <v>6323</v>
      </c>
      <c r="G2374" s="0" t="s">
        <v>6324</v>
      </c>
      <c r="H2374" s="0" t="s">
        <v>6325</v>
      </c>
    </row>
    <row r="2375" customFormat="false" ht="12.8" hidden="false" customHeight="false" outlineLevel="0" collapsed="false">
      <c r="A2375" s="9" t="s">
        <v>7992</v>
      </c>
      <c r="B2375" s="10" t="s">
        <v>7993</v>
      </c>
      <c r="C2375" s="10" t="n">
        <v>110000000</v>
      </c>
      <c r="D2375" s="0" t="s">
        <v>6678</v>
      </c>
      <c r="E2375" s="0" t="s">
        <v>6636</v>
      </c>
      <c r="F2375" s="0" t="s">
        <v>6323</v>
      </c>
      <c r="G2375" s="0" t="s">
        <v>6324</v>
      </c>
      <c r="H2375" s="0" t="s">
        <v>6325</v>
      </c>
    </row>
    <row r="2381" customFormat="false" ht="12.8" hidden="false" customHeight="false" outlineLevel="0" collapsed="false">
      <c r="A2381" s="9" t="s">
        <v>7994</v>
      </c>
      <c r="B2381" s="10" t="s">
        <v>7995</v>
      </c>
      <c r="C2381" s="10" t="n">
        <v>42000000</v>
      </c>
      <c r="D2381" s="0" t="s">
        <v>6708</v>
      </c>
      <c r="E2381" s="0" t="s">
        <v>6636</v>
      </c>
      <c r="F2381" s="0" t="s">
        <v>6323</v>
      </c>
      <c r="G2381" s="0" t="s">
        <v>6324</v>
      </c>
      <c r="H2381" s="0" t="s">
        <v>6325</v>
      </c>
    </row>
    <row r="2382" customFormat="false" ht="12.8" hidden="false" customHeight="false" outlineLevel="0" collapsed="false">
      <c r="A2382" s="9" t="s">
        <v>7996</v>
      </c>
      <c r="B2382" s="10" t="s">
        <v>7997</v>
      </c>
      <c r="C2382" s="10" t="n">
        <v>32000000</v>
      </c>
      <c r="D2382" s="0" t="s">
        <v>6711</v>
      </c>
      <c r="E2382" s="0" t="s">
        <v>6636</v>
      </c>
      <c r="F2382" s="0" t="s">
        <v>6323</v>
      </c>
      <c r="G2382" s="0" t="s">
        <v>6324</v>
      </c>
      <c r="H2382" s="0" t="s">
        <v>6325</v>
      </c>
    </row>
    <row r="2383" customFormat="false" ht="12.8" hidden="false" customHeight="false" outlineLevel="0" collapsed="false">
      <c r="A2383" s="9" t="s">
        <v>7998</v>
      </c>
      <c r="B2383" s="10" t="s">
        <v>7999</v>
      </c>
      <c r="C2383" s="10" t="n">
        <v>17000000</v>
      </c>
      <c r="D2383" s="0" t="s">
        <v>6714</v>
      </c>
      <c r="E2383" s="0" t="s">
        <v>6636</v>
      </c>
      <c r="F2383" s="0" t="s">
        <v>6323</v>
      </c>
      <c r="G2383" s="0" t="s">
        <v>6324</v>
      </c>
      <c r="H2383" s="0" t="s">
        <v>6325</v>
      </c>
    </row>
    <row r="2384" customFormat="false" ht="12.8" hidden="false" customHeight="false" outlineLevel="0" collapsed="false">
      <c r="A2384" s="9" t="s">
        <v>8000</v>
      </c>
      <c r="B2384" s="10" t="s">
        <v>8001</v>
      </c>
      <c r="C2384" s="10" t="n">
        <v>14000000</v>
      </c>
      <c r="D2384" s="0" t="s">
        <v>6717</v>
      </c>
      <c r="E2384" s="0" t="s">
        <v>6636</v>
      </c>
      <c r="F2384" s="0" t="s">
        <v>6323</v>
      </c>
      <c r="G2384" s="0" t="s">
        <v>6324</v>
      </c>
      <c r="H2384" s="0" t="s">
        <v>6325</v>
      </c>
    </row>
    <row r="2385" customFormat="false" ht="12.8" hidden="false" customHeight="false" outlineLevel="0" collapsed="false">
      <c r="A2385" s="9" t="s">
        <v>8002</v>
      </c>
      <c r="B2385" s="10" t="s">
        <v>8003</v>
      </c>
      <c r="C2385" s="10" t="n">
        <v>4500000</v>
      </c>
      <c r="D2385" s="0" t="s">
        <v>6720</v>
      </c>
      <c r="E2385" s="0" t="s">
        <v>6636</v>
      </c>
      <c r="F2385" s="0" t="s">
        <v>6323</v>
      </c>
      <c r="G2385" s="0" t="s">
        <v>6324</v>
      </c>
      <c r="H2385" s="0" t="s">
        <v>6325</v>
      </c>
    </row>
    <row r="2386" customFormat="false" ht="12.8" hidden="false" customHeight="false" outlineLevel="0" collapsed="false">
      <c r="A2386" s="9" t="s">
        <v>8004</v>
      </c>
      <c r="B2386" s="10" t="s">
        <v>8005</v>
      </c>
      <c r="C2386" s="10" t="n">
        <v>50000000</v>
      </c>
      <c r="D2386" s="0" t="s">
        <v>6723</v>
      </c>
      <c r="E2386" s="0" t="s">
        <v>6636</v>
      </c>
      <c r="F2386" s="0" t="s">
        <v>6323</v>
      </c>
      <c r="G2386" s="0" t="s">
        <v>6324</v>
      </c>
      <c r="H2386" s="0" t="s">
        <v>6325</v>
      </c>
    </row>
    <row r="2392" customFormat="false" ht="12.8" hidden="false" customHeight="false" outlineLevel="0" collapsed="false">
      <c r="A2392" s="9" t="s">
        <v>8006</v>
      </c>
      <c r="B2392" s="10" t="s">
        <v>8007</v>
      </c>
      <c r="C2392" s="10" t="n">
        <v>66000000</v>
      </c>
      <c r="D2392" s="0" t="s">
        <v>6753</v>
      </c>
      <c r="E2392" s="0" t="s">
        <v>6636</v>
      </c>
      <c r="F2392" s="0" t="s">
        <v>6323</v>
      </c>
      <c r="G2392" s="0" t="s">
        <v>6324</v>
      </c>
      <c r="H2392" s="0" t="s">
        <v>6325</v>
      </c>
    </row>
    <row r="2393" customFormat="false" ht="12.8" hidden="false" customHeight="false" outlineLevel="0" collapsed="false">
      <c r="A2393" s="9" t="s">
        <v>8008</v>
      </c>
      <c r="B2393" s="10" t="s">
        <v>8009</v>
      </c>
      <c r="C2393" s="10" t="n">
        <v>50000000</v>
      </c>
      <c r="D2393" s="0" t="s">
        <v>6756</v>
      </c>
      <c r="E2393" s="0" t="s">
        <v>6636</v>
      </c>
      <c r="F2393" s="0" t="s">
        <v>6323</v>
      </c>
      <c r="G2393" s="0" t="s">
        <v>6324</v>
      </c>
      <c r="H2393" s="0" t="s">
        <v>6325</v>
      </c>
    </row>
    <row r="2394" customFormat="false" ht="12.8" hidden="false" customHeight="false" outlineLevel="0" collapsed="false">
      <c r="A2394" s="9" t="s">
        <v>8010</v>
      </c>
      <c r="B2394" s="10" t="s">
        <v>8011</v>
      </c>
      <c r="C2394" s="10" t="n">
        <v>27000000</v>
      </c>
      <c r="D2394" s="0" t="s">
        <v>6759</v>
      </c>
      <c r="E2394" s="0" t="s">
        <v>6636</v>
      </c>
      <c r="F2394" s="0" t="s">
        <v>6323</v>
      </c>
      <c r="G2394" s="0" t="s">
        <v>6324</v>
      </c>
      <c r="H2394" s="0" t="s">
        <v>6325</v>
      </c>
    </row>
    <row r="2395" customFormat="false" ht="12.8" hidden="false" customHeight="false" outlineLevel="0" collapsed="false">
      <c r="A2395" s="9" t="s">
        <v>8012</v>
      </c>
      <c r="B2395" s="10" t="s">
        <v>8013</v>
      </c>
      <c r="C2395" s="10" t="n">
        <v>22000000</v>
      </c>
      <c r="D2395" s="0" t="s">
        <v>6762</v>
      </c>
      <c r="E2395" s="0" t="s">
        <v>6636</v>
      </c>
      <c r="F2395" s="0" t="s">
        <v>6323</v>
      </c>
      <c r="G2395" s="0" t="s">
        <v>6324</v>
      </c>
      <c r="H2395" s="0" t="s">
        <v>6325</v>
      </c>
    </row>
    <row r="2396" customFormat="false" ht="12.8" hidden="false" customHeight="false" outlineLevel="0" collapsed="false">
      <c r="A2396" s="9" t="s">
        <v>8014</v>
      </c>
      <c r="B2396" s="10" t="s">
        <v>8015</v>
      </c>
      <c r="C2396" s="10" t="n">
        <v>7000000</v>
      </c>
      <c r="D2396" s="0" t="s">
        <v>6765</v>
      </c>
      <c r="E2396" s="0" t="s">
        <v>6636</v>
      </c>
      <c r="F2396" s="0" t="s">
        <v>6323</v>
      </c>
      <c r="G2396" s="0" t="s">
        <v>6324</v>
      </c>
      <c r="H2396" s="0" t="s">
        <v>6325</v>
      </c>
    </row>
    <row r="2397" customFormat="false" ht="12.8" hidden="false" customHeight="false" outlineLevel="0" collapsed="false">
      <c r="A2397" s="9" t="s">
        <v>8016</v>
      </c>
      <c r="B2397" s="10" t="s">
        <v>8017</v>
      </c>
      <c r="C2397" s="10" t="n">
        <v>78000000</v>
      </c>
      <c r="D2397" s="0" t="s">
        <v>6768</v>
      </c>
      <c r="E2397" s="0" t="s">
        <v>6636</v>
      </c>
      <c r="F2397" s="0" t="s">
        <v>6323</v>
      </c>
      <c r="G2397" s="0" t="s">
        <v>6324</v>
      </c>
      <c r="H2397" s="0" t="s">
        <v>6325</v>
      </c>
    </row>
    <row r="2403" customFormat="false" ht="12.8" hidden="false" customHeight="false" outlineLevel="0" collapsed="false">
      <c r="A2403" s="9" t="s">
        <v>8018</v>
      </c>
      <c r="B2403" s="10" t="s">
        <v>8019</v>
      </c>
      <c r="C2403" s="10" t="n">
        <v>52000000</v>
      </c>
      <c r="D2403" s="0" t="s">
        <v>6798</v>
      </c>
      <c r="E2403" s="0" t="s">
        <v>6636</v>
      </c>
      <c r="F2403" s="0" t="s">
        <v>6323</v>
      </c>
      <c r="G2403" s="0" t="s">
        <v>6324</v>
      </c>
      <c r="H2403" s="0" t="s">
        <v>6325</v>
      </c>
    </row>
    <row r="2404" customFormat="false" ht="12.8" hidden="false" customHeight="false" outlineLevel="0" collapsed="false">
      <c r="A2404" s="9" t="s">
        <v>8020</v>
      </c>
      <c r="B2404" s="10" t="s">
        <v>8021</v>
      </c>
      <c r="C2404" s="10" t="n">
        <v>40000000</v>
      </c>
      <c r="D2404" s="0" t="s">
        <v>6801</v>
      </c>
      <c r="E2404" s="0" t="s">
        <v>6636</v>
      </c>
      <c r="F2404" s="0" t="s">
        <v>6323</v>
      </c>
      <c r="G2404" s="0" t="s">
        <v>6324</v>
      </c>
      <c r="H2404" s="0" t="s">
        <v>6325</v>
      </c>
    </row>
    <row r="2405" customFormat="false" ht="12.8" hidden="false" customHeight="false" outlineLevel="0" collapsed="false">
      <c r="A2405" s="9" t="s">
        <v>8022</v>
      </c>
      <c r="B2405" s="10" t="s">
        <v>8023</v>
      </c>
      <c r="C2405" s="10" t="n">
        <v>21000000</v>
      </c>
      <c r="D2405" s="0" t="s">
        <v>6804</v>
      </c>
      <c r="E2405" s="0" t="s">
        <v>6636</v>
      </c>
      <c r="F2405" s="0" t="s">
        <v>6323</v>
      </c>
      <c r="G2405" s="0" t="s">
        <v>6324</v>
      </c>
      <c r="H2405" s="0" t="s">
        <v>6325</v>
      </c>
    </row>
    <row r="2406" customFormat="false" ht="12.8" hidden="false" customHeight="false" outlineLevel="0" collapsed="false">
      <c r="A2406" s="9" t="s">
        <v>8024</v>
      </c>
      <c r="B2406" s="10" t="s">
        <v>8025</v>
      </c>
      <c r="C2406" s="10" t="n">
        <v>18000000</v>
      </c>
      <c r="D2406" s="0" t="s">
        <v>6807</v>
      </c>
      <c r="E2406" s="0" t="s">
        <v>6636</v>
      </c>
      <c r="F2406" s="0" t="s">
        <v>6323</v>
      </c>
      <c r="G2406" s="0" t="s">
        <v>6324</v>
      </c>
      <c r="H2406" s="0" t="s">
        <v>6325</v>
      </c>
    </row>
    <row r="2407" customFormat="false" ht="12.8" hidden="false" customHeight="false" outlineLevel="0" collapsed="false">
      <c r="A2407" s="9" t="s">
        <v>8026</v>
      </c>
      <c r="B2407" s="10" t="s">
        <v>8027</v>
      </c>
      <c r="C2407" s="10" t="n">
        <v>6000000</v>
      </c>
      <c r="D2407" s="0" t="s">
        <v>6810</v>
      </c>
      <c r="E2407" s="0" t="s">
        <v>6636</v>
      </c>
      <c r="F2407" s="0" t="s">
        <v>6323</v>
      </c>
      <c r="G2407" s="0" t="s">
        <v>6324</v>
      </c>
      <c r="H2407" s="0" t="s">
        <v>6325</v>
      </c>
    </row>
    <row r="2408" customFormat="false" ht="12.8" hidden="false" customHeight="false" outlineLevel="0" collapsed="false">
      <c r="A2408" s="9" t="s">
        <v>8028</v>
      </c>
      <c r="B2408" s="10" t="s">
        <v>8029</v>
      </c>
      <c r="C2408" s="10" t="n">
        <v>62000000</v>
      </c>
      <c r="D2408" s="0" t="s">
        <v>6813</v>
      </c>
      <c r="E2408" s="0" t="s">
        <v>6636</v>
      </c>
      <c r="F2408" s="0" t="s">
        <v>6323</v>
      </c>
      <c r="G2408" s="0" t="s">
        <v>6324</v>
      </c>
      <c r="H2408" s="0" t="s">
        <v>6325</v>
      </c>
    </row>
    <row r="2414" customFormat="false" ht="12.8" hidden="false" customHeight="false" outlineLevel="0" collapsed="false">
      <c r="A2414" s="9" t="s">
        <v>8030</v>
      </c>
      <c r="B2414" s="10" t="s">
        <v>8031</v>
      </c>
      <c r="C2414" s="10" t="n">
        <v>0.33</v>
      </c>
      <c r="D2414" s="0" t="s">
        <v>8032</v>
      </c>
      <c r="E2414" s="0" t="s">
        <v>8033</v>
      </c>
      <c r="F2414" s="0" t="s">
        <v>3160</v>
      </c>
      <c r="G2414" s="0" t="s">
        <v>4205</v>
      </c>
    </row>
    <row r="2415" customFormat="false" ht="12.8" hidden="false" customHeight="false" outlineLevel="0" collapsed="false">
      <c r="A2415" s="9" t="s">
        <v>8034</v>
      </c>
      <c r="B2415" s="10" t="s">
        <v>8035</v>
      </c>
      <c r="C2415" s="10" t="n">
        <v>0.25</v>
      </c>
      <c r="D2415" s="0" t="s">
        <v>8036</v>
      </c>
      <c r="E2415" s="0" t="s">
        <v>8033</v>
      </c>
      <c r="F2415" s="0" t="s">
        <v>3160</v>
      </c>
      <c r="G2415" s="0" t="s">
        <v>4205</v>
      </c>
    </row>
    <row r="2416" customFormat="false" ht="12.8" hidden="false" customHeight="false" outlineLevel="0" collapsed="false">
      <c r="A2416" s="9" t="s">
        <v>8037</v>
      </c>
      <c r="B2416" s="10" t="s">
        <v>8038</v>
      </c>
      <c r="C2416" s="10" t="n">
        <v>0.4</v>
      </c>
      <c r="D2416" s="0" t="s">
        <v>8039</v>
      </c>
      <c r="E2416" s="0" t="s">
        <v>8033</v>
      </c>
      <c r="F2416" s="0" t="s">
        <v>3160</v>
      </c>
      <c r="G2416" s="0" t="s">
        <v>4205</v>
      </c>
    </row>
    <row r="2417" customFormat="false" ht="12.8" hidden="false" customHeight="false" outlineLevel="0" collapsed="false">
      <c r="A2417" s="9" t="s">
        <v>8040</v>
      </c>
      <c r="B2417" s="10" t="s">
        <v>8041</v>
      </c>
      <c r="C2417" s="10" t="n">
        <v>0.4</v>
      </c>
      <c r="D2417" s="0" t="s">
        <v>8042</v>
      </c>
      <c r="E2417" s="0" t="s">
        <v>8033</v>
      </c>
      <c r="F2417" s="0" t="s">
        <v>3160</v>
      </c>
      <c r="G2417" s="0" t="s">
        <v>4205</v>
      </c>
    </row>
    <row r="2418" customFormat="false" ht="12.8" hidden="false" customHeight="false" outlineLevel="0" collapsed="false">
      <c r="A2418" s="9" t="s">
        <v>8043</v>
      </c>
      <c r="B2418" s="10" t="s">
        <v>8044</v>
      </c>
      <c r="C2418" s="10" t="n">
        <v>0.25</v>
      </c>
      <c r="D2418" s="0" t="s">
        <v>8045</v>
      </c>
      <c r="E2418" s="0" t="s">
        <v>8033</v>
      </c>
      <c r="F2418" s="0" t="s">
        <v>3160</v>
      </c>
      <c r="G2418" s="0" t="s">
        <v>4205</v>
      </c>
    </row>
    <row r="2419" customFormat="false" ht="12.8" hidden="false" customHeight="false" outlineLevel="0" collapsed="false">
      <c r="A2419" s="9" t="s">
        <v>8046</v>
      </c>
      <c r="B2419" s="10" t="s">
        <v>8047</v>
      </c>
      <c r="C2419" s="10" t="n">
        <v>0.33</v>
      </c>
      <c r="D2419" s="0" t="s">
        <v>8048</v>
      </c>
      <c r="E2419" s="0" t="s">
        <v>8033</v>
      </c>
      <c r="F2419" s="0" t="s">
        <v>3160</v>
      </c>
      <c r="G2419" s="0" t="s">
        <v>4205</v>
      </c>
    </row>
    <row r="2420" customFormat="false" ht="12.8" hidden="false" customHeight="false" outlineLevel="0" collapsed="false">
      <c r="A2420" s="9" t="s">
        <v>8049</v>
      </c>
      <c r="B2420" s="10" t="s">
        <v>8050</v>
      </c>
      <c r="C2420" s="10" t="n">
        <v>0.33</v>
      </c>
      <c r="D2420" s="0" t="s">
        <v>8051</v>
      </c>
      <c r="E2420" s="0" t="s">
        <v>8033</v>
      </c>
      <c r="F2420" s="0" t="s">
        <v>3160</v>
      </c>
      <c r="G2420" s="0" t="s">
        <v>4205</v>
      </c>
    </row>
    <row r="2421" customFormat="false" ht="12.8" hidden="false" customHeight="false" outlineLevel="0" collapsed="false">
      <c r="A2421" s="9" t="s">
        <v>8052</v>
      </c>
      <c r="B2421" s="10" t="s">
        <v>8053</v>
      </c>
      <c r="C2421" s="10" t="n">
        <v>0.2</v>
      </c>
      <c r="D2421" s="0" t="s">
        <v>8054</v>
      </c>
      <c r="E2421" s="0" t="s">
        <v>8033</v>
      </c>
      <c r="F2421" s="0" t="s">
        <v>3160</v>
      </c>
      <c r="G2421" s="0" t="s">
        <v>4205</v>
      </c>
    </row>
    <row r="2422" customFormat="false" ht="12.8" hidden="false" customHeight="false" outlineLevel="0" collapsed="false">
      <c r="A2422" s="9" t="s">
        <v>8055</v>
      </c>
      <c r="B2422" s="10" t="s">
        <v>8056</v>
      </c>
      <c r="C2422" s="10" t="n">
        <v>0.25</v>
      </c>
      <c r="D2422" s="0" t="s">
        <v>8057</v>
      </c>
      <c r="E2422" s="0" t="s">
        <v>8033</v>
      </c>
      <c r="F2422" s="0" t="s">
        <v>3160</v>
      </c>
      <c r="G2422" s="0" t="s">
        <v>4205</v>
      </c>
    </row>
    <row r="2423" customFormat="false" ht="12.8" hidden="false" customHeight="false" outlineLevel="0" collapsed="false">
      <c r="A2423" s="9" t="s">
        <v>8058</v>
      </c>
      <c r="B2423" s="10" t="s">
        <v>8059</v>
      </c>
      <c r="C2423" s="10" t="n">
        <v>0.33</v>
      </c>
      <c r="D2423" s="0" t="s">
        <v>8060</v>
      </c>
      <c r="E2423" s="0" t="s">
        <v>8033</v>
      </c>
      <c r="F2423" s="0" t="s">
        <v>3160</v>
      </c>
      <c r="G2423" s="0" t="s">
        <v>4205</v>
      </c>
    </row>
    <row r="2424" customFormat="false" ht="12.8" hidden="false" customHeight="false" outlineLevel="0" collapsed="false">
      <c r="A2424" s="9" t="s">
        <v>8061</v>
      </c>
      <c r="B2424" s="10" t="s">
        <v>8062</v>
      </c>
      <c r="C2424" s="10" t="n">
        <v>0.4</v>
      </c>
      <c r="D2424" s="0" t="s">
        <v>8063</v>
      </c>
      <c r="E2424" s="0" t="s">
        <v>8033</v>
      </c>
      <c r="F2424" s="0" t="s">
        <v>3160</v>
      </c>
      <c r="G2424" s="0" t="s">
        <v>4205</v>
      </c>
    </row>
    <row r="2425" customFormat="false" ht="12.8" hidden="false" customHeight="false" outlineLevel="0" collapsed="false">
      <c r="A2425" s="9" t="s">
        <v>8064</v>
      </c>
      <c r="B2425" s="10" t="s">
        <v>8065</v>
      </c>
      <c r="C2425" s="10" t="n">
        <v>0.25</v>
      </c>
      <c r="D2425" s="0" t="s">
        <v>8066</v>
      </c>
      <c r="E2425" s="0" t="s">
        <v>8033</v>
      </c>
      <c r="F2425" s="0" t="s">
        <v>3160</v>
      </c>
      <c r="G2425" s="0" t="s">
        <v>4205</v>
      </c>
    </row>
    <row r="2426" customFormat="false" ht="12.8" hidden="false" customHeight="false" outlineLevel="0" collapsed="false">
      <c r="A2426" s="9" t="s">
        <v>8067</v>
      </c>
      <c r="B2426" s="10" t="s">
        <v>8068</v>
      </c>
      <c r="C2426" s="10" t="n">
        <v>0.4</v>
      </c>
      <c r="D2426" s="0" t="s">
        <v>8069</v>
      </c>
      <c r="E2426" s="0" t="s">
        <v>8033</v>
      </c>
      <c r="F2426" s="0" t="s">
        <v>3160</v>
      </c>
      <c r="G2426" s="0" t="s">
        <v>4205</v>
      </c>
    </row>
    <row r="2427" customFormat="false" ht="12.8" hidden="false" customHeight="false" outlineLevel="0" collapsed="false">
      <c r="A2427" s="9" t="s">
        <v>8070</v>
      </c>
      <c r="B2427" s="10" t="s">
        <v>8071</v>
      </c>
      <c r="C2427" s="10" t="n">
        <v>0.33</v>
      </c>
      <c r="D2427" s="0" t="s">
        <v>8072</v>
      </c>
      <c r="E2427" s="0" t="s">
        <v>8033</v>
      </c>
      <c r="F2427" s="0" t="s">
        <v>3160</v>
      </c>
      <c r="G2427" s="0" t="s">
        <v>4205</v>
      </c>
    </row>
    <row r="2428" customFormat="false" ht="12.8" hidden="false" customHeight="false" outlineLevel="0" collapsed="false">
      <c r="A2428" s="9" t="s">
        <v>8073</v>
      </c>
      <c r="B2428" s="10" t="s">
        <v>8074</v>
      </c>
      <c r="C2428" s="10" t="n">
        <v>0.25</v>
      </c>
      <c r="D2428" s="0" t="s">
        <v>8075</v>
      </c>
      <c r="E2428" s="0" t="s">
        <v>8033</v>
      </c>
      <c r="F2428" s="0" t="s">
        <v>3160</v>
      </c>
      <c r="G2428" s="0" t="s">
        <v>4205</v>
      </c>
    </row>
    <row r="2434" customFormat="false" ht="12.8" hidden="false" customHeight="false" outlineLevel="0" collapsed="false">
      <c r="A2434" s="9" t="s">
        <v>8076</v>
      </c>
      <c r="B2434" s="10" t="s">
        <v>3572</v>
      </c>
      <c r="C2434" s="10" t="n">
        <v>0.88</v>
      </c>
      <c r="D2434" s="0" t="s">
        <v>4271</v>
      </c>
      <c r="E2434" s="0" t="s">
        <v>4252</v>
      </c>
      <c r="F2434" s="0" t="s">
        <v>3160</v>
      </c>
      <c r="G2434" s="0" t="s">
        <v>4253</v>
      </c>
    </row>
    <row r="2435" customFormat="false" ht="12.8" hidden="false" customHeight="false" outlineLevel="0" collapsed="false">
      <c r="A2435" s="9" t="s">
        <v>8077</v>
      </c>
      <c r="B2435" s="10" t="s">
        <v>3581</v>
      </c>
      <c r="C2435" s="10" t="n">
        <v>0.9</v>
      </c>
      <c r="D2435" s="0" t="s">
        <v>4273</v>
      </c>
      <c r="E2435" s="0" t="s">
        <v>4252</v>
      </c>
      <c r="F2435" s="0" t="s">
        <v>3160</v>
      </c>
      <c r="G2435" s="0" t="s">
        <v>4253</v>
      </c>
    </row>
    <row r="2436" customFormat="false" ht="12.8" hidden="false" customHeight="false" outlineLevel="0" collapsed="false">
      <c r="A2436" s="9" t="s">
        <v>8078</v>
      </c>
      <c r="B2436" s="10" t="s">
        <v>3590</v>
      </c>
      <c r="C2436" s="10" t="n">
        <v>0.92</v>
      </c>
      <c r="D2436" s="0" t="s">
        <v>4275</v>
      </c>
      <c r="E2436" s="0" t="s">
        <v>4252</v>
      </c>
      <c r="F2436" s="0" t="s">
        <v>3160</v>
      </c>
      <c r="G2436" s="0" t="s">
        <v>4253</v>
      </c>
    </row>
    <row r="2437" customFormat="false" ht="12.8" hidden="false" customHeight="false" outlineLevel="0" collapsed="false">
      <c r="A2437" s="9" t="s">
        <v>8079</v>
      </c>
      <c r="B2437" s="10" t="s">
        <v>3599</v>
      </c>
      <c r="C2437" s="10" t="n">
        <v>0.9</v>
      </c>
      <c r="D2437" s="0" t="s">
        <v>4277</v>
      </c>
      <c r="E2437" s="0" t="s">
        <v>4252</v>
      </c>
      <c r="F2437" s="0" t="s">
        <v>3160</v>
      </c>
      <c r="G2437" s="0" t="s">
        <v>4253</v>
      </c>
    </row>
    <row r="2438" customFormat="false" ht="12.8" hidden="false" customHeight="false" outlineLevel="0" collapsed="false">
      <c r="A2438" s="9" t="s">
        <v>8080</v>
      </c>
      <c r="B2438" s="10" t="s">
        <v>4279</v>
      </c>
      <c r="C2438" s="10" t="n">
        <v>0.85</v>
      </c>
      <c r="D2438" s="0" t="s">
        <v>4280</v>
      </c>
      <c r="E2438" s="0" t="s">
        <v>4252</v>
      </c>
      <c r="F2438" s="0" t="s">
        <v>3160</v>
      </c>
      <c r="G2438" s="0" t="s">
        <v>4253</v>
      </c>
    </row>
    <row r="2439" customFormat="false" ht="12.8" hidden="false" customHeight="false" outlineLevel="0" collapsed="false">
      <c r="A2439" s="9" t="s">
        <v>8081</v>
      </c>
      <c r="B2439" s="10" t="s">
        <v>3717</v>
      </c>
      <c r="C2439" s="10" t="n">
        <v>0.95</v>
      </c>
      <c r="D2439" s="0" t="s">
        <v>4282</v>
      </c>
      <c r="E2439" s="0" t="s">
        <v>4252</v>
      </c>
      <c r="F2439" s="0" t="s">
        <v>3160</v>
      </c>
      <c r="G2439" s="0" t="s">
        <v>4253</v>
      </c>
    </row>
    <row r="2440" customFormat="false" ht="12.8" hidden="false" customHeight="false" outlineLevel="0" collapsed="false">
      <c r="A2440" s="9" t="s">
        <v>8082</v>
      </c>
      <c r="B2440" s="10" t="s">
        <v>3575</v>
      </c>
      <c r="C2440" s="10" t="n">
        <v>0.06</v>
      </c>
      <c r="D2440" s="0" t="s">
        <v>4304</v>
      </c>
      <c r="E2440" s="0" t="s">
        <v>4285</v>
      </c>
      <c r="F2440" s="0" t="s">
        <v>3160</v>
      </c>
      <c r="G2440" s="0" t="s">
        <v>4286</v>
      </c>
    </row>
    <row r="2441" customFormat="false" ht="12.8" hidden="false" customHeight="false" outlineLevel="0" collapsed="false">
      <c r="A2441" s="9" t="s">
        <v>8083</v>
      </c>
      <c r="B2441" s="10" t="s">
        <v>3584</v>
      </c>
      <c r="C2441" s="10" t="n">
        <v>0.05</v>
      </c>
      <c r="D2441" s="0" t="s">
        <v>4306</v>
      </c>
      <c r="E2441" s="0" t="s">
        <v>4285</v>
      </c>
      <c r="F2441" s="0" t="s">
        <v>3160</v>
      </c>
      <c r="G2441" s="0" t="s">
        <v>4286</v>
      </c>
    </row>
    <row r="2442" customFormat="false" ht="12.8" hidden="false" customHeight="false" outlineLevel="0" collapsed="false">
      <c r="A2442" s="9" t="s">
        <v>8084</v>
      </c>
      <c r="B2442" s="10" t="s">
        <v>3593</v>
      </c>
      <c r="C2442" s="10" t="n">
        <v>0.04</v>
      </c>
      <c r="D2442" s="0" t="s">
        <v>4308</v>
      </c>
      <c r="E2442" s="0" t="s">
        <v>4285</v>
      </c>
      <c r="F2442" s="0" t="s">
        <v>3160</v>
      </c>
      <c r="G2442" s="0" t="s">
        <v>4286</v>
      </c>
    </row>
    <row r="2443" customFormat="false" ht="12.8" hidden="false" customHeight="false" outlineLevel="0" collapsed="false">
      <c r="A2443" s="9" t="s">
        <v>8085</v>
      </c>
      <c r="B2443" s="10" t="s">
        <v>3602</v>
      </c>
      <c r="C2443" s="10" t="n">
        <v>0.05</v>
      </c>
      <c r="D2443" s="0" t="s">
        <v>4310</v>
      </c>
      <c r="E2443" s="0" t="s">
        <v>4285</v>
      </c>
      <c r="F2443" s="0" t="s">
        <v>3160</v>
      </c>
      <c r="G2443" s="0" t="s">
        <v>4286</v>
      </c>
    </row>
    <row r="2444" customFormat="false" ht="12.8" hidden="false" customHeight="false" outlineLevel="0" collapsed="false">
      <c r="A2444" s="9" t="s">
        <v>8086</v>
      </c>
      <c r="B2444" s="10" t="s">
        <v>4312</v>
      </c>
      <c r="C2444" s="10" t="n">
        <v>0.075</v>
      </c>
      <c r="D2444" s="0" t="s">
        <v>4313</v>
      </c>
      <c r="E2444" s="0" t="s">
        <v>4285</v>
      </c>
      <c r="F2444" s="0" t="s">
        <v>3160</v>
      </c>
      <c r="G2444" s="0" t="s">
        <v>4286</v>
      </c>
    </row>
    <row r="2445" customFormat="false" ht="12.8" hidden="false" customHeight="false" outlineLevel="0" collapsed="false">
      <c r="A2445" s="9" t="s">
        <v>8087</v>
      </c>
      <c r="B2445" s="10" t="s">
        <v>3720</v>
      </c>
      <c r="C2445" s="10" t="n">
        <v>0.025</v>
      </c>
      <c r="D2445" s="0" t="s">
        <v>4315</v>
      </c>
      <c r="E2445" s="0" t="s">
        <v>4285</v>
      </c>
      <c r="F2445" s="0" t="s">
        <v>3160</v>
      </c>
      <c r="G2445" s="0" t="s">
        <v>4286</v>
      </c>
    </row>
    <row r="2447" customFormat="false" ht="12.8" hidden="false" customHeight="false" outlineLevel="0" collapsed="false">
      <c r="A2447" s="9" t="s">
        <v>8088</v>
      </c>
      <c r="B2447" s="10" t="s">
        <v>4346</v>
      </c>
      <c r="C2447" s="10" t="n">
        <v>29</v>
      </c>
      <c r="D2447" s="0" t="s">
        <v>4347</v>
      </c>
      <c r="E2447" s="0" t="s">
        <v>4319</v>
      </c>
      <c r="F2447" s="0" t="s">
        <v>3160</v>
      </c>
      <c r="G2447" s="0" t="s">
        <v>4320</v>
      </c>
    </row>
    <row r="2448" customFormat="false" ht="12.8" hidden="false" customHeight="false" outlineLevel="0" collapsed="false">
      <c r="A2448" s="9" t="s">
        <v>8089</v>
      </c>
      <c r="B2448" s="10" t="s">
        <v>4349</v>
      </c>
      <c r="C2448" s="10" t="n">
        <v>15</v>
      </c>
      <c r="D2448" s="0" t="s">
        <v>4350</v>
      </c>
      <c r="E2448" s="0" t="s">
        <v>4319</v>
      </c>
      <c r="F2448" s="0" t="s">
        <v>3160</v>
      </c>
      <c r="G2448" s="0" t="s">
        <v>4320</v>
      </c>
    </row>
    <row r="2449" customFormat="false" ht="12.8" hidden="false" customHeight="false" outlineLevel="0" collapsed="false">
      <c r="A2449" s="9" t="s">
        <v>8090</v>
      </c>
      <c r="B2449" s="10" t="s">
        <v>4352</v>
      </c>
      <c r="C2449" s="10" t="n">
        <v>11</v>
      </c>
      <c r="D2449" s="0" t="s">
        <v>4353</v>
      </c>
      <c r="E2449" s="0" t="s">
        <v>4319</v>
      </c>
      <c r="F2449" s="0" t="s">
        <v>3160</v>
      </c>
      <c r="G2449" s="0" t="s">
        <v>4320</v>
      </c>
    </row>
    <row r="2450" customFormat="false" ht="12.8" hidden="false" customHeight="false" outlineLevel="0" collapsed="false">
      <c r="A2450" s="9" t="s">
        <v>8091</v>
      </c>
      <c r="B2450" s="10" t="s">
        <v>4355</v>
      </c>
      <c r="C2450" s="10" t="n">
        <v>9</v>
      </c>
      <c r="D2450" s="0" t="s">
        <v>4356</v>
      </c>
      <c r="E2450" s="0" t="s">
        <v>4319</v>
      </c>
      <c r="F2450" s="0" t="s">
        <v>3160</v>
      </c>
      <c r="G2450" s="0" t="s">
        <v>4320</v>
      </c>
    </row>
    <row r="2451" customFormat="false" ht="12.8" hidden="false" customHeight="false" outlineLevel="0" collapsed="false">
      <c r="A2451" s="9" t="s">
        <v>8092</v>
      </c>
      <c r="B2451" s="10" t="s">
        <v>4358</v>
      </c>
      <c r="C2451" s="10" t="n">
        <v>6</v>
      </c>
      <c r="D2451" s="0" t="s">
        <v>4359</v>
      </c>
      <c r="E2451" s="0" t="s">
        <v>4319</v>
      </c>
      <c r="F2451" s="0" t="s">
        <v>3160</v>
      </c>
      <c r="G2451" s="0" t="s">
        <v>4320</v>
      </c>
    </row>
    <row r="2452" customFormat="false" ht="12.8" hidden="false" customHeight="false" outlineLevel="0" collapsed="false">
      <c r="A2452" s="9" t="s">
        <v>8093</v>
      </c>
      <c r="B2452" s="10" t="s">
        <v>4361</v>
      </c>
      <c r="C2452" s="10" t="n">
        <v>3</v>
      </c>
      <c r="D2452" s="0" t="s">
        <v>4362</v>
      </c>
      <c r="E2452" s="0" t="s">
        <v>4319</v>
      </c>
      <c r="F2452" s="0" t="s">
        <v>3160</v>
      </c>
      <c r="G2452" s="0" t="s">
        <v>4320</v>
      </c>
    </row>
    <row r="2458" customFormat="false" ht="12.8" hidden="false" customHeight="false" outlineLevel="0" collapsed="false">
      <c r="A2458" s="9" t="s">
        <v>8094</v>
      </c>
      <c r="B2458" s="10" t="s">
        <v>4484</v>
      </c>
      <c r="C2458" s="10" t="n">
        <v>0.646</v>
      </c>
      <c r="D2458" s="0" t="s">
        <v>4485</v>
      </c>
      <c r="E2458" s="0" t="s">
        <v>3820</v>
      </c>
      <c r="F2458" s="0" t="s">
        <v>3160</v>
      </c>
      <c r="G2458" s="0" t="s">
        <v>4413</v>
      </c>
    </row>
    <row r="2459" customFormat="false" ht="12.8" hidden="false" customHeight="false" outlineLevel="0" collapsed="false">
      <c r="A2459" s="9" t="s">
        <v>8095</v>
      </c>
      <c r="B2459" s="10" t="s">
        <v>4487</v>
      </c>
      <c r="C2459" s="10" t="n">
        <v>0.665</v>
      </c>
      <c r="D2459" s="0" t="s">
        <v>4488</v>
      </c>
      <c r="E2459" s="0" t="s">
        <v>3820</v>
      </c>
      <c r="F2459" s="0" t="s">
        <v>3160</v>
      </c>
      <c r="G2459" s="0" t="s">
        <v>4413</v>
      </c>
    </row>
    <row r="2460" customFormat="false" ht="12.8" hidden="false" customHeight="false" outlineLevel="0" collapsed="false">
      <c r="A2460" s="9" t="s">
        <v>8096</v>
      </c>
      <c r="B2460" s="10" t="s">
        <v>4490</v>
      </c>
      <c r="C2460" s="10" t="n">
        <v>0.684</v>
      </c>
      <c r="D2460" s="0" t="s">
        <v>4491</v>
      </c>
      <c r="E2460" s="0" t="s">
        <v>3820</v>
      </c>
      <c r="F2460" s="0" t="s">
        <v>3160</v>
      </c>
      <c r="G2460" s="0" t="s">
        <v>4413</v>
      </c>
    </row>
    <row r="2461" customFormat="false" ht="12.8" hidden="false" customHeight="false" outlineLevel="0" collapsed="false">
      <c r="A2461" s="9" t="s">
        <v>8097</v>
      </c>
      <c r="B2461" s="10" t="s">
        <v>4493</v>
      </c>
      <c r="C2461" s="10" t="n">
        <v>0.713</v>
      </c>
      <c r="D2461" s="0" t="s">
        <v>4494</v>
      </c>
      <c r="E2461" s="0" t="s">
        <v>3820</v>
      </c>
      <c r="F2461" s="0" t="s">
        <v>3160</v>
      </c>
      <c r="G2461" s="0" t="s">
        <v>4413</v>
      </c>
    </row>
    <row r="2462" customFormat="false" ht="12.8" hidden="false" customHeight="false" outlineLevel="0" collapsed="false">
      <c r="A2462" s="9" t="s">
        <v>8098</v>
      </c>
      <c r="B2462" s="10" t="s">
        <v>4496</v>
      </c>
      <c r="C2462" s="10" t="n">
        <v>0.674</v>
      </c>
      <c r="D2462" s="0" t="s">
        <v>4497</v>
      </c>
      <c r="E2462" s="0" t="s">
        <v>3820</v>
      </c>
      <c r="F2462" s="0" t="s">
        <v>3160</v>
      </c>
      <c r="G2462" s="0" t="s">
        <v>4413</v>
      </c>
    </row>
    <row r="2463" customFormat="false" ht="12.8" hidden="false" customHeight="false" outlineLevel="0" collapsed="false">
      <c r="A2463" s="9" t="s">
        <v>8099</v>
      </c>
      <c r="B2463" s="10" t="s">
        <v>4499</v>
      </c>
      <c r="C2463" s="10" t="n">
        <v>0.741</v>
      </c>
      <c r="D2463" s="0" t="s">
        <v>4500</v>
      </c>
      <c r="E2463" s="0" t="s">
        <v>3820</v>
      </c>
      <c r="F2463" s="0" t="s">
        <v>3160</v>
      </c>
      <c r="G2463" s="0" t="s">
        <v>4413</v>
      </c>
    </row>
    <row r="2469" customFormat="false" ht="12.8" hidden="false" customHeight="false" outlineLevel="0" collapsed="false">
      <c r="A2469" s="9" t="s">
        <v>8100</v>
      </c>
      <c r="B2469" s="10" t="s">
        <v>4756</v>
      </c>
      <c r="C2469" s="10" t="n">
        <v>0.71</v>
      </c>
      <c r="D2469" s="0" t="s">
        <v>4757</v>
      </c>
      <c r="E2469" s="0" t="s">
        <v>3820</v>
      </c>
      <c r="F2469" s="0" t="s">
        <v>3160</v>
      </c>
      <c r="G2469" s="0" t="s">
        <v>4413</v>
      </c>
    </row>
    <row r="2470" customFormat="false" ht="12.8" hidden="false" customHeight="false" outlineLevel="0" collapsed="false">
      <c r="A2470" s="9" t="s">
        <v>8101</v>
      </c>
      <c r="B2470" s="10" t="s">
        <v>4759</v>
      </c>
      <c r="C2470" s="10" t="n">
        <v>0.73</v>
      </c>
      <c r="D2470" s="0" t="s">
        <v>4760</v>
      </c>
      <c r="E2470" s="0" t="s">
        <v>3820</v>
      </c>
      <c r="F2470" s="0" t="s">
        <v>3160</v>
      </c>
      <c r="G2470" s="0" t="s">
        <v>4413</v>
      </c>
    </row>
    <row r="2471" customFormat="false" ht="12.8" hidden="false" customHeight="false" outlineLevel="0" collapsed="false">
      <c r="A2471" s="9" t="s">
        <v>8102</v>
      </c>
      <c r="B2471" s="10" t="s">
        <v>4762</v>
      </c>
      <c r="C2471" s="10" t="n">
        <v>0.75</v>
      </c>
      <c r="D2471" s="0" t="s">
        <v>4763</v>
      </c>
      <c r="E2471" s="0" t="s">
        <v>3820</v>
      </c>
      <c r="F2471" s="0" t="s">
        <v>3160</v>
      </c>
      <c r="G2471" s="0" t="s">
        <v>4413</v>
      </c>
    </row>
    <row r="2472" customFormat="false" ht="12.8" hidden="false" customHeight="false" outlineLevel="0" collapsed="false">
      <c r="A2472" s="9" t="s">
        <v>8103</v>
      </c>
      <c r="B2472" s="10" t="s">
        <v>4765</v>
      </c>
      <c r="C2472" s="10" t="n">
        <v>0.78</v>
      </c>
      <c r="D2472" s="0" t="s">
        <v>4766</v>
      </c>
      <c r="E2472" s="0" t="s">
        <v>3820</v>
      </c>
      <c r="F2472" s="0" t="s">
        <v>3160</v>
      </c>
      <c r="G2472" s="0" t="s">
        <v>4413</v>
      </c>
    </row>
    <row r="2473" customFormat="false" ht="12.8" hidden="false" customHeight="false" outlineLevel="0" collapsed="false">
      <c r="A2473" s="9" t="s">
        <v>8104</v>
      </c>
      <c r="B2473" s="10" t="s">
        <v>4768</v>
      </c>
      <c r="C2473" s="10" t="n">
        <v>0.74</v>
      </c>
      <c r="D2473" s="0" t="s">
        <v>4769</v>
      </c>
      <c r="E2473" s="0" t="s">
        <v>3820</v>
      </c>
      <c r="F2473" s="0" t="s">
        <v>3160</v>
      </c>
      <c r="G2473" s="0" t="s">
        <v>4413</v>
      </c>
    </row>
    <row r="2474" customFormat="false" ht="12.8" hidden="false" customHeight="false" outlineLevel="0" collapsed="false">
      <c r="A2474" s="9" t="s">
        <v>8105</v>
      </c>
      <c r="B2474" s="10" t="s">
        <v>4771</v>
      </c>
      <c r="C2474" s="10" t="n">
        <v>0.81</v>
      </c>
      <c r="D2474" s="0" t="s">
        <v>4772</v>
      </c>
      <c r="E2474" s="0" t="s">
        <v>3820</v>
      </c>
      <c r="F2474" s="0" t="s">
        <v>3160</v>
      </c>
      <c r="G2474" s="0" t="s">
        <v>4413</v>
      </c>
    </row>
    <row r="2480" customFormat="false" ht="12.8" hidden="false" customHeight="false" outlineLevel="0" collapsed="false">
      <c r="A2480" s="9" t="s">
        <v>8106</v>
      </c>
      <c r="B2480" s="10" t="s">
        <v>4895</v>
      </c>
      <c r="C2480" s="10" t="n">
        <v>0.07</v>
      </c>
      <c r="D2480" s="0" t="s">
        <v>4896</v>
      </c>
      <c r="E2480" s="0" t="s">
        <v>3820</v>
      </c>
      <c r="F2480" s="0" t="s">
        <v>3160</v>
      </c>
      <c r="G2480" s="0" t="s">
        <v>4413</v>
      </c>
    </row>
    <row r="2481" customFormat="false" ht="12.8" hidden="false" customHeight="false" outlineLevel="0" collapsed="false">
      <c r="A2481" s="9" t="s">
        <v>8107</v>
      </c>
      <c r="B2481" s="10" t="s">
        <v>4898</v>
      </c>
      <c r="C2481" s="10" t="n">
        <v>0.07</v>
      </c>
      <c r="D2481" s="0" t="s">
        <v>4899</v>
      </c>
      <c r="E2481" s="0" t="s">
        <v>3820</v>
      </c>
      <c r="F2481" s="0" t="s">
        <v>3160</v>
      </c>
      <c r="G2481" s="0" t="s">
        <v>4413</v>
      </c>
    </row>
    <row r="2482" customFormat="false" ht="12.8" hidden="false" customHeight="false" outlineLevel="0" collapsed="false">
      <c r="A2482" s="9" t="s">
        <v>8108</v>
      </c>
      <c r="B2482" s="10" t="s">
        <v>4901</v>
      </c>
      <c r="C2482" s="10" t="n">
        <v>0.07</v>
      </c>
      <c r="D2482" s="0" t="s">
        <v>4902</v>
      </c>
      <c r="E2482" s="0" t="s">
        <v>3820</v>
      </c>
      <c r="F2482" s="0" t="s">
        <v>3160</v>
      </c>
      <c r="G2482" s="0" t="s">
        <v>4413</v>
      </c>
    </row>
    <row r="2483" customFormat="false" ht="12.8" hidden="false" customHeight="false" outlineLevel="0" collapsed="false">
      <c r="A2483" s="9" t="s">
        <v>8109</v>
      </c>
      <c r="B2483" s="10" t="s">
        <v>4904</v>
      </c>
      <c r="C2483" s="10" t="n">
        <v>0.07</v>
      </c>
      <c r="D2483" s="0" t="s">
        <v>4905</v>
      </c>
      <c r="E2483" s="0" t="s">
        <v>3820</v>
      </c>
      <c r="F2483" s="0" t="s">
        <v>3160</v>
      </c>
      <c r="G2483" s="0" t="s">
        <v>4413</v>
      </c>
    </row>
    <row r="2484" customFormat="false" ht="12.8" hidden="false" customHeight="false" outlineLevel="0" collapsed="false">
      <c r="A2484" s="9" t="s">
        <v>8110</v>
      </c>
      <c r="B2484" s="10" t="s">
        <v>4907</v>
      </c>
      <c r="C2484" s="10" t="n">
        <v>0.07</v>
      </c>
      <c r="D2484" s="0" t="s">
        <v>4908</v>
      </c>
      <c r="E2484" s="0" t="s">
        <v>3820</v>
      </c>
      <c r="F2484" s="0" t="s">
        <v>3160</v>
      </c>
      <c r="G2484" s="0" t="s">
        <v>4413</v>
      </c>
    </row>
    <row r="2485" customFormat="false" ht="12.8" hidden="false" customHeight="false" outlineLevel="0" collapsed="false">
      <c r="A2485" s="9" t="s">
        <v>8111</v>
      </c>
      <c r="B2485" s="10" t="s">
        <v>4910</v>
      </c>
      <c r="C2485" s="10" t="n">
        <v>0.07</v>
      </c>
      <c r="D2485" s="0" t="s">
        <v>4911</v>
      </c>
      <c r="E2485" s="0" t="s">
        <v>3820</v>
      </c>
      <c r="F2485" s="0" t="s">
        <v>3160</v>
      </c>
      <c r="G2485" s="0" t="s">
        <v>4413</v>
      </c>
    </row>
    <row r="2486" customFormat="false" ht="12.8" hidden="false" customHeight="false" outlineLevel="0" collapsed="false">
      <c r="A2486" s="9" t="s">
        <v>8112</v>
      </c>
      <c r="B2486" s="10" t="s">
        <v>5030</v>
      </c>
      <c r="C2486" s="10" t="n">
        <v>0.088</v>
      </c>
      <c r="D2486" s="0" t="s">
        <v>5031</v>
      </c>
      <c r="E2486" s="0" t="s">
        <v>3820</v>
      </c>
      <c r="F2486" s="0" t="s">
        <v>3160</v>
      </c>
      <c r="G2486" s="0" t="s">
        <v>4413</v>
      </c>
    </row>
    <row r="2488" customFormat="false" ht="12.8" hidden="false" customHeight="false" outlineLevel="0" collapsed="false">
      <c r="A2488" s="9" t="s">
        <v>8113</v>
      </c>
      <c r="B2488" s="10" t="s">
        <v>5033</v>
      </c>
      <c r="C2488" s="10" t="n">
        <v>0.065</v>
      </c>
      <c r="D2488" s="0" t="s">
        <v>5034</v>
      </c>
      <c r="E2488" s="0" t="s">
        <v>3820</v>
      </c>
      <c r="F2488" s="0" t="s">
        <v>3160</v>
      </c>
      <c r="G2488" s="0" t="s">
        <v>4413</v>
      </c>
    </row>
    <row r="2489" customFormat="false" ht="12.8" hidden="false" customHeight="false" outlineLevel="0" collapsed="false">
      <c r="A2489" s="9" t="s">
        <v>8114</v>
      </c>
      <c r="B2489" s="10" t="s">
        <v>5036</v>
      </c>
      <c r="C2489" s="10" t="n">
        <v>0.072</v>
      </c>
      <c r="D2489" s="0" t="s">
        <v>5037</v>
      </c>
      <c r="E2489" s="0" t="s">
        <v>3820</v>
      </c>
      <c r="F2489" s="0" t="s">
        <v>3160</v>
      </c>
      <c r="G2489" s="0" t="s">
        <v>4413</v>
      </c>
    </row>
    <row r="2490" customFormat="false" ht="12.8" hidden="false" customHeight="false" outlineLevel="0" collapsed="false">
      <c r="A2490" s="9" t="s">
        <v>8115</v>
      </c>
      <c r="B2490" s="10" t="s">
        <v>5039</v>
      </c>
      <c r="C2490" s="10" t="n">
        <v>0.068</v>
      </c>
      <c r="D2490" s="0" t="s">
        <v>5040</v>
      </c>
      <c r="E2490" s="0" t="s">
        <v>3820</v>
      </c>
      <c r="F2490" s="0" t="s">
        <v>3160</v>
      </c>
      <c r="G2490" s="0" t="s">
        <v>4413</v>
      </c>
    </row>
    <row r="2491" customFormat="false" ht="12.8" hidden="false" customHeight="false" outlineLevel="0" collapsed="false">
      <c r="A2491" s="9" t="s">
        <v>8116</v>
      </c>
      <c r="B2491" s="10" t="s">
        <v>5042</v>
      </c>
      <c r="C2491" s="10" t="n">
        <v>0.078</v>
      </c>
      <c r="D2491" s="0" t="s">
        <v>5043</v>
      </c>
      <c r="E2491" s="0" t="s">
        <v>3820</v>
      </c>
      <c r="F2491" s="0" t="s">
        <v>3160</v>
      </c>
      <c r="G2491" s="0" t="s">
        <v>4413</v>
      </c>
    </row>
    <row r="2492" customFormat="false" ht="12.8" hidden="false" customHeight="false" outlineLevel="0" collapsed="false">
      <c r="A2492" s="9" t="s">
        <v>8117</v>
      </c>
      <c r="B2492" s="10" t="s">
        <v>5045</v>
      </c>
      <c r="C2492" s="10" t="n">
        <v>0.045</v>
      </c>
      <c r="D2492" s="0" t="s">
        <v>5046</v>
      </c>
      <c r="E2492" s="0" t="s">
        <v>3820</v>
      </c>
      <c r="F2492" s="0" t="s">
        <v>3160</v>
      </c>
      <c r="G2492" s="0" t="s">
        <v>4413</v>
      </c>
    </row>
    <row r="2498" customFormat="false" ht="12.8" hidden="false" customHeight="false" outlineLevel="0" collapsed="false">
      <c r="A2498" s="9" t="s">
        <v>8118</v>
      </c>
      <c r="B2498" s="10" t="s">
        <v>5168</v>
      </c>
      <c r="C2498" s="10" t="n">
        <v>0.41</v>
      </c>
      <c r="D2498" s="0" t="s">
        <v>5169</v>
      </c>
      <c r="E2498" s="0" t="s">
        <v>5097</v>
      </c>
      <c r="F2498" s="0" t="s">
        <v>3160</v>
      </c>
      <c r="G2498" s="0" t="s">
        <v>5051</v>
      </c>
    </row>
    <row r="2499" customFormat="false" ht="12.8" hidden="false" customHeight="false" outlineLevel="0" collapsed="false">
      <c r="A2499" s="9" t="s">
        <v>8119</v>
      </c>
      <c r="B2499" s="10" t="s">
        <v>5171</v>
      </c>
      <c r="C2499" s="10" t="n">
        <v>0.29</v>
      </c>
      <c r="D2499" s="0" t="s">
        <v>5172</v>
      </c>
      <c r="E2499" s="0" t="s">
        <v>5097</v>
      </c>
      <c r="F2499" s="0" t="s">
        <v>3160</v>
      </c>
      <c r="G2499" s="0" t="s">
        <v>5051</v>
      </c>
    </row>
    <row r="2500" customFormat="false" ht="12.8" hidden="false" customHeight="false" outlineLevel="0" collapsed="false">
      <c r="A2500" s="9" t="s">
        <v>8120</v>
      </c>
      <c r="B2500" s="10" t="s">
        <v>5174</v>
      </c>
      <c r="C2500" s="10" t="n">
        <v>0.36</v>
      </c>
      <c r="D2500" s="0" t="s">
        <v>5175</v>
      </c>
      <c r="E2500" s="0" t="s">
        <v>5097</v>
      </c>
      <c r="F2500" s="0" t="s">
        <v>3160</v>
      </c>
      <c r="G2500" s="0" t="s">
        <v>5051</v>
      </c>
    </row>
    <row r="2501" customFormat="false" ht="12.8" hidden="false" customHeight="false" outlineLevel="0" collapsed="false">
      <c r="A2501" s="9" t="s">
        <v>8121</v>
      </c>
      <c r="B2501" s="10" t="s">
        <v>5177</v>
      </c>
      <c r="C2501" s="10" t="n">
        <v>0.33</v>
      </c>
      <c r="D2501" s="0" t="s">
        <v>5178</v>
      </c>
      <c r="E2501" s="0" t="s">
        <v>5097</v>
      </c>
      <c r="F2501" s="0" t="s">
        <v>3160</v>
      </c>
      <c r="G2501" s="0" t="s">
        <v>5051</v>
      </c>
    </row>
    <row r="2502" customFormat="false" ht="12.8" hidden="false" customHeight="false" outlineLevel="0" collapsed="false">
      <c r="A2502" s="9" t="s">
        <v>8122</v>
      </c>
      <c r="B2502" s="10" t="s">
        <v>5180</v>
      </c>
      <c r="C2502" s="10" t="n">
        <v>0.31</v>
      </c>
      <c r="D2502" s="0" t="s">
        <v>5181</v>
      </c>
      <c r="E2502" s="0" t="s">
        <v>5097</v>
      </c>
      <c r="F2502" s="0" t="s">
        <v>3160</v>
      </c>
      <c r="G2502" s="0" t="s">
        <v>5051</v>
      </c>
    </row>
    <row r="2503" customFormat="false" ht="12.8" hidden="false" customHeight="false" outlineLevel="0" collapsed="false">
      <c r="A2503" s="9" t="s">
        <v>8123</v>
      </c>
      <c r="B2503" s="10" t="s">
        <v>5183</v>
      </c>
      <c r="C2503" s="10" t="n">
        <v>0.22</v>
      </c>
      <c r="D2503" s="0" t="s">
        <v>5184</v>
      </c>
      <c r="E2503" s="0" t="s">
        <v>5097</v>
      </c>
      <c r="F2503" s="0" t="s">
        <v>3160</v>
      </c>
      <c r="G2503" s="0" t="s">
        <v>5051</v>
      </c>
    </row>
    <row r="2509" customFormat="false" ht="12.8" hidden="false" customHeight="false" outlineLevel="0" collapsed="false">
      <c r="A2509" s="9" t="s">
        <v>8124</v>
      </c>
      <c r="B2509" s="10" t="s">
        <v>5306</v>
      </c>
      <c r="C2509" s="10" t="n">
        <v>5400</v>
      </c>
      <c r="D2509" s="0" t="s">
        <v>5307</v>
      </c>
      <c r="E2509" s="0" t="s">
        <v>5235</v>
      </c>
      <c r="F2509" s="0" t="s">
        <v>3160</v>
      </c>
      <c r="G2509" s="0" t="s">
        <v>5189</v>
      </c>
    </row>
    <row r="2510" customFormat="false" ht="12.8" hidden="false" customHeight="false" outlineLevel="0" collapsed="false">
      <c r="A2510" s="9" t="s">
        <v>8125</v>
      </c>
      <c r="B2510" s="10" t="s">
        <v>5309</v>
      </c>
      <c r="C2510" s="10" t="n">
        <v>5800</v>
      </c>
      <c r="D2510" s="0" t="s">
        <v>5310</v>
      </c>
      <c r="E2510" s="0" t="s">
        <v>5235</v>
      </c>
      <c r="F2510" s="0" t="s">
        <v>3160</v>
      </c>
      <c r="G2510" s="0" t="s">
        <v>5189</v>
      </c>
    </row>
    <row r="2511" customFormat="false" ht="12.8" hidden="false" customHeight="false" outlineLevel="0" collapsed="false">
      <c r="A2511" s="9" t="s">
        <v>8126</v>
      </c>
      <c r="B2511" s="10" t="s">
        <v>5312</v>
      </c>
      <c r="C2511" s="10" t="n">
        <v>5600</v>
      </c>
      <c r="D2511" s="0" t="s">
        <v>5313</v>
      </c>
      <c r="E2511" s="0" t="s">
        <v>5235</v>
      </c>
      <c r="F2511" s="0" t="s">
        <v>3160</v>
      </c>
      <c r="G2511" s="0" t="s">
        <v>5189</v>
      </c>
    </row>
    <row r="2512" customFormat="false" ht="12.8" hidden="false" customHeight="false" outlineLevel="0" collapsed="false">
      <c r="A2512" s="9" t="s">
        <v>8127</v>
      </c>
      <c r="B2512" s="10" t="s">
        <v>5315</v>
      </c>
      <c r="C2512" s="10" t="n">
        <v>5700</v>
      </c>
      <c r="D2512" s="0" t="s">
        <v>5316</v>
      </c>
      <c r="E2512" s="0" t="s">
        <v>5235</v>
      </c>
      <c r="F2512" s="0" t="s">
        <v>3160</v>
      </c>
      <c r="G2512" s="0" t="s">
        <v>5189</v>
      </c>
    </row>
    <row r="2513" customFormat="false" ht="12.8" hidden="false" customHeight="false" outlineLevel="0" collapsed="false">
      <c r="A2513" s="9" t="s">
        <v>8128</v>
      </c>
      <c r="B2513" s="10" t="s">
        <v>5318</v>
      </c>
      <c r="C2513" s="10" t="n">
        <v>5900</v>
      </c>
      <c r="D2513" s="0" t="s">
        <v>5319</v>
      </c>
      <c r="E2513" s="0" t="s">
        <v>5235</v>
      </c>
      <c r="F2513" s="0" t="s">
        <v>3160</v>
      </c>
      <c r="G2513" s="0" t="s">
        <v>5189</v>
      </c>
    </row>
    <row r="2514" customFormat="false" ht="12.8" hidden="false" customHeight="false" outlineLevel="0" collapsed="false">
      <c r="A2514" s="9" t="s">
        <v>8129</v>
      </c>
      <c r="B2514" s="10" t="s">
        <v>5321</v>
      </c>
      <c r="C2514" s="10" t="n">
        <v>6100</v>
      </c>
      <c r="D2514" s="0" t="s">
        <v>5322</v>
      </c>
      <c r="E2514" s="0" t="s">
        <v>5235</v>
      </c>
      <c r="F2514" s="0" t="s">
        <v>3160</v>
      </c>
      <c r="G2514" s="0" t="s">
        <v>5189</v>
      </c>
    </row>
    <row r="2520" customFormat="false" ht="12.8" hidden="false" customHeight="false" outlineLevel="0" collapsed="false">
      <c r="A2520" s="9" t="s">
        <v>8130</v>
      </c>
      <c r="B2520" s="10" t="s">
        <v>5445</v>
      </c>
      <c r="C2520" s="10" t="n">
        <v>0.038</v>
      </c>
      <c r="D2520" s="0" t="s">
        <v>5446</v>
      </c>
      <c r="E2520" s="0" t="s">
        <v>5419</v>
      </c>
      <c r="F2520" s="0" t="s">
        <v>3160</v>
      </c>
      <c r="G2520" s="0" t="s">
        <v>5327</v>
      </c>
    </row>
    <row r="2521" customFormat="false" ht="12.8" hidden="false" customHeight="false" outlineLevel="0" collapsed="false">
      <c r="A2521" s="9" t="s">
        <v>8131</v>
      </c>
      <c r="B2521" s="10" t="s">
        <v>5448</v>
      </c>
      <c r="C2521" s="10" t="n">
        <v>0.045</v>
      </c>
      <c r="D2521" s="0" t="s">
        <v>5449</v>
      </c>
      <c r="E2521" s="0" t="s">
        <v>5419</v>
      </c>
      <c r="F2521" s="0" t="s">
        <v>3160</v>
      </c>
      <c r="G2521" s="0" t="s">
        <v>5327</v>
      </c>
    </row>
    <row r="2522" customFormat="false" ht="12.8" hidden="false" customHeight="false" outlineLevel="0" collapsed="false">
      <c r="A2522" s="9" t="s">
        <v>8132</v>
      </c>
      <c r="B2522" s="10" t="s">
        <v>5451</v>
      </c>
      <c r="C2522" s="10" t="n">
        <v>0.04</v>
      </c>
      <c r="D2522" s="0" t="s">
        <v>5452</v>
      </c>
      <c r="E2522" s="0" t="s">
        <v>5419</v>
      </c>
      <c r="F2522" s="0" t="s">
        <v>3160</v>
      </c>
      <c r="G2522" s="0" t="s">
        <v>5327</v>
      </c>
    </row>
    <row r="2523" customFormat="false" ht="12.8" hidden="false" customHeight="false" outlineLevel="0" collapsed="false">
      <c r="A2523" s="9" t="s">
        <v>8133</v>
      </c>
      <c r="B2523" s="10" t="s">
        <v>5454</v>
      </c>
      <c r="C2523" s="10" t="n">
        <v>0.042</v>
      </c>
      <c r="D2523" s="0" t="s">
        <v>5455</v>
      </c>
      <c r="E2523" s="0" t="s">
        <v>5419</v>
      </c>
      <c r="F2523" s="0" t="s">
        <v>3160</v>
      </c>
      <c r="G2523" s="0" t="s">
        <v>5327</v>
      </c>
    </row>
    <row r="2524" customFormat="false" ht="12.8" hidden="false" customHeight="false" outlineLevel="0" collapsed="false">
      <c r="A2524" s="9" t="s">
        <v>8134</v>
      </c>
      <c r="B2524" s="10" t="s">
        <v>5457</v>
      </c>
      <c r="C2524" s="10" t="n">
        <v>0.048</v>
      </c>
      <c r="D2524" s="0" t="s">
        <v>5458</v>
      </c>
      <c r="E2524" s="0" t="s">
        <v>5419</v>
      </c>
      <c r="F2524" s="0" t="s">
        <v>3160</v>
      </c>
      <c r="G2524" s="0" t="s">
        <v>5327</v>
      </c>
    </row>
    <row r="2525" customFormat="false" ht="12.8" hidden="false" customHeight="false" outlineLevel="0" collapsed="false">
      <c r="A2525" s="9" t="s">
        <v>8135</v>
      </c>
      <c r="B2525" s="10" t="s">
        <v>5460</v>
      </c>
      <c r="C2525" s="10" t="n">
        <v>0.05</v>
      </c>
      <c r="D2525" s="0" t="s">
        <v>5461</v>
      </c>
      <c r="E2525" s="0" t="s">
        <v>5419</v>
      </c>
      <c r="F2525" s="0" t="s">
        <v>3160</v>
      </c>
      <c r="G2525" s="0" t="s">
        <v>5327</v>
      </c>
    </row>
    <row r="2531" customFormat="false" ht="12.8" hidden="false" customHeight="false" outlineLevel="0" collapsed="false">
      <c r="A2531" s="9" t="s">
        <v>8136</v>
      </c>
      <c r="B2531" s="10" t="s">
        <v>5582</v>
      </c>
      <c r="C2531" s="10" t="n">
        <v>1250</v>
      </c>
      <c r="D2531" s="0" t="s">
        <v>5583</v>
      </c>
      <c r="E2531" s="0" t="s">
        <v>5419</v>
      </c>
      <c r="F2531" s="0" t="s">
        <v>3160</v>
      </c>
      <c r="G2531" s="0" t="s">
        <v>5466</v>
      </c>
    </row>
    <row r="2532" customFormat="false" ht="12.8" hidden="false" customHeight="false" outlineLevel="0" collapsed="false">
      <c r="A2532" s="9" t="s">
        <v>8137</v>
      </c>
      <c r="B2532" s="10" t="s">
        <v>5585</v>
      </c>
      <c r="C2532" s="10" t="n">
        <v>1400</v>
      </c>
      <c r="D2532" s="0" t="s">
        <v>5586</v>
      </c>
      <c r="E2532" s="0" t="s">
        <v>5419</v>
      </c>
      <c r="F2532" s="0" t="s">
        <v>3160</v>
      </c>
      <c r="G2532" s="0" t="s">
        <v>5466</v>
      </c>
    </row>
    <row r="2534" customFormat="false" ht="12.8" hidden="false" customHeight="false" outlineLevel="0" collapsed="false">
      <c r="A2534" s="9" t="s">
        <v>8138</v>
      </c>
      <c r="B2534" s="10" t="s">
        <v>5588</v>
      </c>
      <c r="C2534" s="10" t="n">
        <v>1300</v>
      </c>
      <c r="D2534" s="0" t="s">
        <v>5589</v>
      </c>
      <c r="E2534" s="0" t="s">
        <v>5419</v>
      </c>
      <c r="F2534" s="0" t="s">
        <v>3160</v>
      </c>
      <c r="G2534" s="0" t="s">
        <v>5466</v>
      </c>
    </row>
    <row r="2535" customFormat="false" ht="12.8" hidden="false" customHeight="false" outlineLevel="0" collapsed="false">
      <c r="A2535" s="9" t="s">
        <v>8139</v>
      </c>
      <c r="B2535" s="10" t="s">
        <v>5591</v>
      </c>
      <c r="C2535" s="10" t="n">
        <v>1350</v>
      </c>
      <c r="D2535" s="0" t="s">
        <v>5592</v>
      </c>
      <c r="E2535" s="0" t="s">
        <v>5419</v>
      </c>
      <c r="F2535" s="0" t="s">
        <v>3160</v>
      </c>
      <c r="G2535" s="0" t="s">
        <v>5466</v>
      </c>
    </row>
    <row r="2536" customFormat="false" ht="12.8" hidden="false" customHeight="false" outlineLevel="0" collapsed="false">
      <c r="A2536" s="9" t="s">
        <v>8140</v>
      </c>
      <c r="B2536" s="10" t="s">
        <v>5594</v>
      </c>
      <c r="C2536" s="10" t="n">
        <v>1450</v>
      </c>
      <c r="D2536" s="0" t="s">
        <v>5595</v>
      </c>
      <c r="E2536" s="0" t="s">
        <v>5419</v>
      </c>
      <c r="F2536" s="0" t="s">
        <v>3160</v>
      </c>
      <c r="G2536" s="0" t="s">
        <v>5466</v>
      </c>
    </row>
    <row r="2537" customFormat="false" ht="12.8" hidden="false" customHeight="false" outlineLevel="0" collapsed="false">
      <c r="A2537" s="9" t="s">
        <v>8141</v>
      </c>
      <c r="B2537" s="10" t="s">
        <v>5597</v>
      </c>
      <c r="C2537" s="10" t="n">
        <v>1500</v>
      </c>
      <c r="D2537" s="0" t="s">
        <v>5598</v>
      </c>
      <c r="E2537" s="0" t="s">
        <v>5419</v>
      </c>
      <c r="F2537" s="0" t="s">
        <v>3160</v>
      </c>
      <c r="G2537" s="0" t="s">
        <v>5466</v>
      </c>
    </row>
    <row r="2543" customFormat="false" ht="12.8" hidden="false" customHeight="false" outlineLevel="0" collapsed="false">
      <c r="A2543" s="9" t="s">
        <v>8142</v>
      </c>
      <c r="B2543" s="10" t="s">
        <v>5721</v>
      </c>
      <c r="C2543" s="10" t="n">
        <v>0.7</v>
      </c>
      <c r="D2543" s="0" t="s">
        <v>5722</v>
      </c>
      <c r="E2543" s="0" t="s">
        <v>5695</v>
      </c>
      <c r="F2543" s="0" t="s">
        <v>3160</v>
      </c>
      <c r="G2543" s="0" t="s">
        <v>5603</v>
      </c>
    </row>
    <row r="2544" customFormat="false" ht="12.8" hidden="false" customHeight="false" outlineLevel="0" collapsed="false">
      <c r="A2544" s="9" t="s">
        <v>8143</v>
      </c>
      <c r="B2544" s="10" t="s">
        <v>5724</v>
      </c>
      <c r="C2544" s="10" t="n">
        <v>0.75</v>
      </c>
      <c r="D2544" s="0" t="s">
        <v>5725</v>
      </c>
      <c r="E2544" s="0" t="s">
        <v>5695</v>
      </c>
      <c r="F2544" s="0" t="s">
        <v>3160</v>
      </c>
      <c r="G2544" s="0" t="s">
        <v>5603</v>
      </c>
    </row>
    <row r="2545" customFormat="false" ht="12.8" hidden="false" customHeight="false" outlineLevel="0" collapsed="false">
      <c r="A2545" s="9" t="s">
        <v>8144</v>
      </c>
      <c r="B2545" s="10" t="s">
        <v>5727</v>
      </c>
      <c r="C2545" s="10" t="n">
        <v>0.72</v>
      </c>
      <c r="D2545" s="0" t="s">
        <v>5728</v>
      </c>
      <c r="E2545" s="0" t="s">
        <v>5695</v>
      </c>
      <c r="F2545" s="0" t="s">
        <v>3160</v>
      </c>
      <c r="G2545" s="0" t="s">
        <v>5603</v>
      </c>
    </row>
    <row r="2546" customFormat="false" ht="12.8" hidden="false" customHeight="false" outlineLevel="0" collapsed="false">
      <c r="A2546" s="9" t="s">
        <v>8145</v>
      </c>
      <c r="B2546" s="10" t="s">
        <v>5730</v>
      </c>
      <c r="C2546" s="10" t="n">
        <v>0.78</v>
      </c>
      <c r="D2546" s="0" t="s">
        <v>5731</v>
      </c>
      <c r="E2546" s="0" t="s">
        <v>5695</v>
      </c>
      <c r="F2546" s="0" t="s">
        <v>3160</v>
      </c>
      <c r="G2546" s="0" t="s">
        <v>5603</v>
      </c>
    </row>
    <row r="2547" customFormat="false" ht="12.8" hidden="false" customHeight="false" outlineLevel="0" collapsed="false">
      <c r="A2547" s="9" t="s">
        <v>8146</v>
      </c>
      <c r="B2547" s="10" t="s">
        <v>5733</v>
      </c>
      <c r="C2547" s="10" t="n">
        <v>0.76</v>
      </c>
      <c r="D2547" s="0" t="s">
        <v>5734</v>
      </c>
      <c r="E2547" s="0" t="s">
        <v>5695</v>
      </c>
      <c r="F2547" s="0" t="s">
        <v>3160</v>
      </c>
      <c r="G2547" s="0" t="s">
        <v>5603</v>
      </c>
    </row>
    <row r="2548" customFormat="false" ht="12.8" hidden="false" customHeight="false" outlineLevel="0" collapsed="false">
      <c r="A2548" s="9" t="s">
        <v>8147</v>
      </c>
      <c r="B2548" s="10" t="s">
        <v>5736</v>
      </c>
      <c r="C2548" s="10" t="n">
        <v>0.8</v>
      </c>
      <c r="D2548" s="0" t="s">
        <v>5737</v>
      </c>
      <c r="E2548" s="0" t="s">
        <v>5695</v>
      </c>
      <c r="F2548" s="0" t="s">
        <v>3160</v>
      </c>
      <c r="G2548" s="0" t="s">
        <v>5603</v>
      </c>
    </row>
    <row r="2554" customFormat="false" ht="12.8" hidden="false" customHeight="false" outlineLevel="0" collapsed="false">
      <c r="A2554" s="9" t="s">
        <v>8148</v>
      </c>
      <c r="B2554" s="10" t="s">
        <v>7332</v>
      </c>
      <c r="C2554" s="10" t="n">
        <v>1800000</v>
      </c>
      <c r="D2554" s="0" t="s">
        <v>7333</v>
      </c>
      <c r="E2554" s="0" t="s">
        <v>6636</v>
      </c>
      <c r="F2554" s="0" t="s">
        <v>6323</v>
      </c>
      <c r="G2554" s="0" t="s">
        <v>6324</v>
      </c>
      <c r="H2554" s="0" t="s">
        <v>6325</v>
      </c>
    </row>
    <row r="2555" customFormat="false" ht="12.8" hidden="false" customHeight="false" outlineLevel="0" collapsed="false">
      <c r="A2555" s="9" t="s">
        <v>8149</v>
      </c>
      <c r="B2555" s="10" t="s">
        <v>7335</v>
      </c>
      <c r="C2555" s="10" t="n">
        <v>1200000</v>
      </c>
      <c r="D2555" s="0" t="s">
        <v>7336</v>
      </c>
      <c r="E2555" s="0" t="s">
        <v>6636</v>
      </c>
      <c r="F2555" s="0" t="s">
        <v>6323</v>
      </c>
      <c r="G2555" s="0" t="s">
        <v>6324</v>
      </c>
      <c r="H2555" s="0" t="s">
        <v>6325</v>
      </c>
    </row>
    <row r="2556" customFormat="false" ht="12.8" hidden="false" customHeight="false" outlineLevel="0" collapsed="false">
      <c r="A2556" s="9" t="s">
        <v>8150</v>
      </c>
      <c r="B2556" s="10" t="s">
        <v>7338</v>
      </c>
      <c r="C2556" s="10" t="n">
        <v>800000</v>
      </c>
      <c r="D2556" s="0" t="s">
        <v>7339</v>
      </c>
      <c r="E2556" s="0" t="s">
        <v>6636</v>
      </c>
      <c r="F2556" s="0" t="s">
        <v>6323</v>
      </c>
      <c r="G2556" s="0" t="s">
        <v>6324</v>
      </c>
      <c r="H2556" s="0" t="s">
        <v>6325</v>
      </c>
    </row>
    <row r="2557" customFormat="false" ht="12.8" hidden="false" customHeight="false" outlineLevel="0" collapsed="false">
      <c r="A2557" s="9" t="s">
        <v>8151</v>
      </c>
      <c r="B2557" s="10" t="s">
        <v>7341</v>
      </c>
      <c r="C2557" s="10" t="n">
        <v>700000</v>
      </c>
      <c r="D2557" s="0" t="s">
        <v>7342</v>
      </c>
      <c r="E2557" s="0" t="s">
        <v>6636</v>
      </c>
      <c r="F2557" s="0" t="s">
        <v>6323</v>
      </c>
      <c r="G2557" s="0" t="s">
        <v>6324</v>
      </c>
      <c r="H2557" s="0" t="s">
        <v>6325</v>
      </c>
    </row>
    <row r="2558" customFormat="false" ht="12.8" hidden="false" customHeight="false" outlineLevel="0" collapsed="false">
      <c r="A2558" s="9" t="s">
        <v>8152</v>
      </c>
      <c r="B2558" s="10" t="s">
        <v>7344</v>
      </c>
      <c r="C2558" s="10" t="n">
        <v>300000</v>
      </c>
      <c r="D2558" s="0" t="s">
        <v>7345</v>
      </c>
      <c r="E2558" s="0" t="s">
        <v>6636</v>
      </c>
      <c r="F2558" s="0" t="s">
        <v>6323</v>
      </c>
      <c r="G2558" s="0" t="s">
        <v>6324</v>
      </c>
      <c r="H2558" s="0" t="s">
        <v>6325</v>
      </c>
    </row>
    <row r="2559" customFormat="false" ht="12.8" hidden="false" customHeight="false" outlineLevel="0" collapsed="false">
      <c r="A2559" s="9" t="s">
        <v>8153</v>
      </c>
      <c r="B2559" s="10" t="s">
        <v>7347</v>
      </c>
      <c r="C2559" s="10" t="n">
        <v>2500000</v>
      </c>
      <c r="D2559" s="0" t="s">
        <v>7348</v>
      </c>
      <c r="E2559" s="0" t="s">
        <v>6636</v>
      </c>
      <c r="F2559" s="0" t="s">
        <v>6323</v>
      </c>
      <c r="G2559" s="0" t="s">
        <v>6324</v>
      </c>
      <c r="H2559" s="0" t="s">
        <v>6325</v>
      </c>
    </row>
    <row r="2565" customFormat="false" ht="12.8" hidden="false" customHeight="false" outlineLevel="0" collapsed="false">
      <c r="A2565" s="9" t="s">
        <v>8154</v>
      </c>
      <c r="B2565" s="10" t="s">
        <v>7368</v>
      </c>
      <c r="C2565" s="10" t="n">
        <v>2900000</v>
      </c>
      <c r="D2565" s="0" t="s">
        <v>7369</v>
      </c>
      <c r="E2565" s="0" t="s">
        <v>6636</v>
      </c>
      <c r="F2565" s="0" t="s">
        <v>6323</v>
      </c>
      <c r="G2565" s="0" t="s">
        <v>6324</v>
      </c>
      <c r="H2565" s="0" t="s">
        <v>6325</v>
      </c>
    </row>
    <row r="2566" customFormat="false" ht="12.8" hidden="false" customHeight="false" outlineLevel="0" collapsed="false">
      <c r="A2566" s="9" t="s">
        <v>8155</v>
      </c>
      <c r="B2566" s="10" t="s">
        <v>7371</v>
      </c>
      <c r="C2566" s="10" t="n">
        <v>1500000</v>
      </c>
      <c r="D2566" s="0" t="s">
        <v>7372</v>
      </c>
      <c r="E2566" s="0" t="s">
        <v>6636</v>
      </c>
      <c r="F2566" s="0" t="s">
        <v>6323</v>
      </c>
      <c r="G2566" s="0" t="s">
        <v>6324</v>
      </c>
      <c r="H2566" s="0" t="s">
        <v>6325</v>
      </c>
    </row>
    <row r="2567" customFormat="false" ht="12.8" hidden="false" customHeight="false" outlineLevel="0" collapsed="false">
      <c r="A2567" s="9" t="s">
        <v>8156</v>
      </c>
      <c r="B2567" s="10" t="s">
        <v>7374</v>
      </c>
      <c r="C2567" s="10" t="n">
        <v>1100000</v>
      </c>
      <c r="D2567" s="0" t="s">
        <v>7375</v>
      </c>
      <c r="E2567" s="0" t="s">
        <v>6636</v>
      </c>
      <c r="F2567" s="0" t="s">
        <v>6323</v>
      </c>
      <c r="G2567" s="0" t="s">
        <v>6324</v>
      </c>
      <c r="H2567" s="0" t="s">
        <v>6325</v>
      </c>
    </row>
    <row r="2568" customFormat="false" ht="12.8" hidden="false" customHeight="false" outlineLevel="0" collapsed="false">
      <c r="A2568" s="9" t="s">
        <v>8157</v>
      </c>
      <c r="B2568" s="10" t="s">
        <v>7377</v>
      </c>
      <c r="C2568" s="10" t="n">
        <v>900000</v>
      </c>
      <c r="D2568" s="0" t="s">
        <v>7378</v>
      </c>
      <c r="E2568" s="0" t="s">
        <v>6636</v>
      </c>
      <c r="F2568" s="0" t="s">
        <v>6323</v>
      </c>
      <c r="G2568" s="0" t="s">
        <v>6324</v>
      </c>
      <c r="H2568" s="0" t="s">
        <v>6325</v>
      </c>
    </row>
    <row r="2569" customFormat="false" ht="12.8" hidden="false" customHeight="false" outlineLevel="0" collapsed="false">
      <c r="A2569" s="9" t="s">
        <v>8158</v>
      </c>
      <c r="B2569" s="10" t="s">
        <v>7380</v>
      </c>
      <c r="C2569" s="10" t="n">
        <v>600000</v>
      </c>
      <c r="D2569" s="0" t="s">
        <v>7381</v>
      </c>
      <c r="E2569" s="0" t="s">
        <v>6636</v>
      </c>
      <c r="F2569" s="0" t="s">
        <v>6323</v>
      </c>
      <c r="G2569" s="0" t="s">
        <v>6324</v>
      </c>
      <c r="H2569" s="0" t="s">
        <v>6325</v>
      </c>
    </row>
    <row r="2570" customFormat="false" ht="12.8" hidden="false" customHeight="false" outlineLevel="0" collapsed="false">
      <c r="A2570" s="9" t="s">
        <v>8159</v>
      </c>
      <c r="B2570" s="10" t="s">
        <v>7383</v>
      </c>
      <c r="C2570" s="10" t="n">
        <v>300000</v>
      </c>
      <c r="D2570" s="0" t="s">
        <v>7384</v>
      </c>
      <c r="E2570" s="0" t="s">
        <v>6636</v>
      </c>
      <c r="F2570" s="0" t="s">
        <v>6323</v>
      </c>
      <c r="G2570" s="0" t="s">
        <v>6324</v>
      </c>
      <c r="H2570" s="0" t="s">
        <v>6325</v>
      </c>
    </row>
    <row r="2576" customFormat="false" ht="12.8" hidden="false" customHeight="false" outlineLevel="0" collapsed="false">
      <c r="A2576" s="9" t="s">
        <v>8160</v>
      </c>
      <c r="B2576" s="10" t="s">
        <v>7404</v>
      </c>
      <c r="C2576" s="10" t="n">
        <v>1040000</v>
      </c>
      <c r="D2576" s="0" t="s">
        <v>7405</v>
      </c>
      <c r="E2576" s="0" t="s">
        <v>6636</v>
      </c>
      <c r="F2576" s="0" t="s">
        <v>6323</v>
      </c>
      <c r="G2576" s="0" t="s">
        <v>6324</v>
      </c>
      <c r="H2576" s="0" t="s">
        <v>6325</v>
      </c>
    </row>
    <row r="2577" customFormat="false" ht="12.8" hidden="false" customHeight="false" outlineLevel="0" collapsed="false">
      <c r="A2577" s="9" t="s">
        <v>8161</v>
      </c>
      <c r="B2577" s="10" t="s">
        <v>7407</v>
      </c>
      <c r="C2577" s="10" t="n">
        <v>660000</v>
      </c>
      <c r="D2577" s="0" t="s">
        <v>7408</v>
      </c>
      <c r="E2577" s="0" t="s">
        <v>6636</v>
      </c>
      <c r="F2577" s="0" t="s">
        <v>6323</v>
      </c>
      <c r="G2577" s="0" t="s">
        <v>6324</v>
      </c>
      <c r="H2577" s="0" t="s">
        <v>6325</v>
      </c>
    </row>
    <row r="2578" customFormat="false" ht="12.8" hidden="false" customHeight="false" outlineLevel="0" collapsed="false">
      <c r="A2578" s="9" t="s">
        <v>8162</v>
      </c>
      <c r="B2578" s="10" t="s">
        <v>7410</v>
      </c>
      <c r="C2578" s="10" t="n">
        <v>420000</v>
      </c>
      <c r="D2578" s="0" t="s">
        <v>7411</v>
      </c>
      <c r="E2578" s="0" t="s">
        <v>6636</v>
      </c>
      <c r="F2578" s="0" t="s">
        <v>6323</v>
      </c>
      <c r="G2578" s="0" t="s">
        <v>6324</v>
      </c>
      <c r="H2578" s="0" t="s">
        <v>6325</v>
      </c>
    </row>
    <row r="2579" customFormat="false" ht="12.8" hidden="false" customHeight="false" outlineLevel="0" collapsed="false">
      <c r="A2579" s="9" t="s">
        <v>8163</v>
      </c>
      <c r="B2579" s="10" t="s">
        <v>7413</v>
      </c>
      <c r="C2579" s="10" t="n">
        <v>300000</v>
      </c>
      <c r="D2579" s="0" t="s">
        <v>7414</v>
      </c>
      <c r="E2579" s="0" t="s">
        <v>6636</v>
      </c>
      <c r="F2579" s="0" t="s">
        <v>6323</v>
      </c>
      <c r="G2579" s="0" t="s">
        <v>6324</v>
      </c>
      <c r="H2579" s="0" t="s">
        <v>6325</v>
      </c>
    </row>
    <row r="2580" customFormat="false" ht="12.8" hidden="false" customHeight="false" outlineLevel="0" collapsed="false">
      <c r="A2580" s="9" t="s">
        <v>8164</v>
      </c>
      <c r="B2580" s="10" t="s">
        <v>7416</v>
      </c>
      <c r="C2580" s="10" t="n">
        <v>180000</v>
      </c>
      <c r="D2580" s="0" t="s">
        <v>7417</v>
      </c>
      <c r="E2580" s="0" t="s">
        <v>6636</v>
      </c>
      <c r="F2580" s="0" t="s">
        <v>6323</v>
      </c>
      <c r="G2580" s="0" t="s">
        <v>6324</v>
      </c>
      <c r="H2580" s="0" t="s">
        <v>6325</v>
      </c>
    </row>
    <row r="2581" customFormat="false" ht="12.8" hidden="false" customHeight="false" outlineLevel="0" collapsed="false">
      <c r="A2581" s="9" t="s">
        <v>8165</v>
      </c>
      <c r="B2581" s="10" t="s">
        <v>7419</v>
      </c>
      <c r="C2581" s="10" t="n">
        <v>120000</v>
      </c>
      <c r="D2581" s="0" t="s">
        <v>7420</v>
      </c>
      <c r="E2581" s="0" t="s">
        <v>6636</v>
      </c>
      <c r="F2581" s="0" t="s">
        <v>6323</v>
      </c>
      <c r="G2581" s="0" t="s">
        <v>6324</v>
      </c>
      <c r="H2581" s="0" t="s">
        <v>6325</v>
      </c>
    </row>
    <row r="2587" customFormat="false" ht="12.8" hidden="false" customHeight="false" outlineLevel="0" collapsed="false">
      <c r="A2587" s="9" t="s">
        <v>8166</v>
      </c>
      <c r="B2587" s="10" t="s">
        <v>8167</v>
      </c>
      <c r="C2587" s="10" t="n">
        <v>2265</v>
      </c>
      <c r="D2587" s="0" t="s">
        <v>8168</v>
      </c>
      <c r="E2587" s="0" t="s">
        <v>8169</v>
      </c>
      <c r="F2587" s="0" t="s">
        <v>3151</v>
      </c>
      <c r="G2587" s="0" t="s">
        <v>8170</v>
      </c>
    </row>
    <row r="2588" customFormat="false" ht="12.8" hidden="false" customHeight="false" outlineLevel="0" collapsed="false">
      <c r="A2588" s="9" t="s">
        <v>8171</v>
      </c>
      <c r="B2588" s="10" t="s">
        <v>8172</v>
      </c>
      <c r="C2588" s="10" t="n">
        <v>1485000</v>
      </c>
      <c r="D2588" s="0" t="s">
        <v>8173</v>
      </c>
      <c r="E2588" s="0" t="s">
        <v>8174</v>
      </c>
      <c r="F2588" s="0" t="s">
        <v>3160</v>
      </c>
      <c r="G2588" s="0" t="s">
        <v>8175</v>
      </c>
    </row>
    <row r="2589" customFormat="false" ht="12.8" hidden="false" customHeight="false" outlineLevel="0" collapsed="false">
      <c r="A2589" s="9" t="s">
        <v>8176</v>
      </c>
      <c r="B2589" s="10" t="s">
        <v>8177</v>
      </c>
      <c r="C2589" s="10" t="n">
        <v>775200</v>
      </c>
      <c r="D2589" s="0" t="s">
        <v>8178</v>
      </c>
      <c r="E2589" s="0" t="s">
        <v>8174</v>
      </c>
      <c r="F2589" s="0" t="s">
        <v>3160</v>
      </c>
      <c r="G2589" s="0" t="s">
        <v>8179</v>
      </c>
    </row>
    <row r="2591" customFormat="false" ht="12.8" hidden="false" customHeight="false" outlineLevel="0" collapsed="false">
      <c r="A2591" s="9" t="s">
        <v>8180</v>
      </c>
      <c r="B2591" s="10" t="s">
        <v>8181</v>
      </c>
      <c r="C2591" s="10" t="n">
        <v>0.047</v>
      </c>
      <c r="D2591" s="0" t="s">
        <v>8182</v>
      </c>
      <c r="E2591" s="0" t="s">
        <v>8183</v>
      </c>
      <c r="F2591" s="0" t="s">
        <v>3151</v>
      </c>
      <c r="G2591" s="0" t="s">
        <v>8184</v>
      </c>
    </row>
    <row r="2592" customFormat="false" ht="12.8" hidden="false" customHeight="false" outlineLevel="0" collapsed="false">
      <c r="A2592" s="9" t="s">
        <v>8185</v>
      </c>
      <c r="B2592" s="10" t="s">
        <v>8186</v>
      </c>
      <c r="C2592" s="10" t="n">
        <v>0.068</v>
      </c>
      <c r="D2592" s="0" t="s">
        <v>8187</v>
      </c>
      <c r="E2592" s="0" t="s">
        <v>8188</v>
      </c>
      <c r="F2592" s="0" t="s">
        <v>3151</v>
      </c>
      <c r="G2592" s="0" t="s">
        <v>8189</v>
      </c>
    </row>
    <row r="2593" customFormat="false" ht="12.8" hidden="false" customHeight="false" outlineLevel="0" collapsed="false">
      <c r="A2593" s="9" t="s">
        <v>8190</v>
      </c>
      <c r="B2593" s="10" t="s">
        <v>8191</v>
      </c>
      <c r="C2593" s="10" t="n">
        <v>2500000</v>
      </c>
      <c r="D2593" s="0" t="s">
        <v>8192</v>
      </c>
      <c r="E2593" s="0" t="s">
        <v>8183</v>
      </c>
      <c r="F2593" s="0" t="s">
        <v>3151</v>
      </c>
      <c r="G2593" s="0" t="s">
        <v>8193</v>
      </c>
    </row>
    <row r="2594" customFormat="false" ht="12.8" hidden="false" customHeight="false" outlineLevel="0" collapsed="false">
      <c r="A2594" s="9" t="s">
        <v>8194</v>
      </c>
      <c r="B2594" s="10" t="s">
        <v>8195</v>
      </c>
      <c r="C2594" s="10" t="n">
        <v>4200000</v>
      </c>
      <c r="D2594" s="0" t="s">
        <v>8196</v>
      </c>
      <c r="E2594" s="0" t="s">
        <v>8197</v>
      </c>
      <c r="F2594" s="0" t="s">
        <v>3151</v>
      </c>
      <c r="G2594" s="0" t="s">
        <v>8198</v>
      </c>
    </row>
    <row r="2595" customFormat="false" ht="12.8" hidden="false" customHeight="false" outlineLevel="0" collapsed="false">
      <c r="A2595" s="9" t="s">
        <v>8199</v>
      </c>
      <c r="B2595" s="10" t="s">
        <v>8200</v>
      </c>
      <c r="C2595" s="10" t="n">
        <v>0.595</v>
      </c>
      <c r="D2595" s="0" t="s">
        <v>8201</v>
      </c>
      <c r="E2595" s="0" t="s">
        <v>8183</v>
      </c>
      <c r="F2595" s="0" t="s">
        <v>3151</v>
      </c>
      <c r="G2595" s="0" t="s">
        <v>8193</v>
      </c>
    </row>
    <row r="2596" customFormat="false" ht="12.8" hidden="false" customHeight="false" outlineLevel="0" collapsed="false">
      <c r="A2596" s="9" t="s">
        <v>8202</v>
      </c>
      <c r="B2596" s="10" t="s">
        <v>8203</v>
      </c>
      <c r="C2596" s="10" t="n">
        <v>0.567</v>
      </c>
      <c r="D2596" s="0" t="s">
        <v>8204</v>
      </c>
      <c r="E2596" s="0" t="s">
        <v>8183</v>
      </c>
      <c r="F2596" s="0" t="s">
        <v>3151</v>
      </c>
      <c r="G2596" s="0" t="s">
        <v>8193</v>
      </c>
    </row>
    <row r="2597" customFormat="false" ht="12.8" hidden="false" customHeight="false" outlineLevel="0" collapsed="false">
      <c r="A2597" s="9" t="s">
        <v>8205</v>
      </c>
      <c r="B2597" s="10" t="s">
        <v>8206</v>
      </c>
      <c r="C2597" s="10" t="n">
        <v>0.047</v>
      </c>
      <c r="D2597" s="0" t="s">
        <v>8207</v>
      </c>
      <c r="E2597" s="0" t="s">
        <v>8183</v>
      </c>
      <c r="F2597" s="0" t="s">
        <v>3151</v>
      </c>
      <c r="G2597" s="0" t="s">
        <v>8193</v>
      </c>
    </row>
    <row r="2598" customFormat="false" ht="12.8" hidden="false" customHeight="false" outlineLevel="0" collapsed="false">
      <c r="A2598" s="9" t="s">
        <v>8208</v>
      </c>
      <c r="B2598" s="10" t="s">
        <v>8209</v>
      </c>
      <c r="C2598" s="10" t="n">
        <v>0.068</v>
      </c>
      <c r="D2598" s="0" t="s">
        <v>8210</v>
      </c>
      <c r="E2598" s="0" t="s">
        <v>8188</v>
      </c>
      <c r="F2598" s="0" t="s">
        <v>3151</v>
      </c>
      <c r="G2598" s="0" t="s">
        <v>8211</v>
      </c>
    </row>
    <row r="2599" customFormat="false" ht="12.8" hidden="false" customHeight="false" outlineLevel="0" collapsed="false">
      <c r="A2599" s="9" t="s">
        <v>8212</v>
      </c>
      <c r="B2599" s="10" t="s">
        <v>8213</v>
      </c>
      <c r="C2599" s="10" t="n">
        <v>37.8</v>
      </c>
      <c r="D2599" s="0" t="s">
        <v>8214</v>
      </c>
      <c r="E2599" s="0" t="s">
        <v>3150</v>
      </c>
      <c r="F2599" s="0" t="s">
        <v>3151</v>
      </c>
      <c r="G2599" s="0" t="s">
        <v>3152</v>
      </c>
    </row>
    <row r="2600" customFormat="false" ht="12.8" hidden="false" customHeight="false" outlineLevel="0" collapsed="false">
      <c r="A2600" s="9" t="s">
        <v>8215</v>
      </c>
      <c r="B2600" s="10" t="s">
        <v>8216</v>
      </c>
      <c r="C2600" s="10" t="n">
        <v>31.5</v>
      </c>
      <c r="D2600" s="0" t="s">
        <v>8217</v>
      </c>
      <c r="E2600" s="0" t="s">
        <v>4062</v>
      </c>
      <c r="F2600" s="0" t="s">
        <v>3151</v>
      </c>
      <c r="G2600" s="0" t="s">
        <v>4062</v>
      </c>
    </row>
    <row r="2601" customFormat="false" ht="12.8" hidden="false" customHeight="false" outlineLevel="0" collapsed="false">
      <c r="A2601" s="9" t="s">
        <v>8218</v>
      </c>
      <c r="B2601" s="10" t="s">
        <v>8219</v>
      </c>
      <c r="C2601" s="10" t="n">
        <v>65520</v>
      </c>
      <c r="D2601" s="0" t="s">
        <v>8220</v>
      </c>
      <c r="E2601" s="0" t="s">
        <v>8221</v>
      </c>
      <c r="F2601" s="0" t="s">
        <v>3151</v>
      </c>
      <c r="G2601" s="0" t="s">
        <v>8222</v>
      </c>
    </row>
    <row r="2602" customFormat="false" ht="12.8" hidden="false" customHeight="false" outlineLevel="0" collapsed="false">
      <c r="A2602" s="9" t="s">
        <v>8223</v>
      </c>
      <c r="B2602" s="10" t="s">
        <v>8224</v>
      </c>
      <c r="C2602" s="10" t="n">
        <v>1250000000</v>
      </c>
      <c r="D2602" s="0" t="s">
        <v>8225</v>
      </c>
      <c r="E2602" s="0" t="s">
        <v>8226</v>
      </c>
      <c r="F2602" s="0" t="s">
        <v>3160</v>
      </c>
      <c r="G2602" s="0" t="s">
        <v>8227</v>
      </c>
    </row>
    <row r="2603" customFormat="false" ht="12.8" hidden="false" customHeight="false" outlineLevel="0" collapsed="false">
      <c r="A2603" s="9" t="s">
        <v>8228</v>
      </c>
      <c r="B2603" s="10" t="s">
        <v>8229</v>
      </c>
      <c r="C2603" s="10" t="n">
        <v>1250000000</v>
      </c>
      <c r="D2603" s="0" t="s">
        <v>8230</v>
      </c>
      <c r="E2603" s="0" t="s">
        <v>8231</v>
      </c>
      <c r="F2603" s="0" t="s">
        <v>3160</v>
      </c>
      <c r="G2603" s="0" t="s">
        <v>8232</v>
      </c>
    </row>
    <row r="2604" customFormat="false" ht="12.8" hidden="false" customHeight="false" outlineLevel="0" collapsed="false">
      <c r="A2604" s="9" t="s">
        <v>8233</v>
      </c>
      <c r="B2604" s="10" t="s">
        <v>8234</v>
      </c>
      <c r="C2604" s="10" t="n">
        <v>2500000000</v>
      </c>
      <c r="D2604" s="0" t="s">
        <v>8235</v>
      </c>
      <c r="E2604" s="0" t="s">
        <v>5326</v>
      </c>
      <c r="F2604" s="0" t="s">
        <v>3160</v>
      </c>
      <c r="G2604" s="0" t="s">
        <v>8236</v>
      </c>
    </row>
    <row r="2605" customFormat="false" ht="12.8" hidden="false" customHeight="false" outlineLevel="0" collapsed="false">
      <c r="A2605" s="9" t="s">
        <v>8237</v>
      </c>
      <c r="B2605" s="10" t="s">
        <v>8238</v>
      </c>
      <c r="C2605" s="10" t="n">
        <v>3960000000</v>
      </c>
      <c r="D2605" s="0" t="s">
        <v>8239</v>
      </c>
      <c r="E2605" s="0" t="s">
        <v>8231</v>
      </c>
      <c r="F2605" s="0" t="s">
        <v>3160</v>
      </c>
      <c r="G2605" s="0" t="s">
        <v>8232</v>
      </c>
    </row>
    <row r="2606" customFormat="false" ht="12.8" hidden="false" customHeight="false" outlineLevel="0" collapsed="false">
      <c r="A2606" s="9" t="s">
        <v>8240</v>
      </c>
      <c r="B2606" s="10" t="s">
        <v>8241</v>
      </c>
      <c r="C2606" s="10" t="n">
        <v>1500000000</v>
      </c>
      <c r="D2606" s="0" t="s">
        <v>8242</v>
      </c>
      <c r="E2606" s="0" t="s">
        <v>8243</v>
      </c>
      <c r="F2606" s="0" t="s">
        <v>3160</v>
      </c>
      <c r="G2606" s="0" t="s">
        <v>8232</v>
      </c>
    </row>
    <row r="2607" customFormat="false" ht="12.8" hidden="false" customHeight="false" outlineLevel="0" collapsed="false">
      <c r="A2607" s="9" t="s">
        <v>8244</v>
      </c>
      <c r="B2607" s="10" t="s">
        <v>8245</v>
      </c>
      <c r="C2607" s="10" t="n">
        <v>320000000</v>
      </c>
      <c r="D2607" s="0" t="s">
        <v>8246</v>
      </c>
      <c r="E2607" s="0" t="s">
        <v>8247</v>
      </c>
      <c r="F2607" s="0" t="s">
        <v>3160</v>
      </c>
      <c r="G2607" s="0" t="s">
        <v>8227</v>
      </c>
    </row>
    <row r="2608" customFormat="false" ht="12.8" hidden="false" customHeight="false" outlineLevel="0" collapsed="false">
      <c r="A2608" s="9" t="s">
        <v>8248</v>
      </c>
      <c r="B2608" s="10" t="s">
        <v>8249</v>
      </c>
      <c r="C2608" s="10" t="n">
        <v>160000000</v>
      </c>
      <c r="D2608" s="0" t="s">
        <v>8250</v>
      </c>
      <c r="E2608" s="0" t="s">
        <v>8247</v>
      </c>
      <c r="F2608" s="0" t="s">
        <v>3160</v>
      </c>
      <c r="G2608" s="0" t="s">
        <v>8227</v>
      </c>
    </row>
    <row r="2609" customFormat="false" ht="12.8" hidden="false" customHeight="false" outlineLevel="0" collapsed="false">
      <c r="A2609" s="9" t="s">
        <v>8251</v>
      </c>
      <c r="B2609" s="10" t="s">
        <v>8252</v>
      </c>
      <c r="C2609" s="10" t="n">
        <v>80000000</v>
      </c>
      <c r="D2609" s="0" t="s">
        <v>8253</v>
      </c>
      <c r="E2609" s="0" t="s">
        <v>8247</v>
      </c>
      <c r="F2609" s="0" t="s">
        <v>3160</v>
      </c>
      <c r="G2609" s="0" t="s">
        <v>8227</v>
      </c>
    </row>
    <row r="2610" customFormat="false" ht="12.8" hidden="false" customHeight="false" outlineLevel="0" collapsed="false">
      <c r="A2610" s="9" t="s">
        <v>8254</v>
      </c>
      <c r="B2610" s="10" t="s">
        <v>8255</v>
      </c>
      <c r="C2610" s="10" t="n">
        <v>2500000000</v>
      </c>
      <c r="D2610" s="0" t="s">
        <v>8256</v>
      </c>
      <c r="E2610" s="0" t="s">
        <v>8257</v>
      </c>
      <c r="F2610" s="0" t="s">
        <v>3160</v>
      </c>
      <c r="G2610" s="0" t="s">
        <v>8258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DK5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3" topLeftCell="DD4" activePane="bottomRight" state="frozen"/>
      <selection pane="topLeft" activeCell="A1" activeCellId="0" sqref="A1"/>
      <selection pane="topRight" activeCell="DD1" activeCellId="0" sqref="DD1"/>
      <selection pane="bottomLeft" activeCell="A4" activeCellId="0" sqref="A4"/>
      <selection pane="bottomRight" activeCell="DD2" activeCellId="0" sqref="DD2"/>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41.51"/>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12.8" hidden="false" customHeight="false" outlineLevel="0" collapsed="false">
      <c r="A1" s="3" t="s">
        <v>8259</v>
      </c>
      <c r="B1" s="20" t="s">
        <v>7</v>
      </c>
      <c r="C1" s="13" t="s">
        <v>2</v>
      </c>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row>
    <row r="2" customFormat="false" ht="12.8" hidden="false" customHeight="false" outlineLevel="0" collapsed="false">
      <c r="A2" s="4" t="s">
        <v>8260</v>
      </c>
      <c r="B2" s="4"/>
      <c r="C2" s="4"/>
      <c r="D2" s="4" t="s">
        <v>8261</v>
      </c>
      <c r="E2" s="4"/>
      <c r="F2" s="4"/>
      <c r="G2" s="4"/>
      <c r="H2" s="4" t="s">
        <v>8262</v>
      </c>
      <c r="I2" s="4"/>
      <c r="J2" s="4"/>
      <c r="K2" s="4"/>
      <c r="L2" s="4" t="s">
        <v>8263</v>
      </c>
      <c r="M2" s="4"/>
      <c r="N2" s="4"/>
      <c r="O2" s="4"/>
      <c r="P2" s="4" t="s">
        <v>8264</v>
      </c>
      <c r="Q2" s="4"/>
      <c r="R2" s="4"/>
      <c r="S2" s="4"/>
      <c r="T2" s="4" t="s">
        <v>8265</v>
      </c>
      <c r="U2" s="4"/>
      <c r="V2" s="4"/>
      <c r="W2" s="4"/>
      <c r="X2" s="4" t="s">
        <v>8266</v>
      </c>
      <c r="Y2" s="4"/>
      <c r="Z2" s="4"/>
      <c r="AA2" s="4" t="s">
        <v>8267</v>
      </c>
      <c r="AB2" s="4"/>
      <c r="AC2" s="4"/>
      <c r="AD2" s="4" t="s">
        <v>8268</v>
      </c>
      <c r="AE2" s="4"/>
      <c r="AF2" s="4"/>
      <c r="AG2" s="4" t="s">
        <v>8269</v>
      </c>
      <c r="AH2" s="4"/>
      <c r="AI2" s="4"/>
      <c r="AJ2" s="4" t="s">
        <v>8270</v>
      </c>
      <c r="AK2" s="4"/>
      <c r="AL2" s="4"/>
      <c r="AM2" s="4" t="s">
        <v>8271</v>
      </c>
      <c r="AN2" s="4"/>
      <c r="AO2" s="4"/>
      <c r="AP2" s="4" t="s">
        <v>8272</v>
      </c>
      <c r="AQ2" s="4"/>
      <c r="AR2" s="4"/>
      <c r="AS2" s="4" t="s">
        <v>8273</v>
      </c>
      <c r="AT2" s="4"/>
      <c r="AU2" s="4"/>
      <c r="AV2" s="4" t="s">
        <v>8274</v>
      </c>
      <c r="AW2" s="4"/>
      <c r="AX2" s="4"/>
      <c r="AY2" s="4"/>
      <c r="AZ2" s="4" t="s">
        <v>8275</v>
      </c>
      <c r="BA2" s="4"/>
      <c r="BB2" s="4"/>
      <c r="BC2" s="4"/>
      <c r="BD2" s="4" t="s">
        <v>8276</v>
      </c>
      <c r="BE2" s="4"/>
      <c r="BF2" s="4"/>
      <c r="BG2" s="4"/>
      <c r="BH2" s="4" t="s">
        <v>8277</v>
      </c>
      <c r="BI2" s="4"/>
      <c r="BJ2" s="4"/>
      <c r="BK2" s="4"/>
      <c r="BL2" s="4" t="s">
        <v>48</v>
      </c>
      <c r="BM2" s="4"/>
      <c r="BN2" s="4"/>
      <c r="BO2" s="4"/>
      <c r="BP2" s="21" t="s">
        <v>8278</v>
      </c>
      <c r="BQ2" s="21"/>
      <c r="BR2" s="21"/>
      <c r="BS2" s="21"/>
      <c r="BT2" s="21" t="s">
        <v>8279</v>
      </c>
      <c r="BU2" s="21"/>
      <c r="BV2" s="21"/>
      <c r="BW2" s="21"/>
      <c r="BX2" s="21" t="s">
        <v>8280</v>
      </c>
      <c r="BY2" s="21"/>
      <c r="BZ2" s="21"/>
      <c r="CA2" s="21"/>
      <c r="CB2" s="21" t="s">
        <v>8281</v>
      </c>
      <c r="CC2" s="21"/>
      <c r="CD2" s="21"/>
      <c r="CE2" s="21"/>
      <c r="CF2" s="21" t="s">
        <v>8282</v>
      </c>
      <c r="CG2" s="21"/>
      <c r="CH2" s="21"/>
      <c r="CI2" s="21"/>
      <c r="CJ2" s="21" t="s">
        <v>8283</v>
      </c>
      <c r="CK2" s="21"/>
      <c r="CL2" s="21"/>
      <c r="CM2" s="21"/>
      <c r="CN2" s="21" t="s">
        <v>8284</v>
      </c>
      <c r="CO2" s="21"/>
      <c r="CP2" s="21"/>
      <c r="CQ2" s="21"/>
      <c r="CR2" s="21" t="s">
        <v>8285</v>
      </c>
      <c r="CS2" s="21"/>
      <c r="CT2" s="21"/>
      <c r="CU2" s="21"/>
      <c r="CV2" s="21" t="s">
        <v>8286</v>
      </c>
      <c r="CW2" s="21"/>
      <c r="CX2" s="21"/>
      <c r="CY2" s="21"/>
      <c r="CZ2" s="21" t="s">
        <v>8287</v>
      </c>
      <c r="DA2" s="21"/>
      <c r="DB2" s="21"/>
      <c r="DC2" s="21"/>
      <c r="DD2" s="21" t="s">
        <v>8288</v>
      </c>
      <c r="DE2" s="21"/>
      <c r="DF2" s="21"/>
      <c r="DG2" s="21"/>
      <c r="DH2" s="21"/>
      <c r="DI2" s="21"/>
      <c r="DJ2" s="21"/>
      <c r="DK2" s="21"/>
    </row>
    <row r="3" customFormat="false" ht="57.45" hidden="false" customHeight="false" outlineLevel="0" collapsed="false">
      <c r="A3" s="22" t="s">
        <v>8289</v>
      </c>
      <c r="B3" s="23" t="s">
        <v>8290</v>
      </c>
      <c r="C3" s="23" t="s">
        <v>8291</v>
      </c>
      <c r="D3" s="24" t="s">
        <v>27</v>
      </c>
      <c r="E3" s="24" t="s">
        <v>8292</v>
      </c>
      <c r="F3" s="24" t="s">
        <v>8293</v>
      </c>
      <c r="G3" s="24" t="s">
        <v>8294</v>
      </c>
      <c r="H3" s="25" t="s">
        <v>29</v>
      </c>
      <c r="I3" s="26" t="s">
        <v>8295</v>
      </c>
      <c r="J3" s="26" t="s">
        <v>8296</v>
      </c>
      <c r="K3" s="26" t="s">
        <v>8297</v>
      </c>
      <c r="L3" s="20" t="s">
        <v>8263</v>
      </c>
      <c r="M3" s="20" t="s">
        <v>8298</v>
      </c>
      <c r="N3" s="20" t="s">
        <v>8299</v>
      </c>
      <c r="O3" s="20" t="s">
        <v>8300</v>
      </c>
      <c r="P3" s="27" t="s">
        <v>33</v>
      </c>
      <c r="Q3" s="27" t="s">
        <v>8301</v>
      </c>
      <c r="R3" s="27" t="s">
        <v>8302</v>
      </c>
      <c r="S3" s="27" t="s">
        <v>8303</v>
      </c>
      <c r="T3" s="27" t="s">
        <v>35</v>
      </c>
      <c r="U3" s="27" t="s">
        <v>8304</v>
      </c>
      <c r="V3" s="27" t="s">
        <v>8305</v>
      </c>
      <c r="W3" s="27" t="s">
        <v>8306</v>
      </c>
      <c r="X3" s="27" t="s">
        <v>8307</v>
      </c>
      <c r="Y3" s="27" t="s">
        <v>8308</v>
      </c>
      <c r="Z3" s="27" t="s">
        <v>8309</v>
      </c>
      <c r="AA3" s="28" t="s">
        <v>8310</v>
      </c>
      <c r="AB3" s="28" t="s">
        <v>8311</v>
      </c>
      <c r="AC3" s="28" t="s">
        <v>8312</v>
      </c>
      <c r="AD3" s="29" t="s">
        <v>8313</v>
      </c>
      <c r="AE3" s="29" t="s">
        <v>8314</v>
      </c>
      <c r="AF3" s="29" t="s">
        <v>8315</v>
      </c>
      <c r="AG3" s="28" t="s">
        <v>8316</v>
      </c>
      <c r="AH3" s="28" t="s">
        <v>8317</v>
      </c>
      <c r="AI3" s="28" t="s">
        <v>8318</v>
      </c>
      <c r="AJ3" s="29" t="s">
        <v>8319</v>
      </c>
      <c r="AK3" s="29" t="s">
        <v>8320</v>
      </c>
      <c r="AL3" s="29" t="s">
        <v>8321</v>
      </c>
      <c r="AM3" s="28" t="s">
        <v>8322</v>
      </c>
      <c r="AN3" s="28" t="s">
        <v>8323</v>
      </c>
      <c r="AO3" s="28" t="s">
        <v>8324</v>
      </c>
      <c r="AP3" s="29" t="s">
        <v>8325</v>
      </c>
      <c r="AQ3" s="29" t="s">
        <v>8326</v>
      </c>
      <c r="AR3" s="29" t="s">
        <v>8327</v>
      </c>
      <c r="AS3" s="28" t="s">
        <v>8328</v>
      </c>
      <c r="AT3" s="28" t="s">
        <v>8329</v>
      </c>
      <c r="AU3" s="28" t="s">
        <v>8330</v>
      </c>
      <c r="AV3" s="28" t="s">
        <v>8331</v>
      </c>
      <c r="AW3" s="28" t="s">
        <v>8332</v>
      </c>
      <c r="AX3" s="28" t="s">
        <v>8333</v>
      </c>
      <c r="AY3" s="28" t="s">
        <v>8334</v>
      </c>
      <c r="AZ3" s="28" t="s">
        <v>8335</v>
      </c>
      <c r="BA3" s="28" t="s">
        <v>8336</v>
      </c>
      <c r="BB3" s="28" t="s">
        <v>8337</v>
      </c>
      <c r="BC3" s="28" t="s">
        <v>8338</v>
      </c>
      <c r="BD3" s="20" t="s">
        <v>8339</v>
      </c>
      <c r="BE3" s="20" t="s">
        <v>8340</v>
      </c>
      <c r="BF3" s="20" t="s">
        <v>8341</v>
      </c>
      <c r="BG3" s="20" t="s">
        <v>8342</v>
      </c>
      <c r="BH3" s="20" t="s">
        <v>8343</v>
      </c>
      <c r="BI3" s="20" t="s">
        <v>8344</v>
      </c>
      <c r="BJ3" s="20" t="s">
        <v>8345</v>
      </c>
      <c r="BK3" s="20" t="s">
        <v>8346</v>
      </c>
      <c r="BL3" s="20" t="s">
        <v>8347</v>
      </c>
      <c r="BM3" s="20" t="s">
        <v>8348</v>
      </c>
      <c r="BN3" s="20" t="s">
        <v>8349</v>
      </c>
      <c r="BO3" s="20" t="s">
        <v>8350</v>
      </c>
      <c r="BP3" s="10" t="s">
        <v>8351</v>
      </c>
      <c r="BQ3" s="10" t="s">
        <v>8352</v>
      </c>
      <c r="BR3" s="10" t="s">
        <v>8353</v>
      </c>
      <c r="BS3" s="10" t="s">
        <v>8354</v>
      </c>
      <c r="BT3" s="10" t="s">
        <v>8355</v>
      </c>
      <c r="BU3" s="10" t="s">
        <v>8356</v>
      </c>
      <c r="BV3" s="10" t="s">
        <v>8357</v>
      </c>
      <c r="BW3" s="10" t="s">
        <v>8358</v>
      </c>
      <c r="BX3" s="10" t="s">
        <v>8359</v>
      </c>
      <c r="BY3" s="10" t="s">
        <v>8360</v>
      </c>
      <c r="BZ3" s="10" t="s">
        <v>8361</v>
      </c>
      <c r="CA3" s="10" t="s">
        <v>8362</v>
      </c>
      <c r="CB3" s="10" t="s">
        <v>8363</v>
      </c>
      <c r="CC3" s="10" t="s">
        <v>8364</v>
      </c>
      <c r="CD3" s="10" t="s">
        <v>8365</v>
      </c>
      <c r="CE3" s="10" t="s">
        <v>8366</v>
      </c>
      <c r="CF3" s="10" t="s">
        <v>8367</v>
      </c>
      <c r="CG3" s="10" t="s">
        <v>8368</v>
      </c>
      <c r="CH3" s="10" t="s">
        <v>8369</v>
      </c>
      <c r="CI3" s="10" t="s">
        <v>8370</v>
      </c>
      <c r="CJ3" s="10" t="s">
        <v>8371</v>
      </c>
      <c r="CK3" s="10" t="s">
        <v>8372</v>
      </c>
      <c r="CL3" s="10" t="s">
        <v>8373</v>
      </c>
      <c r="CM3" s="10" t="s">
        <v>8374</v>
      </c>
      <c r="CN3" s="10" t="s">
        <v>8375</v>
      </c>
      <c r="CO3" s="10" t="s">
        <v>8376</v>
      </c>
      <c r="CP3" s="10" t="s">
        <v>8377</v>
      </c>
      <c r="CQ3" s="10" t="s">
        <v>8378</v>
      </c>
      <c r="CR3" s="10" t="s">
        <v>8379</v>
      </c>
      <c r="CS3" s="10" t="s">
        <v>8380</v>
      </c>
      <c r="CT3" s="10" t="s">
        <v>8381</v>
      </c>
      <c r="CU3" s="10" t="s">
        <v>8382</v>
      </c>
      <c r="CV3" s="10" t="s">
        <v>8383</v>
      </c>
      <c r="CW3" s="10" t="s">
        <v>8384</v>
      </c>
      <c r="CX3" s="10" t="s">
        <v>8385</v>
      </c>
      <c r="CY3" s="10" t="s">
        <v>8386</v>
      </c>
      <c r="CZ3" s="10" t="s">
        <v>8387</v>
      </c>
      <c r="DA3" s="10" t="s">
        <v>8388</v>
      </c>
      <c r="DB3" s="10" t="s">
        <v>8389</v>
      </c>
      <c r="DC3" s="10" t="s">
        <v>8390</v>
      </c>
      <c r="DD3" s="10" t="s">
        <v>8391</v>
      </c>
      <c r="DE3" s="10" t="s">
        <v>8392</v>
      </c>
      <c r="DF3" s="10" t="s">
        <v>8393</v>
      </c>
      <c r="DG3" s="10" t="s">
        <v>8394</v>
      </c>
      <c r="DH3" s="10" t="s">
        <v>8395</v>
      </c>
      <c r="DI3" s="10" t="s">
        <v>8396</v>
      </c>
      <c r="DJ3" s="10" t="s">
        <v>8397</v>
      </c>
      <c r="DK3" s="10" t="s">
        <v>8398</v>
      </c>
    </row>
    <row r="4" customFormat="false" ht="12.8" hidden="false" customHeight="false" outlineLevel="0" collapsed="false">
      <c r="A4" s="11" t="n">
        <v>0</v>
      </c>
      <c r="B4" s="12" t="s">
        <v>8399</v>
      </c>
      <c r="C4" s="12" t="s">
        <v>8400</v>
      </c>
      <c r="D4" s="12" t="n">
        <v>3331950</v>
      </c>
      <c r="E4" s="12" t="n">
        <v>166598</v>
      </c>
      <c r="F4" s="12" t="n">
        <v>166597</v>
      </c>
      <c r="G4" s="12" t="n">
        <v>2997755</v>
      </c>
      <c r="H4" s="12" t="n">
        <v>0.667</v>
      </c>
      <c r="I4" s="12" t="n">
        <v>0.701</v>
      </c>
      <c r="J4" s="12" t="n">
        <v>0.635</v>
      </c>
      <c r="K4" s="12" t="n">
        <v>0.668</v>
      </c>
      <c r="L4" s="12" t="n">
        <v>0.7</v>
      </c>
      <c r="M4" s="12" t="n">
        <v>0.735</v>
      </c>
      <c r="N4" s="12" t="n">
        <v>0.71</v>
      </c>
      <c r="O4" s="12" t="n">
        <v>0.698</v>
      </c>
      <c r="P4" s="12" t="n">
        <v>0.047</v>
      </c>
      <c r="Q4" s="12" t="n">
        <v>0.046</v>
      </c>
      <c r="R4" s="12" t="n">
        <v>0.106</v>
      </c>
      <c r="S4" s="12" t="n">
        <v>0.044</v>
      </c>
      <c r="T4" s="12" t="n">
        <v>0.068</v>
      </c>
      <c r="U4" s="12" t="n">
        <v>0.066</v>
      </c>
      <c r="V4" s="12" t="n">
        <v>0.128</v>
      </c>
      <c r="W4" s="12" t="n">
        <v>0.066</v>
      </c>
      <c r="X4" s="12" t="n">
        <v>31.5</v>
      </c>
      <c r="Y4" s="12" t="n">
        <v>20.5</v>
      </c>
      <c r="Z4" s="12" t="n">
        <v>48.8</v>
      </c>
      <c r="AA4" s="12" t="n">
        <v>65520</v>
      </c>
      <c r="AB4" s="12" t="n">
        <v>42600</v>
      </c>
      <c r="AC4" s="12" t="n">
        <v>101504</v>
      </c>
      <c r="AD4" s="12" t="n">
        <v>30.5</v>
      </c>
      <c r="AE4" s="12" t="n">
        <v>19.8</v>
      </c>
      <c r="AF4" s="12" t="n">
        <v>47.3</v>
      </c>
      <c r="AG4" s="12" t="n">
        <v>63440</v>
      </c>
      <c r="AH4" s="12" t="n">
        <v>41240</v>
      </c>
      <c r="AI4" s="12" t="n">
        <v>98432</v>
      </c>
      <c r="AJ4" s="12" t="n">
        <v>26.8</v>
      </c>
      <c r="AK4" s="12" t="n">
        <v>17.4</v>
      </c>
      <c r="AL4" s="12" t="n">
        <v>41.5</v>
      </c>
      <c r="AM4" s="12" t="n">
        <v>55776</v>
      </c>
      <c r="AN4" s="12" t="n">
        <v>36240</v>
      </c>
      <c r="AO4" s="12" t="n">
        <v>86464</v>
      </c>
      <c r="AP4" s="12" t="n">
        <v>32.1</v>
      </c>
      <c r="AQ4" s="12" t="n">
        <v>20.9</v>
      </c>
      <c r="AR4" s="12" t="n">
        <v>49.8</v>
      </c>
      <c r="AS4" s="12" t="n">
        <v>66768</v>
      </c>
      <c r="AT4" s="12" t="n">
        <v>43416</v>
      </c>
      <c r="AU4" s="12" t="n">
        <v>103616</v>
      </c>
      <c r="AV4" s="12" t="n">
        <v>1250000000</v>
      </c>
      <c r="AW4" s="12" t="n">
        <v>45000000</v>
      </c>
      <c r="AX4" s="12" t="n">
        <v>115000000</v>
      </c>
      <c r="AY4" s="12" t="n">
        <v>1095000000</v>
      </c>
      <c r="AZ4" s="12" t="n">
        <v>625000000</v>
      </c>
      <c r="BA4" s="12" t="n">
        <v>22500000</v>
      </c>
      <c r="BB4" s="12" t="n">
        <v>57500000</v>
      </c>
      <c r="BC4" s="12" t="n">
        <v>545000000</v>
      </c>
      <c r="BD4" s="12" t="n">
        <v>320000000</v>
      </c>
      <c r="BE4" s="12" t="n">
        <v>90000000</v>
      </c>
      <c r="BF4" s="12" t="n">
        <v>0</v>
      </c>
      <c r="BG4" s="12" t="n">
        <v>230000000</v>
      </c>
      <c r="BH4" s="12" t="n">
        <v>160000000</v>
      </c>
      <c r="BI4" s="12" t="n">
        <v>40000000</v>
      </c>
      <c r="BJ4" s="12" t="n">
        <v>40000000</v>
      </c>
      <c r="BK4" s="12" t="n">
        <v>120000000</v>
      </c>
      <c r="BL4" s="12" t="n">
        <v>80000000</v>
      </c>
      <c r="BM4" s="12" t="n">
        <v>20000000</v>
      </c>
      <c r="BN4" s="12" t="n">
        <v>20000000</v>
      </c>
      <c r="BO4" s="12" t="n">
        <v>60000000</v>
      </c>
      <c r="BP4" s="10" t="n">
        <v>2221300</v>
      </c>
      <c r="BQ4" s="10" t="n">
        <v>116597</v>
      </c>
      <c r="BR4" s="10" t="n">
        <v>105800</v>
      </c>
      <c r="BS4" s="10" t="n">
        <v>1998903</v>
      </c>
      <c r="BT4" s="10" t="n">
        <v>38</v>
      </c>
      <c r="BU4" s="10" t="n">
        <v>37.5</v>
      </c>
      <c r="BV4" s="10" t="n">
        <v>39</v>
      </c>
      <c r="BW4" s="10" t="n">
        <v>38.1</v>
      </c>
      <c r="BX4" s="10" t="n">
        <v>20</v>
      </c>
      <c r="BY4" s="10" t="n">
        <v>55</v>
      </c>
      <c r="BZ4" s="10" t="n">
        <v>0.78</v>
      </c>
      <c r="CA4" s="10" t="n">
        <v>0.81</v>
      </c>
      <c r="CB4" s="10" t="n">
        <v>0.72</v>
      </c>
      <c r="CC4" s="10" t="n">
        <v>0.785</v>
      </c>
      <c r="CD4" s="10" t="n">
        <v>0.22</v>
      </c>
      <c r="CE4" s="10" t="n">
        <v>0.19</v>
      </c>
      <c r="CF4" s="10" t="n">
        <v>0.28</v>
      </c>
      <c r="CG4" s="10" t="n">
        <v>0.215</v>
      </c>
      <c r="CH4" s="10" t="n">
        <v>5.8</v>
      </c>
      <c r="CI4" s="10" t="n">
        <v>4.9</v>
      </c>
      <c r="CJ4" s="10" t="n">
        <v>3.8</v>
      </c>
      <c r="CK4" s="10" t="n">
        <v>6</v>
      </c>
      <c r="CL4" s="10" t="n">
        <v>1</v>
      </c>
      <c r="CM4" s="10" t="n">
        <v>15</v>
      </c>
      <c r="CN4" s="10" t="n">
        <v>0.18</v>
      </c>
      <c r="CO4" s="10" t="n">
        <v>0.16</v>
      </c>
      <c r="CP4" s="10" t="n">
        <v>0.24</v>
      </c>
      <c r="CQ4" s="10" t="n">
        <v>0.175</v>
      </c>
      <c r="CR4" s="10" t="n">
        <v>55</v>
      </c>
      <c r="CS4" s="10" t="n">
        <v>54</v>
      </c>
      <c r="CT4" s="10" t="n">
        <v>52</v>
      </c>
      <c r="CU4" s="10" t="n">
        <v>55.5</v>
      </c>
      <c r="CV4" s="10" t="n">
        <v>2.5</v>
      </c>
      <c r="CW4" s="10" t="n">
        <v>2.8</v>
      </c>
      <c r="CX4" s="10" t="n">
        <v>2</v>
      </c>
      <c r="CY4" s="10" t="n">
        <v>2.6</v>
      </c>
      <c r="CZ4" s="10" t="n">
        <v>220000000</v>
      </c>
      <c r="DA4" s="10" t="n">
        <v>8000000</v>
      </c>
      <c r="DB4" s="10" t="n">
        <v>4000000</v>
      </c>
      <c r="DC4" s="10" t="n">
        <v>208000000</v>
      </c>
      <c r="DD4" s="10" t="n">
        <v>450000000</v>
      </c>
      <c r="DE4" s="10" t="n">
        <v>16200000</v>
      </c>
      <c r="DF4" s="10" t="n">
        <v>0</v>
      </c>
      <c r="DG4" s="10" t="n">
        <v>433800000</v>
      </c>
      <c r="DH4" s="10" t="n">
        <v>0.08</v>
      </c>
      <c r="DI4" s="10" t="n">
        <v>0.11</v>
      </c>
      <c r="DJ4" s="10" t="n">
        <v>0.05</v>
      </c>
      <c r="DK4" s="10" t="n">
        <v>0.085</v>
      </c>
    </row>
    <row r="5" customFormat="false" ht="12.8" hidden="false" customHeight="false" outlineLevel="0" collapsed="false">
      <c r="A5" s="9" t="n">
        <v>1</v>
      </c>
      <c r="B5" s="10" t="s">
        <v>8401</v>
      </c>
      <c r="C5" s="10" t="s">
        <v>8402</v>
      </c>
      <c r="D5" s="10" t="n">
        <v>90000</v>
      </c>
      <c r="E5" s="10" t="n">
        <v>9000</v>
      </c>
      <c r="F5" s="10" t="n">
        <v>9000</v>
      </c>
      <c r="G5" s="10" t="n">
        <v>72000</v>
      </c>
      <c r="H5" s="10" t="n">
        <v>0.55</v>
      </c>
      <c r="I5" s="10" t="n">
        <v>0.61</v>
      </c>
      <c r="J5" s="10" t="n">
        <v>0.495</v>
      </c>
      <c r="K5" s="10" t="n">
        <v>0.55</v>
      </c>
      <c r="L5" s="10" t="n">
        <v>0.58</v>
      </c>
      <c r="M5" s="10" t="n">
        <v>0.65</v>
      </c>
      <c r="N5" s="10" t="n">
        <v>0.55</v>
      </c>
      <c r="O5" s="10" t="n">
        <v>0.58</v>
      </c>
      <c r="P5" s="10" t="n">
        <v>0.07</v>
      </c>
      <c r="Q5" s="10" t="n">
        <v>0.07</v>
      </c>
      <c r="R5" s="10" t="n">
        <v>0.11</v>
      </c>
      <c r="S5" s="10" t="n">
        <v>0.045</v>
      </c>
      <c r="T5" s="10" t="n">
        <v>0.093</v>
      </c>
      <c r="U5" s="10" t="n">
        <v>0.108</v>
      </c>
      <c r="V5" s="10" t="n">
        <v>0.155</v>
      </c>
      <c r="W5" s="10" t="n">
        <v>0.089</v>
      </c>
      <c r="X5" s="10" t="n">
        <v>21.93</v>
      </c>
      <c r="Y5" s="10" t="n">
        <v>14.3</v>
      </c>
      <c r="Z5" s="10" t="n">
        <v>33.9</v>
      </c>
      <c r="AA5" s="10" t="n">
        <v>45614</v>
      </c>
      <c r="AB5" s="10" t="n">
        <v>29824</v>
      </c>
      <c r="AC5" s="10" t="n">
        <v>70512</v>
      </c>
      <c r="AD5" s="10" t="n">
        <v>21</v>
      </c>
      <c r="AE5" s="10" t="n">
        <v>13.7</v>
      </c>
      <c r="AF5" s="10" t="n">
        <v>32.5</v>
      </c>
      <c r="AG5" s="10" t="n">
        <v>43680</v>
      </c>
      <c r="AH5" s="10" t="n">
        <v>28480</v>
      </c>
      <c r="AI5" s="10" t="n">
        <v>67360</v>
      </c>
      <c r="AJ5" s="10" t="n">
        <v>18.2</v>
      </c>
      <c r="AK5" s="10" t="n">
        <v>11.8</v>
      </c>
      <c r="AL5" s="10" t="n">
        <v>28.1</v>
      </c>
      <c r="AM5" s="10" t="n">
        <v>37856</v>
      </c>
      <c r="AN5" s="10" t="n">
        <v>24688</v>
      </c>
      <c r="AO5" s="10" t="n">
        <v>58592</v>
      </c>
      <c r="AP5" s="10" t="n">
        <v>22.4</v>
      </c>
      <c r="AQ5" s="10" t="n">
        <v>14.6</v>
      </c>
      <c r="AR5" s="10" t="n">
        <v>34.6</v>
      </c>
      <c r="AS5" s="10" t="n">
        <v>46592</v>
      </c>
      <c r="AT5" s="10" t="n">
        <v>30352</v>
      </c>
      <c r="AU5" s="10" t="n">
        <v>71904</v>
      </c>
      <c r="AV5" s="10" t="n">
        <v>1800000</v>
      </c>
      <c r="AW5" s="10" t="n">
        <v>61000</v>
      </c>
      <c r="AX5" s="10" t="n">
        <v>98000</v>
      </c>
      <c r="AY5" s="10" t="n">
        <v>1641000</v>
      </c>
      <c r="AZ5" s="10" t="n">
        <v>900000</v>
      </c>
      <c r="BA5" s="10" t="n">
        <v>30500</v>
      </c>
      <c r="BB5" s="10" t="n">
        <v>49000</v>
      </c>
      <c r="BC5" s="10" t="n">
        <v>820500</v>
      </c>
      <c r="BD5" s="10" t="n">
        <v>90000</v>
      </c>
      <c r="BE5" s="10" t="n">
        <v>18000</v>
      </c>
      <c r="BF5" s="10" t="n">
        <v>0</v>
      </c>
      <c r="BG5" s="10" t="n">
        <v>72000</v>
      </c>
      <c r="BH5" s="10" t="n">
        <v>45000</v>
      </c>
      <c r="BI5" s="10" t="n">
        <v>9000</v>
      </c>
      <c r="BJ5" s="10" t="n">
        <v>18000</v>
      </c>
      <c r="BK5" s="10" t="n">
        <v>54000</v>
      </c>
      <c r="BL5" s="10" t="n">
        <v>27000</v>
      </c>
      <c r="BM5" s="10" t="n">
        <v>5400</v>
      </c>
      <c r="BN5" s="10" t="n">
        <v>13500</v>
      </c>
      <c r="BO5" s="10" t="n">
        <v>40500</v>
      </c>
      <c r="BP5" s="10" t="n">
        <v>49500</v>
      </c>
      <c r="BQ5" s="10" t="n">
        <v>5490</v>
      </c>
      <c r="BR5" s="10" t="n">
        <v>4455</v>
      </c>
      <c r="BS5" s="10" t="n">
        <v>39600</v>
      </c>
      <c r="BT5" s="10" t="n">
        <v>40</v>
      </c>
      <c r="BU5" s="10" t="n">
        <v>38</v>
      </c>
      <c r="BV5" s="10" t="n">
        <v>42</v>
      </c>
      <c r="BW5" s="10" t="n">
        <v>40</v>
      </c>
      <c r="BX5" s="10" t="n">
        <v>20</v>
      </c>
      <c r="BY5" s="10" t="n">
        <v>60</v>
      </c>
      <c r="BZ5" s="10" t="n">
        <v>0.75</v>
      </c>
      <c r="CA5" s="10" t="n">
        <v>0.7</v>
      </c>
      <c r="CB5" s="10" t="n">
        <v>0.65</v>
      </c>
      <c r="CC5" s="10" t="n">
        <v>0.78</v>
      </c>
      <c r="CD5" s="10" t="n">
        <v>0.25</v>
      </c>
      <c r="CE5" s="10" t="n">
        <v>0.3</v>
      </c>
      <c r="CF5" s="10" t="n">
        <v>0.35</v>
      </c>
      <c r="CG5" s="10" t="n">
        <v>0.22</v>
      </c>
      <c r="CH5" s="10" t="n">
        <v>5</v>
      </c>
      <c r="CI5" s="10" t="n">
        <v>4.5</v>
      </c>
      <c r="CJ5" s="10" t="n">
        <v>3</v>
      </c>
      <c r="CK5" s="10" t="n">
        <v>6</v>
      </c>
      <c r="CL5" s="10" t="n">
        <v>1</v>
      </c>
      <c r="CM5" s="10" t="n">
        <v>12</v>
      </c>
      <c r="CN5" s="10" t="n">
        <v>0.2</v>
      </c>
      <c r="CO5" s="10" t="n">
        <v>0.18</v>
      </c>
      <c r="CP5" s="10" t="n">
        <v>0.26</v>
      </c>
      <c r="CQ5" s="10" t="n">
        <v>0.17</v>
      </c>
      <c r="CR5" s="10" t="n">
        <v>50</v>
      </c>
      <c r="CS5" s="10" t="n">
        <v>50</v>
      </c>
      <c r="CT5" s="10" t="n">
        <v>47.5</v>
      </c>
      <c r="CU5" s="10" t="n">
        <v>52.5</v>
      </c>
      <c r="CV5" s="10" t="n">
        <v>1.5</v>
      </c>
      <c r="CW5" s="10" t="n">
        <v>1.65</v>
      </c>
      <c r="CX5" s="10" t="n">
        <v>1.2</v>
      </c>
      <c r="CY5" s="10" t="n">
        <v>1.5</v>
      </c>
      <c r="CZ5" s="10" t="n">
        <v>300000</v>
      </c>
      <c r="DA5" s="10" t="n">
        <v>12000</v>
      </c>
      <c r="DB5" s="10" t="n">
        <v>6000</v>
      </c>
      <c r="DC5" s="10" t="n">
        <v>282000</v>
      </c>
      <c r="DD5" s="10" t="n">
        <v>660000</v>
      </c>
      <c r="DE5" s="10" t="n">
        <v>23760</v>
      </c>
      <c r="DF5" s="10" t="n">
        <v>0</v>
      </c>
      <c r="DG5" s="10" t="n">
        <v>636240</v>
      </c>
      <c r="DH5" s="10" t="n">
        <v>0.1</v>
      </c>
      <c r="DI5" s="10" t="n">
        <v>0.12</v>
      </c>
      <c r="DJ5" s="10" t="n">
        <v>0.05</v>
      </c>
      <c r="DK5" s="10" t="n">
        <v>0.1</v>
      </c>
    </row>
    <row r="6" customFormat="false" ht="12.8" hidden="false" customHeight="false" outlineLevel="0" collapsed="false">
      <c r="A6" s="9" t="n">
        <v>2</v>
      </c>
      <c r="B6" s="10" t="s">
        <v>8401</v>
      </c>
      <c r="C6" s="10" t="s">
        <v>8403</v>
      </c>
      <c r="D6" s="10" t="n">
        <v>45000</v>
      </c>
      <c r="E6" s="10" t="n">
        <v>4500</v>
      </c>
      <c r="F6" s="10" t="n">
        <v>4500</v>
      </c>
      <c r="G6" s="10" t="n">
        <v>36000</v>
      </c>
      <c r="H6" s="10" t="n">
        <v>0.55</v>
      </c>
      <c r="I6" s="10" t="n">
        <v>0.61</v>
      </c>
      <c r="J6" s="10" t="n">
        <v>0.495</v>
      </c>
      <c r="K6" s="10" t="n">
        <v>0.55</v>
      </c>
      <c r="L6" s="10" t="n">
        <v>0.58</v>
      </c>
      <c r="M6" s="10" t="n">
        <v>0.65</v>
      </c>
      <c r="N6" s="10" t="n">
        <v>0.55</v>
      </c>
      <c r="O6" s="10" t="n">
        <v>0.58</v>
      </c>
      <c r="P6" s="10" t="n">
        <v>0.07</v>
      </c>
      <c r="Q6" s="10" t="n">
        <v>0.07</v>
      </c>
      <c r="R6" s="10" t="n">
        <v>0.11</v>
      </c>
      <c r="S6" s="10" t="n">
        <v>0.045</v>
      </c>
      <c r="T6" s="10" t="n">
        <v>0.093</v>
      </c>
      <c r="U6" s="10" t="n">
        <v>0.108</v>
      </c>
      <c r="V6" s="10" t="n">
        <v>0.155</v>
      </c>
      <c r="W6" s="10" t="n">
        <v>0.089</v>
      </c>
      <c r="X6" s="10" t="n">
        <v>18.64</v>
      </c>
      <c r="Y6" s="10" t="n">
        <v>12.1</v>
      </c>
      <c r="Z6" s="10" t="n">
        <v>28.8</v>
      </c>
      <c r="AA6" s="10" t="n">
        <v>38771</v>
      </c>
      <c r="AB6" s="10" t="n">
        <v>25200</v>
      </c>
      <c r="AC6" s="10" t="n">
        <v>59904</v>
      </c>
      <c r="AD6" s="10" t="n">
        <v>17.8</v>
      </c>
      <c r="AE6" s="10" t="n">
        <v>11.6</v>
      </c>
      <c r="AF6" s="10" t="n">
        <v>27.6</v>
      </c>
      <c r="AG6" s="10" t="n">
        <v>37024</v>
      </c>
      <c r="AH6" s="10" t="n">
        <v>24104</v>
      </c>
      <c r="AI6" s="10" t="n">
        <v>57376</v>
      </c>
      <c r="AJ6" s="10" t="n">
        <v>15.5</v>
      </c>
      <c r="AK6" s="10" t="n">
        <v>10.1</v>
      </c>
      <c r="AL6" s="10" t="n">
        <v>24</v>
      </c>
      <c r="AM6" s="10" t="n">
        <v>32240</v>
      </c>
      <c r="AN6" s="10" t="n">
        <v>20960</v>
      </c>
      <c r="AO6" s="10" t="n">
        <v>49920</v>
      </c>
      <c r="AP6" s="10" t="n">
        <v>19</v>
      </c>
      <c r="AQ6" s="10" t="n">
        <v>12.4</v>
      </c>
      <c r="AR6" s="10" t="n">
        <v>29.5</v>
      </c>
      <c r="AS6" s="10" t="n">
        <v>39520</v>
      </c>
      <c r="AT6" s="10" t="n">
        <v>25720</v>
      </c>
      <c r="AU6" s="10" t="n">
        <v>61280</v>
      </c>
      <c r="AV6" s="10" t="n">
        <v>900000</v>
      </c>
      <c r="AW6" s="10" t="n">
        <v>30500</v>
      </c>
      <c r="AX6" s="10" t="n">
        <v>49000</v>
      </c>
      <c r="AY6" s="10" t="n">
        <v>820500</v>
      </c>
      <c r="AZ6" s="10" t="n">
        <v>450000</v>
      </c>
      <c r="BA6" s="10" t="n">
        <v>15250</v>
      </c>
      <c r="BB6" s="10" t="n">
        <v>24500</v>
      </c>
      <c r="BC6" s="10" t="n">
        <v>410250</v>
      </c>
      <c r="BD6" s="10" t="n">
        <v>45000</v>
      </c>
      <c r="BE6" s="10" t="n">
        <v>9000</v>
      </c>
      <c r="BF6" s="10" t="n">
        <v>0</v>
      </c>
      <c r="BG6" s="10" t="n">
        <v>36000</v>
      </c>
      <c r="BH6" s="10" t="n">
        <v>22500</v>
      </c>
      <c r="BI6" s="10" t="n">
        <v>4500</v>
      </c>
      <c r="BJ6" s="10" t="n">
        <v>9000</v>
      </c>
      <c r="BK6" s="10" t="n">
        <v>27000</v>
      </c>
      <c r="BL6" s="10" t="n">
        <v>13500</v>
      </c>
      <c r="BM6" s="10" t="n">
        <v>2700</v>
      </c>
      <c r="BN6" s="10" t="n">
        <v>6750</v>
      </c>
      <c r="BO6" s="10" t="n">
        <v>20250</v>
      </c>
      <c r="BP6" s="10" t="n">
        <v>24750</v>
      </c>
      <c r="BQ6" s="10" t="n">
        <v>2745</v>
      </c>
      <c r="BR6" s="10" t="n">
        <v>2228</v>
      </c>
      <c r="BS6" s="10" t="n">
        <v>19800</v>
      </c>
      <c r="BT6" s="10" t="n">
        <v>40</v>
      </c>
      <c r="BU6" s="10" t="n">
        <v>38</v>
      </c>
      <c r="BV6" s="10" t="n">
        <v>42</v>
      </c>
      <c r="BW6" s="10" t="n">
        <v>40</v>
      </c>
      <c r="BX6" s="10" t="n">
        <v>20</v>
      </c>
      <c r="BY6" s="10" t="n">
        <v>60</v>
      </c>
      <c r="BZ6" s="10" t="n">
        <v>0.75</v>
      </c>
      <c r="CA6" s="10" t="n">
        <v>0.7</v>
      </c>
      <c r="CB6" s="10" t="n">
        <v>0.65</v>
      </c>
      <c r="CC6" s="10" t="n">
        <v>0.78</v>
      </c>
      <c r="CD6" s="10" t="n">
        <v>0.25</v>
      </c>
      <c r="CE6" s="10" t="n">
        <v>0.3</v>
      </c>
      <c r="CF6" s="10" t="n">
        <v>0.35</v>
      </c>
      <c r="CG6" s="10" t="n">
        <v>0.22</v>
      </c>
      <c r="CH6" s="10" t="n">
        <v>5</v>
      </c>
      <c r="CI6" s="10" t="n">
        <v>4.5</v>
      </c>
      <c r="CJ6" s="10" t="n">
        <v>3</v>
      </c>
      <c r="CK6" s="10" t="n">
        <v>6</v>
      </c>
      <c r="CL6" s="10" t="n">
        <v>1</v>
      </c>
      <c r="CM6" s="10" t="n">
        <v>12</v>
      </c>
      <c r="CN6" s="10" t="n">
        <v>0.2</v>
      </c>
      <c r="CO6" s="10" t="n">
        <v>0.18</v>
      </c>
      <c r="CP6" s="10" t="n">
        <v>0.26</v>
      </c>
      <c r="CQ6" s="10" t="n">
        <v>0.17</v>
      </c>
      <c r="CR6" s="10" t="n">
        <v>50</v>
      </c>
      <c r="CS6" s="10" t="n">
        <v>50</v>
      </c>
      <c r="CT6" s="10" t="n">
        <v>47.5</v>
      </c>
      <c r="CU6" s="10" t="n">
        <v>52.5</v>
      </c>
      <c r="CV6" s="10" t="n">
        <v>1.5</v>
      </c>
      <c r="CW6" s="10" t="n">
        <v>1.65</v>
      </c>
      <c r="CX6" s="10" t="n">
        <v>1.2</v>
      </c>
      <c r="CY6" s="10" t="n">
        <v>1.5</v>
      </c>
      <c r="CZ6" s="10" t="n">
        <v>150000</v>
      </c>
      <c r="DA6" s="10" t="n">
        <v>6000</v>
      </c>
      <c r="DB6" s="10" t="n">
        <v>3000</v>
      </c>
      <c r="DC6" s="10" t="n">
        <v>141000</v>
      </c>
      <c r="DD6" s="10" t="n">
        <v>330000</v>
      </c>
      <c r="DE6" s="10" t="n">
        <v>11880</v>
      </c>
      <c r="DF6" s="10" t="n">
        <v>0</v>
      </c>
      <c r="DG6" s="10" t="n">
        <v>318120</v>
      </c>
      <c r="DH6" s="10" t="n">
        <v>0.1</v>
      </c>
      <c r="DI6" s="10" t="n">
        <v>0.12</v>
      </c>
      <c r="DJ6" s="10" t="n">
        <v>0.05</v>
      </c>
      <c r="DK6" s="10" t="n">
        <v>0.1</v>
      </c>
    </row>
    <row r="7" customFormat="false" ht="12.8" hidden="false" customHeight="false" outlineLevel="0" collapsed="false">
      <c r="A7" s="9" t="n">
        <v>3</v>
      </c>
      <c r="B7" s="10" t="s">
        <v>8404</v>
      </c>
      <c r="C7" s="10" t="s">
        <v>8402</v>
      </c>
      <c r="D7" s="10" t="n">
        <v>142500</v>
      </c>
      <c r="E7" s="10" t="n">
        <v>11400</v>
      </c>
      <c r="F7" s="10" t="n">
        <v>9975</v>
      </c>
      <c r="G7" s="10" t="n">
        <v>121125</v>
      </c>
      <c r="H7" s="10" t="n">
        <v>0.62</v>
      </c>
      <c r="I7" s="10" t="n">
        <v>0.682</v>
      </c>
      <c r="J7" s="10" t="n">
        <v>0.558</v>
      </c>
      <c r="K7" s="10" t="n">
        <v>0.62</v>
      </c>
      <c r="L7" s="10" t="n">
        <v>0.65</v>
      </c>
      <c r="M7" s="10" t="n">
        <v>0.72</v>
      </c>
      <c r="N7" s="10" t="n">
        <v>0.62</v>
      </c>
      <c r="O7" s="10" t="n">
        <v>0.65</v>
      </c>
      <c r="P7" s="10" t="n">
        <v>0.06</v>
      </c>
      <c r="Q7" s="10" t="n">
        <v>0.06</v>
      </c>
      <c r="R7" s="10" t="n">
        <v>0.1</v>
      </c>
      <c r="S7" s="10" t="n">
        <v>0.03</v>
      </c>
      <c r="T7" s="10" t="n">
        <v>0.046</v>
      </c>
      <c r="U7" s="10" t="n">
        <v>0.066</v>
      </c>
      <c r="V7" s="10" t="n">
        <v>0.11</v>
      </c>
      <c r="W7" s="10" t="n">
        <v>0.042</v>
      </c>
      <c r="X7" s="10" t="n">
        <v>25.34</v>
      </c>
      <c r="Y7" s="10" t="n">
        <v>16.5</v>
      </c>
      <c r="Z7" s="10" t="n">
        <v>39.3</v>
      </c>
      <c r="AA7" s="10" t="n">
        <v>52707</v>
      </c>
      <c r="AB7" s="10" t="n">
        <v>34320</v>
      </c>
      <c r="AC7" s="10" t="n">
        <v>81744</v>
      </c>
      <c r="AD7" s="10" t="n">
        <v>24.1</v>
      </c>
      <c r="AE7" s="10" t="n">
        <v>15.7</v>
      </c>
      <c r="AF7" s="10" t="n">
        <v>37.4</v>
      </c>
      <c r="AG7" s="10" t="n">
        <v>50128</v>
      </c>
      <c r="AH7" s="10" t="n">
        <v>32640</v>
      </c>
      <c r="AI7" s="10" t="n">
        <v>77760</v>
      </c>
      <c r="AJ7" s="10" t="n">
        <v>21.5</v>
      </c>
      <c r="AK7" s="10" t="n">
        <v>14</v>
      </c>
      <c r="AL7" s="10" t="n">
        <v>33.4</v>
      </c>
      <c r="AM7" s="10" t="n">
        <v>44720</v>
      </c>
      <c r="AN7" s="10" t="n">
        <v>29120</v>
      </c>
      <c r="AO7" s="10" t="n">
        <v>69440</v>
      </c>
      <c r="AP7" s="10" t="n">
        <v>25.9</v>
      </c>
      <c r="AQ7" s="10" t="n">
        <v>16.8</v>
      </c>
      <c r="AR7" s="10" t="n">
        <v>40.1</v>
      </c>
      <c r="AS7" s="10" t="n">
        <v>53872</v>
      </c>
      <c r="AT7" s="10" t="n">
        <v>35072</v>
      </c>
      <c r="AU7" s="10" t="n">
        <v>83520</v>
      </c>
      <c r="AV7" s="10" t="n">
        <v>5000000</v>
      </c>
      <c r="AW7" s="10" t="n">
        <v>170000</v>
      </c>
      <c r="AX7" s="10" t="n">
        <v>90000</v>
      </c>
      <c r="AY7" s="10" t="n">
        <v>4740000</v>
      </c>
      <c r="AZ7" s="10" t="n">
        <v>2500000</v>
      </c>
      <c r="BA7" s="10" t="n">
        <v>85000</v>
      </c>
      <c r="BB7" s="10" t="n">
        <v>45000</v>
      </c>
      <c r="BC7" s="10" t="n">
        <v>2375000</v>
      </c>
      <c r="BD7" s="10" t="n">
        <v>500000</v>
      </c>
      <c r="BE7" s="10" t="n">
        <v>100000</v>
      </c>
      <c r="BF7" s="10" t="n">
        <v>0</v>
      </c>
      <c r="BG7" s="10" t="n">
        <v>400000</v>
      </c>
      <c r="BH7" s="10" t="n">
        <v>250000</v>
      </c>
      <c r="BI7" s="10" t="n">
        <v>50000</v>
      </c>
      <c r="BJ7" s="10" t="n">
        <v>50000</v>
      </c>
      <c r="BK7" s="10" t="n">
        <v>150000</v>
      </c>
      <c r="BL7" s="10" t="n">
        <v>75000</v>
      </c>
      <c r="BM7" s="10" t="n">
        <v>15000</v>
      </c>
      <c r="BN7" s="10" t="n">
        <v>37500</v>
      </c>
      <c r="BO7" s="10" t="n">
        <v>112500</v>
      </c>
      <c r="BP7" s="10" t="n">
        <v>88350</v>
      </c>
      <c r="BQ7" s="10" t="n">
        <v>7778</v>
      </c>
      <c r="BR7" s="10" t="n">
        <v>5567</v>
      </c>
      <c r="BS7" s="10" t="n">
        <v>75005</v>
      </c>
      <c r="BT7" s="10" t="n">
        <v>38</v>
      </c>
      <c r="BU7" s="10" t="n">
        <v>37</v>
      </c>
      <c r="BV7" s="10" t="n">
        <v>40</v>
      </c>
      <c r="BW7" s="10" t="n">
        <v>38.2</v>
      </c>
      <c r="BX7" s="10" t="n">
        <v>25</v>
      </c>
      <c r="BY7" s="10" t="n">
        <v>55</v>
      </c>
      <c r="BZ7" s="10" t="n">
        <v>0.82</v>
      </c>
      <c r="CA7" s="10" t="n">
        <v>0.78</v>
      </c>
      <c r="CB7" s="10" t="n">
        <v>0.72</v>
      </c>
      <c r="CC7" s="10" t="n">
        <v>0.83</v>
      </c>
      <c r="CD7" s="10" t="n">
        <v>0.18</v>
      </c>
      <c r="CE7" s="10" t="n">
        <v>0.22</v>
      </c>
      <c r="CF7" s="10" t="n">
        <v>0.28</v>
      </c>
      <c r="CG7" s="10" t="n">
        <v>0.17</v>
      </c>
      <c r="CH7" s="10" t="n">
        <v>6.5</v>
      </c>
      <c r="CI7" s="10" t="n">
        <v>5.8</v>
      </c>
      <c r="CJ7" s="10" t="n">
        <v>4.5</v>
      </c>
      <c r="CK7" s="10" t="n">
        <v>7</v>
      </c>
      <c r="CL7" s="10" t="n">
        <v>1.5</v>
      </c>
      <c r="CM7" s="10" t="n">
        <v>15</v>
      </c>
      <c r="CN7" s="10" t="n">
        <v>0.18</v>
      </c>
      <c r="CO7" s="10" t="n">
        <v>0.16</v>
      </c>
      <c r="CP7" s="10" t="n">
        <v>0.24</v>
      </c>
      <c r="CQ7" s="10" t="n">
        <v>0.17</v>
      </c>
      <c r="CR7" s="10" t="n">
        <v>60</v>
      </c>
      <c r="CS7" s="10" t="n">
        <v>58</v>
      </c>
      <c r="CT7" s="10" t="n">
        <v>55</v>
      </c>
      <c r="CU7" s="10" t="n">
        <v>62</v>
      </c>
      <c r="CV7" s="10" t="n">
        <v>2</v>
      </c>
      <c r="CW7" s="10" t="n">
        <v>2.2</v>
      </c>
      <c r="CX7" s="10" t="n">
        <v>1.5</v>
      </c>
      <c r="CY7" s="10" t="n">
        <v>2.1</v>
      </c>
      <c r="CZ7" s="10" t="n">
        <v>800000</v>
      </c>
      <c r="DA7" s="10" t="n">
        <v>32000</v>
      </c>
      <c r="DB7" s="10" t="n">
        <v>20000</v>
      </c>
      <c r="DC7" s="10" t="n">
        <v>748000</v>
      </c>
      <c r="DD7" s="10" t="n">
        <v>1750000</v>
      </c>
      <c r="DE7" s="10" t="n">
        <v>70000</v>
      </c>
      <c r="DF7" s="10" t="n">
        <v>0</v>
      </c>
      <c r="DG7" s="10" t="n">
        <v>1680000</v>
      </c>
      <c r="DH7" s="10" t="n">
        <v>0.08</v>
      </c>
      <c r="DI7" s="10" t="n">
        <v>0.1</v>
      </c>
      <c r="DJ7" s="10" t="n">
        <v>0.06</v>
      </c>
      <c r="DK7" s="10" t="n">
        <v>0.08</v>
      </c>
    </row>
    <row r="8" customFormat="false" ht="12.8" hidden="false" customHeight="false" outlineLevel="0" collapsed="false">
      <c r="A8" s="9" t="n">
        <v>4</v>
      </c>
      <c r="B8" s="10" t="s">
        <v>8404</v>
      </c>
      <c r="C8" s="10" t="s">
        <v>8403</v>
      </c>
      <c r="D8" s="10" t="n">
        <v>71250</v>
      </c>
      <c r="E8" s="10" t="n">
        <v>5700</v>
      </c>
      <c r="F8" s="10" t="n">
        <v>4988</v>
      </c>
      <c r="G8" s="10" t="n">
        <v>60562</v>
      </c>
      <c r="H8" s="10" t="n">
        <v>0.62</v>
      </c>
      <c r="I8" s="10" t="n">
        <v>0.682</v>
      </c>
      <c r="J8" s="10" t="n">
        <v>0.558</v>
      </c>
      <c r="K8" s="10" t="n">
        <v>0.62</v>
      </c>
      <c r="L8" s="10" t="n">
        <v>0.65</v>
      </c>
      <c r="M8" s="10" t="n">
        <v>0.72</v>
      </c>
      <c r="N8" s="10" t="n">
        <v>0.62</v>
      </c>
      <c r="O8" s="10" t="n">
        <v>0.65</v>
      </c>
      <c r="P8" s="10" t="n">
        <v>0.06</v>
      </c>
      <c r="Q8" s="10" t="n">
        <v>0.06</v>
      </c>
      <c r="R8" s="10" t="n">
        <v>0.1</v>
      </c>
      <c r="S8" s="10" t="n">
        <v>0.03</v>
      </c>
      <c r="T8" s="10" t="n">
        <v>0.046</v>
      </c>
      <c r="U8" s="10" t="n">
        <v>0.066</v>
      </c>
      <c r="V8" s="10" t="n">
        <v>0.11</v>
      </c>
      <c r="W8" s="10" t="n">
        <v>0.042</v>
      </c>
      <c r="X8" s="10" t="n">
        <v>21.54</v>
      </c>
      <c r="Y8" s="10" t="n">
        <v>14</v>
      </c>
      <c r="Z8" s="10" t="n">
        <v>33.4</v>
      </c>
      <c r="AA8" s="10" t="n">
        <v>44771</v>
      </c>
      <c r="AB8" s="10" t="n">
        <v>29120</v>
      </c>
      <c r="AC8" s="10" t="n">
        <v>69440</v>
      </c>
      <c r="AD8" s="10" t="n">
        <v>20.5</v>
      </c>
      <c r="AE8" s="10" t="n">
        <v>13.3</v>
      </c>
      <c r="AF8" s="10" t="n">
        <v>31.7</v>
      </c>
      <c r="AG8" s="10" t="n">
        <v>42640</v>
      </c>
      <c r="AH8" s="10" t="n">
        <v>27760</v>
      </c>
      <c r="AI8" s="10" t="n">
        <v>66240</v>
      </c>
      <c r="AJ8" s="10" t="n">
        <v>18.3</v>
      </c>
      <c r="AK8" s="10" t="n">
        <v>11.9</v>
      </c>
      <c r="AL8" s="10" t="n">
        <v>28.4</v>
      </c>
      <c r="AM8" s="10" t="n">
        <v>38064</v>
      </c>
      <c r="AN8" s="10" t="n">
        <v>24768</v>
      </c>
      <c r="AO8" s="10" t="n">
        <v>59040</v>
      </c>
      <c r="AP8" s="10" t="n">
        <v>22</v>
      </c>
      <c r="AQ8" s="10" t="n">
        <v>14.3</v>
      </c>
      <c r="AR8" s="10" t="n">
        <v>34.1</v>
      </c>
      <c r="AS8" s="10" t="n">
        <v>45760</v>
      </c>
      <c r="AT8" s="10" t="n">
        <v>29744</v>
      </c>
      <c r="AU8" s="10" t="n">
        <v>70912</v>
      </c>
      <c r="AV8" s="10" t="n">
        <v>2500000</v>
      </c>
      <c r="AW8" s="10" t="n">
        <v>85000</v>
      </c>
      <c r="AX8" s="10" t="n">
        <v>45000</v>
      </c>
      <c r="AY8" s="10" t="n">
        <v>2370000</v>
      </c>
      <c r="AZ8" s="10" t="n">
        <v>1250000</v>
      </c>
      <c r="BA8" s="10" t="n">
        <v>42500</v>
      </c>
      <c r="BB8" s="10" t="n">
        <v>22500</v>
      </c>
      <c r="BC8" s="10" t="n">
        <v>1187500</v>
      </c>
      <c r="BD8" s="10" t="n">
        <v>250000</v>
      </c>
      <c r="BE8" s="10" t="n">
        <v>50000</v>
      </c>
      <c r="BF8" s="10" t="n">
        <v>0</v>
      </c>
      <c r="BG8" s="10" t="n">
        <v>200000</v>
      </c>
      <c r="BH8" s="10" t="n">
        <v>125000</v>
      </c>
      <c r="BI8" s="10" t="n">
        <v>25000</v>
      </c>
      <c r="BJ8" s="10" t="n">
        <v>25000</v>
      </c>
      <c r="BK8" s="10" t="n">
        <v>75000</v>
      </c>
      <c r="BL8" s="10" t="n">
        <v>37500</v>
      </c>
      <c r="BM8" s="10" t="n">
        <v>7500</v>
      </c>
      <c r="BN8" s="10" t="n">
        <v>18750</v>
      </c>
      <c r="BO8" s="10" t="n">
        <v>56250</v>
      </c>
      <c r="BP8" s="10" t="n">
        <v>44175</v>
      </c>
      <c r="BQ8" s="10" t="n">
        <v>3889</v>
      </c>
      <c r="BR8" s="10" t="n">
        <v>2783</v>
      </c>
      <c r="BS8" s="10" t="n">
        <v>37503</v>
      </c>
      <c r="BT8" s="10" t="n">
        <v>38</v>
      </c>
      <c r="BU8" s="10" t="n">
        <v>37</v>
      </c>
      <c r="BV8" s="10" t="n">
        <v>40</v>
      </c>
      <c r="BW8" s="10" t="n">
        <v>38.2</v>
      </c>
      <c r="BX8" s="10" t="n">
        <v>25</v>
      </c>
      <c r="BY8" s="10" t="n">
        <v>55</v>
      </c>
      <c r="BZ8" s="10" t="n">
        <v>0.82</v>
      </c>
      <c r="CA8" s="10" t="n">
        <v>0.78</v>
      </c>
      <c r="CB8" s="10" t="n">
        <v>0.72</v>
      </c>
      <c r="CC8" s="10" t="n">
        <v>0.83</v>
      </c>
      <c r="CD8" s="10" t="n">
        <v>0.18</v>
      </c>
      <c r="CE8" s="10" t="n">
        <v>0.22</v>
      </c>
      <c r="CF8" s="10" t="n">
        <v>0.28</v>
      </c>
      <c r="CG8" s="10" t="n">
        <v>0.17</v>
      </c>
      <c r="CH8" s="10" t="n">
        <v>6.5</v>
      </c>
      <c r="CI8" s="10" t="n">
        <v>5.8</v>
      </c>
      <c r="CJ8" s="10" t="n">
        <v>4.5</v>
      </c>
      <c r="CK8" s="10" t="n">
        <v>7</v>
      </c>
      <c r="CL8" s="10" t="n">
        <v>1.5</v>
      </c>
      <c r="CM8" s="10" t="n">
        <v>15</v>
      </c>
      <c r="CN8" s="10" t="n">
        <v>0.18</v>
      </c>
      <c r="CO8" s="10" t="n">
        <v>0.16</v>
      </c>
      <c r="CP8" s="10" t="n">
        <v>0.24</v>
      </c>
      <c r="CQ8" s="10" t="n">
        <v>0.17</v>
      </c>
      <c r="CR8" s="10" t="n">
        <v>60</v>
      </c>
      <c r="CS8" s="10" t="n">
        <v>58</v>
      </c>
      <c r="CT8" s="10" t="n">
        <v>55</v>
      </c>
      <c r="CU8" s="10" t="n">
        <v>62</v>
      </c>
      <c r="CV8" s="10" t="n">
        <v>2</v>
      </c>
      <c r="CW8" s="10" t="n">
        <v>2.2</v>
      </c>
      <c r="CX8" s="10" t="n">
        <v>1.5</v>
      </c>
      <c r="CY8" s="10" t="n">
        <v>2.1</v>
      </c>
      <c r="CZ8" s="10" t="n">
        <v>400000</v>
      </c>
      <c r="DA8" s="10" t="n">
        <v>16000</v>
      </c>
      <c r="DB8" s="10" t="n">
        <v>10000</v>
      </c>
      <c r="DC8" s="10" t="n">
        <v>374000</v>
      </c>
      <c r="DD8" s="10" t="n">
        <v>875000</v>
      </c>
      <c r="DE8" s="10" t="n">
        <v>35000</v>
      </c>
      <c r="DF8" s="10" t="n">
        <v>0</v>
      </c>
      <c r="DG8" s="10" t="n">
        <v>840000</v>
      </c>
      <c r="DH8" s="10" t="n">
        <v>0.08</v>
      </c>
      <c r="DI8" s="10" t="n">
        <v>0.1</v>
      </c>
      <c r="DJ8" s="10" t="n">
        <v>0.06</v>
      </c>
      <c r="DK8" s="10" t="n">
        <v>0.08</v>
      </c>
    </row>
    <row r="9" customFormat="false" ht="12.8" hidden="false" customHeight="false" outlineLevel="0" collapsed="false">
      <c r="A9" s="9" t="n">
        <v>5</v>
      </c>
      <c r="B9" s="10" t="s">
        <v>8405</v>
      </c>
      <c r="C9" s="10" t="s">
        <v>8402</v>
      </c>
      <c r="D9" s="10" t="n">
        <v>360000</v>
      </c>
      <c r="E9" s="10" t="n">
        <v>39600</v>
      </c>
      <c r="F9" s="10" t="n">
        <v>39600</v>
      </c>
      <c r="G9" s="10" t="n">
        <v>280800</v>
      </c>
      <c r="H9" s="10" t="n">
        <v>0.667</v>
      </c>
      <c r="I9" s="10" t="n">
        <v>0.701</v>
      </c>
      <c r="J9" s="10" t="n">
        <v>0.635</v>
      </c>
      <c r="K9" s="10" t="n">
        <v>0.668</v>
      </c>
      <c r="L9" s="10" t="n">
        <v>0.7</v>
      </c>
      <c r="M9" s="10" t="n">
        <v>0.735</v>
      </c>
      <c r="N9" s="10" t="n">
        <v>0.71</v>
      </c>
      <c r="O9" s="10" t="n">
        <v>0.698</v>
      </c>
      <c r="P9" s="10" t="n">
        <v>0.07</v>
      </c>
      <c r="Q9" s="10" t="n">
        <v>0.07</v>
      </c>
      <c r="R9" s="10" t="n">
        <v>0.12</v>
      </c>
      <c r="S9" s="10" t="n">
        <v>0.037</v>
      </c>
      <c r="T9" s="10" t="n">
        <v>0.072</v>
      </c>
      <c r="U9" s="10" t="n">
        <v>0.095</v>
      </c>
      <c r="V9" s="10" t="n">
        <v>0.162</v>
      </c>
      <c r="W9" s="10" t="n">
        <v>0.069</v>
      </c>
      <c r="X9" s="10" t="n">
        <v>14.15</v>
      </c>
      <c r="Y9" s="10" t="n">
        <v>9.2</v>
      </c>
      <c r="Z9" s="10" t="n">
        <v>21.9</v>
      </c>
      <c r="AA9" s="10" t="n">
        <v>29432</v>
      </c>
      <c r="AB9" s="10" t="n">
        <v>19136</v>
      </c>
      <c r="AC9" s="10" t="n">
        <v>45584</v>
      </c>
      <c r="AD9" s="10" t="n">
        <v>13.5</v>
      </c>
      <c r="AE9" s="10" t="n">
        <v>8.8</v>
      </c>
      <c r="AF9" s="10" t="n">
        <v>20.9</v>
      </c>
      <c r="AG9" s="10" t="n">
        <v>28080</v>
      </c>
      <c r="AH9" s="10" t="n">
        <v>18288</v>
      </c>
      <c r="AI9" s="10" t="n">
        <v>43536</v>
      </c>
      <c r="AJ9" s="10" t="n">
        <v>11.7</v>
      </c>
      <c r="AK9" s="10" t="n">
        <v>7.6</v>
      </c>
      <c r="AL9" s="10" t="n">
        <v>18.1</v>
      </c>
      <c r="AM9" s="10" t="n">
        <v>24336</v>
      </c>
      <c r="AN9" s="10" t="n">
        <v>15840</v>
      </c>
      <c r="AO9" s="10" t="n">
        <v>37728</v>
      </c>
      <c r="AP9" s="10" t="n">
        <v>14.4</v>
      </c>
      <c r="AQ9" s="10" t="n">
        <v>9.4</v>
      </c>
      <c r="AR9" s="10" t="n">
        <v>22.3</v>
      </c>
      <c r="AS9" s="10" t="n">
        <v>29952</v>
      </c>
      <c r="AT9" s="10" t="n">
        <v>19488</v>
      </c>
      <c r="AU9" s="10" t="n">
        <v>46464</v>
      </c>
      <c r="AV9" s="10" t="n">
        <v>36000000</v>
      </c>
      <c r="AW9" s="10" t="n">
        <v>1224000</v>
      </c>
      <c r="AX9" s="10" t="n">
        <v>648000</v>
      </c>
      <c r="AY9" s="10" t="n">
        <v>34137600</v>
      </c>
      <c r="AZ9" s="10" t="n">
        <v>18000000</v>
      </c>
      <c r="BA9" s="10" t="n">
        <v>612000</v>
      </c>
      <c r="BB9" s="10" t="n">
        <v>324000</v>
      </c>
      <c r="BC9" s="10" t="n">
        <v>17056800</v>
      </c>
      <c r="BD9" s="10" t="n">
        <v>1800000</v>
      </c>
      <c r="BE9" s="10" t="n">
        <v>360000</v>
      </c>
      <c r="BF9" s="10" t="n">
        <v>0</v>
      </c>
      <c r="BG9" s="10" t="n">
        <v>1440000</v>
      </c>
      <c r="BH9" s="10" t="n">
        <v>900000</v>
      </c>
      <c r="BI9" s="10" t="n">
        <v>180000</v>
      </c>
      <c r="BJ9" s="10" t="n">
        <v>180000</v>
      </c>
      <c r="BK9" s="10" t="n">
        <v>540000</v>
      </c>
      <c r="BL9" s="10" t="n">
        <v>270000</v>
      </c>
      <c r="BM9" s="10" t="n">
        <v>54000</v>
      </c>
      <c r="BN9" s="10" t="n">
        <v>135000</v>
      </c>
      <c r="BO9" s="10" t="n">
        <v>405000</v>
      </c>
      <c r="BP9" s="10" t="n">
        <v>240120</v>
      </c>
      <c r="BQ9" s="10" t="n">
        <v>27745</v>
      </c>
      <c r="BR9" s="10" t="n">
        <v>25146</v>
      </c>
      <c r="BS9" s="10" t="n">
        <v>187229</v>
      </c>
      <c r="BT9" s="10" t="n">
        <v>35</v>
      </c>
      <c r="BU9" s="10" t="n">
        <v>34</v>
      </c>
      <c r="BV9" s="10" t="n">
        <v>36</v>
      </c>
      <c r="BW9" s="10" t="n">
        <v>35.1</v>
      </c>
      <c r="BX9" s="10" t="n">
        <v>20</v>
      </c>
      <c r="BY9" s="10" t="n">
        <v>50</v>
      </c>
      <c r="BZ9" s="10" t="n">
        <v>0.68</v>
      </c>
      <c r="CA9" s="10" t="n">
        <v>0.65</v>
      </c>
      <c r="CB9" s="10" t="n">
        <v>0.6</v>
      </c>
      <c r="CC9" s="10" t="n">
        <v>0.69</v>
      </c>
      <c r="CD9" s="10" t="n">
        <v>0.32</v>
      </c>
      <c r="CE9" s="10" t="n">
        <v>0.35</v>
      </c>
      <c r="CF9" s="10" t="n">
        <v>0.4</v>
      </c>
      <c r="CG9" s="10" t="n">
        <v>0.31</v>
      </c>
      <c r="CH9" s="10" t="n">
        <v>3.5</v>
      </c>
      <c r="CI9" s="10" t="n">
        <v>3</v>
      </c>
      <c r="CJ9" s="10" t="n">
        <v>2.5</v>
      </c>
      <c r="CK9" s="10" t="n">
        <v>3.8</v>
      </c>
      <c r="CL9" s="10" t="n">
        <v>0.5</v>
      </c>
      <c r="CM9" s="10" t="n">
        <v>10</v>
      </c>
      <c r="CN9" s="10" t="n">
        <v>0.22</v>
      </c>
      <c r="CO9" s="10" t="n">
        <v>0.2</v>
      </c>
      <c r="CP9" s="10" t="n">
        <v>0.28</v>
      </c>
      <c r="CQ9" s="10" t="n">
        <v>0.21</v>
      </c>
      <c r="CR9" s="10" t="n">
        <v>45</v>
      </c>
      <c r="CS9" s="10" t="n">
        <v>44</v>
      </c>
      <c r="CT9" s="10" t="n">
        <v>42</v>
      </c>
      <c r="CU9" s="10" t="n">
        <v>46</v>
      </c>
      <c r="CV9" s="10" t="n">
        <v>1.8</v>
      </c>
      <c r="CW9" s="10" t="n">
        <v>2</v>
      </c>
      <c r="CX9" s="10" t="n">
        <v>1.4</v>
      </c>
      <c r="CY9" s="10" t="n">
        <v>1.9</v>
      </c>
      <c r="CZ9" s="10" t="n">
        <v>6000000</v>
      </c>
      <c r="DA9" s="10" t="n">
        <v>216000</v>
      </c>
      <c r="DB9" s="10" t="n">
        <v>108000</v>
      </c>
      <c r="DC9" s="10" t="n">
        <v>5676000</v>
      </c>
      <c r="DD9" s="10" t="n">
        <v>12000000</v>
      </c>
      <c r="DE9" s="10" t="n">
        <v>432000</v>
      </c>
      <c r="DF9" s="10" t="n">
        <v>0</v>
      </c>
      <c r="DG9" s="10" t="n">
        <v>11568000</v>
      </c>
      <c r="DH9" s="10" t="n">
        <v>0.09</v>
      </c>
      <c r="DI9" s="10" t="n">
        <v>0.12</v>
      </c>
      <c r="DJ9" s="10" t="n">
        <v>0.06</v>
      </c>
      <c r="DK9" s="10" t="n">
        <v>0.09</v>
      </c>
    </row>
    <row r="10" customFormat="false" ht="12.8" hidden="false" customHeight="false" outlineLevel="0" collapsed="false">
      <c r="A10" s="9" t="n">
        <v>6</v>
      </c>
      <c r="B10" s="10" t="s">
        <v>8405</v>
      </c>
      <c r="C10" s="10" t="s">
        <v>8403</v>
      </c>
      <c r="D10" s="10" t="n">
        <v>180000</v>
      </c>
      <c r="E10" s="10" t="n">
        <v>19800</v>
      </c>
      <c r="F10" s="10" t="n">
        <v>19800</v>
      </c>
      <c r="G10" s="10" t="n">
        <v>140400</v>
      </c>
      <c r="H10" s="10" t="n">
        <v>0.667</v>
      </c>
      <c r="I10" s="10" t="n">
        <v>0.701</v>
      </c>
      <c r="J10" s="10" t="n">
        <v>0.635</v>
      </c>
      <c r="K10" s="10" t="n">
        <v>0.668</v>
      </c>
      <c r="L10" s="10" t="n">
        <v>0.7</v>
      </c>
      <c r="M10" s="10" t="n">
        <v>0.735</v>
      </c>
      <c r="N10" s="10" t="n">
        <v>0.71</v>
      </c>
      <c r="O10" s="10" t="n">
        <v>0.698</v>
      </c>
      <c r="P10" s="10" t="n">
        <v>0.07</v>
      </c>
      <c r="Q10" s="10" t="n">
        <v>0.07</v>
      </c>
      <c r="R10" s="10" t="n">
        <v>0.12</v>
      </c>
      <c r="S10" s="10" t="n">
        <v>0.037</v>
      </c>
      <c r="T10" s="10" t="n">
        <v>0.072</v>
      </c>
      <c r="U10" s="10" t="n">
        <v>0.095</v>
      </c>
      <c r="V10" s="10" t="n">
        <v>0.162</v>
      </c>
      <c r="W10" s="10" t="n">
        <v>0.069</v>
      </c>
      <c r="X10" s="10" t="n">
        <v>12.03</v>
      </c>
      <c r="Y10" s="10" t="n">
        <v>7.8</v>
      </c>
      <c r="Z10" s="10" t="n">
        <v>18.6</v>
      </c>
      <c r="AA10" s="10" t="n">
        <v>25022</v>
      </c>
      <c r="AB10" s="10" t="n">
        <v>16224</v>
      </c>
      <c r="AC10" s="10" t="n">
        <v>38688</v>
      </c>
      <c r="AD10" s="10" t="n">
        <v>11.5</v>
      </c>
      <c r="AE10" s="10" t="n">
        <v>7.5</v>
      </c>
      <c r="AF10" s="10" t="n">
        <v>17.8</v>
      </c>
      <c r="AG10" s="10" t="n">
        <v>23920</v>
      </c>
      <c r="AH10" s="10" t="n">
        <v>15568</v>
      </c>
      <c r="AI10" s="10" t="n">
        <v>37152</v>
      </c>
      <c r="AJ10" s="10" t="n">
        <v>9.9</v>
      </c>
      <c r="AK10" s="10" t="n">
        <v>6.4</v>
      </c>
      <c r="AL10" s="10" t="n">
        <v>15.4</v>
      </c>
      <c r="AM10" s="10" t="n">
        <v>20592</v>
      </c>
      <c r="AN10" s="10" t="n">
        <v>13392</v>
      </c>
      <c r="AO10" s="10" t="n">
        <v>31968</v>
      </c>
      <c r="AP10" s="10" t="n">
        <v>12.3</v>
      </c>
      <c r="AQ10" s="10" t="n">
        <v>8</v>
      </c>
      <c r="AR10" s="10" t="n">
        <v>19</v>
      </c>
      <c r="AS10" s="10" t="n">
        <v>25584</v>
      </c>
      <c r="AT10" s="10" t="n">
        <v>16632</v>
      </c>
      <c r="AU10" s="10" t="n">
        <v>39648</v>
      </c>
      <c r="AV10" s="10" t="n">
        <v>18000000</v>
      </c>
      <c r="AW10" s="10" t="n">
        <v>612000</v>
      </c>
      <c r="AX10" s="10" t="n">
        <v>324000</v>
      </c>
      <c r="AY10" s="10" t="n">
        <v>17068800</v>
      </c>
      <c r="AZ10" s="10" t="n">
        <v>9000000</v>
      </c>
      <c r="BA10" s="10" t="n">
        <v>306000</v>
      </c>
      <c r="BB10" s="10" t="n">
        <v>162000</v>
      </c>
      <c r="BC10" s="10" t="n">
        <v>8528400</v>
      </c>
      <c r="BD10" s="10" t="n">
        <v>900000</v>
      </c>
      <c r="BE10" s="10" t="n">
        <v>180000</v>
      </c>
      <c r="BF10" s="10" t="n">
        <v>0</v>
      </c>
      <c r="BG10" s="10" t="n">
        <v>720000</v>
      </c>
      <c r="BH10" s="10" t="n">
        <v>450000</v>
      </c>
      <c r="BI10" s="10" t="n">
        <v>90000</v>
      </c>
      <c r="BJ10" s="10" t="n">
        <v>90000</v>
      </c>
      <c r="BK10" s="10" t="n">
        <v>270000</v>
      </c>
      <c r="BL10" s="10" t="n">
        <v>135000</v>
      </c>
      <c r="BM10" s="10" t="n">
        <v>27000</v>
      </c>
      <c r="BN10" s="10" t="n">
        <v>67500</v>
      </c>
      <c r="BO10" s="10" t="n">
        <v>202500</v>
      </c>
      <c r="BP10" s="10" t="n">
        <v>120060</v>
      </c>
      <c r="BQ10" s="10" t="n">
        <v>13872</v>
      </c>
      <c r="BR10" s="10" t="n">
        <v>12573</v>
      </c>
      <c r="BS10" s="10" t="n">
        <v>93614</v>
      </c>
      <c r="BT10" s="10" t="n">
        <v>35</v>
      </c>
      <c r="BU10" s="10" t="n">
        <v>34</v>
      </c>
      <c r="BV10" s="10" t="n">
        <v>36</v>
      </c>
      <c r="BW10" s="10" t="n">
        <v>35.1</v>
      </c>
      <c r="BX10" s="10" t="n">
        <v>20</v>
      </c>
      <c r="BY10" s="10" t="n">
        <v>50</v>
      </c>
      <c r="BZ10" s="10" t="n">
        <v>0.68</v>
      </c>
      <c r="CA10" s="10" t="n">
        <v>0.65</v>
      </c>
      <c r="CB10" s="10" t="n">
        <v>0.6</v>
      </c>
      <c r="CC10" s="10" t="n">
        <v>0.69</v>
      </c>
      <c r="CD10" s="10" t="n">
        <v>0.32</v>
      </c>
      <c r="CE10" s="10" t="n">
        <v>0.35</v>
      </c>
      <c r="CF10" s="10" t="n">
        <v>0.4</v>
      </c>
      <c r="CG10" s="10" t="n">
        <v>0.31</v>
      </c>
      <c r="CH10" s="10" t="n">
        <v>3.5</v>
      </c>
      <c r="CI10" s="10" t="n">
        <v>3</v>
      </c>
      <c r="CJ10" s="10" t="n">
        <v>2.5</v>
      </c>
      <c r="CK10" s="10" t="n">
        <v>3.8</v>
      </c>
      <c r="CL10" s="10" t="n">
        <v>0.5</v>
      </c>
      <c r="CM10" s="10" t="n">
        <v>10</v>
      </c>
      <c r="CN10" s="10" t="n">
        <v>0.22</v>
      </c>
      <c r="CO10" s="10" t="n">
        <v>0.2</v>
      </c>
      <c r="CP10" s="10" t="n">
        <v>0.28</v>
      </c>
      <c r="CQ10" s="10" t="n">
        <v>0.21</v>
      </c>
      <c r="CR10" s="10" t="n">
        <v>45</v>
      </c>
      <c r="CS10" s="10" t="n">
        <v>44</v>
      </c>
      <c r="CT10" s="10" t="n">
        <v>42</v>
      </c>
      <c r="CU10" s="10" t="n">
        <v>46</v>
      </c>
      <c r="CV10" s="10" t="n">
        <v>1.8</v>
      </c>
      <c r="CW10" s="10" t="n">
        <v>2</v>
      </c>
      <c r="CX10" s="10" t="n">
        <v>1.4</v>
      </c>
      <c r="CY10" s="10" t="n">
        <v>1.9</v>
      </c>
      <c r="CZ10" s="10" t="n">
        <v>3000000</v>
      </c>
      <c r="DA10" s="10" t="n">
        <v>108000</v>
      </c>
      <c r="DB10" s="10" t="n">
        <v>54000</v>
      </c>
      <c r="DC10" s="10" t="n">
        <v>2838000</v>
      </c>
      <c r="DD10" s="10" t="n">
        <v>6000000</v>
      </c>
      <c r="DE10" s="10" t="n">
        <v>216000</v>
      </c>
      <c r="DF10" s="10" t="n">
        <v>0</v>
      </c>
      <c r="DG10" s="10" t="n">
        <v>5784000</v>
      </c>
      <c r="DH10" s="10" t="n">
        <v>0.09</v>
      </c>
      <c r="DI10" s="10" t="n">
        <v>0.12</v>
      </c>
      <c r="DJ10" s="10" t="n">
        <v>0.06</v>
      </c>
      <c r="DK10" s="10" t="n">
        <v>0.09</v>
      </c>
    </row>
    <row r="11" customFormat="false" ht="12.8" hidden="false" customHeight="false" outlineLevel="0" collapsed="false">
      <c r="A11" s="9" t="n">
        <v>7</v>
      </c>
      <c r="B11" s="10" t="s">
        <v>8406</v>
      </c>
      <c r="C11" s="10" t="s">
        <v>8402</v>
      </c>
      <c r="D11" s="10" t="n">
        <v>97500</v>
      </c>
      <c r="E11" s="10" t="n">
        <v>14625</v>
      </c>
      <c r="F11" s="10" t="n">
        <v>14625</v>
      </c>
      <c r="G11" s="10" t="n">
        <v>68250</v>
      </c>
      <c r="H11" s="10" t="n">
        <v>0.6</v>
      </c>
      <c r="I11" s="10" t="n">
        <v>0.65</v>
      </c>
      <c r="J11" s="10" t="n">
        <v>0.58</v>
      </c>
      <c r="K11" s="10" t="n">
        <v>0.6</v>
      </c>
      <c r="L11" s="10" t="n">
        <v>0.63</v>
      </c>
      <c r="M11" s="10" t="n">
        <v>0.68</v>
      </c>
      <c r="N11" s="10" t="n">
        <v>0.63</v>
      </c>
      <c r="O11" s="10" t="n">
        <v>0.628</v>
      </c>
      <c r="P11" s="10" t="n">
        <v>0.08</v>
      </c>
      <c r="Q11" s="10" t="n">
        <v>0.08</v>
      </c>
      <c r="R11" s="10" t="n">
        <v>0.13</v>
      </c>
      <c r="S11" s="10" t="n">
        <v>0.04</v>
      </c>
      <c r="T11" s="10" t="n">
        <v>0.1</v>
      </c>
      <c r="U11" s="10" t="n">
        <v>0.132</v>
      </c>
      <c r="V11" s="10" t="n">
        <v>0.221</v>
      </c>
      <c r="W11" s="10" t="n">
        <v>0.095</v>
      </c>
      <c r="X11" s="10" t="n">
        <v>16.59</v>
      </c>
      <c r="Y11" s="10" t="n">
        <v>10.8</v>
      </c>
      <c r="Z11" s="10" t="n">
        <v>25.7</v>
      </c>
      <c r="AA11" s="10" t="n">
        <v>34507</v>
      </c>
      <c r="AB11" s="10" t="n">
        <v>22464</v>
      </c>
      <c r="AC11" s="10" t="n">
        <v>53456</v>
      </c>
      <c r="AD11" s="10" t="n">
        <v>15.8</v>
      </c>
      <c r="AE11" s="10" t="n">
        <v>10.3</v>
      </c>
      <c r="AF11" s="10" t="n">
        <v>24.5</v>
      </c>
      <c r="AG11" s="10" t="n">
        <v>32864</v>
      </c>
      <c r="AH11" s="10" t="n">
        <v>21408</v>
      </c>
      <c r="AI11" s="10" t="n">
        <v>51008</v>
      </c>
      <c r="AJ11" s="10" t="n">
        <v>13.8</v>
      </c>
      <c r="AK11" s="10" t="n">
        <v>9</v>
      </c>
      <c r="AL11" s="10" t="n">
        <v>21.4</v>
      </c>
      <c r="AM11" s="10" t="n">
        <v>28704</v>
      </c>
      <c r="AN11" s="10" t="n">
        <v>18672</v>
      </c>
      <c r="AO11" s="10" t="n">
        <v>44416</v>
      </c>
      <c r="AP11" s="10" t="n">
        <v>16.9</v>
      </c>
      <c r="AQ11" s="10" t="n">
        <v>11</v>
      </c>
      <c r="AR11" s="10" t="n">
        <v>26.2</v>
      </c>
      <c r="AS11" s="10" t="n">
        <v>35152</v>
      </c>
      <c r="AT11" s="10" t="n">
        <v>22880</v>
      </c>
      <c r="AU11" s="10" t="n">
        <v>54512</v>
      </c>
      <c r="AV11" s="10" t="n">
        <v>5200000</v>
      </c>
      <c r="AW11" s="10" t="n">
        <v>177000</v>
      </c>
      <c r="AX11" s="10" t="n">
        <v>93600</v>
      </c>
      <c r="AY11" s="10" t="n">
        <v>4928400</v>
      </c>
      <c r="AZ11" s="10" t="n">
        <v>2600000</v>
      </c>
      <c r="BA11" s="10" t="n">
        <v>88400</v>
      </c>
      <c r="BB11" s="10" t="n">
        <v>46800</v>
      </c>
      <c r="BC11" s="10" t="n">
        <v>2471200</v>
      </c>
      <c r="BD11" s="10" t="n">
        <v>650000</v>
      </c>
      <c r="BE11" s="10" t="n">
        <v>130000</v>
      </c>
      <c r="BF11" s="10" t="n">
        <v>0</v>
      </c>
      <c r="BG11" s="10" t="n">
        <v>520000</v>
      </c>
      <c r="BH11" s="10" t="n">
        <v>325000</v>
      </c>
      <c r="BI11" s="10" t="n">
        <v>65000</v>
      </c>
      <c r="BJ11" s="10" t="n">
        <v>65000</v>
      </c>
      <c r="BK11" s="10" t="n">
        <v>195000</v>
      </c>
      <c r="BL11" s="10" t="n">
        <v>97500</v>
      </c>
      <c r="BM11" s="10" t="n">
        <v>19500</v>
      </c>
      <c r="BN11" s="10" t="n">
        <v>48750</v>
      </c>
      <c r="BO11" s="10" t="n">
        <v>146250</v>
      </c>
      <c r="BP11" s="10" t="n">
        <v>58500</v>
      </c>
      <c r="BQ11" s="10" t="n">
        <v>9506</v>
      </c>
      <c r="BR11" s="10" t="n">
        <v>8475</v>
      </c>
      <c r="BS11" s="10" t="n">
        <v>40919</v>
      </c>
      <c r="BT11" s="10" t="n">
        <v>36</v>
      </c>
      <c r="BU11" s="10" t="n">
        <v>35</v>
      </c>
      <c r="BV11" s="10" t="n">
        <v>37</v>
      </c>
      <c r="BW11" s="10" t="n">
        <v>36.1</v>
      </c>
      <c r="BX11" s="10" t="n">
        <v>22</v>
      </c>
      <c r="BY11" s="10" t="n">
        <v>52</v>
      </c>
      <c r="BZ11" s="10" t="n">
        <v>0.72</v>
      </c>
      <c r="CA11" s="10" t="n">
        <v>0.68</v>
      </c>
      <c r="CB11" s="10" t="n">
        <v>0.62</v>
      </c>
      <c r="CC11" s="10" t="n">
        <v>0.74</v>
      </c>
      <c r="CD11" s="10" t="n">
        <v>0.28</v>
      </c>
      <c r="CE11" s="10" t="n">
        <v>0.32</v>
      </c>
      <c r="CF11" s="10" t="n">
        <v>0.38</v>
      </c>
      <c r="CG11" s="10" t="n">
        <v>0.26</v>
      </c>
      <c r="CH11" s="10" t="n">
        <v>4.2</v>
      </c>
      <c r="CI11" s="10" t="n">
        <v>3.7</v>
      </c>
      <c r="CJ11" s="10" t="n">
        <v>2.8</v>
      </c>
      <c r="CK11" s="10" t="n">
        <v>4.8</v>
      </c>
      <c r="CL11" s="10" t="n">
        <v>0.8</v>
      </c>
      <c r="CM11" s="10" t="n">
        <v>12</v>
      </c>
      <c r="CN11" s="10" t="n">
        <v>0.21</v>
      </c>
      <c r="CO11" s="10" t="n">
        <v>0.19</v>
      </c>
      <c r="CP11" s="10" t="n">
        <v>0.27</v>
      </c>
      <c r="CQ11" s="10" t="n">
        <v>0.2</v>
      </c>
      <c r="CR11" s="10" t="n">
        <v>48</v>
      </c>
      <c r="CS11" s="10" t="n">
        <v>47</v>
      </c>
      <c r="CT11" s="10" t="n">
        <v>45</v>
      </c>
      <c r="CU11" s="10" t="n">
        <v>49</v>
      </c>
      <c r="CV11" s="10" t="n">
        <v>1.7</v>
      </c>
      <c r="CW11" s="10" t="n">
        <v>1.9</v>
      </c>
      <c r="CX11" s="10" t="n">
        <v>1.3</v>
      </c>
      <c r="CY11" s="10" t="n">
        <v>1.8</v>
      </c>
      <c r="CZ11" s="10" t="n">
        <v>780000</v>
      </c>
      <c r="DA11" s="10" t="n">
        <v>31200</v>
      </c>
      <c r="DB11" s="10" t="n">
        <v>15600</v>
      </c>
      <c r="DC11" s="10" t="n">
        <v>733200</v>
      </c>
      <c r="DD11" s="10" t="n">
        <v>1716000</v>
      </c>
      <c r="DE11" s="10" t="n">
        <v>68640</v>
      </c>
      <c r="DF11" s="10" t="n">
        <v>0</v>
      </c>
      <c r="DG11" s="10" t="n">
        <v>1647360</v>
      </c>
      <c r="DH11" s="10" t="n">
        <v>0.095</v>
      </c>
      <c r="DI11" s="10" t="n">
        <v>0.13</v>
      </c>
      <c r="DJ11" s="10" t="n">
        <v>0.055</v>
      </c>
      <c r="DK11" s="10" t="n">
        <v>0.095</v>
      </c>
    </row>
    <row r="12" customFormat="false" ht="12.8" hidden="false" customHeight="false" outlineLevel="0" collapsed="false">
      <c r="A12" s="9" t="n">
        <v>8</v>
      </c>
      <c r="B12" s="10" t="s">
        <v>8406</v>
      </c>
      <c r="C12" s="10" t="s">
        <v>8403</v>
      </c>
      <c r="D12" s="10" t="n">
        <v>65000</v>
      </c>
      <c r="E12" s="10" t="n">
        <v>9750</v>
      </c>
      <c r="F12" s="10" t="n">
        <v>9750</v>
      </c>
      <c r="G12" s="10" t="n">
        <v>45500</v>
      </c>
      <c r="H12" s="10" t="n">
        <v>0.6</v>
      </c>
      <c r="I12" s="10" t="n">
        <v>0.65</v>
      </c>
      <c r="J12" s="10" t="n">
        <v>0.58</v>
      </c>
      <c r="K12" s="10" t="n">
        <v>0.6</v>
      </c>
      <c r="L12" s="10" t="n">
        <v>0.63</v>
      </c>
      <c r="M12" s="10" t="n">
        <v>0.68</v>
      </c>
      <c r="N12" s="10" t="n">
        <v>0.63</v>
      </c>
      <c r="O12" s="10" t="n">
        <v>0.628</v>
      </c>
      <c r="P12" s="10" t="n">
        <v>0.08</v>
      </c>
      <c r="Q12" s="10" t="n">
        <v>0.08</v>
      </c>
      <c r="R12" s="10" t="n">
        <v>0.13</v>
      </c>
      <c r="S12" s="10" t="n">
        <v>0.04</v>
      </c>
      <c r="T12" s="10" t="n">
        <v>0.1</v>
      </c>
      <c r="U12" s="10" t="n">
        <v>0.132</v>
      </c>
      <c r="V12" s="10" t="n">
        <v>0.221</v>
      </c>
      <c r="W12" s="10" t="n">
        <v>0.095</v>
      </c>
      <c r="X12" s="10" t="n">
        <v>14.1</v>
      </c>
      <c r="Y12" s="10" t="n">
        <v>9.2</v>
      </c>
      <c r="Z12" s="10" t="n">
        <v>21.8</v>
      </c>
      <c r="AA12" s="10" t="n">
        <v>29328</v>
      </c>
      <c r="AB12" s="10" t="n">
        <v>19088</v>
      </c>
      <c r="AC12" s="10" t="n">
        <v>45376</v>
      </c>
      <c r="AD12" s="10" t="n">
        <v>13.4</v>
      </c>
      <c r="AE12" s="10" t="n">
        <v>8.7</v>
      </c>
      <c r="AF12" s="10" t="n">
        <v>20.8</v>
      </c>
      <c r="AG12" s="10" t="n">
        <v>27872</v>
      </c>
      <c r="AH12" s="10" t="n">
        <v>18136</v>
      </c>
      <c r="AI12" s="10" t="n">
        <v>43264</v>
      </c>
      <c r="AJ12" s="10" t="n">
        <v>11.7</v>
      </c>
      <c r="AK12" s="10" t="n">
        <v>7.6</v>
      </c>
      <c r="AL12" s="10" t="n">
        <v>18.2</v>
      </c>
      <c r="AM12" s="10" t="n">
        <v>24336</v>
      </c>
      <c r="AN12" s="10" t="n">
        <v>15840</v>
      </c>
      <c r="AO12" s="10" t="n">
        <v>37728</v>
      </c>
      <c r="AP12" s="10" t="n">
        <v>14.4</v>
      </c>
      <c r="AQ12" s="10" t="n">
        <v>9.4</v>
      </c>
      <c r="AR12" s="10" t="n">
        <v>22.3</v>
      </c>
      <c r="AS12" s="10" t="n">
        <v>29952</v>
      </c>
      <c r="AT12" s="10" t="n">
        <v>19488</v>
      </c>
      <c r="AU12" s="10" t="n">
        <v>46464</v>
      </c>
      <c r="AV12" s="10" t="n">
        <v>2600000</v>
      </c>
      <c r="AW12" s="10" t="n">
        <v>88400</v>
      </c>
      <c r="AX12" s="10" t="n">
        <v>46800</v>
      </c>
      <c r="AY12" s="10" t="n">
        <v>2464200</v>
      </c>
      <c r="AZ12" s="10" t="n">
        <v>1300000</v>
      </c>
      <c r="BA12" s="10" t="n">
        <v>44200</v>
      </c>
      <c r="BB12" s="10" t="n">
        <v>23400</v>
      </c>
      <c r="BC12" s="10" t="n">
        <v>1235600</v>
      </c>
      <c r="BD12" s="10" t="n">
        <v>325000</v>
      </c>
      <c r="BE12" s="10" t="n">
        <v>65000</v>
      </c>
      <c r="BF12" s="10" t="n">
        <v>0</v>
      </c>
      <c r="BG12" s="10" t="n">
        <v>260000</v>
      </c>
      <c r="BH12" s="10" t="n">
        <v>162500</v>
      </c>
      <c r="BI12" s="10" t="n">
        <v>32500</v>
      </c>
      <c r="BJ12" s="10" t="n">
        <v>32500</v>
      </c>
      <c r="BK12" s="10" t="n">
        <v>97500</v>
      </c>
      <c r="BL12" s="10" t="n">
        <v>48750</v>
      </c>
      <c r="BM12" s="10" t="n">
        <v>9750</v>
      </c>
      <c r="BN12" s="10" t="n">
        <v>24375</v>
      </c>
      <c r="BO12" s="10" t="n">
        <v>73125</v>
      </c>
      <c r="BP12" s="10" t="n">
        <v>39000</v>
      </c>
      <c r="BQ12" s="10" t="n">
        <v>6338</v>
      </c>
      <c r="BR12" s="10" t="n">
        <v>5650</v>
      </c>
      <c r="BS12" s="10" t="n">
        <v>27279</v>
      </c>
      <c r="BT12" s="10" t="n">
        <v>36</v>
      </c>
      <c r="BU12" s="10" t="n">
        <v>35</v>
      </c>
      <c r="BV12" s="10" t="n">
        <v>37</v>
      </c>
      <c r="BW12" s="10" t="n">
        <v>36.1</v>
      </c>
      <c r="BX12" s="10" t="n">
        <v>22</v>
      </c>
      <c r="BY12" s="10" t="n">
        <v>52</v>
      </c>
      <c r="BZ12" s="10" t="n">
        <v>0.72</v>
      </c>
      <c r="CA12" s="10" t="n">
        <v>0.68</v>
      </c>
      <c r="CB12" s="10" t="n">
        <v>0.62</v>
      </c>
      <c r="CC12" s="10" t="n">
        <v>0.74</v>
      </c>
      <c r="CD12" s="10" t="n">
        <v>0.28</v>
      </c>
      <c r="CE12" s="10" t="n">
        <v>0.32</v>
      </c>
      <c r="CF12" s="10" t="n">
        <v>0.38</v>
      </c>
      <c r="CG12" s="10" t="n">
        <v>0.26</v>
      </c>
      <c r="CH12" s="10" t="n">
        <v>4.2</v>
      </c>
      <c r="CI12" s="10" t="n">
        <v>3.7</v>
      </c>
      <c r="CJ12" s="10" t="n">
        <v>2.8</v>
      </c>
      <c r="CK12" s="10" t="n">
        <v>4.8</v>
      </c>
      <c r="CL12" s="10" t="n">
        <v>0.8</v>
      </c>
      <c r="CM12" s="10" t="n">
        <v>12</v>
      </c>
      <c r="CN12" s="10" t="n">
        <v>0.21</v>
      </c>
      <c r="CO12" s="10" t="n">
        <v>0.19</v>
      </c>
      <c r="CP12" s="10" t="n">
        <v>0.27</v>
      </c>
      <c r="CQ12" s="10" t="n">
        <v>0.2</v>
      </c>
      <c r="CR12" s="10" t="n">
        <v>48</v>
      </c>
      <c r="CS12" s="10" t="n">
        <v>47</v>
      </c>
      <c r="CT12" s="10" t="n">
        <v>45</v>
      </c>
      <c r="CU12" s="10" t="n">
        <v>49</v>
      </c>
      <c r="CV12" s="10" t="n">
        <v>1.7</v>
      </c>
      <c r="CW12" s="10" t="n">
        <v>1.9</v>
      </c>
      <c r="CX12" s="10" t="n">
        <v>1.3</v>
      </c>
      <c r="CY12" s="10" t="n">
        <v>1.8</v>
      </c>
      <c r="CZ12" s="10" t="n">
        <v>390000</v>
      </c>
      <c r="DA12" s="10" t="n">
        <v>15600</v>
      </c>
      <c r="DB12" s="10" t="n">
        <v>7800</v>
      </c>
      <c r="DC12" s="10" t="n">
        <v>366600</v>
      </c>
      <c r="DD12" s="10" t="n">
        <v>858000</v>
      </c>
      <c r="DE12" s="10" t="n">
        <v>34320</v>
      </c>
      <c r="DF12" s="10" t="n">
        <v>0</v>
      </c>
      <c r="DG12" s="10" t="n">
        <v>823680</v>
      </c>
      <c r="DH12" s="10" t="n">
        <v>0.095</v>
      </c>
      <c r="DI12" s="10" t="n">
        <v>0.13</v>
      </c>
      <c r="DJ12" s="10" t="n">
        <v>0.055</v>
      </c>
      <c r="DK12" s="10" t="n">
        <v>0.095</v>
      </c>
    </row>
    <row r="13" customFormat="false" ht="12.8" hidden="false" customHeight="false" outlineLevel="0" collapsed="false">
      <c r="A13" s="9" t="n">
        <v>9</v>
      </c>
      <c r="B13" s="10" t="s">
        <v>8407</v>
      </c>
      <c r="C13" s="10" t="s">
        <v>8402</v>
      </c>
      <c r="D13" s="10" t="n">
        <v>405000</v>
      </c>
      <c r="E13" s="10" t="n">
        <v>36450</v>
      </c>
      <c r="F13" s="10" t="n">
        <v>36450</v>
      </c>
      <c r="G13" s="10" t="n">
        <v>332100</v>
      </c>
      <c r="H13" s="10" t="n">
        <v>0.68</v>
      </c>
      <c r="I13" s="10" t="n">
        <v>0.714</v>
      </c>
      <c r="J13" s="10" t="n">
        <v>0.646</v>
      </c>
      <c r="K13" s="10" t="n">
        <v>0.68</v>
      </c>
      <c r="L13" s="10" t="n">
        <v>0.71</v>
      </c>
      <c r="M13" s="10" t="n">
        <v>0.75</v>
      </c>
      <c r="N13" s="10" t="n">
        <v>0.71</v>
      </c>
      <c r="O13" s="10" t="n">
        <v>0.708</v>
      </c>
      <c r="P13" s="10" t="n">
        <v>0.04</v>
      </c>
      <c r="Q13" s="10" t="n">
        <v>0.04</v>
      </c>
      <c r="R13" s="10" t="n">
        <v>0.07</v>
      </c>
      <c r="S13" s="10" t="n">
        <v>0.018</v>
      </c>
      <c r="T13" s="10" t="n">
        <v>0.031</v>
      </c>
      <c r="U13" s="10" t="n">
        <v>0.037</v>
      </c>
      <c r="V13" s="10" t="n">
        <v>0.078</v>
      </c>
      <c r="W13" s="10" t="n">
        <v>0.03</v>
      </c>
      <c r="X13" s="10" t="n">
        <v>24.19</v>
      </c>
      <c r="Y13" s="10" t="n">
        <v>15.7</v>
      </c>
      <c r="Z13" s="10" t="n">
        <v>37.5</v>
      </c>
      <c r="AA13" s="10" t="n">
        <v>50315</v>
      </c>
      <c r="AB13" s="10" t="n">
        <v>32672</v>
      </c>
      <c r="AC13" s="10" t="n">
        <v>78000</v>
      </c>
      <c r="AD13" s="10" t="n">
        <v>23</v>
      </c>
      <c r="AE13" s="10" t="n">
        <v>15</v>
      </c>
      <c r="AF13" s="10" t="n">
        <v>35.7</v>
      </c>
      <c r="AG13" s="10" t="n">
        <v>47840</v>
      </c>
      <c r="AH13" s="10" t="n">
        <v>31120</v>
      </c>
      <c r="AI13" s="10" t="n">
        <v>74240</v>
      </c>
      <c r="AJ13" s="10" t="n">
        <v>21</v>
      </c>
      <c r="AK13" s="10" t="n">
        <v>13.7</v>
      </c>
      <c r="AL13" s="10" t="n">
        <v>32.7</v>
      </c>
      <c r="AM13" s="10" t="n">
        <v>43680</v>
      </c>
      <c r="AN13" s="10" t="n">
        <v>28416</v>
      </c>
      <c r="AO13" s="10" t="n">
        <v>67872</v>
      </c>
      <c r="AP13" s="10" t="n">
        <v>24.7</v>
      </c>
      <c r="AQ13" s="10" t="n">
        <v>16.1</v>
      </c>
      <c r="AR13" s="10" t="n">
        <v>38.4</v>
      </c>
      <c r="AS13" s="10" t="n">
        <v>51376</v>
      </c>
      <c r="AT13" s="10" t="n">
        <v>33424</v>
      </c>
      <c r="AU13" s="10" t="n">
        <v>79872</v>
      </c>
      <c r="AV13" s="10" t="n">
        <v>69000000</v>
      </c>
      <c r="AW13" s="10" t="n">
        <v>2346000</v>
      </c>
      <c r="AX13" s="10" t="n">
        <v>1242000</v>
      </c>
      <c r="AY13" s="10" t="n">
        <v>65418000</v>
      </c>
      <c r="AZ13" s="10" t="n">
        <v>34500000</v>
      </c>
      <c r="BA13" s="10" t="n">
        <v>1173000</v>
      </c>
      <c r="BB13" s="10" t="n">
        <v>621000</v>
      </c>
      <c r="BC13" s="10" t="n">
        <v>32727000</v>
      </c>
      <c r="BD13" s="10" t="n">
        <v>2700000</v>
      </c>
      <c r="BE13" s="10" t="n">
        <v>540000</v>
      </c>
      <c r="BF13" s="10" t="n">
        <v>0</v>
      </c>
      <c r="BG13" s="10" t="n">
        <v>2160000</v>
      </c>
      <c r="BH13" s="10" t="n">
        <v>1350000</v>
      </c>
      <c r="BI13" s="10" t="n">
        <v>270000</v>
      </c>
      <c r="BJ13" s="10" t="n">
        <v>135000</v>
      </c>
      <c r="BK13" s="10" t="n">
        <v>405000</v>
      </c>
      <c r="BL13" s="10" t="n">
        <v>675000</v>
      </c>
      <c r="BM13" s="10" t="n">
        <v>135000</v>
      </c>
      <c r="BN13" s="10" t="n">
        <v>337500</v>
      </c>
      <c r="BO13" s="10" t="n">
        <v>1012500</v>
      </c>
      <c r="BP13" s="10" t="n">
        <v>275400</v>
      </c>
      <c r="BQ13" s="10" t="n">
        <v>26019</v>
      </c>
      <c r="BR13" s="10" t="n">
        <v>23547</v>
      </c>
      <c r="BS13" s="10" t="n">
        <v>225834</v>
      </c>
      <c r="BT13" s="10" t="n">
        <v>39</v>
      </c>
      <c r="BU13" s="10" t="n">
        <v>38</v>
      </c>
      <c r="BV13" s="10" t="n">
        <v>40</v>
      </c>
      <c r="BW13" s="10" t="n">
        <v>39.1</v>
      </c>
      <c r="BX13" s="10" t="n">
        <v>25</v>
      </c>
      <c r="BY13" s="10" t="n">
        <v>55</v>
      </c>
      <c r="BZ13" s="10" t="n">
        <v>0.8</v>
      </c>
      <c r="CA13" s="10" t="n">
        <v>0.76</v>
      </c>
      <c r="CB13" s="10" t="n">
        <v>0.7</v>
      </c>
      <c r="CC13" s="10" t="n">
        <v>0.81</v>
      </c>
      <c r="CD13" s="10" t="n">
        <v>0.2</v>
      </c>
      <c r="CE13" s="10" t="n">
        <v>0.24</v>
      </c>
      <c r="CF13" s="10" t="n">
        <v>0.3</v>
      </c>
      <c r="CG13" s="10" t="n">
        <v>0.19</v>
      </c>
      <c r="CH13" s="10" t="n">
        <v>5.5</v>
      </c>
      <c r="CI13" s="10" t="n">
        <v>4.9</v>
      </c>
      <c r="CJ13" s="10" t="n">
        <v>3.9</v>
      </c>
      <c r="CK13" s="10" t="n">
        <v>5.9</v>
      </c>
      <c r="CL13" s="10" t="n">
        <v>1.2</v>
      </c>
      <c r="CM13" s="10" t="n">
        <v>14</v>
      </c>
      <c r="CN13" s="10" t="n">
        <v>0.17</v>
      </c>
      <c r="CO13" s="10" t="n">
        <v>0.15</v>
      </c>
      <c r="CP13" s="10" t="n">
        <v>0.23</v>
      </c>
      <c r="CQ13" s="10" t="n">
        <v>0.16</v>
      </c>
      <c r="CR13" s="10" t="n">
        <v>58</v>
      </c>
      <c r="CS13" s="10" t="n">
        <v>57</v>
      </c>
      <c r="CT13" s="10" t="n">
        <v>55</v>
      </c>
      <c r="CU13" s="10" t="n">
        <v>59</v>
      </c>
      <c r="CV13" s="10" t="n">
        <v>2.3</v>
      </c>
      <c r="CW13" s="10" t="n">
        <v>2.5</v>
      </c>
      <c r="CX13" s="10" t="n">
        <v>1.8</v>
      </c>
      <c r="CY13" s="10" t="n">
        <v>2.4</v>
      </c>
      <c r="CZ13" s="10" t="n">
        <v>10350000</v>
      </c>
      <c r="DA13" s="10" t="n">
        <v>414000</v>
      </c>
      <c r="DB13" s="10" t="n">
        <v>207000</v>
      </c>
      <c r="DC13" s="10" t="n">
        <v>9738000</v>
      </c>
      <c r="DD13" s="10" t="n">
        <v>22725000</v>
      </c>
      <c r="DE13" s="10" t="n">
        <v>910800</v>
      </c>
      <c r="DF13" s="10" t="n">
        <v>0</v>
      </c>
      <c r="DG13" s="10" t="n">
        <v>21805200</v>
      </c>
      <c r="DH13" s="10" t="n">
        <v>0.07</v>
      </c>
      <c r="DI13" s="10" t="n">
        <v>0.09</v>
      </c>
      <c r="DJ13" s="10" t="n">
        <v>0.04</v>
      </c>
      <c r="DK13" s="10" t="n">
        <v>0.07</v>
      </c>
    </row>
    <row r="14" customFormat="false" ht="12.8" hidden="false" customHeight="false" outlineLevel="0" collapsed="false">
      <c r="A14" s="9" t="n">
        <v>10</v>
      </c>
      <c r="B14" s="10" t="s">
        <v>8407</v>
      </c>
      <c r="C14" s="10" t="s">
        <v>8403</v>
      </c>
      <c r="D14" s="10" t="n">
        <v>135000</v>
      </c>
      <c r="E14" s="10" t="n">
        <v>12150</v>
      </c>
      <c r="F14" s="10" t="n">
        <v>12150</v>
      </c>
      <c r="G14" s="10" t="n">
        <v>110700</v>
      </c>
      <c r="H14" s="10" t="n">
        <v>0.68</v>
      </c>
      <c r="I14" s="10" t="n">
        <v>0.714</v>
      </c>
      <c r="J14" s="10" t="n">
        <v>0.646</v>
      </c>
      <c r="K14" s="10" t="n">
        <v>0.68</v>
      </c>
      <c r="L14" s="10" t="n">
        <v>0.71</v>
      </c>
      <c r="M14" s="10" t="n">
        <v>0.75</v>
      </c>
      <c r="N14" s="10" t="n">
        <v>0.71</v>
      </c>
      <c r="O14" s="10" t="n">
        <v>0.708</v>
      </c>
      <c r="P14" s="10" t="n">
        <v>0.04</v>
      </c>
      <c r="Q14" s="10" t="n">
        <v>0.04</v>
      </c>
      <c r="R14" s="10" t="n">
        <v>0.07</v>
      </c>
      <c r="S14" s="10" t="n">
        <v>0.018</v>
      </c>
      <c r="T14" s="10" t="n">
        <v>0.031</v>
      </c>
      <c r="U14" s="10" t="n">
        <v>0.037</v>
      </c>
      <c r="V14" s="10" t="n">
        <v>0.078</v>
      </c>
      <c r="W14" s="10" t="n">
        <v>0.03</v>
      </c>
      <c r="X14" s="10" t="n">
        <v>20.56</v>
      </c>
      <c r="Y14" s="10" t="n">
        <v>13.4</v>
      </c>
      <c r="Z14" s="10" t="n">
        <v>31.9</v>
      </c>
      <c r="AA14" s="10" t="n">
        <v>42765</v>
      </c>
      <c r="AB14" s="10" t="n">
        <v>27840</v>
      </c>
      <c r="AC14" s="10" t="n">
        <v>66432</v>
      </c>
      <c r="AD14" s="10" t="n">
        <v>19.6</v>
      </c>
      <c r="AE14" s="10" t="n">
        <v>12.7</v>
      </c>
      <c r="AF14" s="10" t="n">
        <v>30.3</v>
      </c>
      <c r="AG14" s="10" t="n">
        <v>40768</v>
      </c>
      <c r="AH14" s="10" t="n">
        <v>26512</v>
      </c>
      <c r="AI14" s="10" t="n">
        <v>63264</v>
      </c>
      <c r="AJ14" s="10" t="n">
        <v>17.9</v>
      </c>
      <c r="AK14" s="10" t="n">
        <v>11.6</v>
      </c>
      <c r="AL14" s="10" t="n">
        <v>27.7</v>
      </c>
      <c r="AM14" s="10" t="n">
        <v>37232</v>
      </c>
      <c r="AN14" s="10" t="n">
        <v>24208</v>
      </c>
      <c r="AO14" s="10" t="n">
        <v>57728</v>
      </c>
      <c r="AP14" s="10" t="n">
        <v>21</v>
      </c>
      <c r="AQ14" s="10" t="n">
        <v>13.7</v>
      </c>
      <c r="AR14" s="10" t="n">
        <v>32.7</v>
      </c>
      <c r="AS14" s="10" t="n">
        <v>43680</v>
      </c>
      <c r="AT14" s="10" t="n">
        <v>28416</v>
      </c>
      <c r="AU14" s="10" t="n">
        <v>67872</v>
      </c>
      <c r="AV14" s="10" t="n">
        <v>34500000</v>
      </c>
      <c r="AW14" s="10" t="n">
        <v>1173000</v>
      </c>
      <c r="AX14" s="10" t="n">
        <v>621000</v>
      </c>
      <c r="AY14" s="10" t="n">
        <v>32709000</v>
      </c>
      <c r="AZ14" s="10" t="n">
        <v>17250000</v>
      </c>
      <c r="BA14" s="10" t="n">
        <v>586500</v>
      </c>
      <c r="BB14" s="10" t="n">
        <v>310500</v>
      </c>
      <c r="BC14" s="10" t="n">
        <v>16363500</v>
      </c>
      <c r="BD14" s="10" t="n">
        <v>1350000</v>
      </c>
      <c r="BE14" s="10" t="n">
        <v>270000</v>
      </c>
      <c r="BF14" s="10" t="n">
        <v>0</v>
      </c>
      <c r="BG14" s="10" t="n">
        <v>1080000</v>
      </c>
      <c r="BH14" s="10" t="n">
        <v>675000</v>
      </c>
      <c r="BI14" s="10" t="n">
        <v>135000</v>
      </c>
      <c r="BJ14" s="10" t="n">
        <v>67500</v>
      </c>
      <c r="BK14" s="10" t="n">
        <v>202500</v>
      </c>
      <c r="BL14" s="10" t="n">
        <v>337500</v>
      </c>
      <c r="BM14" s="10" t="n">
        <v>67500</v>
      </c>
      <c r="BN14" s="10" t="n">
        <v>168750</v>
      </c>
      <c r="BO14" s="10" t="n">
        <v>506250</v>
      </c>
      <c r="BP14" s="10" t="n">
        <v>91800</v>
      </c>
      <c r="BQ14" s="10" t="n">
        <v>8673</v>
      </c>
      <c r="BR14" s="10" t="n">
        <v>7849</v>
      </c>
      <c r="BS14" s="10" t="n">
        <v>75278</v>
      </c>
      <c r="BT14" s="10" t="n">
        <v>39</v>
      </c>
      <c r="BU14" s="10" t="n">
        <v>38</v>
      </c>
      <c r="BV14" s="10" t="n">
        <v>40</v>
      </c>
      <c r="BW14" s="10" t="n">
        <v>39.1</v>
      </c>
      <c r="BX14" s="10" t="n">
        <v>25</v>
      </c>
      <c r="BY14" s="10" t="n">
        <v>55</v>
      </c>
      <c r="BZ14" s="10" t="n">
        <v>0.8</v>
      </c>
      <c r="CA14" s="10" t="n">
        <v>0.76</v>
      </c>
      <c r="CB14" s="10" t="n">
        <v>0.7</v>
      </c>
      <c r="CC14" s="10" t="n">
        <v>0.81</v>
      </c>
      <c r="CD14" s="10" t="n">
        <v>0.2</v>
      </c>
      <c r="CE14" s="10" t="n">
        <v>0.24</v>
      </c>
      <c r="CF14" s="10" t="n">
        <v>0.3</v>
      </c>
      <c r="CG14" s="10" t="n">
        <v>0.19</v>
      </c>
      <c r="CH14" s="10" t="n">
        <v>5.5</v>
      </c>
      <c r="CI14" s="10" t="n">
        <v>4.9</v>
      </c>
      <c r="CJ14" s="10" t="n">
        <v>3.9</v>
      </c>
      <c r="CK14" s="10" t="n">
        <v>5.9</v>
      </c>
      <c r="CL14" s="10" t="n">
        <v>1.2</v>
      </c>
      <c r="CM14" s="10" t="n">
        <v>14</v>
      </c>
      <c r="CN14" s="10" t="n">
        <v>0.17</v>
      </c>
      <c r="CO14" s="10" t="n">
        <v>0.15</v>
      </c>
      <c r="CP14" s="10" t="n">
        <v>0.23</v>
      </c>
      <c r="CQ14" s="10" t="n">
        <v>0.16</v>
      </c>
      <c r="CR14" s="10" t="n">
        <v>58</v>
      </c>
      <c r="CS14" s="10" t="n">
        <v>57</v>
      </c>
      <c r="CT14" s="10" t="n">
        <v>55</v>
      </c>
      <c r="CU14" s="10" t="n">
        <v>59</v>
      </c>
      <c r="CV14" s="10" t="n">
        <v>2.3</v>
      </c>
      <c r="CW14" s="10" t="n">
        <v>2.5</v>
      </c>
      <c r="CX14" s="10" t="n">
        <v>1.8</v>
      </c>
      <c r="CY14" s="10" t="n">
        <v>2.4</v>
      </c>
      <c r="CZ14" s="10" t="n">
        <v>3450000</v>
      </c>
      <c r="DA14" s="10" t="n">
        <v>138000</v>
      </c>
      <c r="DB14" s="10" t="n">
        <v>69000</v>
      </c>
      <c r="DC14" s="10" t="n">
        <v>3246000</v>
      </c>
      <c r="DD14" s="10" t="n">
        <v>7575000</v>
      </c>
      <c r="DE14" s="10" t="n">
        <v>303600</v>
      </c>
      <c r="DF14" s="10" t="n">
        <v>0</v>
      </c>
      <c r="DG14" s="10" t="n">
        <v>7268400</v>
      </c>
      <c r="DH14" s="10" t="n">
        <v>0.07</v>
      </c>
      <c r="DI14" s="10" t="n">
        <v>0.09</v>
      </c>
      <c r="DJ14" s="10" t="n">
        <v>0.04</v>
      </c>
      <c r="DK14" s="10" t="n">
        <v>0.07</v>
      </c>
    </row>
    <row r="15" customFormat="false" ht="12.8" hidden="false" customHeight="false" outlineLevel="0" collapsed="false">
      <c r="A15" s="9" t="n">
        <v>11</v>
      </c>
      <c r="B15" s="10" t="s">
        <v>8408</v>
      </c>
      <c r="C15" s="10" t="s">
        <v>8402</v>
      </c>
      <c r="D15" s="10" t="n">
        <v>135000</v>
      </c>
      <c r="E15" s="10" t="n">
        <v>13500</v>
      </c>
      <c r="F15" s="10" t="n">
        <v>13500</v>
      </c>
      <c r="G15" s="10" t="n">
        <v>108000</v>
      </c>
      <c r="H15" s="10" t="n">
        <v>0.65</v>
      </c>
      <c r="I15" s="10" t="n">
        <v>0.682</v>
      </c>
      <c r="J15" s="10" t="n">
        <v>0.618</v>
      </c>
      <c r="K15" s="10" t="n">
        <v>0.65</v>
      </c>
      <c r="L15" s="10" t="n">
        <v>0.68</v>
      </c>
      <c r="M15" s="10" t="n">
        <v>0.72</v>
      </c>
      <c r="N15" s="10" t="n">
        <v>0.68</v>
      </c>
      <c r="O15" s="10" t="n">
        <v>0.678</v>
      </c>
      <c r="P15" s="10" t="n">
        <v>0.05</v>
      </c>
      <c r="Q15" s="10" t="n">
        <v>0.05</v>
      </c>
      <c r="R15" s="10" t="n">
        <v>0.08</v>
      </c>
      <c r="S15" s="10" t="n">
        <v>0.022</v>
      </c>
      <c r="T15" s="10" t="n">
        <v>0.037</v>
      </c>
      <c r="U15" s="10" t="n">
        <v>0.046</v>
      </c>
      <c r="V15" s="10" t="n">
        <v>0.084</v>
      </c>
      <c r="W15" s="10" t="n">
        <v>0.034</v>
      </c>
      <c r="X15" s="10" t="n">
        <v>24.4</v>
      </c>
      <c r="Y15" s="10" t="n">
        <v>15.9</v>
      </c>
      <c r="Z15" s="10" t="n">
        <v>37.8</v>
      </c>
      <c r="AA15" s="10" t="n">
        <v>50752</v>
      </c>
      <c r="AB15" s="10" t="n">
        <v>33040</v>
      </c>
      <c r="AC15" s="10" t="n">
        <v>78720</v>
      </c>
      <c r="AD15" s="10" t="n">
        <v>23.2</v>
      </c>
      <c r="AE15" s="10" t="n">
        <v>15.1</v>
      </c>
      <c r="AF15" s="10" t="n">
        <v>36</v>
      </c>
      <c r="AG15" s="10" t="n">
        <v>48256</v>
      </c>
      <c r="AH15" s="10" t="n">
        <v>31408</v>
      </c>
      <c r="AI15" s="10" t="n">
        <v>74816</v>
      </c>
      <c r="AJ15" s="10" t="n">
        <v>21.2</v>
      </c>
      <c r="AK15" s="10" t="n">
        <v>13.8</v>
      </c>
      <c r="AL15" s="10" t="n">
        <v>32.9</v>
      </c>
      <c r="AM15" s="10" t="n">
        <v>44100</v>
      </c>
      <c r="AN15" s="10" t="n">
        <v>28704</v>
      </c>
      <c r="AO15" s="10" t="n">
        <v>68352</v>
      </c>
      <c r="AP15" s="10" t="n">
        <v>24.9</v>
      </c>
      <c r="AQ15" s="10" t="n">
        <v>16.2</v>
      </c>
      <c r="AR15" s="10" t="n">
        <v>38.6</v>
      </c>
      <c r="AS15" s="10" t="n">
        <v>51792</v>
      </c>
      <c r="AT15" s="10" t="n">
        <v>33712</v>
      </c>
      <c r="AU15" s="10" t="n">
        <v>80384</v>
      </c>
      <c r="AV15" s="10" t="n">
        <v>23000000</v>
      </c>
      <c r="AW15" s="10" t="n">
        <v>782000</v>
      </c>
      <c r="AX15" s="10" t="n">
        <v>414000</v>
      </c>
      <c r="AY15" s="10" t="n">
        <v>21796000</v>
      </c>
      <c r="AZ15" s="10" t="n">
        <v>11500000</v>
      </c>
      <c r="BA15" s="10" t="n">
        <v>391000</v>
      </c>
      <c r="BB15" s="10" t="n">
        <v>207000</v>
      </c>
      <c r="BC15" s="10" t="n">
        <v>10909000</v>
      </c>
      <c r="BD15" s="10" t="n">
        <v>900000</v>
      </c>
      <c r="BE15" s="10" t="n">
        <v>180000</v>
      </c>
      <c r="BF15" s="10" t="n">
        <v>0</v>
      </c>
      <c r="BG15" s="10" t="n">
        <v>720000</v>
      </c>
      <c r="BH15" s="10" t="n">
        <v>450000</v>
      </c>
      <c r="BI15" s="10" t="n">
        <v>90000</v>
      </c>
      <c r="BJ15" s="10" t="n">
        <v>90000</v>
      </c>
      <c r="BK15" s="10" t="n">
        <v>270000</v>
      </c>
      <c r="BL15" s="10" t="n">
        <v>225000</v>
      </c>
      <c r="BM15" s="10" t="n">
        <v>45000</v>
      </c>
      <c r="BN15" s="10" t="n">
        <v>112500</v>
      </c>
      <c r="BO15" s="10" t="n">
        <v>337500</v>
      </c>
      <c r="BP15" s="10" t="n">
        <v>87750</v>
      </c>
      <c r="BQ15" s="10" t="n">
        <v>9207</v>
      </c>
      <c r="BR15" s="10" t="n">
        <v>8337</v>
      </c>
      <c r="BS15" s="10" t="n">
        <v>70206</v>
      </c>
      <c r="BT15" s="10" t="n">
        <v>38</v>
      </c>
      <c r="BU15" s="10" t="n">
        <v>37</v>
      </c>
      <c r="BV15" s="10" t="n">
        <v>39</v>
      </c>
      <c r="BW15" s="10" t="n">
        <v>38.2</v>
      </c>
      <c r="BX15" s="10" t="n">
        <v>25</v>
      </c>
      <c r="BY15" s="10" t="n">
        <v>55</v>
      </c>
      <c r="BZ15" s="10" t="n">
        <v>0.78</v>
      </c>
      <c r="CA15" s="10" t="n">
        <v>0.74</v>
      </c>
      <c r="CB15" s="10" t="n">
        <v>0.68</v>
      </c>
      <c r="CC15" s="10" t="n">
        <v>0.79</v>
      </c>
      <c r="CD15" s="10" t="n">
        <v>0.22</v>
      </c>
      <c r="CE15" s="10" t="n">
        <v>0.26</v>
      </c>
      <c r="CF15" s="10" t="n">
        <v>0.32</v>
      </c>
      <c r="CG15" s="10" t="n">
        <v>0.21</v>
      </c>
      <c r="CH15" s="10" t="n">
        <v>5.8</v>
      </c>
      <c r="CI15" s="10" t="n">
        <v>5.2</v>
      </c>
      <c r="CJ15" s="10" t="n">
        <v>4.2</v>
      </c>
      <c r="CK15" s="10" t="n">
        <v>6.2</v>
      </c>
      <c r="CL15" s="10" t="n">
        <v>1.3</v>
      </c>
      <c r="CM15" s="10" t="n">
        <v>14</v>
      </c>
      <c r="CN15" s="10" t="n">
        <v>0.19</v>
      </c>
      <c r="CO15" s="10" t="n">
        <v>0.17</v>
      </c>
      <c r="CP15" s="10" t="n">
        <v>0.25</v>
      </c>
      <c r="CQ15" s="10" t="n">
        <v>0.18</v>
      </c>
      <c r="CR15" s="10" t="n">
        <v>55</v>
      </c>
      <c r="CS15" s="10" t="n">
        <v>54</v>
      </c>
      <c r="CT15" s="10" t="n">
        <v>52</v>
      </c>
      <c r="CU15" s="10" t="n">
        <v>56</v>
      </c>
      <c r="CV15" s="10" t="n">
        <v>2.4</v>
      </c>
      <c r="CW15" s="10" t="n">
        <v>2.6</v>
      </c>
      <c r="CX15" s="10" t="n">
        <v>1.9</v>
      </c>
      <c r="CY15" s="10" t="n">
        <v>2.5</v>
      </c>
      <c r="CZ15" s="10" t="n">
        <v>3450000</v>
      </c>
      <c r="DA15" s="10" t="n">
        <v>138000</v>
      </c>
      <c r="DB15" s="10" t="n">
        <v>69000</v>
      </c>
      <c r="DC15" s="10" t="n">
        <v>3246000</v>
      </c>
      <c r="DD15" s="10" t="n">
        <v>7575000</v>
      </c>
      <c r="DE15" s="10" t="n">
        <v>303600</v>
      </c>
      <c r="DF15" s="10" t="n">
        <v>0</v>
      </c>
      <c r="DG15" s="10" t="n">
        <v>7268400</v>
      </c>
      <c r="DH15" s="10" t="n">
        <v>0.085</v>
      </c>
      <c r="DI15" s="10" t="n">
        <v>0.11</v>
      </c>
      <c r="DJ15" s="10" t="n">
        <v>0.055</v>
      </c>
      <c r="DK15" s="10" t="n">
        <v>0.085</v>
      </c>
    </row>
    <row r="16" customFormat="false" ht="12.8" hidden="false" customHeight="false" outlineLevel="0" collapsed="false">
      <c r="A16" s="9" t="n">
        <v>12</v>
      </c>
      <c r="B16" s="10" t="s">
        <v>8408</v>
      </c>
      <c r="C16" s="10" t="s">
        <v>8403</v>
      </c>
      <c r="D16" s="10" t="n">
        <v>67500</v>
      </c>
      <c r="E16" s="10" t="n">
        <v>6750</v>
      </c>
      <c r="F16" s="10" t="n">
        <v>6750</v>
      </c>
      <c r="G16" s="10" t="n">
        <v>54000</v>
      </c>
      <c r="H16" s="10" t="n">
        <v>0.65</v>
      </c>
      <c r="I16" s="10" t="n">
        <v>0.682</v>
      </c>
      <c r="J16" s="10" t="n">
        <v>0.618</v>
      </c>
      <c r="K16" s="10" t="n">
        <v>0.65</v>
      </c>
      <c r="L16" s="10" t="n">
        <v>0.68</v>
      </c>
      <c r="M16" s="10" t="n">
        <v>0.72</v>
      </c>
      <c r="N16" s="10" t="n">
        <v>0.68</v>
      </c>
      <c r="O16" s="10" t="n">
        <v>0.678</v>
      </c>
      <c r="P16" s="10" t="n">
        <v>0.05</v>
      </c>
      <c r="Q16" s="10" t="n">
        <v>0.05</v>
      </c>
      <c r="R16" s="10" t="n">
        <v>0.08</v>
      </c>
      <c r="S16" s="10" t="n">
        <v>0.022</v>
      </c>
      <c r="T16" s="10" t="n">
        <v>0.037</v>
      </c>
      <c r="U16" s="10" t="n">
        <v>0.046</v>
      </c>
      <c r="V16" s="10" t="n">
        <v>0.084</v>
      </c>
      <c r="W16" s="10" t="n">
        <v>0.034</v>
      </c>
      <c r="X16" s="10" t="n">
        <v>20.74</v>
      </c>
      <c r="Y16" s="10" t="n">
        <v>13.5</v>
      </c>
      <c r="Z16" s="10" t="n">
        <v>32.1</v>
      </c>
      <c r="AA16" s="10" t="n">
        <v>43139</v>
      </c>
      <c r="AB16" s="10" t="n">
        <v>28080</v>
      </c>
      <c r="AC16" s="10" t="n">
        <v>66816</v>
      </c>
      <c r="AD16" s="10" t="n">
        <v>19.7</v>
      </c>
      <c r="AE16" s="10" t="n">
        <v>12.8</v>
      </c>
      <c r="AF16" s="10" t="n">
        <v>30.6</v>
      </c>
      <c r="AG16" s="10" t="n">
        <v>40976</v>
      </c>
      <c r="AH16" s="10" t="n">
        <v>26672</v>
      </c>
      <c r="AI16" s="10" t="n">
        <v>63616</v>
      </c>
      <c r="AJ16" s="10" t="n">
        <v>18</v>
      </c>
      <c r="AK16" s="10" t="n">
        <v>11.7</v>
      </c>
      <c r="AL16" s="10" t="n">
        <v>28</v>
      </c>
      <c r="AM16" s="10" t="n">
        <v>37440</v>
      </c>
      <c r="AN16" s="10" t="n">
        <v>24360</v>
      </c>
      <c r="AO16" s="10" t="n">
        <v>58080</v>
      </c>
      <c r="AP16" s="10" t="n">
        <v>21.2</v>
      </c>
      <c r="AQ16" s="10" t="n">
        <v>13.8</v>
      </c>
      <c r="AR16" s="10" t="n">
        <v>32.9</v>
      </c>
      <c r="AS16" s="10" t="n">
        <v>44096</v>
      </c>
      <c r="AT16" s="10" t="n">
        <v>28688</v>
      </c>
      <c r="AU16" s="10" t="n">
        <v>68352</v>
      </c>
      <c r="AV16" s="10" t="n">
        <v>11500000</v>
      </c>
      <c r="AW16" s="10" t="n">
        <v>391000</v>
      </c>
      <c r="AX16" s="10" t="n">
        <v>207000</v>
      </c>
      <c r="AY16" s="10" t="n">
        <v>10898000</v>
      </c>
      <c r="AZ16" s="10" t="n">
        <v>5750000</v>
      </c>
      <c r="BA16" s="10" t="n">
        <v>195500</v>
      </c>
      <c r="BB16" s="10" t="n">
        <v>103500</v>
      </c>
      <c r="BC16" s="10" t="n">
        <v>5454500</v>
      </c>
      <c r="BD16" s="10" t="n">
        <v>450000</v>
      </c>
      <c r="BE16" s="10" t="n">
        <v>90000</v>
      </c>
      <c r="BF16" s="10" t="n">
        <v>0</v>
      </c>
      <c r="BG16" s="10" t="n">
        <v>360000</v>
      </c>
      <c r="BH16" s="10" t="n">
        <v>225000</v>
      </c>
      <c r="BI16" s="10" t="n">
        <v>45000</v>
      </c>
      <c r="BJ16" s="10" t="n">
        <v>45000</v>
      </c>
      <c r="BK16" s="10" t="n">
        <v>135000</v>
      </c>
      <c r="BL16" s="10" t="n">
        <v>112500</v>
      </c>
      <c r="BM16" s="10" t="n">
        <v>22500</v>
      </c>
      <c r="BN16" s="10" t="n">
        <v>56250</v>
      </c>
      <c r="BO16" s="10" t="n">
        <v>168750</v>
      </c>
      <c r="BP16" s="10" t="n">
        <v>43875</v>
      </c>
      <c r="BQ16" s="10" t="n">
        <v>4604</v>
      </c>
      <c r="BR16" s="10" t="n">
        <v>4169</v>
      </c>
      <c r="BS16" s="10" t="n">
        <v>35103</v>
      </c>
      <c r="BT16" s="10" t="n">
        <v>38</v>
      </c>
      <c r="BU16" s="10" t="n">
        <v>37</v>
      </c>
      <c r="BV16" s="10" t="n">
        <v>39</v>
      </c>
      <c r="BW16" s="10" t="n">
        <v>38.2</v>
      </c>
      <c r="BX16" s="10" t="n">
        <v>25</v>
      </c>
      <c r="BY16" s="10" t="n">
        <v>55</v>
      </c>
      <c r="BZ16" s="10" t="n">
        <v>0.78</v>
      </c>
      <c r="CA16" s="10" t="n">
        <v>0.74</v>
      </c>
      <c r="CB16" s="10" t="n">
        <v>0.68</v>
      </c>
      <c r="CC16" s="10" t="n">
        <v>0.79</v>
      </c>
      <c r="CD16" s="10" t="n">
        <v>0.22</v>
      </c>
      <c r="CE16" s="10" t="n">
        <v>0.26</v>
      </c>
      <c r="CF16" s="10" t="n">
        <v>0.32</v>
      </c>
      <c r="CG16" s="10" t="n">
        <v>0.21</v>
      </c>
      <c r="CH16" s="10" t="n">
        <v>5.8</v>
      </c>
      <c r="CI16" s="10" t="n">
        <v>5.2</v>
      </c>
      <c r="CJ16" s="10" t="n">
        <v>4.2</v>
      </c>
      <c r="CK16" s="10" t="n">
        <v>6.2</v>
      </c>
      <c r="CL16" s="10" t="n">
        <v>1.3</v>
      </c>
      <c r="CM16" s="10" t="n">
        <v>14</v>
      </c>
      <c r="CN16" s="10" t="n">
        <v>0.19</v>
      </c>
      <c r="CO16" s="10" t="n">
        <v>0.17</v>
      </c>
      <c r="CP16" s="10" t="n">
        <v>0.25</v>
      </c>
      <c r="CQ16" s="10" t="n">
        <v>0.18</v>
      </c>
      <c r="CR16" s="10" t="n">
        <v>55</v>
      </c>
      <c r="CS16" s="10" t="n">
        <v>54</v>
      </c>
      <c r="CT16" s="10" t="n">
        <v>52</v>
      </c>
      <c r="CU16" s="10" t="n">
        <v>56</v>
      </c>
      <c r="CV16" s="10" t="n">
        <v>2.4</v>
      </c>
      <c r="CW16" s="10" t="n">
        <v>2.6</v>
      </c>
      <c r="CX16" s="10" t="n">
        <v>1.9</v>
      </c>
      <c r="CY16" s="10" t="n">
        <v>2.5</v>
      </c>
      <c r="CZ16" s="10" t="n">
        <v>1725000</v>
      </c>
      <c r="DA16" s="10" t="n">
        <v>69000</v>
      </c>
      <c r="DB16" s="10" t="n">
        <v>34500</v>
      </c>
      <c r="DC16" s="10" t="n">
        <v>1623000</v>
      </c>
      <c r="DD16" s="10" t="n">
        <v>3787500</v>
      </c>
      <c r="DE16" s="10" t="n">
        <v>151800</v>
      </c>
      <c r="DF16" s="10" t="n">
        <v>0</v>
      </c>
      <c r="DG16" s="10" t="n">
        <v>3634200</v>
      </c>
      <c r="DH16" s="10" t="n">
        <v>0.085</v>
      </c>
      <c r="DI16" s="10" t="n">
        <v>0.11</v>
      </c>
      <c r="DJ16" s="10" t="n">
        <v>0.055</v>
      </c>
      <c r="DK16" s="10" t="n">
        <v>0.085</v>
      </c>
    </row>
    <row r="17" customFormat="false" ht="12.8" hidden="false" customHeight="false" outlineLevel="0" collapsed="false">
      <c r="A17" s="9" t="n">
        <v>13</v>
      </c>
      <c r="B17" s="10" t="s">
        <v>8409</v>
      </c>
      <c r="C17" s="10" t="s">
        <v>8402</v>
      </c>
      <c r="D17" s="10" t="n">
        <v>480000</v>
      </c>
      <c r="E17" s="10" t="n">
        <v>38400</v>
      </c>
      <c r="F17" s="10" t="n">
        <v>38400</v>
      </c>
      <c r="G17" s="10" t="n">
        <v>403200</v>
      </c>
      <c r="H17" s="10" t="n">
        <v>0.67</v>
      </c>
      <c r="I17" s="10" t="n">
        <v>0.701</v>
      </c>
      <c r="J17" s="10" t="n">
        <v>0.639</v>
      </c>
      <c r="K17" s="10" t="n">
        <v>0.67</v>
      </c>
      <c r="L17" s="10" t="n">
        <v>0.7</v>
      </c>
      <c r="M17" s="10" t="n">
        <v>0.735</v>
      </c>
      <c r="N17" s="10" t="n">
        <v>0.71</v>
      </c>
      <c r="O17" s="10" t="n">
        <v>0.698</v>
      </c>
      <c r="P17" s="10" t="n">
        <v>0.07</v>
      </c>
      <c r="Q17" s="10" t="n">
        <v>0.07</v>
      </c>
      <c r="R17" s="10" t="n">
        <v>0.12</v>
      </c>
      <c r="S17" s="10" t="n">
        <v>0.037</v>
      </c>
      <c r="T17" s="10" t="n">
        <v>0.074</v>
      </c>
      <c r="U17" s="10" t="n">
        <v>0.097</v>
      </c>
      <c r="V17" s="10" t="n">
        <v>0.165</v>
      </c>
      <c r="W17" s="10" t="n">
        <v>0.071</v>
      </c>
      <c r="X17" s="10" t="n">
        <v>21.94</v>
      </c>
      <c r="Y17" s="10" t="n">
        <v>14.3</v>
      </c>
      <c r="Z17" s="10" t="n">
        <v>33.9</v>
      </c>
      <c r="AA17" s="10" t="n">
        <v>45635</v>
      </c>
      <c r="AB17" s="10" t="n">
        <v>29704</v>
      </c>
      <c r="AC17" s="10" t="n">
        <v>70656</v>
      </c>
      <c r="AD17" s="10" t="n">
        <v>20.9</v>
      </c>
      <c r="AE17" s="10" t="n">
        <v>13.6</v>
      </c>
      <c r="AF17" s="10" t="n">
        <v>32.4</v>
      </c>
      <c r="AG17" s="10" t="n">
        <v>43472</v>
      </c>
      <c r="AH17" s="10" t="n">
        <v>28304</v>
      </c>
      <c r="AI17" s="10" t="n">
        <v>67392</v>
      </c>
      <c r="AJ17" s="10" t="n">
        <v>18.1</v>
      </c>
      <c r="AK17" s="10" t="n">
        <v>11.8</v>
      </c>
      <c r="AL17" s="10" t="n">
        <v>28.1</v>
      </c>
      <c r="AM17" s="10" t="n">
        <v>37648</v>
      </c>
      <c r="AN17" s="10" t="n">
        <v>24496</v>
      </c>
      <c r="AO17" s="10" t="n">
        <v>58272</v>
      </c>
      <c r="AP17" s="10" t="n">
        <v>22.4</v>
      </c>
      <c r="AQ17" s="10" t="n">
        <v>14.6</v>
      </c>
      <c r="AR17" s="10" t="n">
        <v>34.7</v>
      </c>
      <c r="AS17" s="10" t="n">
        <v>46592</v>
      </c>
      <c r="AT17" s="10" t="n">
        <v>30352</v>
      </c>
      <c r="AU17" s="10" t="n">
        <v>72144</v>
      </c>
      <c r="AV17" s="10" t="n">
        <v>48000000</v>
      </c>
      <c r="AW17" s="10" t="n">
        <v>1632000</v>
      </c>
      <c r="AX17" s="10" t="n">
        <v>864000</v>
      </c>
      <c r="AY17" s="10" t="n">
        <v>45528000</v>
      </c>
      <c r="AZ17" s="10" t="n">
        <v>24000000</v>
      </c>
      <c r="BA17" s="10" t="n">
        <v>816000</v>
      </c>
      <c r="BB17" s="10" t="n">
        <v>432000</v>
      </c>
      <c r="BC17" s="10" t="n">
        <v>22764000</v>
      </c>
      <c r="BD17" s="10" t="n">
        <v>2400000</v>
      </c>
      <c r="BE17" s="10" t="n">
        <v>480000</v>
      </c>
      <c r="BF17" s="10" t="n">
        <v>0</v>
      </c>
      <c r="BG17" s="10" t="n">
        <v>1920000</v>
      </c>
      <c r="BH17" s="10" t="n">
        <v>1200000</v>
      </c>
      <c r="BI17" s="10" t="n">
        <v>240000</v>
      </c>
      <c r="BJ17" s="10" t="n">
        <v>240000</v>
      </c>
      <c r="BK17" s="10" t="n">
        <v>720000</v>
      </c>
      <c r="BL17" s="10" t="n">
        <v>600000</v>
      </c>
      <c r="BM17" s="10" t="n">
        <v>120000</v>
      </c>
      <c r="BN17" s="10" t="n">
        <v>300000</v>
      </c>
      <c r="BO17" s="10" t="n">
        <v>900000</v>
      </c>
      <c r="BP17" s="10" t="n">
        <v>321600</v>
      </c>
      <c r="BQ17" s="10" t="n">
        <v>26918</v>
      </c>
      <c r="BR17" s="10" t="n">
        <v>24538</v>
      </c>
      <c r="BS17" s="10" t="n">
        <v>270144</v>
      </c>
      <c r="BT17" s="10" t="n">
        <v>36</v>
      </c>
      <c r="BU17" s="10" t="n">
        <v>35</v>
      </c>
      <c r="BV17" s="10" t="n">
        <v>37</v>
      </c>
      <c r="BW17" s="10" t="n">
        <v>36.1</v>
      </c>
      <c r="BX17" s="10" t="n">
        <v>22</v>
      </c>
      <c r="BY17" s="10" t="n">
        <v>52</v>
      </c>
      <c r="BZ17" s="10" t="n">
        <v>0.74</v>
      </c>
      <c r="CA17" s="10" t="n">
        <v>0.7</v>
      </c>
      <c r="CB17" s="10" t="n">
        <v>0.64</v>
      </c>
      <c r="CC17" s="10" t="n">
        <v>0.75</v>
      </c>
      <c r="CD17" s="10" t="n">
        <v>0.26</v>
      </c>
      <c r="CE17" s="10" t="n">
        <v>0.3</v>
      </c>
      <c r="CF17" s="10" t="n">
        <v>0.36</v>
      </c>
      <c r="CG17" s="10" t="n">
        <v>0.25</v>
      </c>
      <c r="CH17" s="10" t="n">
        <v>4.8</v>
      </c>
      <c r="CI17" s="10" t="n">
        <v>4.3</v>
      </c>
      <c r="CJ17" s="10" t="n">
        <v>3.3</v>
      </c>
      <c r="CK17" s="10" t="n">
        <v>5.3</v>
      </c>
      <c r="CL17" s="10" t="n">
        <v>1</v>
      </c>
      <c r="CM17" s="10" t="n">
        <v>13</v>
      </c>
      <c r="CN17" s="10" t="n">
        <v>0.2</v>
      </c>
      <c r="CO17" s="10" t="n">
        <v>0.18</v>
      </c>
      <c r="CP17" s="10" t="n">
        <v>0.26</v>
      </c>
      <c r="CQ17" s="10" t="n">
        <v>0.19</v>
      </c>
      <c r="CR17" s="10" t="n">
        <v>50</v>
      </c>
      <c r="CS17" s="10" t="n">
        <v>49</v>
      </c>
      <c r="CT17" s="10" t="n">
        <v>47</v>
      </c>
      <c r="CU17" s="10" t="n">
        <v>51</v>
      </c>
      <c r="CV17" s="10" t="n">
        <v>2</v>
      </c>
      <c r="CW17" s="10" t="n">
        <v>2.2</v>
      </c>
      <c r="CX17" s="10" t="n">
        <v>1.5</v>
      </c>
      <c r="CY17" s="10" t="n">
        <v>2.1</v>
      </c>
      <c r="CZ17" s="10" t="n">
        <v>7200000</v>
      </c>
      <c r="DA17" s="10" t="n">
        <v>288000</v>
      </c>
      <c r="DB17" s="10" t="n">
        <v>144000</v>
      </c>
      <c r="DC17" s="10" t="n">
        <v>6768000</v>
      </c>
      <c r="DD17" s="10" t="n">
        <v>15840000</v>
      </c>
      <c r="DE17" s="10" t="n">
        <v>633600</v>
      </c>
      <c r="DF17" s="10" t="n">
        <v>0</v>
      </c>
      <c r="DG17" s="10" t="n">
        <v>15196800</v>
      </c>
      <c r="DH17" s="10" t="n">
        <v>0.09</v>
      </c>
      <c r="DI17" s="10" t="n">
        <v>0.12</v>
      </c>
      <c r="DJ17" s="10" t="n">
        <v>0.06</v>
      </c>
      <c r="DK17" s="10" t="n">
        <v>0.09</v>
      </c>
    </row>
    <row r="18" customFormat="false" ht="12.8" hidden="false" customHeight="false" outlineLevel="0" collapsed="false">
      <c r="A18" s="9" t="n">
        <v>14</v>
      </c>
      <c r="B18" s="10" t="s">
        <v>8409</v>
      </c>
      <c r="C18" s="10" t="s">
        <v>8403</v>
      </c>
      <c r="D18" s="10" t="n">
        <v>240000</v>
      </c>
      <c r="E18" s="10" t="n">
        <v>19200</v>
      </c>
      <c r="F18" s="10" t="n">
        <v>19200</v>
      </c>
      <c r="G18" s="10" t="n">
        <v>201600</v>
      </c>
      <c r="H18" s="10" t="n">
        <v>0.67</v>
      </c>
      <c r="I18" s="10" t="n">
        <v>0.701</v>
      </c>
      <c r="J18" s="10" t="n">
        <v>0.639</v>
      </c>
      <c r="K18" s="10" t="n">
        <v>0.67</v>
      </c>
      <c r="L18" s="10" t="n">
        <v>0.7</v>
      </c>
      <c r="M18" s="10" t="n">
        <v>0.735</v>
      </c>
      <c r="N18" s="10" t="n">
        <v>0.71</v>
      </c>
      <c r="O18" s="10" t="n">
        <v>0.698</v>
      </c>
      <c r="P18" s="10" t="n">
        <v>0.07</v>
      </c>
      <c r="Q18" s="10" t="n">
        <v>0.07</v>
      </c>
      <c r="R18" s="10" t="n">
        <v>0.12</v>
      </c>
      <c r="S18" s="10" t="n">
        <v>0.037</v>
      </c>
      <c r="T18" s="10" t="n">
        <v>0.074</v>
      </c>
      <c r="U18" s="10" t="n">
        <v>0.097</v>
      </c>
      <c r="V18" s="10" t="n">
        <v>0.165</v>
      </c>
      <c r="W18" s="10" t="n">
        <v>0.071</v>
      </c>
      <c r="X18" s="10" t="n">
        <v>18.65</v>
      </c>
      <c r="Y18" s="10" t="n">
        <v>12.1</v>
      </c>
      <c r="Z18" s="10" t="n">
        <v>28.8</v>
      </c>
      <c r="AA18" s="10" t="n">
        <v>38792</v>
      </c>
      <c r="AB18" s="10" t="n">
        <v>25240</v>
      </c>
      <c r="AC18" s="10" t="n">
        <v>60016</v>
      </c>
      <c r="AD18" s="10" t="n">
        <v>17.8</v>
      </c>
      <c r="AE18" s="10" t="n">
        <v>11.6</v>
      </c>
      <c r="AF18" s="10" t="n">
        <v>27.6</v>
      </c>
      <c r="AG18" s="10" t="n">
        <v>37024</v>
      </c>
      <c r="AH18" s="10" t="n">
        <v>24104</v>
      </c>
      <c r="AI18" s="10" t="n">
        <v>57376</v>
      </c>
      <c r="AJ18" s="10" t="n">
        <v>15.4</v>
      </c>
      <c r="AK18" s="10" t="n">
        <v>10</v>
      </c>
      <c r="AL18" s="10" t="n">
        <v>23.9</v>
      </c>
      <c r="AM18" s="10" t="n">
        <v>32032</v>
      </c>
      <c r="AN18" s="10" t="n">
        <v>20848</v>
      </c>
      <c r="AO18" s="10" t="n">
        <v>49632</v>
      </c>
      <c r="AP18" s="10" t="n">
        <v>19</v>
      </c>
      <c r="AQ18" s="10" t="n">
        <v>12.4</v>
      </c>
      <c r="AR18" s="10" t="n">
        <v>29.5</v>
      </c>
      <c r="AS18" s="10" t="n">
        <v>39520</v>
      </c>
      <c r="AT18" s="10" t="n">
        <v>25720</v>
      </c>
      <c r="AU18" s="10" t="n">
        <v>61280</v>
      </c>
      <c r="AV18" s="10" t="n">
        <v>24000000</v>
      </c>
      <c r="AW18" s="10" t="n">
        <v>816000</v>
      </c>
      <c r="AX18" s="10" t="n">
        <v>432000</v>
      </c>
      <c r="AY18" s="10" t="n">
        <v>22764000</v>
      </c>
      <c r="AZ18" s="10" t="n">
        <v>12000000</v>
      </c>
      <c r="BA18" s="10" t="n">
        <v>408000</v>
      </c>
      <c r="BB18" s="10" t="n">
        <v>216000</v>
      </c>
      <c r="BC18" s="10" t="n">
        <v>11382000</v>
      </c>
      <c r="BD18" s="10" t="n">
        <v>1200000</v>
      </c>
      <c r="BE18" s="10" t="n">
        <v>240000</v>
      </c>
      <c r="BF18" s="10" t="n">
        <v>0</v>
      </c>
      <c r="BG18" s="10" t="n">
        <v>960000</v>
      </c>
      <c r="BH18" s="10" t="n">
        <v>600000</v>
      </c>
      <c r="BI18" s="10" t="n">
        <v>120000</v>
      </c>
      <c r="BJ18" s="10" t="n">
        <v>120000</v>
      </c>
      <c r="BK18" s="10" t="n">
        <v>360000</v>
      </c>
      <c r="BL18" s="10" t="n">
        <v>300000</v>
      </c>
      <c r="BM18" s="10" t="n">
        <v>60000</v>
      </c>
      <c r="BN18" s="10" t="n">
        <v>150000</v>
      </c>
      <c r="BO18" s="10" t="n">
        <v>450000</v>
      </c>
      <c r="BP18" s="10" t="n">
        <v>160800</v>
      </c>
      <c r="BQ18" s="10" t="n">
        <v>13459</v>
      </c>
      <c r="BR18" s="10" t="n">
        <v>12269</v>
      </c>
      <c r="BS18" s="10" t="n">
        <v>135072</v>
      </c>
      <c r="BT18" s="10" t="n">
        <v>36</v>
      </c>
      <c r="BU18" s="10" t="n">
        <v>35</v>
      </c>
      <c r="BV18" s="10" t="n">
        <v>37</v>
      </c>
      <c r="BW18" s="10" t="n">
        <v>36.1</v>
      </c>
      <c r="BX18" s="10" t="n">
        <v>22</v>
      </c>
      <c r="BY18" s="10" t="n">
        <v>52</v>
      </c>
      <c r="BZ18" s="10" t="n">
        <v>0.74</v>
      </c>
      <c r="CA18" s="10" t="n">
        <v>0.7</v>
      </c>
      <c r="CB18" s="10" t="n">
        <v>0.64</v>
      </c>
      <c r="CC18" s="10" t="n">
        <v>0.75</v>
      </c>
      <c r="CD18" s="10" t="n">
        <v>0.26</v>
      </c>
      <c r="CE18" s="10" t="n">
        <v>0.3</v>
      </c>
      <c r="CF18" s="10" t="n">
        <v>0.36</v>
      </c>
      <c r="CG18" s="10" t="n">
        <v>0.25</v>
      </c>
      <c r="CH18" s="10" t="n">
        <v>4.8</v>
      </c>
      <c r="CI18" s="10" t="n">
        <v>4.3</v>
      </c>
      <c r="CJ18" s="10" t="n">
        <v>3.3</v>
      </c>
      <c r="CK18" s="10" t="n">
        <v>5.3</v>
      </c>
      <c r="CL18" s="10" t="n">
        <v>1</v>
      </c>
      <c r="CM18" s="10" t="n">
        <v>13</v>
      </c>
      <c r="CN18" s="10" t="n">
        <v>0.2</v>
      </c>
      <c r="CO18" s="10" t="n">
        <v>0.18</v>
      </c>
      <c r="CP18" s="10" t="n">
        <v>0.26</v>
      </c>
      <c r="CQ18" s="10" t="n">
        <v>0.19</v>
      </c>
      <c r="CR18" s="10" t="n">
        <v>50</v>
      </c>
      <c r="CS18" s="10" t="n">
        <v>49</v>
      </c>
      <c r="CT18" s="10" t="n">
        <v>47</v>
      </c>
      <c r="CU18" s="10" t="n">
        <v>51</v>
      </c>
      <c r="CV18" s="10" t="n">
        <v>2</v>
      </c>
      <c r="CW18" s="10" t="n">
        <v>2.2</v>
      </c>
      <c r="CX18" s="10" t="n">
        <v>1.5</v>
      </c>
      <c r="CY18" s="10" t="n">
        <v>2.1</v>
      </c>
      <c r="CZ18" s="10" t="n">
        <v>3600000</v>
      </c>
      <c r="DA18" s="10" t="n">
        <v>144000</v>
      </c>
      <c r="DB18" s="10" t="n">
        <v>72000</v>
      </c>
      <c r="DC18" s="10" t="n">
        <v>3384000</v>
      </c>
      <c r="DD18" s="10" t="n">
        <v>7920000</v>
      </c>
      <c r="DE18" s="10" t="n">
        <v>316800</v>
      </c>
      <c r="DF18" s="10" t="n">
        <v>0</v>
      </c>
      <c r="DG18" s="10" t="n">
        <v>7598400</v>
      </c>
      <c r="DH18" s="10" t="n">
        <v>0.09</v>
      </c>
      <c r="DI18" s="10" t="n">
        <v>0.12</v>
      </c>
      <c r="DJ18" s="10" t="n">
        <v>0.06</v>
      </c>
      <c r="DK18" s="10" t="n">
        <v>0.09</v>
      </c>
    </row>
    <row r="19" customFormat="false" ht="12.8" hidden="false" customHeight="false" outlineLevel="0" collapsed="false">
      <c r="A19" s="9" t="n">
        <v>15</v>
      </c>
      <c r="B19" s="10" t="s">
        <v>8410</v>
      </c>
      <c r="C19" s="10" t="s">
        <v>8402</v>
      </c>
      <c r="D19" s="10" t="n">
        <v>82500</v>
      </c>
      <c r="E19" s="10" t="n">
        <v>13200</v>
      </c>
      <c r="F19" s="10" t="n">
        <v>13200</v>
      </c>
      <c r="G19" s="10" t="n">
        <v>56100</v>
      </c>
      <c r="H19" s="10" t="n">
        <v>0.58</v>
      </c>
      <c r="I19" s="10" t="n">
        <v>0.63</v>
      </c>
      <c r="J19" s="10" t="n">
        <v>0.56</v>
      </c>
      <c r="K19" s="10" t="n">
        <v>0.58</v>
      </c>
      <c r="L19" s="10" t="n">
        <v>0.61</v>
      </c>
      <c r="M19" s="10" t="n">
        <v>0.66</v>
      </c>
      <c r="N19" s="10" t="n">
        <v>0.61</v>
      </c>
      <c r="O19" s="10" t="n">
        <v>0.608</v>
      </c>
      <c r="P19" s="10" t="n">
        <v>0.07</v>
      </c>
      <c r="Q19" s="10" t="n">
        <v>0.07</v>
      </c>
      <c r="R19" s="10" t="n">
        <v>0.11</v>
      </c>
      <c r="S19" s="10" t="n">
        <v>0.045</v>
      </c>
      <c r="T19" s="10" t="n">
        <v>0.093</v>
      </c>
      <c r="U19" s="10" t="n">
        <v>0.108</v>
      </c>
      <c r="V19" s="10" t="n">
        <v>0.155</v>
      </c>
      <c r="W19" s="10" t="n">
        <v>0.089</v>
      </c>
      <c r="X19" s="10" t="n">
        <v>16.59</v>
      </c>
      <c r="Y19" s="10" t="n">
        <v>10.8</v>
      </c>
      <c r="Z19" s="10" t="n">
        <v>25.7</v>
      </c>
      <c r="AA19" s="10" t="n">
        <v>34507</v>
      </c>
      <c r="AB19" s="10" t="n">
        <v>22464</v>
      </c>
      <c r="AC19" s="10" t="n">
        <v>53456</v>
      </c>
      <c r="AD19" s="10" t="n">
        <v>15.8</v>
      </c>
      <c r="AE19" s="10" t="n">
        <v>10.3</v>
      </c>
      <c r="AF19" s="10" t="n">
        <v>24.5</v>
      </c>
      <c r="AG19" s="10" t="n">
        <v>32864</v>
      </c>
      <c r="AH19" s="10" t="n">
        <v>21408</v>
      </c>
      <c r="AI19" s="10" t="n">
        <v>51008</v>
      </c>
      <c r="AJ19" s="10" t="n">
        <v>13.8</v>
      </c>
      <c r="AK19" s="10" t="n">
        <v>9</v>
      </c>
      <c r="AL19" s="10" t="n">
        <v>21.4</v>
      </c>
      <c r="AM19" s="10" t="n">
        <v>28704</v>
      </c>
      <c r="AN19" s="10" t="n">
        <v>18672</v>
      </c>
      <c r="AO19" s="10" t="n">
        <v>44416</v>
      </c>
      <c r="AP19" s="10" t="n">
        <v>16.9</v>
      </c>
      <c r="AQ19" s="10" t="n">
        <v>11</v>
      </c>
      <c r="AR19" s="10" t="n">
        <v>26.2</v>
      </c>
      <c r="AS19" s="10" t="n">
        <v>35152</v>
      </c>
      <c r="AT19" s="10" t="n">
        <v>22880</v>
      </c>
      <c r="AU19" s="10" t="n">
        <v>54512</v>
      </c>
      <c r="AV19" s="10" t="n">
        <v>3300000</v>
      </c>
      <c r="AW19" s="10" t="n">
        <v>112200</v>
      </c>
      <c r="AX19" s="10" t="n">
        <v>59400</v>
      </c>
      <c r="AY19" s="10" t="n">
        <v>3132600</v>
      </c>
      <c r="AZ19" s="10" t="n">
        <v>1650000</v>
      </c>
      <c r="BA19" s="10" t="n">
        <v>56100</v>
      </c>
      <c r="BB19" s="10" t="n">
        <v>29700</v>
      </c>
      <c r="BC19" s="10" t="n">
        <v>1566300</v>
      </c>
      <c r="BD19" s="10" t="n">
        <v>330000</v>
      </c>
      <c r="BE19" s="10" t="n">
        <v>66000</v>
      </c>
      <c r="BF19" s="10" t="n">
        <v>0</v>
      </c>
      <c r="BG19" s="10" t="n">
        <v>264000</v>
      </c>
      <c r="BH19" s="10" t="n">
        <v>165000</v>
      </c>
      <c r="BI19" s="10" t="n">
        <v>33000</v>
      </c>
      <c r="BJ19" s="10" t="n">
        <v>33000</v>
      </c>
      <c r="BK19" s="10" t="n">
        <v>99000</v>
      </c>
      <c r="BL19" s="10" t="n">
        <v>82500</v>
      </c>
      <c r="BM19" s="10" t="n">
        <v>16500</v>
      </c>
      <c r="BN19" s="10" t="n">
        <v>41250</v>
      </c>
      <c r="BO19" s="10" t="n">
        <v>123750</v>
      </c>
      <c r="BP19" s="10" t="n">
        <v>47850</v>
      </c>
      <c r="BQ19" s="10" t="n">
        <v>8316</v>
      </c>
      <c r="BR19" s="10" t="n">
        <v>7392</v>
      </c>
      <c r="BS19" s="10" t="n">
        <v>32142</v>
      </c>
      <c r="BT19" s="10" t="n">
        <v>37</v>
      </c>
      <c r="BU19" s="10" t="n">
        <v>36</v>
      </c>
      <c r="BV19" s="10" t="n">
        <v>38</v>
      </c>
      <c r="BW19" s="10" t="n">
        <v>37.1</v>
      </c>
      <c r="BX19" s="10" t="n">
        <v>22</v>
      </c>
      <c r="BY19" s="10" t="n">
        <v>54</v>
      </c>
      <c r="BZ19" s="10" t="n">
        <v>0.73</v>
      </c>
      <c r="CA19" s="10" t="n">
        <v>0.69</v>
      </c>
      <c r="CB19" s="10" t="n">
        <v>0.63</v>
      </c>
      <c r="CC19" s="10" t="n">
        <v>0.74</v>
      </c>
      <c r="CD19" s="10" t="n">
        <v>0.27</v>
      </c>
      <c r="CE19" s="10" t="n">
        <v>0.31</v>
      </c>
      <c r="CF19" s="10" t="n">
        <v>0.37</v>
      </c>
      <c r="CG19" s="10" t="n">
        <v>0.26</v>
      </c>
      <c r="CH19" s="10" t="n">
        <v>4.5</v>
      </c>
      <c r="CI19" s="10" t="n">
        <v>4</v>
      </c>
      <c r="CJ19" s="10" t="n">
        <v>3</v>
      </c>
      <c r="CK19" s="10" t="n">
        <v>5</v>
      </c>
      <c r="CL19" s="10" t="n">
        <v>0.9</v>
      </c>
      <c r="CM19" s="10" t="n">
        <v>12</v>
      </c>
      <c r="CN19" s="10" t="n">
        <v>0.21</v>
      </c>
      <c r="CO19" s="10" t="n">
        <v>0.19</v>
      </c>
      <c r="CP19" s="10" t="n">
        <v>0.27</v>
      </c>
      <c r="CQ19" s="10" t="n">
        <v>0.2</v>
      </c>
      <c r="CR19" s="10" t="n">
        <v>49</v>
      </c>
      <c r="CS19" s="10" t="n">
        <v>48</v>
      </c>
      <c r="CT19" s="10" t="n">
        <v>46</v>
      </c>
      <c r="CU19" s="10" t="n">
        <v>50</v>
      </c>
      <c r="CV19" s="10" t="n">
        <v>1.8</v>
      </c>
      <c r="CW19" s="10" t="n">
        <v>2</v>
      </c>
      <c r="CX19" s="10" t="n">
        <v>1.4</v>
      </c>
      <c r="CY19" s="10" t="n">
        <v>1.9</v>
      </c>
      <c r="CZ19" s="10" t="n">
        <v>495000</v>
      </c>
      <c r="DA19" s="10" t="n">
        <v>19800</v>
      </c>
      <c r="DB19" s="10" t="n">
        <v>9900</v>
      </c>
      <c r="DC19" s="10" t="n">
        <v>465300</v>
      </c>
      <c r="DD19" s="10" t="n">
        <v>1089000</v>
      </c>
      <c r="DE19" s="10" t="n">
        <v>43560</v>
      </c>
      <c r="DF19" s="10" t="n">
        <v>0</v>
      </c>
      <c r="DG19" s="10" t="n">
        <v>1045440</v>
      </c>
      <c r="DH19" s="10" t="n">
        <v>0.095</v>
      </c>
      <c r="DI19" s="10" t="n">
        <v>0.13</v>
      </c>
      <c r="DJ19" s="10" t="n">
        <v>0.055</v>
      </c>
      <c r="DK19" s="10" t="n">
        <v>0.095</v>
      </c>
    </row>
    <row r="20" customFormat="false" ht="12.8" hidden="false" customHeight="false" outlineLevel="0" collapsed="false">
      <c r="A20" s="9" t="n">
        <v>16</v>
      </c>
      <c r="B20" s="10" t="s">
        <v>8410</v>
      </c>
      <c r="C20" s="10" t="s">
        <v>8403</v>
      </c>
      <c r="D20" s="10" t="n">
        <v>27500</v>
      </c>
      <c r="E20" s="10" t="n">
        <v>4400</v>
      </c>
      <c r="F20" s="10" t="n">
        <v>4400</v>
      </c>
      <c r="G20" s="10" t="n">
        <v>18700</v>
      </c>
      <c r="H20" s="10" t="n">
        <v>0.58</v>
      </c>
      <c r="I20" s="10" t="n">
        <v>0.63</v>
      </c>
      <c r="J20" s="10" t="n">
        <v>0.56</v>
      </c>
      <c r="K20" s="10" t="n">
        <v>0.58</v>
      </c>
      <c r="L20" s="10" t="n">
        <v>0.61</v>
      </c>
      <c r="M20" s="10" t="n">
        <v>0.66</v>
      </c>
      <c r="N20" s="10" t="n">
        <v>0.61</v>
      </c>
      <c r="O20" s="10" t="n">
        <v>0.608</v>
      </c>
      <c r="P20" s="10" t="n">
        <v>0.07</v>
      </c>
      <c r="Q20" s="10" t="n">
        <v>0.07</v>
      </c>
      <c r="R20" s="10" t="n">
        <v>0.11</v>
      </c>
      <c r="S20" s="10" t="n">
        <v>0.045</v>
      </c>
      <c r="T20" s="10" t="n">
        <v>0.093</v>
      </c>
      <c r="U20" s="10" t="n">
        <v>0.108</v>
      </c>
      <c r="V20" s="10" t="n">
        <v>0.155</v>
      </c>
      <c r="W20" s="10" t="n">
        <v>0.089</v>
      </c>
      <c r="X20" s="10" t="n">
        <v>14.1</v>
      </c>
      <c r="Y20" s="10" t="n">
        <v>9.2</v>
      </c>
      <c r="Z20" s="10" t="n">
        <v>21.8</v>
      </c>
      <c r="AA20" s="10" t="n">
        <v>29328</v>
      </c>
      <c r="AB20" s="10" t="n">
        <v>19088</v>
      </c>
      <c r="AC20" s="10" t="n">
        <v>45376</v>
      </c>
      <c r="AD20" s="10" t="n">
        <v>13.4</v>
      </c>
      <c r="AE20" s="10" t="n">
        <v>8.7</v>
      </c>
      <c r="AF20" s="10" t="n">
        <v>20.8</v>
      </c>
      <c r="AG20" s="10" t="n">
        <v>27872</v>
      </c>
      <c r="AH20" s="10" t="n">
        <v>18136</v>
      </c>
      <c r="AI20" s="10" t="n">
        <v>43264</v>
      </c>
      <c r="AJ20" s="10" t="n">
        <v>11.7</v>
      </c>
      <c r="AK20" s="10" t="n">
        <v>7.6</v>
      </c>
      <c r="AL20" s="10" t="n">
        <v>18.2</v>
      </c>
      <c r="AM20" s="10" t="n">
        <v>24336</v>
      </c>
      <c r="AN20" s="10" t="n">
        <v>15840</v>
      </c>
      <c r="AO20" s="10" t="n">
        <v>37728</v>
      </c>
      <c r="AP20" s="10" t="n">
        <v>14.4</v>
      </c>
      <c r="AQ20" s="10" t="n">
        <v>9.4</v>
      </c>
      <c r="AR20" s="10" t="n">
        <v>22.3</v>
      </c>
      <c r="AS20" s="10" t="n">
        <v>29952</v>
      </c>
      <c r="AT20" s="10" t="n">
        <v>19488</v>
      </c>
      <c r="AU20" s="10" t="n">
        <v>46464</v>
      </c>
      <c r="AV20" s="10" t="n">
        <v>1650000</v>
      </c>
      <c r="AW20" s="10" t="n">
        <v>56100</v>
      </c>
      <c r="AX20" s="10" t="n">
        <v>29700</v>
      </c>
      <c r="AY20" s="10" t="n">
        <v>1566300</v>
      </c>
      <c r="AZ20" s="10" t="n">
        <v>825000</v>
      </c>
      <c r="BA20" s="10" t="n">
        <v>28050</v>
      </c>
      <c r="BB20" s="10" t="n">
        <v>14850</v>
      </c>
      <c r="BC20" s="10" t="n">
        <v>783150</v>
      </c>
      <c r="BD20" s="10" t="n">
        <v>165000</v>
      </c>
      <c r="BE20" s="10" t="n">
        <v>33000</v>
      </c>
      <c r="BF20" s="10" t="n">
        <v>0</v>
      </c>
      <c r="BG20" s="10" t="n">
        <v>132000</v>
      </c>
      <c r="BH20" s="10" t="n">
        <v>82500</v>
      </c>
      <c r="BI20" s="10" t="n">
        <v>16500</v>
      </c>
      <c r="BJ20" s="10" t="n">
        <v>16500</v>
      </c>
      <c r="BK20" s="10" t="n">
        <v>49500</v>
      </c>
      <c r="BL20" s="10" t="n">
        <v>41250</v>
      </c>
      <c r="BM20" s="10" t="n">
        <v>8250</v>
      </c>
      <c r="BN20" s="10" t="n">
        <v>20625</v>
      </c>
      <c r="BO20" s="10" t="n">
        <v>61875</v>
      </c>
      <c r="BP20" s="10" t="n">
        <v>15950</v>
      </c>
      <c r="BQ20" s="10" t="n">
        <v>2772</v>
      </c>
      <c r="BR20" s="10" t="n">
        <v>2464</v>
      </c>
      <c r="BS20" s="10" t="n">
        <v>10714</v>
      </c>
      <c r="BT20" s="10" t="n">
        <v>37</v>
      </c>
      <c r="BU20" s="10" t="n">
        <v>36</v>
      </c>
      <c r="BV20" s="10" t="n">
        <v>38</v>
      </c>
      <c r="BW20" s="10" t="n">
        <v>37.1</v>
      </c>
      <c r="BX20" s="10" t="n">
        <v>22</v>
      </c>
      <c r="BY20" s="10" t="n">
        <v>54</v>
      </c>
      <c r="BZ20" s="10" t="n">
        <v>0.73</v>
      </c>
      <c r="CA20" s="10" t="n">
        <v>0.69</v>
      </c>
      <c r="CB20" s="10" t="n">
        <v>0.63</v>
      </c>
      <c r="CC20" s="10" t="n">
        <v>0.74</v>
      </c>
      <c r="CD20" s="10" t="n">
        <v>0.27</v>
      </c>
      <c r="CE20" s="10" t="n">
        <v>0.31</v>
      </c>
      <c r="CF20" s="10" t="n">
        <v>0.37</v>
      </c>
      <c r="CG20" s="10" t="n">
        <v>0.26</v>
      </c>
      <c r="CH20" s="10" t="n">
        <v>4.5</v>
      </c>
      <c r="CI20" s="10" t="n">
        <v>4</v>
      </c>
      <c r="CJ20" s="10" t="n">
        <v>3</v>
      </c>
      <c r="CK20" s="10" t="n">
        <v>5</v>
      </c>
      <c r="CL20" s="10" t="n">
        <v>0.9</v>
      </c>
      <c r="CM20" s="10" t="n">
        <v>12</v>
      </c>
      <c r="CN20" s="10" t="n">
        <v>0.21</v>
      </c>
      <c r="CO20" s="10" t="n">
        <v>0.19</v>
      </c>
      <c r="CP20" s="10" t="n">
        <v>0.27</v>
      </c>
      <c r="CQ20" s="10" t="n">
        <v>0.2</v>
      </c>
      <c r="CR20" s="10" t="n">
        <v>49</v>
      </c>
      <c r="CS20" s="10" t="n">
        <v>48</v>
      </c>
      <c r="CT20" s="10" t="n">
        <v>46</v>
      </c>
      <c r="CU20" s="10" t="n">
        <v>50</v>
      </c>
      <c r="CV20" s="10" t="n">
        <v>1.8</v>
      </c>
      <c r="CW20" s="10" t="n">
        <v>2</v>
      </c>
      <c r="CX20" s="10" t="n">
        <v>1.4</v>
      </c>
      <c r="CY20" s="10" t="n">
        <v>1.9</v>
      </c>
      <c r="CZ20" s="10" t="n">
        <v>165000</v>
      </c>
      <c r="DA20" s="10" t="n">
        <v>6600</v>
      </c>
      <c r="DB20" s="10" t="n">
        <v>3300</v>
      </c>
      <c r="DC20" s="10" t="n">
        <v>155100</v>
      </c>
      <c r="DD20" s="10" t="n">
        <v>363000</v>
      </c>
      <c r="DE20" s="10" t="n">
        <v>14520</v>
      </c>
      <c r="DF20" s="10" t="n">
        <v>0</v>
      </c>
      <c r="DG20" s="10" t="n">
        <v>348480</v>
      </c>
      <c r="DH20" s="10" t="n">
        <v>0.095</v>
      </c>
      <c r="DI20" s="10" t="n">
        <v>0.13</v>
      </c>
      <c r="DJ20" s="10" t="n">
        <v>0.055</v>
      </c>
      <c r="DK20" s="10" t="n">
        <v>0.095</v>
      </c>
    </row>
    <row r="21" customFormat="false" ht="12.8" hidden="false" customHeight="false" outlineLevel="0" collapsed="false">
      <c r="A21" s="9" t="n">
        <v>17</v>
      </c>
      <c r="B21" s="10" t="s">
        <v>8411</v>
      </c>
      <c r="C21" s="10" t="s">
        <v>8402</v>
      </c>
      <c r="D21" s="10" t="n">
        <v>67500</v>
      </c>
      <c r="E21" s="10" t="n">
        <v>6075</v>
      </c>
      <c r="F21" s="10" t="n">
        <v>6075</v>
      </c>
      <c r="G21" s="10" t="n">
        <v>55350</v>
      </c>
      <c r="H21" s="10" t="n">
        <v>0.65</v>
      </c>
      <c r="I21" s="10" t="n">
        <v>0.682</v>
      </c>
      <c r="J21" s="10" t="n">
        <v>0.618</v>
      </c>
      <c r="K21" s="10" t="n">
        <v>0.65</v>
      </c>
      <c r="L21" s="10" t="n">
        <v>0.68</v>
      </c>
      <c r="M21" s="10" t="n">
        <v>0.72</v>
      </c>
      <c r="N21" s="10" t="n">
        <v>0.68</v>
      </c>
      <c r="O21" s="10" t="n">
        <v>0.678</v>
      </c>
      <c r="P21" s="10" t="n">
        <v>0.05</v>
      </c>
      <c r="Q21" s="10" t="n">
        <v>0.05</v>
      </c>
      <c r="R21" s="10" t="n">
        <v>0.08</v>
      </c>
      <c r="S21" s="10" t="n">
        <v>0.022</v>
      </c>
      <c r="T21" s="10" t="n">
        <v>0.046</v>
      </c>
      <c r="U21" s="10" t="n">
        <v>0.057</v>
      </c>
      <c r="V21" s="10" t="n">
        <v>0.104</v>
      </c>
      <c r="W21" s="10" t="n">
        <v>0.042</v>
      </c>
      <c r="X21" s="10" t="n">
        <v>29.21</v>
      </c>
      <c r="Y21" s="10" t="n">
        <v>19</v>
      </c>
      <c r="Z21" s="10" t="n">
        <v>45.3</v>
      </c>
      <c r="AA21" s="10" t="n">
        <v>60757</v>
      </c>
      <c r="AB21" s="10" t="n">
        <v>39520</v>
      </c>
      <c r="AC21" s="10" t="n">
        <v>94224</v>
      </c>
      <c r="AD21" s="10" t="n">
        <v>27.7</v>
      </c>
      <c r="AE21" s="10" t="n">
        <v>18</v>
      </c>
      <c r="AF21" s="10" t="n">
        <v>43</v>
      </c>
      <c r="AG21" s="10" t="n">
        <v>57616</v>
      </c>
      <c r="AH21" s="10" t="n">
        <v>37488</v>
      </c>
      <c r="AI21" s="10" t="n">
        <v>89424</v>
      </c>
      <c r="AJ21" s="10" t="n">
        <v>25.3</v>
      </c>
      <c r="AK21" s="10" t="n">
        <v>16.4</v>
      </c>
      <c r="AL21" s="10" t="n">
        <v>39.2</v>
      </c>
      <c r="AM21" s="10" t="n">
        <v>52624</v>
      </c>
      <c r="AN21" s="10" t="n">
        <v>34240</v>
      </c>
      <c r="AO21" s="10" t="n">
        <v>81728</v>
      </c>
      <c r="AP21" s="10" t="n">
        <v>29.8</v>
      </c>
      <c r="AQ21" s="10" t="n">
        <v>19.4</v>
      </c>
      <c r="AR21" s="10" t="n">
        <v>46.2</v>
      </c>
      <c r="AS21" s="10" t="n">
        <v>61984</v>
      </c>
      <c r="AT21" s="10" t="n">
        <v>40320</v>
      </c>
      <c r="AU21" s="10" t="n">
        <v>96288</v>
      </c>
      <c r="AV21" s="10" t="n">
        <v>2700000</v>
      </c>
      <c r="AW21" s="10" t="n">
        <v>91800</v>
      </c>
      <c r="AX21" s="10" t="n">
        <v>48600</v>
      </c>
      <c r="AY21" s="10" t="n">
        <v>2554200</v>
      </c>
      <c r="AZ21" s="10" t="n">
        <v>1350000</v>
      </c>
      <c r="BA21" s="10" t="n">
        <v>45900</v>
      </c>
      <c r="BB21" s="10" t="n">
        <v>24300</v>
      </c>
      <c r="BC21" s="10" t="n">
        <v>1280700</v>
      </c>
      <c r="BD21" s="10" t="n">
        <v>270000</v>
      </c>
      <c r="BE21" s="10" t="n">
        <v>54000</v>
      </c>
      <c r="BF21" s="10" t="n">
        <v>0</v>
      </c>
      <c r="BG21" s="10" t="n">
        <v>216000</v>
      </c>
      <c r="BH21" s="10" t="n">
        <v>135000</v>
      </c>
      <c r="BI21" s="10" t="n">
        <v>27000</v>
      </c>
      <c r="BJ21" s="10" t="n">
        <v>27000</v>
      </c>
      <c r="BK21" s="10" t="n">
        <v>81000</v>
      </c>
      <c r="BL21" s="10" t="n">
        <v>67500</v>
      </c>
      <c r="BM21" s="10" t="n">
        <v>13500</v>
      </c>
      <c r="BN21" s="10" t="n">
        <v>33750</v>
      </c>
      <c r="BO21" s="10" t="n">
        <v>101250</v>
      </c>
      <c r="BP21" s="10" t="n">
        <v>43875</v>
      </c>
      <c r="BQ21" s="10" t="n">
        <v>4143</v>
      </c>
      <c r="BR21" s="10" t="n">
        <v>3755</v>
      </c>
      <c r="BS21" s="10" t="n">
        <v>35977</v>
      </c>
      <c r="BT21" s="10" t="n">
        <v>39</v>
      </c>
      <c r="BU21" s="10" t="n">
        <v>38</v>
      </c>
      <c r="BV21" s="10" t="n">
        <v>40</v>
      </c>
      <c r="BW21" s="10" t="n">
        <v>39.1</v>
      </c>
      <c r="BX21" s="10" t="n">
        <v>25</v>
      </c>
      <c r="BY21" s="10" t="n">
        <v>55</v>
      </c>
      <c r="BZ21" s="10" t="n">
        <v>0.8</v>
      </c>
      <c r="CA21" s="10" t="n">
        <v>0.76</v>
      </c>
      <c r="CB21" s="10" t="n">
        <v>0.7</v>
      </c>
      <c r="CC21" s="10" t="n">
        <v>0.81</v>
      </c>
      <c r="CD21" s="10" t="n">
        <v>0.2</v>
      </c>
      <c r="CE21" s="10" t="n">
        <v>0.24</v>
      </c>
      <c r="CF21" s="10" t="n">
        <v>0.3</v>
      </c>
      <c r="CG21" s="10" t="n">
        <v>0.19</v>
      </c>
      <c r="CH21" s="10" t="n">
        <v>5.5</v>
      </c>
      <c r="CI21" s="10" t="n">
        <v>4.9</v>
      </c>
      <c r="CJ21" s="10" t="n">
        <v>3.9</v>
      </c>
      <c r="CK21" s="10" t="n">
        <v>5.9</v>
      </c>
      <c r="CL21" s="10" t="n">
        <v>1.2</v>
      </c>
      <c r="CM21" s="10" t="n">
        <v>14</v>
      </c>
      <c r="CN21" s="10" t="n">
        <v>0.17</v>
      </c>
      <c r="CO21" s="10" t="n">
        <v>0.15</v>
      </c>
      <c r="CP21" s="10" t="n">
        <v>0.23</v>
      </c>
      <c r="CQ21" s="10" t="n">
        <v>0.16</v>
      </c>
      <c r="CR21" s="10" t="n">
        <v>58</v>
      </c>
      <c r="CS21" s="10" t="n">
        <v>57</v>
      </c>
      <c r="CT21" s="10" t="n">
        <v>55</v>
      </c>
      <c r="CU21" s="10" t="n">
        <v>59</v>
      </c>
      <c r="CV21" s="10" t="n">
        <v>2.3</v>
      </c>
      <c r="CW21" s="10" t="n">
        <v>2.5</v>
      </c>
      <c r="CX21" s="10" t="n">
        <v>1.8</v>
      </c>
      <c r="CY21" s="10" t="n">
        <v>2.4</v>
      </c>
      <c r="CZ21" s="10" t="n">
        <v>405000</v>
      </c>
      <c r="DA21" s="10" t="n">
        <v>16200</v>
      </c>
      <c r="DB21" s="10" t="n">
        <v>8100</v>
      </c>
      <c r="DC21" s="10" t="n">
        <v>380700</v>
      </c>
      <c r="DD21" s="10" t="n">
        <v>891000</v>
      </c>
      <c r="DE21" s="10" t="n">
        <v>35640</v>
      </c>
      <c r="DF21" s="10" t="n">
        <v>0</v>
      </c>
      <c r="DG21" s="10" t="n">
        <v>855360</v>
      </c>
      <c r="DH21" s="10" t="n">
        <v>0.085</v>
      </c>
      <c r="DI21" s="10" t="n">
        <v>0.11</v>
      </c>
      <c r="DJ21" s="10" t="n">
        <v>0.055</v>
      </c>
      <c r="DK21" s="10" t="n">
        <v>0.085</v>
      </c>
    </row>
    <row r="22" customFormat="false" ht="12.8" hidden="false" customHeight="false" outlineLevel="0" collapsed="false">
      <c r="A22" s="9" t="n">
        <v>18</v>
      </c>
      <c r="B22" s="10" t="s">
        <v>8411</v>
      </c>
      <c r="C22" s="10" t="s">
        <v>8403</v>
      </c>
      <c r="D22" s="10" t="n">
        <v>22500</v>
      </c>
      <c r="E22" s="10" t="n">
        <v>2025</v>
      </c>
      <c r="F22" s="10" t="n">
        <v>2025</v>
      </c>
      <c r="G22" s="10" t="n">
        <v>18450</v>
      </c>
      <c r="H22" s="10" t="n">
        <v>0.65</v>
      </c>
      <c r="I22" s="10" t="n">
        <v>0.682</v>
      </c>
      <c r="J22" s="10" t="n">
        <v>0.618</v>
      </c>
      <c r="K22" s="10" t="n">
        <v>0.65</v>
      </c>
      <c r="L22" s="10" t="n">
        <v>0.68</v>
      </c>
      <c r="M22" s="10" t="n">
        <v>0.72</v>
      </c>
      <c r="N22" s="10" t="n">
        <v>0.68</v>
      </c>
      <c r="O22" s="10" t="n">
        <v>0.678</v>
      </c>
      <c r="P22" s="10" t="n">
        <v>0.05</v>
      </c>
      <c r="Q22" s="10" t="n">
        <v>0.05</v>
      </c>
      <c r="R22" s="10" t="n">
        <v>0.08</v>
      </c>
      <c r="S22" s="10" t="n">
        <v>0.022</v>
      </c>
      <c r="T22" s="10" t="n">
        <v>0.046</v>
      </c>
      <c r="U22" s="10" t="n">
        <v>0.057</v>
      </c>
      <c r="V22" s="10" t="n">
        <v>0.104</v>
      </c>
      <c r="W22" s="10" t="n">
        <v>0.042</v>
      </c>
      <c r="X22" s="10" t="n">
        <v>24.83</v>
      </c>
      <c r="Y22" s="10" t="n">
        <v>16.1</v>
      </c>
      <c r="Z22" s="10" t="n">
        <v>38.5</v>
      </c>
      <c r="AA22" s="10" t="n">
        <v>51646</v>
      </c>
      <c r="AB22" s="10" t="n">
        <v>33608</v>
      </c>
      <c r="AC22" s="10" t="n">
        <v>80112</v>
      </c>
      <c r="AD22" s="10" t="n">
        <v>23.6</v>
      </c>
      <c r="AE22" s="10" t="n">
        <v>15.3</v>
      </c>
      <c r="AF22" s="10" t="n">
        <v>36.6</v>
      </c>
      <c r="AG22" s="10" t="n">
        <v>49088</v>
      </c>
      <c r="AH22" s="10" t="n">
        <v>31952</v>
      </c>
      <c r="AI22" s="10" t="n">
        <v>76336</v>
      </c>
      <c r="AJ22" s="10" t="n">
        <v>21.5</v>
      </c>
      <c r="AK22" s="10" t="n">
        <v>14</v>
      </c>
      <c r="AL22" s="10" t="n">
        <v>33.4</v>
      </c>
      <c r="AM22" s="10" t="n">
        <v>44720</v>
      </c>
      <c r="AN22" s="10" t="n">
        <v>29120</v>
      </c>
      <c r="AO22" s="10" t="n">
        <v>69440</v>
      </c>
      <c r="AP22" s="10" t="n">
        <v>25.3</v>
      </c>
      <c r="AQ22" s="10" t="n">
        <v>16.5</v>
      </c>
      <c r="AR22" s="10" t="n">
        <v>39.3</v>
      </c>
      <c r="AS22" s="10" t="n">
        <v>52624</v>
      </c>
      <c r="AT22" s="10" t="n">
        <v>34240</v>
      </c>
      <c r="AU22" s="10" t="n">
        <v>81792</v>
      </c>
      <c r="AV22" s="10" t="n">
        <v>1350000</v>
      </c>
      <c r="AW22" s="10" t="n">
        <v>45900</v>
      </c>
      <c r="AX22" s="10" t="n">
        <v>24300</v>
      </c>
      <c r="AY22" s="10" t="n">
        <v>1277100</v>
      </c>
      <c r="AZ22" s="10" t="n">
        <v>675000</v>
      </c>
      <c r="BA22" s="10" t="n">
        <v>22950</v>
      </c>
      <c r="BB22" s="10" t="n">
        <v>12150</v>
      </c>
      <c r="BC22" s="10" t="n">
        <v>640350</v>
      </c>
      <c r="BD22" s="10" t="n">
        <v>135000</v>
      </c>
      <c r="BE22" s="10" t="n">
        <v>27000</v>
      </c>
      <c r="BF22" s="10" t="n">
        <v>0</v>
      </c>
      <c r="BG22" s="10" t="n">
        <v>108000</v>
      </c>
      <c r="BH22" s="10" t="n">
        <v>67500</v>
      </c>
      <c r="BI22" s="10" t="n">
        <v>13500</v>
      </c>
      <c r="BJ22" s="10" t="n">
        <v>13500</v>
      </c>
      <c r="BK22" s="10" t="n">
        <v>40500</v>
      </c>
      <c r="BL22" s="10" t="n">
        <v>33750</v>
      </c>
      <c r="BM22" s="10" t="n">
        <v>6750</v>
      </c>
      <c r="BN22" s="10" t="n">
        <v>16875</v>
      </c>
      <c r="BO22" s="10" t="n">
        <v>50625</v>
      </c>
      <c r="BP22" s="10" t="n">
        <v>14625</v>
      </c>
      <c r="BQ22" s="10" t="n">
        <v>1381</v>
      </c>
      <c r="BR22" s="10" t="n">
        <v>1252</v>
      </c>
      <c r="BS22" s="10" t="n">
        <v>11992</v>
      </c>
      <c r="BT22" s="10" t="n">
        <v>39</v>
      </c>
      <c r="BU22" s="10" t="n">
        <v>38</v>
      </c>
      <c r="BV22" s="10" t="n">
        <v>40</v>
      </c>
      <c r="BW22" s="10" t="n">
        <v>39.1</v>
      </c>
      <c r="BX22" s="10" t="n">
        <v>25</v>
      </c>
      <c r="BY22" s="10" t="n">
        <v>55</v>
      </c>
      <c r="BZ22" s="10" t="n">
        <v>0.8</v>
      </c>
      <c r="CA22" s="10" t="n">
        <v>0.76</v>
      </c>
      <c r="CB22" s="10" t="n">
        <v>0.7</v>
      </c>
      <c r="CC22" s="10" t="n">
        <v>0.81</v>
      </c>
      <c r="CD22" s="10" t="n">
        <v>0.2</v>
      </c>
      <c r="CE22" s="10" t="n">
        <v>0.24</v>
      </c>
      <c r="CF22" s="10" t="n">
        <v>0.3</v>
      </c>
      <c r="CG22" s="10" t="n">
        <v>0.19</v>
      </c>
      <c r="CH22" s="10" t="n">
        <v>5.5</v>
      </c>
      <c r="CI22" s="10" t="n">
        <v>4.9</v>
      </c>
      <c r="CJ22" s="10" t="n">
        <v>3.9</v>
      </c>
      <c r="CK22" s="10" t="n">
        <v>5.9</v>
      </c>
      <c r="CL22" s="10" t="n">
        <v>1.2</v>
      </c>
      <c r="CM22" s="10" t="n">
        <v>14</v>
      </c>
      <c r="CN22" s="10" t="n">
        <v>0.17</v>
      </c>
      <c r="CO22" s="10" t="n">
        <v>0.15</v>
      </c>
      <c r="CP22" s="10" t="n">
        <v>0.23</v>
      </c>
      <c r="CQ22" s="10" t="n">
        <v>0.16</v>
      </c>
      <c r="CR22" s="10" t="n">
        <v>58</v>
      </c>
      <c r="CS22" s="10" t="n">
        <v>57</v>
      </c>
      <c r="CT22" s="10" t="n">
        <v>55</v>
      </c>
      <c r="CU22" s="10" t="n">
        <v>59</v>
      </c>
      <c r="CV22" s="10" t="n">
        <v>2.3</v>
      </c>
      <c r="CW22" s="10" t="n">
        <v>2.5</v>
      </c>
      <c r="CX22" s="10" t="n">
        <v>1.8</v>
      </c>
      <c r="CY22" s="10" t="n">
        <v>2.4</v>
      </c>
      <c r="CZ22" s="10" t="n">
        <v>135000</v>
      </c>
      <c r="DA22" s="10" t="n">
        <v>5400</v>
      </c>
      <c r="DB22" s="10" t="n">
        <v>2700</v>
      </c>
      <c r="DC22" s="10" t="n">
        <v>126900</v>
      </c>
      <c r="DD22" s="10" t="n">
        <v>297000</v>
      </c>
      <c r="DE22" s="10" t="n">
        <v>11880</v>
      </c>
      <c r="DF22" s="10" t="n">
        <v>0</v>
      </c>
      <c r="DG22" s="10" t="n">
        <v>285120</v>
      </c>
      <c r="DH22" s="10" t="n">
        <v>0.085</v>
      </c>
      <c r="DI22" s="10" t="n">
        <v>0.11</v>
      </c>
      <c r="DJ22" s="10" t="n">
        <v>0.055</v>
      </c>
      <c r="DK22" s="10" t="n">
        <v>0.085</v>
      </c>
    </row>
    <row r="23" customFormat="false" ht="12.8" hidden="false" customHeight="false" outlineLevel="0" collapsed="false">
      <c r="A23" s="9" t="n">
        <v>19</v>
      </c>
      <c r="B23" s="10" t="s">
        <v>8412</v>
      </c>
      <c r="C23" s="10" t="s">
        <v>8402</v>
      </c>
      <c r="D23" s="10" t="n">
        <v>480000</v>
      </c>
      <c r="E23" s="10" t="n">
        <v>28800</v>
      </c>
      <c r="F23" s="10" t="n">
        <v>28800</v>
      </c>
      <c r="G23" s="10" t="n">
        <v>422400</v>
      </c>
      <c r="H23" s="10" t="n">
        <v>0.68</v>
      </c>
      <c r="I23" s="10" t="n">
        <v>0.714</v>
      </c>
      <c r="J23" s="10" t="n">
        <v>0.646</v>
      </c>
      <c r="K23" s="10" t="n">
        <v>0.68</v>
      </c>
      <c r="L23" s="10" t="n">
        <v>0.71</v>
      </c>
      <c r="M23" s="10" t="n">
        <v>0.75</v>
      </c>
      <c r="N23" s="10" t="n">
        <v>0.71</v>
      </c>
      <c r="O23" s="10" t="n">
        <v>0.708</v>
      </c>
      <c r="P23" s="10" t="n">
        <v>0.04</v>
      </c>
      <c r="Q23" s="10" t="n">
        <v>0.04</v>
      </c>
      <c r="R23" s="10" t="n">
        <v>0.07</v>
      </c>
      <c r="S23" s="10" t="n">
        <v>0.018</v>
      </c>
      <c r="T23" s="10" t="n">
        <v>0.035</v>
      </c>
      <c r="U23" s="10" t="n">
        <v>0.042</v>
      </c>
      <c r="V23" s="10" t="n">
        <v>0.088</v>
      </c>
      <c r="W23" s="10" t="n">
        <v>0.034</v>
      </c>
      <c r="X23" s="10" t="n">
        <v>41.16</v>
      </c>
      <c r="Y23" s="10" t="n">
        <v>26.8</v>
      </c>
      <c r="Z23" s="10" t="n">
        <v>63.8</v>
      </c>
      <c r="AA23" s="10" t="n">
        <v>85613</v>
      </c>
      <c r="AB23" s="10" t="n">
        <v>55680</v>
      </c>
      <c r="AC23" s="10" t="n">
        <v>132704</v>
      </c>
      <c r="AD23" s="10" t="n">
        <v>39.1</v>
      </c>
      <c r="AE23" s="10" t="n">
        <v>25.4</v>
      </c>
      <c r="AF23" s="10" t="n">
        <v>60.6</v>
      </c>
      <c r="AG23" s="10" t="n">
        <v>81328</v>
      </c>
      <c r="AH23" s="10" t="n">
        <v>52912</v>
      </c>
      <c r="AI23" s="10" t="n">
        <v>126208</v>
      </c>
      <c r="AJ23" s="10" t="n">
        <v>35.8</v>
      </c>
      <c r="AK23" s="10" t="n">
        <v>23.3</v>
      </c>
      <c r="AL23" s="10" t="n">
        <v>55.6</v>
      </c>
      <c r="AM23" s="10" t="n">
        <v>74464</v>
      </c>
      <c r="AN23" s="10" t="n">
        <v>48448</v>
      </c>
      <c r="AO23" s="10" t="n">
        <v>115552</v>
      </c>
      <c r="AP23" s="10" t="n">
        <v>42</v>
      </c>
      <c r="AQ23" s="10" t="n">
        <v>27.3</v>
      </c>
      <c r="AR23" s="10" t="n">
        <v>65.1</v>
      </c>
      <c r="AS23" s="10" t="n">
        <v>87360</v>
      </c>
      <c r="AT23" s="10" t="n">
        <v>56832</v>
      </c>
      <c r="AU23" s="10" t="n">
        <v>135456</v>
      </c>
      <c r="AV23" s="10" t="n">
        <v>104000000</v>
      </c>
      <c r="AW23" s="10" t="n">
        <v>3536000</v>
      </c>
      <c r="AX23" s="10" t="n">
        <v>1872000</v>
      </c>
      <c r="AY23" s="10" t="n">
        <v>98566400</v>
      </c>
      <c r="AZ23" s="10" t="n">
        <v>52000000</v>
      </c>
      <c r="BA23" s="10" t="n">
        <v>1768000</v>
      </c>
      <c r="BB23" s="10" t="n">
        <v>936000</v>
      </c>
      <c r="BC23" s="10" t="n">
        <v>49283200</v>
      </c>
      <c r="BD23" s="10" t="n">
        <v>5200000</v>
      </c>
      <c r="BE23" s="10" t="n">
        <v>1040000</v>
      </c>
      <c r="BF23" s="10" t="n">
        <v>0</v>
      </c>
      <c r="BG23" s="10" t="n">
        <v>4160000</v>
      </c>
      <c r="BH23" s="10" t="n">
        <v>2600000</v>
      </c>
      <c r="BI23" s="10" t="n">
        <v>520000</v>
      </c>
      <c r="BJ23" s="10" t="n">
        <v>520000</v>
      </c>
      <c r="BK23" s="10" t="n">
        <v>1560000</v>
      </c>
      <c r="BL23" s="10" t="n">
        <v>1300000</v>
      </c>
      <c r="BM23" s="10" t="n">
        <v>260000</v>
      </c>
      <c r="BN23" s="10" t="n">
        <v>650000</v>
      </c>
      <c r="BO23" s="10" t="n">
        <v>1950000</v>
      </c>
      <c r="BP23" s="10" t="n">
        <v>326400</v>
      </c>
      <c r="BQ23" s="10" t="n">
        <v>20563</v>
      </c>
      <c r="BR23" s="10" t="n">
        <v>18605</v>
      </c>
      <c r="BS23" s="10" t="n">
        <v>287232</v>
      </c>
      <c r="BT23" s="10" t="n">
        <v>40</v>
      </c>
      <c r="BU23" s="10" t="n">
        <v>39</v>
      </c>
      <c r="BV23" s="10" t="n">
        <v>41</v>
      </c>
      <c r="BW23" s="10" t="n">
        <v>40.1</v>
      </c>
      <c r="BX23" s="10" t="n">
        <v>25</v>
      </c>
      <c r="BY23" s="10" t="n">
        <v>55</v>
      </c>
      <c r="BZ23" s="10" t="n">
        <v>0.82</v>
      </c>
      <c r="CA23" s="10" t="n">
        <v>0.78</v>
      </c>
      <c r="CB23" s="10" t="n">
        <v>0.72</v>
      </c>
      <c r="CC23" s="10" t="n">
        <v>0.83</v>
      </c>
      <c r="CD23" s="10" t="n">
        <v>0.18</v>
      </c>
      <c r="CE23" s="10" t="n">
        <v>0.22</v>
      </c>
      <c r="CF23" s="10" t="n">
        <v>0.28</v>
      </c>
      <c r="CG23" s="10" t="n">
        <v>0.17</v>
      </c>
      <c r="CH23" s="10" t="n">
        <v>6.5</v>
      </c>
      <c r="CI23" s="10" t="n">
        <v>5.8</v>
      </c>
      <c r="CJ23" s="10" t="n">
        <v>4.5</v>
      </c>
      <c r="CK23" s="10" t="n">
        <v>7</v>
      </c>
      <c r="CL23" s="10" t="n">
        <v>1.5</v>
      </c>
      <c r="CM23" s="10" t="n">
        <v>15</v>
      </c>
      <c r="CN23" s="10" t="n">
        <v>0.16</v>
      </c>
      <c r="CO23" s="10" t="n">
        <v>0.14</v>
      </c>
      <c r="CP23" s="10" t="n">
        <v>0.22</v>
      </c>
      <c r="CQ23" s="10" t="n">
        <v>0.15</v>
      </c>
      <c r="CR23" s="10" t="n">
        <v>65</v>
      </c>
      <c r="CS23" s="10" t="n">
        <v>64</v>
      </c>
      <c r="CT23" s="10" t="n">
        <v>62</v>
      </c>
      <c r="CU23" s="10" t="n">
        <v>66</v>
      </c>
      <c r="CV23" s="10" t="n">
        <v>3</v>
      </c>
      <c r="CW23" s="10" t="n">
        <v>3.2</v>
      </c>
      <c r="CX23" s="10" t="n">
        <v>2.5</v>
      </c>
      <c r="CY23" s="10" t="n">
        <v>3.1</v>
      </c>
      <c r="CZ23" s="10" t="n">
        <v>15600000</v>
      </c>
      <c r="DA23" s="10" t="n">
        <v>624000</v>
      </c>
      <c r="DB23" s="10" t="n">
        <v>312000</v>
      </c>
      <c r="DC23" s="10" t="n">
        <v>14664000</v>
      </c>
      <c r="DD23" s="10" t="n">
        <v>34320000</v>
      </c>
      <c r="DE23" s="10" t="n">
        <v>1372800</v>
      </c>
      <c r="DF23" s="10" t="n">
        <v>0</v>
      </c>
      <c r="DG23" s="10" t="n">
        <v>32947200</v>
      </c>
      <c r="DH23" s="10" t="n">
        <v>0.07</v>
      </c>
      <c r="DI23" s="10" t="n">
        <v>0.09</v>
      </c>
      <c r="DJ23" s="10" t="n">
        <v>0.04</v>
      </c>
      <c r="DK23" s="10" t="n">
        <v>0.07</v>
      </c>
    </row>
    <row r="24" customFormat="false" ht="12.8" hidden="false" customHeight="false" outlineLevel="0" collapsed="false">
      <c r="A24" s="9" t="n">
        <v>20</v>
      </c>
      <c r="B24" s="10" t="s">
        <v>8412</v>
      </c>
      <c r="C24" s="10" t="s">
        <v>8403</v>
      </c>
      <c r="D24" s="10" t="n">
        <v>240000</v>
      </c>
      <c r="E24" s="10" t="n">
        <v>14400</v>
      </c>
      <c r="F24" s="10" t="n">
        <v>14400</v>
      </c>
      <c r="G24" s="10" t="n">
        <v>211200</v>
      </c>
      <c r="H24" s="10" t="n">
        <v>0.68</v>
      </c>
      <c r="I24" s="10" t="n">
        <v>0.714</v>
      </c>
      <c r="J24" s="10" t="n">
        <v>0.646</v>
      </c>
      <c r="K24" s="10" t="n">
        <v>0.68</v>
      </c>
      <c r="L24" s="10" t="n">
        <v>0.71</v>
      </c>
      <c r="M24" s="10" t="n">
        <v>0.75</v>
      </c>
      <c r="N24" s="10" t="n">
        <v>0.71</v>
      </c>
      <c r="O24" s="10" t="n">
        <v>0.708</v>
      </c>
      <c r="P24" s="10" t="n">
        <v>0.04</v>
      </c>
      <c r="Q24" s="10" t="n">
        <v>0.04</v>
      </c>
      <c r="R24" s="10" t="n">
        <v>0.07</v>
      </c>
      <c r="S24" s="10" t="n">
        <v>0.018</v>
      </c>
      <c r="T24" s="10" t="n">
        <v>0.035</v>
      </c>
      <c r="U24" s="10" t="n">
        <v>0.042</v>
      </c>
      <c r="V24" s="10" t="n">
        <v>0.088</v>
      </c>
      <c r="W24" s="10" t="n">
        <v>0.034</v>
      </c>
      <c r="X24" s="10" t="n">
        <v>34.99</v>
      </c>
      <c r="Y24" s="10" t="n">
        <v>22.7</v>
      </c>
      <c r="Z24" s="10" t="n">
        <v>54.2</v>
      </c>
      <c r="AA24" s="10" t="n">
        <v>72779</v>
      </c>
      <c r="AB24" s="10" t="n">
        <v>47360</v>
      </c>
      <c r="AC24" s="10" t="n">
        <v>112768</v>
      </c>
      <c r="AD24" s="10" t="n">
        <v>33.2</v>
      </c>
      <c r="AE24" s="10" t="n">
        <v>21.6</v>
      </c>
      <c r="AF24" s="10" t="n">
        <v>51.5</v>
      </c>
      <c r="AG24" s="10" t="n">
        <v>69056</v>
      </c>
      <c r="AH24" s="10" t="n">
        <v>44912</v>
      </c>
      <c r="AI24" s="10" t="n">
        <v>107168</v>
      </c>
      <c r="AJ24" s="10" t="n">
        <v>30.4</v>
      </c>
      <c r="AK24" s="10" t="n">
        <v>19.8</v>
      </c>
      <c r="AL24" s="10" t="n">
        <v>47.2</v>
      </c>
      <c r="AM24" s="10" t="n">
        <v>63232</v>
      </c>
      <c r="AN24" s="10" t="n">
        <v>41120</v>
      </c>
      <c r="AO24" s="10" t="n">
        <v>98176</v>
      </c>
      <c r="AP24" s="10" t="n">
        <v>35.7</v>
      </c>
      <c r="AQ24" s="10" t="n">
        <v>23.2</v>
      </c>
      <c r="AR24" s="10" t="n">
        <v>55.3</v>
      </c>
      <c r="AS24" s="10" t="n">
        <v>74256</v>
      </c>
      <c r="AT24" s="10" t="n">
        <v>48288</v>
      </c>
      <c r="AU24" s="10" t="n">
        <v>115136</v>
      </c>
      <c r="AV24" s="10" t="n">
        <v>52000000</v>
      </c>
      <c r="AW24" s="10" t="n">
        <v>1768000</v>
      </c>
      <c r="AX24" s="10" t="n">
        <v>936000</v>
      </c>
      <c r="AY24" s="10" t="n">
        <v>49283200</v>
      </c>
      <c r="AZ24" s="10" t="n">
        <v>26000000</v>
      </c>
      <c r="BA24" s="10" t="n">
        <v>884000</v>
      </c>
      <c r="BB24" s="10" t="n">
        <v>468000</v>
      </c>
      <c r="BC24" s="10" t="n">
        <v>24641600</v>
      </c>
      <c r="BD24" s="10" t="n">
        <v>2600000</v>
      </c>
      <c r="BE24" s="10" t="n">
        <v>520000</v>
      </c>
      <c r="BF24" s="10" t="n">
        <v>0</v>
      </c>
      <c r="BG24" s="10" t="n">
        <v>2080000</v>
      </c>
      <c r="BH24" s="10" t="n">
        <v>1300000</v>
      </c>
      <c r="BI24" s="10" t="n">
        <v>260000</v>
      </c>
      <c r="BJ24" s="10" t="n">
        <v>260000</v>
      </c>
      <c r="BK24" s="10" t="n">
        <v>780000</v>
      </c>
      <c r="BL24" s="10" t="n">
        <v>650000</v>
      </c>
      <c r="BM24" s="10" t="n">
        <v>130000</v>
      </c>
      <c r="BN24" s="10" t="n">
        <v>325000</v>
      </c>
      <c r="BO24" s="10" t="n">
        <v>975000</v>
      </c>
      <c r="BP24" s="10" t="n">
        <v>163200</v>
      </c>
      <c r="BQ24" s="10" t="n">
        <v>10282</v>
      </c>
      <c r="BR24" s="10" t="n">
        <v>9303</v>
      </c>
      <c r="BS24" s="10" t="n">
        <v>143616</v>
      </c>
      <c r="BT24" s="10" t="n">
        <v>40</v>
      </c>
      <c r="BU24" s="10" t="n">
        <v>39</v>
      </c>
      <c r="BV24" s="10" t="n">
        <v>41</v>
      </c>
      <c r="BW24" s="10" t="n">
        <v>40.1</v>
      </c>
      <c r="BX24" s="10" t="n">
        <v>25</v>
      </c>
      <c r="BY24" s="10" t="n">
        <v>55</v>
      </c>
      <c r="BZ24" s="10" t="n">
        <v>0.82</v>
      </c>
      <c r="CA24" s="10" t="n">
        <v>0.78</v>
      </c>
      <c r="CB24" s="10" t="n">
        <v>0.72</v>
      </c>
      <c r="CC24" s="10" t="n">
        <v>0.83</v>
      </c>
      <c r="CD24" s="10" t="n">
        <v>0.18</v>
      </c>
      <c r="CE24" s="10" t="n">
        <v>0.22</v>
      </c>
      <c r="CF24" s="10" t="n">
        <v>0.28</v>
      </c>
      <c r="CG24" s="10" t="n">
        <v>0.17</v>
      </c>
      <c r="CH24" s="10" t="n">
        <v>6.5</v>
      </c>
      <c r="CI24" s="10" t="n">
        <v>5.8</v>
      </c>
      <c r="CJ24" s="10" t="n">
        <v>4.5</v>
      </c>
      <c r="CK24" s="10" t="n">
        <v>7</v>
      </c>
      <c r="CL24" s="10" t="n">
        <v>1.5</v>
      </c>
      <c r="CM24" s="10" t="n">
        <v>15</v>
      </c>
      <c r="CN24" s="10" t="n">
        <v>0.16</v>
      </c>
      <c r="CO24" s="10" t="n">
        <v>0.14</v>
      </c>
      <c r="CP24" s="10" t="n">
        <v>0.22</v>
      </c>
      <c r="CQ24" s="10" t="n">
        <v>0.15</v>
      </c>
      <c r="CR24" s="10" t="n">
        <v>65</v>
      </c>
      <c r="CS24" s="10" t="n">
        <v>64</v>
      </c>
      <c r="CT24" s="10" t="n">
        <v>62</v>
      </c>
      <c r="CU24" s="10" t="n">
        <v>66</v>
      </c>
      <c r="CV24" s="10" t="n">
        <v>3</v>
      </c>
      <c r="CW24" s="10" t="n">
        <v>3.2</v>
      </c>
      <c r="CX24" s="10" t="n">
        <v>2.5</v>
      </c>
      <c r="CY24" s="10" t="n">
        <v>3.1</v>
      </c>
      <c r="CZ24" s="10" t="n">
        <v>7800000</v>
      </c>
      <c r="DA24" s="10" t="n">
        <v>312000</v>
      </c>
      <c r="DB24" s="10" t="n">
        <v>156000</v>
      </c>
      <c r="DC24" s="10" t="n">
        <v>7332000</v>
      </c>
      <c r="DD24" s="10" t="n">
        <v>17160000</v>
      </c>
      <c r="DE24" s="10" t="n">
        <v>686400</v>
      </c>
      <c r="DF24" s="10" t="n">
        <v>0</v>
      </c>
      <c r="DG24" s="10" t="n">
        <v>16473600</v>
      </c>
      <c r="DH24" s="10" t="n">
        <v>0.07</v>
      </c>
      <c r="DI24" s="10" t="n">
        <v>0.09</v>
      </c>
      <c r="DJ24" s="10" t="n">
        <v>0.04</v>
      </c>
      <c r="DK24" s="10" t="n">
        <v>0.07</v>
      </c>
    </row>
    <row r="25" customFormat="false" ht="12.8" hidden="false" customHeight="false" outlineLevel="0" collapsed="false">
      <c r="A25" s="9" t="n">
        <v>21</v>
      </c>
      <c r="B25" s="10" t="s">
        <v>8413</v>
      </c>
      <c r="C25" s="10" t="s">
        <v>8402</v>
      </c>
      <c r="D25" s="10" t="n">
        <v>300000</v>
      </c>
      <c r="E25" s="10" t="n">
        <v>15000</v>
      </c>
      <c r="F25" s="10" t="n">
        <v>15000</v>
      </c>
      <c r="G25" s="10" t="n">
        <v>270000</v>
      </c>
      <c r="H25" s="10" t="n">
        <v>0.7</v>
      </c>
      <c r="I25" s="10" t="n">
        <v>0.735</v>
      </c>
      <c r="J25" s="10" t="n">
        <v>0.665</v>
      </c>
      <c r="K25" s="10" t="n">
        <v>0.7</v>
      </c>
      <c r="L25" s="10" t="n">
        <v>0.73</v>
      </c>
      <c r="M25" s="10" t="n">
        <v>0.77</v>
      </c>
      <c r="N25" s="10" t="n">
        <v>0.73</v>
      </c>
      <c r="O25" s="10" t="n">
        <v>0.728</v>
      </c>
      <c r="P25" s="10" t="n">
        <v>0.04</v>
      </c>
      <c r="Q25" s="10" t="n">
        <v>0.04</v>
      </c>
      <c r="R25" s="10" t="n">
        <v>0.07</v>
      </c>
      <c r="S25" s="10" t="n">
        <v>0.018</v>
      </c>
      <c r="T25" s="10" t="n">
        <v>0.026</v>
      </c>
      <c r="U25" s="10" t="n">
        <v>0.031</v>
      </c>
      <c r="V25" s="10" t="n">
        <v>0.065</v>
      </c>
      <c r="W25" s="10" t="n">
        <v>0.024</v>
      </c>
      <c r="X25" s="10" t="n">
        <v>53.09</v>
      </c>
      <c r="Y25" s="10" t="n">
        <v>34.5</v>
      </c>
      <c r="Z25" s="10" t="n">
        <v>82.3</v>
      </c>
      <c r="AA25" s="10" t="n">
        <v>110427</v>
      </c>
      <c r="AB25" s="10" t="n">
        <v>71840</v>
      </c>
      <c r="AC25" s="10" t="n">
        <v>171184</v>
      </c>
      <c r="AD25" s="10" t="n">
        <v>50.4</v>
      </c>
      <c r="AE25" s="10" t="n">
        <v>32.8</v>
      </c>
      <c r="AF25" s="10" t="n">
        <v>78.2</v>
      </c>
      <c r="AG25" s="10" t="n">
        <v>104832</v>
      </c>
      <c r="AH25" s="10" t="n">
        <v>68160</v>
      </c>
      <c r="AI25" s="10" t="n">
        <v>162432</v>
      </c>
      <c r="AJ25" s="10" t="n">
        <v>46.2</v>
      </c>
      <c r="AK25" s="10" t="n">
        <v>30</v>
      </c>
      <c r="AL25" s="10" t="n">
        <v>71.6</v>
      </c>
      <c r="AM25" s="10" t="n">
        <v>96096</v>
      </c>
      <c r="AN25" s="10" t="n">
        <v>62496</v>
      </c>
      <c r="AO25" s="10" t="n">
        <v>148992</v>
      </c>
      <c r="AP25" s="10" t="n">
        <v>54.2</v>
      </c>
      <c r="AQ25" s="10" t="n">
        <v>35.2</v>
      </c>
      <c r="AR25" s="10" t="n">
        <v>84</v>
      </c>
      <c r="AS25" s="10" t="n">
        <v>112736</v>
      </c>
      <c r="AT25" s="10" t="n">
        <v>73312</v>
      </c>
      <c r="AU25" s="10" t="n">
        <v>174848</v>
      </c>
      <c r="AV25" s="10" t="n">
        <v>66000000</v>
      </c>
      <c r="AW25" s="10" t="n">
        <v>2244000</v>
      </c>
      <c r="AX25" s="10" t="n">
        <v>1188000</v>
      </c>
      <c r="AY25" s="10" t="n">
        <v>62598000</v>
      </c>
      <c r="AZ25" s="10" t="n">
        <v>33000000</v>
      </c>
      <c r="BA25" s="10" t="n">
        <v>1122000</v>
      </c>
      <c r="BB25" s="10" t="n">
        <v>594000</v>
      </c>
      <c r="BC25" s="10" t="n">
        <v>31299000</v>
      </c>
      <c r="BD25" s="10" t="n">
        <v>3300000</v>
      </c>
      <c r="BE25" s="10" t="n">
        <v>660000</v>
      </c>
      <c r="BF25" s="10" t="n">
        <v>0</v>
      </c>
      <c r="BG25" s="10" t="n">
        <v>2640000</v>
      </c>
      <c r="BH25" s="10" t="n">
        <v>1650000</v>
      </c>
      <c r="BI25" s="10" t="n">
        <v>330000</v>
      </c>
      <c r="BJ25" s="10" t="n">
        <v>330000</v>
      </c>
      <c r="BK25" s="10" t="n">
        <v>990000</v>
      </c>
      <c r="BL25" s="10" t="n">
        <v>825000</v>
      </c>
      <c r="BM25" s="10" t="n">
        <v>165000</v>
      </c>
      <c r="BN25" s="10" t="n">
        <v>412500</v>
      </c>
      <c r="BO25" s="10" t="n">
        <v>1237500</v>
      </c>
      <c r="BP25" s="10" t="n">
        <v>210000</v>
      </c>
      <c r="BQ25" s="10" t="n">
        <v>11025</v>
      </c>
      <c r="BR25" s="10" t="n">
        <v>9975</v>
      </c>
      <c r="BS25" s="10" t="n">
        <v>189000</v>
      </c>
      <c r="BT25" s="10" t="n">
        <v>42</v>
      </c>
      <c r="BU25" s="10" t="n">
        <v>41</v>
      </c>
      <c r="BV25" s="10" t="n">
        <v>43</v>
      </c>
      <c r="BW25" s="10" t="n">
        <v>42.1</v>
      </c>
      <c r="BX25" s="10" t="n">
        <v>28</v>
      </c>
      <c r="BY25" s="10" t="n">
        <v>58</v>
      </c>
      <c r="BZ25" s="10" t="n">
        <v>0.85</v>
      </c>
      <c r="CA25" s="10" t="n">
        <v>0.81</v>
      </c>
      <c r="CB25" s="10" t="n">
        <v>0.75</v>
      </c>
      <c r="CC25" s="10" t="n">
        <v>0.86</v>
      </c>
      <c r="CD25" s="10" t="n">
        <v>0.15</v>
      </c>
      <c r="CE25" s="10" t="n">
        <v>0.19</v>
      </c>
      <c r="CF25" s="10" t="n">
        <v>0.25</v>
      </c>
      <c r="CG25" s="10" t="n">
        <v>0.14</v>
      </c>
      <c r="CH25" s="10" t="n">
        <v>7</v>
      </c>
      <c r="CI25" s="10" t="n">
        <v>6.2</v>
      </c>
      <c r="CJ25" s="10" t="n">
        <v>5</v>
      </c>
      <c r="CK25" s="10" t="n">
        <v>7.5</v>
      </c>
      <c r="CL25" s="10" t="n">
        <v>1.8</v>
      </c>
      <c r="CM25" s="10" t="n">
        <v>16</v>
      </c>
      <c r="CN25" s="10" t="n">
        <v>0.14</v>
      </c>
      <c r="CO25" s="10" t="n">
        <v>0.12</v>
      </c>
      <c r="CP25" s="10" t="n">
        <v>0.2</v>
      </c>
      <c r="CQ25" s="10" t="n">
        <v>0.13</v>
      </c>
      <c r="CR25" s="10" t="n">
        <v>70</v>
      </c>
      <c r="CS25" s="10" t="n">
        <v>69</v>
      </c>
      <c r="CT25" s="10" t="n">
        <v>67</v>
      </c>
      <c r="CU25" s="10" t="n">
        <v>71</v>
      </c>
      <c r="CV25" s="10" t="n">
        <v>3.5</v>
      </c>
      <c r="CW25" s="10" t="n">
        <v>3.7</v>
      </c>
      <c r="CX25" s="10" t="n">
        <v>3</v>
      </c>
      <c r="CY25" s="10" t="n">
        <v>3.6</v>
      </c>
      <c r="CZ25" s="10" t="n">
        <v>9900000</v>
      </c>
      <c r="DA25" s="10" t="n">
        <v>396000</v>
      </c>
      <c r="DB25" s="10" t="n">
        <v>198000</v>
      </c>
      <c r="DC25" s="10" t="n">
        <v>9306000</v>
      </c>
      <c r="DD25" s="10" t="n">
        <v>21780000</v>
      </c>
      <c r="DE25" s="10" t="n">
        <v>871200</v>
      </c>
      <c r="DF25" s="10" t="n">
        <v>0</v>
      </c>
      <c r="DG25" s="10" t="n">
        <v>20908800</v>
      </c>
      <c r="DH25" s="10" t="n">
        <v>0.06</v>
      </c>
      <c r="DI25" s="10" t="n">
        <v>0.08</v>
      </c>
      <c r="DJ25" s="10" t="n">
        <v>0.03</v>
      </c>
      <c r="DK25" s="10" t="n">
        <v>0.06</v>
      </c>
    </row>
    <row r="26" customFormat="false" ht="12.8" hidden="false" customHeight="false" outlineLevel="0" collapsed="false">
      <c r="A26" s="9" t="n">
        <v>22</v>
      </c>
      <c r="B26" s="10" t="s">
        <v>8413</v>
      </c>
      <c r="C26" s="10" t="s">
        <v>8403</v>
      </c>
      <c r="D26" s="10" t="n">
        <v>150000</v>
      </c>
      <c r="E26" s="10" t="n">
        <v>7500</v>
      </c>
      <c r="F26" s="10" t="n">
        <v>7500</v>
      </c>
      <c r="G26" s="10" t="n">
        <v>135000</v>
      </c>
      <c r="H26" s="10" t="n">
        <v>0.7</v>
      </c>
      <c r="I26" s="10" t="n">
        <v>0.735</v>
      </c>
      <c r="J26" s="10" t="n">
        <v>0.665</v>
      </c>
      <c r="K26" s="10" t="n">
        <v>0.7</v>
      </c>
      <c r="L26" s="10" t="n">
        <v>0.73</v>
      </c>
      <c r="M26" s="10" t="n">
        <v>0.77</v>
      </c>
      <c r="N26" s="10" t="n">
        <v>0.73</v>
      </c>
      <c r="O26" s="10" t="n">
        <v>0.728</v>
      </c>
      <c r="P26" s="10" t="n">
        <v>0.04</v>
      </c>
      <c r="Q26" s="10" t="n">
        <v>0.04</v>
      </c>
      <c r="R26" s="10" t="n">
        <v>0.07</v>
      </c>
      <c r="S26" s="10" t="n">
        <v>0.018</v>
      </c>
      <c r="T26" s="10" t="n">
        <v>0.026</v>
      </c>
      <c r="U26" s="10" t="n">
        <v>0.031</v>
      </c>
      <c r="V26" s="10" t="n">
        <v>0.065</v>
      </c>
      <c r="W26" s="10" t="n">
        <v>0.024</v>
      </c>
      <c r="X26" s="10" t="n">
        <v>45.13</v>
      </c>
      <c r="Y26" s="10" t="n">
        <v>29.3</v>
      </c>
      <c r="Z26" s="10" t="n">
        <v>69.9</v>
      </c>
      <c r="AA26" s="10" t="n">
        <v>93870</v>
      </c>
      <c r="AB26" s="10" t="n">
        <v>61040</v>
      </c>
      <c r="AC26" s="10" t="n">
        <v>145392</v>
      </c>
      <c r="AD26" s="10" t="n">
        <v>42.9</v>
      </c>
      <c r="AE26" s="10" t="n">
        <v>27.9</v>
      </c>
      <c r="AF26" s="10" t="n">
        <v>66.5</v>
      </c>
      <c r="AG26" s="10" t="n">
        <v>89232</v>
      </c>
      <c r="AH26" s="10" t="n">
        <v>58008</v>
      </c>
      <c r="AI26" s="10" t="n">
        <v>138432</v>
      </c>
      <c r="AJ26" s="10" t="n">
        <v>39.3</v>
      </c>
      <c r="AK26" s="10" t="n">
        <v>25.5</v>
      </c>
      <c r="AL26" s="10" t="n">
        <v>60.9</v>
      </c>
      <c r="AM26" s="10" t="n">
        <v>81744</v>
      </c>
      <c r="AN26" s="10" t="n">
        <v>53184</v>
      </c>
      <c r="AO26" s="10" t="n">
        <v>126912</v>
      </c>
      <c r="AP26" s="10" t="n">
        <v>46</v>
      </c>
      <c r="AQ26" s="10" t="n">
        <v>29.9</v>
      </c>
      <c r="AR26" s="10" t="n">
        <v>71.4</v>
      </c>
      <c r="AS26" s="10" t="n">
        <v>95680</v>
      </c>
      <c r="AT26" s="10" t="n">
        <v>62240</v>
      </c>
      <c r="AU26" s="10" t="n">
        <v>148480</v>
      </c>
      <c r="AV26" s="10" t="n">
        <v>33000000</v>
      </c>
      <c r="AW26" s="10" t="n">
        <v>1122000</v>
      </c>
      <c r="AX26" s="10" t="n">
        <v>594000</v>
      </c>
      <c r="AY26" s="10" t="n">
        <v>31299000</v>
      </c>
      <c r="AZ26" s="10" t="n">
        <v>16500000</v>
      </c>
      <c r="BA26" s="10" t="n">
        <v>561000</v>
      </c>
      <c r="BB26" s="10" t="n">
        <v>297000</v>
      </c>
      <c r="BC26" s="10" t="n">
        <v>15649500</v>
      </c>
      <c r="BD26" s="10" t="n">
        <v>1650000</v>
      </c>
      <c r="BE26" s="10" t="n">
        <v>330000</v>
      </c>
      <c r="BF26" s="10" t="n">
        <v>0</v>
      </c>
      <c r="BG26" s="10" t="n">
        <v>1320000</v>
      </c>
      <c r="BH26" s="10" t="n">
        <v>825000</v>
      </c>
      <c r="BI26" s="10" t="n">
        <v>165000</v>
      </c>
      <c r="BJ26" s="10" t="n">
        <v>165000</v>
      </c>
      <c r="BK26" s="10" t="n">
        <v>495000</v>
      </c>
      <c r="BL26" s="10" t="n">
        <v>412500</v>
      </c>
      <c r="BM26" s="10" t="n">
        <v>82500</v>
      </c>
      <c r="BN26" s="10" t="n">
        <v>206250</v>
      </c>
      <c r="BO26" s="10" t="n">
        <v>618750</v>
      </c>
      <c r="BP26" s="10" t="n">
        <v>105000</v>
      </c>
      <c r="BQ26" s="10" t="n">
        <v>5513</v>
      </c>
      <c r="BR26" s="10" t="n">
        <v>4988</v>
      </c>
      <c r="BS26" s="10" t="n">
        <v>94500</v>
      </c>
      <c r="BT26" s="10" t="n">
        <v>42</v>
      </c>
      <c r="BU26" s="10" t="n">
        <v>41</v>
      </c>
      <c r="BV26" s="10" t="n">
        <v>43</v>
      </c>
      <c r="BW26" s="10" t="n">
        <v>42.1</v>
      </c>
      <c r="BX26" s="10" t="n">
        <v>28</v>
      </c>
      <c r="BY26" s="10" t="n">
        <v>58</v>
      </c>
      <c r="BZ26" s="10" t="n">
        <v>0.85</v>
      </c>
      <c r="CA26" s="10" t="n">
        <v>0.81</v>
      </c>
      <c r="CB26" s="10" t="n">
        <v>0.75</v>
      </c>
      <c r="CC26" s="10" t="n">
        <v>0.86</v>
      </c>
      <c r="CD26" s="10" t="n">
        <v>0.15</v>
      </c>
      <c r="CE26" s="10" t="n">
        <v>0.19</v>
      </c>
      <c r="CF26" s="10" t="n">
        <v>0.25</v>
      </c>
      <c r="CG26" s="10" t="n">
        <v>0.14</v>
      </c>
      <c r="CH26" s="10" t="n">
        <v>7</v>
      </c>
      <c r="CI26" s="10" t="n">
        <v>6.2</v>
      </c>
      <c r="CJ26" s="10" t="n">
        <v>5</v>
      </c>
      <c r="CK26" s="10" t="n">
        <v>7.5</v>
      </c>
      <c r="CL26" s="10" t="n">
        <v>1.8</v>
      </c>
      <c r="CM26" s="10" t="n">
        <v>16</v>
      </c>
      <c r="CN26" s="10" t="n">
        <v>0.14</v>
      </c>
      <c r="CO26" s="10" t="n">
        <v>0.12</v>
      </c>
      <c r="CP26" s="10" t="n">
        <v>0.2</v>
      </c>
      <c r="CQ26" s="10" t="n">
        <v>0.13</v>
      </c>
      <c r="CR26" s="10" t="n">
        <v>70</v>
      </c>
      <c r="CS26" s="10" t="n">
        <v>69</v>
      </c>
      <c r="CT26" s="10" t="n">
        <v>67</v>
      </c>
      <c r="CU26" s="10" t="n">
        <v>71</v>
      </c>
      <c r="CV26" s="10" t="n">
        <v>3.5</v>
      </c>
      <c r="CW26" s="10" t="n">
        <v>3.7</v>
      </c>
      <c r="CX26" s="10" t="n">
        <v>3</v>
      </c>
      <c r="CY26" s="10" t="n">
        <v>3.6</v>
      </c>
      <c r="CZ26" s="10" t="n">
        <v>4950000</v>
      </c>
      <c r="DA26" s="10" t="n">
        <v>198000</v>
      </c>
      <c r="DB26" s="10" t="n">
        <v>99000</v>
      </c>
      <c r="DC26" s="10" t="n">
        <v>4653000</v>
      </c>
      <c r="DD26" s="10" t="n">
        <v>10890000</v>
      </c>
      <c r="DE26" s="10" t="n">
        <v>435600</v>
      </c>
      <c r="DF26" s="10" t="n">
        <v>0</v>
      </c>
      <c r="DG26" s="10" t="n">
        <v>10454400</v>
      </c>
      <c r="DH26" s="10" t="n">
        <v>0.06</v>
      </c>
      <c r="DI26" s="10" t="n">
        <v>0.08</v>
      </c>
      <c r="DJ26" s="10" t="n">
        <v>0.03</v>
      </c>
      <c r="DK26" s="10" t="n">
        <v>0.06</v>
      </c>
    </row>
    <row r="27" customFormat="false" ht="12.8" hidden="false" customHeight="false" outlineLevel="0" collapsed="false">
      <c r="A27" s="9" t="n">
        <v>23</v>
      </c>
      <c r="B27" s="10" t="s">
        <v>8414</v>
      </c>
      <c r="C27" s="10" t="s">
        <v>8402</v>
      </c>
      <c r="D27" s="10" t="n">
        <v>270000</v>
      </c>
      <c r="E27" s="10" t="n">
        <v>10800</v>
      </c>
      <c r="F27" s="10" t="n">
        <v>10800</v>
      </c>
      <c r="G27" s="10" t="n">
        <v>248400</v>
      </c>
      <c r="H27" s="10" t="n">
        <v>0.72</v>
      </c>
      <c r="I27" s="10" t="n">
        <v>0.756</v>
      </c>
      <c r="J27" s="10" t="n">
        <v>0.684</v>
      </c>
      <c r="K27" s="10" t="n">
        <v>0.72</v>
      </c>
      <c r="L27" s="10" t="n">
        <v>0.75</v>
      </c>
      <c r="M27" s="10" t="n">
        <v>0.79</v>
      </c>
      <c r="N27" s="10" t="n">
        <v>0.75</v>
      </c>
      <c r="O27" s="10" t="n">
        <v>0.748</v>
      </c>
      <c r="P27" s="10" t="n">
        <v>0.04</v>
      </c>
      <c r="Q27" s="10" t="n">
        <v>0.04</v>
      </c>
      <c r="R27" s="10" t="n">
        <v>0.07</v>
      </c>
      <c r="S27" s="10" t="n">
        <v>0.018</v>
      </c>
      <c r="T27" s="10" t="n">
        <v>0.036</v>
      </c>
      <c r="U27" s="10" t="n">
        <v>0.043</v>
      </c>
      <c r="V27" s="10" t="n">
        <v>0.09</v>
      </c>
      <c r="W27" s="10" t="n">
        <v>0.035</v>
      </c>
      <c r="X27" s="10" t="n">
        <v>26.24</v>
      </c>
      <c r="Y27" s="10" t="n">
        <v>17.1</v>
      </c>
      <c r="Z27" s="10" t="n">
        <v>40.7</v>
      </c>
      <c r="AA27" s="10" t="n">
        <v>54579</v>
      </c>
      <c r="AB27" s="10" t="n">
        <v>35520</v>
      </c>
      <c r="AC27" s="10" t="n">
        <v>84656</v>
      </c>
      <c r="AD27" s="10" t="n">
        <v>24.9</v>
      </c>
      <c r="AE27" s="10" t="n">
        <v>16.2</v>
      </c>
      <c r="AF27" s="10" t="n">
        <v>38.6</v>
      </c>
      <c r="AG27" s="10" t="n">
        <v>51792</v>
      </c>
      <c r="AH27" s="10" t="n">
        <v>33712</v>
      </c>
      <c r="AI27" s="10" t="n">
        <v>80352</v>
      </c>
      <c r="AJ27" s="10" t="n">
        <v>22.8</v>
      </c>
      <c r="AK27" s="10" t="n">
        <v>14.8</v>
      </c>
      <c r="AL27" s="10" t="n">
        <v>35.3</v>
      </c>
      <c r="AM27" s="10" t="n">
        <v>47424</v>
      </c>
      <c r="AN27" s="10" t="n">
        <v>30864</v>
      </c>
      <c r="AO27" s="10" t="n">
        <v>73632</v>
      </c>
      <c r="AP27" s="10" t="n">
        <v>26.8</v>
      </c>
      <c r="AQ27" s="10" t="n">
        <v>17.4</v>
      </c>
      <c r="AR27" s="10" t="n">
        <v>41.5</v>
      </c>
      <c r="AS27" s="10" t="n">
        <v>55744</v>
      </c>
      <c r="AT27" s="10" t="n">
        <v>36272</v>
      </c>
      <c r="AU27" s="10" t="n">
        <v>86496</v>
      </c>
      <c r="AV27" s="10" t="n">
        <v>42000000</v>
      </c>
      <c r="AW27" s="10" t="n">
        <v>1428000</v>
      </c>
      <c r="AX27" s="10" t="n">
        <v>756000</v>
      </c>
      <c r="AY27" s="10" t="n">
        <v>39823200</v>
      </c>
      <c r="AZ27" s="10" t="n">
        <v>21000000</v>
      </c>
      <c r="BA27" s="10" t="n">
        <v>714000</v>
      </c>
      <c r="BB27" s="10" t="n">
        <v>378000</v>
      </c>
      <c r="BC27" s="10" t="n">
        <v>19911600</v>
      </c>
      <c r="BD27" s="10" t="n">
        <v>2100000</v>
      </c>
      <c r="BE27" s="10" t="n">
        <v>420000</v>
      </c>
      <c r="BF27" s="10" t="n">
        <v>0</v>
      </c>
      <c r="BG27" s="10" t="n">
        <v>1680000</v>
      </c>
      <c r="BH27" s="10" t="n">
        <v>1050000</v>
      </c>
      <c r="BI27" s="10" t="n">
        <v>210000</v>
      </c>
      <c r="BJ27" s="10" t="n">
        <v>210000</v>
      </c>
      <c r="BK27" s="10" t="n">
        <v>630000</v>
      </c>
      <c r="BL27" s="10" t="n">
        <v>525000</v>
      </c>
      <c r="BM27" s="10" t="n">
        <v>105000</v>
      </c>
      <c r="BN27" s="10" t="n">
        <v>262500</v>
      </c>
      <c r="BO27" s="10" t="n">
        <v>787500</v>
      </c>
      <c r="BP27" s="10" t="n">
        <v>194400</v>
      </c>
      <c r="BQ27" s="10" t="n">
        <v>8150</v>
      </c>
      <c r="BR27" s="10" t="n">
        <v>7391</v>
      </c>
      <c r="BS27" s="10" t="n">
        <v>178859</v>
      </c>
      <c r="BT27" s="10" t="n">
        <v>40</v>
      </c>
      <c r="BU27" s="10" t="n">
        <v>39</v>
      </c>
      <c r="BV27" s="10" t="n">
        <v>41</v>
      </c>
      <c r="BW27" s="10" t="n">
        <v>40.1</v>
      </c>
      <c r="BX27" s="10" t="n">
        <v>25</v>
      </c>
      <c r="BY27" s="10" t="n">
        <v>55</v>
      </c>
      <c r="BZ27" s="10" t="n">
        <v>0.84</v>
      </c>
      <c r="CA27" s="10" t="n">
        <v>0.8</v>
      </c>
      <c r="CB27" s="10" t="n">
        <v>0.74</v>
      </c>
      <c r="CC27" s="10" t="n">
        <v>0.85</v>
      </c>
      <c r="CD27" s="10" t="n">
        <v>0.16</v>
      </c>
      <c r="CE27" s="10" t="n">
        <v>0.2</v>
      </c>
      <c r="CF27" s="10" t="n">
        <v>0.26</v>
      </c>
      <c r="CG27" s="10" t="n">
        <v>0.15</v>
      </c>
      <c r="CH27" s="10" t="n">
        <v>6.8</v>
      </c>
      <c r="CI27" s="10" t="n">
        <v>6</v>
      </c>
      <c r="CJ27" s="10" t="n">
        <v>4.8</v>
      </c>
      <c r="CK27" s="10" t="n">
        <v>7.3</v>
      </c>
      <c r="CL27" s="10" t="n">
        <v>1.6</v>
      </c>
      <c r="CM27" s="10" t="n">
        <v>15</v>
      </c>
      <c r="CN27" s="10" t="n">
        <v>0.15</v>
      </c>
      <c r="CO27" s="10" t="n">
        <v>0.13</v>
      </c>
      <c r="CP27" s="10" t="n">
        <v>0.21</v>
      </c>
      <c r="CQ27" s="10" t="n">
        <v>0.14</v>
      </c>
      <c r="CR27" s="10" t="n">
        <v>62</v>
      </c>
      <c r="CS27" s="10" t="n">
        <v>61</v>
      </c>
      <c r="CT27" s="10" t="n">
        <v>59</v>
      </c>
      <c r="CU27" s="10" t="n">
        <v>63</v>
      </c>
      <c r="CV27" s="10" t="n">
        <v>3.2</v>
      </c>
      <c r="CW27" s="10" t="n">
        <v>3.4</v>
      </c>
      <c r="CX27" s="10" t="n">
        <v>2.8</v>
      </c>
      <c r="CY27" s="10" t="n">
        <v>3.3</v>
      </c>
      <c r="CZ27" s="10" t="n">
        <v>6300000</v>
      </c>
      <c r="DA27" s="10" t="n">
        <v>252000</v>
      </c>
      <c r="DB27" s="10" t="n">
        <v>126000</v>
      </c>
      <c r="DC27" s="10" t="n">
        <v>5922000</v>
      </c>
      <c r="DD27" s="10" t="n">
        <v>13860000</v>
      </c>
      <c r="DE27" s="10" t="n">
        <v>554400</v>
      </c>
      <c r="DF27" s="10" t="n">
        <v>0</v>
      </c>
      <c r="DG27" s="10" t="n">
        <v>13305600</v>
      </c>
      <c r="DH27" s="10" t="n">
        <v>0.065</v>
      </c>
      <c r="DI27" s="10" t="n">
        <v>0.085</v>
      </c>
      <c r="DJ27" s="10" t="n">
        <v>0.035</v>
      </c>
      <c r="DK27" s="10" t="n">
        <v>0.065</v>
      </c>
    </row>
    <row r="28" customFormat="false" ht="12.8" hidden="false" customHeight="false" outlineLevel="0" collapsed="false">
      <c r="A28" s="9" t="n">
        <v>24</v>
      </c>
      <c r="B28" s="10" t="s">
        <v>8414</v>
      </c>
      <c r="C28" s="10" t="s">
        <v>8403</v>
      </c>
      <c r="D28" s="10" t="n">
        <v>90000</v>
      </c>
      <c r="E28" s="10" t="n">
        <v>3600</v>
      </c>
      <c r="F28" s="10" t="n">
        <v>3600</v>
      </c>
      <c r="G28" s="10" t="n">
        <v>82800</v>
      </c>
      <c r="H28" s="10" t="n">
        <v>0.72</v>
      </c>
      <c r="I28" s="10" t="n">
        <v>0.756</v>
      </c>
      <c r="J28" s="10" t="n">
        <v>0.684</v>
      </c>
      <c r="K28" s="10" t="n">
        <v>0.72</v>
      </c>
      <c r="L28" s="10" t="n">
        <v>0.75</v>
      </c>
      <c r="M28" s="10" t="n">
        <v>0.79</v>
      </c>
      <c r="N28" s="10" t="n">
        <v>0.75</v>
      </c>
      <c r="O28" s="10" t="n">
        <v>0.748</v>
      </c>
      <c r="P28" s="10" t="n">
        <v>0.04</v>
      </c>
      <c r="Q28" s="10" t="n">
        <v>0.04</v>
      </c>
      <c r="R28" s="10" t="n">
        <v>0.07</v>
      </c>
      <c r="S28" s="10" t="n">
        <v>0.018</v>
      </c>
      <c r="T28" s="10" t="n">
        <v>0.036</v>
      </c>
      <c r="U28" s="10" t="n">
        <v>0.043</v>
      </c>
      <c r="V28" s="10" t="n">
        <v>0.09</v>
      </c>
      <c r="W28" s="10" t="n">
        <v>0.035</v>
      </c>
      <c r="X28" s="10" t="n">
        <v>22.3</v>
      </c>
      <c r="Y28" s="10" t="n">
        <v>14.5</v>
      </c>
      <c r="Z28" s="10" t="n">
        <v>34.6</v>
      </c>
      <c r="AA28" s="10" t="n">
        <v>46384</v>
      </c>
      <c r="AB28" s="10" t="n">
        <v>30184</v>
      </c>
      <c r="AC28" s="10" t="n">
        <v>71968</v>
      </c>
      <c r="AD28" s="10" t="n">
        <v>21.2</v>
      </c>
      <c r="AE28" s="10" t="n">
        <v>13.8</v>
      </c>
      <c r="AF28" s="10" t="n">
        <v>32.9</v>
      </c>
      <c r="AG28" s="10" t="n">
        <v>44096</v>
      </c>
      <c r="AH28" s="10" t="n">
        <v>28688</v>
      </c>
      <c r="AI28" s="10" t="n">
        <v>68352</v>
      </c>
      <c r="AJ28" s="10" t="n">
        <v>19.4</v>
      </c>
      <c r="AK28" s="10" t="n">
        <v>12.6</v>
      </c>
      <c r="AL28" s="10" t="n">
        <v>30.1</v>
      </c>
      <c r="AM28" s="10" t="n">
        <v>40352</v>
      </c>
      <c r="AN28" s="10" t="n">
        <v>26248</v>
      </c>
      <c r="AO28" s="10" t="n">
        <v>62624</v>
      </c>
      <c r="AP28" s="10" t="n">
        <v>22.8</v>
      </c>
      <c r="AQ28" s="10" t="n">
        <v>14.8</v>
      </c>
      <c r="AR28" s="10" t="n">
        <v>35.3</v>
      </c>
      <c r="AS28" s="10" t="n">
        <v>47424</v>
      </c>
      <c r="AT28" s="10" t="n">
        <v>30864</v>
      </c>
      <c r="AU28" s="10" t="n">
        <v>73632</v>
      </c>
      <c r="AV28" s="10" t="n">
        <v>21000000</v>
      </c>
      <c r="AW28" s="10" t="n">
        <v>714000</v>
      </c>
      <c r="AX28" s="10" t="n">
        <v>378000</v>
      </c>
      <c r="AY28" s="10" t="n">
        <v>19911600</v>
      </c>
      <c r="AZ28" s="10" t="n">
        <v>10500000</v>
      </c>
      <c r="BA28" s="10" t="n">
        <v>357000</v>
      </c>
      <c r="BB28" s="10" t="n">
        <v>189000</v>
      </c>
      <c r="BC28" s="10" t="n">
        <v>9955800</v>
      </c>
      <c r="BD28" s="10" t="n">
        <v>1050000</v>
      </c>
      <c r="BE28" s="10" t="n">
        <v>210000</v>
      </c>
      <c r="BF28" s="10" t="n">
        <v>0</v>
      </c>
      <c r="BG28" s="10" t="n">
        <v>840000</v>
      </c>
      <c r="BH28" s="10" t="n">
        <v>525000</v>
      </c>
      <c r="BI28" s="10" t="n">
        <v>105000</v>
      </c>
      <c r="BJ28" s="10" t="n">
        <v>105000</v>
      </c>
      <c r="BK28" s="10" t="n">
        <v>315000</v>
      </c>
      <c r="BL28" s="10" t="n">
        <v>262500</v>
      </c>
      <c r="BM28" s="10" t="n">
        <v>52500</v>
      </c>
      <c r="BN28" s="10" t="n">
        <v>131250</v>
      </c>
      <c r="BO28" s="10" t="n">
        <v>393750</v>
      </c>
      <c r="BP28" s="10" t="n">
        <v>64800</v>
      </c>
      <c r="BQ28" s="10" t="n">
        <v>2717</v>
      </c>
      <c r="BR28" s="10" t="n">
        <v>2464</v>
      </c>
      <c r="BS28" s="10" t="n">
        <v>59620</v>
      </c>
      <c r="BT28" s="10" t="n">
        <v>40</v>
      </c>
      <c r="BU28" s="10" t="n">
        <v>39</v>
      </c>
      <c r="BV28" s="10" t="n">
        <v>41</v>
      </c>
      <c r="BW28" s="10" t="n">
        <v>40.1</v>
      </c>
      <c r="BX28" s="10" t="n">
        <v>25</v>
      </c>
      <c r="BY28" s="10" t="n">
        <v>55</v>
      </c>
      <c r="BZ28" s="10" t="n">
        <v>0.84</v>
      </c>
      <c r="CA28" s="10" t="n">
        <v>0.8</v>
      </c>
      <c r="CB28" s="10" t="n">
        <v>0.74</v>
      </c>
      <c r="CC28" s="10" t="n">
        <v>0.85</v>
      </c>
      <c r="CD28" s="10" t="n">
        <v>0.16</v>
      </c>
      <c r="CE28" s="10" t="n">
        <v>0.2</v>
      </c>
      <c r="CF28" s="10" t="n">
        <v>0.26</v>
      </c>
      <c r="CG28" s="10" t="n">
        <v>0.15</v>
      </c>
      <c r="CH28" s="10" t="n">
        <v>6.8</v>
      </c>
      <c r="CI28" s="10" t="n">
        <v>6</v>
      </c>
      <c r="CJ28" s="10" t="n">
        <v>4.8</v>
      </c>
      <c r="CK28" s="10" t="n">
        <v>7.3</v>
      </c>
      <c r="CL28" s="10" t="n">
        <v>1.6</v>
      </c>
      <c r="CM28" s="10" t="n">
        <v>15</v>
      </c>
      <c r="CN28" s="10" t="n">
        <v>0.15</v>
      </c>
      <c r="CO28" s="10" t="n">
        <v>0.13</v>
      </c>
      <c r="CP28" s="10" t="n">
        <v>0.21</v>
      </c>
      <c r="CQ28" s="10" t="n">
        <v>0.14</v>
      </c>
      <c r="CR28" s="10" t="n">
        <v>62</v>
      </c>
      <c r="CS28" s="10" t="n">
        <v>61</v>
      </c>
      <c r="CT28" s="10" t="n">
        <v>59</v>
      </c>
      <c r="CU28" s="10" t="n">
        <v>63</v>
      </c>
      <c r="CV28" s="10" t="n">
        <v>3.2</v>
      </c>
      <c r="CW28" s="10" t="n">
        <v>3.4</v>
      </c>
      <c r="CX28" s="10" t="n">
        <v>2.8</v>
      </c>
      <c r="CY28" s="10" t="n">
        <v>3.3</v>
      </c>
      <c r="CZ28" s="10" t="n">
        <v>2100000</v>
      </c>
      <c r="DA28" s="10" t="n">
        <v>84000</v>
      </c>
      <c r="DB28" s="10" t="n">
        <v>42000</v>
      </c>
      <c r="DC28" s="10" t="n">
        <v>1974000</v>
      </c>
      <c r="DD28" s="10" t="n">
        <v>4620000</v>
      </c>
      <c r="DE28" s="10" t="n">
        <v>184800</v>
      </c>
      <c r="DF28" s="10" t="n">
        <v>0</v>
      </c>
      <c r="DG28" s="10" t="n">
        <v>4435200</v>
      </c>
      <c r="DH28" s="10" t="n">
        <v>0.065</v>
      </c>
      <c r="DI28" s="10" t="n">
        <v>0.085</v>
      </c>
      <c r="DJ28" s="10" t="n">
        <v>0.035</v>
      </c>
      <c r="DK28" s="10" t="n">
        <v>0.065</v>
      </c>
    </row>
    <row r="29" customFormat="false" ht="12.8" hidden="false" customHeight="false" outlineLevel="0" collapsed="false">
      <c r="A29" s="9" t="n">
        <v>25</v>
      </c>
      <c r="B29" s="10" t="s">
        <v>8415</v>
      </c>
      <c r="C29" s="10" t="s">
        <v>8402</v>
      </c>
      <c r="D29" s="10" t="n">
        <v>180000</v>
      </c>
      <c r="E29" s="10" t="n">
        <v>9000</v>
      </c>
      <c r="F29" s="10" t="n">
        <v>9000</v>
      </c>
      <c r="G29" s="10" t="n">
        <v>162000</v>
      </c>
      <c r="H29" s="10" t="n">
        <v>0.75</v>
      </c>
      <c r="I29" s="10" t="n">
        <v>0.788</v>
      </c>
      <c r="J29" s="10" t="n">
        <v>0.713</v>
      </c>
      <c r="K29" s="10" t="n">
        <v>0.75</v>
      </c>
      <c r="L29" s="10" t="n">
        <v>0.78</v>
      </c>
      <c r="M29" s="10" t="n">
        <v>0.82</v>
      </c>
      <c r="N29" s="10" t="n">
        <v>0.78</v>
      </c>
      <c r="O29" s="10" t="n">
        <v>0.778</v>
      </c>
      <c r="P29" s="10" t="n">
        <v>0.04</v>
      </c>
      <c r="Q29" s="10" t="n">
        <v>0.04</v>
      </c>
      <c r="R29" s="10" t="n">
        <v>0.07</v>
      </c>
      <c r="S29" s="10" t="n">
        <v>0.018</v>
      </c>
      <c r="T29" s="10" t="n">
        <v>0.028</v>
      </c>
      <c r="U29" s="10" t="n">
        <v>0.034</v>
      </c>
      <c r="V29" s="10" t="n">
        <v>0.071</v>
      </c>
      <c r="W29" s="10" t="n">
        <v>0.027</v>
      </c>
      <c r="X29" s="10" t="n">
        <v>41</v>
      </c>
      <c r="Y29" s="10" t="n">
        <v>26.7</v>
      </c>
      <c r="Z29" s="10" t="n">
        <v>63.6</v>
      </c>
      <c r="AA29" s="10" t="n">
        <v>85280</v>
      </c>
      <c r="AB29" s="10" t="n">
        <v>55480</v>
      </c>
      <c r="AC29" s="10" t="n">
        <v>132224</v>
      </c>
      <c r="AD29" s="10" t="n">
        <v>39</v>
      </c>
      <c r="AE29" s="10" t="n">
        <v>25.3</v>
      </c>
      <c r="AF29" s="10" t="n">
        <v>60.4</v>
      </c>
      <c r="AG29" s="10" t="n">
        <v>81120</v>
      </c>
      <c r="AH29" s="10" t="n">
        <v>52760</v>
      </c>
      <c r="AI29" s="10" t="n">
        <v>125824</v>
      </c>
      <c r="AJ29" s="10" t="n">
        <v>35.7</v>
      </c>
      <c r="AK29" s="10" t="n">
        <v>23.2</v>
      </c>
      <c r="AL29" s="10" t="n">
        <v>55.4</v>
      </c>
      <c r="AM29" s="10" t="n">
        <v>74256</v>
      </c>
      <c r="AN29" s="10" t="n">
        <v>48288</v>
      </c>
      <c r="AO29" s="10" t="n">
        <v>115136</v>
      </c>
      <c r="AP29" s="10" t="n">
        <v>41.8</v>
      </c>
      <c r="AQ29" s="10" t="n">
        <v>27.2</v>
      </c>
      <c r="AR29" s="10" t="n">
        <v>64.8</v>
      </c>
      <c r="AS29" s="10" t="n">
        <v>86944</v>
      </c>
      <c r="AT29" s="10" t="n">
        <v>56568</v>
      </c>
      <c r="AU29" s="10" t="n">
        <v>134912</v>
      </c>
      <c r="AV29" s="10" t="n">
        <v>30000000</v>
      </c>
      <c r="AW29" s="10" t="n">
        <v>1020000</v>
      </c>
      <c r="AX29" s="10" t="n">
        <v>540000</v>
      </c>
      <c r="AY29" s="10" t="n">
        <v>28458000</v>
      </c>
      <c r="AZ29" s="10" t="n">
        <v>15000000</v>
      </c>
      <c r="BA29" s="10" t="n">
        <v>510000</v>
      </c>
      <c r="BB29" s="10" t="n">
        <v>270000</v>
      </c>
      <c r="BC29" s="10" t="n">
        <v>14229000</v>
      </c>
      <c r="BD29" s="10" t="n">
        <v>1500000</v>
      </c>
      <c r="BE29" s="10" t="n">
        <v>300000</v>
      </c>
      <c r="BF29" s="10" t="n">
        <v>0</v>
      </c>
      <c r="BG29" s="10" t="n">
        <v>1200000</v>
      </c>
      <c r="BH29" s="10" t="n">
        <v>750000</v>
      </c>
      <c r="BI29" s="10" t="n">
        <v>150000</v>
      </c>
      <c r="BJ29" s="10" t="n">
        <v>150000</v>
      </c>
      <c r="BK29" s="10" t="n">
        <v>450000</v>
      </c>
      <c r="BL29" s="10" t="n">
        <v>375000</v>
      </c>
      <c r="BM29" s="10" t="n">
        <v>75000</v>
      </c>
      <c r="BN29" s="10" t="n">
        <v>187500</v>
      </c>
      <c r="BO29" s="10" t="n">
        <v>562500</v>
      </c>
      <c r="BP29" s="10" t="n">
        <v>135000</v>
      </c>
      <c r="BQ29" s="10" t="n">
        <v>7092</v>
      </c>
      <c r="BR29" s="10" t="n">
        <v>6417</v>
      </c>
      <c r="BS29" s="10" t="n">
        <v>121491</v>
      </c>
      <c r="BT29" s="10" t="n">
        <v>41</v>
      </c>
      <c r="BU29" s="10" t="n">
        <v>40</v>
      </c>
      <c r="BV29" s="10" t="n">
        <v>42</v>
      </c>
      <c r="BW29" s="10" t="n">
        <v>41.1</v>
      </c>
      <c r="BX29" s="10" t="n">
        <v>28</v>
      </c>
      <c r="BY29" s="10" t="n">
        <v>56</v>
      </c>
      <c r="BZ29" s="10" t="n">
        <v>0.86</v>
      </c>
      <c r="CA29" s="10" t="n">
        <v>0.82</v>
      </c>
      <c r="CB29" s="10" t="n">
        <v>0.76</v>
      </c>
      <c r="CC29" s="10" t="n">
        <v>0.87</v>
      </c>
      <c r="CD29" s="10" t="n">
        <v>0.14</v>
      </c>
      <c r="CE29" s="10" t="n">
        <v>0.18</v>
      </c>
      <c r="CF29" s="10" t="n">
        <v>0.24</v>
      </c>
      <c r="CG29" s="10" t="n">
        <v>0.13</v>
      </c>
      <c r="CH29" s="10" t="n">
        <v>7.5</v>
      </c>
      <c r="CI29" s="10" t="n">
        <v>6.7</v>
      </c>
      <c r="CJ29" s="10" t="n">
        <v>5.5</v>
      </c>
      <c r="CK29" s="10" t="n">
        <v>8</v>
      </c>
      <c r="CL29" s="10" t="n">
        <v>2</v>
      </c>
      <c r="CM29" s="10" t="n">
        <v>17</v>
      </c>
      <c r="CN29" s="10" t="n">
        <v>0.13</v>
      </c>
      <c r="CO29" s="10" t="n">
        <v>0.11</v>
      </c>
      <c r="CP29" s="10" t="n">
        <v>0.19</v>
      </c>
      <c r="CQ29" s="10" t="n">
        <v>0.12</v>
      </c>
      <c r="CR29" s="10" t="n">
        <v>68</v>
      </c>
      <c r="CS29" s="10" t="n">
        <v>67</v>
      </c>
      <c r="CT29" s="10" t="n">
        <v>65</v>
      </c>
      <c r="CU29" s="10" t="n">
        <v>69</v>
      </c>
      <c r="CV29" s="10" t="n">
        <v>3.4</v>
      </c>
      <c r="CW29" s="10" t="n">
        <v>3.6</v>
      </c>
      <c r="CX29" s="10" t="n">
        <v>3</v>
      </c>
      <c r="CY29" s="10" t="n">
        <v>3.5</v>
      </c>
      <c r="CZ29" s="10" t="n">
        <v>4500000</v>
      </c>
      <c r="DA29" s="10" t="n">
        <v>180000</v>
      </c>
      <c r="DB29" s="10" t="n">
        <v>90000</v>
      </c>
      <c r="DC29" s="10" t="n">
        <v>4230000</v>
      </c>
      <c r="DD29" s="10" t="n">
        <v>9900000</v>
      </c>
      <c r="DE29" s="10" t="n">
        <v>396000</v>
      </c>
      <c r="DF29" s="10" t="n">
        <v>0</v>
      </c>
      <c r="DG29" s="10" t="n">
        <v>9504000</v>
      </c>
      <c r="DH29" s="10" t="n">
        <v>0.055</v>
      </c>
      <c r="DI29" s="10" t="n">
        <v>0.075</v>
      </c>
      <c r="DJ29" s="10" t="n">
        <v>0.025</v>
      </c>
      <c r="DK29" s="10" t="n">
        <v>0.055</v>
      </c>
    </row>
    <row r="30" customFormat="false" ht="12.8" hidden="false" customHeight="false" outlineLevel="0" collapsed="false">
      <c r="A30" s="9" t="n">
        <v>26</v>
      </c>
      <c r="B30" s="10" t="s">
        <v>8415</v>
      </c>
      <c r="C30" s="10" t="s">
        <v>8403</v>
      </c>
      <c r="D30" s="10" t="n">
        <v>90000</v>
      </c>
      <c r="E30" s="10" t="n">
        <v>4500</v>
      </c>
      <c r="F30" s="10" t="n">
        <v>4500</v>
      </c>
      <c r="G30" s="10" t="n">
        <v>81000</v>
      </c>
      <c r="H30" s="10" t="n">
        <v>0.75</v>
      </c>
      <c r="I30" s="10" t="n">
        <v>0.788</v>
      </c>
      <c r="J30" s="10" t="n">
        <v>0.713</v>
      </c>
      <c r="K30" s="10" t="n">
        <v>0.75</v>
      </c>
      <c r="L30" s="10" t="n">
        <v>0.78</v>
      </c>
      <c r="M30" s="10" t="n">
        <v>0.82</v>
      </c>
      <c r="N30" s="10" t="n">
        <v>0.78</v>
      </c>
      <c r="O30" s="10" t="n">
        <v>0.778</v>
      </c>
      <c r="P30" s="10" t="n">
        <v>0.04</v>
      </c>
      <c r="Q30" s="10" t="n">
        <v>0.04</v>
      </c>
      <c r="R30" s="10" t="n">
        <v>0.07</v>
      </c>
      <c r="S30" s="10" t="n">
        <v>0.018</v>
      </c>
      <c r="T30" s="10" t="n">
        <v>0.028</v>
      </c>
      <c r="U30" s="10" t="n">
        <v>0.034</v>
      </c>
      <c r="V30" s="10" t="n">
        <v>0.071</v>
      </c>
      <c r="W30" s="10" t="n">
        <v>0.027</v>
      </c>
      <c r="X30" s="10" t="n">
        <v>34.85</v>
      </c>
      <c r="Y30" s="10" t="n">
        <v>22.7</v>
      </c>
      <c r="Z30" s="10" t="n">
        <v>54</v>
      </c>
      <c r="AA30" s="10" t="n">
        <v>72488</v>
      </c>
      <c r="AB30" s="10" t="n">
        <v>47152</v>
      </c>
      <c r="AC30" s="10" t="n">
        <v>112352</v>
      </c>
      <c r="AD30" s="10" t="n">
        <v>33.1</v>
      </c>
      <c r="AE30" s="10" t="n">
        <v>21.5</v>
      </c>
      <c r="AF30" s="10" t="n">
        <v>51.3</v>
      </c>
      <c r="AG30" s="10" t="n">
        <v>68848</v>
      </c>
      <c r="AH30" s="10" t="n">
        <v>44792</v>
      </c>
      <c r="AI30" s="10" t="n">
        <v>106848</v>
      </c>
      <c r="AJ30" s="10" t="n">
        <v>30.3</v>
      </c>
      <c r="AK30" s="10" t="n">
        <v>19.7</v>
      </c>
      <c r="AL30" s="10" t="n">
        <v>47</v>
      </c>
      <c r="AM30" s="10" t="n">
        <v>63024</v>
      </c>
      <c r="AN30" s="10" t="n">
        <v>40992</v>
      </c>
      <c r="AO30" s="10" t="n">
        <v>97728</v>
      </c>
      <c r="AP30" s="10" t="n">
        <v>35.5</v>
      </c>
      <c r="AQ30" s="10" t="n">
        <v>23.1</v>
      </c>
      <c r="AR30" s="10" t="n">
        <v>55.1</v>
      </c>
      <c r="AS30" s="10" t="n">
        <v>73840</v>
      </c>
      <c r="AT30" s="10" t="n">
        <v>48016</v>
      </c>
      <c r="AU30" s="10" t="n">
        <v>114688</v>
      </c>
      <c r="AV30" s="10" t="n">
        <v>15000000</v>
      </c>
      <c r="AW30" s="10" t="n">
        <v>510000</v>
      </c>
      <c r="AX30" s="10" t="n">
        <v>270000</v>
      </c>
      <c r="AY30" s="10" t="n">
        <v>14229000</v>
      </c>
      <c r="AZ30" s="10" t="n">
        <v>7500000</v>
      </c>
      <c r="BA30" s="10" t="n">
        <v>255000</v>
      </c>
      <c r="BB30" s="10" t="n">
        <v>135000</v>
      </c>
      <c r="BC30" s="10" t="n">
        <v>7114500</v>
      </c>
      <c r="BD30" s="10" t="n">
        <v>750000</v>
      </c>
      <c r="BE30" s="10" t="n">
        <v>150000</v>
      </c>
      <c r="BF30" s="10" t="n">
        <v>0</v>
      </c>
      <c r="BG30" s="10" t="n">
        <v>600000</v>
      </c>
      <c r="BH30" s="10" t="n">
        <v>375000</v>
      </c>
      <c r="BI30" s="10" t="n">
        <v>75000</v>
      </c>
      <c r="BJ30" s="10" t="n">
        <v>75000</v>
      </c>
      <c r="BK30" s="10" t="n">
        <v>225000</v>
      </c>
      <c r="BL30" s="10" t="n">
        <v>187500</v>
      </c>
      <c r="BM30" s="10" t="n">
        <v>37500</v>
      </c>
      <c r="BN30" s="10" t="n">
        <v>93750</v>
      </c>
      <c r="BO30" s="10" t="n">
        <v>281250</v>
      </c>
      <c r="BP30" s="10" t="n">
        <v>67500</v>
      </c>
      <c r="BQ30" s="10" t="n">
        <v>3546</v>
      </c>
      <c r="BR30" s="10" t="n">
        <v>3209</v>
      </c>
      <c r="BS30" s="10" t="n">
        <v>60746</v>
      </c>
      <c r="BT30" s="10" t="n">
        <v>41</v>
      </c>
      <c r="BU30" s="10" t="n">
        <v>40</v>
      </c>
      <c r="BV30" s="10" t="n">
        <v>42</v>
      </c>
      <c r="BW30" s="10" t="n">
        <v>41.1</v>
      </c>
      <c r="BX30" s="10" t="n">
        <v>28</v>
      </c>
      <c r="BY30" s="10" t="n">
        <v>56</v>
      </c>
      <c r="BZ30" s="10" t="n">
        <v>0.86</v>
      </c>
      <c r="CA30" s="10" t="n">
        <v>0.82</v>
      </c>
      <c r="CB30" s="10" t="n">
        <v>0.76</v>
      </c>
      <c r="CC30" s="10" t="n">
        <v>0.87</v>
      </c>
      <c r="CD30" s="10" t="n">
        <v>0.14</v>
      </c>
      <c r="CE30" s="10" t="n">
        <v>0.18</v>
      </c>
      <c r="CF30" s="10" t="n">
        <v>0.24</v>
      </c>
      <c r="CG30" s="10" t="n">
        <v>0.13</v>
      </c>
      <c r="CH30" s="10" t="n">
        <v>7.5</v>
      </c>
      <c r="CI30" s="10" t="n">
        <v>6.7</v>
      </c>
      <c r="CJ30" s="10" t="n">
        <v>5.5</v>
      </c>
      <c r="CK30" s="10" t="n">
        <v>8</v>
      </c>
      <c r="CL30" s="10" t="n">
        <v>2</v>
      </c>
      <c r="CM30" s="10" t="n">
        <v>17</v>
      </c>
      <c r="CN30" s="10" t="n">
        <v>0.13</v>
      </c>
      <c r="CO30" s="10" t="n">
        <v>0.11</v>
      </c>
      <c r="CP30" s="10" t="n">
        <v>0.19</v>
      </c>
      <c r="CQ30" s="10" t="n">
        <v>0.12</v>
      </c>
      <c r="CR30" s="10" t="n">
        <v>68</v>
      </c>
      <c r="CS30" s="10" t="n">
        <v>67</v>
      </c>
      <c r="CT30" s="10" t="n">
        <v>65</v>
      </c>
      <c r="CU30" s="10" t="n">
        <v>69</v>
      </c>
      <c r="CV30" s="10" t="n">
        <v>3.4</v>
      </c>
      <c r="CW30" s="10" t="n">
        <v>3.6</v>
      </c>
      <c r="CX30" s="10" t="n">
        <v>3</v>
      </c>
      <c r="CY30" s="10" t="n">
        <v>3.5</v>
      </c>
      <c r="CZ30" s="10" t="n">
        <v>2250000</v>
      </c>
      <c r="DA30" s="10" t="n">
        <v>90000</v>
      </c>
      <c r="DB30" s="10" t="n">
        <v>45000</v>
      </c>
      <c r="DC30" s="10" t="n">
        <v>2115000</v>
      </c>
      <c r="DD30" s="10" t="n">
        <v>4950000</v>
      </c>
      <c r="DE30" s="10" t="n">
        <v>198000</v>
      </c>
      <c r="DF30" s="10" t="n">
        <v>0</v>
      </c>
      <c r="DG30" s="10" t="n">
        <v>4752000</v>
      </c>
      <c r="DH30" s="10" t="n">
        <v>0.055</v>
      </c>
      <c r="DI30" s="10" t="n">
        <v>0.075</v>
      </c>
      <c r="DJ30" s="10" t="n">
        <v>0.025</v>
      </c>
      <c r="DK30" s="10" t="n">
        <v>0.055</v>
      </c>
    </row>
    <row r="31" customFormat="false" ht="12.8" hidden="false" customHeight="false" outlineLevel="0" collapsed="false">
      <c r="A31" s="9" t="n">
        <v>27</v>
      </c>
      <c r="B31" s="10" t="s">
        <v>8416</v>
      </c>
      <c r="C31" s="10" t="s">
        <v>8402</v>
      </c>
      <c r="D31" s="10" t="n">
        <v>120000</v>
      </c>
      <c r="E31" s="10" t="n">
        <v>6000</v>
      </c>
      <c r="F31" s="10" t="n">
        <v>6000</v>
      </c>
      <c r="G31" s="10" t="n">
        <v>108000</v>
      </c>
      <c r="H31" s="10" t="n">
        <v>0.71</v>
      </c>
      <c r="I31" s="10" t="n">
        <v>0.746</v>
      </c>
      <c r="J31" s="10" t="n">
        <v>0.674</v>
      </c>
      <c r="K31" s="10" t="n">
        <v>0.71</v>
      </c>
      <c r="L31" s="10" t="n">
        <v>0.74</v>
      </c>
      <c r="M31" s="10" t="n">
        <v>0.78</v>
      </c>
      <c r="N31" s="10" t="n">
        <v>0.74</v>
      </c>
      <c r="O31" s="10" t="n">
        <v>0.738</v>
      </c>
      <c r="P31" s="10" t="n">
        <v>0.04</v>
      </c>
      <c r="Q31" s="10" t="n">
        <v>0.04</v>
      </c>
      <c r="R31" s="10" t="n">
        <v>0.07</v>
      </c>
      <c r="S31" s="10" t="n">
        <v>0.018</v>
      </c>
      <c r="T31" s="10" t="n">
        <v>0.03</v>
      </c>
      <c r="U31" s="10" t="n">
        <v>0.036</v>
      </c>
      <c r="V31" s="10" t="n">
        <v>0.076</v>
      </c>
      <c r="W31" s="10" t="n">
        <v>0.029</v>
      </c>
      <c r="X31" s="10" t="n">
        <v>28.71</v>
      </c>
      <c r="Y31" s="10" t="n">
        <v>18.7</v>
      </c>
      <c r="Z31" s="10" t="n">
        <v>44.5</v>
      </c>
      <c r="AA31" s="10" t="n">
        <v>59717</v>
      </c>
      <c r="AB31" s="10" t="n">
        <v>38896</v>
      </c>
      <c r="AC31" s="10" t="n">
        <v>92656</v>
      </c>
      <c r="AD31" s="10" t="n">
        <v>27.3</v>
      </c>
      <c r="AE31" s="10" t="n">
        <v>17.7</v>
      </c>
      <c r="AF31" s="10" t="n">
        <v>42.3</v>
      </c>
      <c r="AG31" s="10" t="n">
        <v>56864</v>
      </c>
      <c r="AH31" s="10" t="n">
        <v>36992</v>
      </c>
      <c r="AI31" s="10" t="n">
        <v>88192</v>
      </c>
      <c r="AJ31" s="10" t="n">
        <v>25</v>
      </c>
      <c r="AK31" s="10" t="n">
        <v>16.3</v>
      </c>
      <c r="AL31" s="10" t="n">
        <v>38.8</v>
      </c>
      <c r="AM31" s="10" t="n">
        <v>52000</v>
      </c>
      <c r="AN31" s="10" t="n">
        <v>33840</v>
      </c>
      <c r="AO31" s="10" t="n">
        <v>80672</v>
      </c>
      <c r="AP31" s="10" t="n">
        <v>29.3</v>
      </c>
      <c r="AQ31" s="10" t="n">
        <v>19</v>
      </c>
      <c r="AR31" s="10" t="n">
        <v>45.4</v>
      </c>
      <c r="AS31" s="10" t="n">
        <v>60944</v>
      </c>
      <c r="AT31" s="10" t="n">
        <v>39664</v>
      </c>
      <c r="AU31" s="10" t="n">
        <v>94528</v>
      </c>
      <c r="AV31" s="10" t="n">
        <v>9000000</v>
      </c>
      <c r="AW31" s="10" t="n">
        <v>306000</v>
      </c>
      <c r="AX31" s="10" t="n">
        <v>162000</v>
      </c>
      <c r="AY31" s="10" t="n">
        <v>8532000</v>
      </c>
      <c r="AZ31" s="10" t="n">
        <v>4500000</v>
      </c>
      <c r="BA31" s="10" t="n">
        <v>153000</v>
      </c>
      <c r="BB31" s="10" t="n">
        <v>81000</v>
      </c>
      <c r="BC31" s="10" t="n">
        <v>4266000</v>
      </c>
      <c r="BD31" s="10" t="n">
        <v>450000</v>
      </c>
      <c r="BE31" s="10" t="n">
        <v>90000</v>
      </c>
      <c r="BF31" s="10" t="n">
        <v>0</v>
      </c>
      <c r="BG31" s="10" t="n">
        <v>360000</v>
      </c>
      <c r="BH31" s="10" t="n">
        <v>225000</v>
      </c>
      <c r="BI31" s="10" t="n">
        <v>45000</v>
      </c>
      <c r="BJ31" s="10" t="n">
        <v>45000</v>
      </c>
      <c r="BK31" s="10" t="n">
        <v>135000</v>
      </c>
      <c r="BL31" s="10" t="n">
        <v>112500</v>
      </c>
      <c r="BM31" s="10" t="n">
        <v>22500</v>
      </c>
      <c r="BN31" s="10" t="n">
        <v>56250</v>
      </c>
      <c r="BO31" s="10" t="n">
        <v>168750</v>
      </c>
      <c r="BP31" s="10" t="n">
        <v>85200</v>
      </c>
      <c r="BQ31" s="10" t="n">
        <v>4478</v>
      </c>
      <c r="BR31" s="10" t="n">
        <v>4044</v>
      </c>
      <c r="BS31" s="10" t="n">
        <v>76678</v>
      </c>
      <c r="BT31" s="10" t="n">
        <v>40</v>
      </c>
      <c r="BU31" s="10" t="n">
        <v>39</v>
      </c>
      <c r="BV31" s="10" t="n">
        <v>41</v>
      </c>
      <c r="BW31" s="10" t="n">
        <v>40.1</v>
      </c>
      <c r="BX31" s="10" t="n">
        <v>25</v>
      </c>
      <c r="BY31" s="10" t="n">
        <v>55</v>
      </c>
      <c r="BZ31" s="10" t="n">
        <v>0.83</v>
      </c>
      <c r="CA31" s="10" t="n">
        <v>0.79</v>
      </c>
      <c r="CB31" s="10" t="n">
        <v>0.73</v>
      </c>
      <c r="CC31" s="10" t="n">
        <v>0.84</v>
      </c>
      <c r="CD31" s="10" t="n">
        <v>0.17</v>
      </c>
      <c r="CE31" s="10" t="n">
        <v>0.21</v>
      </c>
      <c r="CF31" s="10" t="n">
        <v>0.27</v>
      </c>
      <c r="CG31" s="10" t="n">
        <v>0.16</v>
      </c>
      <c r="CH31" s="10" t="n">
        <v>6.9</v>
      </c>
      <c r="CI31" s="10" t="n">
        <v>6.1</v>
      </c>
      <c r="CJ31" s="10" t="n">
        <v>4.9</v>
      </c>
      <c r="CK31" s="10" t="n">
        <v>7.4</v>
      </c>
      <c r="CL31" s="10" t="n">
        <v>1.6</v>
      </c>
      <c r="CM31" s="10" t="n">
        <v>15</v>
      </c>
      <c r="CN31" s="10" t="n">
        <v>0.16</v>
      </c>
      <c r="CO31" s="10" t="n">
        <v>0.14</v>
      </c>
      <c r="CP31" s="10" t="n">
        <v>0.22</v>
      </c>
      <c r="CQ31" s="10" t="n">
        <v>0.15</v>
      </c>
      <c r="CR31" s="10" t="n">
        <v>63</v>
      </c>
      <c r="CS31" s="10" t="n">
        <v>62</v>
      </c>
      <c r="CT31" s="10" t="n">
        <v>60</v>
      </c>
      <c r="CU31" s="10" t="n">
        <v>64</v>
      </c>
      <c r="CV31" s="10" t="n">
        <v>3.3</v>
      </c>
      <c r="CW31" s="10" t="n">
        <v>3.5</v>
      </c>
      <c r="CX31" s="10" t="n">
        <v>2.9</v>
      </c>
      <c r="CY31" s="10" t="n">
        <v>3.4</v>
      </c>
      <c r="CZ31" s="10" t="n">
        <v>1350000</v>
      </c>
      <c r="DA31" s="10" t="n">
        <v>54000</v>
      </c>
      <c r="DB31" s="10" t="n">
        <v>27000</v>
      </c>
      <c r="DC31" s="10" t="n">
        <v>1269000</v>
      </c>
      <c r="DD31" s="10" t="n">
        <v>2970000</v>
      </c>
      <c r="DE31" s="10" t="n">
        <v>118800</v>
      </c>
      <c r="DF31" s="10" t="n">
        <v>0</v>
      </c>
      <c r="DG31" s="10" t="n">
        <v>2851200</v>
      </c>
      <c r="DH31" s="10" t="n">
        <v>0.065</v>
      </c>
      <c r="DI31" s="10" t="n">
        <v>0.085</v>
      </c>
      <c r="DJ31" s="10" t="n">
        <v>0.035</v>
      </c>
      <c r="DK31" s="10" t="n">
        <v>0.065</v>
      </c>
    </row>
    <row r="32" customFormat="false" ht="12.8" hidden="false" customHeight="false" outlineLevel="0" collapsed="false">
      <c r="A32" s="9" t="n">
        <v>28</v>
      </c>
      <c r="B32" s="10" t="s">
        <v>8416</v>
      </c>
      <c r="C32" s="10" t="s">
        <v>8403</v>
      </c>
      <c r="D32" s="10" t="n">
        <v>60000</v>
      </c>
      <c r="E32" s="10" t="n">
        <v>3000</v>
      </c>
      <c r="F32" s="10" t="n">
        <v>3000</v>
      </c>
      <c r="G32" s="10" t="n">
        <v>54000</v>
      </c>
      <c r="H32" s="10" t="n">
        <v>0.71</v>
      </c>
      <c r="I32" s="10" t="n">
        <v>0.746</v>
      </c>
      <c r="J32" s="10" t="n">
        <v>0.674</v>
      </c>
      <c r="K32" s="10" t="n">
        <v>0.71</v>
      </c>
      <c r="L32" s="10" t="n">
        <v>0.74</v>
      </c>
      <c r="M32" s="10" t="n">
        <v>0.78</v>
      </c>
      <c r="N32" s="10" t="n">
        <v>0.74</v>
      </c>
      <c r="O32" s="10" t="n">
        <v>0.738</v>
      </c>
      <c r="P32" s="10" t="n">
        <v>0.04</v>
      </c>
      <c r="Q32" s="10" t="n">
        <v>0.04</v>
      </c>
      <c r="R32" s="10" t="n">
        <v>0.07</v>
      </c>
      <c r="S32" s="10" t="n">
        <v>0.018</v>
      </c>
      <c r="T32" s="10" t="n">
        <v>0.03</v>
      </c>
      <c r="U32" s="10" t="n">
        <v>0.036</v>
      </c>
      <c r="V32" s="10" t="n">
        <v>0.076</v>
      </c>
      <c r="W32" s="10" t="n">
        <v>0.029</v>
      </c>
      <c r="X32" s="10" t="n">
        <v>24.4</v>
      </c>
      <c r="Y32" s="10" t="n">
        <v>15.9</v>
      </c>
      <c r="Z32" s="10" t="n">
        <v>37.8</v>
      </c>
      <c r="AA32" s="10" t="n">
        <v>50752</v>
      </c>
      <c r="AB32" s="10" t="n">
        <v>33040</v>
      </c>
      <c r="AC32" s="10" t="n">
        <v>78720</v>
      </c>
      <c r="AD32" s="10" t="n">
        <v>23.2</v>
      </c>
      <c r="AE32" s="10" t="n">
        <v>15.1</v>
      </c>
      <c r="AF32" s="10" t="n">
        <v>36</v>
      </c>
      <c r="AG32" s="10" t="n">
        <v>48256</v>
      </c>
      <c r="AH32" s="10" t="n">
        <v>31408</v>
      </c>
      <c r="AI32" s="10" t="n">
        <v>74816</v>
      </c>
      <c r="AJ32" s="10" t="n">
        <v>21.2</v>
      </c>
      <c r="AK32" s="10" t="n">
        <v>13.8</v>
      </c>
      <c r="AL32" s="10" t="n">
        <v>32.9</v>
      </c>
      <c r="AM32" s="10" t="n">
        <v>44100</v>
      </c>
      <c r="AN32" s="10" t="n">
        <v>28704</v>
      </c>
      <c r="AO32" s="10" t="n">
        <v>68352</v>
      </c>
      <c r="AP32" s="10" t="n">
        <v>24.9</v>
      </c>
      <c r="AQ32" s="10" t="n">
        <v>16.2</v>
      </c>
      <c r="AR32" s="10" t="n">
        <v>38.6</v>
      </c>
      <c r="AS32" s="10" t="n">
        <v>51792</v>
      </c>
      <c r="AT32" s="10" t="n">
        <v>33712</v>
      </c>
      <c r="AU32" s="10" t="n">
        <v>80384</v>
      </c>
      <c r="AV32" s="10" t="n">
        <v>4500000</v>
      </c>
      <c r="AW32" s="10" t="n">
        <v>153000</v>
      </c>
      <c r="AX32" s="10" t="n">
        <v>81000</v>
      </c>
      <c r="AY32" s="10" t="n">
        <v>4266000</v>
      </c>
      <c r="AZ32" s="10" t="n">
        <v>2250000</v>
      </c>
      <c r="BA32" s="10" t="n">
        <v>76500</v>
      </c>
      <c r="BB32" s="10" t="n">
        <v>40500</v>
      </c>
      <c r="BC32" s="10" t="n">
        <v>2133000</v>
      </c>
      <c r="BD32" s="10" t="n">
        <v>225000</v>
      </c>
      <c r="BE32" s="10" t="n">
        <v>45000</v>
      </c>
      <c r="BF32" s="10" t="n">
        <v>0</v>
      </c>
      <c r="BG32" s="10" t="n">
        <v>180000</v>
      </c>
      <c r="BH32" s="10" t="n">
        <v>112500</v>
      </c>
      <c r="BI32" s="10" t="n">
        <v>22500</v>
      </c>
      <c r="BJ32" s="10" t="n">
        <v>22500</v>
      </c>
      <c r="BK32" s="10" t="n">
        <v>67500</v>
      </c>
      <c r="BL32" s="10" t="n">
        <v>56250</v>
      </c>
      <c r="BM32" s="10" t="n">
        <v>11250</v>
      </c>
      <c r="BN32" s="10" t="n">
        <v>28125</v>
      </c>
      <c r="BO32" s="10" t="n">
        <v>84375</v>
      </c>
      <c r="BP32" s="10" t="n">
        <v>42600</v>
      </c>
      <c r="BQ32" s="10" t="n">
        <v>2239</v>
      </c>
      <c r="BR32" s="10" t="n">
        <v>2022</v>
      </c>
      <c r="BS32" s="10" t="n">
        <v>38339</v>
      </c>
      <c r="BT32" s="10" t="n">
        <v>40</v>
      </c>
      <c r="BU32" s="10" t="n">
        <v>39</v>
      </c>
      <c r="BV32" s="10" t="n">
        <v>41</v>
      </c>
      <c r="BW32" s="10" t="n">
        <v>40.1</v>
      </c>
      <c r="BX32" s="10" t="n">
        <v>25</v>
      </c>
      <c r="BY32" s="10" t="n">
        <v>55</v>
      </c>
      <c r="BZ32" s="10" t="n">
        <v>0.83</v>
      </c>
      <c r="CA32" s="10" t="n">
        <v>0.79</v>
      </c>
      <c r="CB32" s="10" t="n">
        <v>0.73</v>
      </c>
      <c r="CC32" s="10" t="n">
        <v>0.84</v>
      </c>
      <c r="CD32" s="10" t="n">
        <v>0.17</v>
      </c>
      <c r="CE32" s="10" t="n">
        <v>0.21</v>
      </c>
      <c r="CF32" s="10" t="n">
        <v>0.27</v>
      </c>
      <c r="CG32" s="10" t="n">
        <v>0.16</v>
      </c>
      <c r="CH32" s="10" t="n">
        <v>6.9</v>
      </c>
      <c r="CI32" s="10" t="n">
        <v>6.1</v>
      </c>
      <c r="CJ32" s="10" t="n">
        <v>4.9</v>
      </c>
      <c r="CK32" s="10" t="n">
        <v>7.4</v>
      </c>
      <c r="CL32" s="10" t="n">
        <v>1.6</v>
      </c>
      <c r="CM32" s="10" t="n">
        <v>15</v>
      </c>
      <c r="CN32" s="10" t="n">
        <v>0.16</v>
      </c>
      <c r="CO32" s="10" t="n">
        <v>0.14</v>
      </c>
      <c r="CP32" s="10" t="n">
        <v>0.22</v>
      </c>
      <c r="CQ32" s="10" t="n">
        <v>0.15</v>
      </c>
      <c r="CR32" s="10" t="n">
        <v>63</v>
      </c>
      <c r="CS32" s="10" t="n">
        <v>62</v>
      </c>
      <c r="CT32" s="10" t="n">
        <v>60</v>
      </c>
      <c r="CU32" s="10" t="n">
        <v>64</v>
      </c>
      <c r="CV32" s="10" t="n">
        <v>3.3</v>
      </c>
      <c r="CW32" s="10" t="n">
        <v>3.5</v>
      </c>
      <c r="CX32" s="10" t="n">
        <v>2.9</v>
      </c>
      <c r="CY32" s="10" t="n">
        <v>3.4</v>
      </c>
      <c r="CZ32" s="10" t="n">
        <v>675000</v>
      </c>
      <c r="DA32" s="10" t="n">
        <v>27000</v>
      </c>
      <c r="DB32" s="10" t="n">
        <v>13500</v>
      </c>
      <c r="DC32" s="10" t="n">
        <v>634500</v>
      </c>
      <c r="DD32" s="10" t="n">
        <v>1485000</v>
      </c>
      <c r="DE32" s="10" t="n">
        <v>59400</v>
      </c>
      <c r="DF32" s="10" t="n">
        <v>0</v>
      </c>
      <c r="DG32" s="10" t="n">
        <v>1425600</v>
      </c>
      <c r="DH32" s="10" t="n">
        <v>0.065</v>
      </c>
      <c r="DI32" s="10" t="n">
        <v>0.085</v>
      </c>
      <c r="DJ32" s="10" t="n">
        <v>0.035</v>
      </c>
      <c r="DK32" s="10" t="n">
        <v>0.065</v>
      </c>
    </row>
    <row r="33" customFormat="false" ht="12.8" hidden="false" customHeight="false" outlineLevel="0" collapsed="false">
      <c r="A33" s="9" t="n">
        <v>29</v>
      </c>
      <c r="B33" s="10" t="s">
        <v>8417</v>
      </c>
      <c r="C33" s="10" t="s">
        <v>8402</v>
      </c>
      <c r="D33" s="10" t="n">
        <v>600000</v>
      </c>
      <c r="E33" s="10" t="n">
        <v>15000</v>
      </c>
      <c r="F33" s="10" t="n">
        <v>15000</v>
      </c>
      <c r="G33" s="10" t="n">
        <v>570000</v>
      </c>
      <c r="H33" s="10" t="n">
        <v>0.78</v>
      </c>
      <c r="I33" s="10" t="n">
        <v>0.819</v>
      </c>
      <c r="J33" s="10" t="n">
        <v>0.741</v>
      </c>
      <c r="K33" s="10" t="n">
        <v>0.78</v>
      </c>
      <c r="L33" s="10" t="n">
        <v>0.81</v>
      </c>
      <c r="M33" s="10" t="n">
        <v>0.85</v>
      </c>
      <c r="N33" s="10" t="n">
        <v>0.81</v>
      </c>
      <c r="O33" s="10" t="n">
        <v>0.808</v>
      </c>
      <c r="P33" s="10" t="n">
        <v>0.03</v>
      </c>
      <c r="Q33" s="10" t="n">
        <v>0.03</v>
      </c>
      <c r="R33" s="10" t="n">
        <v>0.07</v>
      </c>
      <c r="S33" s="10" t="n">
        <v>0.018</v>
      </c>
      <c r="T33" s="10" t="n">
        <v>0.03</v>
      </c>
      <c r="U33" s="10" t="n">
        <v>0.036</v>
      </c>
      <c r="V33" s="10" t="n">
        <v>0.076</v>
      </c>
      <c r="W33" s="10" t="n">
        <v>0.029</v>
      </c>
      <c r="X33" s="10" t="n">
        <v>24.54</v>
      </c>
      <c r="Y33" s="10" t="n">
        <v>16</v>
      </c>
      <c r="Z33" s="10" t="n">
        <v>38</v>
      </c>
      <c r="AA33" s="10" t="n">
        <v>51043</v>
      </c>
      <c r="AB33" s="10" t="n">
        <v>33200</v>
      </c>
      <c r="AC33" s="10" t="n">
        <v>79040</v>
      </c>
      <c r="AD33" s="10" t="n">
        <v>23.3</v>
      </c>
      <c r="AE33" s="10" t="n">
        <v>15.1</v>
      </c>
      <c r="AF33" s="10" t="n">
        <v>36.1</v>
      </c>
      <c r="AG33" s="10" t="n">
        <v>48464</v>
      </c>
      <c r="AH33" s="10" t="n">
        <v>31520</v>
      </c>
      <c r="AI33" s="10" t="n">
        <v>75200</v>
      </c>
      <c r="AJ33" s="10" t="n">
        <v>21.3</v>
      </c>
      <c r="AK33" s="10" t="n">
        <v>13.9</v>
      </c>
      <c r="AL33" s="10" t="n">
        <v>33.1</v>
      </c>
      <c r="AM33" s="10" t="n">
        <v>44280</v>
      </c>
      <c r="AN33" s="10" t="n">
        <v>28800</v>
      </c>
      <c r="AO33" s="10" t="n">
        <v>68640</v>
      </c>
      <c r="AP33" s="10" t="n">
        <v>25</v>
      </c>
      <c r="AQ33" s="10" t="n">
        <v>16.3</v>
      </c>
      <c r="AR33" s="10" t="n">
        <v>38.8</v>
      </c>
      <c r="AS33" s="10" t="n">
        <v>52000</v>
      </c>
      <c r="AT33" s="10" t="n">
        <v>33840</v>
      </c>
      <c r="AU33" s="10" t="n">
        <v>80672</v>
      </c>
      <c r="AV33" s="10" t="n">
        <v>120000000</v>
      </c>
      <c r="AW33" s="10" t="n">
        <v>4080000</v>
      </c>
      <c r="AX33" s="10" t="n">
        <v>2160000</v>
      </c>
      <c r="AY33" s="10" t="n">
        <v>113520000</v>
      </c>
      <c r="AZ33" s="10" t="n">
        <v>60000000</v>
      </c>
      <c r="BA33" s="10" t="n">
        <v>2040000</v>
      </c>
      <c r="BB33" s="10" t="n">
        <v>1080000</v>
      </c>
      <c r="BC33" s="10" t="n">
        <v>56880000</v>
      </c>
      <c r="BD33" s="10" t="n">
        <v>6000000</v>
      </c>
      <c r="BE33" s="10" t="n">
        <v>1200000</v>
      </c>
      <c r="BF33" s="10" t="n">
        <v>0</v>
      </c>
      <c r="BG33" s="10" t="n">
        <v>4800000</v>
      </c>
      <c r="BH33" s="10" t="n">
        <v>3000000</v>
      </c>
      <c r="BI33" s="10" t="n">
        <v>600000</v>
      </c>
      <c r="BJ33" s="10" t="n">
        <v>600000</v>
      </c>
      <c r="BK33" s="10" t="n">
        <v>1800000</v>
      </c>
      <c r="BL33" s="10" t="n">
        <v>1500000</v>
      </c>
      <c r="BM33" s="10" t="n">
        <v>300000</v>
      </c>
      <c r="BN33" s="10" t="n">
        <v>750000</v>
      </c>
      <c r="BO33" s="10" t="n">
        <v>2250000</v>
      </c>
      <c r="BP33" s="10" t="n">
        <v>468000</v>
      </c>
      <c r="BQ33" s="10" t="n">
        <v>12315</v>
      </c>
      <c r="BR33" s="10" t="n">
        <v>11115</v>
      </c>
      <c r="BS33" s="10" t="n">
        <v>444570</v>
      </c>
      <c r="BT33" s="10" t="n">
        <v>39</v>
      </c>
      <c r="BU33" s="10" t="n">
        <v>38.5</v>
      </c>
      <c r="BV33" s="10" t="n">
        <v>39.5</v>
      </c>
      <c r="BW33" s="10" t="n">
        <v>39.1</v>
      </c>
      <c r="BX33" s="10" t="n">
        <v>26</v>
      </c>
      <c r="BY33" s="10" t="n">
        <v>54</v>
      </c>
      <c r="BZ33" s="10" t="n">
        <v>0.87</v>
      </c>
      <c r="CA33" s="10" t="n">
        <v>0.83</v>
      </c>
      <c r="CB33" s="10" t="n">
        <v>0.77</v>
      </c>
      <c r="CC33" s="10" t="n">
        <v>0.88</v>
      </c>
      <c r="CD33" s="10" t="n">
        <v>0.13</v>
      </c>
      <c r="CE33" s="10" t="n">
        <v>0.17</v>
      </c>
      <c r="CF33" s="10" t="n">
        <v>0.23</v>
      </c>
      <c r="CG33" s="10" t="n">
        <v>0.12</v>
      </c>
      <c r="CH33" s="10" t="n">
        <v>8</v>
      </c>
      <c r="CI33" s="10" t="n">
        <v>7</v>
      </c>
      <c r="CJ33" s="10" t="n">
        <v>5</v>
      </c>
      <c r="CK33" s="10" t="n">
        <v>8.5</v>
      </c>
      <c r="CL33" s="10" t="n">
        <v>2</v>
      </c>
      <c r="CM33" s="10" t="n">
        <v>20</v>
      </c>
      <c r="CN33" s="10" t="n">
        <v>0.12</v>
      </c>
      <c r="CO33" s="10" t="n">
        <v>0.11</v>
      </c>
      <c r="CP33" s="10" t="n">
        <v>0.18</v>
      </c>
      <c r="CQ33" s="10" t="n">
        <v>0.115</v>
      </c>
      <c r="CR33" s="10" t="n">
        <v>55</v>
      </c>
      <c r="CS33" s="10" t="n">
        <v>54</v>
      </c>
      <c r="CT33" s="10" t="n">
        <v>52</v>
      </c>
      <c r="CU33" s="10" t="n">
        <v>56</v>
      </c>
      <c r="CV33" s="10" t="n">
        <v>3</v>
      </c>
      <c r="CW33" s="10" t="n">
        <v>3.2</v>
      </c>
      <c r="CX33" s="10" t="n">
        <v>2.5</v>
      </c>
      <c r="CY33" s="10" t="n">
        <v>3.1</v>
      </c>
      <c r="CZ33" s="10" t="n">
        <v>18000000</v>
      </c>
      <c r="DA33" s="10" t="n">
        <v>720000</v>
      </c>
      <c r="DB33" s="10" t="n">
        <v>360000</v>
      </c>
      <c r="DC33" s="10" t="n">
        <v>16920000</v>
      </c>
      <c r="DD33" s="10" t="n">
        <v>39600000</v>
      </c>
      <c r="DE33" s="10" t="n">
        <v>1584000</v>
      </c>
      <c r="DF33" s="10" t="n">
        <v>0</v>
      </c>
      <c r="DG33" s="10" t="n">
        <v>38016000</v>
      </c>
      <c r="DH33" s="10" t="n">
        <v>0.04</v>
      </c>
      <c r="DI33" s="10" t="n">
        <v>0.06</v>
      </c>
      <c r="DJ33" s="10" t="n">
        <v>0.03</v>
      </c>
      <c r="DK33" s="10" t="n">
        <v>0.04</v>
      </c>
    </row>
    <row r="34" customFormat="false" ht="12.8" hidden="false" customHeight="false" outlineLevel="0" collapsed="false">
      <c r="A34" s="9" t="n">
        <v>30</v>
      </c>
      <c r="B34" s="10" t="s">
        <v>8417</v>
      </c>
      <c r="C34" s="10" t="s">
        <v>8403</v>
      </c>
      <c r="D34" s="10" t="n">
        <v>300000</v>
      </c>
      <c r="E34" s="10" t="n">
        <v>7500</v>
      </c>
      <c r="F34" s="10" t="n">
        <v>7500</v>
      </c>
      <c r="G34" s="10" t="n">
        <v>285000</v>
      </c>
      <c r="H34" s="10" t="n">
        <v>0.78</v>
      </c>
      <c r="I34" s="10" t="n">
        <v>0.819</v>
      </c>
      <c r="J34" s="10" t="n">
        <v>0.741</v>
      </c>
      <c r="K34" s="10" t="n">
        <v>0.78</v>
      </c>
      <c r="L34" s="10" t="n">
        <v>0.81</v>
      </c>
      <c r="M34" s="10" t="n">
        <v>0.85</v>
      </c>
      <c r="N34" s="10" t="n">
        <v>0.81</v>
      </c>
      <c r="O34" s="10" t="n">
        <v>0.808</v>
      </c>
      <c r="P34" s="10" t="n">
        <v>0.03</v>
      </c>
      <c r="Q34" s="10" t="n">
        <v>0.03</v>
      </c>
      <c r="R34" s="10" t="n">
        <v>0.07</v>
      </c>
      <c r="S34" s="10" t="n">
        <v>0.018</v>
      </c>
      <c r="T34" s="10" t="n">
        <v>0.03</v>
      </c>
      <c r="U34" s="10" t="n">
        <v>0.036</v>
      </c>
      <c r="V34" s="10" t="n">
        <v>0.076</v>
      </c>
      <c r="W34" s="10" t="n">
        <v>0.029</v>
      </c>
      <c r="X34" s="10" t="n">
        <v>20.86</v>
      </c>
      <c r="Y34" s="10" t="n">
        <v>13.6</v>
      </c>
      <c r="Z34" s="10" t="n">
        <v>32.3</v>
      </c>
      <c r="AA34" s="10" t="n">
        <v>43389</v>
      </c>
      <c r="AB34" s="10" t="n">
        <v>28240</v>
      </c>
      <c r="AC34" s="10" t="n">
        <v>67232</v>
      </c>
      <c r="AD34" s="10" t="n">
        <v>19.8</v>
      </c>
      <c r="AE34" s="10" t="n">
        <v>12.9</v>
      </c>
      <c r="AF34" s="10" t="n">
        <v>30.7</v>
      </c>
      <c r="AG34" s="10" t="n">
        <v>41184</v>
      </c>
      <c r="AH34" s="10" t="n">
        <v>26800</v>
      </c>
      <c r="AI34" s="10" t="n">
        <v>64000</v>
      </c>
      <c r="AJ34" s="10" t="n">
        <v>18.1</v>
      </c>
      <c r="AK34" s="10" t="n">
        <v>11.8</v>
      </c>
      <c r="AL34" s="10" t="n">
        <v>28.1</v>
      </c>
      <c r="AM34" s="10" t="n">
        <v>37648</v>
      </c>
      <c r="AN34" s="10" t="n">
        <v>24496</v>
      </c>
      <c r="AO34" s="10" t="n">
        <v>58272</v>
      </c>
      <c r="AP34" s="10" t="n">
        <v>21.3</v>
      </c>
      <c r="AQ34" s="10" t="n">
        <v>13.9</v>
      </c>
      <c r="AR34" s="10" t="n">
        <v>33.1</v>
      </c>
      <c r="AS34" s="10" t="n">
        <v>44280</v>
      </c>
      <c r="AT34" s="10" t="n">
        <v>28800</v>
      </c>
      <c r="AU34" s="10" t="n">
        <v>68640</v>
      </c>
      <c r="AV34" s="10" t="n">
        <v>60000000</v>
      </c>
      <c r="AW34" s="10" t="n">
        <v>2040000</v>
      </c>
      <c r="AX34" s="10" t="n">
        <v>1080000</v>
      </c>
      <c r="AY34" s="10" t="n">
        <v>56760000</v>
      </c>
      <c r="AZ34" s="10" t="n">
        <v>30000000</v>
      </c>
      <c r="BA34" s="10" t="n">
        <v>1020000</v>
      </c>
      <c r="BB34" s="10" t="n">
        <v>540000</v>
      </c>
      <c r="BC34" s="10" t="n">
        <v>28440000</v>
      </c>
      <c r="BD34" s="10" t="n">
        <v>3000000</v>
      </c>
      <c r="BE34" s="10" t="n">
        <v>600000</v>
      </c>
      <c r="BF34" s="10" t="n">
        <v>0</v>
      </c>
      <c r="BG34" s="10" t="n">
        <v>2400000</v>
      </c>
      <c r="BH34" s="10" t="n">
        <v>1500000</v>
      </c>
      <c r="BI34" s="10" t="n">
        <v>300000</v>
      </c>
      <c r="BJ34" s="10" t="n">
        <v>300000</v>
      </c>
      <c r="BK34" s="10" t="n">
        <v>900000</v>
      </c>
      <c r="BL34" s="10" t="n">
        <v>750000</v>
      </c>
      <c r="BM34" s="10" t="n">
        <v>150000</v>
      </c>
      <c r="BN34" s="10" t="n">
        <v>375000</v>
      </c>
      <c r="BO34" s="10" t="n">
        <v>1125000</v>
      </c>
      <c r="BP34" s="10" t="n">
        <v>234000</v>
      </c>
      <c r="BQ34" s="10" t="n">
        <v>6163</v>
      </c>
      <c r="BR34" s="10" t="n">
        <v>5558</v>
      </c>
      <c r="BS34" s="10" t="n">
        <v>222285</v>
      </c>
      <c r="BT34" s="10" t="n">
        <v>39</v>
      </c>
      <c r="BU34" s="10" t="n">
        <v>38.5</v>
      </c>
      <c r="BV34" s="10" t="n">
        <v>39.5</v>
      </c>
      <c r="BW34" s="10" t="n">
        <v>39.1</v>
      </c>
      <c r="BX34" s="10" t="n">
        <v>26</v>
      </c>
      <c r="BY34" s="10" t="n">
        <v>54</v>
      </c>
      <c r="BZ34" s="10" t="n">
        <v>0.87</v>
      </c>
      <c r="CA34" s="10" t="n">
        <v>0.83</v>
      </c>
      <c r="CB34" s="10" t="n">
        <v>0.77</v>
      </c>
      <c r="CC34" s="10" t="n">
        <v>0.88</v>
      </c>
      <c r="CD34" s="10" t="n">
        <v>0.13</v>
      </c>
      <c r="CE34" s="10" t="n">
        <v>0.17</v>
      </c>
      <c r="CF34" s="10" t="n">
        <v>0.23</v>
      </c>
      <c r="CG34" s="10" t="n">
        <v>0.12</v>
      </c>
      <c r="CH34" s="10" t="n">
        <v>8</v>
      </c>
      <c r="CI34" s="10" t="n">
        <v>7</v>
      </c>
      <c r="CJ34" s="10" t="n">
        <v>5</v>
      </c>
      <c r="CK34" s="10" t="n">
        <v>8.5</v>
      </c>
      <c r="CL34" s="10" t="n">
        <v>2</v>
      </c>
      <c r="CM34" s="10" t="n">
        <v>20</v>
      </c>
      <c r="CN34" s="10" t="n">
        <v>0.12</v>
      </c>
      <c r="CO34" s="10" t="n">
        <v>0.11</v>
      </c>
      <c r="CP34" s="10" t="n">
        <v>0.18</v>
      </c>
      <c r="CQ34" s="10" t="n">
        <v>0.115</v>
      </c>
      <c r="CR34" s="10" t="n">
        <v>55</v>
      </c>
      <c r="CS34" s="10" t="n">
        <v>54</v>
      </c>
      <c r="CT34" s="10" t="n">
        <v>52</v>
      </c>
      <c r="CU34" s="10" t="n">
        <v>56</v>
      </c>
      <c r="CV34" s="10" t="n">
        <v>3</v>
      </c>
      <c r="CW34" s="10" t="n">
        <v>3.2</v>
      </c>
      <c r="CX34" s="10" t="n">
        <v>2.5</v>
      </c>
      <c r="CY34" s="10" t="n">
        <v>3.1</v>
      </c>
      <c r="CZ34" s="10" t="n">
        <v>9000000</v>
      </c>
      <c r="DA34" s="10" t="n">
        <v>360000</v>
      </c>
      <c r="DB34" s="10" t="n">
        <v>180000</v>
      </c>
      <c r="DC34" s="10" t="n">
        <v>8460000</v>
      </c>
      <c r="DD34" s="10" t="n">
        <v>19800000</v>
      </c>
      <c r="DE34" s="10" t="n">
        <v>792000</v>
      </c>
      <c r="DF34" s="10" t="n">
        <v>0</v>
      </c>
      <c r="DG34" s="10" t="n">
        <v>19008000</v>
      </c>
      <c r="DH34" s="10" t="n">
        <v>0.04</v>
      </c>
      <c r="DI34" s="10" t="n">
        <v>0.06</v>
      </c>
      <c r="DJ34" s="10" t="n">
        <v>0.03</v>
      </c>
      <c r="DK34" s="10" t="n">
        <v>0.04</v>
      </c>
    </row>
    <row r="35" customFormat="false" ht="12.8" hidden="false" customHeight="false" outlineLevel="0" collapsed="false">
      <c r="A35" s="9" t="n">
        <v>31</v>
      </c>
      <c r="B35" s="10" t="s">
        <v>8418</v>
      </c>
      <c r="C35" s="10" t="s">
        <v>8402</v>
      </c>
      <c r="D35" s="10" t="n">
        <v>150000</v>
      </c>
      <c r="E35" s="10" t="n">
        <v>9750</v>
      </c>
      <c r="F35" s="10" t="n">
        <v>9750</v>
      </c>
      <c r="G35" s="10" t="n">
        <v>130500</v>
      </c>
      <c r="H35" s="10" t="n">
        <v>0.68</v>
      </c>
      <c r="I35" s="10" t="n">
        <v>0.714</v>
      </c>
      <c r="J35" s="10" t="n">
        <v>0.646</v>
      </c>
      <c r="K35" s="10" t="n">
        <v>0.68</v>
      </c>
      <c r="L35" s="10" t="n">
        <v>0.71</v>
      </c>
      <c r="M35" s="10" t="n">
        <v>0.75</v>
      </c>
      <c r="N35" s="10" t="n">
        <v>0.71</v>
      </c>
      <c r="O35" s="10" t="n">
        <v>0.708</v>
      </c>
      <c r="P35" s="10" t="n">
        <v>0.045</v>
      </c>
      <c r="Q35" s="10" t="n">
        <v>0.045</v>
      </c>
      <c r="R35" s="10" t="n">
        <v>0.06</v>
      </c>
      <c r="S35" s="10" t="n">
        <v>0.035</v>
      </c>
      <c r="T35" s="10" t="n">
        <v>0.042</v>
      </c>
      <c r="U35" s="10" t="n">
        <v>0.05</v>
      </c>
      <c r="V35" s="10" t="n">
        <v>0.084</v>
      </c>
      <c r="W35" s="10" t="n">
        <v>0.041</v>
      </c>
      <c r="X35" s="10" t="n">
        <v>37.5</v>
      </c>
      <c r="Y35" s="10" t="n">
        <v>24.4</v>
      </c>
      <c r="Z35" s="10" t="n">
        <v>58.1</v>
      </c>
      <c r="AA35" s="10" t="n">
        <v>78000</v>
      </c>
      <c r="AB35" s="10" t="n">
        <v>50760</v>
      </c>
      <c r="AC35" s="10" t="n">
        <v>120848</v>
      </c>
      <c r="AD35" s="10" t="n">
        <v>35.6</v>
      </c>
      <c r="AE35" s="10" t="n">
        <v>23.2</v>
      </c>
      <c r="AF35" s="10" t="n">
        <v>55.3</v>
      </c>
      <c r="AG35" s="10" t="n">
        <v>74048</v>
      </c>
      <c r="AH35" s="10" t="n">
        <v>48160</v>
      </c>
      <c r="AI35" s="10" t="n">
        <v>114848</v>
      </c>
      <c r="AJ35" s="10" t="n">
        <v>32.6</v>
      </c>
      <c r="AK35" s="10" t="n">
        <v>21.2</v>
      </c>
      <c r="AL35" s="10" t="n">
        <v>50.6</v>
      </c>
      <c r="AM35" s="10" t="n">
        <v>67808</v>
      </c>
      <c r="AN35" s="10" t="n">
        <v>44120</v>
      </c>
      <c r="AO35" s="10" t="n">
        <v>105248</v>
      </c>
      <c r="AP35" s="10" t="n">
        <v>38.3</v>
      </c>
      <c r="AQ35" s="10" t="n">
        <v>24.9</v>
      </c>
      <c r="AR35" s="10" t="n">
        <v>59.3</v>
      </c>
      <c r="AS35" s="10" t="n">
        <v>79664</v>
      </c>
      <c r="AT35" s="10" t="n">
        <v>51832</v>
      </c>
      <c r="AU35" s="10" t="n">
        <v>123696</v>
      </c>
      <c r="AV35" s="10" t="n">
        <v>5400000</v>
      </c>
      <c r="AW35" s="10" t="n">
        <v>183600</v>
      </c>
      <c r="AX35" s="10" t="n">
        <v>97200</v>
      </c>
      <c r="AY35" s="10" t="n">
        <v>5122800</v>
      </c>
      <c r="AZ35" s="10" t="n">
        <v>2700000</v>
      </c>
      <c r="BA35" s="10" t="n">
        <v>91800</v>
      </c>
      <c r="BB35" s="10" t="n">
        <v>48600</v>
      </c>
      <c r="BC35" s="10" t="n">
        <v>2561400</v>
      </c>
      <c r="BD35" s="10" t="n">
        <v>2700000</v>
      </c>
      <c r="BE35" s="10" t="n">
        <v>540000</v>
      </c>
      <c r="BF35" s="10" t="n">
        <v>0</v>
      </c>
      <c r="BG35" s="10" t="n">
        <v>2160000</v>
      </c>
      <c r="BH35" s="10" t="n">
        <v>1350000</v>
      </c>
      <c r="BI35" s="10" t="n">
        <v>270000</v>
      </c>
      <c r="BJ35" s="10" t="n">
        <v>270000</v>
      </c>
      <c r="BK35" s="10" t="n">
        <v>810000</v>
      </c>
      <c r="BL35" s="10" t="n">
        <v>675000</v>
      </c>
      <c r="BM35" s="10" t="n">
        <v>135000</v>
      </c>
      <c r="BN35" s="10" t="n">
        <v>337500</v>
      </c>
      <c r="BO35" s="10" t="n">
        <v>1012500</v>
      </c>
      <c r="BP35" s="10" t="n">
        <v>102000</v>
      </c>
      <c r="BQ35" s="10" t="n">
        <v>6962</v>
      </c>
      <c r="BR35" s="10" t="n">
        <v>6296</v>
      </c>
      <c r="BS35" s="10" t="n">
        <v>88842</v>
      </c>
      <c r="BT35" s="10" t="n">
        <v>40</v>
      </c>
      <c r="BU35" s="10" t="n">
        <v>39</v>
      </c>
      <c r="BV35" s="10" t="n">
        <v>41</v>
      </c>
      <c r="BW35" s="10" t="n">
        <v>40.1</v>
      </c>
      <c r="BX35" s="10" t="n">
        <v>25</v>
      </c>
      <c r="BY35" s="10" t="n">
        <v>55</v>
      </c>
      <c r="BZ35" s="10" t="n">
        <v>0.78</v>
      </c>
      <c r="CA35" s="10" t="n">
        <v>0.74</v>
      </c>
      <c r="CB35" s="10" t="n">
        <v>0.68</v>
      </c>
      <c r="CC35" s="10" t="n">
        <v>0.79</v>
      </c>
      <c r="CD35" s="10" t="n">
        <v>0.22</v>
      </c>
      <c r="CE35" s="10" t="n">
        <v>0.26</v>
      </c>
      <c r="CF35" s="10" t="n">
        <v>0.32</v>
      </c>
      <c r="CG35" s="10" t="n">
        <v>0.21</v>
      </c>
      <c r="CH35" s="10" t="n">
        <v>6</v>
      </c>
      <c r="CI35" s="10" t="n">
        <v>5.3</v>
      </c>
      <c r="CJ35" s="10" t="n">
        <v>4.3</v>
      </c>
      <c r="CK35" s="10" t="n">
        <v>6.5</v>
      </c>
      <c r="CL35" s="10" t="n">
        <v>1.4</v>
      </c>
      <c r="CM35" s="10" t="n">
        <v>14</v>
      </c>
      <c r="CN35" s="10" t="n">
        <v>0.19</v>
      </c>
      <c r="CO35" s="10" t="n">
        <v>0.17</v>
      </c>
      <c r="CP35" s="10" t="n">
        <v>0.25</v>
      </c>
      <c r="CQ35" s="10" t="n">
        <v>0.18</v>
      </c>
      <c r="CR35" s="10" t="n">
        <v>60</v>
      </c>
      <c r="CS35" s="10" t="n">
        <v>59</v>
      </c>
      <c r="CT35" s="10" t="n">
        <v>57</v>
      </c>
      <c r="CU35" s="10" t="n">
        <v>61</v>
      </c>
      <c r="CV35" s="10" t="n">
        <v>2.8</v>
      </c>
      <c r="CW35" s="10" t="n">
        <v>3</v>
      </c>
      <c r="CX35" s="10" t="n">
        <v>2.3</v>
      </c>
      <c r="CY35" s="10" t="n">
        <v>2.9</v>
      </c>
      <c r="CZ35" s="10" t="n">
        <v>810000</v>
      </c>
      <c r="DA35" s="10" t="n">
        <v>32400</v>
      </c>
      <c r="DB35" s="10" t="n">
        <v>16200</v>
      </c>
      <c r="DC35" s="10" t="n">
        <v>761400</v>
      </c>
      <c r="DD35" s="10" t="n">
        <v>17820000</v>
      </c>
      <c r="DE35" s="10" t="n">
        <v>712800</v>
      </c>
      <c r="DF35" s="10" t="n">
        <v>0</v>
      </c>
      <c r="DG35" s="10" t="n">
        <v>17107200</v>
      </c>
      <c r="DH35" s="10" t="n">
        <v>0.08</v>
      </c>
      <c r="DI35" s="10" t="n">
        <v>0.1</v>
      </c>
      <c r="DJ35" s="10" t="n">
        <v>0.05</v>
      </c>
      <c r="DK35" s="10" t="n">
        <v>0.08</v>
      </c>
    </row>
    <row r="36" customFormat="false" ht="12.8" hidden="false" customHeight="false" outlineLevel="0" collapsed="false">
      <c r="A36" s="9" t="n">
        <v>32</v>
      </c>
      <c r="B36" s="10" t="s">
        <v>8418</v>
      </c>
      <c r="C36" s="10" t="s">
        <v>8403</v>
      </c>
      <c r="D36" s="10" t="n">
        <v>50000</v>
      </c>
      <c r="E36" s="10" t="n">
        <v>3250</v>
      </c>
      <c r="F36" s="10" t="n">
        <v>3250</v>
      </c>
      <c r="G36" s="10" t="n">
        <v>43500</v>
      </c>
      <c r="H36" s="10" t="n">
        <v>0.68</v>
      </c>
      <c r="I36" s="10" t="n">
        <v>0.714</v>
      </c>
      <c r="J36" s="10" t="n">
        <v>0.646</v>
      </c>
      <c r="K36" s="10" t="n">
        <v>0.68</v>
      </c>
      <c r="L36" s="10" t="n">
        <v>0.71</v>
      </c>
      <c r="M36" s="10" t="n">
        <v>0.75</v>
      </c>
      <c r="N36" s="10" t="n">
        <v>0.71</v>
      </c>
      <c r="O36" s="10" t="n">
        <v>0.708</v>
      </c>
      <c r="P36" s="10" t="n">
        <v>0.045</v>
      </c>
      <c r="Q36" s="10" t="n">
        <v>0.045</v>
      </c>
      <c r="R36" s="10" t="n">
        <v>0.06</v>
      </c>
      <c r="S36" s="10" t="n">
        <v>0.035</v>
      </c>
      <c r="T36" s="10" t="n">
        <v>0.042</v>
      </c>
      <c r="U36" s="10" t="n">
        <v>0.05</v>
      </c>
      <c r="V36" s="10" t="n">
        <v>0.084</v>
      </c>
      <c r="W36" s="10" t="n">
        <v>0.041</v>
      </c>
      <c r="X36" s="10" t="n">
        <v>31.88</v>
      </c>
      <c r="Y36" s="10" t="n">
        <v>20.7</v>
      </c>
      <c r="Z36" s="10" t="n">
        <v>49.4</v>
      </c>
      <c r="AA36" s="10" t="n">
        <v>66310</v>
      </c>
      <c r="AB36" s="10" t="n">
        <v>43120</v>
      </c>
      <c r="AC36" s="10" t="n">
        <v>102752</v>
      </c>
      <c r="AD36" s="10" t="n">
        <v>30.3</v>
      </c>
      <c r="AE36" s="10" t="n">
        <v>19.7</v>
      </c>
      <c r="AF36" s="10" t="n">
        <v>46.9</v>
      </c>
      <c r="AG36" s="10" t="n">
        <v>63024</v>
      </c>
      <c r="AH36" s="10" t="n">
        <v>40992</v>
      </c>
      <c r="AI36" s="10" t="n">
        <v>97728</v>
      </c>
      <c r="AJ36" s="10" t="n">
        <v>27.7</v>
      </c>
      <c r="AK36" s="10" t="n">
        <v>18</v>
      </c>
      <c r="AL36" s="10" t="n">
        <v>43</v>
      </c>
      <c r="AM36" s="10" t="n">
        <v>57616</v>
      </c>
      <c r="AN36" s="10" t="n">
        <v>37488</v>
      </c>
      <c r="AO36" s="10" t="n">
        <v>89424</v>
      </c>
      <c r="AP36" s="10" t="n">
        <v>32.5</v>
      </c>
      <c r="AQ36" s="10" t="n">
        <v>21.1</v>
      </c>
      <c r="AR36" s="10" t="n">
        <v>50.4</v>
      </c>
      <c r="AS36" s="10" t="n">
        <v>67600</v>
      </c>
      <c r="AT36" s="10" t="n">
        <v>43960</v>
      </c>
      <c r="AU36" s="10" t="n">
        <v>105104</v>
      </c>
      <c r="AV36" s="10" t="n">
        <v>2700000</v>
      </c>
      <c r="AW36" s="10" t="n">
        <v>91800</v>
      </c>
      <c r="AX36" s="10" t="n">
        <v>48600</v>
      </c>
      <c r="AY36" s="10" t="n">
        <v>2561400</v>
      </c>
      <c r="AZ36" s="10" t="n">
        <v>1350000</v>
      </c>
      <c r="BA36" s="10" t="n">
        <v>45900</v>
      </c>
      <c r="BB36" s="10" t="n">
        <v>24300</v>
      </c>
      <c r="BC36" s="10" t="n">
        <v>1280700</v>
      </c>
      <c r="BD36" s="10" t="n">
        <v>1350000</v>
      </c>
      <c r="BE36" s="10" t="n">
        <v>270000</v>
      </c>
      <c r="BF36" s="10" t="n">
        <v>0</v>
      </c>
      <c r="BG36" s="10" t="n">
        <v>1080000</v>
      </c>
      <c r="BH36" s="10" t="n">
        <v>675000</v>
      </c>
      <c r="BI36" s="10" t="n">
        <v>135000</v>
      </c>
      <c r="BJ36" s="10" t="n">
        <v>135000</v>
      </c>
      <c r="BK36" s="10" t="n">
        <v>405000</v>
      </c>
      <c r="BL36" s="10" t="n">
        <v>337500</v>
      </c>
      <c r="BM36" s="10" t="n">
        <v>67500</v>
      </c>
      <c r="BN36" s="10" t="n">
        <v>168750</v>
      </c>
      <c r="BO36" s="10" t="n">
        <v>506250</v>
      </c>
      <c r="BP36" s="10" t="n">
        <v>34000</v>
      </c>
      <c r="BQ36" s="10" t="n">
        <v>2321</v>
      </c>
      <c r="BR36" s="10" t="n">
        <v>2099</v>
      </c>
      <c r="BS36" s="10" t="n">
        <v>29614</v>
      </c>
      <c r="BT36" s="10" t="n">
        <v>40</v>
      </c>
      <c r="BU36" s="10" t="n">
        <v>39</v>
      </c>
      <c r="BV36" s="10" t="n">
        <v>41</v>
      </c>
      <c r="BW36" s="10" t="n">
        <v>40.1</v>
      </c>
      <c r="BX36" s="10" t="n">
        <v>25</v>
      </c>
      <c r="BY36" s="10" t="n">
        <v>55</v>
      </c>
      <c r="BZ36" s="10" t="n">
        <v>0.78</v>
      </c>
      <c r="CA36" s="10" t="n">
        <v>0.74</v>
      </c>
      <c r="CB36" s="10" t="n">
        <v>0.68</v>
      </c>
      <c r="CC36" s="10" t="n">
        <v>0.79</v>
      </c>
      <c r="CD36" s="10" t="n">
        <v>0.22</v>
      </c>
      <c r="CE36" s="10" t="n">
        <v>0.26</v>
      </c>
      <c r="CF36" s="10" t="n">
        <v>0.32</v>
      </c>
      <c r="CG36" s="10" t="n">
        <v>0.21</v>
      </c>
      <c r="CH36" s="10" t="n">
        <v>6</v>
      </c>
      <c r="CI36" s="10" t="n">
        <v>5.3</v>
      </c>
      <c r="CJ36" s="10" t="n">
        <v>4.3</v>
      </c>
      <c r="CK36" s="10" t="n">
        <v>6.5</v>
      </c>
      <c r="CL36" s="10" t="n">
        <v>1.4</v>
      </c>
      <c r="CM36" s="10" t="n">
        <v>14</v>
      </c>
      <c r="CN36" s="10" t="n">
        <v>0.19</v>
      </c>
      <c r="CO36" s="10" t="n">
        <v>0.17</v>
      </c>
      <c r="CP36" s="10" t="n">
        <v>0.25</v>
      </c>
      <c r="CQ36" s="10" t="n">
        <v>0.18</v>
      </c>
      <c r="CR36" s="10" t="n">
        <v>60</v>
      </c>
      <c r="CS36" s="10" t="n">
        <v>59</v>
      </c>
      <c r="CT36" s="10" t="n">
        <v>57</v>
      </c>
      <c r="CU36" s="10" t="n">
        <v>61</v>
      </c>
      <c r="CV36" s="10" t="n">
        <v>2.8</v>
      </c>
      <c r="CW36" s="10" t="n">
        <v>3</v>
      </c>
      <c r="CX36" s="10" t="n">
        <v>2.3</v>
      </c>
      <c r="CY36" s="10" t="n">
        <v>2.9</v>
      </c>
      <c r="CZ36" s="10" t="n">
        <v>270000</v>
      </c>
      <c r="DA36" s="10" t="n">
        <v>10800</v>
      </c>
      <c r="DB36" s="10" t="n">
        <v>5400</v>
      </c>
      <c r="DC36" s="10" t="n">
        <v>253800</v>
      </c>
      <c r="DD36" s="10" t="n">
        <v>5940000</v>
      </c>
      <c r="DE36" s="10" t="n">
        <v>237600</v>
      </c>
      <c r="DF36" s="10" t="n">
        <v>0</v>
      </c>
      <c r="DG36" s="10" t="n">
        <v>5702400</v>
      </c>
      <c r="DH36" s="10" t="n">
        <v>0.08</v>
      </c>
      <c r="DI36" s="10" t="n">
        <v>0.1</v>
      </c>
      <c r="DJ36" s="10" t="n">
        <v>0.05</v>
      </c>
      <c r="DK36" s="10" t="n">
        <v>0.08</v>
      </c>
    </row>
    <row r="37" customFormat="false" ht="12.8" hidden="false" customHeight="false" outlineLevel="0" collapsed="false">
      <c r="A37" s="9" t="n">
        <v>33</v>
      </c>
      <c r="B37" s="10" t="s">
        <v>8419</v>
      </c>
      <c r="C37" s="10" t="s">
        <v>8402</v>
      </c>
      <c r="D37" s="10" t="n">
        <v>165000</v>
      </c>
      <c r="E37" s="10" t="n">
        <v>18150</v>
      </c>
      <c r="F37" s="10" t="n">
        <v>18150</v>
      </c>
      <c r="G37" s="10" t="n">
        <v>128700</v>
      </c>
      <c r="H37" s="10" t="n">
        <v>0.63</v>
      </c>
      <c r="I37" s="10" t="n">
        <v>0.662</v>
      </c>
      <c r="J37" s="10" t="n">
        <v>0.598</v>
      </c>
      <c r="K37" s="10" t="n">
        <v>0.63</v>
      </c>
      <c r="L37" s="10" t="n">
        <v>0.66</v>
      </c>
      <c r="M37" s="10" t="n">
        <v>0.7</v>
      </c>
      <c r="N37" s="10" t="n">
        <v>0.66</v>
      </c>
      <c r="O37" s="10" t="n">
        <v>0.658</v>
      </c>
      <c r="P37" s="10" t="n">
        <v>0.07</v>
      </c>
      <c r="Q37" s="10" t="n">
        <v>0.07</v>
      </c>
      <c r="R37" s="10" t="n">
        <v>0.12</v>
      </c>
      <c r="S37" s="10" t="n">
        <v>0.037</v>
      </c>
      <c r="T37" s="10" t="n">
        <v>0.076</v>
      </c>
      <c r="U37" s="10" t="n">
        <v>0.1</v>
      </c>
      <c r="V37" s="10" t="n">
        <v>0.17</v>
      </c>
      <c r="W37" s="10" t="n">
        <v>0.073</v>
      </c>
      <c r="X37" s="10" t="n">
        <v>15.21</v>
      </c>
      <c r="Y37" s="10" t="n">
        <v>9.9</v>
      </c>
      <c r="Z37" s="10" t="n">
        <v>23.6</v>
      </c>
      <c r="AA37" s="10" t="n">
        <v>31637</v>
      </c>
      <c r="AB37" s="10" t="n">
        <v>20592</v>
      </c>
      <c r="AC37" s="10" t="n">
        <v>49024</v>
      </c>
      <c r="AD37" s="10" t="n">
        <v>14.5</v>
      </c>
      <c r="AE37" s="10" t="n">
        <v>9.4</v>
      </c>
      <c r="AF37" s="10" t="n">
        <v>22.5</v>
      </c>
      <c r="AG37" s="10" t="n">
        <v>30160</v>
      </c>
      <c r="AH37" s="10" t="n">
        <v>19640</v>
      </c>
      <c r="AI37" s="10" t="n">
        <v>46800</v>
      </c>
      <c r="AJ37" s="10" t="n">
        <v>12.6</v>
      </c>
      <c r="AK37" s="10" t="n">
        <v>8.2</v>
      </c>
      <c r="AL37" s="10" t="n">
        <v>19.6</v>
      </c>
      <c r="AM37" s="10" t="n">
        <v>26208</v>
      </c>
      <c r="AN37" s="10" t="n">
        <v>17048</v>
      </c>
      <c r="AO37" s="10" t="n">
        <v>40656</v>
      </c>
      <c r="AP37" s="10" t="n">
        <v>15.5</v>
      </c>
      <c r="AQ37" s="10" t="n">
        <v>10.1</v>
      </c>
      <c r="AR37" s="10" t="n">
        <v>24</v>
      </c>
      <c r="AS37" s="10" t="n">
        <v>32240</v>
      </c>
      <c r="AT37" s="10" t="n">
        <v>20960</v>
      </c>
      <c r="AU37" s="10" t="n">
        <v>49920</v>
      </c>
      <c r="AV37" s="10" t="n">
        <v>3300000</v>
      </c>
      <c r="AW37" s="10" t="n">
        <v>112200</v>
      </c>
      <c r="AX37" s="10" t="n">
        <v>59400</v>
      </c>
      <c r="AY37" s="10" t="n">
        <v>3127800</v>
      </c>
      <c r="AZ37" s="10" t="n">
        <v>1650000</v>
      </c>
      <c r="BA37" s="10" t="n">
        <v>56100</v>
      </c>
      <c r="BB37" s="10" t="n">
        <v>29700</v>
      </c>
      <c r="BC37" s="10" t="n">
        <v>1563900</v>
      </c>
      <c r="BD37" s="10" t="n">
        <v>1650000</v>
      </c>
      <c r="BE37" s="10" t="n">
        <v>330000</v>
      </c>
      <c r="BF37" s="10" t="n">
        <v>0</v>
      </c>
      <c r="BG37" s="10" t="n">
        <v>1320000</v>
      </c>
      <c r="BH37" s="10" t="n">
        <v>825000</v>
      </c>
      <c r="BI37" s="10" t="n">
        <v>165000</v>
      </c>
      <c r="BJ37" s="10" t="n">
        <v>165000</v>
      </c>
      <c r="BK37" s="10" t="n">
        <v>495000</v>
      </c>
      <c r="BL37" s="10" t="n">
        <v>412500</v>
      </c>
      <c r="BM37" s="10" t="n">
        <v>82500</v>
      </c>
      <c r="BN37" s="10" t="n">
        <v>206250</v>
      </c>
      <c r="BO37" s="10" t="n">
        <v>618750</v>
      </c>
      <c r="BP37" s="10" t="n">
        <v>103950</v>
      </c>
      <c r="BQ37" s="10" t="n">
        <v>11979</v>
      </c>
      <c r="BR37" s="10" t="n">
        <v>10863</v>
      </c>
      <c r="BS37" s="10" t="n">
        <v>81009</v>
      </c>
      <c r="BT37" s="10" t="n">
        <v>37</v>
      </c>
      <c r="BU37" s="10" t="n">
        <v>36</v>
      </c>
      <c r="BV37" s="10" t="n">
        <v>38</v>
      </c>
      <c r="BW37" s="10" t="n">
        <v>37.1</v>
      </c>
      <c r="BX37" s="10" t="n">
        <v>22</v>
      </c>
      <c r="BY37" s="10" t="n">
        <v>54</v>
      </c>
      <c r="BZ37" s="10" t="n">
        <v>0.74</v>
      </c>
      <c r="CA37" s="10" t="n">
        <v>0.7</v>
      </c>
      <c r="CB37" s="10" t="n">
        <v>0.64</v>
      </c>
      <c r="CC37" s="10" t="n">
        <v>0.75</v>
      </c>
      <c r="CD37" s="10" t="n">
        <v>0.26</v>
      </c>
      <c r="CE37" s="10" t="n">
        <v>0.3</v>
      </c>
      <c r="CF37" s="10" t="n">
        <v>0.36</v>
      </c>
      <c r="CG37" s="10" t="n">
        <v>0.25</v>
      </c>
      <c r="CH37" s="10" t="n">
        <v>4.8</v>
      </c>
      <c r="CI37" s="10" t="n">
        <v>4.3</v>
      </c>
      <c r="CJ37" s="10" t="n">
        <v>3.3</v>
      </c>
      <c r="CK37" s="10" t="n">
        <v>5.3</v>
      </c>
      <c r="CL37" s="10" t="n">
        <v>1</v>
      </c>
      <c r="CM37" s="10" t="n">
        <v>13</v>
      </c>
      <c r="CN37" s="10" t="n">
        <v>0.2</v>
      </c>
      <c r="CO37" s="10" t="n">
        <v>0.18</v>
      </c>
      <c r="CP37" s="10" t="n">
        <v>0.26</v>
      </c>
      <c r="CQ37" s="10" t="n">
        <v>0.19</v>
      </c>
      <c r="CR37" s="10" t="n">
        <v>50</v>
      </c>
      <c r="CS37" s="10" t="n">
        <v>49</v>
      </c>
      <c r="CT37" s="10" t="n">
        <v>47</v>
      </c>
      <c r="CU37" s="10" t="n">
        <v>51</v>
      </c>
      <c r="CV37" s="10" t="n">
        <v>2</v>
      </c>
      <c r="CW37" s="10" t="n">
        <v>2.2</v>
      </c>
      <c r="CX37" s="10" t="n">
        <v>1.5</v>
      </c>
      <c r="CY37" s="10" t="n">
        <v>2.1</v>
      </c>
      <c r="CZ37" s="10" t="n">
        <v>2475000</v>
      </c>
      <c r="DA37" s="10" t="n">
        <v>99000</v>
      </c>
      <c r="DB37" s="10" t="n">
        <v>49500</v>
      </c>
      <c r="DC37" s="10" t="n">
        <v>2326500</v>
      </c>
      <c r="DD37" s="10" t="n">
        <v>5445000</v>
      </c>
      <c r="DE37" s="10" t="n">
        <v>217800</v>
      </c>
      <c r="DF37" s="10" t="n">
        <v>0</v>
      </c>
      <c r="DG37" s="10" t="n">
        <v>5227200</v>
      </c>
      <c r="DH37" s="10" t="n">
        <v>0.09</v>
      </c>
      <c r="DI37" s="10" t="n">
        <v>0.12</v>
      </c>
      <c r="DJ37" s="10" t="n">
        <v>0.06</v>
      </c>
      <c r="DK37" s="10" t="n">
        <v>0.09</v>
      </c>
    </row>
    <row r="38" customFormat="false" ht="12.8" hidden="false" customHeight="false" outlineLevel="0" collapsed="false">
      <c r="A38" s="9" t="n">
        <v>34</v>
      </c>
      <c r="B38" s="10" t="s">
        <v>8419</v>
      </c>
      <c r="C38" s="10" t="s">
        <v>8403</v>
      </c>
      <c r="D38" s="10" t="n">
        <v>82500</v>
      </c>
      <c r="E38" s="10" t="n">
        <v>9075</v>
      </c>
      <c r="F38" s="10" t="n">
        <v>9075</v>
      </c>
      <c r="G38" s="10" t="n">
        <v>64350</v>
      </c>
      <c r="H38" s="10" t="n">
        <v>0.63</v>
      </c>
      <c r="I38" s="10" t="n">
        <v>0.662</v>
      </c>
      <c r="J38" s="10" t="n">
        <v>0.598</v>
      </c>
      <c r="K38" s="10" t="n">
        <v>0.63</v>
      </c>
      <c r="L38" s="10" t="n">
        <v>0.66</v>
      </c>
      <c r="M38" s="10" t="n">
        <v>0.7</v>
      </c>
      <c r="N38" s="10" t="n">
        <v>0.66</v>
      </c>
      <c r="O38" s="10" t="n">
        <v>0.658</v>
      </c>
      <c r="P38" s="10" t="n">
        <v>0.07</v>
      </c>
      <c r="Q38" s="10" t="n">
        <v>0.07</v>
      </c>
      <c r="R38" s="10" t="n">
        <v>0.12</v>
      </c>
      <c r="S38" s="10" t="n">
        <v>0.037</v>
      </c>
      <c r="T38" s="10" t="n">
        <v>0.076</v>
      </c>
      <c r="U38" s="10" t="n">
        <v>0.1</v>
      </c>
      <c r="V38" s="10" t="n">
        <v>0.17</v>
      </c>
      <c r="W38" s="10" t="n">
        <v>0.073</v>
      </c>
      <c r="X38" s="10" t="n">
        <v>12.93</v>
      </c>
      <c r="Y38" s="10" t="n">
        <v>8.4</v>
      </c>
      <c r="Z38" s="10" t="n">
        <v>20</v>
      </c>
      <c r="AA38" s="10" t="n">
        <v>26904</v>
      </c>
      <c r="AB38" s="10" t="n">
        <v>17496</v>
      </c>
      <c r="AC38" s="10" t="n">
        <v>41600</v>
      </c>
      <c r="AD38" s="10" t="n">
        <v>12.3</v>
      </c>
      <c r="AE38" s="10" t="n">
        <v>8</v>
      </c>
      <c r="AF38" s="10" t="n">
        <v>19.1</v>
      </c>
      <c r="AG38" s="10" t="n">
        <v>25584</v>
      </c>
      <c r="AH38" s="10" t="n">
        <v>16632</v>
      </c>
      <c r="AI38" s="10" t="n">
        <v>39648</v>
      </c>
      <c r="AJ38" s="10" t="n">
        <v>10.7</v>
      </c>
      <c r="AK38" s="10" t="n">
        <v>7</v>
      </c>
      <c r="AL38" s="10" t="n">
        <v>16.7</v>
      </c>
      <c r="AM38" s="10" t="n">
        <v>22256</v>
      </c>
      <c r="AN38" s="10" t="n">
        <v>14464</v>
      </c>
      <c r="AO38" s="10" t="n">
        <v>34496</v>
      </c>
      <c r="AP38" s="10" t="n">
        <v>13.2</v>
      </c>
      <c r="AQ38" s="10" t="n">
        <v>8.6</v>
      </c>
      <c r="AR38" s="10" t="n">
        <v>20.4</v>
      </c>
      <c r="AS38" s="10" t="n">
        <v>27456</v>
      </c>
      <c r="AT38" s="10" t="n">
        <v>17864</v>
      </c>
      <c r="AU38" s="10" t="n">
        <v>42512</v>
      </c>
      <c r="AV38" s="10" t="n">
        <v>1650000</v>
      </c>
      <c r="AW38" s="10" t="n">
        <v>56100</v>
      </c>
      <c r="AX38" s="10" t="n">
        <v>29700</v>
      </c>
      <c r="AY38" s="10" t="n">
        <v>1563900</v>
      </c>
      <c r="AZ38" s="10" t="n">
        <v>825000</v>
      </c>
      <c r="BA38" s="10" t="n">
        <v>28050</v>
      </c>
      <c r="BB38" s="10" t="n">
        <v>14850</v>
      </c>
      <c r="BC38" s="10" t="n">
        <v>781950</v>
      </c>
      <c r="BD38" s="10" t="n">
        <v>825000</v>
      </c>
      <c r="BE38" s="10" t="n">
        <v>165000</v>
      </c>
      <c r="BF38" s="10" t="n">
        <v>0</v>
      </c>
      <c r="BG38" s="10" t="n">
        <v>660000</v>
      </c>
      <c r="BH38" s="10" t="n">
        <v>412500</v>
      </c>
      <c r="BI38" s="10" t="n">
        <v>82500</v>
      </c>
      <c r="BJ38" s="10" t="n">
        <v>82500</v>
      </c>
      <c r="BK38" s="10" t="n">
        <v>247500</v>
      </c>
      <c r="BL38" s="10" t="n">
        <v>206250</v>
      </c>
      <c r="BM38" s="10" t="n">
        <v>41250</v>
      </c>
      <c r="BN38" s="10" t="n">
        <v>103125</v>
      </c>
      <c r="BO38" s="10" t="n">
        <v>309375</v>
      </c>
      <c r="BP38" s="10" t="n">
        <v>51975</v>
      </c>
      <c r="BQ38" s="10" t="n">
        <v>5990</v>
      </c>
      <c r="BR38" s="10" t="n">
        <v>5432</v>
      </c>
      <c r="BS38" s="10" t="n">
        <v>40504</v>
      </c>
      <c r="BT38" s="10" t="n">
        <v>37</v>
      </c>
      <c r="BU38" s="10" t="n">
        <v>36</v>
      </c>
      <c r="BV38" s="10" t="n">
        <v>38</v>
      </c>
      <c r="BW38" s="10" t="n">
        <v>37.1</v>
      </c>
      <c r="BX38" s="10" t="n">
        <v>22</v>
      </c>
      <c r="BY38" s="10" t="n">
        <v>54</v>
      </c>
      <c r="BZ38" s="10" t="n">
        <v>0.74</v>
      </c>
      <c r="CA38" s="10" t="n">
        <v>0.7</v>
      </c>
      <c r="CB38" s="10" t="n">
        <v>0.64</v>
      </c>
      <c r="CC38" s="10" t="n">
        <v>0.75</v>
      </c>
      <c r="CD38" s="10" t="n">
        <v>0.26</v>
      </c>
      <c r="CE38" s="10" t="n">
        <v>0.3</v>
      </c>
      <c r="CF38" s="10" t="n">
        <v>0.36</v>
      </c>
      <c r="CG38" s="10" t="n">
        <v>0.25</v>
      </c>
      <c r="CH38" s="10" t="n">
        <v>4.8</v>
      </c>
      <c r="CI38" s="10" t="n">
        <v>4.3</v>
      </c>
      <c r="CJ38" s="10" t="n">
        <v>3.3</v>
      </c>
      <c r="CK38" s="10" t="n">
        <v>5.3</v>
      </c>
      <c r="CL38" s="10" t="n">
        <v>1</v>
      </c>
      <c r="CM38" s="10" t="n">
        <v>13</v>
      </c>
      <c r="CN38" s="10" t="n">
        <v>0.2</v>
      </c>
      <c r="CO38" s="10" t="n">
        <v>0.18</v>
      </c>
      <c r="CP38" s="10" t="n">
        <v>0.26</v>
      </c>
      <c r="CQ38" s="10" t="n">
        <v>0.19</v>
      </c>
      <c r="CR38" s="10" t="n">
        <v>50</v>
      </c>
      <c r="CS38" s="10" t="n">
        <v>49</v>
      </c>
      <c r="CT38" s="10" t="n">
        <v>47</v>
      </c>
      <c r="CU38" s="10" t="n">
        <v>51</v>
      </c>
      <c r="CV38" s="10" t="n">
        <v>2</v>
      </c>
      <c r="CW38" s="10" t="n">
        <v>2.2</v>
      </c>
      <c r="CX38" s="10" t="n">
        <v>1.5</v>
      </c>
      <c r="CY38" s="10" t="n">
        <v>2.1</v>
      </c>
      <c r="CZ38" s="10" t="n">
        <v>1237500</v>
      </c>
      <c r="DA38" s="10" t="n">
        <v>49500</v>
      </c>
      <c r="DB38" s="10" t="n">
        <v>24750</v>
      </c>
      <c r="DC38" s="10" t="n">
        <v>1163250</v>
      </c>
      <c r="DD38" s="10" t="n">
        <v>2722500</v>
      </c>
      <c r="DE38" s="10" t="n">
        <v>108900</v>
      </c>
      <c r="DF38" s="10" t="n">
        <v>0</v>
      </c>
      <c r="DG38" s="10" t="n">
        <v>2613600</v>
      </c>
      <c r="DH38" s="10" t="n">
        <v>0.09</v>
      </c>
      <c r="DI38" s="10" t="n">
        <v>0.12</v>
      </c>
      <c r="DJ38" s="10" t="n">
        <v>0.06</v>
      </c>
      <c r="DK38" s="10" t="n">
        <v>0.09</v>
      </c>
    </row>
    <row r="39" customFormat="false" ht="12.8" hidden="false" customHeight="false" outlineLevel="0" collapsed="false">
      <c r="A39" s="9" t="n">
        <v>35</v>
      </c>
      <c r="B39" s="10" t="s">
        <v>8420</v>
      </c>
      <c r="C39" s="10" t="s">
        <v>8402</v>
      </c>
      <c r="D39" s="10" t="n">
        <v>30000</v>
      </c>
      <c r="E39" s="10" t="n">
        <v>1500</v>
      </c>
      <c r="F39" s="10" t="n">
        <v>900</v>
      </c>
      <c r="G39" s="10" t="n">
        <v>27600</v>
      </c>
      <c r="H39" s="10" t="n">
        <v>0.75</v>
      </c>
      <c r="I39" s="10" t="n">
        <v>0.788</v>
      </c>
      <c r="J39" s="10" t="n">
        <v>0.713</v>
      </c>
      <c r="K39" s="10" t="n">
        <v>0.75</v>
      </c>
      <c r="L39" s="10" t="n">
        <v>0.78</v>
      </c>
      <c r="M39" s="10" t="n">
        <v>0.82</v>
      </c>
      <c r="N39" s="10" t="n">
        <v>0.78</v>
      </c>
      <c r="O39" s="10" t="n">
        <v>0.778</v>
      </c>
      <c r="P39" s="10" t="n">
        <v>0.03</v>
      </c>
      <c r="Q39" s="10" t="n">
        <v>0.03</v>
      </c>
      <c r="R39" s="10" t="n">
        <v>0.05</v>
      </c>
      <c r="S39" s="10" t="n">
        <v>0.015</v>
      </c>
      <c r="T39" s="10" t="n">
        <v>0.025</v>
      </c>
      <c r="U39" s="10" t="n">
        <v>0.03</v>
      </c>
      <c r="V39" s="10" t="n">
        <v>0.06</v>
      </c>
      <c r="W39" s="10" t="n">
        <v>0.023</v>
      </c>
      <c r="X39" s="10" t="n">
        <v>35</v>
      </c>
      <c r="Y39" s="10" t="n">
        <v>22.8</v>
      </c>
      <c r="Z39" s="10" t="n">
        <v>54.2</v>
      </c>
      <c r="AA39" s="10" t="n">
        <v>72800</v>
      </c>
      <c r="AB39" s="10" t="n">
        <v>47360</v>
      </c>
      <c r="AC39" s="10" t="n">
        <v>112768</v>
      </c>
      <c r="AD39" s="10" t="n">
        <v>33.3</v>
      </c>
      <c r="AE39" s="10" t="n">
        <v>21.7</v>
      </c>
      <c r="AF39" s="10" t="n">
        <v>51.7</v>
      </c>
      <c r="AG39" s="10" t="n">
        <v>69264</v>
      </c>
      <c r="AH39" s="10" t="n">
        <v>45072</v>
      </c>
      <c r="AI39" s="10" t="n">
        <v>107568</v>
      </c>
      <c r="AJ39" s="10" t="n">
        <v>30.5</v>
      </c>
      <c r="AK39" s="10" t="n">
        <v>19.8</v>
      </c>
      <c r="AL39" s="10" t="n">
        <v>47.2</v>
      </c>
      <c r="AM39" s="10" t="n">
        <v>63440</v>
      </c>
      <c r="AN39" s="10" t="n">
        <v>41280</v>
      </c>
      <c r="AO39" s="10" t="n">
        <v>98176</v>
      </c>
      <c r="AP39" s="10" t="n">
        <v>35.7</v>
      </c>
      <c r="AQ39" s="10" t="n">
        <v>23.2</v>
      </c>
      <c r="AR39" s="10" t="n">
        <v>55.3</v>
      </c>
      <c r="AS39" s="10" t="n">
        <v>74256</v>
      </c>
      <c r="AT39" s="10" t="n">
        <v>48288</v>
      </c>
      <c r="AU39" s="10" t="n">
        <v>115136</v>
      </c>
      <c r="AV39" s="10" t="n">
        <v>1050000</v>
      </c>
      <c r="AW39" s="10" t="n">
        <v>35700</v>
      </c>
      <c r="AX39" s="10" t="n">
        <v>18900</v>
      </c>
      <c r="AY39" s="10" t="n">
        <v>994500</v>
      </c>
      <c r="AZ39" s="10" t="n">
        <v>525000</v>
      </c>
      <c r="BA39" s="10" t="n">
        <v>17850</v>
      </c>
      <c r="BB39" s="10" t="n">
        <v>9450</v>
      </c>
      <c r="BC39" s="10" t="n">
        <v>497700</v>
      </c>
      <c r="BD39" s="10" t="n">
        <v>525000</v>
      </c>
      <c r="BE39" s="10" t="n">
        <v>105000</v>
      </c>
      <c r="BF39" s="10" t="n">
        <v>0</v>
      </c>
      <c r="BG39" s="10" t="n">
        <v>420000</v>
      </c>
      <c r="BH39" s="10" t="n">
        <v>262500</v>
      </c>
      <c r="BI39" s="10" t="n">
        <v>52500</v>
      </c>
      <c r="BJ39" s="10" t="n">
        <v>52500</v>
      </c>
      <c r="BK39" s="10" t="n">
        <v>157500</v>
      </c>
      <c r="BL39" s="10" t="n">
        <v>131250</v>
      </c>
      <c r="BM39" s="10" t="n">
        <v>26250</v>
      </c>
      <c r="BN39" s="10" t="n">
        <v>65625</v>
      </c>
      <c r="BO39" s="10" t="n">
        <v>196875</v>
      </c>
      <c r="BP39" s="10" t="n">
        <v>22500</v>
      </c>
      <c r="BQ39" s="10" t="n">
        <v>1184</v>
      </c>
      <c r="BR39" s="10" t="n">
        <v>641</v>
      </c>
      <c r="BS39" s="10" t="n">
        <v>20675</v>
      </c>
      <c r="BT39" s="10" t="n">
        <v>42</v>
      </c>
      <c r="BU39" s="10" t="n">
        <v>41</v>
      </c>
      <c r="BV39" s="10" t="n">
        <v>43</v>
      </c>
      <c r="BW39" s="10" t="n">
        <v>42.1</v>
      </c>
      <c r="BX39" s="10" t="n">
        <v>28</v>
      </c>
      <c r="BY39" s="10" t="n">
        <v>58</v>
      </c>
      <c r="BZ39" s="10" t="n">
        <v>0.88</v>
      </c>
      <c r="CA39" s="10" t="n">
        <v>0.84</v>
      </c>
      <c r="CB39" s="10" t="n">
        <v>0.78</v>
      </c>
      <c r="CC39" s="10" t="n">
        <v>0.89</v>
      </c>
      <c r="CD39" s="10" t="n">
        <v>0.12</v>
      </c>
      <c r="CE39" s="10" t="n">
        <v>0.16</v>
      </c>
      <c r="CF39" s="10" t="n">
        <v>0.22</v>
      </c>
      <c r="CG39" s="10" t="n">
        <v>0.11</v>
      </c>
      <c r="CH39" s="10" t="n">
        <v>8.5</v>
      </c>
      <c r="CI39" s="10" t="n">
        <v>7.5</v>
      </c>
      <c r="CJ39" s="10" t="n">
        <v>6</v>
      </c>
      <c r="CK39" s="10" t="n">
        <v>9</v>
      </c>
      <c r="CL39" s="10" t="n">
        <v>2.5</v>
      </c>
      <c r="CM39" s="10" t="n">
        <v>18</v>
      </c>
      <c r="CN39" s="10" t="n">
        <v>0.11</v>
      </c>
      <c r="CO39" s="10" t="n">
        <v>0.1</v>
      </c>
      <c r="CP39" s="10" t="n">
        <v>0.17</v>
      </c>
      <c r="CQ39" s="10" t="n">
        <v>0.105</v>
      </c>
      <c r="CR39" s="10" t="n">
        <v>80</v>
      </c>
      <c r="CS39" s="10" t="n">
        <v>79</v>
      </c>
      <c r="CT39" s="10" t="n">
        <v>77</v>
      </c>
      <c r="CU39" s="10" t="n">
        <v>81</v>
      </c>
      <c r="CV39" s="10" t="n">
        <v>4</v>
      </c>
      <c r="CW39" s="10" t="n">
        <v>4.2</v>
      </c>
      <c r="CX39" s="10" t="n">
        <v>3.5</v>
      </c>
      <c r="CY39" s="10" t="n">
        <v>4.1</v>
      </c>
      <c r="CZ39" s="10" t="n">
        <v>157500</v>
      </c>
      <c r="DA39" s="10" t="n">
        <v>6300</v>
      </c>
      <c r="DB39" s="10" t="n">
        <v>3150</v>
      </c>
      <c r="DC39" s="10" t="n">
        <v>147900</v>
      </c>
      <c r="DD39" s="10" t="n">
        <v>346500</v>
      </c>
      <c r="DE39" s="10" t="n">
        <v>13860</v>
      </c>
      <c r="DF39" s="10" t="n">
        <v>0</v>
      </c>
      <c r="DG39" s="10" t="n">
        <v>332640</v>
      </c>
      <c r="DH39" s="10" t="n">
        <v>0.035</v>
      </c>
      <c r="DI39" s="10" t="n">
        <v>0.05</v>
      </c>
      <c r="DJ39" s="10" t="n">
        <v>0.02</v>
      </c>
      <c r="DK39" s="10" t="n">
        <v>0.035</v>
      </c>
    </row>
    <row r="40" customFormat="false" ht="12.8" hidden="false" customHeight="false" outlineLevel="0" collapsed="false">
      <c r="A40" s="9" t="n">
        <v>36</v>
      </c>
      <c r="B40" s="10" t="s">
        <v>8420</v>
      </c>
      <c r="C40" s="10" t="s">
        <v>8403</v>
      </c>
      <c r="D40" s="10" t="n">
        <v>10000</v>
      </c>
      <c r="E40" s="10" t="n">
        <v>500</v>
      </c>
      <c r="F40" s="10" t="n">
        <v>300</v>
      </c>
      <c r="G40" s="10" t="n">
        <v>9200</v>
      </c>
      <c r="H40" s="10" t="n">
        <v>0.75</v>
      </c>
      <c r="I40" s="10" t="n">
        <v>0.788</v>
      </c>
      <c r="J40" s="10" t="n">
        <v>0.713</v>
      </c>
      <c r="K40" s="10" t="n">
        <v>0.75</v>
      </c>
      <c r="L40" s="10" t="n">
        <v>0.78</v>
      </c>
      <c r="M40" s="10" t="n">
        <v>0.82</v>
      </c>
      <c r="N40" s="10" t="n">
        <v>0.78</v>
      </c>
      <c r="O40" s="10" t="n">
        <v>0.778</v>
      </c>
      <c r="P40" s="10" t="n">
        <v>0.03</v>
      </c>
      <c r="Q40" s="10" t="n">
        <v>0.03</v>
      </c>
      <c r="R40" s="10" t="n">
        <v>0.05</v>
      </c>
      <c r="S40" s="10" t="n">
        <v>0.015</v>
      </c>
      <c r="T40" s="10" t="n">
        <v>0.025</v>
      </c>
      <c r="U40" s="10" t="n">
        <v>0.03</v>
      </c>
      <c r="V40" s="10" t="n">
        <v>0.06</v>
      </c>
      <c r="W40" s="10" t="n">
        <v>0.023</v>
      </c>
      <c r="X40" s="10" t="n">
        <v>29.75</v>
      </c>
      <c r="Y40" s="10" t="n">
        <v>19.4</v>
      </c>
      <c r="Z40" s="10" t="n">
        <v>46.1</v>
      </c>
      <c r="AA40" s="10" t="n">
        <v>61900</v>
      </c>
      <c r="AB40" s="10" t="n">
        <v>40280</v>
      </c>
      <c r="AC40" s="10" t="n">
        <v>96008</v>
      </c>
      <c r="AD40" s="10" t="n">
        <v>28.3</v>
      </c>
      <c r="AE40" s="10" t="n">
        <v>18.4</v>
      </c>
      <c r="AF40" s="10" t="n">
        <v>43.9</v>
      </c>
      <c r="AG40" s="10" t="n">
        <v>58864</v>
      </c>
      <c r="AH40" s="10" t="n">
        <v>38304</v>
      </c>
      <c r="AI40" s="10" t="n">
        <v>89424</v>
      </c>
      <c r="AJ40" s="10" t="n">
        <v>25.9</v>
      </c>
      <c r="AK40" s="10" t="n">
        <v>16.8</v>
      </c>
      <c r="AL40" s="10" t="n">
        <v>40.1</v>
      </c>
      <c r="AM40" s="10" t="n">
        <v>53872</v>
      </c>
      <c r="AN40" s="10" t="n">
        <v>35072</v>
      </c>
      <c r="AO40" s="10" t="n">
        <v>83520</v>
      </c>
      <c r="AP40" s="10" t="n">
        <v>30.4</v>
      </c>
      <c r="AQ40" s="10" t="n">
        <v>19.8</v>
      </c>
      <c r="AR40" s="10" t="n">
        <v>47.2</v>
      </c>
      <c r="AS40" s="10" t="n">
        <v>63232</v>
      </c>
      <c r="AT40" s="10" t="n">
        <v>41120</v>
      </c>
      <c r="AU40" s="10" t="n">
        <v>98176</v>
      </c>
      <c r="AV40" s="10" t="n">
        <v>350000</v>
      </c>
      <c r="AW40" s="10" t="n">
        <v>11900</v>
      </c>
      <c r="AX40" s="10" t="n">
        <v>6300</v>
      </c>
      <c r="AY40" s="10" t="n">
        <v>331800</v>
      </c>
      <c r="AZ40" s="10" t="n">
        <v>175000</v>
      </c>
      <c r="BA40" s="10" t="n">
        <v>5950</v>
      </c>
      <c r="BB40" s="10" t="n">
        <v>3150</v>
      </c>
      <c r="BC40" s="10" t="n">
        <v>165900</v>
      </c>
      <c r="BD40" s="10" t="n">
        <v>175000</v>
      </c>
      <c r="BE40" s="10" t="n">
        <v>35000</v>
      </c>
      <c r="BF40" s="10" t="n">
        <v>0</v>
      </c>
      <c r="BG40" s="10" t="n">
        <v>140000</v>
      </c>
      <c r="BH40" s="10" t="n">
        <v>87500</v>
      </c>
      <c r="BI40" s="10" t="n">
        <v>17500</v>
      </c>
      <c r="BJ40" s="10" t="n">
        <v>17500</v>
      </c>
      <c r="BK40" s="10" t="n">
        <v>52500</v>
      </c>
      <c r="BL40" s="10" t="n">
        <v>43750</v>
      </c>
      <c r="BM40" s="10" t="n">
        <v>8750</v>
      </c>
      <c r="BN40" s="10" t="n">
        <v>21875</v>
      </c>
      <c r="BO40" s="10" t="n">
        <v>65625</v>
      </c>
      <c r="BP40" s="10" t="n">
        <v>7500</v>
      </c>
      <c r="BQ40" s="10" t="n">
        <v>395</v>
      </c>
      <c r="BR40" s="10" t="n">
        <v>214</v>
      </c>
      <c r="BS40" s="10" t="n">
        <v>6891</v>
      </c>
      <c r="BT40" s="10" t="n">
        <v>42</v>
      </c>
      <c r="BU40" s="10" t="n">
        <v>41</v>
      </c>
      <c r="BV40" s="10" t="n">
        <v>43</v>
      </c>
      <c r="BW40" s="10" t="n">
        <v>42.1</v>
      </c>
      <c r="BX40" s="10" t="n">
        <v>28</v>
      </c>
      <c r="BY40" s="10" t="n">
        <v>58</v>
      </c>
      <c r="BZ40" s="10" t="n">
        <v>0.88</v>
      </c>
      <c r="CA40" s="10" t="n">
        <v>0.84</v>
      </c>
      <c r="CB40" s="10" t="n">
        <v>0.78</v>
      </c>
      <c r="CC40" s="10" t="n">
        <v>0.89</v>
      </c>
      <c r="CD40" s="10" t="n">
        <v>0.12</v>
      </c>
      <c r="CE40" s="10" t="n">
        <v>0.16</v>
      </c>
      <c r="CF40" s="10" t="n">
        <v>0.22</v>
      </c>
      <c r="CG40" s="10" t="n">
        <v>0.11</v>
      </c>
      <c r="CH40" s="10" t="n">
        <v>8.5</v>
      </c>
      <c r="CI40" s="10" t="n">
        <v>7.5</v>
      </c>
      <c r="CJ40" s="10" t="n">
        <v>6</v>
      </c>
      <c r="CK40" s="10" t="n">
        <v>9</v>
      </c>
      <c r="CL40" s="10" t="n">
        <v>2.5</v>
      </c>
      <c r="CM40" s="10" t="n">
        <v>18</v>
      </c>
      <c r="CN40" s="10" t="n">
        <v>0.11</v>
      </c>
      <c r="CO40" s="10" t="n">
        <v>0.1</v>
      </c>
      <c r="CP40" s="10" t="n">
        <v>0.17</v>
      </c>
      <c r="CQ40" s="10" t="n">
        <v>0.105</v>
      </c>
      <c r="CR40" s="10" t="n">
        <v>80</v>
      </c>
      <c r="CS40" s="10" t="n">
        <v>79</v>
      </c>
      <c r="CT40" s="10" t="n">
        <v>77</v>
      </c>
      <c r="CU40" s="10" t="n">
        <v>81</v>
      </c>
      <c r="CV40" s="10" t="n">
        <v>4</v>
      </c>
      <c r="CW40" s="10" t="n">
        <v>4.2</v>
      </c>
      <c r="CX40" s="10" t="n">
        <v>3.5</v>
      </c>
      <c r="CY40" s="10" t="n">
        <v>4.1</v>
      </c>
      <c r="CZ40" s="10" t="n">
        <v>52500</v>
      </c>
      <c r="DA40" s="10" t="n">
        <v>2100</v>
      </c>
      <c r="DB40" s="10" t="n">
        <v>1050</v>
      </c>
      <c r="DC40" s="10" t="n">
        <v>49300</v>
      </c>
      <c r="DD40" s="10" t="n">
        <v>115500</v>
      </c>
      <c r="DE40" s="10" t="n">
        <v>4620</v>
      </c>
      <c r="DF40" s="10" t="n">
        <v>0</v>
      </c>
      <c r="DG40" s="10" t="n">
        <v>110880</v>
      </c>
      <c r="DH40" s="10" t="n">
        <v>0.035</v>
      </c>
      <c r="DI40" s="10" t="n">
        <v>0.05</v>
      </c>
      <c r="DJ40" s="10" t="n">
        <v>0.02</v>
      </c>
      <c r="DK40" s="10" t="n">
        <v>0.035</v>
      </c>
    </row>
    <row r="41" customFormat="false" ht="12.8" hidden="false" customHeight="false" outlineLevel="0" collapsed="false">
      <c r="A41" s="9" t="n">
        <v>37</v>
      </c>
      <c r="B41" s="10" t="s">
        <v>8421</v>
      </c>
      <c r="C41" s="10" t="s">
        <v>8402</v>
      </c>
      <c r="D41" s="10" t="n">
        <v>37500</v>
      </c>
      <c r="E41" s="10" t="n">
        <v>1875</v>
      </c>
      <c r="F41" s="10" t="n">
        <v>750</v>
      </c>
      <c r="G41" s="10" t="n">
        <v>34875</v>
      </c>
      <c r="H41" s="10" t="n">
        <v>0.78</v>
      </c>
      <c r="I41" s="10" t="n">
        <v>0.819</v>
      </c>
      <c r="J41" s="10" t="n">
        <v>0.741</v>
      </c>
      <c r="K41" s="10" t="n">
        <v>0.78</v>
      </c>
      <c r="L41" s="10" t="n">
        <v>0.81</v>
      </c>
      <c r="M41" s="10" t="n">
        <v>0.85</v>
      </c>
      <c r="N41" s="10" t="n">
        <v>0.81</v>
      </c>
      <c r="O41" s="10" t="n">
        <v>0.808</v>
      </c>
      <c r="P41" s="10" t="n">
        <v>0.025</v>
      </c>
      <c r="Q41" s="10" t="n">
        <v>0.025</v>
      </c>
      <c r="R41" s="10" t="n">
        <v>0.04</v>
      </c>
      <c r="S41" s="10" t="n">
        <v>0.012</v>
      </c>
      <c r="T41" s="10" t="n">
        <v>0.02</v>
      </c>
      <c r="U41" s="10" t="n">
        <v>0.025</v>
      </c>
      <c r="V41" s="10" t="n">
        <v>0.05</v>
      </c>
      <c r="W41" s="10" t="n">
        <v>0.019</v>
      </c>
      <c r="X41" s="10" t="n">
        <v>40</v>
      </c>
      <c r="Y41" s="10" t="n">
        <v>26</v>
      </c>
      <c r="Z41" s="10" t="n">
        <v>62</v>
      </c>
      <c r="AA41" s="10" t="n">
        <v>83200</v>
      </c>
      <c r="AB41" s="10" t="n">
        <v>54080</v>
      </c>
      <c r="AC41" s="10" t="n">
        <v>128896</v>
      </c>
      <c r="AD41" s="10" t="n">
        <v>38</v>
      </c>
      <c r="AE41" s="10" t="n">
        <v>24.7</v>
      </c>
      <c r="AF41" s="10" t="n">
        <v>59.1</v>
      </c>
      <c r="AG41" s="10" t="n">
        <v>79040</v>
      </c>
      <c r="AH41" s="10" t="n">
        <v>51440</v>
      </c>
      <c r="AI41" s="10" t="n">
        <v>122912</v>
      </c>
      <c r="AJ41" s="10" t="n">
        <v>34.8</v>
      </c>
      <c r="AK41" s="10" t="n">
        <v>22.6</v>
      </c>
      <c r="AL41" s="10" t="n">
        <v>54.1</v>
      </c>
      <c r="AM41" s="10" t="n">
        <v>72384</v>
      </c>
      <c r="AN41" s="10" t="n">
        <v>47088</v>
      </c>
      <c r="AO41" s="10" t="n">
        <v>112416</v>
      </c>
      <c r="AP41" s="10" t="n">
        <v>40.8</v>
      </c>
      <c r="AQ41" s="10" t="n">
        <v>26.5</v>
      </c>
      <c r="AR41" s="10" t="n">
        <v>63.3</v>
      </c>
      <c r="AS41" s="10" t="n">
        <v>84864</v>
      </c>
      <c r="AT41" s="10" t="n">
        <v>55200</v>
      </c>
      <c r="AU41" s="10" t="n">
        <v>131712</v>
      </c>
      <c r="AV41" s="10" t="n">
        <v>1500000</v>
      </c>
      <c r="AW41" s="10" t="n">
        <v>51000</v>
      </c>
      <c r="AX41" s="10" t="n">
        <v>27000</v>
      </c>
      <c r="AY41" s="10" t="n">
        <v>1419000</v>
      </c>
      <c r="AZ41" s="10" t="n">
        <v>750000</v>
      </c>
      <c r="BA41" s="10" t="n">
        <v>25500</v>
      </c>
      <c r="BB41" s="10" t="n">
        <v>13500</v>
      </c>
      <c r="BC41" s="10" t="n">
        <v>711000</v>
      </c>
      <c r="BD41" s="10" t="n">
        <v>750000</v>
      </c>
      <c r="BE41" s="10" t="n">
        <v>150000</v>
      </c>
      <c r="BF41" s="10" t="n">
        <v>0</v>
      </c>
      <c r="BG41" s="10" t="n">
        <v>600000</v>
      </c>
      <c r="BH41" s="10" t="n">
        <v>375000</v>
      </c>
      <c r="BI41" s="10" t="n">
        <v>75000</v>
      </c>
      <c r="BJ41" s="10" t="n">
        <v>75000</v>
      </c>
      <c r="BK41" s="10" t="n">
        <v>225000</v>
      </c>
      <c r="BL41" s="10" t="n">
        <v>187500</v>
      </c>
      <c r="BM41" s="10" t="n">
        <v>37500</v>
      </c>
      <c r="BN41" s="10" t="n">
        <v>93750</v>
      </c>
      <c r="BO41" s="10" t="n">
        <v>281250</v>
      </c>
      <c r="BP41" s="10" t="n">
        <v>29250</v>
      </c>
      <c r="BQ41" s="10" t="n">
        <v>1538</v>
      </c>
      <c r="BR41" s="10" t="n">
        <v>556</v>
      </c>
      <c r="BS41" s="10" t="n">
        <v>27156</v>
      </c>
      <c r="BT41" s="10" t="n">
        <v>40</v>
      </c>
      <c r="BU41" s="10" t="n">
        <v>39.5</v>
      </c>
      <c r="BV41" s="10" t="n">
        <v>41</v>
      </c>
      <c r="BW41" s="10" t="n">
        <v>40.1</v>
      </c>
      <c r="BX41" s="10" t="n">
        <v>28</v>
      </c>
      <c r="BY41" s="10" t="n">
        <v>54</v>
      </c>
      <c r="BZ41" s="10" t="n">
        <v>0.9</v>
      </c>
      <c r="CA41" s="10" t="n">
        <v>0.86</v>
      </c>
      <c r="CB41" s="10" t="n">
        <v>0.8</v>
      </c>
      <c r="CC41" s="10" t="n">
        <v>0.91</v>
      </c>
      <c r="CD41" s="10" t="n">
        <v>0.1</v>
      </c>
      <c r="CE41" s="10" t="n">
        <v>0.14</v>
      </c>
      <c r="CF41" s="10" t="n">
        <v>0.2</v>
      </c>
      <c r="CG41" s="10" t="n">
        <v>0.09</v>
      </c>
      <c r="CH41" s="10" t="n">
        <v>9</v>
      </c>
      <c r="CI41" s="10" t="n">
        <v>8</v>
      </c>
      <c r="CJ41" s="10" t="n">
        <v>6.5</v>
      </c>
      <c r="CK41" s="10" t="n">
        <v>9.5</v>
      </c>
      <c r="CL41" s="10" t="n">
        <v>3</v>
      </c>
      <c r="CM41" s="10" t="n">
        <v>20</v>
      </c>
      <c r="CN41" s="10" t="n">
        <v>0.1</v>
      </c>
      <c r="CO41" s="10" t="n">
        <v>0.09</v>
      </c>
      <c r="CP41" s="10" t="n">
        <v>0.16</v>
      </c>
      <c r="CQ41" s="10" t="n">
        <v>0.095</v>
      </c>
      <c r="CR41" s="10" t="n">
        <v>70</v>
      </c>
      <c r="CS41" s="10" t="n">
        <v>69</v>
      </c>
      <c r="CT41" s="10" t="n">
        <v>67</v>
      </c>
      <c r="CU41" s="10" t="n">
        <v>71</v>
      </c>
      <c r="CV41" s="10" t="n">
        <v>3.8</v>
      </c>
      <c r="CW41" s="10" t="n">
        <v>4</v>
      </c>
      <c r="CX41" s="10" t="n">
        <v>3.3</v>
      </c>
      <c r="CY41" s="10" t="n">
        <v>3.9</v>
      </c>
      <c r="CZ41" s="10" t="n">
        <v>225000</v>
      </c>
      <c r="DA41" s="10" t="n">
        <v>9000</v>
      </c>
      <c r="DB41" s="10" t="n">
        <v>4500</v>
      </c>
      <c r="DC41" s="10" t="n">
        <v>211500</v>
      </c>
      <c r="DD41" s="10" t="n">
        <v>495000</v>
      </c>
      <c r="DE41" s="10" t="n">
        <v>19800</v>
      </c>
      <c r="DF41" s="10" t="n">
        <v>0</v>
      </c>
      <c r="DG41" s="10" t="n">
        <v>475200</v>
      </c>
      <c r="DH41" s="10" t="n">
        <v>0.03</v>
      </c>
      <c r="DI41" s="10" t="n">
        <v>0.045</v>
      </c>
      <c r="DJ41" s="10" t="n">
        <v>0.02</v>
      </c>
      <c r="DK41" s="10" t="n">
        <v>0.03</v>
      </c>
    </row>
    <row r="42" customFormat="false" ht="12.8" hidden="false" customHeight="false" outlineLevel="0" collapsed="false">
      <c r="A42" s="9" t="n">
        <v>38</v>
      </c>
      <c r="B42" s="10" t="s">
        <v>8421</v>
      </c>
      <c r="C42" s="10" t="s">
        <v>8403</v>
      </c>
      <c r="D42" s="10" t="n">
        <v>12500</v>
      </c>
      <c r="E42" s="10" t="n">
        <v>625</v>
      </c>
      <c r="F42" s="10" t="n">
        <v>250</v>
      </c>
      <c r="G42" s="10" t="n">
        <v>11625</v>
      </c>
      <c r="H42" s="10" t="n">
        <v>0.78</v>
      </c>
      <c r="I42" s="10" t="n">
        <v>0.819</v>
      </c>
      <c r="J42" s="10" t="n">
        <v>0.741</v>
      </c>
      <c r="K42" s="10" t="n">
        <v>0.78</v>
      </c>
      <c r="L42" s="10" t="n">
        <v>0.81</v>
      </c>
      <c r="M42" s="10" t="n">
        <v>0.85</v>
      </c>
      <c r="N42" s="10" t="n">
        <v>0.81</v>
      </c>
      <c r="O42" s="10" t="n">
        <v>0.808</v>
      </c>
      <c r="P42" s="10" t="n">
        <v>0.025</v>
      </c>
      <c r="Q42" s="10" t="n">
        <v>0.025</v>
      </c>
      <c r="R42" s="10" t="n">
        <v>0.04</v>
      </c>
      <c r="S42" s="10" t="n">
        <v>0.012</v>
      </c>
      <c r="T42" s="10" t="n">
        <v>0.02</v>
      </c>
      <c r="U42" s="10" t="n">
        <v>0.025</v>
      </c>
      <c r="V42" s="10" t="n">
        <v>0.05</v>
      </c>
      <c r="W42" s="10" t="n">
        <v>0.019</v>
      </c>
      <c r="X42" s="10" t="n">
        <v>34</v>
      </c>
      <c r="Y42" s="10" t="n">
        <v>22.1</v>
      </c>
      <c r="Z42" s="10" t="n">
        <v>52.7</v>
      </c>
      <c r="AA42" s="10" t="n">
        <v>70720</v>
      </c>
      <c r="AB42" s="10" t="n">
        <v>45968</v>
      </c>
      <c r="AC42" s="10" t="n">
        <v>109504</v>
      </c>
      <c r="AD42" s="10" t="n">
        <v>32.3</v>
      </c>
      <c r="AE42" s="10" t="n">
        <v>21</v>
      </c>
      <c r="AF42" s="10" t="n">
        <v>50.2</v>
      </c>
      <c r="AG42" s="10" t="n">
        <v>67200</v>
      </c>
      <c r="AH42" s="10" t="n">
        <v>43760</v>
      </c>
      <c r="AI42" s="10" t="n">
        <v>104672</v>
      </c>
      <c r="AJ42" s="10" t="n">
        <v>29.6</v>
      </c>
      <c r="AK42" s="10" t="n">
        <v>19.2</v>
      </c>
      <c r="AL42" s="10" t="n">
        <v>45.9</v>
      </c>
      <c r="AM42" s="10" t="n">
        <v>61568</v>
      </c>
      <c r="AN42" s="10" t="n">
        <v>40032</v>
      </c>
      <c r="AO42" s="10" t="n">
        <v>95584</v>
      </c>
      <c r="AP42" s="10" t="n">
        <v>34.7</v>
      </c>
      <c r="AQ42" s="10" t="n">
        <v>22.6</v>
      </c>
      <c r="AR42" s="10" t="n">
        <v>53.8</v>
      </c>
      <c r="AS42" s="10" t="n">
        <v>72176</v>
      </c>
      <c r="AT42" s="10" t="n">
        <v>46912</v>
      </c>
      <c r="AU42" s="10" t="n">
        <v>112064</v>
      </c>
      <c r="AV42" s="10" t="n">
        <v>500000</v>
      </c>
      <c r="AW42" s="10" t="n">
        <v>17000</v>
      </c>
      <c r="AX42" s="10" t="n">
        <v>9000</v>
      </c>
      <c r="AY42" s="10" t="n">
        <v>473000</v>
      </c>
      <c r="AZ42" s="10" t="n">
        <v>250000</v>
      </c>
      <c r="BA42" s="10" t="n">
        <v>8500</v>
      </c>
      <c r="BB42" s="10" t="n">
        <v>4500</v>
      </c>
      <c r="BC42" s="10" t="n">
        <v>237000</v>
      </c>
      <c r="BD42" s="10" t="n">
        <v>250000</v>
      </c>
      <c r="BE42" s="10" t="n">
        <v>50000</v>
      </c>
      <c r="BF42" s="10" t="n">
        <v>0</v>
      </c>
      <c r="BG42" s="10" t="n">
        <v>200000</v>
      </c>
      <c r="BH42" s="10" t="n">
        <v>125000</v>
      </c>
      <c r="BI42" s="10" t="n">
        <v>25000</v>
      </c>
      <c r="BJ42" s="10" t="n">
        <v>25000</v>
      </c>
      <c r="BK42" s="10" t="n">
        <v>75000</v>
      </c>
      <c r="BL42" s="10" t="n">
        <v>62500</v>
      </c>
      <c r="BM42" s="10" t="n">
        <v>12500</v>
      </c>
      <c r="BN42" s="10" t="n">
        <v>31250</v>
      </c>
      <c r="BO42" s="10" t="n">
        <v>93750</v>
      </c>
      <c r="BP42" s="10" t="n">
        <v>9750</v>
      </c>
      <c r="BQ42" s="10" t="n">
        <v>513</v>
      </c>
      <c r="BR42" s="10" t="n">
        <v>185</v>
      </c>
      <c r="BS42" s="10" t="n">
        <v>9052</v>
      </c>
      <c r="BT42" s="10" t="n">
        <v>40</v>
      </c>
      <c r="BU42" s="10" t="n">
        <v>39.5</v>
      </c>
      <c r="BV42" s="10" t="n">
        <v>41</v>
      </c>
      <c r="BW42" s="10" t="n">
        <v>40.1</v>
      </c>
      <c r="BX42" s="10" t="n">
        <v>28</v>
      </c>
      <c r="BY42" s="10" t="n">
        <v>54</v>
      </c>
      <c r="BZ42" s="10" t="n">
        <v>0.9</v>
      </c>
      <c r="CA42" s="10" t="n">
        <v>0.86</v>
      </c>
      <c r="CB42" s="10" t="n">
        <v>0.8</v>
      </c>
      <c r="CC42" s="10" t="n">
        <v>0.91</v>
      </c>
      <c r="CD42" s="10" t="n">
        <v>0.1</v>
      </c>
      <c r="CE42" s="10" t="n">
        <v>0.14</v>
      </c>
      <c r="CF42" s="10" t="n">
        <v>0.2</v>
      </c>
      <c r="CG42" s="10" t="n">
        <v>0.09</v>
      </c>
      <c r="CH42" s="10" t="n">
        <v>9</v>
      </c>
      <c r="CI42" s="10" t="n">
        <v>8</v>
      </c>
      <c r="CJ42" s="10" t="n">
        <v>6.5</v>
      </c>
      <c r="CK42" s="10" t="n">
        <v>9.5</v>
      </c>
      <c r="CL42" s="10" t="n">
        <v>3</v>
      </c>
      <c r="CM42" s="10" t="n">
        <v>20</v>
      </c>
      <c r="CN42" s="10" t="n">
        <v>0.1</v>
      </c>
      <c r="CO42" s="10" t="n">
        <v>0.09</v>
      </c>
      <c r="CP42" s="10" t="n">
        <v>0.16</v>
      </c>
      <c r="CQ42" s="10" t="n">
        <v>0.095</v>
      </c>
      <c r="CR42" s="10" t="n">
        <v>70</v>
      </c>
      <c r="CS42" s="10" t="n">
        <v>69</v>
      </c>
      <c r="CT42" s="10" t="n">
        <v>67</v>
      </c>
      <c r="CU42" s="10" t="n">
        <v>71</v>
      </c>
      <c r="CV42" s="10" t="n">
        <v>3.8</v>
      </c>
      <c r="CW42" s="10" t="n">
        <v>4</v>
      </c>
      <c r="CX42" s="10" t="n">
        <v>3.3</v>
      </c>
      <c r="CY42" s="10" t="n">
        <v>3.9</v>
      </c>
      <c r="CZ42" s="10" t="n">
        <v>75000</v>
      </c>
      <c r="DA42" s="10" t="n">
        <v>3000</v>
      </c>
      <c r="DB42" s="10" t="n">
        <v>1500</v>
      </c>
      <c r="DC42" s="10" t="n">
        <v>70500</v>
      </c>
      <c r="DD42" s="10" t="n">
        <v>165000</v>
      </c>
      <c r="DE42" s="10" t="n">
        <v>6600</v>
      </c>
      <c r="DF42" s="10" t="n">
        <v>0</v>
      </c>
      <c r="DG42" s="10" t="n">
        <v>158400</v>
      </c>
      <c r="DH42" s="10" t="n">
        <v>0.03</v>
      </c>
      <c r="DI42" s="10" t="n">
        <v>0.045</v>
      </c>
      <c r="DJ42" s="10" t="n">
        <v>0.02</v>
      </c>
      <c r="DK42" s="10" t="n">
        <v>0.03</v>
      </c>
    </row>
    <row r="43" customFormat="false" ht="12.8" hidden="false" customHeight="false" outlineLevel="0" collapsed="false">
      <c r="A43" s="9" t="n">
        <v>39</v>
      </c>
      <c r="B43" s="10" t="s">
        <v>8422</v>
      </c>
      <c r="C43" s="10" t="s">
        <v>8402</v>
      </c>
      <c r="D43" s="10" t="n">
        <v>105000</v>
      </c>
      <c r="E43" s="10" t="n">
        <v>8400</v>
      </c>
      <c r="F43" s="10" t="n">
        <v>8400</v>
      </c>
      <c r="G43" s="10" t="n">
        <v>88200</v>
      </c>
      <c r="H43" s="10" t="n">
        <v>0.69</v>
      </c>
      <c r="I43" s="10" t="n">
        <v>0.725</v>
      </c>
      <c r="J43" s="10" t="n">
        <v>0.655</v>
      </c>
      <c r="K43" s="10" t="n">
        <v>0.69</v>
      </c>
      <c r="L43" s="10" t="n">
        <v>0.72</v>
      </c>
      <c r="M43" s="10" t="n">
        <v>0.76</v>
      </c>
      <c r="N43" s="10" t="n">
        <v>0.72</v>
      </c>
      <c r="O43" s="10" t="n">
        <v>0.718</v>
      </c>
      <c r="P43" s="10" t="n">
        <v>0.045</v>
      </c>
      <c r="Q43" s="10" t="n">
        <v>0.045</v>
      </c>
      <c r="R43" s="10" t="n">
        <v>0.08</v>
      </c>
      <c r="S43" s="10" t="n">
        <v>0.022</v>
      </c>
      <c r="T43" s="10" t="n">
        <v>0.04</v>
      </c>
      <c r="U43" s="10" t="n">
        <v>0.048</v>
      </c>
      <c r="V43" s="10" t="n">
        <v>0.09</v>
      </c>
      <c r="W43" s="10" t="n">
        <v>0.036</v>
      </c>
      <c r="X43" s="10" t="n">
        <v>28</v>
      </c>
      <c r="Y43" s="10" t="n">
        <v>18.2</v>
      </c>
      <c r="Z43" s="10" t="n">
        <v>43.4</v>
      </c>
      <c r="AA43" s="10" t="n">
        <v>58240</v>
      </c>
      <c r="AB43" s="10" t="n">
        <v>37904</v>
      </c>
      <c r="AC43" s="10" t="n">
        <v>90272</v>
      </c>
      <c r="AD43" s="10" t="n">
        <v>26.6</v>
      </c>
      <c r="AE43" s="10" t="n">
        <v>17.3</v>
      </c>
      <c r="AF43" s="10" t="n">
        <v>41.3</v>
      </c>
      <c r="AG43" s="10" t="n">
        <v>55328</v>
      </c>
      <c r="AH43" s="10" t="n">
        <v>36032</v>
      </c>
      <c r="AI43" s="10" t="n">
        <v>86016</v>
      </c>
      <c r="AJ43" s="10" t="n">
        <v>24.4</v>
      </c>
      <c r="AK43" s="10" t="n">
        <v>15.9</v>
      </c>
      <c r="AL43" s="10" t="n">
        <v>37.9</v>
      </c>
      <c r="AM43" s="10" t="n">
        <v>50752</v>
      </c>
      <c r="AN43" s="10" t="n">
        <v>33040</v>
      </c>
      <c r="AO43" s="10" t="n">
        <v>78720</v>
      </c>
      <c r="AP43" s="10" t="n">
        <v>28.5</v>
      </c>
      <c r="AQ43" s="10" t="n">
        <v>18.5</v>
      </c>
      <c r="AR43" s="10" t="n">
        <v>44.2</v>
      </c>
      <c r="AS43" s="10" t="n">
        <v>59280</v>
      </c>
      <c r="AT43" s="10" t="n">
        <v>38568</v>
      </c>
      <c r="AU43" s="10" t="n">
        <v>91968</v>
      </c>
      <c r="AV43" s="10" t="n">
        <v>2940000</v>
      </c>
      <c r="AW43" s="10" t="n">
        <v>99960</v>
      </c>
      <c r="AX43" s="10" t="n">
        <v>52920</v>
      </c>
      <c r="AY43" s="10" t="n">
        <v>2789040</v>
      </c>
      <c r="AZ43" s="10" t="n">
        <v>1470000</v>
      </c>
      <c r="BA43" s="10" t="n">
        <v>49980</v>
      </c>
      <c r="BB43" s="10" t="n">
        <v>26460</v>
      </c>
      <c r="BC43" s="10" t="n">
        <v>1395060</v>
      </c>
      <c r="BD43" s="10" t="n">
        <v>1470000</v>
      </c>
      <c r="BE43" s="10" t="n">
        <v>294000</v>
      </c>
      <c r="BF43" s="10" t="n">
        <v>0</v>
      </c>
      <c r="BG43" s="10" t="n">
        <v>1176000</v>
      </c>
      <c r="BH43" s="10" t="n">
        <v>735000</v>
      </c>
      <c r="BI43" s="10" t="n">
        <v>147000</v>
      </c>
      <c r="BJ43" s="10" t="n">
        <v>147000</v>
      </c>
      <c r="BK43" s="10" t="n">
        <v>441000</v>
      </c>
      <c r="BL43" s="10" t="n">
        <v>367500</v>
      </c>
      <c r="BM43" s="10" t="n">
        <v>73500</v>
      </c>
      <c r="BN43" s="10" t="n">
        <v>183750</v>
      </c>
      <c r="BO43" s="10" t="n">
        <v>551250</v>
      </c>
      <c r="BP43" s="10" t="n">
        <v>72450</v>
      </c>
      <c r="BQ43" s="10" t="n">
        <v>5796</v>
      </c>
      <c r="BR43" s="10" t="n">
        <v>5502</v>
      </c>
      <c r="BS43" s="10" t="n">
        <v>61152</v>
      </c>
      <c r="BT43" s="10" t="n">
        <v>39</v>
      </c>
      <c r="BU43" s="10" t="n">
        <v>38</v>
      </c>
      <c r="BV43" s="10" t="n">
        <v>40</v>
      </c>
      <c r="BW43" s="10" t="n">
        <v>39.1</v>
      </c>
      <c r="BX43" s="10" t="n">
        <v>25</v>
      </c>
      <c r="BY43" s="10" t="n">
        <v>55</v>
      </c>
      <c r="BZ43" s="10" t="n">
        <v>0.81</v>
      </c>
      <c r="CA43" s="10" t="n">
        <v>0.77</v>
      </c>
      <c r="CB43" s="10" t="n">
        <v>0.71</v>
      </c>
      <c r="CC43" s="10" t="n">
        <v>0.82</v>
      </c>
      <c r="CD43" s="10" t="n">
        <v>0.19</v>
      </c>
      <c r="CE43" s="10" t="n">
        <v>0.23</v>
      </c>
      <c r="CF43" s="10" t="n">
        <v>0.29</v>
      </c>
      <c r="CG43" s="10" t="n">
        <v>0.18</v>
      </c>
      <c r="CH43" s="10" t="n">
        <v>6.2</v>
      </c>
      <c r="CI43" s="10" t="n">
        <v>5.5</v>
      </c>
      <c r="CJ43" s="10" t="n">
        <v>4.4</v>
      </c>
      <c r="CK43" s="10" t="n">
        <v>6.7</v>
      </c>
      <c r="CL43" s="10" t="n">
        <v>1.4</v>
      </c>
      <c r="CM43" s="10" t="n">
        <v>15</v>
      </c>
      <c r="CN43" s="10" t="n">
        <v>0.17</v>
      </c>
      <c r="CO43" s="10" t="n">
        <v>0.15</v>
      </c>
      <c r="CP43" s="10" t="n">
        <v>0.23</v>
      </c>
      <c r="CQ43" s="10" t="n">
        <v>0.16</v>
      </c>
      <c r="CR43" s="10" t="n">
        <v>58</v>
      </c>
      <c r="CS43" s="10" t="n">
        <v>57</v>
      </c>
      <c r="CT43" s="10" t="n">
        <v>55</v>
      </c>
      <c r="CU43" s="10" t="n">
        <v>59</v>
      </c>
      <c r="CV43" s="10" t="n">
        <v>2.6</v>
      </c>
      <c r="CW43" s="10" t="n">
        <v>2.8</v>
      </c>
      <c r="CX43" s="10" t="n">
        <v>2.1</v>
      </c>
      <c r="CY43" s="10" t="n">
        <v>2.7</v>
      </c>
      <c r="CZ43" s="10" t="n">
        <v>441000</v>
      </c>
      <c r="DA43" s="10" t="n">
        <v>17640</v>
      </c>
      <c r="DB43" s="10" t="n">
        <v>8820</v>
      </c>
      <c r="DC43" s="10" t="n">
        <v>414540</v>
      </c>
      <c r="DD43" s="10" t="n">
        <v>9702000</v>
      </c>
      <c r="DE43" s="10" t="n">
        <v>388080</v>
      </c>
      <c r="DF43" s="10" t="n">
        <v>0</v>
      </c>
      <c r="DG43" s="10" t="n">
        <v>9313920</v>
      </c>
      <c r="DH43" s="10" t="n">
        <v>0.075</v>
      </c>
      <c r="DI43" s="10" t="n">
        <v>0.095</v>
      </c>
      <c r="DJ43" s="10" t="n">
        <v>0.045</v>
      </c>
      <c r="DK43" s="10" t="n">
        <v>0.075</v>
      </c>
    </row>
    <row r="44" customFormat="false" ht="12.8" hidden="false" customHeight="false" outlineLevel="0" collapsed="false">
      <c r="A44" s="9" t="n">
        <v>40</v>
      </c>
      <c r="B44" s="10" t="s">
        <v>8422</v>
      </c>
      <c r="C44" s="10" t="s">
        <v>8403</v>
      </c>
      <c r="D44" s="10" t="n">
        <v>35000</v>
      </c>
      <c r="E44" s="10" t="n">
        <v>2800</v>
      </c>
      <c r="F44" s="10" t="n">
        <v>2800</v>
      </c>
      <c r="G44" s="10" t="n">
        <v>29400</v>
      </c>
      <c r="H44" s="10" t="n">
        <v>0.69</v>
      </c>
      <c r="I44" s="10" t="n">
        <v>0.725</v>
      </c>
      <c r="J44" s="10" t="n">
        <v>0.655</v>
      </c>
      <c r="K44" s="10" t="n">
        <v>0.69</v>
      </c>
      <c r="L44" s="10" t="n">
        <v>0.72</v>
      </c>
      <c r="M44" s="10" t="n">
        <v>0.76</v>
      </c>
      <c r="N44" s="10" t="n">
        <v>0.72</v>
      </c>
      <c r="O44" s="10" t="n">
        <v>0.718</v>
      </c>
      <c r="P44" s="10" t="n">
        <v>0.045</v>
      </c>
      <c r="Q44" s="10" t="n">
        <v>0.045</v>
      </c>
      <c r="R44" s="10" t="n">
        <v>0.08</v>
      </c>
      <c r="S44" s="10" t="n">
        <v>0.022</v>
      </c>
      <c r="T44" s="10" t="n">
        <v>0.04</v>
      </c>
      <c r="U44" s="10" t="n">
        <v>0.048</v>
      </c>
      <c r="V44" s="10" t="n">
        <v>0.09</v>
      </c>
      <c r="W44" s="10" t="n">
        <v>0.036</v>
      </c>
      <c r="X44" s="10" t="n">
        <v>23.8</v>
      </c>
      <c r="Y44" s="10" t="n">
        <v>15.5</v>
      </c>
      <c r="Z44" s="10" t="n">
        <v>36.9</v>
      </c>
      <c r="AA44" s="10" t="n">
        <v>49504</v>
      </c>
      <c r="AB44" s="10" t="n">
        <v>32208</v>
      </c>
      <c r="AC44" s="10" t="n">
        <v>76768</v>
      </c>
      <c r="AD44" s="10" t="n">
        <v>22.6</v>
      </c>
      <c r="AE44" s="10" t="n">
        <v>14.7</v>
      </c>
      <c r="AF44" s="10" t="n">
        <v>35.1</v>
      </c>
      <c r="AG44" s="10" t="n">
        <v>47008</v>
      </c>
      <c r="AH44" s="10" t="n">
        <v>30608</v>
      </c>
      <c r="AI44" s="10" t="n">
        <v>73152</v>
      </c>
      <c r="AJ44" s="10" t="n">
        <v>20.7</v>
      </c>
      <c r="AK44" s="10" t="n">
        <v>13.5</v>
      </c>
      <c r="AL44" s="10" t="n">
        <v>32.2</v>
      </c>
      <c r="AM44" s="10" t="n">
        <v>43056</v>
      </c>
      <c r="AN44" s="10" t="n">
        <v>28008</v>
      </c>
      <c r="AO44" s="10" t="n">
        <v>66912</v>
      </c>
      <c r="AP44" s="10" t="n">
        <v>24.2</v>
      </c>
      <c r="AQ44" s="10" t="n">
        <v>15.7</v>
      </c>
      <c r="AR44" s="10" t="n">
        <v>37.5</v>
      </c>
      <c r="AS44" s="10" t="n">
        <v>50336</v>
      </c>
      <c r="AT44" s="10" t="n">
        <v>32768</v>
      </c>
      <c r="AU44" s="10" t="n">
        <v>78112</v>
      </c>
      <c r="AV44" s="10" t="n">
        <v>980000</v>
      </c>
      <c r="AW44" s="10" t="n">
        <v>33320</v>
      </c>
      <c r="AX44" s="10" t="n">
        <v>17640</v>
      </c>
      <c r="AY44" s="10" t="n">
        <v>929640</v>
      </c>
      <c r="AZ44" s="10" t="n">
        <v>490000</v>
      </c>
      <c r="BA44" s="10" t="n">
        <v>16660</v>
      </c>
      <c r="BB44" s="10" t="n">
        <v>8820</v>
      </c>
      <c r="BC44" s="10" t="n">
        <v>464520</v>
      </c>
      <c r="BD44" s="10" t="n">
        <v>490000</v>
      </c>
      <c r="BE44" s="10" t="n">
        <v>98000</v>
      </c>
      <c r="BF44" s="10" t="n">
        <v>0</v>
      </c>
      <c r="BG44" s="10" t="n">
        <v>392000</v>
      </c>
      <c r="BH44" s="10" t="n">
        <v>245000</v>
      </c>
      <c r="BI44" s="10" t="n">
        <v>49000</v>
      </c>
      <c r="BJ44" s="10" t="n">
        <v>49000</v>
      </c>
      <c r="BK44" s="10" t="n">
        <v>147000</v>
      </c>
      <c r="BL44" s="10" t="n">
        <v>122500</v>
      </c>
      <c r="BM44" s="10" t="n">
        <v>24500</v>
      </c>
      <c r="BN44" s="10" t="n">
        <v>61250</v>
      </c>
      <c r="BO44" s="10" t="n">
        <v>183750</v>
      </c>
      <c r="BP44" s="10" t="n">
        <v>24150</v>
      </c>
      <c r="BQ44" s="10" t="n">
        <v>1932</v>
      </c>
      <c r="BR44" s="10" t="n">
        <v>1834</v>
      </c>
      <c r="BS44" s="10" t="n">
        <v>20384</v>
      </c>
      <c r="BT44" s="10" t="n">
        <v>39</v>
      </c>
      <c r="BU44" s="10" t="n">
        <v>38</v>
      </c>
      <c r="BV44" s="10" t="n">
        <v>40</v>
      </c>
      <c r="BW44" s="10" t="n">
        <v>39.1</v>
      </c>
      <c r="BX44" s="10" t="n">
        <v>25</v>
      </c>
      <c r="BY44" s="10" t="n">
        <v>55</v>
      </c>
      <c r="BZ44" s="10" t="n">
        <v>0.81</v>
      </c>
      <c r="CA44" s="10" t="n">
        <v>0.77</v>
      </c>
      <c r="CB44" s="10" t="n">
        <v>0.71</v>
      </c>
      <c r="CC44" s="10" t="n">
        <v>0.82</v>
      </c>
      <c r="CD44" s="10" t="n">
        <v>0.19</v>
      </c>
      <c r="CE44" s="10" t="n">
        <v>0.23</v>
      </c>
      <c r="CF44" s="10" t="n">
        <v>0.29</v>
      </c>
      <c r="CG44" s="10" t="n">
        <v>0.18</v>
      </c>
      <c r="CH44" s="10" t="n">
        <v>6.2</v>
      </c>
      <c r="CI44" s="10" t="n">
        <v>5.5</v>
      </c>
      <c r="CJ44" s="10" t="n">
        <v>4.4</v>
      </c>
      <c r="CK44" s="10" t="n">
        <v>6.7</v>
      </c>
      <c r="CL44" s="10" t="n">
        <v>1.4</v>
      </c>
      <c r="CM44" s="10" t="n">
        <v>15</v>
      </c>
      <c r="CN44" s="10" t="n">
        <v>0.17</v>
      </c>
      <c r="CO44" s="10" t="n">
        <v>0.15</v>
      </c>
      <c r="CP44" s="10" t="n">
        <v>0.23</v>
      </c>
      <c r="CQ44" s="10" t="n">
        <v>0.16</v>
      </c>
      <c r="CR44" s="10" t="n">
        <v>58</v>
      </c>
      <c r="CS44" s="10" t="n">
        <v>57</v>
      </c>
      <c r="CT44" s="10" t="n">
        <v>55</v>
      </c>
      <c r="CU44" s="10" t="n">
        <v>59</v>
      </c>
      <c r="CV44" s="10" t="n">
        <v>2.6</v>
      </c>
      <c r="CW44" s="10" t="n">
        <v>2.8</v>
      </c>
      <c r="CX44" s="10" t="n">
        <v>2.1</v>
      </c>
      <c r="CY44" s="10" t="n">
        <v>2.7</v>
      </c>
      <c r="CZ44" s="10" t="n">
        <v>147000</v>
      </c>
      <c r="DA44" s="10" t="n">
        <v>5880</v>
      </c>
      <c r="DB44" s="10" t="n">
        <v>2940</v>
      </c>
      <c r="DC44" s="10" t="n">
        <v>138180</v>
      </c>
      <c r="DD44" s="10" t="n">
        <v>3234000</v>
      </c>
      <c r="DE44" s="10" t="n">
        <v>129360</v>
      </c>
      <c r="DF44" s="10" t="n">
        <v>0</v>
      </c>
      <c r="DG44" s="10" t="n">
        <v>3104640</v>
      </c>
      <c r="DH44" s="10" t="n">
        <v>0.075</v>
      </c>
      <c r="DI44" s="10" t="n">
        <v>0.095</v>
      </c>
      <c r="DJ44" s="10" t="n">
        <v>0.045</v>
      </c>
      <c r="DK44" s="10" t="n">
        <v>0.075</v>
      </c>
    </row>
    <row r="45" customFormat="false" ht="12.8" hidden="false" customHeight="false" outlineLevel="0" collapsed="false">
      <c r="A45" s="9" t="n">
        <v>41</v>
      </c>
      <c r="B45" s="10" t="s">
        <v>8423</v>
      </c>
      <c r="C45" s="10" t="s">
        <v>8402</v>
      </c>
      <c r="D45" s="10" t="n">
        <v>75000</v>
      </c>
      <c r="E45" s="10" t="n">
        <v>3750</v>
      </c>
      <c r="F45" s="10" t="n">
        <v>3750</v>
      </c>
      <c r="G45" s="10" t="n">
        <v>67500</v>
      </c>
      <c r="H45" s="10" t="n">
        <v>0.72</v>
      </c>
      <c r="I45" s="10" t="n">
        <v>0.756</v>
      </c>
      <c r="J45" s="10" t="n">
        <v>0.684</v>
      </c>
      <c r="K45" s="10" t="n">
        <v>0.72</v>
      </c>
      <c r="L45" s="10" t="n">
        <v>0.75</v>
      </c>
      <c r="M45" s="10" t="n">
        <v>0.79</v>
      </c>
      <c r="N45" s="10" t="n">
        <v>0.75</v>
      </c>
      <c r="O45" s="10" t="n">
        <v>0.748</v>
      </c>
      <c r="P45" s="10" t="n">
        <v>0.035</v>
      </c>
      <c r="Q45" s="10" t="n">
        <v>0.035</v>
      </c>
      <c r="R45" s="10" t="n">
        <v>0.065</v>
      </c>
      <c r="S45" s="10" t="n">
        <v>0.016</v>
      </c>
      <c r="T45" s="10" t="n">
        <v>0.028</v>
      </c>
      <c r="U45" s="10" t="n">
        <v>0.033</v>
      </c>
      <c r="V45" s="10" t="n">
        <v>0.07</v>
      </c>
      <c r="W45" s="10" t="n">
        <v>0.026</v>
      </c>
      <c r="X45" s="10" t="n">
        <v>38</v>
      </c>
      <c r="Y45" s="10" t="n">
        <v>24.7</v>
      </c>
      <c r="Z45" s="10" t="n">
        <v>58.9</v>
      </c>
      <c r="AA45" s="10" t="n">
        <v>79040</v>
      </c>
      <c r="AB45" s="10" t="n">
        <v>51440</v>
      </c>
      <c r="AC45" s="10" t="n">
        <v>122512</v>
      </c>
      <c r="AD45" s="10" t="n">
        <v>36.1</v>
      </c>
      <c r="AE45" s="10" t="n">
        <v>23.5</v>
      </c>
      <c r="AF45" s="10" t="n">
        <v>56</v>
      </c>
      <c r="AG45" s="10" t="n">
        <v>75088</v>
      </c>
      <c r="AH45" s="10" t="n">
        <v>48888</v>
      </c>
      <c r="AI45" s="10" t="n">
        <v>116688</v>
      </c>
      <c r="AJ45" s="10" t="n">
        <v>33.1</v>
      </c>
      <c r="AK45" s="10" t="n">
        <v>21.5</v>
      </c>
      <c r="AL45" s="10" t="n">
        <v>51.3</v>
      </c>
      <c r="AM45" s="10" t="n">
        <v>68848</v>
      </c>
      <c r="AN45" s="10" t="n">
        <v>44792</v>
      </c>
      <c r="AO45" s="10" t="n">
        <v>106848</v>
      </c>
      <c r="AP45" s="10" t="n">
        <v>38.7</v>
      </c>
      <c r="AQ45" s="10" t="n">
        <v>25.2</v>
      </c>
      <c r="AR45" s="10" t="n">
        <v>60.1</v>
      </c>
      <c r="AS45" s="10" t="n">
        <v>80496</v>
      </c>
      <c r="AT45" s="10" t="n">
        <v>52368</v>
      </c>
      <c r="AU45" s="10" t="n">
        <v>124896</v>
      </c>
      <c r="AV45" s="10" t="n">
        <v>2850000</v>
      </c>
      <c r="AW45" s="10" t="n">
        <v>96900</v>
      </c>
      <c r="AX45" s="10" t="n">
        <v>51300</v>
      </c>
      <c r="AY45" s="10" t="n">
        <v>2696100</v>
      </c>
      <c r="AZ45" s="10" t="n">
        <v>1425000</v>
      </c>
      <c r="BA45" s="10" t="n">
        <v>48450</v>
      </c>
      <c r="BB45" s="10" t="n">
        <v>25650</v>
      </c>
      <c r="BC45" s="10" t="n">
        <v>1350900</v>
      </c>
      <c r="BD45" s="10" t="n">
        <v>1425000</v>
      </c>
      <c r="BE45" s="10" t="n">
        <v>285000</v>
      </c>
      <c r="BF45" s="10" t="n">
        <v>0</v>
      </c>
      <c r="BG45" s="10" t="n">
        <v>1140000</v>
      </c>
      <c r="BH45" s="10" t="n">
        <v>712500</v>
      </c>
      <c r="BI45" s="10" t="n">
        <v>142500</v>
      </c>
      <c r="BJ45" s="10" t="n">
        <v>142500</v>
      </c>
      <c r="BK45" s="10" t="n">
        <v>427500</v>
      </c>
      <c r="BL45" s="10" t="n">
        <v>356250</v>
      </c>
      <c r="BM45" s="10" t="n">
        <v>71250</v>
      </c>
      <c r="BN45" s="10" t="n">
        <v>178125</v>
      </c>
      <c r="BO45" s="10" t="n">
        <v>534375</v>
      </c>
      <c r="BP45" s="10" t="n">
        <v>54000</v>
      </c>
      <c r="BQ45" s="10" t="n">
        <v>2838</v>
      </c>
      <c r="BR45" s="10" t="n">
        <v>2565</v>
      </c>
      <c r="BS45" s="10" t="n">
        <v>48600</v>
      </c>
      <c r="BT45" s="10" t="n">
        <v>41</v>
      </c>
      <c r="BU45" s="10" t="n">
        <v>40</v>
      </c>
      <c r="BV45" s="10" t="n">
        <v>42</v>
      </c>
      <c r="BW45" s="10" t="n">
        <v>41.1</v>
      </c>
      <c r="BX45" s="10" t="n">
        <v>28</v>
      </c>
      <c r="BY45" s="10" t="n">
        <v>56</v>
      </c>
      <c r="BZ45" s="10" t="n">
        <v>0.86</v>
      </c>
      <c r="CA45" s="10" t="n">
        <v>0.82</v>
      </c>
      <c r="CB45" s="10" t="n">
        <v>0.76</v>
      </c>
      <c r="CC45" s="10" t="n">
        <v>0.87</v>
      </c>
      <c r="CD45" s="10" t="n">
        <v>0.14</v>
      </c>
      <c r="CE45" s="10" t="n">
        <v>0.18</v>
      </c>
      <c r="CF45" s="10" t="n">
        <v>0.24</v>
      </c>
      <c r="CG45" s="10" t="n">
        <v>0.13</v>
      </c>
      <c r="CH45" s="10" t="n">
        <v>7.5</v>
      </c>
      <c r="CI45" s="10" t="n">
        <v>6.7</v>
      </c>
      <c r="CJ45" s="10" t="n">
        <v>5.5</v>
      </c>
      <c r="CK45" s="10" t="n">
        <v>8</v>
      </c>
      <c r="CL45" s="10" t="n">
        <v>2</v>
      </c>
      <c r="CM45" s="10" t="n">
        <v>17</v>
      </c>
      <c r="CN45" s="10" t="n">
        <v>0.13</v>
      </c>
      <c r="CO45" s="10" t="n">
        <v>0.11</v>
      </c>
      <c r="CP45" s="10" t="n">
        <v>0.19</v>
      </c>
      <c r="CQ45" s="10" t="n">
        <v>0.12</v>
      </c>
      <c r="CR45" s="10" t="n">
        <v>68</v>
      </c>
      <c r="CS45" s="10" t="n">
        <v>67</v>
      </c>
      <c r="CT45" s="10" t="n">
        <v>65</v>
      </c>
      <c r="CU45" s="10" t="n">
        <v>69</v>
      </c>
      <c r="CV45" s="10" t="n">
        <v>3.4</v>
      </c>
      <c r="CW45" s="10" t="n">
        <v>3.6</v>
      </c>
      <c r="CX45" s="10" t="n">
        <v>3</v>
      </c>
      <c r="CY45" s="10" t="n">
        <v>3.5</v>
      </c>
      <c r="CZ45" s="10" t="n">
        <v>427500</v>
      </c>
      <c r="DA45" s="10" t="n">
        <v>17100</v>
      </c>
      <c r="DB45" s="10" t="n">
        <v>8550</v>
      </c>
      <c r="DC45" s="10" t="n">
        <v>401850</v>
      </c>
      <c r="DD45" s="10" t="n">
        <v>9405000</v>
      </c>
      <c r="DE45" s="10" t="n">
        <v>37620</v>
      </c>
      <c r="DF45" s="10" t="n">
        <v>0</v>
      </c>
      <c r="DG45" s="10" t="n">
        <v>902880</v>
      </c>
      <c r="DH45" s="10" t="n">
        <v>0.055</v>
      </c>
      <c r="DI45" s="10" t="n">
        <v>0.075</v>
      </c>
      <c r="DJ45" s="10" t="n">
        <v>0.025</v>
      </c>
      <c r="DK45" s="10" t="n">
        <v>0.055</v>
      </c>
    </row>
    <row r="46" customFormat="false" ht="12.8" hidden="false" customHeight="false" outlineLevel="0" collapsed="false">
      <c r="A46" s="9" t="n">
        <v>42</v>
      </c>
      <c r="B46" s="10" t="s">
        <v>8423</v>
      </c>
      <c r="C46" s="10" t="s">
        <v>8403</v>
      </c>
      <c r="D46" s="10" t="n">
        <v>25000</v>
      </c>
      <c r="E46" s="10" t="n">
        <v>1250</v>
      </c>
      <c r="F46" s="10" t="n">
        <v>1250</v>
      </c>
      <c r="G46" s="10" t="n">
        <v>22500</v>
      </c>
      <c r="H46" s="10" t="n">
        <v>0.72</v>
      </c>
      <c r="I46" s="10" t="n">
        <v>0.756</v>
      </c>
      <c r="J46" s="10" t="n">
        <v>0.684</v>
      </c>
      <c r="K46" s="10" t="n">
        <v>0.72</v>
      </c>
      <c r="L46" s="10" t="n">
        <v>0.75</v>
      </c>
      <c r="M46" s="10" t="n">
        <v>0.79</v>
      </c>
      <c r="N46" s="10" t="n">
        <v>0.75</v>
      </c>
      <c r="O46" s="10" t="n">
        <v>0.748</v>
      </c>
      <c r="P46" s="10" t="n">
        <v>0.035</v>
      </c>
      <c r="Q46" s="10" t="n">
        <v>0.035</v>
      </c>
      <c r="R46" s="10" t="n">
        <v>0.065</v>
      </c>
      <c r="S46" s="10" t="n">
        <v>0.016</v>
      </c>
      <c r="T46" s="10" t="n">
        <v>0.028</v>
      </c>
      <c r="U46" s="10" t="n">
        <v>0.033</v>
      </c>
      <c r="V46" s="10" t="n">
        <v>0.07</v>
      </c>
      <c r="W46" s="10" t="n">
        <v>0.026</v>
      </c>
      <c r="X46" s="10" t="n">
        <v>32.3</v>
      </c>
      <c r="Y46" s="10" t="n">
        <v>21</v>
      </c>
      <c r="Z46" s="10" t="n">
        <v>50</v>
      </c>
      <c r="AA46" s="10" t="n">
        <v>67200</v>
      </c>
      <c r="AB46" s="10" t="n">
        <v>43680</v>
      </c>
      <c r="AC46" s="10" t="n">
        <v>104000</v>
      </c>
      <c r="AD46" s="10" t="n">
        <v>30.7</v>
      </c>
      <c r="AE46" s="10" t="n">
        <v>20</v>
      </c>
      <c r="AF46" s="10" t="n">
        <v>47.6</v>
      </c>
      <c r="AG46" s="10" t="n">
        <v>63856</v>
      </c>
      <c r="AH46" s="10" t="n">
        <v>41568</v>
      </c>
      <c r="AI46" s="10" t="n">
        <v>99104</v>
      </c>
      <c r="AJ46" s="10" t="n">
        <v>28.1</v>
      </c>
      <c r="AK46" s="10" t="n">
        <v>18.3</v>
      </c>
      <c r="AL46" s="10" t="n">
        <v>43.6</v>
      </c>
      <c r="AM46" s="10" t="n">
        <v>58448</v>
      </c>
      <c r="AN46" s="10" t="n">
        <v>38032</v>
      </c>
      <c r="AO46" s="10" t="n">
        <v>90784</v>
      </c>
      <c r="AP46" s="10" t="n">
        <v>32.9</v>
      </c>
      <c r="AQ46" s="10" t="n">
        <v>21.4</v>
      </c>
      <c r="AR46" s="10" t="n">
        <v>51</v>
      </c>
      <c r="AS46" s="10" t="n">
        <v>68432</v>
      </c>
      <c r="AT46" s="10" t="n">
        <v>44512</v>
      </c>
      <c r="AU46" s="10" t="n">
        <v>106112</v>
      </c>
      <c r="AV46" s="10" t="n">
        <v>950000</v>
      </c>
      <c r="AW46" s="10" t="n">
        <v>32300</v>
      </c>
      <c r="AX46" s="10" t="n">
        <v>17100</v>
      </c>
      <c r="AY46" s="10" t="n">
        <v>898800</v>
      </c>
      <c r="AZ46" s="10" t="n">
        <v>475000</v>
      </c>
      <c r="BA46" s="10" t="n">
        <v>16150</v>
      </c>
      <c r="BB46" s="10" t="n">
        <v>8550</v>
      </c>
      <c r="BC46" s="10" t="n">
        <v>450350</v>
      </c>
      <c r="BD46" s="10" t="n">
        <v>475000</v>
      </c>
      <c r="BE46" s="10" t="n">
        <v>95000</v>
      </c>
      <c r="BF46" s="10" t="n">
        <v>0</v>
      </c>
      <c r="BG46" s="10" t="n">
        <v>380000</v>
      </c>
      <c r="BH46" s="10" t="n">
        <v>237500</v>
      </c>
      <c r="BI46" s="10" t="n">
        <v>47500</v>
      </c>
      <c r="BJ46" s="10" t="n">
        <v>47500</v>
      </c>
      <c r="BK46" s="10" t="n">
        <v>142500</v>
      </c>
      <c r="BL46" s="10" t="n">
        <v>118750</v>
      </c>
      <c r="BM46" s="10" t="n">
        <v>23750</v>
      </c>
      <c r="BN46" s="10" t="n">
        <v>59375</v>
      </c>
      <c r="BO46" s="10" t="n">
        <v>178125</v>
      </c>
      <c r="BP46" s="10" t="n">
        <v>18000</v>
      </c>
      <c r="BQ46" s="10" t="n">
        <v>946</v>
      </c>
      <c r="BR46" s="10" t="n">
        <v>855</v>
      </c>
      <c r="BS46" s="10" t="n">
        <v>16200</v>
      </c>
      <c r="BT46" s="10" t="n">
        <v>41</v>
      </c>
      <c r="BU46" s="10" t="n">
        <v>40</v>
      </c>
      <c r="BV46" s="10" t="n">
        <v>42</v>
      </c>
      <c r="BW46" s="10" t="n">
        <v>41.1</v>
      </c>
      <c r="BX46" s="10" t="n">
        <v>28</v>
      </c>
      <c r="BY46" s="10" t="n">
        <v>56</v>
      </c>
      <c r="BZ46" s="10" t="n">
        <v>0.86</v>
      </c>
      <c r="CA46" s="10" t="n">
        <v>0.82</v>
      </c>
      <c r="CB46" s="10" t="n">
        <v>0.76</v>
      </c>
      <c r="CC46" s="10" t="n">
        <v>0.87</v>
      </c>
      <c r="CD46" s="10" t="n">
        <v>0.14</v>
      </c>
      <c r="CE46" s="10" t="n">
        <v>0.18</v>
      </c>
      <c r="CF46" s="10" t="n">
        <v>0.24</v>
      </c>
      <c r="CG46" s="10" t="n">
        <v>0.13</v>
      </c>
      <c r="CH46" s="10" t="n">
        <v>7.5</v>
      </c>
      <c r="CI46" s="10" t="n">
        <v>6.7</v>
      </c>
      <c r="CJ46" s="10" t="n">
        <v>5.5</v>
      </c>
      <c r="CK46" s="10" t="n">
        <v>8</v>
      </c>
      <c r="CL46" s="10" t="n">
        <v>2</v>
      </c>
      <c r="CM46" s="10" t="n">
        <v>17</v>
      </c>
      <c r="CN46" s="10" t="n">
        <v>0.13</v>
      </c>
      <c r="CO46" s="10" t="n">
        <v>0.11</v>
      </c>
      <c r="CP46" s="10" t="n">
        <v>0.19</v>
      </c>
      <c r="CQ46" s="10" t="n">
        <v>0.12</v>
      </c>
      <c r="CR46" s="10" t="n">
        <v>68</v>
      </c>
      <c r="CS46" s="10" t="n">
        <v>67</v>
      </c>
      <c r="CT46" s="10" t="n">
        <v>65</v>
      </c>
      <c r="CU46" s="10" t="n">
        <v>69</v>
      </c>
      <c r="CV46" s="10" t="n">
        <v>3.4</v>
      </c>
      <c r="CW46" s="10" t="n">
        <v>3.6</v>
      </c>
      <c r="CX46" s="10" t="n">
        <v>3</v>
      </c>
      <c r="CY46" s="10" t="n">
        <v>3.5</v>
      </c>
      <c r="CZ46" s="10" t="n">
        <v>142500</v>
      </c>
      <c r="DA46" s="10" t="n">
        <v>5700</v>
      </c>
      <c r="DB46" s="10" t="n">
        <v>2850</v>
      </c>
      <c r="DC46" s="10" t="n">
        <v>133950</v>
      </c>
      <c r="DD46" s="10" t="n">
        <v>3135000</v>
      </c>
      <c r="DE46" s="10" t="n">
        <v>12540</v>
      </c>
      <c r="DF46" s="10" t="n">
        <v>0</v>
      </c>
      <c r="DG46" s="10" t="n">
        <v>300960</v>
      </c>
      <c r="DH46" s="10" t="n">
        <v>0.055</v>
      </c>
      <c r="DI46" s="10" t="n">
        <v>0.075</v>
      </c>
      <c r="DJ46" s="10" t="n">
        <v>0.025</v>
      </c>
      <c r="DK46" s="10" t="n">
        <v>0.055</v>
      </c>
    </row>
    <row r="47" customFormat="false" ht="12.8" hidden="false" customHeight="false" outlineLevel="0" collapsed="false">
      <c r="A47" s="9" t="n">
        <v>43</v>
      </c>
      <c r="B47" s="10" t="s">
        <v>8424</v>
      </c>
      <c r="C47" s="10" t="s">
        <v>8402</v>
      </c>
      <c r="D47" s="10" t="n">
        <v>90000</v>
      </c>
      <c r="E47" s="10" t="n">
        <v>5400</v>
      </c>
      <c r="F47" s="10" t="n">
        <v>5400</v>
      </c>
      <c r="G47" s="10" t="n">
        <v>79200</v>
      </c>
      <c r="H47" s="10" t="n">
        <v>0.71</v>
      </c>
      <c r="I47" s="10" t="n">
        <v>0.746</v>
      </c>
      <c r="J47" s="10" t="n">
        <v>0.674</v>
      </c>
      <c r="K47" s="10" t="n">
        <v>0.71</v>
      </c>
      <c r="L47" s="10" t="n">
        <v>0.74</v>
      </c>
      <c r="M47" s="10" t="n">
        <v>0.78</v>
      </c>
      <c r="N47" s="10" t="n">
        <v>0.74</v>
      </c>
      <c r="O47" s="10" t="n">
        <v>0.738</v>
      </c>
      <c r="P47" s="10" t="n">
        <v>0.04</v>
      </c>
      <c r="Q47" s="10" t="n">
        <v>0.04</v>
      </c>
      <c r="R47" s="10" t="n">
        <v>0.07</v>
      </c>
      <c r="S47" s="10" t="n">
        <v>0.018</v>
      </c>
      <c r="T47" s="10" t="n">
        <v>0.03</v>
      </c>
      <c r="U47" s="10" t="n">
        <v>0.036</v>
      </c>
      <c r="V47" s="10" t="n">
        <v>0.076</v>
      </c>
      <c r="W47" s="10" t="n">
        <v>0.029</v>
      </c>
      <c r="X47" s="10" t="n">
        <v>32</v>
      </c>
      <c r="Y47" s="10" t="n">
        <v>20.8</v>
      </c>
      <c r="Z47" s="10" t="n">
        <v>49.6</v>
      </c>
      <c r="AA47" s="10" t="n">
        <v>66560</v>
      </c>
      <c r="AB47" s="10" t="n">
        <v>43280</v>
      </c>
      <c r="AC47" s="10" t="n">
        <v>103168</v>
      </c>
      <c r="AD47" s="10" t="n">
        <v>30.4</v>
      </c>
      <c r="AE47" s="10" t="n">
        <v>19.8</v>
      </c>
      <c r="AF47" s="10" t="n">
        <v>47.2</v>
      </c>
      <c r="AG47" s="10" t="n">
        <v>63232</v>
      </c>
      <c r="AH47" s="10" t="n">
        <v>41120</v>
      </c>
      <c r="AI47" s="10" t="n">
        <v>98176</v>
      </c>
      <c r="AJ47" s="10" t="n">
        <v>27.8</v>
      </c>
      <c r="AK47" s="10" t="n">
        <v>18.1</v>
      </c>
      <c r="AL47" s="10" t="n">
        <v>43.2</v>
      </c>
      <c r="AM47" s="10" t="n">
        <v>57824</v>
      </c>
      <c r="AN47" s="10" t="n">
        <v>37616</v>
      </c>
      <c r="AO47" s="10" t="n">
        <v>89984</v>
      </c>
      <c r="AP47" s="10" t="n">
        <v>32.5</v>
      </c>
      <c r="AQ47" s="10" t="n">
        <v>21.1</v>
      </c>
      <c r="AR47" s="10" t="n">
        <v>50.4</v>
      </c>
      <c r="AS47" s="10" t="n">
        <v>67600</v>
      </c>
      <c r="AT47" s="10" t="n">
        <v>43960</v>
      </c>
      <c r="AU47" s="10" t="n">
        <v>105104</v>
      </c>
      <c r="AV47" s="10" t="n">
        <v>2880000</v>
      </c>
      <c r="AW47" s="10" t="n">
        <v>97920</v>
      </c>
      <c r="AX47" s="10" t="n">
        <v>51840</v>
      </c>
      <c r="AY47" s="10" t="n">
        <v>2729280</v>
      </c>
      <c r="AZ47" s="10" t="n">
        <v>1440000</v>
      </c>
      <c r="BA47" s="10" t="n">
        <v>48960</v>
      </c>
      <c r="BB47" s="10" t="n">
        <v>25920</v>
      </c>
      <c r="BC47" s="10" t="n">
        <v>1365120</v>
      </c>
      <c r="BD47" s="10" t="n">
        <v>1440000</v>
      </c>
      <c r="BE47" s="10" t="n">
        <v>288000</v>
      </c>
      <c r="BF47" s="10" t="n">
        <v>0</v>
      </c>
      <c r="BG47" s="10" t="n">
        <v>1152000</v>
      </c>
      <c r="BH47" s="10" t="n">
        <v>720000</v>
      </c>
      <c r="BI47" s="10" t="n">
        <v>144000</v>
      </c>
      <c r="BJ47" s="10" t="n">
        <v>144000</v>
      </c>
      <c r="BK47" s="10" t="n">
        <v>432000</v>
      </c>
      <c r="BL47" s="10" t="n">
        <v>360000</v>
      </c>
      <c r="BM47" s="10" t="n">
        <v>72000</v>
      </c>
      <c r="BN47" s="10" t="n">
        <v>180000</v>
      </c>
      <c r="BO47" s="10" t="n">
        <v>540000</v>
      </c>
      <c r="BP47" s="10" t="n">
        <v>63900</v>
      </c>
      <c r="BQ47" s="10" t="n">
        <v>4021</v>
      </c>
      <c r="BR47" s="10" t="n">
        <v>3636</v>
      </c>
      <c r="BS47" s="10" t="n">
        <v>56243</v>
      </c>
      <c r="BT47" s="10" t="n">
        <v>40</v>
      </c>
      <c r="BU47" s="10" t="n">
        <v>39</v>
      </c>
      <c r="BV47" s="10" t="n">
        <v>41</v>
      </c>
      <c r="BW47" s="10" t="n">
        <v>40.1</v>
      </c>
      <c r="BX47" s="10" t="n">
        <v>25</v>
      </c>
      <c r="BY47" s="10" t="n">
        <v>55</v>
      </c>
      <c r="BZ47" s="10" t="n">
        <v>0.83</v>
      </c>
      <c r="CA47" s="10" t="n">
        <v>0.79</v>
      </c>
      <c r="CB47" s="10" t="n">
        <v>0.73</v>
      </c>
      <c r="CC47" s="10" t="n">
        <v>0.84</v>
      </c>
      <c r="CD47" s="10" t="n">
        <v>0.17</v>
      </c>
      <c r="CE47" s="10" t="n">
        <v>0.21</v>
      </c>
      <c r="CF47" s="10" t="n">
        <v>0.27</v>
      </c>
      <c r="CG47" s="10" t="n">
        <v>0.16</v>
      </c>
      <c r="CH47" s="10" t="n">
        <v>6.9</v>
      </c>
      <c r="CI47" s="10" t="n">
        <v>6.1</v>
      </c>
      <c r="CJ47" s="10" t="n">
        <v>4.9</v>
      </c>
      <c r="CK47" s="10" t="n">
        <v>7.4</v>
      </c>
      <c r="CL47" s="10" t="n">
        <v>1.6</v>
      </c>
      <c r="CM47" s="10" t="n">
        <v>15</v>
      </c>
      <c r="CN47" s="10" t="n">
        <v>0.16</v>
      </c>
      <c r="CO47" s="10" t="n">
        <v>0.14</v>
      </c>
      <c r="CP47" s="10" t="n">
        <v>0.22</v>
      </c>
      <c r="CQ47" s="10" t="n">
        <v>0.15</v>
      </c>
      <c r="CR47" s="10" t="n">
        <v>63</v>
      </c>
      <c r="CS47" s="10" t="n">
        <v>62</v>
      </c>
      <c r="CT47" s="10" t="n">
        <v>60</v>
      </c>
      <c r="CU47" s="10" t="n">
        <v>64</v>
      </c>
      <c r="CV47" s="10" t="n">
        <v>3.3</v>
      </c>
      <c r="CW47" s="10" t="n">
        <v>3.5</v>
      </c>
      <c r="CX47" s="10" t="n">
        <v>2.9</v>
      </c>
      <c r="CY47" s="10" t="n">
        <v>3.4</v>
      </c>
      <c r="CZ47" s="10" t="n">
        <v>432000</v>
      </c>
      <c r="DA47" s="10" t="n">
        <v>17280</v>
      </c>
      <c r="DB47" s="10" t="n">
        <v>8640</v>
      </c>
      <c r="DC47" s="10" t="n">
        <v>406080</v>
      </c>
      <c r="DD47" s="10" t="n">
        <v>9504000</v>
      </c>
      <c r="DE47" s="10" t="n">
        <v>38016</v>
      </c>
      <c r="DF47" s="10" t="n">
        <v>0</v>
      </c>
      <c r="DG47" s="10" t="n">
        <v>912384</v>
      </c>
      <c r="DH47" s="10" t="n">
        <v>0.065</v>
      </c>
      <c r="DI47" s="10" t="n">
        <v>0.085</v>
      </c>
      <c r="DJ47" s="10" t="n">
        <v>0.035</v>
      </c>
      <c r="DK47" s="10" t="n">
        <v>0.065</v>
      </c>
    </row>
    <row r="48" customFormat="false" ht="12.8" hidden="false" customHeight="false" outlineLevel="0" collapsed="false">
      <c r="A48" s="9" t="n">
        <v>44</v>
      </c>
      <c r="B48" s="10" t="s">
        <v>8424</v>
      </c>
      <c r="C48" s="10" t="s">
        <v>8403</v>
      </c>
      <c r="D48" s="10" t="n">
        <v>30000</v>
      </c>
      <c r="E48" s="10" t="n">
        <v>1800</v>
      </c>
      <c r="F48" s="10" t="n">
        <v>1800</v>
      </c>
      <c r="G48" s="10" t="n">
        <v>26400</v>
      </c>
      <c r="H48" s="10" t="n">
        <v>0.71</v>
      </c>
      <c r="I48" s="10" t="n">
        <v>0.746</v>
      </c>
      <c r="J48" s="10" t="n">
        <v>0.674</v>
      </c>
      <c r="K48" s="10" t="n">
        <v>0.71</v>
      </c>
      <c r="L48" s="10" t="n">
        <v>0.74</v>
      </c>
      <c r="M48" s="10" t="n">
        <v>0.78</v>
      </c>
      <c r="N48" s="10" t="n">
        <v>0.74</v>
      </c>
      <c r="O48" s="10" t="n">
        <v>0.738</v>
      </c>
      <c r="P48" s="10" t="n">
        <v>0.04</v>
      </c>
      <c r="Q48" s="10" t="n">
        <v>0.04</v>
      </c>
      <c r="R48" s="10" t="n">
        <v>0.07</v>
      </c>
      <c r="S48" s="10" t="n">
        <v>0.018</v>
      </c>
      <c r="T48" s="10" t="n">
        <v>0.03</v>
      </c>
      <c r="U48" s="10" t="n">
        <v>0.036</v>
      </c>
      <c r="V48" s="10" t="n">
        <v>0.076</v>
      </c>
      <c r="W48" s="10" t="n">
        <v>0.029</v>
      </c>
      <c r="X48" s="10" t="n">
        <v>27.2</v>
      </c>
      <c r="Y48" s="10" t="n">
        <v>17.7</v>
      </c>
      <c r="Z48" s="10" t="n">
        <v>42.2</v>
      </c>
      <c r="AA48" s="10" t="n">
        <v>56576</v>
      </c>
      <c r="AB48" s="10" t="n">
        <v>36824</v>
      </c>
      <c r="AC48" s="10" t="n">
        <v>87776</v>
      </c>
      <c r="AD48" s="10" t="n">
        <v>25.8</v>
      </c>
      <c r="AE48" s="10" t="n">
        <v>16.8</v>
      </c>
      <c r="AF48" s="10" t="n">
        <v>40.1</v>
      </c>
      <c r="AG48" s="10" t="n">
        <v>53664</v>
      </c>
      <c r="AH48" s="10" t="n">
        <v>34944</v>
      </c>
      <c r="AI48" s="10" t="n">
        <v>83520</v>
      </c>
      <c r="AJ48" s="10" t="n">
        <v>23.6</v>
      </c>
      <c r="AK48" s="10" t="n">
        <v>15.4</v>
      </c>
      <c r="AL48" s="10" t="n">
        <v>36.8</v>
      </c>
      <c r="AM48" s="10" t="n">
        <v>49168</v>
      </c>
      <c r="AN48" s="10" t="n">
        <v>32008</v>
      </c>
      <c r="AO48" s="10" t="n">
        <v>76544</v>
      </c>
      <c r="AP48" s="10" t="n">
        <v>27.6</v>
      </c>
      <c r="AQ48" s="10" t="n">
        <v>18</v>
      </c>
      <c r="AR48" s="10" t="n">
        <v>42.9</v>
      </c>
      <c r="AS48" s="10" t="n">
        <v>57408</v>
      </c>
      <c r="AT48" s="10" t="n">
        <v>37344</v>
      </c>
      <c r="AU48" s="10" t="n">
        <v>89216</v>
      </c>
      <c r="AV48" s="10" t="n">
        <v>960000</v>
      </c>
      <c r="AW48" s="10" t="n">
        <v>32640</v>
      </c>
      <c r="AX48" s="10" t="n">
        <v>17280</v>
      </c>
      <c r="AY48" s="10" t="n">
        <v>909760</v>
      </c>
      <c r="AZ48" s="10" t="n">
        <v>480000</v>
      </c>
      <c r="BA48" s="10" t="n">
        <v>16320</v>
      </c>
      <c r="BB48" s="10" t="n">
        <v>8640</v>
      </c>
      <c r="BC48" s="10" t="n">
        <v>455040</v>
      </c>
      <c r="BD48" s="10" t="n">
        <v>480000</v>
      </c>
      <c r="BE48" s="10" t="n">
        <v>96000</v>
      </c>
      <c r="BF48" s="10" t="n">
        <v>0</v>
      </c>
      <c r="BG48" s="10" t="n">
        <v>384000</v>
      </c>
      <c r="BH48" s="10" t="n">
        <v>240000</v>
      </c>
      <c r="BI48" s="10" t="n">
        <v>48000</v>
      </c>
      <c r="BJ48" s="10" t="n">
        <v>48000</v>
      </c>
      <c r="BK48" s="10" t="n">
        <v>144000</v>
      </c>
      <c r="BL48" s="10" t="n">
        <v>120000</v>
      </c>
      <c r="BM48" s="10" t="n">
        <v>24000</v>
      </c>
      <c r="BN48" s="10" t="n">
        <v>60000</v>
      </c>
      <c r="BO48" s="10" t="n">
        <v>180000</v>
      </c>
      <c r="BP48" s="10" t="n">
        <v>21300</v>
      </c>
      <c r="BQ48" s="10" t="n">
        <v>1340</v>
      </c>
      <c r="BR48" s="10" t="n">
        <v>1212</v>
      </c>
      <c r="BS48" s="10" t="n">
        <v>18748</v>
      </c>
      <c r="BT48" s="10" t="n">
        <v>40</v>
      </c>
      <c r="BU48" s="10" t="n">
        <v>39</v>
      </c>
      <c r="BV48" s="10" t="n">
        <v>41</v>
      </c>
      <c r="BW48" s="10" t="n">
        <v>40.1</v>
      </c>
      <c r="BX48" s="10" t="n">
        <v>25</v>
      </c>
      <c r="BY48" s="10" t="n">
        <v>55</v>
      </c>
      <c r="BZ48" s="10" t="n">
        <v>0.83</v>
      </c>
      <c r="CA48" s="10" t="n">
        <v>0.79</v>
      </c>
      <c r="CB48" s="10" t="n">
        <v>0.73</v>
      </c>
      <c r="CC48" s="10" t="n">
        <v>0.84</v>
      </c>
      <c r="CD48" s="10" t="n">
        <v>0.17</v>
      </c>
      <c r="CE48" s="10" t="n">
        <v>0.21</v>
      </c>
      <c r="CF48" s="10" t="n">
        <v>0.27</v>
      </c>
      <c r="CG48" s="10" t="n">
        <v>0.16</v>
      </c>
      <c r="CH48" s="10" t="n">
        <v>6.9</v>
      </c>
      <c r="CI48" s="10" t="n">
        <v>6.1</v>
      </c>
      <c r="CJ48" s="10" t="n">
        <v>4.9</v>
      </c>
      <c r="CK48" s="10" t="n">
        <v>7.4</v>
      </c>
      <c r="CL48" s="10" t="n">
        <v>1.6</v>
      </c>
      <c r="CM48" s="10" t="n">
        <v>15</v>
      </c>
      <c r="CN48" s="10" t="n">
        <v>0.16</v>
      </c>
      <c r="CO48" s="10" t="n">
        <v>0.14</v>
      </c>
      <c r="CP48" s="10" t="n">
        <v>0.22</v>
      </c>
      <c r="CQ48" s="10" t="n">
        <v>0.15</v>
      </c>
      <c r="CR48" s="10" t="n">
        <v>63</v>
      </c>
      <c r="CS48" s="10" t="n">
        <v>62</v>
      </c>
      <c r="CT48" s="10" t="n">
        <v>60</v>
      </c>
      <c r="CU48" s="10" t="n">
        <v>64</v>
      </c>
      <c r="CV48" s="10" t="n">
        <v>3.3</v>
      </c>
      <c r="CW48" s="10" t="n">
        <v>3.5</v>
      </c>
      <c r="CX48" s="10" t="n">
        <v>2.9</v>
      </c>
      <c r="CY48" s="10" t="n">
        <v>3.4</v>
      </c>
      <c r="CZ48" s="10" t="n">
        <v>144000</v>
      </c>
      <c r="DA48" s="10" t="n">
        <v>5760</v>
      </c>
      <c r="DB48" s="10" t="n">
        <v>2880</v>
      </c>
      <c r="DC48" s="10" t="n">
        <v>135360</v>
      </c>
      <c r="DD48" s="10" t="n">
        <v>3168000</v>
      </c>
      <c r="DE48" s="10" t="n">
        <v>12672</v>
      </c>
      <c r="DF48" s="10" t="n">
        <v>0</v>
      </c>
      <c r="DG48" s="10" t="n">
        <v>304128</v>
      </c>
      <c r="DH48" s="10" t="n">
        <v>0.065</v>
      </c>
      <c r="DI48" s="10" t="n">
        <v>0.085</v>
      </c>
      <c r="DJ48" s="10" t="n">
        <v>0.035</v>
      </c>
      <c r="DK48" s="10" t="n">
        <v>0.065</v>
      </c>
    </row>
    <row r="49" customFormat="false" ht="12.8" hidden="false" customHeight="false" outlineLevel="0" collapsed="false">
      <c r="A49" s="9" t="n">
        <v>45</v>
      </c>
      <c r="B49" s="10" t="s">
        <v>8425</v>
      </c>
      <c r="C49" s="10" t="s">
        <v>8402</v>
      </c>
      <c r="D49" s="10" t="n">
        <v>225000</v>
      </c>
      <c r="E49" s="10" t="n">
        <v>31500</v>
      </c>
      <c r="F49" s="10" t="n">
        <v>31500</v>
      </c>
      <c r="G49" s="10" t="n">
        <v>162000</v>
      </c>
      <c r="H49" s="10" t="n">
        <v>0.62</v>
      </c>
      <c r="I49" s="10" t="n">
        <v>0.662</v>
      </c>
      <c r="J49" s="10" t="n">
        <v>0.578</v>
      </c>
      <c r="K49" s="10" t="n">
        <v>0.62</v>
      </c>
      <c r="L49" s="10" t="n">
        <v>0.65</v>
      </c>
      <c r="M49" s="10" t="n">
        <v>0.7</v>
      </c>
      <c r="N49" s="10" t="n">
        <v>0.65</v>
      </c>
      <c r="O49" s="10" t="n">
        <v>0.648</v>
      </c>
      <c r="P49" s="10" t="n">
        <v>0.08</v>
      </c>
      <c r="Q49" s="10" t="n">
        <v>0.08</v>
      </c>
      <c r="R49" s="10" t="n">
        <v>0.13</v>
      </c>
      <c r="S49" s="10" t="n">
        <v>0.04</v>
      </c>
      <c r="T49" s="10" t="n">
        <v>0.1</v>
      </c>
      <c r="U49" s="10" t="n">
        <v>0.132</v>
      </c>
      <c r="V49" s="10" t="n">
        <v>0.221</v>
      </c>
      <c r="W49" s="10" t="n">
        <v>0.095</v>
      </c>
      <c r="X49" s="10" t="n">
        <v>18.5</v>
      </c>
      <c r="Y49" s="10" t="n">
        <v>12</v>
      </c>
      <c r="Z49" s="10" t="n">
        <v>28.7</v>
      </c>
      <c r="AA49" s="10" t="n">
        <v>38480</v>
      </c>
      <c r="AB49" s="10" t="n">
        <v>24992</v>
      </c>
      <c r="AC49" s="10" t="n">
        <v>59696</v>
      </c>
      <c r="AD49" s="10" t="n">
        <v>17.6</v>
      </c>
      <c r="AE49" s="10" t="n">
        <v>11.4</v>
      </c>
      <c r="AF49" s="10" t="n">
        <v>28.2</v>
      </c>
      <c r="AG49" s="10" t="n">
        <v>36608</v>
      </c>
      <c r="AH49" s="10" t="n">
        <v>23840</v>
      </c>
      <c r="AI49" s="10" t="n">
        <v>58592</v>
      </c>
      <c r="AJ49" s="10" t="n">
        <v>15.3</v>
      </c>
      <c r="AK49" s="10" t="n">
        <v>9.9</v>
      </c>
      <c r="AL49" s="10" t="n">
        <v>24.5</v>
      </c>
      <c r="AM49" s="10" t="n">
        <v>31824</v>
      </c>
      <c r="AN49" s="10" t="n">
        <v>20704</v>
      </c>
      <c r="AO49" s="10" t="n">
        <v>50912</v>
      </c>
      <c r="AP49" s="10" t="n">
        <v>18.9</v>
      </c>
      <c r="AQ49" s="10" t="n">
        <v>12.3</v>
      </c>
      <c r="AR49" s="10" t="n">
        <v>29.4</v>
      </c>
      <c r="AS49" s="10" t="n">
        <v>39312</v>
      </c>
      <c r="AT49" s="10" t="n">
        <v>25584</v>
      </c>
      <c r="AU49" s="10" t="n">
        <v>61056</v>
      </c>
      <c r="AV49" s="10" t="n">
        <v>4140000</v>
      </c>
      <c r="AW49" s="10" t="n">
        <v>140760</v>
      </c>
      <c r="AX49" s="10" t="n">
        <v>74400</v>
      </c>
      <c r="AY49" s="10" t="n">
        <v>3924840</v>
      </c>
      <c r="AZ49" s="10" t="n">
        <v>2070000</v>
      </c>
      <c r="BA49" s="10" t="n">
        <v>70380</v>
      </c>
      <c r="BB49" s="10" t="n">
        <v>37200</v>
      </c>
      <c r="BC49" s="10" t="n">
        <v>1962420</v>
      </c>
      <c r="BD49" s="10" t="n">
        <v>2070000</v>
      </c>
      <c r="BE49" s="10" t="n">
        <v>414000</v>
      </c>
      <c r="BF49" s="10" t="n">
        <v>0</v>
      </c>
      <c r="BG49" s="10" t="n">
        <v>1656000</v>
      </c>
      <c r="BH49" s="10" t="n">
        <v>1035000</v>
      </c>
      <c r="BI49" s="10" t="n">
        <v>207000</v>
      </c>
      <c r="BJ49" s="10" t="n">
        <v>207000</v>
      </c>
      <c r="BK49" s="10" t="n">
        <v>621000</v>
      </c>
      <c r="BL49" s="10" t="n">
        <v>517500</v>
      </c>
      <c r="BM49" s="10" t="n">
        <v>103500</v>
      </c>
      <c r="BN49" s="10" t="n">
        <v>258750</v>
      </c>
      <c r="BO49" s="10" t="n">
        <v>776250</v>
      </c>
      <c r="BP49" s="10" t="n">
        <v>139500</v>
      </c>
      <c r="BQ49" s="10" t="n">
        <v>19530</v>
      </c>
      <c r="BR49" s="10" t="n">
        <v>18207</v>
      </c>
      <c r="BS49" s="10" t="n">
        <v>101763</v>
      </c>
      <c r="BT49" s="10" t="n">
        <v>37</v>
      </c>
      <c r="BU49" s="10" t="n">
        <v>36</v>
      </c>
      <c r="BV49" s="10" t="n">
        <v>38</v>
      </c>
      <c r="BW49" s="10" t="n">
        <v>37.1</v>
      </c>
      <c r="BX49" s="10" t="n">
        <v>22</v>
      </c>
      <c r="BY49" s="10" t="n">
        <v>54</v>
      </c>
      <c r="BZ49" s="10" t="n">
        <v>0.73</v>
      </c>
      <c r="CA49" s="10" t="n">
        <v>0.69</v>
      </c>
      <c r="CB49" s="10" t="n">
        <v>0.63</v>
      </c>
      <c r="CC49" s="10" t="n">
        <v>0.74</v>
      </c>
      <c r="CD49" s="10" t="n">
        <v>0.27</v>
      </c>
      <c r="CE49" s="10" t="n">
        <v>0.31</v>
      </c>
      <c r="CF49" s="10" t="n">
        <v>0.37</v>
      </c>
      <c r="CG49" s="10" t="n">
        <v>0.26</v>
      </c>
      <c r="CH49" s="10" t="n">
        <v>4.5</v>
      </c>
      <c r="CI49" s="10" t="n">
        <v>4</v>
      </c>
      <c r="CJ49" s="10" t="n">
        <v>3</v>
      </c>
      <c r="CK49" s="10" t="n">
        <v>5</v>
      </c>
      <c r="CL49" s="10" t="n">
        <v>0.9</v>
      </c>
      <c r="CM49" s="10" t="n">
        <v>12</v>
      </c>
      <c r="CN49" s="10" t="n">
        <v>0.21</v>
      </c>
      <c r="CO49" s="10" t="n">
        <v>0.19</v>
      </c>
      <c r="CP49" s="10" t="n">
        <v>0.27</v>
      </c>
      <c r="CQ49" s="10" t="n">
        <v>0.2</v>
      </c>
      <c r="CR49" s="10" t="n">
        <v>49</v>
      </c>
      <c r="CS49" s="10" t="n">
        <v>48</v>
      </c>
      <c r="CT49" s="10" t="n">
        <v>46</v>
      </c>
      <c r="CU49" s="10" t="n">
        <v>50</v>
      </c>
      <c r="CV49" s="10" t="n">
        <v>1.8</v>
      </c>
      <c r="CW49" s="10" t="n">
        <v>2</v>
      </c>
      <c r="CX49" s="10" t="n">
        <v>1.4</v>
      </c>
      <c r="CY49" s="10" t="n">
        <v>1.9</v>
      </c>
      <c r="CZ49" s="10" t="n">
        <v>3105000</v>
      </c>
      <c r="DA49" s="10" t="n">
        <v>124200</v>
      </c>
      <c r="DB49" s="10" t="n">
        <v>62100</v>
      </c>
      <c r="DC49" s="10" t="n">
        <v>2918700</v>
      </c>
      <c r="DD49" s="10" t="n">
        <v>6825000</v>
      </c>
      <c r="DE49" s="10" t="n">
        <v>273000</v>
      </c>
      <c r="DF49" s="10" t="n">
        <v>0</v>
      </c>
      <c r="DG49" s="10" t="n">
        <v>6552000</v>
      </c>
      <c r="DH49" s="10" t="n">
        <v>0.095</v>
      </c>
      <c r="DI49" s="10" t="n">
        <v>0.13</v>
      </c>
      <c r="DJ49" s="10" t="n">
        <v>0.055</v>
      </c>
      <c r="DK49" s="10" t="n">
        <v>0.095</v>
      </c>
    </row>
    <row r="50" customFormat="false" ht="12.8" hidden="false" customHeight="false" outlineLevel="0" collapsed="false">
      <c r="A50" s="9" t="n">
        <v>46</v>
      </c>
      <c r="B50" s="10" t="s">
        <v>8425</v>
      </c>
      <c r="C50" s="10" t="s">
        <v>8403</v>
      </c>
      <c r="D50" s="10" t="n">
        <v>75000</v>
      </c>
      <c r="E50" s="10" t="n">
        <v>10500</v>
      </c>
      <c r="F50" s="10" t="n">
        <v>10500</v>
      </c>
      <c r="G50" s="10" t="n">
        <v>54000</v>
      </c>
      <c r="H50" s="10" t="n">
        <v>0.62</v>
      </c>
      <c r="I50" s="10" t="n">
        <v>0.662</v>
      </c>
      <c r="J50" s="10" t="n">
        <v>0.578</v>
      </c>
      <c r="K50" s="10" t="n">
        <v>0.62</v>
      </c>
      <c r="L50" s="10" t="n">
        <v>0.65</v>
      </c>
      <c r="M50" s="10" t="n">
        <v>0.7</v>
      </c>
      <c r="N50" s="10" t="n">
        <v>0.65</v>
      </c>
      <c r="O50" s="10" t="n">
        <v>0.648</v>
      </c>
      <c r="P50" s="10" t="n">
        <v>0.08</v>
      </c>
      <c r="Q50" s="10" t="n">
        <v>0.08</v>
      </c>
      <c r="R50" s="10" t="n">
        <v>0.13</v>
      </c>
      <c r="S50" s="10" t="n">
        <v>0.04</v>
      </c>
      <c r="T50" s="10" t="n">
        <v>0.1</v>
      </c>
      <c r="U50" s="10" t="n">
        <v>0.132</v>
      </c>
      <c r="V50" s="10" t="n">
        <v>0.221</v>
      </c>
      <c r="W50" s="10" t="n">
        <v>0.095</v>
      </c>
      <c r="X50" s="10" t="n">
        <v>15.73</v>
      </c>
      <c r="Y50" s="10" t="n">
        <v>10.2</v>
      </c>
      <c r="Z50" s="10" t="n">
        <v>24.4</v>
      </c>
      <c r="AA50" s="10" t="n">
        <v>32718</v>
      </c>
      <c r="AB50" s="10" t="n">
        <v>21296</v>
      </c>
      <c r="AC50" s="10" t="n">
        <v>50752</v>
      </c>
      <c r="AD50" s="10" t="n">
        <v>14.9</v>
      </c>
      <c r="AE50" s="10" t="n">
        <v>9.7</v>
      </c>
      <c r="AF50" s="10" t="n">
        <v>23.9</v>
      </c>
      <c r="AG50" s="10" t="n">
        <v>31008</v>
      </c>
      <c r="AH50" s="10" t="n">
        <v>20192</v>
      </c>
      <c r="AI50" s="10" t="n">
        <v>49728</v>
      </c>
      <c r="AJ50" s="10" t="n">
        <v>13</v>
      </c>
      <c r="AK50" s="10" t="n">
        <v>8.4</v>
      </c>
      <c r="AL50" s="10" t="n">
        <v>20.8</v>
      </c>
      <c r="AM50" s="10" t="n">
        <v>27040</v>
      </c>
      <c r="AN50" s="10" t="n">
        <v>17600</v>
      </c>
      <c r="AO50" s="10" t="n">
        <v>43264</v>
      </c>
      <c r="AP50" s="10" t="n">
        <v>16.1</v>
      </c>
      <c r="AQ50" s="10" t="n">
        <v>10.5</v>
      </c>
      <c r="AR50" s="10" t="n">
        <v>25</v>
      </c>
      <c r="AS50" s="10" t="n">
        <v>33488</v>
      </c>
      <c r="AT50" s="10" t="n">
        <v>21808</v>
      </c>
      <c r="AU50" s="10" t="n">
        <v>52032</v>
      </c>
      <c r="AV50" s="10" t="n">
        <v>1380000</v>
      </c>
      <c r="AW50" s="10" t="n">
        <v>46880</v>
      </c>
      <c r="AX50" s="10" t="n">
        <v>24800</v>
      </c>
      <c r="AY50" s="10" t="n">
        <v>1308320</v>
      </c>
      <c r="AZ50" s="10" t="n">
        <v>690000</v>
      </c>
      <c r="BA50" s="10" t="n">
        <v>23460</v>
      </c>
      <c r="BB50" s="10" t="n">
        <v>12400</v>
      </c>
      <c r="BC50" s="10" t="n">
        <v>654140</v>
      </c>
      <c r="BD50" s="10" t="n">
        <v>690000</v>
      </c>
      <c r="BE50" s="10" t="n">
        <v>138000</v>
      </c>
      <c r="BF50" s="10" t="n">
        <v>0</v>
      </c>
      <c r="BG50" s="10" t="n">
        <v>552000</v>
      </c>
      <c r="BH50" s="10" t="n">
        <v>345000</v>
      </c>
      <c r="BI50" s="10" t="n">
        <v>69000</v>
      </c>
      <c r="BJ50" s="10" t="n">
        <v>69000</v>
      </c>
      <c r="BK50" s="10" t="n">
        <v>207000</v>
      </c>
      <c r="BL50" s="10" t="n">
        <v>172500</v>
      </c>
      <c r="BM50" s="10" t="n">
        <v>34500</v>
      </c>
      <c r="BN50" s="10" t="n">
        <v>86250</v>
      </c>
      <c r="BO50" s="10" t="n">
        <v>258750</v>
      </c>
      <c r="BP50" s="10" t="n">
        <v>46500</v>
      </c>
      <c r="BQ50" s="10" t="n">
        <v>6510</v>
      </c>
      <c r="BR50" s="10" t="n">
        <v>6069</v>
      </c>
      <c r="BS50" s="10" t="n">
        <v>33921</v>
      </c>
      <c r="BT50" s="10" t="n">
        <v>37</v>
      </c>
      <c r="BU50" s="10" t="n">
        <v>36</v>
      </c>
      <c r="BV50" s="10" t="n">
        <v>38</v>
      </c>
      <c r="BW50" s="10" t="n">
        <v>37.1</v>
      </c>
      <c r="BX50" s="10" t="n">
        <v>22</v>
      </c>
      <c r="BY50" s="10" t="n">
        <v>54</v>
      </c>
      <c r="BZ50" s="10" t="n">
        <v>0.73</v>
      </c>
      <c r="CA50" s="10" t="n">
        <v>0.69</v>
      </c>
      <c r="CB50" s="10" t="n">
        <v>0.63</v>
      </c>
      <c r="CC50" s="10" t="n">
        <v>0.74</v>
      </c>
      <c r="CD50" s="10" t="n">
        <v>0.27</v>
      </c>
      <c r="CE50" s="10" t="n">
        <v>0.31</v>
      </c>
      <c r="CF50" s="10" t="n">
        <v>0.37</v>
      </c>
      <c r="CG50" s="10" t="n">
        <v>0.26</v>
      </c>
      <c r="CH50" s="10" t="n">
        <v>4.5</v>
      </c>
      <c r="CI50" s="10" t="n">
        <v>4</v>
      </c>
      <c r="CJ50" s="10" t="n">
        <v>3</v>
      </c>
      <c r="CK50" s="10" t="n">
        <v>5</v>
      </c>
      <c r="CL50" s="10" t="n">
        <v>0.9</v>
      </c>
      <c r="CM50" s="10" t="n">
        <v>12</v>
      </c>
      <c r="CN50" s="10" t="n">
        <v>0.21</v>
      </c>
      <c r="CO50" s="10" t="n">
        <v>0.19</v>
      </c>
      <c r="CP50" s="10" t="n">
        <v>0.27</v>
      </c>
      <c r="CQ50" s="10" t="n">
        <v>0.2</v>
      </c>
      <c r="CR50" s="10" t="n">
        <v>49</v>
      </c>
      <c r="CS50" s="10" t="n">
        <v>48</v>
      </c>
      <c r="CT50" s="10" t="n">
        <v>46</v>
      </c>
      <c r="CU50" s="10" t="n">
        <v>50</v>
      </c>
      <c r="CV50" s="10" t="n">
        <v>1.8</v>
      </c>
      <c r="CW50" s="10" t="n">
        <v>2</v>
      </c>
      <c r="CX50" s="10" t="n">
        <v>1.4</v>
      </c>
      <c r="CY50" s="10" t="n">
        <v>1.9</v>
      </c>
      <c r="CZ50" s="10" t="n">
        <v>1035000</v>
      </c>
      <c r="DA50" s="10" t="n">
        <v>41400</v>
      </c>
      <c r="DB50" s="10" t="n">
        <v>20700</v>
      </c>
      <c r="DC50" s="10" t="n">
        <v>972900</v>
      </c>
      <c r="DD50" s="10" t="n">
        <v>2275000</v>
      </c>
      <c r="DE50" s="10" t="n">
        <v>91000</v>
      </c>
      <c r="DF50" s="10" t="n">
        <v>0</v>
      </c>
      <c r="DG50" s="10" t="n">
        <v>2184000</v>
      </c>
      <c r="DH50" s="10" t="n">
        <v>0.095</v>
      </c>
      <c r="DI50" s="10" t="n">
        <v>0.13</v>
      </c>
      <c r="DJ50" s="10" t="n">
        <v>0.055</v>
      </c>
      <c r="DK50" s="10" t="n">
        <v>0.095</v>
      </c>
    </row>
    <row r="51" customFormat="false" ht="12.8" hidden="false" customHeight="false" outlineLevel="0" collapsed="false">
      <c r="A51" s="9" t="n">
        <v>47</v>
      </c>
      <c r="B51" s="10" t="s">
        <v>8426</v>
      </c>
      <c r="C51" s="10" t="s">
        <v>8402</v>
      </c>
      <c r="D51" s="10" t="n">
        <v>60000</v>
      </c>
      <c r="E51" s="10" t="n">
        <v>6000</v>
      </c>
      <c r="F51" s="10" t="n">
        <v>6000</v>
      </c>
      <c r="G51" s="10" t="n">
        <v>48000</v>
      </c>
      <c r="H51" s="10" t="n">
        <v>0.65</v>
      </c>
      <c r="I51" s="10" t="n">
        <v>0.682</v>
      </c>
      <c r="J51" s="10" t="n">
        <v>0.618</v>
      </c>
      <c r="K51" s="10" t="n">
        <v>0.65</v>
      </c>
      <c r="L51" s="10" t="n">
        <v>0.68</v>
      </c>
      <c r="M51" s="10" t="n">
        <v>0.72</v>
      </c>
      <c r="N51" s="10" t="n">
        <v>0.68</v>
      </c>
      <c r="O51" s="10" t="n">
        <v>0.678</v>
      </c>
      <c r="P51" s="10" t="n">
        <v>0.05</v>
      </c>
      <c r="Q51" s="10" t="n">
        <v>0.05</v>
      </c>
      <c r="R51" s="10" t="n">
        <v>0.08</v>
      </c>
      <c r="S51" s="10" t="n">
        <v>0.022</v>
      </c>
      <c r="T51" s="10" t="n">
        <v>0.04</v>
      </c>
      <c r="U51" s="10" t="n">
        <v>0.048</v>
      </c>
      <c r="V51" s="10" t="n">
        <v>0.09</v>
      </c>
      <c r="W51" s="10" t="n">
        <v>0.036</v>
      </c>
      <c r="X51" s="10" t="n">
        <v>22</v>
      </c>
      <c r="Y51" s="10" t="n">
        <v>14.3</v>
      </c>
      <c r="Z51" s="10" t="n">
        <v>34.1</v>
      </c>
      <c r="AA51" s="10" t="n">
        <v>45760</v>
      </c>
      <c r="AB51" s="10" t="n">
        <v>29744</v>
      </c>
      <c r="AC51" s="10" t="n">
        <v>70912</v>
      </c>
      <c r="AD51" s="10" t="n">
        <v>20.9</v>
      </c>
      <c r="AE51" s="10" t="n">
        <v>13.6</v>
      </c>
      <c r="AF51" s="10" t="n">
        <v>32.4</v>
      </c>
      <c r="AG51" s="10" t="n">
        <v>43472</v>
      </c>
      <c r="AH51" s="10" t="n">
        <v>28304</v>
      </c>
      <c r="AI51" s="10" t="n">
        <v>67392</v>
      </c>
      <c r="AJ51" s="10" t="n">
        <v>19.1</v>
      </c>
      <c r="AK51" s="10" t="n">
        <v>12.4</v>
      </c>
      <c r="AL51" s="10" t="n">
        <v>29.6</v>
      </c>
      <c r="AM51" s="10" t="n">
        <v>39728</v>
      </c>
      <c r="AN51" s="10" t="n">
        <v>25864</v>
      </c>
      <c r="AO51" s="10" t="n">
        <v>61792</v>
      </c>
      <c r="AP51" s="10" t="n">
        <v>22.4</v>
      </c>
      <c r="AQ51" s="10" t="n">
        <v>14.6</v>
      </c>
      <c r="AR51" s="10" t="n">
        <v>34.7</v>
      </c>
      <c r="AS51" s="10" t="n">
        <v>46592</v>
      </c>
      <c r="AT51" s="10" t="n">
        <v>30352</v>
      </c>
      <c r="AU51" s="10" t="n">
        <v>72144</v>
      </c>
      <c r="AV51" s="10" t="n">
        <v>1320000</v>
      </c>
      <c r="AW51" s="10" t="n">
        <v>44880</v>
      </c>
      <c r="AX51" s="10" t="n">
        <v>23760</v>
      </c>
      <c r="AY51" s="10" t="n">
        <v>1251360</v>
      </c>
      <c r="AZ51" s="10" t="n">
        <v>660000</v>
      </c>
      <c r="BA51" s="10" t="n">
        <v>22440</v>
      </c>
      <c r="BB51" s="10" t="n">
        <v>11880</v>
      </c>
      <c r="BC51" s="10" t="n">
        <v>625680</v>
      </c>
      <c r="BD51" s="10" t="n">
        <v>660000</v>
      </c>
      <c r="BE51" s="10" t="n">
        <v>132000</v>
      </c>
      <c r="BF51" s="10" t="n">
        <v>0</v>
      </c>
      <c r="BG51" s="10" t="n">
        <v>528000</v>
      </c>
      <c r="BH51" s="10" t="n">
        <v>330000</v>
      </c>
      <c r="BI51" s="10" t="n">
        <v>66000</v>
      </c>
      <c r="BJ51" s="10" t="n">
        <v>66000</v>
      </c>
      <c r="BK51" s="10" t="n">
        <v>198000</v>
      </c>
      <c r="BL51" s="10" t="n">
        <v>165000</v>
      </c>
      <c r="BM51" s="10" t="n">
        <v>33000</v>
      </c>
      <c r="BN51" s="10" t="n">
        <v>82500</v>
      </c>
      <c r="BO51" s="10" t="n">
        <v>247500</v>
      </c>
      <c r="BP51" s="10" t="n">
        <v>39000</v>
      </c>
      <c r="BQ51" s="10" t="n">
        <v>4123</v>
      </c>
      <c r="BR51" s="10" t="n">
        <v>3708</v>
      </c>
      <c r="BS51" s="10" t="n">
        <v>31169</v>
      </c>
      <c r="BT51" s="10" t="n">
        <v>38</v>
      </c>
      <c r="BU51" s="10" t="n">
        <v>37</v>
      </c>
      <c r="BV51" s="10" t="n">
        <v>39</v>
      </c>
      <c r="BW51" s="10" t="n">
        <v>38.2</v>
      </c>
      <c r="BX51" s="10" t="n">
        <v>25</v>
      </c>
      <c r="BY51" s="10" t="n">
        <v>55</v>
      </c>
      <c r="BZ51" s="10" t="n">
        <v>0.78</v>
      </c>
      <c r="CA51" s="10" t="n">
        <v>0.74</v>
      </c>
      <c r="CB51" s="10" t="n">
        <v>0.68</v>
      </c>
      <c r="CC51" s="10" t="n">
        <v>0.79</v>
      </c>
      <c r="CD51" s="10" t="n">
        <v>0.22</v>
      </c>
      <c r="CE51" s="10" t="n">
        <v>0.26</v>
      </c>
      <c r="CF51" s="10" t="n">
        <v>0.32</v>
      </c>
      <c r="CG51" s="10" t="n">
        <v>0.21</v>
      </c>
      <c r="CH51" s="10" t="n">
        <v>5.8</v>
      </c>
      <c r="CI51" s="10" t="n">
        <v>5.2</v>
      </c>
      <c r="CJ51" s="10" t="n">
        <v>4.2</v>
      </c>
      <c r="CK51" s="10" t="n">
        <v>6.2</v>
      </c>
      <c r="CL51" s="10" t="n">
        <v>1.3</v>
      </c>
      <c r="CM51" s="10" t="n">
        <v>14</v>
      </c>
      <c r="CN51" s="10" t="n">
        <v>0.19</v>
      </c>
      <c r="CO51" s="10" t="n">
        <v>0.17</v>
      </c>
      <c r="CP51" s="10" t="n">
        <v>0.25</v>
      </c>
      <c r="CQ51" s="10" t="n">
        <v>0.18</v>
      </c>
      <c r="CR51" s="10" t="n">
        <v>55</v>
      </c>
      <c r="CS51" s="10" t="n">
        <v>54</v>
      </c>
      <c r="CT51" s="10" t="n">
        <v>52</v>
      </c>
      <c r="CU51" s="10" t="n">
        <v>56</v>
      </c>
      <c r="CV51" s="10" t="n">
        <v>2.4</v>
      </c>
      <c r="CW51" s="10" t="n">
        <v>2.6</v>
      </c>
      <c r="CX51" s="10" t="n">
        <v>1.9</v>
      </c>
      <c r="CY51" s="10" t="n">
        <v>2.5</v>
      </c>
      <c r="CZ51" s="10" t="n">
        <v>198000</v>
      </c>
      <c r="DA51" s="10" t="n">
        <v>7920</v>
      </c>
      <c r="DB51" s="10" t="n">
        <v>3960</v>
      </c>
      <c r="DC51" s="10" t="n">
        <v>186120</v>
      </c>
      <c r="DD51" s="10" t="n">
        <v>4356000</v>
      </c>
      <c r="DE51" s="10" t="n">
        <v>17424</v>
      </c>
      <c r="DF51" s="10" t="n">
        <v>0</v>
      </c>
      <c r="DG51" s="10" t="n">
        <v>418176</v>
      </c>
      <c r="DH51" s="10" t="n">
        <v>0.085</v>
      </c>
      <c r="DI51" s="10" t="n">
        <v>0.11</v>
      </c>
      <c r="DJ51" s="10" t="n">
        <v>0.055</v>
      </c>
      <c r="DK51" s="10" t="n">
        <v>0.085</v>
      </c>
    </row>
    <row r="52" customFormat="false" ht="12.8" hidden="false" customHeight="false" outlineLevel="0" collapsed="false">
      <c r="A52" s="9" t="n">
        <v>48</v>
      </c>
      <c r="B52" s="10" t="s">
        <v>8426</v>
      </c>
      <c r="C52" s="10" t="s">
        <v>8403</v>
      </c>
      <c r="D52" s="10" t="n">
        <v>20000</v>
      </c>
      <c r="E52" s="10" t="n">
        <v>2000</v>
      </c>
      <c r="F52" s="10" t="n">
        <v>2000</v>
      </c>
      <c r="G52" s="10" t="n">
        <v>16000</v>
      </c>
      <c r="H52" s="10" t="n">
        <v>0.65</v>
      </c>
      <c r="I52" s="10" t="n">
        <v>0.682</v>
      </c>
      <c r="J52" s="10" t="n">
        <v>0.618</v>
      </c>
      <c r="K52" s="10" t="n">
        <v>0.65</v>
      </c>
      <c r="L52" s="10" t="n">
        <v>0.68</v>
      </c>
      <c r="M52" s="10" t="n">
        <v>0.72</v>
      </c>
      <c r="N52" s="10" t="n">
        <v>0.68</v>
      </c>
      <c r="O52" s="10" t="n">
        <v>0.678</v>
      </c>
      <c r="P52" s="10" t="n">
        <v>0.05</v>
      </c>
      <c r="Q52" s="10" t="n">
        <v>0.05</v>
      </c>
      <c r="R52" s="10" t="n">
        <v>0.08</v>
      </c>
      <c r="S52" s="10" t="n">
        <v>0.022</v>
      </c>
      <c r="T52" s="10" t="n">
        <v>0.04</v>
      </c>
      <c r="U52" s="10" t="n">
        <v>0.048</v>
      </c>
      <c r="V52" s="10" t="n">
        <v>0.09</v>
      </c>
      <c r="W52" s="10" t="n">
        <v>0.036</v>
      </c>
      <c r="X52" s="10" t="n">
        <v>18.7</v>
      </c>
      <c r="Y52" s="10" t="n">
        <v>12.2</v>
      </c>
      <c r="Z52" s="10" t="n">
        <v>29</v>
      </c>
      <c r="AA52" s="10" t="n">
        <v>38900</v>
      </c>
      <c r="AB52" s="10" t="n">
        <v>25304</v>
      </c>
      <c r="AC52" s="10" t="n">
        <v>60368</v>
      </c>
      <c r="AD52" s="10" t="n">
        <v>17.8</v>
      </c>
      <c r="AE52" s="10" t="n">
        <v>11.6</v>
      </c>
      <c r="AF52" s="10" t="n">
        <v>27.6</v>
      </c>
      <c r="AG52" s="10" t="n">
        <v>37024</v>
      </c>
      <c r="AH52" s="10" t="n">
        <v>24104</v>
      </c>
      <c r="AI52" s="10" t="n">
        <v>57376</v>
      </c>
      <c r="AJ52" s="10" t="n">
        <v>16.2</v>
      </c>
      <c r="AK52" s="10" t="n">
        <v>10.5</v>
      </c>
      <c r="AL52" s="10" t="n">
        <v>25.1</v>
      </c>
      <c r="AM52" s="10" t="n">
        <v>33696</v>
      </c>
      <c r="AN52" s="10" t="n">
        <v>21904</v>
      </c>
      <c r="AO52" s="10" t="n">
        <v>52208</v>
      </c>
      <c r="AP52" s="10" t="n">
        <v>19</v>
      </c>
      <c r="AQ52" s="10" t="n">
        <v>12.4</v>
      </c>
      <c r="AR52" s="10" t="n">
        <v>29.5</v>
      </c>
      <c r="AS52" s="10" t="n">
        <v>39520</v>
      </c>
      <c r="AT52" s="10" t="n">
        <v>25720</v>
      </c>
      <c r="AU52" s="10" t="n">
        <v>61280</v>
      </c>
      <c r="AV52" s="10" t="n">
        <v>440000</v>
      </c>
      <c r="AW52" s="10" t="n">
        <v>14960</v>
      </c>
      <c r="AX52" s="10" t="n">
        <v>7920</v>
      </c>
      <c r="AY52" s="10" t="n">
        <v>417120</v>
      </c>
      <c r="AZ52" s="10" t="n">
        <v>220000</v>
      </c>
      <c r="BA52" s="10" t="n">
        <v>7480</v>
      </c>
      <c r="BB52" s="10" t="n">
        <v>3960</v>
      </c>
      <c r="BC52" s="10" t="n">
        <v>208560</v>
      </c>
      <c r="BD52" s="10" t="n">
        <v>220000</v>
      </c>
      <c r="BE52" s="10" t="n">
        <v>44000</v>
      </c>
      <c r="BF52" s="10" t="n">
        <v>0</v>
      </c>
      <c r="BG52" s="10" t="n">
        <v>176000</v>
      </c>
      <c r="BH52" s="10" t="n">
        <v>110000</v>
      </c>
      <c r="BI52" s="10" t="n">
        <v>22000</v>
      </c>
      <c r="BJ52" s="10" t="n">
        <v>22000</v>
      </c>
      <c r="BK52" s="10" t="n">
        <v>66000</v>
      </c>
      <c r="BL52" s="10" t="n">
        <v>55000</v>
      </c>
      <c r="BM52" s="10" t="n">
        <v>11000</v>
      </c>
      <c r="BN52" s="10" t="n">
        <v>27500</v>
      </c>
      <c r="BO52" s="10" t="n">
        <v>82500</v>
      </c>
      <c r="BP52" s="10" t="n">
        <v>13000</v>
      </c>
      <c r="BQ52" s="10" t="n">
        <v>1374</v>
      </c>
      <c r="BR52" s="10" t="n">
        <v>1236</v>
      </c>
      <c r="BS52" s="10" t="n">
        <v>10390</v>
      </c>
      <c r="BT52" s="10" t="n">
        <v>38</v>
      </c>
      <c r="BU52" s="10" t="n">
        <v>37</v>
      </c>
      <c r="BV52" s="10" t="n">
        <v>39</v>
      </c>
      <c r="BW52" s="10" t="n">
        <v>38.2</v>
      </c>
      <c r="BX52" s="10" t="n">
        <v>25</v>
      </c>
      <c r="BY52" s="10" t="n">
        <v>55</v>
      </c>
      <c r="BZ52" s="10" t="n">
        <v>0.78</v>
      </c>
      <c r="CA52" s="10" t="n">
        <v>0.74</v>
      </c>
      <c r="CB52" s="10" t="n">
        <v>0.68</v>
      </c>
      <c r="CC52" s="10" t="n">
        <v>0.79</v>
      </c>
      <c r="CD52" s="10" t="n">
        <v>0.22</v>
      </c>
      <c r="CE52" s="10" t="n">
        <v>0.26</v>
      </c>
      <c r="CF52" s="10" t="n">
        <v>0.32</v>
      </c>
      <c r="CG52" s="10" t="n">
        <v>0.21</v>
      </c>
      <c r="CH52" s="10" t="n">
        <v>5.8</v>
      </c>
      <c r="CI52" s="10" t="n">
        <v>5.2</v>
      </c>
      <c r="CJ52" s="10" t="n">
        <v>4.2</v>
      </c>
      <c r="CK52" s="10" t="n">
        <v>6.2</v>
      </c>
      <c r="CL52" s="10" t="n">
        <v>1.3</v>
      </c>
      <c r="CM52" s="10" t="n">
        <v>14</v>
      </c>
      <c r="CN52" s="10" t="n">
        <v>0.19</v>
      </c>
      <c r="CO52" s="10" t="n">
        <v>0.17</v>
      </c>
      <c r="CP52" s="10" t="n">
        <v>0.25</v>
      </c>
      <c r="CQ52" s="10" t="n">
        <v>0.18</v>
      </c>
      <c r="CR52" s="10" t="n">
        <v>55</v>
      </c>
      <c r="CS52" s="10" t="n">
        <v>54</v>
      </c>
      <c r="CT52" s="10" t="n">
        <v>52</v>
      </c>
      <c r="CU52" s="10" t="n">
        <v>56</v>
      </c>
      <c r="CV52" s="10" t="n">
        <v>2.4</v>
      </c>
      <c r="CW52" s="10" t="n">
        <v>2.6</v>
      </c>
      <c r="CX52" s="10" t="n">
        <v>1.9</v>
      </c>
      <c r="CY52" s="10" t="n">
        <v>2.5</v>
      </c>
      <c r="CZ52" s="10" t="n">
        <v>66000</v>
      </c>
      <c r="DA52" s="10" t="n">
        <v>2640</v>
      </c>
      <c r="DB52" s="10" t="n">
        <v>1320</v>
      </c>
      <c r="DC52" s="10" t="n">
        <v>62040</v>
      </c>
      <c r="DD52" s="10" t="n">
        <v>1452000</v>
      </c>
      <c r="DE52" s="10" t="n">
        <v>5808</v>
      </c>
      <c r="DF52" s="10" t="n">
        <v>0</v>
      </c>
      <c r="DG52" s="10" t="n">
        <v>139392</v>
      </c>
      <c r="DH52" s="10" t="n">
        <v>0.085</v>
      </c>
      <c r="DI52" s="10" t="n">
        <v>0.11</v>
      </c>
      <c r="DJ52" s="10" t="n">
        <v>0.055</v>
      </c>
      <c r="DK52" s="10" t="n">
        <v>0.085</v>
      </c>
    </row>
    <row r="53" customFormat="false" ht="12.8" hidden="false" customHeight="false" outlineLevel="0" collapsed="false">
      <c r="A53" s="9" t="n">
        <v>49</v>
      </c>
      <c r="B53" s="10" t="s">
        <v>8427</v>
      </c>
      <c r="C53" s="10" t="s">
        <v>8402</v>
      </c>
      <c r="D53" s="10" t="n">
        <v>330000</v>
      </c>
      <c r="E53" s="10" t="n">
        <v>41250</v>
      </c>
      <c r="F53" s="10" t="n">
        <v>41250</v>
      </c>
      <c r="G53" s="10" t="n">
        <v>247500</v>
      </c>
      <c r="H53" s="10" t="n">
        <v>0.667</v>
      </c>
      <c r="I53" s="10" t="n">
        <v>0.701</v>
      </c>
      <c r="J53" s="10" t="n">
        <v>0.635</v>
      </c>
      <c r="K53" s="10" t="n">
        <v>0.668</v>
      </c>
      <c r="L53" s="10" t="n">
        <v>0.7</v>
      </c>
      <c r="M53" s="10" t="n">
        <v>0.735</v>
      </c>
      <c r="N53" s="10" t="n">
        <v>0.71</v>
      </c>
      <c r="O53" s="10" t="n">
        <v>0.698</v>
      </c>
      <c r="P53" s="10" t="n">
        <v>0.07</v>
      </c>
      <c r="Q53" s="10" t="n">
        <v>0.07</v>
      </c>
      <c r="R53" s="10" t="n">
        <v>0.12</v>
      </c>
      <c r="S53" s="10" t="n">
        <v>0.037</v>
      </c>
      <c r="T53" s="10" t="n">
        <v>0.072</v>
      </c>
      <c r="U53" s="10" t="n">
        <v>0.095</v>
      </c>
      <c r="V53" s="10" t="n">
        <v>0.162</v>
      </c>
      <c r="W53" s="10" t="n">
        <v>0.069</v>
      </c>
      <c r="X53" s="10" t="n">
        <v>14.15</v>
      </c>
      <c r="Y53" s="10" t="n">
        <v>9.2</v>
      </c>
      <c r="Z53" s="10" t="n">
        <v>21.9</v>
      </c>
      <c r="AA53" s="10" t="n">
        <v>29432</v>
      </c>
      <c r="AB53" s="10" t="n">
        <v>19136</v>
      </c>
      <c r="AC53" s="10" t="n">
        <v>45584</v>
      </c>
      <c r="AD53" s="10" t="n">
        <v>13.5</v>
      </c>
      <c r="AE53" s="10" t="n">
        <v>8.8</v>
      </c>
      <c r="AF53" s="10" t="n">
        <v>20.9</v>
      </c>
      <c r="AG53" s="10" t="n">
        <v>28080</v>
      </c>
      <c r="AH53" s="10" t="n">
        <v>18288</v>
      </c>
      <c r="AI53" s="10" t="n">
        <v>43536</v>
      </c>
      <c r="AJ53" s="10" t="n">
        <v>11.7</v>
      </c>
      <c r="AK53" s="10" t="n">
        <v>7.6</v>
      </c>
      <c r="AL53" s="10" t="n">
        <v>18.1</v>
      </c>
      <c r="AM53" s="10" t="n">
        <v>24336</v>
      </c>
      <c r="AN53" s="10" t="n">
        <v>15840</v>
      </c>
      <c r="AO53" s="10" t="n">
        <v>37728</v>
      </c>
      <c r="AP53" s="10" t="n">
        <v>14.4</v>
      </c>
      <c r="AQ53" s="10" t="n">
        <v>9.4</v>
      </c>
      <c r="AR53" s="10" t="n">
        <v>22.3</v>
      </c>
      <c r="AS53" s="10" t="n">
        <v>29952</v>
      </c>
      <c r="AT53" s="10" t="n">
        <v>19488</v>
      </c>
      <c r="AU53" s="10" t="n">
        <v>46464</v>
      </c>
      <c r="AV53" s="10" t="n">
        <v>33000000</v>
      </c>
      <c r="AW53" s="10" t="n">
        <v>1122000</v>
      </c>
      <c r="AX53" s="10" t="n">
        <v>594000</v>
      </c>
      <c r="AY53" s="10" t="n">
        <v>31278000</v>
      </c>
      <c r="AZ53" s="10" t="n">
        <v>16500000</v>
      </c>
      <c r="BA53" s="10" t="n">
        <v>561000</v>
      </c>
      <c r="BB53" s="10" t="n">
        <v>297000</v>
      </c>
      <c r="BC53" s="10" t="n">
        <v>15639000</v>
      </c>
      <c r="BD53" s="10" t="n">
        <v>1650000</v>
      </c>
      <c r="BE53" s="10" t="n">
        <v>330000</v>
      </c>
      <c r="BF53" s="10" t="n">
        <v>0</v>
      </c>
      <c r="BG53" s="10" t="n">
        <v>1320000</v>
      </c>
      <c r="BH53" s="10" t="n">
        <v>825000</v>
      </c>
      <c r="BI53" s="10" t="n">
        <v>165000</v>
      </c>
      <c r="BJ53" s="10" t="n">
        <v>165000</v>
      </c>
      <c r="BK53" s="10" t="n">
        <v>495000</v>
      </c>
      <c r="BL53" s="10" t="n">
        <v>412500</v>
      </c>
      <c r="BM53" s="10" t="n">
        <v>82500</v>
      </c>
      <c r="BN53" s="10" t="n">
        <v>206250</v>
      </c>
      <c r="BO53" s="10" t="n">
        <v>618750</v>
      </c>
      <c r="BP53" s="10" t="n">
        <v>220110</v>
      </c>
      <c r="BQ53" s="10" t="n">
        <v>28967</v>
      </c>
      <c r="BR53" s="10" t="n">
        <v>26207</v>
      </c>
      <c r="BS53" s="10" t="n">
        <v>164936</v>
      </c>
      <c r="BT53" s="10" t="n">
        <v>35</v>
      </c>
      <c r="BU53" s="10" t="n">
        <v>34</v>
      </c>
      <c r="BV53" s="10" t="n">
        <v>36</v>
      </c>
      <c r="BW53" s="10" t="n">
        <v>35.1</v>
      </c>
      <c r="BX53" s="10" t="n">
        <v>20</v>
      </c>
      <c r="BY53" s="10" t="n">
        <v>50</v>
      </c>
      <c r="BZ53" s="10" t="n">
        <v>0.68</v>
      </c>
      <c r="CA53" s="10" t="n">
        <v>0.65</v>
      </c>
      <c r="CB53" s="10" t="n">
        <v>0.6</v>
      </c>
      <c r="CC53" s="10" t="n">
        <v>0.69</v>
      </c>
      <c r="CD53" s="10" t="n">
        <v>0.32</v>
      </c>
      <c r="CE53" s="10" t="n">
        <v>0.35</v>
      </c>
      <c r="CF53" s="10" t="n">
        <v>0.4</v>
      </c>
      <c r="CG53" s="10" t="n">
        <v>0.31</v>
      </c>
      <c r="CH53" s="10" t="n">
        <v>3.5</v>
      </c>
      <c r="CI53" s="10" t="n">
        <v>3</v>
      </c>
      <c r="CJ53" s="10" t="n">
        <v>2.5</v>
      </c>
      <c r="CK53" s="10" t="n">
        <v>3.8</v>
      </c>
      <c r="CL53" s="10" t="n">
        <v>0.5</v>
      </c>
      <c r="CM53" s="10" t="n">
        <v>10</v>
      </c>
      <c r="CN53" s="10" t="n">
        <v>0.22</v>
      </c>
      <c r="CO53" s="10" t="n">
        <v>0.2</v>
      </c>
      <c r="CP53" s="10" t="n">
        <v>0.28</v>
      </c>
      <c r="CQ53" s="10" t="n">
        <v>0.21</v>
      </c>
      <c r="CR53" s="10" t="n">
        <v>45</v>
      </c>
      <c r="CS53" s="10" t="n">
        <v>44</v>
      </c>
      <c r="CT53" s="10" t="n">
        <v>42</v>
      </c>
      <c r="CU53" s="10" t="n">
        <v>46</v>
      </c>
      <c r="CV53" s="10" t="n">
        <v>1.8</v>
      </c>
      <c r="CW53" s="10" t="n">
        <v>2</v>
      </c>
      <c r="CX53" s="10" t="n">
        <v>1.4</v>
      </c>
      <c r="CY53" s="10" t="n">
        <v>1.9</v>
      </c>
      <c r="CZ53" s="10" t="n">
        <v>4950000</v>
      </c>
      <c r="DA53" s="10" t="n">
        <v>198000</v>
      </c>
      <c r="DB53" s="10" t="n">
        <v>99000</v>
      </c>
      <c r="DC53" s="10" t="n">
        <v>4653000</v>
      </c>
      <c r="DD53" s="10" t="n">
        <v>10890000</v>
      </c>
      <c r="DE53" s="10" t="n">
        <v>435600</v>
      </c>
      <c r="DF53" s="10" t="n">
        <v>0</v>
      </c>
      <c r="DG53" s="10" t="n">
        <v>10454400</v>
      </c>
      <c r="DH53" s="10" t="n">
        <v>0.09</v>
      </c>
      <c r="DI53" s="10" t="n">
        <v>0.12</v>
      </c>
      <c r="DJ53" s="10" t="n">
        <v>0.06</v>
      </c>
      <c r="DK53" s="10" t="n">
        <v>0.09</v>
      </c>
    </row>
    <row r="54" customFormat="false" ht="12.8" hidden="false" customHeight="false" outlineLevel="0" collapsed="false">
      <c r="A54" s="9" t="n">
        <v>50</v>
      </c>
      <c r="B54" s="10" t="s">
        <v>8427</v>
      </c>
      <c r="C54" s="10" t="s">
        <v>8403</v>
      </c>
      <c r="D54" s="10" t="n">
        <v>110000</v>
      </c>
      <c r="E54" s="10" t="n">
        <v>13750</v>
      </c>
      <c r="F54" s="10" t="n">
        <v>13750</v>
      </c>
      <c r="G54" s="10" t="n">
        <v>82500</v>
      </c>
      <c r="H54" s="10" t="n">
        <v>0.667</v>
      </c>
      <c r="I54" s="10" t="n">
        <v>0.701</v>
      </c>
      <c r="J54" s="10" t="n">
        <v>0.635</v>
      </c>
      <c r="K54" s="10" t="n">
        <v>0.668</v>
      </c>
      <c r="L54" s="10" t="n">
        <v>0.7</v>
      </c>
      <c r="M54" s="10" t="n">
        <v>0.735</v>
      </c>
      <c r="N54" s="10" t="n">
        <v>0.71</v>
      </c>
      <c r="O54" s="10" t="n">
        <v>0.698</v>
      </c>
      <c r="P54" s="10" t="n">
        <v>0.07</v>
      </c>
      <c r="Q54" s="10" t="n">
        <v>0.07</v>
      </c>
      <c r="R54" s="10" t="n">
        <v>0.12</v>
      </c>
      <c r="S54" s="10" t="n">
        <v>0.037</v>
      </c>
      <c r="T54" s="10" t="n">
        <v>0.072</v>
      </c>
      <c r="U54" s="10" t="n">
        <v>0.095</v>
      </c>
      <c r="V54" s="10" t="n">
        <v>0.162</v>
      </c>
      <c r="W54" s="10" t="n">
        <v>0.069</v>
      </c>
      <c r="X54" s="10" t="n">
        <v>12.03</v>
      </c>
      <c r="Y54" s="10" t="n">
        <v>7.8</v>
      </c>
      <c r="Z54" s="10" t="n">
        <v>18.6</v>
      </c>
      <c r="AA54" s="10" t="n">
        <v>25022</v>
      </c>
      <c r="AB54" s="10" t="n">
        <v>16224</v>
      </c>
      <c r="AC54" s="10" t="n">
        <v>38688</v>
      </c>
      <c r="AD54" s="10" t="n">
        <v>11.5</v>
      </c>
      <c r="AE54" s="10" t="n">
        <v>7.5</v>
      </c>
      <c r="AF54" s="10" t="n">
        <v>17.8</v>
      </c>
      <c r="AG54" s="10" t="n">
        <v>23920</v>
      </c>
      <c r="AH54" s="10" t="n">
        <v>15568</v>
      </c>
      <c r="AI54" s="10" t="n">
        <v>37152</v>
      </c>
      <c r="AJ54" s="10" t="n">
        <v>9.9</v>
      </c>
      <c r="AK54" s="10" t="n">
        <v>6.4</v>
      </c>
      <c r="AL54" s="10" t="n">
        <v>15.4</v>
      </c>
      <c r="AM54" s="10" t="n">
        <v>20592</v>
      </c>
      <c r="AN54" s="10" t="n">
        <v>13392</v>
      </c>
      <c r="AO54" s="10" t="n">
        <v>31968</v>
      </c>
      <c r="AP54" s="10" t="n">
        <v>12.3</v>
      </c>
      <c r="AQ54" s="10" t="n">
        <v>8</v>
      </c>
      <c r="AR54" s="10" t="n">
        <v>19</v>
      </c>
      <c r="AS54" s="10" t="n">
        <v>25584</v>
      </c>
      <c r="AT54" s="10" t="n">
        <v>16632</v>
      </c>
      <c r="AU54" s="10" t="n">
        <v>39648</v>
      </c>
      <c r="AV54" s="10" t="n">
        <v>11000000</v>
      </c>
      <c r="AW54" s="10" t="n">
        <v>374000</v>
      </c>
      <c r="AX54" s="10" t="n">
        <v>198000</v>
      </c>
      <c r="AY54" s="10" t="n">
        <v>10426000</v>
      </c>
      <c r="AZ54" s="10" t="n">
        <v>5500000</v>
      </c>
      <c r="BA54" s="10" t="n">
        <v>187000</v>
      </c>
      <c r="BB54" s="10" t="n">
        <v>99000</v>
      </c>
      <c r="BC54" s="10" t="n">
        <v>5213000</v>
      </c>
      <c r="BD54" s="10" t="n">
        <v>550000</v>
      </c>
      <c r="BE54" s="10" t="n">
        <v>110000</v>
      </c>
      <c r="BF54" s="10" t="n">
        <v>0</v>
      </c>
      <c r="BG54" s="10" t="n">
        <v>440000</v>
      </c>
      <c r="BH54" s="10" t="n">
        <v>275000</v>
      </c>
      <c r="BI54" s="10" t="n">
        <v>55000</v>
      </c>
      <c r="BJ54" s="10" t="n">
        <v>55000</v>
      </c>
      <c r="BK54" s="10" t="n">
        <v>165000</v>
      </c>
      <c r="BL54" s="10" t="n">
        <v>137500</v>
      </c>
      <c r="BM54" s="10" t="n">
        <v>27500</v>
      </c>
      <c r="BN54" s="10" t="n">
        <v>68750</v>
      </c>
      <c r="BO54" s="10" t="n">
        <v>206250</v>
      </c>
      <c r="BP54" s="10" t="n">
        <v>73370</v>
      </c>
      <c r="BQ54" s="10" t="n">
        <v>9656</v>
      </c>
      <c r="BR54" s="10" t="n">
        <v>8736</v>
      </c>
      <c r="BS54" s="10" t="n">
        <v>54978</v>
      </c>
      <c r="BT54" s="10" t="n">
        <v>35</v>
      </c>
      <c r="BU54" s="10" t="n">
        <v>34</v>
      </c>
      <c r="BV54" s="10" t="n">
        <v>36</v>
      </c>
      <c r="BW54" s="10" t="n">
        <v>35.1</v>
      </c>
      <c r="BX54" s="10" t="n">
        <v>20</v>
      </c>
      <c r="BY54" s="10" t="n">
        <v>50</v>
      </c>
      <c r="BZ54" s="10" t="n">
        <v>0.68</v>
      </c>
      <c r="CA54" s="10" t="n">
        <v>0.65</v>
      </c>
      <c r="CB54" s="10" t="n">
        <v>0.6</v>
      </c>
      <c r="CC54" s="10" t="n">
        <v>0.69</v>
      </c>
      <c r="CD54" s="10" t="n">
        <v>0.32</v>
      </c>
      <c r="CE54" s="10" t="n">
        <v>0.35</v>
      </c>
      <c r="CF54" s="10" t="n">
        <v>0.4</v>
      </c>
      <c r="CG54" s="10" t="n">
        <v>0.31</v>
      </c>
      <c r="CH54" s="10" t="n">
        <v>3.5</v>
      </c>
      <c r="CI54" s="10" t="n">
        <v>3</v>
      </c>
      <c r="CJ54" s="10" t="n">
        <v>2.5</v>
      </c>
      <c r="CK54" s="10" t="n">
        <v>3.8</v>
      </c>
      <c r="CL54" s="10" t="n">
        <v>0.5</v>
      </c>
      <c r="CM54" s="10" t="n">
        <v>10</v>
      </c>
      <c r="CN54" s="10" t="n">
        <v>0.22</v>
      </c>
      <c r="CO54" s="10" t="n">
        <v>0.2</v>
      </c>
      <c r="CP54" s="10" t="n">
        <v>0.28</v>
      </c>
      <c r="CQ54" s="10" t="n">
        <v>0.21</v>
      </c>
      <c r="CR54" s="10" t="n">
        <v>45</v>
      </c>
      <c r="CS54" s="10" t="n">
        <v>44</v>
      </c>
      <c r="CT54" s="10" t="n">
        <v>42</v>
      </c>
      <c r="CU54" s="10" t="n">
        <v>46</v>
      </c>
      <c r="CV54" s="10" t="n">
        <v>1.8</v>
      </c>
      <c r="CW54" s="10" t="n">
        <v>2</v>
      </c>
      <c r="CX54" s="10" t="n">
        <v>1.4</v>
      </c>
      <c r="CY54" s="10" t="n">
        <v>1.9</v>
      </c>
      <c r="CZ54" s="10" t="n">
        <v>1650000</v>
      </c>
      <c r="DA54" s="10" t="n">
        <v>66000</v>
      </c>
      <c r="DB54" s="10" t="n">
        <v>33000</v>
      </c>
      <c r="DC54" s="10" t="n">
        <v>1551000</v>
      </c>
      <c r="DD54" s="10" t="n">
        <v>3630000</v>
      </c>
      <c r="DE54" s="10" t="n">
        <v>145200</v>
      </c>
      <c r="DF54" s="10" t="n">
        <v>0</v>
      </c>
      <c r="DG54" s="10" t="n">
        <v>3484800</v>
      </c>
      <c r="DH54" s="10" t="n">
        <v>0.09</v>
      </c>
      <c r="DI54" s="10" t="n">
        <v>0.12</v>
      </c>
      <c r="DJ54" s="10" t="n">
        <v>0.06</v>
      </c>
      <c r="DK54" s="10" t="n">
        <v>0.09</v>
      </c>
    </row>
    <row r="55" customFormat="false" ht="12.8" hidden="false" customHeight="false" outlineLevel="0" collapsed="false">
      <c r="A55" s="9" t="n">
        <v>51</v>
      </c>
      <c r="B55" s="10" t="s">
        <v>8428</v>
      </c>
      <c r="C55" s="10" t="s">
        <v>8402</v>
      </c>
      <c r="D55" s="10" t="n">
        <v>450000</v>
      </c>
      <c r="E55" s="10" t="n">
        <v>9000</v>
      </c>
      <c r="F55" s="10" t="n">
        <v>9000</v>
      </c>
      <c r="G55" s="10" t="n">
        <v>432000</v>
      </c>
      <c r="H55" s="10" t="n">
        <v>0.78</v>
      </c>
      <c r="I55" s="10" t="n">
        <v>0.819</v>
      </c>
      <c r="J55" s="10" t="n">
        <v>0.741</v>
      </c>
      <c r="K55" s="10" t="n">
        <v>0.78</v>
      </c>
      <c r="L55" s="10" t="n">
        <v>0.81</v>
      </c>
      <c r="M55" s="10" t="n">
        <v>0.85</v>
      </c>
      <c r="N55" s="10" t="n">
        <v>0.81</v>
      </c>
      <c r="O55" s="10" t="n">
        <v>0.808</v>
      </c>
      <c r="P55" s="10" t="n">
        <v>0.03</v>
      </c>
      <c r="Q55" s="10" t="n">
        <v>0.03</v>
      </c>
      <c r="R55" s="10" t="n">
        <v>0.07</v>
      </c>
      <c r="S55" s="10" t="n">
        <v>0.018</v>
      </c>
      <c r="T55" s="10" t="n">
        <v>0.03</v>
      </c>
      <c r="U55" s="10" t="n">
        <v>0.036</v>
      </c>
      <c r="V55" s="10" t="n">
        <v>0.076</v>
      </c>
      <c r="W55" s="10" t="n">
        <v>0.029</v>
      </c>
      <c r="X55" s="10" t="n">
        <v>24.54</v>
      </c>
      <c r="Y55" s="10" t="n">
        <v>16</v>
      </c>
      <c r="Z55" s="10" t="n">
        <v>38</v>
      </c>
      <c r="AA55" s="10" t="n">
        <v>51043</v>
      </c>
      <c r="AB55" s="10" t="n">
        <v>33200</v>
      </c>
      <c r="AC55" s="10" t="n">
        <v>79040</v>
      </c>
      <c r="AD55" s="10" t="n">
        <v>23.3</v>
      </c>
      <c r="AE55" s="10" t="n">
        <v>15.1</v>
      </c>
      <c r="AF55" s="10" t="n">
        <v>36.1</v>
      </c>
      <c r="AG55" s="10" t="n">
        <v>48464</v>
      </c>
      <c r="AH55" s="10" t="n">
        <v>31520</v>
      </c>
      <c r="AI55" s="10" t="n">
        <v>75200</v>
      </c>
      <c r="AJ55" s="10" t="n">
        <v>21.3</v>
      </c>
      <c r="AK55" s="10" t="n">
        <v>13.9</v>
      </c>
      <c r="AL55" s="10" t="n">
        <v>33.1</v>
      </c>
      <c r="AM55" s="10" t="n">
        <v>44280</v>
      </c>
      <c r="AN55" s="10" t="n">
        <v>28800</v>
      </c>
      <c r="AO55" s="10" t="n">
        <v>68640</v>
      </c>
      <c r="AP55" s="10" t="n">
        <v>25</v>
      </c>
      <c r="AQ55" s="10" t="n">
        <v>16.3</v>
      </c>
      <c r="AR55" s="10" t="n">
        <v>38.8</v>
      </c>
      <c r="AS55" s="10" t="n">
        <v>52000</v>
      </c>
      <c r="AT55" s="10" t="n">
        <v>33840</v>
      </c>
      <c r="AU55" s="10" t="n">
        <v>80672</v>
      </c>
      <c r="AV55" s="10" t="n">
        <v>120000000</v>
      </c>
      <c r="AW55" s="10" t="n">
        <v>4080000</v>
      </c>
      <c r="AX55" s="10" t="n">
        <v>2160000</v>
      </c>
      <c r="AY55" s="10" t="n">
        <v>113520000</v>
      </c>
      <c r="AZ55" s="10" t="n">
        <v>60000000</v>
      </c>
      <c r="BA55" s="10" t="n">
        <v>2040000</v>
      </c>
      <c r="BB55" s="10" t="n">
        <v>1080000</v>
      </c>
      <c r="BC55" s="10" t="n">
        <v>56880000</v>
      </c>
      <c r="BD55" s="10" t="n">
        <v>6000000</v>
      </c>
      <c r="BE55" s="10" t="n">
        <v>1200000</v>
      </c>
      <c r="BF55" s="10" t="n">
        <v>0</v>
      </c>
      <c r="BG55" s="10" t="n">
        <v>4800000</v>
      </c>
      <c r="BH55" s="10" t="n">
        <v>3000000</v>
      </c>
      <c r="BI55" s="10" t="n">
        <v>600000</v>
      </c>
      <c r="BJ55" s="10" t="n">
        <v>600000</v>
      </c>
      <c r="BK55" s="10" t="n">
        <v>1800000</v>
      </c>
      <c r="BL55" s="10" t="n">
        <v>1500000</v>
      </c>
      <c r="BM55" s="10" t="n">
        <v>300000</v>
      </c>
      <c r="BN55" s="10" t="n">
        <v>750000</v>
      </c>
      <c r="BO55" s="10" t="n">
        <v>2250000</v>
      </c>
      <c r="BP55" s="10" t="n">
        <v>351000</v>
      </c>
      <c r="BQ55" s="10" t="n">
        <v>7020</v>
      </c>
      <c r="BR55" s="10" t="n">
        <v>6669</v>
      </c>
      <c r="BS55" s="10" t="n">
        <v>337311</v>
      </c>
      <c r="BT55" s="10" t="n">
        <v>39</v>
      </c>
      <c r="BU55" s="10" t="n">
        <v>38.5</v>
      </c>
      <c r="BV55" s="10" t="n">
        <v>39.5</v>
      </c>
      <c r="BW55" s="10" t="n">
        <v>39.1</v>
      </c>
      <c r="BX55" s="10" t="n">
        <v>26</v>
      </c>
      <c r="BY55" s="10" t="n">
        <v>54</v>
      </c>
      <c r="BZ55" s="10" t="n">
        <v>0.87</v>
      </c>
      <c r="CA55" s="10" t="n">
        <v>0.83</v>
      </c>
      <c r="CB55" s="10" t="n">
        <v>0.77</v>
      </c>
      <c r="CC55" s="10" t="n">
        <v>0.88</v>
      </c>
      <c r="CD55" s="10" t="n">
        <v>0.13</v>
      </c>
      <c r="CE55" s="10" t="n">
        <v>0.17</v>
      </c>
      <c r="CF55" s="10" t="n">
        <v>0.23</v>
      </c>
      <c r="CG55" s="10" t="n">
        <v>0.12</v>
      </c>
      <c r="CH55" s="10" t="n">
        <v>8</v>
      </c>
      <c r="CI55" s="10" t="n">
        <v>7</v>
      </c>
      <c r="CJ55" s="10" t="n">
        <v>5</v>
      </c>
      <c r="CK55" s="10" t="n">
        <v>8.5</v>
      </c>
      <c r="CL55" s="10" t="n">
        <v>2</v>
      </c>
      <c r="CM55" s="10" t="n">
        <v>20</v>
      </c>
      <c r="CN55" s="10" t="n">
        <v>0.12</v>
      </c>
      <c r="CO55" s="10" t="n">
        <v>0.11</v>
      </c>
      <c r="CP55" s="10" t="n">
        <v>0.18</v>
      </c>
      <c r="CQ55" s="10" t="n">
        <v>0.115</v>
      </c>
      <c r="CR55" s="10" t="n">
        <v>55</v>
      </c>
      <c r="CS55" s="10" t="n">
        <v>54</v>
      </c>
      <c r="CT55" s="10" t="n">
        <v>52</v>
      </c>
      <c r="CU55" s="10" t="n">
        <v>56</v>
      </c>
      <c r="CV55" s="10" t="n">
        <v>3</v>
      </c>
      <c r="CW55" s="10" t="n">
        <v>3.2</v>
      </c>
      <c r="CX55" s="10" t="n">
        <v>2.5</v>
      </c>
      <c r="CY55" s="10" t="n">
        <v>3.1</v>
      </c>
      <c r="CZ55" s="10" t="n">
        <v>18000000</v>
      </c>
      <c r="DA55" s="10" t="n">
        <v>720000</v>
      </c>
      <c r="DB55" s="10" t="n">
        <v>360000</v>
      </c>
      <c r="DC55" s="10" t="n">
        <v>16920000</v>
      </c>
      <c r="DD55" s="10" t="n">
        <v>39600000</v>
      </c>
      <c r="DE55" s="10" t="n">
        <v>1584000</v>
      </c>
      <c r="DF55" s="10" t="n">
        <v>0</v>
      </c>
      <c r="DG55" s="10" t="n">
        <v>38016000</v>
      </c>
      <c r="DH55" s="10" t="n">
        <v>0.04</v>
      </c>
      <c r="DI55" s="10" t="n">
        <v>0.06</v>
      </c>
      <c r="DJ55" s="10" t="n">
        <v>0.03</v>
      </c>
      <c r="DK55" s="10" t="n">
        <v>0.04</v>
      </c>
    </row>
    <row r="56" customFormat="false" ht="12.8" hidden="false" customHeight="false" outlineLevel="0" collapsed="false">
      <c r="A56" s="9" t="n">
        <v>52</v>
      </c>
      <c r="B56" s="10" t="s">
        <v>8428</v>
      </c>
      <c r="C56" s="10" t="s">
        <v>8403</v>
      </c>
      <c r="D56" s="10" t="n">
        <v>150000</v>
      </c>
      <c r="E56" s="10" t="n">
        <v>3000</v>
      </c>
      <c r="F56" s="10" t="n">
        <v>3000</v>
      </c>
      <c r="G56" s="10" t="n">
        <v>144000</v>
      </c>
      <c r="H56" s="10" t="n">
        <v>0.78</v>
      </c>
      <c r="I56" s="10" t="n">
        <v>0.819</v>
      </c>
      <c r="J56" s="10" t="n">
        <v>0.741</v>
      </c>
      <c r="K56" s="10" t="n">
        <v>0.78</v>
      </c>
      <c r="L56" s="10" t="n">
        <v>0.81</v>
      </c>
      <c r="M56" s="10" t="n">
        <v>0.85</v>
      </c>
      <c r="N56" s="10" t="n">
        <v>0.81</v>
      </c>
      <c r="O56" s="10" t="n">
        <v>0.808</v>
      </c>
      <c r="P56" s="10" t="n">
        <v>0.03</v>
      </c>
      <c r="Q56" s="10" t="n">
        <v>0.03</v>
      </c>
      <c r="R56" s="10" t="n">
        <v>0.07</v>
      </c>
      <c r="S56" s="10" t="n">
        <v>0.018</v>
      </c>
      <c r="T56" s="10" t="n">
        <v>0.03</v>
      </c>
      <c r="U56" s="10" t="n">
        <v>0.036</v>
      </c>
      <c r="V56" s="10" t="n">
        <v>0.076</v>
      </c>
      <c r="W56" s="10" t="n">
        <v>0.029</v>
      </c>
      <c r="X56" s="10" t="n">
        <v>20.86</v>
      </c>
      <c r="Y56" s="10" t="n">
        <v>13.6</v>
      </c>
      <c r="Z56" s="10" t="n">
        <v>32.3</v>
      </c>
      <c r="AA56" s="10" t="n">
        <v>43389</v>
      </c>
      <c r="AB56" s="10" t="n">
        <v>28240</v>
      </c>
      <c r="AC56" s="10" t="n">
        <v>67232</v>
      </c>
      <c r="AD56" s="10" t="n">
        <v>19.8</v>
      </c>
      <c r="AE56" s="10" t="n">
        <v>12.9</v>
      </c>
      <c r="AF56" s="10" t="n">
        <v>30.7</v>
      </c>
      <c r="AG56" s="10" t="n">
        <v>41184</v>
      </c>
      <c r="AH56" s="10" t="n">
        <v>26800</v>
      </c>
      <c r="AI56" s="10" t="n">
        <v>64000</v>
      </c>
      <c r="AJ56" s="10" t="n">
        <v>18.1</v>
      </c>
      <c r="AK56" s="10" t="n">
        <v>11.8</v>
      </c>
      <c r="AL56" s="10" t="n">
        <v>28.1</v>
      </c>
      <c r="AM56" s="10" t="n">
        <v>37648</v>
      </c>
      <c r="AN56" s="10" t="n">
        <v>24496</v>
      </c>
      <c r="AO56" s="10" t="n">
        <v>58272</v>
      </c>
      <c r="AP56" s="10" t="n">
        <v>21.3</v>
      </c>
      <c r="AQ56" s="10" t="n">
        <v>13.9</v>
      </c>
      <c r="AR56" s="10" t="n">
        <v>33.1</v>
      </c>
      <c r="AS56" s="10" t="n">
        <v>44280</v>
      </c>
      <c r="AT56" s="10" t="n">
        <v>28800</v>
      </c>
      <c r="AU56" s="10" t="n">
        <v>68640</v>
      </c>
      <c r="AV56" s="10" t="n">
        <v>60000000</v>
      </c>
      <c r="AW56" s="10" t="n">
        <v>2040000</v>
      </c>
      <c r="AX56" s="10" t="n">
        <v>1080000</v>
      </c>
      <c r="AY56" s="10" t="n">
        <v>56760000</v>
      </c>
      <c r="AZ56" s="10" t="n">
        <v>30000000</v>
      </c>
      <c r="BA56" s="10" t="n">
        <v>1020000</v>
      </c>
      <c r="BB56" s="10" t="n">
        <v>540000</v>
      </c>
      <c r="BC56" s="10" t="n">
        <v>28440000</v>
      </c>
      <c r="BD56" s="10" t="n">
        <v>3000000</v>
      </c>
      <c r="BE56" s="10" t="n">
        <v>600000</v>
      </c>
      <c r="BF56" s="10" t="n">
        <v>0</v>
      </c>
      <c r="BG56" s="10" t="n">
        <v>2400000</v>
      </c>
      <c r="BH56" s="10" t="n">
        <v>1500000</v>
      </c>
      <c r="BI56" s="10" t="n">
        <v>300000</v>
      </c>
      <c r="BJ56" s="10" t="n">
        <v>300000</v>
      </c>
      <c r="BK56" s="10" t="n">
        <v>900000</v>
      </c>
      <c r="BL56" s="10" t="n">
        <v>750000</v>
      </c>
      <c r="BM56" s="10" t="n">
        <v>150000</v>
      </c>
      <c r="BN56" s="10" t="n">
        <v>375000</v>
      </c>
      <c r="BO56" s="10" t="n">
        <v>1125000</v>
      </c>
      <c r="BP56" s="10" t="n">
        <v>117000</v>
      </c>
      <c r="BQ56" s="10" t="n">
        <v>2340</v>
      </c>
      <c r="BR56" s="10" t="n">
        <v>2223</v>
      </c>
      <c r="BS56" s="10" t="n">
        <v>112437</v>
      </c>
      <c r="BT56" s="10" t="n">
        <v>39</v>
      </c>
      <c r="BU56" s="10" t="n">
        <v>38.5</v>
      </c>
      <c r="BV56" s="10" t="n">
        <v>39.5</v>
      </c>
      <c r="BW56" s="10" t="n">
        <v>39.1</v>
      </c>
      <c r="BX56" s="10" t="n">
        <v>26</v>
      </c>
      <c r="BY56" s="10" t="n">
        <v>54</v>
      </c>
      <c r="BZ56" s="10" t="n">
        <v>0.87</v>
      </c>
      <c r="CA56" s="10" t="n">
        <v>0.83</v>
      </c>
      <c r="CB56" s="10" t="n">
        <v>0.77</v>
      </c>
      <c r="CC56" s="10" t="n">
        <v>0.88</v>
      </c>
      <c r="CD56" s="10" t="n">
        <v>0.13</v>
      </c>
      <c r="CE56" s="10" t="n">
        <v>0.17</v>
      </c>
      <c r="CF56" s="10" t="n">
        <v>0.23</v>
      </c>
      <c r="CG56" s="10" t="n">
        <v>0.12</v>
      </c>
      <c r="CH56" s="10" t="n">
        <v>8</v>
      </c>
      <c r="CI56" s="10" t="n">
        <v>7</v>
      </c>
      <c r="CJ56" s="10" t="n">
        <v>5</v>
      </c>
      <c r="CK56" s="10" t="n">
        <v>8.5</v>
      </c>
      <c r="CL56" s="10" t="n">
        <v>2</v>
      </c>
      <c r="CM56" s="10" t="n">
        <v>20</v>
      </c>
      <c r="CN56" s="10" t="n">
        <v>0.12</v>
      </c>
      <c r="CO56" s="10" t="n">
        <v>0.11</v>
      </c>
      <c r="CP56" s="10" t="n">
        <v>0.18</v>
      </c>
      <c r="CQ56" s="10" t="n">
        <v>0.115</v>
      </c>
      <c r="CR56" s="10" t="n">
        <v>55</v>
      </c>
      <c r="CS56" s="10" t="n">
        <v>54</v>
      </c>
      <c r="CT56" s="10" t="n">
        <v>52</v>
      </c>
      <c r="CU56" s="10" t="n">
        <v>56</v>
      </c>
      <c r="CV56" s="10" t="n">
        <v>3</v>
      </c>
      <c r="CW56" s="10" t="n">
        <v>3.2</v>
      </c>
      <c r="CX56" s="10" t="n">
        <v>2.5</v>
      </c>
      <c r="CY56" s="10" t="n">
        <v>3.1</v>
      </c>
      <c r="CZ56" s="10" t="n">
        <v>6000000</v>
      </c>
      <c r="DA56" s="10" t="n">
        <v>240000</v>
      </c>
      <c r="DB56" s="10" t="n">
        <v>120000</v>
      </c>
      <c r="DC56" s="10" t="n">
        <v>5640000</v>
      </c>
      <c r="DD56" s="10" t="n">
        <v>13200000</v>
      </c>
      <c r="DE56" s="10" t="n">
        <v>528000</v>
      </c>
      <c r="DF56" s="10" t="n">
        <v>0</v>
      </c>
      <c r="DG56" s="10" t="n">
        <v>12672000</v>
      </c>
      <c r="DH56" s="10" t="n">
        <v>0.04</v>
      </c>
      <c r="DI56" s="10" t="n">
        <v>0.06</v>
      </c>
      <c r="DJ56" s="10" t="n">
        <v>0.03</v>
      </c>
      <c r="DK56" s="10" t="n">
        <v>0.04</v>
      </c>
    </row>
  </sheetData>
  <mergeCells count="30">
    <mergeCell ref="A2:C2"/>
    <mergeCell ref="D2:G2"/>
    <mergeCell ref="H2:K2"/>
    <mergeCell ref="L2:O2"/>
    <mergeCell ref="P2:S2"/>
    <mergeCell ref="T2:W2"/>
    <mergeCell ref="X2:Z2"/>
    <mergeCell ref="AA2:AC2"/>
    <mergeCell ref="AD2:AF2"/>
    <mergeCell ref="AG2:AI2"/>
    <mergeCell ref="AJ2:AL2"/>
    <mergeCell ref="AM2:AO2"/>
    <mergeCell ref="AP2:AR2"/>
    <mergeCell ref="AS2:AU2"/>
    <mergeCell ref="AV2:AY2"/>
    <mergeCell ref="AZ2:BC2"/>
    <mergeCell ref="BD2:BG2"/>
    <mergeCell ref="BH2:BK2"/>
    <mergeCell ref="BL2:BO2"/>
    <mergeCell ref="BP2:BS2"/>
    <mergeCell ref="BT2:BW2"/>
    <mergeCell ref="BX2:CA2"/>
    <mergeCell ref="CB2:CE2"/>
    <mergeCell ref="CF2:CI2"/>
    <mergeCell ref="CJ2:CM2"/>
    <mergeCell ref="CN2:CQ2"/>
    <mergeCell ref="CR2:CU2"/>
    <mergeCell ref="CV2:CY2"/>
    <mergeCell ref="CZ2:DC2"/>
    <mergeCell ref="DD2:DK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P3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37" activeCellId="0" sqref="C37"/>
    </sheetView>
  </sheetViews>
  <sheetFormatPr defaultColWidth="11.53515625" defaultRowHeight="12.8" customHeight="false" zeroHeight="false" outlineLevelRow="0" outlineLevelCol="0"/>
  <cols>
    <col collapsed="false" customWidth="false" hidden="false" outlineLevel="0" max="1" min="1" style="9" width="11.54"/>
    <col collapsed="false" customWidth="true" hidden="false" outlineLevel="0" max="2" min="2" style="10" width="41.5"/>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12.8" hidden="false" customHeight="false" outlineLevel="0" collapsed="false">
      <c r="A1" s="14" t="s">
        <v>8429</v>
      </c>
      <c r="B1" s="20" t="s">
        <v>8</v>
      </c>
      <c r="C1" s="13" t="s">
        <v>2</v>
      </c>
      <c r="D1" s="30" t="s">
        <v>8430</v>
      </c>
      <c r="AZ1" s="10"/>
      <c r="BP1" s="10"/>
    </row>
    <row r="2" customFormat="false" ht="35.05" hidden="false" customHeight="false" outlineLevel="0" collapsed="false">
      <c r="A2" s="22" t="s">
        <v>8431</v>
      </c>
      <c r="B2" s="20" t="s">
        <v>8432</v>
      </c>
      <c r="C2" s="20" t="str">
        <f aca="false">CALC!D3</f>
        <v>Labor Force Population</v>
      </c>
      <c r="D2" s="20" t="str">
        <f aca="false">CALC!E3</f>
        <v>Authorized Labor Force Population</v>
      </c>
      <c r="E2" s="20" t="str">
        <f aca="false">CALC!F3</f>
        <v>Unauthorized Labor Force Population</v>
      </c>
      <c r="F2" s="20" t="str">
        <f aca="false">CALC!G3</f>
        <v>American Labor Force Population</v>
      </c>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row>
    <row r="3" customFormat="false" ht="12.8" hidden="false" customHeight="false" outlineLevel="0" collapsed="false">
      <c r="A3" s="11" t="str">
        <f aca="false">_xlfn.CONCAT($A$1, ".", CALC!A4)</f>
        <v>LSD.RID.0.AL.LFP.0</v>
      </c>
      <c r="B3" s="31" t="str">
        <f aca="false">_xlfn.CONCAT(CALC!B4, ":", CALC!C4)</f>
        <v>All Industries:All Roles</v>
      </c>
      <c r="C3" s="12" t="n">
        <f aca="false">CALC!D4</f>
        <v>3331950</v>
      </c>
      <c r="D3" s="12" t="n">
        <f aca="false">CALC!E4</f>
        <v>166598</v>
      </c>
      <c r="E3" s="12" t="n">
        <f aca="false">CALC!F4</f>
        <v>166597</v>
      </c>
      <c r="F3" s="12" t="n">
        <f aca="false">CALC!G4</f>
        <v>2997755</v>
      </c>
      <c r="G3" s="15"/>
      <c r="H3" s="15"/>
      <c r="I3" s="15"/>
      <c r="J3" s="15"/>
      <c r="K3" s="15"/>
      <c r="L3" s="15"/>
      <c r="M3" s="15"/>
      <c r="N3" s="15"/>
      <c r="O3" s="15"/>
      <c r="P3" s="15"/>
      <c r="Q3" s="15"/>
      <c r="R3" s="15"/>
      <c r="S3" s="15"/>
      <c r="T3" s="15"/>
      <c r="U3" s="15"/>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row>
    <row r="4" customFormat="false" ht="12.8" hidden="false" customHeight="false" outlineLevel="0" collapsed="false">
      <c r="A4" s="14" t="str">
        <f aca="false">_xlfn.CONCAT($A$1, ".", CALC!A5)</f>
        <v>LSD.RID.0.AL.LFP.1</v>
      </c>
      <c r="B4" s="32" t="str">
        <f aca="false">_xlfn.CONCAT(CALC!B5, ":", CALC!C5)</f>
        <v>Agriculture:Worker</v>
      </c>
      <c r="C4" s="15" t="n">
        <f aca="false">CALC!D5</f>
        <v>90000</v>
      </c>
      <c r="D4" s="15" t="n">
        <f aca="false">CALC!E5</f>
        <v>9000</v>
      </c>
      <c r="E4" s="15" t="n">
        <f aca="false">CALC!F5</f>
        <v>9000</v>
      </c>
      <c r="F4" s="15" t="n">
        <f aca="false">CALC!G5</f>
        <v>72000</v>
      </c>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row>
    <row r="5" customFormat="false" ht="12.8" hidden="false" customHeight="false" outlineLevel="0" collapsed="false">
      <c r="A5" s="14" t="str">
        <f aca="false">_xlfn.CONCAT($A$1, ".", CALC!A6)</f>
        <v>LSD.RID.0.AL.LFP.2</v>
      </c>
      <c r="B5" s="32" t="str">
        <f aca="false">_xlfn.CONCAT(CALC!B6, ":", CALC!C6)</f>
        <v>Agriculture:Support</v>
      </c>
      <c r="C5" s="15" t="n">
        <f aca="false">CALC!D6</f>
        <v>45000</v>
      </c>
      <c r="D5" s="15" t="n">
        <f aca="false">CALC!E6</f>
        <v>4500</v>
      </c>
      <c r="E5" s="15" t="n">
        <f aca="false">CALC!F6</f>
        <v>4500</v>
      </c>
      <c r="F5" s="15" t="n">
        <f aca="false">CALC!G6</f>
        <v>36000</v>
      </c>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row>
    <row r="6" customFormat="false" ht="12.8" hidden="false" customHeight="false" outlineLevel="0" collapsed="false">
      <c r="A6" s="14" t="str">
        <f aca="false">_xlfn.CONCAT($A$1, ".", CALC!A7)</f>
        <v>LSD.RID.0.AL.LFP.3</v>
      </c>
      <c r="B6" s="32" t="str">
        <f aca="false">_xlfn.CONCAT(CALC!B7, ":", CALC!C7)</f>
        <v>Construction:Worker</v>
      </c>
      <c r="C6" s="15" t="n">
        <f aca="false">CALC!D7</f>
        <v>142500</v>
      </c>
      <c r="D6" s="15" t="n">
        <f aca="false">CALC!E7</f>
        <v>11400</v>
      </c>
      <c r="E6" s="15" t="n">
        <f aca="false">CALC!F7</f>
        <v>9975</v>
      </c>
      <c r="F6" s="15" t="n">
        <f aca="false">CALC!G7</f>
        <v>121125</v>
      </c>
      <c r="G6" s="15"/>
      <c r="H6" s="15"/>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row>
    <row r="7" customFormat="false" ht="12.8" hidden="false" customHeight="false" outlineLevel="0" collapsed="false">
      <c r="A7" s="14" t="str">
        <f aca="false">_xlfn.CONCAT($A$1, ".", CALC!A8)</f>
        <v>LSD.RID.0.AL.LFP.4</v>
      </c>
      <c r="B7" s="32" t="str">
        <f aca="false">_xlfn.CONCAT(CALC!B8, ":", CALC!C8)</f>
        <v>Construction:Support</v>
      </c>
      <c r="C7" s="15" t="n">
        <f aca="false">CALC!D8</f>
        <v>71250</v>
      </c>
      <c r="D7" s="15" t="n">
        <f aca="false">CALC!E8</f>
        <v>5700</v>
      </c>
      <c r="E7" s="15" t="n">
        <f aca="false">CALC!F8</f>
        <v>4988</v>
      </c>
      <c r="F7" s="15" t="n">
        <f aca="false">CALC!G8</f>
        <v>60562</v>
      </c>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row>
    <row r="8" customFormat="false" ht="12.8" hidden="false" customHeight="false" outlineLevel="0" collapsed="false">
      <c r="A8" s="14" t="str">
        <f aca="false">_xlfn.CONCAT($A$1, ".", CALC!A9)</f>
        <v>LSD.RID.0.AL.LFP.5</v>
      </c>
      <c r="B8" s="32" t="str">
        <f aca="false">_xlfn.CONCAT(CALC!B9, ":", CALC!C9)</f>
        <v>Hospitality:Worker</v>
      </c>
      <c r="C8" s="15" t="n">
        <f aca="false">CALC!D9</f>
        <v>360000</v>
      </c>
      <c r="D8" s="15" t="n">
        <f aca="false">CALC!E9</f>
        <v>39600</v>
      </c>
      <c r="E8" s="15" t="n">
        <f aca="false">CALC!F9</f>
        <v>39600</v>
      </c>
      <c r="F8" s="15" t="n">
        <f aca="false">CALC!G9</f>
        <v>280800</v>
      </c>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row>
    <row r="9" customFormat="false" ht="12.8" hidden="false" customHeight="false" outlineLevel="0" collapsed="false">
      <c r="A9" s="14" t="str">
        <f aca="false">_xlfn.CONCAT($A$1, ".", CALC!A10)</f>
        <v>LSD.RID.0.AL.LFP.6</v>
      </c>
      <c r="B9" s="32" t="str">
        <f aca="false">_xlfn.CONCAT(CALC!B10, ":", CALC!C10)</f>
        <v>Hospitality:Support</v>
      </c>
      <c r="C9" s="15" t="n">
        <f aca="false">CALC!D10</f>
        <v>180000</v>
      </c>
      <c r="D9" s="15" t="n">
        <f aca="false">CALC!E10</f>
        <v>19800</v>
      </c>
      <c r="E9" s="15" t="n">
        <f aca="false">CALC!F10</f>
        <v>19800</v>
      </c>
      <c r="F9" s="15" t="n">
        <f aca="false">CALC!G10</f>
        <v>140400</v>
      </c>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row>
    <row r="10" customFormat="false" ht="12.8" hidden="false" customHeight="false" outlineLevel="0" collapsed="false">
      <c r="A10" s="14" t="str">
        <f aca="false">_xlfn.CONCAT($A$1, ".", CALC!A11)</f>
        <v>LSD.RID.0.AL.LFP.7</v>
      </c>
      <c r="B10" s="32" t="str">
        <f aca="false">_xlfn.CONCAT(CALC!B11, ":", CALC!C11)</f>
        <v>Cleaning &amp; Maintenance:Worker</v>
      </c>
      <c r="C10" s="15" t="n">
        <f aca="false">CALC!D11</f>
        <v>97500</v>
      </c>
      <c r="D10" s="15" t="n">
        <f aca="false">CALC!E11</f>
        <v>14625</v>
      </c>
      <c r="E10" s="15" t="n">
        <f aca="false">CALC!F11</f>
        <v>14625</v>
      </c>
      <c r="F10" s="15" t="n">
        <f aca="false">CALC!G11</f>
        <v>68250</v>
      </c>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row>
    <row r="11" customFormat="false" ht="12.8" hidden="false" customHeight="false" outlineLevel="0" collapsed="false">
      <c r="A11" s="14" t="str">
        <f aca="false">_xlfn.CONCAT($A$1, ".", CALC!A12)</f>
        <v>LSD.RID.0.AL.LFP.8</v>
      </c>
      <c r="B11" s="32" t="str">
        <f aca="false">_xlfn.CONCAT(CALC!B12, ":", CALC!C12)</f>
        <v>Cleaning &amp; Maintenance:Support</v>
      </c>
      <c r="C11" s="15" t="n">
        <f aca="false">CALC!D12</f>
        <v>65000</v>
      </c>
      <c r="D11" s="15" t="n">
        <f aca="false">CALC!E12</f>
        <v>9750</v>
      </c>
      <c r="E11" s="15" t="n">
        <f aca="false">CALC!F12</f>
        <v>9750</v>
      </c>
      <c r="F11" s="15" t="n">
        <f aca="false">CALC!G12</f>
        <v>45500</v>
      </c>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row>
    <row r="12" customFormat="false" ht="12.8" hidden="false" customHeight="false" outlineLevel="0" collapsed="false">
      <c r="A12" s="14" t="str">
        <f aca="false">_xlfn.CONCAT($A$1, ".", CALC!A13)</f>
        <v>LSD.RID.0.AL.LFP.9</v>
      </c>
      <c r="B12" s="32" t="str">
        <f aca="false">_xlfn.CONCAT(CALC!B13, ":", CALC!C13)</f>
        <v>Manufacturing:Worker</v>
      </c>
      <c r="C12" s="15" t="n">
        <f aca="false">CALC!D13</f>
        <v>405000</v>
      </c>
      <c r="D12" s="15" t="n">
        <f aca="false">CALC!E13</f>
        <v>36450</v>
      </c>
      <c r="E12" s="15" t="n">
        <f aca="false">CALC!F13</f>
        <v>36450</v>
      </c>
      <c r="F12" s="15" t="n">
        <f aca="false">CALC!G13</f>
        <v>332100</v>
      </c>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row>
    <row r="13" customFormat="false" ht="12.8" hidden="false" customHeight="false" outlineLevel="0" collapsed="false">
      <c r="A13" s="14" t="str">
        <f aca="false">_xlfn.CONCAT($A$1, ".", CALC!A14)</f>
        <v>LSD.RID.0.AL.LFP.10</v>
      </c>
      <c r="B13" s="32" t="str">
        <f aca="false">_xlfn.CONCAT(CALC!B14, ":", CALC!C14)</f>
        <v>Manufacturing:Support</v>
      </c>
      <c r="C13" s="15" t="n">
        <f aca="false">CALC!D14</f>
        <v>135000</v>
      </c>
      <c r="D13" s="15" t="n">
        <f aca="false">CALC!E14</f>
        <v>12150</v>
      </c>
      <c r="E13" s="15" t="n">
        <f aca="false">CALC!F14</f>
        <v>12150</v>
      </c>
      <c r="F13" s="15" t="n">
        <f aca="false">CALC!G14</f>
        <v>110700</v>
      </c>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row>
    <row r="14" customFormat="false" ht="12.8" hidden="false" customHeight="false" outlineLevel="0" collapsed="false">
      <c r="A14" s="14" t="str">
        <f aca="false">_xlfn.CONCAT($A$1, ".", CALC!A15)</f>
        <v>LSD.RID.0.AL.LFP.11</v>
      </c>
      <c r="B14" s="32" t="str">
        <f aca="false">_xlfn.CONCAT(CALC!B15, ":", CALC!C15)</f>
        <v>Transportation &amp; Warehousing:Worker</v>
      </c>
      <c r="C14" s="15" t="n">
        <f aca="false">CALC!D15</f>
        <v>135000</v>
      </c>
      <c r="D14" s="15" t="n">
        <f aca="false">CALC!E15</f>
        <v>13500</v>
      </c>
      <c r="E14" s="15" t="n">
        <f aca="false">CALC!F15</f>
        <v>13500</v>
      </c>
      <c r="F14" s="15" t="n">
        <f aca="false">CALC!G15</f>
        <v>108000</v>
      </c>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row>
    <row r="15" customFormat="false" ht="12.8" hidden="false" customHeight="false" outlineLevel="0" collapsed="false">
      <c r="A15" s="14" t="str">
        <f aca="false">_xlfn.CONCAT($A$1, ".", CALC!A16)</f>
        <v>LSD.RID.0.AL.LFP.12</v>
      </c>
      <c r="B15" s="32" t="str">
        <f aca="false">_xlfn.CONCAT(CALC!B16, ":", CALC!C16)</f>
        <v>Transportation &amp; Warehousing:Support</v>
      </c>
      <c r="C15" s="15" t="n">
        <f aca="false">CALC!D16</f>
        <v>67500</v>
      </c>
      <c r="D15" s="15" t="n">
        <f aca="false">CALC!E16</f>
        <v>6750</v>
      </c>
      <c r="E15" s="15" t="n">
        <f aca="false">CALC!F16</f>
        <v>6750</v>
      </c>
      <c r="F15" s="15" t="n">
        <f aca="false">CALC!G16</f>
        <v>54000</v>
      </c>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row>
    <row r="16" customFormat="false" ht="12.8" hidden="false" customHeight="false" outlineLevel="0" collapsed="false">
      <c r="A16" s="14" t="str">
        <f aca="false">_xlfn.CONCAT($A$1, ".", CALC!A17)</f>
        <v>LSD.RID.0.AL.LFP.13</v>
      </c>
      <c r="B16" s="32" t="str">
        <f aca="false">_xlfn.CONCAT(CALC!B17, ":", CALC!C17)</f>
        <v>Retail Trade:Worker</v>
      </c>
      <c r="C16" s="15" t="n">
        <f aca="false">CALC!D17</f>
        <v>480000</v>
      </c>
      <c r="D16" s="15" t="n">
        <f aca="false">CALC!E17</f>
        <v>38400</v>
      </c>
      <c r="E16" s="15" t="n">
        <f aca="false">CALC!F17</f>
        <v>38400</v>
      </c>
      <c r="F16" s="15" t="n">
        <f aca="false">CALC!G17</f>
        <v>403200</v>
      </c>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row>
    <row r="17" customFormat="false" ht="12.8" hidden="false" customHeight="false" outlineLevel="0" collapsed="false">
      <c r="A17" s="14" t="str">
        <f aca="false">_xlfn.CONCAT($A$1, ".", CALC!A18)</f>
        <v>LSD.RID.0.AL.LFP.14</v>
      </c>
      <c r="B17" s="32" t="str">
        <f aca="false">_xlfn.CONCAT(CALC!B18, ":", CALC!C18)</f>
        <v>Retail Trade:Support</v>
      </c>
      <c r="C17" s="15" t="n">
        <f aca="false">CALC!D18</f>
        <v>240000</v>
      </c>
      <c r="D17" s="15" t="n">
        <f aca="false">CALC!E18</f>
        <v>19200</v>
      </c>
      <c r="E17" s="15" t="n">
        <f aca="false">CALC!F18</f>
        <v>19200</v>
      </c>
      <c r="F17" s="15" t="n">
        <f aca="false">CALC!G18</f>
        <v>201600</v>
      </c>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row>
    <row r="18" customFormat="false" ht="12.8" hidden="false" customHeight="false" outlineLevel="0" collapsed="false">
      <c r="A18" s="14" t="str">
        <f aca="false">_xlfn.CONCAT($A$1, ".", CALC!A19)</f>
        <v>LSD.RID.0.AL.LFP.15</v>
      </c>
      <c r="B18" s="32" t="str">
        <f aca="false">_xlfn.CONCAT(CALC!B19, ":", CALC!C19)</f>
        <v>Landscaping / Groundskeeping:Worker</v>
      </c>
      <c r="C18" s="15" t="n">
        <f aca="false">CALC!D19</f>
        <v>82500</v>
      </c>
      <c r="D18" s="15" t="n">
        <f aca="false">CALC!E19</f>
        <v>13200</v>
      </c>
      <c r="E18" s="15" t="n">
        <f aca="false">CALC!F19</f>
        <v>13200</v>
      </c>
      <c r="F18" s="15" t="n">
        <f aca="false">CALC!G19</f>
        <v>56100</v>
      </c>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row>
    <row r="19" customFormat="false" ht="12.8" hidden="false" customHeight="false" outlineLevel="0" collapsed="false">
      <c r="A19" s="14" t="str">
        <f aca="false">_xlfn.CONCAT($A$1, ".", CALC!A20)</f>
        <v>LSD.RID.0.AL.LFP.16</v>
      </c>
      <c r="B19" s="32" t="str">
        <f aca="false">_xlfn.CONCAT(CALC!B20, ":", CALC!C20)</f>
        <v>Landscaping / Groundskeeping:Support</v>
      </c>
      <c r="C19" s="15" t="n">
        <f aca="false">CALC!D20</f>
        <v>27500</v>
      </c>
      <c r="D19" s="15" t="n">
        <f aca="false">CALC!E20</f>
        <v>4400</v>
      </c>
      <c r="E19" s="15" t="n">
        <f aca="false">CALC!F20</f>
        <v>4400</v>
      </c>
      <c r="F19" s="15" t="n">
        <f aca="false">CALC!G20</f>
        <v>18700</v>
      </c>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row>
    <row r="20" customFormat="false" ht="12.8" hidden="false" customHeight="false" outlineLevel="0" collapsed="false">
      <c r="A20" s="14" t="str">
        <f aca="false">_xlfn.CONCAT($A$1, ".", CALC!A21)</f>
        <v>LSD.RID.0.AL.LFP.17</v>
      </c>
      <c r="B20" s="32" t="str">
        <f aca="false">_xlfn.CONCAT(CALC!B21, ":", CALC!C21)</f>
        <v>Automotive &amp; Repair:Worker</v>
      </c>
      <c r="C20" s="15" t="n">
        <f aca="false">CALC!D21</f>
        <v>67500</v>
      </c>
      <c r="D20" s="15" t="n">
        <f aca="false">CALC!E21</f>
        <v>6075</v>
      </c>
      <c r="E20" s="15" t="n">
        <f aca="false">CALC!F21</f>
        <v>6075</v>
      </c>
      <c r="F20" s="15" t="n">
        <f aca="false">CALC!G21</f>
        <v>55350</v>
      </c>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row>
    <row r="21" customFormat="false" ht="12.8" hidden="false" customHeight="false" outlineLevel="0" collapsed="false">
      <c r="A21" s="14" t="str">
        <f aca="false">_xlfn.CONCAT($A$1, ".", CALC!A22)</f>
        <v>LSD.RID.0.AL.LFP.18</v>
      </c>
      <c r="B21" s="32" t="str">
        <f aca="false">_xlfn.CONCAT(CALC!B22, ":", CALC!C22)</f>
        <v>Automotive &amp; Repair:Support</v>
      </c>
      <c r="C21" s="15" t="n">
        <f aca="false">CALC!D22</f>
        <v>22500</v>
      </c>
      <c r="D21" s="15" t="n">
        <f aca="false">CALC!E22</f>
        <v>2025</v>
      </c>
      <c r="E21" s="15" t="n">
        <f aca="false">CALC!F22</f>
        <v>2025</v>
      </c>
      <c r="F21" s="15" t="n">
        <f aca="false">CALC!G22</f>
        <v>18450</v>
      </c>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row>
    <row r="22" customFormat="false" ht="12.8" hidden="false" customHeight="false" outlineLevel="0" collapsed="false">
      <c r="A22" s="14" t="str">
        <f aca="false">_xlfn.CONCAT($A$1, ".", CALC!A23)</f>
        <v>LSD.RID.0.AL.LFP.19</v>
      </c>
      <c r="B22" s="32" t="str">
        <f aca="false">_xlfn.CONCAT(CALC!B23, ":", CALC!C23)</f>
        <v>Healthcare &amp; Social Assistance:Worker</v>
      </c>
      <c r="C22" s="15" t="n">
        <f aca="false">CALC!D23</f>
        <v>480000</v>
      </c>
      <c r="D22" s="15" t="n">
        <f aca="false">CALC!E23</f>
        <v>28800</v>
      </c>
      <c r="E22" s="15" t="n">
        <f aca="false">CALC!F23</f>
        <v>28800</v>
      </c>
      <c r="F22" s="15" t="n">
        <f aca="false">CALC!G23</f>
        <v>422400</v>
      </c>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row>
    <row r="23" customFormat="false" ht="12.8" hidden="false" customHeight="false" outlineLevel="0" collapsed="false">
      <c r="A23" s="14" t="str">
        <f aca="false">_xlfn.CONCAT($A$1, ".", CALC!A24)</f>
        <v>LSD.RID.0.AL.LFP.20</v>
      </c>
      <c r="B23" s="32" t="str">
        <f aca="false">_xlfn.CONCAT(CALC!B24, ":", CALC!C24)</f>
        <v>Healthcare &amp; Social Assistance:Support</v>
      </c>
      <c r="C23" s="15" t="n">
        <f aca="false">CALC!D24</f>
        <v>240000</v>
      </c>
      <c r="D23" s="15" t="n">
        <f aca="false">CALC!E24</f>
        <v>14400</v>
      </c>
      <c r="E23" s="15" t="n">
        <f aca="false">CALC!F24</f>
        <v>14400</v>
      </c>
      <c r="F23" s="15" t="n">
        <f aca="false">CALC!G24</f>
        <v>211200</v>
      </c>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row>
    <row r="24" customFormat="false" ht="12.8" hidden="false" customHeight="false" outlineLevel="0" collapsed="false">
      <c r="A24" s="14" t="str">
        <f aca="false">_xlfn.CONCAT($A$1, ".", CALC!A25)</f>
        <v>LSD.RID.0.AL.LFP.21</v>
      </c>
      <c r="B24" s="32" t="str">
        <f aca="false">_xlfn.CONCAT(CALC!B25, ":", CALC!C25)</f>
        <v>Professional Services:Worker</v>
      </c>
      <c r="C24" s="15" t="n">
        <f aca="false">CALC!D25</f>
        <v>300000</v>
      </c>
      <c r="D24" s="15" t="n">
        <f aca="false">CALC!E25</f>
        <v>15000</v>
      </c>
      <c r="E24" s="15" t="n">
        <f aca="false">CALC!F25</f>
        <v>15000</v>
      </c>
      <c r="F24" s="15" t="n">
        <f aca="false">CALC!G25</f>
        <v>270000</v>
      </c>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row>
    <row r="25" customFormat="false" ht="12.8" hidden="false" customHeight="false" outlineLevel="0" collapsed="false">
      <c r="A25" s="14" t="str">
        <f aca="false">_xlfn.CONCAT($A$1, ".", CALC!A26)</f>
        <v>LSD.RID.0.AL.LFP.22</v>
      </c>
      <c r="B25" s="32" t="str">
        <f aca="false">_xlfn.CONCAT(CALC!B26, ":", CALC!C26)</f>
        <v>Professional Services:Support</v>
      </c>
      <c r="C25" s="15" t="n">
        <f aca="false">CALC!D26</f>
        <v>150000</v>
      </c>
      <c r="D25" s="15" t="n">
        <f aca="false">CALC!E26</f>
        <v>7500</v>
      </c>
      <c r="E25" s="15" t="n">
        <f aca="false">CALC!F26</f>
        <v>7500</v>
      </c>
      <c r="F25" s="15" t="n">
        <f aca="false">CALC!G26</f>
        <v>135000</v>
      </c>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row>
    <row r="26" customFormat="false" ht="12.8" hidden="false" customHeight="false" outlineLevel="0" collapsed="false">
      <c r="A26" s="14" t="str">
        <f aca="false">_xlfn.CONCAT($A$1, ".", CALC!A27)</f>
        <v>LSD.RID.0.AL.LFP.23</v>
      </c>
      <c r="B26" s="32" t="str">
        <f aca="false">_xlfn.CONCAT(CALC!B27, ":", CALC!C27)</f>
        <v>Educational Services:Worker</v>
      </c>
      <c r="C26" s="15" t="n">
        <f aca="false">CALC!D27</f>
        <v>270000</v>
      </c>
      <c r="D26" s="15" t="n">
        <f aca="false">CALC!E27</f>
        <v>10800</v>
      </c>
      <c r="E26" s="15" t="n">
        <f aca="false">CALC!F27</f>
        <v>10800</v>
      </c>
      <c r="F26" s="15" t="n">
        <f aca="false">CALC!G27</f>
        <v>248400</v>
      </c>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row>
    <row r="27" customFormat="false" ht="12.8" hidden="false" customHeight="false" outlineLevel="0" collapsed="false">
      <c r="A27" s="14" t="str">
        <f aca="false">_xlfn.CONCAT($A$1, ".", CALC!A28)</f>
        <v>LSD.RID.0.AL.LFP.24</v>
      </c>
      <c r="B27" s="32" t="str">
        <f aca="false">_xlfn.CONCAT(CALC!B28, ":", CALC!C28)</f>
        <v>Educational Services:Support</v>
      </c>
      <c r="C27" s="15" t="n">
        <f aca="false">CALC!D28</f>
        <v>90000</v>
      </c>
      <c r="D27" s="15" t="n">
        <f aca="false">CALC!E28</f>
        <v>3600</v>
      </c>
      <c r="E27" s="15" t="n">
        <f aca="false">CALC!F28</f>
        <v>3600</v>
      </c>
      <c r="F27" s="15" t="n">
        <f aca="false">CALC!G28</f>
        <v>82800</v>
      </c>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row>
    <row r="28" customFormat="false" ht="12.8" hidden="false" customHeight="false" outlineLevel="0" collapsed="false">
      <c r="A28" s="14" t="str">
        <f aca="false">_xlfn.CONCAT($A$1, ".", CALC!A29)</f>
        <v>LSD.RID.0.AL.LFP.25</v>
      </c>
      <c r="B28" s="32" t="str">
        <f aca="false">_xlfn.CONCAT(CALC!B29, ":", CALC!C29)</f>
        <v>Finance &amp; Insurance:Worker</v>
      </c>
      <c r="C28" s="15" t="n">
        <f aca="false">CALC!D29</f>
        <v>180000</v>
      </c>
      <c r="D28" s="15" t="n">
        <f aca="false">CALC!E29</f>
        <v>9000</v>
      </c>
      <c r="E28" s="15" t="n">
        <f aca="false">CALC!F29</f>
        <v>9000</v>
      </c>
      <c r="F28" s="15" t="n">
        <f aca="false">CALC!G29</f>
        <v>162000</v>
      </c>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row>
    <row r="29" customFormat="false" ht="12.8" hidden="false" customHeight="false" outlineLevel="0" collapsed="false">
      <c r="A29" s="14" t="str">
        <f aca="false">_xlfn.CONCAT($A$1, ".", CALC!A30)</f>
        <v>LSD.RID.0.AL.LFP.26</v>
      </c>
      <c r="B29" s="32" t="str">
        <f aca="false">_xlfn.CONCAT(CALC!B30, ":", CALC!C30)</f>
        <v>Finance &amp; Insurance:Support</v>
      </c>
      <c r="C29" s="15" t="n">
        <f aca="false">CALC!D30</f>
        <v>90000</v>
      </c>
      <c r="D29" s="15" t="n">
        <f aca="false">CALC!E30</f>
        <v>4500</v>
      </c>
      <c r="E29" s="15" t="n">
        <f aca="false">CALC!F30</f>
        <v>4500</v>
      </c>
      <c r="F29" s="15" t="n">
        <f aca="false">CALC!G30</f>
        <v>81000</v>
      </c>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row>
    <row r="30" customFormat="false" ht="12.8" hidden="false" customHeight="false" outlineLevel="0" collapsed="false">
      <c r="A30" s="14" t="str">
        <f aca="false">_xlfn.CONCAT($A$1, ".", CALC!A31)</f>
        <v>LSD.RID.0.AL.LFP.27</v>
      </c>
      <c r="B30" s="32" t="str">
        <f aca="false">_xlfn.CONCAT(CALC!B31, ":", CALC!C31)</f>
        <v>Media and Information Technology:Worker</v>
      </c>
      <c r="C30" s="15" t="n">
        <f aca="false">CALC!D31</f>
        <v>120000</v>
      </c>
      <c r="D30" s="15" t="n">
        <f aca="false">CALC!E31</f>
        <v>6000</v>
      </c>
      <c r="E30" s="15" t="n">
        <f aca="false">CALC!F31</f>
        <v>6000</v>
      </c>
      <c r="F30" s="15" t="n">
        <f aca="false">CALC!G31</f>
        <v>108000</v>
      </c>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row>
    <row r="31" customFormat="false" ht="12.8" hidden="false" customHeight="false" outlineLevel="0" collapsed="false">
      <c r="A31" s="14" t="str">
        <f aca="false">_xlfn.CONCAT($A$1, ".", CALC!A32)</f>
        <v>LSD.RID.0.AL.LFP.28</v>
      </c>
      <c r="B31" s="32" t="str">
        <f aca="false">_xlfn.CONCAT(CALC!B32, ":", CALC!C32)</f>
        <v>Media and Information Technology:Support</v>
      </c>
      <c r="C31" s="15" t="n">
        <f aca="false">CALC!D32</f>
        <v>60000</v>
      </c>
      <c r="D31" s="15" t="n">
        <f aca="false">CALC!E32</f>
        <v>3000</v>
      </c>
      <c r="E31" s="15" t="n">
        <f aca="false">CALC!F32</f>
        <v>3000</v>
      </c>
      <c r="F31" s="15" t="n">
        <f aca="false">CALC!G32</f>
        <v>54000</v>
      </c>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row>
    <row r="32" customFormat="false" ht="12.8" hidden="false" customHeight="false" outlineLevel="0" collapsed="false">
      <c r="A32" s="14" t="str">
        <f aca="false">_xlfn.CONCAT($A$1, ".", CALC!A33)</f>
        <v>LSD.RID.0.AL.LFP.29</v>
      </c>
      <c r="B32" s="32" t="str">
        <f aca="false">_xlfn.CONCAT(CALC!B33, ":", CALC!C33)</f>
        <v>Government:Worker</v>
      </c>
      <c r="C32" s="15" t="n">
        <f aca="false">CALC!D33</f>
        <v>600000</v>
      </c>
      <c r="D32" s="15" t="n">
        <f aca="false">CALC!E33</f>
        <v>15000</v>
      </c>
      <c r="E32" s="15" t="n">
        <f aca="false">CALC!F33</f>
        <v>15000</v>
      </c>
      <c r="F32" s="15" t="n">
        <f aca="false">CALC!G33</f>
        <v>570000</v>
      </c>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row>
    <row r="33" customFormat="false" ht="12.8" hidden="false" customHeight="false" outlineLevel="0" collapsed="false">
      <c r="A33" s="14" t="e">
        <f aca="false">_xlfn.CONCAT($A$1, ".", #REF!)</f>
        <v>#REF!</v>
      </c>
      <c r="B33" s="32" t="e">
        <f aca="false">_xlfn.CONCAT(#REF!, ":", #REF!)</f>
        <v>#REF!</v>
      </c>
      <c r="C33" s="15" t="e">
        <f aca="false">#REF!</f>
        <v>#REF!</v>
      </c>
      <c r="D33" s="15" t="e">
        <f aca="false">#REF!</f>
        <v>#REF!</v>
      </c>
      <c r="E33" s="15" t="e">
        <f aca="false">#REF!</f>
        <v>#REF!</v>
      </c>
      <c r="F33" s="15" t="e">
        <f aca="false">#REF!</f>
        <v>#REF!</v>
      </c>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row>
    <row r="34" customFormat="false" ht="12.8" hidden="false" customHeight="false" outlineLevel="0" collapsed="false">
      <c r="A34" s="14" t="e">
        <f aca="false">_xlfn.CONCAT($A$1, ".", #REF!)</f>
        <v>#REF!</v>
      </c>
      <c r="B34" s="32" t="e">
        <f aca="false">_xlfn.CONCAT(#REF!, ":", #REF!)</f>
        <v>#REF!</v>
      </c>
      <c r="C34" s="15" t="e">
        <f aca="false">#REF!</f>
        <v>#REF!</v>
      </c>
      <c r="D34" s="15" t="e">
        <f aca="false">#REF!</f>
        <v>#REF!</v>
      </c>
      <c r="E34" s="15" t="e">
        <f aca="false">#REF!</f>
        <v>#REF!</v>
      </c>
      <c r="F34" s="15" t="e">
        <f aca="false">#REF!</f>
        <v>#REF!</v>
      </c>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row>
    <row r="35" customFormat="false" ht="12.8" hidden="false" customHeight="false" outlineLevel="0" collapsed="false">
      <c r="A35" s="14" t="e">
        <f aca="false">_xlfn.CONCAT($A$1, ".", #REF!)</f>
        <v>#REF!</v>
      </c>
      <c r="B35" s="32" t="e">
        <f aca="false">_xlfn.CONCAT(#REF!, ":", #REF!)</f>
        <v>#REF!</v>
      </c>
      <c r="C35" s="15" t="e">
        <f aca="false">#REF!</f>
        <v>#REF!</v>
      </c>
      <c r="D35" s="15" t="e">
        <f aca="false">#REF!</f>
        <v>#REF!</v>
      </c>
      <c r="E35" s="15" t="e">
        <f aca="false">#REF!</f>
        <v>#REF!</v>
      </c>
      <c r="F35" s="15" t="e">
        <f aca="false">#REF!</f>
        <v>#REF!</v>
      </c>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row>
    <row r="36" customFormat="false" ht="12.8" hidden="false" customHeight="false" outlineLevel="0" collapsed="false">
      <c r="A36" s="14" t="e">
        <f aca="false">_xlfn.CONCAT($A$1, ".", #REF!)</f>
        <v>#REF!</v>
      </c>
      <c r="B36" s="32" t="e">
        <f aca="false">_xlfn.CONCAT(#REF!, ":", #REF!)</f>
        <v>#REF!</v>
      </c>
      <c r="C36" s="15" t="e">
        <f aca="false">#REF!</f>
        <v>#REF!</v>
      </c>
      <c r="D36" s="15" t="e">
        <f aca="false">#REF!</f>
        <v>#REF!</v>
      </c>
      <c r="E36" s="15" t="e">
        <f aca="false">#REF!</f>
        <v>#REF!</v>
      </c>
      <c r="F36" s="15" t="e">
        <f aca="false">#REF!</f>
        <v>#REF!</v>
      </c>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row>
    <row r="37" customFormat="false" ht="12.8" hidden="false" customHeight="false" outlineLevel="0" collapsed="false">
      <c r="A37" s="14" t="e">
        <f aca="false">_xlfn.CONCAT($A$1, ".", #REF!)</f>
        <v>#REF!</v>
      </c>
      <c r="B37" s="32" t="e">
        <f aca="false">_xlfn.CONCAT(#REF!, ":", #REF!)</f>
        <v>#REF!</v>
      </c>
      <c r="C37" s="15" t="e">
        <f aca="false">#REF!</f>
        <v>#REF!</v>
      </c>
      <c r="D37" s="15" t="e">
        <f aca="false">#REF!</f>
        <v>#REF!</v>
      </c>
      <c r="E37" s="15" t="e">
        <f aca="false">#REF!</f>
        <v>#REF!</v>
      </c>
      <c r="F37" s="15" t="e">
        <f aca="false">#REF!</f>
        <v>#REF!</v>
      </c>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row>
    <row r="38" customFormat="false" ht="12.8" hidden="false" customHeight="false" outlineLevel="0" collapsed="false">
      <c r="A38" s="11"/>
    </row>
    <row r="39" customFormat="false" ht="12.8" hidden="false" customHeight="false" outlineLevel="0" collapsed="false">
      <c r="A39" s="14"/>
      <c r="B39" s="15"/>
      <c r="C39" s="33"/>
      <c r="D39" s="33"/>
      <c r="E39" s="33"/>
      <c r="F39" s="3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BP37"/>
  <sheetViews>
    <sheetView showFormulas="false" showGridLines="true" showRowColHeaders="true" showZeros="true" rightToLeft="false" tabSelected="false" showOutlineSymbols="true" defaultGridColor="true" view="normal" topLeftCell="A42" colorId="64" zoomScale="90" zoomScaleNormal="90" zoomScalePageLayoutView="100" workbookViewId="0">
      <selection pane="topLeft" activeCell="F3" activeCellId="0" sqref="F3"/>
    </sheetView>
  </sheetViews>
  <sheetFormatPr defaultColWidth="11.53515625" defaultRowHeight="12.8" customHeight="false" zeroHeight="false" outlineLevelRow="0" outlineLevelCol="0"/>
  <cols>
    <col collapsed="false" customWidth="false" hidden="false" outlineLevel="0" max="1" min="1" style="9" width="11.54"/>
    <col collapsed="false" customWidth="true" hidden="false" outlineLevel="0" max="2" min="2" style="10" width="41.51"/>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12.8" hidden="false" customHeight="false" outlineLevel="0" collapsed="false">
      <c r="A1" s="3" t="s">
        <v>8433</v>
      </c>
      <c r="B1" s="12" t="s">
        <v>9</v>
      </c>
      <c r="C1" s="13" t="s">
        <v>2</v>
      </c>
      <c r="D1" s="30" t="s">
        <v>8434</v>
      </c>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row>
    <row r="2" customFormat="false" ht="46.25" hidden="false" customHeight="false" outlineLevel="0" collapsed="false">
      <c r="A2" s="22" t="s">
        <v>8431</v>
      </c>
      <c r="B2" s="20" t="s">
        <v>8432</v>
      </c>
      <c r="C2" s="27" t="str">
        <f aca="false">CALC!H3</f>
        <v>Employment-to-Population Ratio</v>
      </c>
      <c r="D2" s="27" t="str">
        <f aca="false">CALC!I3</f>
        <v>Authorized Immigrant Employment-to-Population Ratio</v>
      </c>
      <c r="E2" s="27" t="str">
        <f aca="false">CALC!J3</f>
        <v>Unauthorized Immigrant Employment-to-Population Ratio</v>
      </c>
      <c r="F2" s="27" t="str">
        <f aca="false">CALC!K3</f>
        <v>American Employment-to-Population Ratio</v>
      </c>
    </row>
    <row r="3" customFormat="false" ht="12.8" hidden="false" customHeight="false" outlineLevel="0" collapsed="false">
      <c r="A3" s="11" t="str">
        <f aca="false">_xlfn.CONCAT($A$1, ".", CALC!A4)</f>
        <v>LSD.RID.0.AL.ETPR.0</v>
      </c>
      <c r="B3" s="31" t="str">
        <f aca="false">_xlfn.CONCAT(CALC!B4, ":", CALC!C4)</f>
        <v>All Industries:All Roles</v>
      </c>
      <c r="C3" s="27" t="n">
        <f aca="false">CALC!H4</f>
        <v>0.667</v>
      </c>
      <c r="D3" s="27" t="n">
        <f aca="false">CALC!I4</f>
        <v>0.701</v>
      </c>
      <c r="E3" s="27" t="n">
        <f aca="false">CALC!J4</f>
        <v>0.635</v>
      </c>
      <c r="F3" s="27" t="n">
        <f aca="false">CALC!K4</f>
        <v>0.668</v>
      </c>
    </row>
    <row r="4" customFormat="false" ht="12.8" hidden="false" customHeight="false" outlineLevel="0" collapsed="false">
      <c r="A4" s="14" t="str">
        <f aca="false">_xlfn.CONCAT($A$1, ".", CALC!A5)</f>
        <v>LSD.RID.0.AL.ETPR.1</v>
      </c>
      <c r="B4" s="32" t="str">
        <f aca="false">_xlfn.CONCAT(CALC!B5, ":", CALC!C5)</f>
        <v>Agriculture:Worker</v>
      </c>
      <c r="C4" s="34" t="n">
        <f aca="false">CALC!H5</f>
        <v>0.55</v>
      </c>
      <c r="D4" s="34" t="n">
        <f aca="false">CALC!I5</f>
        <v>0.61</v>
      </c>
      <c r="E4" s="34" t="n">
        <f aca="false">CALC!J5</f>
        <v>0.495</v>
      </c>
      <c r="F4" s="34" t="n">
        <f aca="false">CALC!K5</f>
        <v>0.55</v>
      </c>
    </row>
    <row r="5" customFormat="false" ht="12.8" hidden="false" customHeight="false" outlineLevel="0" collapsed="false">
      <c r="A5" s="14" t="str">
        <f aca="false">_xlfn.CONCAT($A$1, ".", CALC!A6)</f>
        <v>LSD.RID.0.AL.ETPR.2</v>
      </c>
      <c r="B5" s="32" t="str">
        <f aca="false">_xlfn.CONCAT(CALC!B6, ":", CALC!C6)</f>
        <v>Agriculture:Support</v>
      </c>
      <c r="C5" s="34" t="n">
        <f aca="false">CALC!H6</f>
        <v>0.55</v>
      </c>
      <c r="D5" s="34" t="n">
        <f aca="false">CALC!I6</f>
        <v>0.61</v>
      </c>
      <c r="E5" s="34" t="n">
        <f aca="false">CALC!J6</f>
        <v>0.495</v>
      </c>
      <c r="F5" s="34" t="n">
        <f aca="false">CALC!K6</f>
        <v>0.55</v>
      </c>
    </row>
    <row r="6" customFormat="false" ht="12.8" hidden="false" customHeight="false" outlineLevel="0" collapsed="false">
      <c r="A6" s="14" t="str">
        <f aca="false">_xlfn.CONCAT($A$1, ".", CALC!A7)</f>
        <v>LSD.RID.0.AL.ETPR.3</v>
      </c>
      <c r="B6" s="32" t="str">
        <f aca="false">_xlfn.CONCAT(CALC!B7, ":", CALC!C7)</f>
        <v>Construction:Worker</v>
      </c>
      <c r="C6" s="34" t="n">
        <f aca="false">CALC!H7</f>
        <v>0.62</v>
      </c>
      <c r="D6" s="34" t="n">
        <f aca="false">CALC!I7</f>
        <v>0.682</v>
      </c>
      <c r="E6" s="34" t="n">
        <f aca="false">CALC!J7</f>
        <v>0.558</v>
      </c>
      <c r="F6" s="34" t="n">
        <f aca="false">CALC!K7</f>
        <v>0.62</v>
      </c>
    </row>
    <row r="7" customFormat="false" ht="12.8" hidden="false" customHeight="false" outlineLevel="0" collapsed="false">
      <c r="A7" s="14" t="str">
        <f aca="false">_xlfn.CONCAT($A$1, ".", CALC!A8)</f>
        <v>LSD.RID.0.AL.ETPR.4</v>
      </c>
      <c r="B7" s="32" t="str">
        <f aca="false">_xlfn.CONCAT(CALC!B8, ":", CALC!C8)</f>
        <v>Construction:Support</v>
      </c>
      <c r="C7" s="34" t="n">
        <f aca="false">CALC!H8</f>
        <v>0.62</v>
      </c>
      <c r="D7" s="34" t="n">
        <f aca="false">CALC!I8</f>
        <v>0.682</v>
      </c>
      <c r="E7" s="34" t="n">
        <f aca="false">CALC!J8</f>
        <v>0.558</v>
      </c>
      <c r="F7" s="34" t="n">
        <f aca="false">CALC!K8</f>
        <v>0.62</v>
      </c>
    </row>
    <row r="8" customFormat="false" ht="12.8" hidden="false" customHeight="false" outlineLevel="0" collapsed="false">
      <c r="A8" s="14" t="str">
        <f aca="false">_xlfn.CONCAT($A$1, ".", CALC!A9)</f>
        <v>LSD.RID.0.AL.ETPR.5</v>
      </c>
      <c r="B8" s="32" t="str">
        <f aca="false">_xlfn.CONCAT(CALC!B9, ":", CALC!C9)</f>
        <v>Hospitality:Worker</v>
      </c>
      <c r="C8" s="34" t="n">
        <f aca="false">CALC!H9</f>
        <v>0.667</v>
      </c>
      <c r="D8" s="34" t="n">
        <f aca="false">CALC!I9</f>
        <v>0.701</v>
      </c>
      <c r="E8" s="34" t="n">
        <f aca="false">CALC!J9</f>
        <v>0.635</v>
      </c>
      <c r="F8" s="34" t="n">
        <f aca="false">CALC!K9</f>
        <v>0.668</v>
      </c>
    </row>
    <row r="9" customFormat="false" ht="12.8" hidden="false" customHeight="false" outlineLevel="0" collapsed="false">
      <c r="A9" s="14" t="str">
        <f aca="false">_xlfn.CONCAT($A$1, ".", CALC!A10)</f>
        <v>LSD.RID.0.AL.ETPR.6</v>
      </c>
      <c r="B9" s="32" t="str">
        <f aca="false">_xlfn.CONCAT(CALC!B10, ":", CALC!C10)</f>
        <v>Hospitality:Support</v>
      </c>
      <c r="C9" s="34" t="n">
        <f aca="false">CALC!H10</f>
        <v>0.667</v>
      </c>
      <c r="D9" s="34" t="n">
        <f aca="false">CALC!I10</f>
        <v>0.701</v>
      </c>
      <c r="E9" s="34" t="n">
        <f aca="false">CALC!J10</f>
        <v>0.635</v>
      </c>
      <c r="F9" s="34" t="n">
        <f aca="false">CALC!K10</f>
        <v>0.668</v>
      </c>
    </row>
    <row r="10" customFormat="false" ht="12.8" hidden="false" customHeight="false" outlineLevel="0" collapsed="false">
      <c r="A10" s="14" t="str">
        <f aca="false">_xlfn.CONCAT($A$1, ".", CALC!A11)</f>
        <v>LSD.RID.0.AL.ETPR.7</v>
      </c>
      <c r="B10" s="32" t="str">
        <f aca="false">_xlfn.CONCAT(CALC!B11, ":", CALC!C11)</f>
        <v>Cleaning &amp; Maintenance:Worker</v>
      </c>
      <c r="C10" s="34" t="n">
        <f aca="false">CALC!H11</f>
        <v>0.6</v>
      </c>
      <c r="D10" s="34" t="n">
        <f aca="false">CALC!I11</f>
        <v>0.65</v>
      </c>
      <c r="E10" s="34" t="n">
        <f aca="false">CALC!J11</f>
        <v>0.58</v>
      </c>
      <c r="F10" s="34" t="n">
        <f aca="false">CALC!K11</f>
        <v>0.6</v>
      </c>
    </row>
    <row r="11" customFormat="false" ht="12.8" hidden="false" customHeight="false" outlineLevel="0" collapsed="false">
      <c r="A11" s="14" t="str">
        <f aca="false">_xlfn.CONCAT($A$1, ".", CALC!A12)</f>
        <v>LSD.RID.0.AL.ETPR.8</v>
      </c>
      <c r="B11" s="32" t="str">
        <f aca="false">_xlfn.CONCAT(CALC!B12, ":", CALC!C12)</f>
        <v>Cleaning &amp; Maintenance:Support</v>
      </c>
      <c r="C11" s="34" t="n">
        <f aca="false">CALC!H12</f>
        <v>0.6</v>
      </c>
      <c r="D11" s="34" t="n">
        <f aca="false">CALC!I12</f>
        <v>0.65</v>
      </c>
      <c r="E11" s="34" t="n">
        <f aca="false">CALC!J12</f>
        <v>0.58</v>
      </c>
      <c r="F11" s="34" t="n">
        <f aca="false">CALC!K12</f>
        <v>0.6</v>
      </c>
    </row>
    <row r="12" customFormat="false" ht="12.8" hidden="false" customHeight="false" outlineLevel="0" collapsed="false">
      <c r="A12" s="14" t="str">
        <f aca="false">_xlfn.CONCAT($A$1, ".", CALC!A13)</f>
        <v>LSD.RID.0.AL.ETPR.9</v>
      </c>
      <c r="B12" s="32" t="str">
        <f aca="false">_xlfn.CONCAT(CALC!B13, ":", CALC!C13)</f>
        <v>Manufacturing:Worker</v>
      </c>
      <c r="C12" s="34" t="n">
        <f aca="false">CALC!H13</f>
        <v>0.68</v>
      </c>
      <c r="D12" s="34" t="n">
        <f aca="false">CALC!I13</f>
        <v>0.714</v>
      </c>
      <c r="E12" s="34" t="n">
        <f aca="false">CALC!J13</f>
        <v>0.646</v>
      </c>
      <c r="F12" s="34" t="n">
        <f aca="false">CALC!K13</f>
        <v>0.68</v>
      </c>
    </row>
    <row r="13" customFormat="false" ht="12.8" hidden="false" customHeight="false" outlineLevel="0" collapsed="false">
      <c r="A13" s="14" t="str">
        <f aca="false">_xlfn.CONCAT($A$1, ".", CALC!A14)</f>
        <v>LSD.RID.0.AL.ETPR.10</v>
      </c>
      <c r="B13" s="32" t="str">
        <f aca="false">_xlfn.CONCAT(CALC!B14, ":", CALC!C14)</f>
        <v>Manufacturing:Support</v>
      </c>
      <c r="C13" s="34" t="n">
        <f aca="false">CALC!H14</f>
        <v>0.68</v>
      </c>
      <c r="D13" s="34" t="n">
        <f aca="false">CALC!I14</f>
        <v>0.714</v>
      </c>
      <c r="E13" s="34" t="n">
        <f aca="false">CALC!J14</f>
        <v>0.646</v>
      </c>
      <c r="F13" s="34" t="n">
        <f aca="false">CALC!K14</f>
        <v>0.68</v>
      </c>
    </row>
    <row r="14" customFormat="false" ht="12.8" hidden="false" customHeight="false" outlineLevel="0" collapsed="false">
      <c r="A14" s="14" t="str">
        <f aca="false">_xlfn.CONCAT($A$1, ".", CALC!A15)</f>
        <v>LSD.RID.0.AL.ETPR.11</v>
      </c>
      <c r="B14" s="32" t="str">
        <f aca="false">_xlfn.CONCAT(CALC!B15, ":", CALC!C15)</f>
        <v>Transportation &amp; Warehousing:Worker</v>
      </c>
      <c r="C14" s="34" t="n">
        <f aca="false">CALC!H15</f>
        <v>0.65</v>
      </c>
      <c r="D14" s="34" t="n">
        <f aca="false">CALC!I15</f>
        <v>0.682</v>
      </c>
      <c r="E14" s="34" t="n">
        <f aca="false">CALC!J15</f>
        <v>0.618</v>
      </c>
      <c r="F14" s="34" t="n">
        <f aca="false">CALC!K15</f>
        <v>0.65</v>
      </c>
    </row>
    <row r="15" customFormat="false" ht="12.8" hidden="false" customHeight="false" outlineLevel="0" collapsed="false">
      <c r="A15" s="14" t="str">
        <f aca="false">_xlfn.CONCAT($A$1, ".", CALC!A16)</f>
        <v>LSD.RID.0.AL.ETPR.12</v>
      </c>
      <c r="B15" s="32" t="str">
        <f aca="false">_xlfn.CONCAT(CALC!B16, ":", CALC!C16)</f>
        <v>Transportation &amp; Warehousing:Support</v>
      </c>
      <c r="C15" s="34" t="n">
        <f aca="false">CALC!H16</f>
        <v>0.65</v>
      </c>
      <c r="D15" s="34" t="n">
        <f aca="false">CALC!I16</f>
        <v>0.682</v>
      </c>
      <c r="E15" s="34" t="n">
        <f aca="false">CALC!J16</f>
        <v>0.618</v>
      </c>
      <c r="F15" s="34" t="n">
        <f aca="false">CALC!K16</f>
        <v>0.65</v>
      </c>
    </row>
    <row r="16" customFormat="false" ht="12.8" hidden="false" customHeight="false" outlineLevel="0" collapsed="false">
      <c r="A16" s="14" t="str">
        <f aca="false">_xlfn.CONCAT($A$1, ".", CALC!A17)</f>
        <v>LSD.RID.0.AL.ETPR.13</v>
      </c>
      <c r="B16" s="32" t="str">
        <f aca="false">_xlfn.CONCAT(CALC!B17, ":", CALC!C17)</f>
        <v>Retail Trade:Worker</v>
      </c>
      <c r="C16" s="34" t="n">
        <f aca="false">CALC!H17</f>
        <v>0.67</v>
      </c>
      <c r="D16" s="34" t="n">
        <f aca="false">CALC!I17</f>
        <v>0.701</v>
      </c>
      <c r="E16" s="34" t="n">
        <f aca="false">CALC!J17</f>
        <v>0.639</v>
      </c>
      <c r="F16" s="34" t="n">
        <f aca="false">CALC!K17</f>
        <v>0.67</v>
      </c>
    </row>
    <row r="17" customFormat="false" ht="12.8" hidden="false" customHeight="false" outlineLevel="0" collapsed="false">
      <c r="A17" s="14" t="str">
        <f aca="false">_xlfn.CONCAT($A$1, ".", CALC!A18)</f>
        <v>LSD.RID.0.AL.ETPR.14</v>
      </c>
      <c r="B17" s="32" t="str">
        <f aca="false">_xlfn.CONCAT(CALC!B18, ":", CALC!C18)</f>
        <v>Retail Trade:Support</v>
      </c>
      <c r="C17" s="34" t="n">
        <f aca="false">CALC!H18</f>
        <v>0.67</v>
      </c>
      <c r="D17" s="34" t="n">
        <f aca="false">CALC!I18</f>
        <v>0.701</v>
      </c>
      <c r="E17" s="34" t="n">
        <f aca="false">CALC!J18</f>
        <v>0.639</v>
      </c>
      <c r="F17" s="34" t="n">
        <f aca="false">CALC!K18</f>
        <v>0.67</v>
      </c>
    </row>
    <row r="18" customFormat="false" ht="12.8" hidden="false" customHeight="false" outlineLevel="0" collapsed="false">
      <c r="A18" s="14" t="str">
        <f aca="false">_xlfn.CONCAT($A$1, ".", CALC!A19)</f>
        <v>LSD.RID.0.AL.ETPR.15</v>
      </c>
      <c r="B18" s="32" t="str">
        <f aca="false">_xlfn.CONCAT(CALC!B19, ":", CALC!C19)</f>
        <v>Landscaping / Groundskeeping:Worker</v>
      </c>
      <c r="C18" s="34" t="n">
        <f aca="false">CALC!H19</f>
        <v>0.58</v>
      </c>
      <c r="D18" s="34" t="n">
        <f aca="false">CALC!I19</f>
        <v>0.63</v>
      </c>
      <c r="E18" s="34" t="n">
        <f aca="false">CALC!J19</f>
        <v>0.56</v>
      </c>
      <c r="F18" s="34" t="n">
        <f aca="false">CALC!K19</f>
        <v>0.58</v>
      </c>
    </row>
    <row r="19" customFormat="false" ht="12.8" hidden="false" customHeight="false" outlineLevel="0" collapsed="false">
      <c r="A19" s="14" t="str">
        <f aca="false">_xlfn.CONCAT($A$1, ".", CALC!A20)</f>
        <v>LSD.RID.0.AL.ETPR.16</v>
      </c>
      <c r="B19" s="32" t="str">
        <f aca="false">_xlfn.CONCAT(CALC!B20, ":", CALC!C20)</f>
        <v>Landscaping / Groundskeeping:Support</v>
      </c>
      <c r="C19" s="34" t="n">
        <f aca="false">CALC!H20</f>
        <v>0.58</v>
      </c>
      <c r="D19" s="34" t="n">
        <f aca="false">CALC!I20</f>
        <v>0.63</v>
      </c>
      <c r="E19" s="34" t="n">
        <f aca="false">CALC!J20</f>
        <v>0.56</v>
      </c>
      <c r="F19" s="34" t="n">
        <f aca="false">CALC!K20</f>
        <v>0.58</v>
      </c>
    </row>
    <row r="20" customFormat="false" ht="12.8" hidden="false" customHeight="false" outlineLevel="0" collapsed="false">
      <c r="A20" s="14" t="str">
        <f aca="false">_xlfn.CONCAT($A$1, ".", CALC!A21)</f>
        <v>LSD.RID.0.AL.ETPR.17</v>
      </c>
      <c r="B20" s="32" t="str">
        <f aca="false">_xlfn.CONCAT(CALC!B21, ":", CALC!C21)</f>
        <v>Automotive &amp; Repair:Worker</v>
      </c>
      <c r="C20" s="34" t="n">
        <f aca="false">CALC!H21</f>
        <v>0.65</v>
      </c>
      <c r="D20" s="34" t="n">
        <f aca="false">CALC!I21</f>
        <v>0.682</v>
      </c>
      <c r="E20" s="34" t="n">
        <f aca="false">CALC!J21</f>
        <v>0.618</v>
      </c>
      <c r="F20" s="34" t="n">
        <f aca="false">CALC!K21</f>
        <v>0.65</v>
      </c>
    </row>
    <row r="21" customFormat="false" ht="12.8" hidden="false" customHeight="false" outlineLevel="0" collapsed="false">
      <c r="A21" s="14" t="str">
        <f aca="false">_xlfn.CONCAT($A$1, ".", CALC!A22)</f>
        <v>LSD.RID.0.AL.ETPR.18</v>
      </c>
      <c r="B21" s="32" t="str">
        <f aca="false">_xlfn.CONCAT(CALC!B22, ":", CALC!C22)</f>
        <v>Automotive &amp; Repair:Support</v>
      </c>
      <c r="C21" s="34" t="n">
        <f aca="false">CALC!H22</f>
        <v>0.65</v>
      </c>
      <c r="D21" s="34" t="n">
        <f aca="false">CALC!I22</f>
        <v>0.682</v>
      </c>
      <c r="E21" s="34" t="n">
        <f aca="false">CALC!J22</f>
        <v>0.618</v>
      </c>
      <c r="F21" s="34" t="n">
        <f aca="false">CALC!K22</f>
        <v>0.65</v>
      </c>
    </row>
    <row r="22" customFormat="false" ht="12.8" hidden="false" customHeight="false" outlineLevel="0" collapsed="false">
      <c r="A22" s="14" t="str">
        <f aca="false">_xlfn.CONCAT($A$1, ".", CALC!A23)</f>
        <v>LSD.RID.0.AL.ETPR.19</v>
      </c>
      <c r="B22" s="32" t="str">
        <f aca="false">_xlfn.CONCAT(CALC!B23, ":", CALC!C23)</f>
        <v>Healthcare &amp; Social Assistance:Worker</v>
      </c>
      <c r="C22" s="34" t="n">
        <f aca="false">CALC!H23</f>
        <v>0.68</v>
      </c>
      <c r="D22" s="34" t="n">
        <f aca="false">CALC!I23</f>
        <v>0.714</v>
      </c>
      <c r="E22" s="34" t="n">
        <f aca="false">CALC!J23</f>
        <v>0.646</v>
      </c>
      <c r="F22" s="34" t="n">
        <f aca="false">CALC!K23</f>
        <v>0.68</v>
      </c>
    </row>
    <row r="23" customFormat="false" ht="12.8" hidden="false" customHeight="false" outlineLevel="0" collapsed="false">
      <c r="A23" s="14" t="str">
        <f aca="false">_xlfn.CONCAT($A$1, ".", CALC!A24)</f>
        <v>LSD.RID.0.AL.ETPR.20</v>
      </c>
      <c r="B23" s="32" t="str">
        <f aca="false">_xlfn.CONCAT(CALC!B24, ":", CALC!C24)</f>
        <v>Healthcare &amp; Social Assistance:Support</v>
      </c>
      <c r="C23" s="34" t="n">
        <f aca="false">CALC!H24</f>
        <v>0.68</v>
      </c>
      <c r="D23" s="34" t="n">
        <f aca="false">CALC!I24</f>
        <v>0.714</v>
      </c>
      <c r="E23" s="34" t="n">
        <f aca="false">CALC!J24</f>
        <v>0.646</v>
      </c>
      <c r="F23" s="34" t="n">
        <f aca="false">CALC!K24</f>
        <v>0.68</v>
      </c>
    </row>
    <row r="24" customFormat="false" ht="12.8" hidden="false" customHeight="false" outlineLevel="0" collapsed="false">
      <c r="A24" s="14" t="str">
        <f aca="false">_xlfn.CONCAT($A$1, ".", CALC!A25)</f>
        <v>LSD.RID.0.AL.ETPR.21</v>
      </c>
      <c r="B24" s="32" t="str">
        <f aca="false">_xlfn.CONCAT(CALC!B25, ":", CALC!C25)</f>
        <v>Professional Services:Worker</v>
      </c>
      <c r="C24" s="34" t="n">
        <f aca="false">CALC!H25</f>
        <v>0.7</v>
      </c>
      <c r="D24" s="34" t="n">
        <f aca="false">CALC!I25</f>
        <v>0.735</v>
      </c>
      <c r="E24" s="34" t="n">
        <f aca="false">CALC!J25</f>
        <v>0.665</v>
      </c>
      <c r="F24" s="34" t="n">
        <f aca="false">CALC!K25</f>
        <v>0.7</v>
      </c>
    </row>
    <row r="25" customFormat="false" ht="12.8" hidden="false" customHeight="false" outlineLevel="0" collapsed="false">
      <c r="A25" s="14" t="str">
        <f aca="false">_xlfn.CONCAT($A$1, ".", CALC!A26)</f>
        <v>LSD.RID.0.AL.ETPR.22</v>
      </c>
      <c r="B25" s="32" t="str">
        <f aca="false">_xlfn.CONCAT(CALC!B26, ":", CALC!C26)</f>
        <v>Professional Services:Support</v>
      </c>
      <c r="C25" s="34" t="n">
        <f aca="false">CALC!H26</f>
        <v>0.7</v>
      </c>
      <c r="D25" s="34" t="n">
        <f aca="false">CALC!I26</f>
        <v>0.735</v>
      </c>
      <c r="E25" s="34" t="n">
        <f aca="false">CALC!J26</f>
        <v>0.665</v>
      </c>
      <c r="F25" s="34" t="n">
        <f aca="false">CALC!K26</f>
        <v>0.7</v>
      </c>
    </row>
    <row r="26" customFormat="false" ht="12.8" hidden="false" customHeight="false" outlineLevel="0" collapsed="false">
      <c r="A26" s="14" t="str">
        <f aca="false">_xlfn.CONCAT($A$1, ".", CALC!A27)</f>
        <v>LSD.RID.0.AL.ETPR.23</v>
      </c>
      <c r="B26" s="32" t="str">
        <f aca="false">_xlfn.CONCAT(CALC!B27, ":", CALC!C27)</f>
        <v>Educational Services:Worker</v>
      </c>
      <c r="C26" s="34" t="n">
        <f aca="false">CALC!H27</f>
        <v>0.72</v>
      </c>
      <c r="D26" s="34" t="n">
        <f aca="false">CALC!I27</f>
        <v>0.756</v>
      </c>
      <c r="E26" s="34" t="n">
        <f aca="false">CALC!J27</f>
        <v>0.684</v>
      </c>
      <c r="F26" s="34" t="n">
        <f aca="false">CALC!K27</f>
        <v>0.72</v>
      </c>
    </row>
    <row r="27" customFormat="false" ht="12.8" hidden="false" customHeight="false" outlineLevel="0" collapsed="false">
      <c r="A27" s="14" t="str">
        <f aca="false">_xlfn.CONCAT($A$1, ".", CALC!A28)</f>
        <v>LSD.RID.0.AL.ETPR.24</v>
      </c>
      <c r="B27" s="32" t="str">
        <f aca="false">_xlfn.CONCAT(CALC!B28, ":", CALC!C28)</f>
        <v>Educational Services:Support</v>
      </c>
      <c r="C27" s="34" t="n">
        <f aca="false">CALC!H28</f>
        <v>0.72</v>
      </c>
      <c r="D27" s="34" t="n">
        <f aca="false">CALC!I28</f>
        <v>0.756</v>
      </c>
      <c r="E27" s="34" t="n">
        <f aca="false">CALC!J28</f>
        <v>0.684</v>
      </c>
      <c r="F27" s="34" t="n">
        <f aca="false">CALC!K28</f>
        <v>0.72</v>
      </c>
    </row>
    <row r="28" customFormat="false" ht="12.8" hidden="false" customHeight="false" outlineLevel="0" collapsed="false">
      <c r="A28" s="14" t="str">
        <f aca="false">_xlfn.CONCAT($A$1, ".", CALC!A29)</f>
        <v>LSD.RID.0.AL.ETPR.25</v>
      </c>
      <c r="B28" s="32" t="str">
        <f aca="false">_xlfn.CONCAT(CALC!B29, ":", CALC!C29)</f>
        <v>Finance &amp; Insurance:Worker</v>
      </c>
      <c r="C28" s="34" t="n">
        <f aca="false">CALC!H29</f>
        <v>0.75</v>
      </c>
      <c r="D28" s="34" t="n">
        <f aca="false">CALC!I29</f>
        <v>0.788</v>
      </c>
      <c r="E28" s="34" t="n">
        <f aca="false">CALC!J29</f>
        <v>0.713</v>
      </c>
      <c r="F28" s="34" t="n">
        <f aca="false">CALC!K29</f>
        <v>0.75</v>
      </c>
    </row>
    <row r="29" customFormat="false" ht="12.8" hidden="false" customHeight="false" outlineLevel="0" collapsed="false">
      <c r="A29" s="14" t="str">
        <f aca="false">_xlfn.CONCAT($A$1, ".", CALC!A30)</f>
        <v>LSD.RID.0.AL.ETPR.26</v>
      </c>
      <c r="B29" s="32" t="str">
        <f aca="false">_xlfn.CONCAT(CALC!B30, ":", CALC!C30)</f>
        <v>Finance &amp; Insurance:Support</v>
      </c>
      <c r="C29" s="34" t="n">
        <f aca="false">CALC!H30</f>
        <v>0.75</v>
      </c>
      <c r="D29" s="34" t="n">
        <f aca="false">CALC!I30</f>
        <v>0.788</v>
      </c>
      <c r="E29" s="34" t="n">
        <f aca="false">CALC!J30</f>
        <v>0.713</v>
      </c>
      <c r="F29" s="34" t="n">
        <f aca="false">CALC!K30</f>
        <v>0.75</v>
      </c>
    </row>
    <row r="30" customFormat="false" ht="12.8" hidden="false" customHeight="false" outlineLevel="0" collapsed="false">
      <c r="A30" s="14" t="str">
        <f aca="false">_xlfn.CONCAT($A$1, ".", CALC!A31)</f>
        <v>LSD.RID.0.AL.ETPR.27</v>
      </c>
      <c r="B30" s="32" t="str">
        <f aca="false">_xlfn.CONCAT(CALC!B31, ":", CALC!C31)</f>
        <v>Media and Information Technology:Worker</v>
      </c>
      <c r="C30" s="34" t="n">
        <f aca="false">CALC!H31</f>
        <v>0.71</v>
      </c>
      <c r="D30" s="34" t="n">
        <f aca="false">CALC!I31</f>
        <v>0.746</v>
      </c>
      <c r="E30" s="34" t="n">
        <f aca="false">CALC!J31</f>
        <v>0.674</v>
      </c>
      <c r="F30" s="34" t="n">
        <f aca="false">CALC!K31</f>
        <v>0.71</v>
      </c>
    </row>
    <row r="31" customFormat="false" ht="12.8" hidden="false" customHeight="false" outlineLevel="0" collapsed="false">
      <c r="A31" s="14" t="str">
        <f aca="false">_xlfn.CONCAT($A$1, ".", CALC!A32)</f>
        <v>LSD.RID.0.AL.ETPR.28</v>
      </c>
      <c r="B31" s="32" t="str">
        <f aca="false">_xlfn.CONCAT(CALC!B32, ":", CALC!C32)</f>
        <v>Media and Information Technology:Support</v>
      </c>
      <c r="C31" s="34" t="n">
        <f aca="false">CALC!H32</f>
        <v>0.71</v>
      </c>
      <c r="D31" s="34" t="n">
        <f aca="false">CALC!I32</f>
        <v>0.746</v>
      </c>
      <c r="E31" s="34" t="n">
        <f aca="false">CALC!J32</f>
        <v>0.674</v>
      </c>
      <c r="F31" s="34" t="n">
        <f aca="false">CALC!K32</f>
        <v>0.71</v>
      </c>
    </row>
    <row r="32" customFormat="false" ht="12.8" hidden="false" customHeight="false" outlineLevel="0" collapsed="false">
      <c r="A32" s="14" t="str">
        <f aca="false">_xlfn.CONCAT($A$1, ".", CALC!A33)</f>
        <v>LSD.RID.0.AL.ETPR.29</v>
      </c>
      <c r="B32" s="32" t="str">
        <f aca="false">_xlfn.CONCAT(CALC!B33, ":", CALC!C33)</f>
        <v>Government:Worker</v>
      </c>
      <c r="C32" s="34" t="n">
        <f aca="false">CALC!H33</f>
        <v>0.78</v>
      </c>
      <c r="D32" s="34" t="n">
        <f aca="false">CALC!I33</f>
        <v>0.819</v>
      </c>
      <c r="E32" s="34" t="n">
        <f aca="false">CALC!J33</f>
        <v>0.741</v>
      </c>
      <c r="F32" s="34" t="n">
        <f aca="false">CALC!K33</f>
        <v>0.78</v>
      </c>
    </row>
    <row r="33" customFormat="false" ht="12.8" hidden="false" customHeight="false" outlineLevel="0" collapsed="false">
      <c r="A33" s="14" t="e">
        <f aca="false">_xlfn.CONCAT($A$1, ".", #REF!)</f>
        <v>#REF!</v>
      </c>
      <c r="B33" s="32" t="e">
        <f aca="false">_xlfn.CONCAT(#REF!, ":", #REF!)</f>
        <v>#REF!</v>
      </c>
      <c r="C33" s="34" t="e">
        <f aca="false">#REF!</f>
        <v>#REF!</v>
      </c>
      <c r="D33" s="34" t="e">
        <f aca="false">#REF!</f>
        <v>#REF!</v>
      </c>
      <c r="E33" s="34" t="e">
        <f aca="false">#REF!</f>
        <v>#REF!</v>
      </c>
      <c r="F33" s="34" t="e">
        <f aca="false">#REF!</f>
        <v>#REF!</v>
      </c>
    </row>
    <row r="34" customFormat="false" ht="12.8" hidden="false" customHeight="false" outlineLevel="0" collapsed="false">
      <c r="A34" s="14" t="e">
        <f aca="false">_xlfn.CONCAT($A$1, ".", #REF!)</f>
        <v>#REF!</v>
      </c>
      <c r="B34" s="32" t="e">
        <f aca="false">_xlfn.CONCAT(#REF!, ":", #REF!)</f>
        <v>#REF!</v>
      </c>
      <c r="C34" s="34" t="e">
        <f aca="false">#REF!</f>
        <v>#REF!</v>
      </c>
      <c r="D34" s="34" t="e">
        <f aca="false">#REF!</f>
        <v>#REF!</v>
      </c>
      <c r="E34" s="34" t="e">
        <f aca="false">#REF!</f>
        <v>#REF!</v>
      </c>
      <c r="F34" s="34" t="e">
        <f aca="false">#REF!</f>
        <v>#REF!</v>
      </c>
    </row>
    <row r="35" customFormat="false" ht="12.8" hidden="false" customHeight="false" outlineLevel="0" collapsed="false">
      <c r="A35" s="14" t="e">
        <f aca="false">_xlfn.CONCAT($A$1, ".", #REF!)</f>
        <v>#REF!</v>
      </c>
      <c r="B35" s="32" t="e">
        <f aca="false">_xlfn.CONCAT(#REF!, ":", #REF!)</f>
        <v>#REF!</v>
      </c>
      <c r="C35" s="34" t="e">
        <f aca="false">#REF!</f>
        <v>#REF!</v>
      </c>
      <c r="D35" s="34" t="e">
        <f aca="false">#REF!</f>
        <v>#REF!</v>
      </c>
      <c r="E35" s="34" t="e">
        <f aca="false">#REF!</f>
        <v>#REF!</v>
      </c>
      <c r="F35" s="34" t="e">
        <f aca="false">#REF!</f>
        <v>#REF!</v>
      </c>
    </row>
    <row r="36" customFormat="false" ht="12.8" hidden="false" customHeight="false" outlineLevel="0" collapsed="false">
      <c r="A36" s="14" t="e">
        <f aca="false">_xlfn.CONCAT($A$1, ".", #REF!)</f>
        <v>#REF!</v>
      </c>
      <c r="B36" s="32" t="e">
        <f aca="false">_xlfn.CONCAT(#REF!, ":", #REF!)</f>
        <v>#REF!</v>
      </c>
      <c r="C36" s="34" t="e">
        <f aca="false">#REF!</f>
        <v>#REF!</v>
      </c>
      <c r="D36" s="34" t="e">
        <f aca="false">#REF!</f>
        <v>#REF!</v>
      </c>
      <c r="E36" s="34" t="e">
        <f aca="false">#REF!</f>
        <v>#REF!</v>
      </c>
      <c r="F36" s="34" t="e">
        <f aca="false">#REF!</f>
        <v>#REF!</v>
      </c>
    </row>
    <row r="37" customFormat="false" ht="12.8" hidden="false" customHeight="false" outlineLevel="0" collapsed="false">
      <c r="A37" s="14" t="e">
        <f aca="false">_xlfn.CONCAT($A$1, ".", #REF!)</f>
        <v>#REF!</v>
      </c>
      <c r="B37" s="32" t="e">
        <f aca="false">_xlfn.CONCAT(#REF!, ":", #REF!)</f>
        <v>#REF!</v>
      </c>
      <c r="C37" s="34" t="e">
        <f aca="false">#REF!</f>
        <v>#REF!</v>
      </c>
      <c r="D37" s="34" t="e">
        <f aca="false">#REF!</f>
        <v>#REF!</v>
      </c>
      <c r="E37" s="34" t="e">
        <f aca="false">#REF!</f>
        <v>#REF!</v>
      </c>
      <c r="F37" s="34"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0938A"/>
    <pageSetUpPr fitToPage="false"/>
  </sheetPr>
  <dimension ref="A1:BC37"/>
  <sheetViews>
    <sheetView showFormulas="false" showGridLines="true" showRowColHeaders="true" showZeros="true" rightToLeft="false" tabSelected="false" showOutlineSymbols="true" defaultGridColor="true" view="normal" topLeftCell="A27" colorId="64" zoomScale="90" zoomScaleNormal="9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41.51"/>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12.8" hidden="false" customHeight="false" outlineLevel="0" collapsed="false">
      <c r="A1" s="11" t="s">
        <v>8435</v>
      </c>
      <c r="B1" s="12" t="s">
        <v>8436</v>
      </c>
      <c r="C1" s="13" t="s">
        <v>2</v>
      </c>
      <c r="D1" s="12" t="s">
        <v>8437</v>
      </c>
      <c r="E1" s="30" t="s">
        <v>8438</v>
      </c>
      <c r="AZ1" s="10"/>
      <c r="BA1" s="10"/>
      <c r="BB1" s="10"/>
      <c r="BC1" s="10"/>
    </row>
    <row r="2" customFormat="false" ht="46.25" hidden="false" customHeight="false" outlineLevel="0" collapsed="false">
      <c r="A2" s="22" t="s">
        <v>8431</v>
      </c>
      <c r="B2" s="20" t="s">
        <v>8432</v>
      </c>
      <c r="C2" s="27" t="str">
        <f aca="false">CALC!L3</f>
        <v>Labor Force Participation Rate (LFPR)</v>
      </c>
      <c r="D2" s="27" t="str">
        <f aca="false">CALC!M3</f>
        <v>Authorized Immigrant Labor Force Participation Rate (LFPR)</v>
      </c>
      <c r="E2" s="27" t="str">
        <f aca="false">CALC!N3</f>
        <v>Unauthorized Immigrant Labor Force Participation Rate (LFPR)</v>
      </c>
      <c r="F2" s="27" t="str">
        <f aca="false">CALC!O3</f>
        <v>American Labor Force Participation Rate (LFPR)</v>
      </c>
    </row>
    <row r="3" customFormat="false" ht="12.8" hidden="false" customHeight="false" outlineLevel="0" collapsed="false">
      <c r="A3" s="11" t="str">
        <f aca="false">_xlfn.CONCAT($A$1, ".", CALC!A4)</f>
        <v>LSD.RID.0.AL.LFPR.0</v>
      </c>
      <c r="B3" s="31" t="str">
        <f aca="false">_xlfn.CONCAT(CALC!B4, ":", CALC!C4)</f>
        <v>All Industries:All Roles</v>
      </c>
      <c r="C3" s="27" t="n">
        <f aca="false">CALC!L4</f>
        <v>0.7</v>
      </c>
      <c r="D3" s="27" t="n">
        <f aca="false">CALC!M4</f>
        <v>0.735</v>
      </c>
      <c r="E3" s="27" t="n">
        <f aca="false">CALC!N4</f>
        <v>0.71</v>
      </c>
      <c r="F3" s="27" t="n">
        <f aca="false">CALC!O4</f>
        <v>0.698</v>
      </c>
    </row>
    <row r="4" customFormat="false" ht="12.8" hidden="false" customHeight="false" outlineLevel="0" collapsed="false">
      <c r="A4" s="14" t="str">
        <f aca="false">_xlfn.CONCAT($A$1, ".", CALC!A5)</f>
        <v>LSD.RID.0.AL.LFPR.1</v>
      </c>
      <c r="B4" s="32" t="str">
        <f aca="false">_xlfn.CONCAT(CALC!B5, ":", CALC!C5)</f>
        <v>Agriculture:Worker</v>
      </c>
      <c r="C4" s="34" t="n">
        <f aca="false">CALC!L5</f>
        <v>0.58</v>
      </c>
      <c r="D4" s="34" t="n">
        <f aca="false">CALC!M5</f>
        <v>0.65</v>
      </c>
      <c r="E4" s="34" t="n">
        <f aca="false">CALC!N5</f>
        <v>0.55</v>
      </c>
      <c r="F4" s="34" t="n">
        <f aca="false">CALC!O5</f>
        <v>0.58</v>
      </c>
    </row>
    <row r="5" customFormat="false" ht="12.8" hidden="false" customHeight="false" outlineLevel="0" collapsed="false">
      <c r="A5" s="14" t="str">
        <f aca="false">_xlfn.CONCAT($A$1, ".", CALC!A6)</f>
        <v>LSD.RID.0.AL.LFPR.2</v>
      </c>
      <c r="B5" s="32" t="str">
        <f aca="false">_xlfn.CONCAT(CALC!B6, ":", CALC!C6)</f>
        <v>Agriculture:Support</v>
      </c>
      <c r="C5" s="34" t="n">
        <f aca="false">CALC!L6</f>
        <v>0.58</v>
      </c>
      <c r="D5" s="34" t="n">
        <f aca="false">CALC!M6</f>
        <v>0.65</v>
      </c>
      <c r="E5" s="34" t="n">
        <f aca="false">CALC!N6</f>
        <v>0.55</v>
      </c>
      <c r="F5" s="34" t="n">
        <f aca="false">CALC!O6</f>
        <v>0.58</v>
      </c>
    </row>
    <row r="6" customFormat="false" ht="12.8" hidden="false" customHeight="false" outlineLevel="0" collapsed="false">
      <c r="A6" s="14" t="str">
        <f aca="false">_xlfn.CONCAT($A$1, ".", CALC!A7)</f>
        <v>LSD.RID.0.AL.LFPR.3</v>
      </c>
      <c r="B6" s="32" t="str">
        <f aca="false">_xlfn.CONCAT(CALC!B7, ":", CALC!C7)</f>
        <v>Construction:Worker</v>
      </c>
      <c r="C6" s="34" t="n">
        <f aca="false">CALC!L7</f>
        <v>0.65</v>
      </c>
      <c r="D6" s="34" t="n">
        <f aca="false">CALC!M7</f>
        <v>0.72</v>
      </c>
      <c r="E6" s="34" t="n">
        <f aca="false">CALC!N7</f>
        <v>0.62</v>
      </c>
      <c r="F6" s="34" t="n">
        <f aca="false">CALC!O7</f>
        <v>0.65</v>
      </c>
    </row>
    <row r="7" customFormat="false" ht="12.8" hidden="false" customHeight="false" outlineLevel="0" collapsed="false">
      <c r="A7" s="14" t="str">
        <f aca="false">_xlfn.CONCAT($A$1, ".", CALC!A8)</f>
        <v>LSD.RID.0.AL.LFPR.4</v>
      </c>
      <c r="B7" s="32" t="str">
        <f aca="false">_xlfn.CONCAT(CALC!B8, ":", CALC!C8)</f>
        <v>Construction:Support</v>
      </c>
      <c r="C7" s="34" t="n">
        <f aca="false">CALC!L8</f>
        <v>0.65</v>
      </c>
      <c r="D7" s="34" t="n">
        <f aca="false">CALC!M8</f>
        <v>0.72</v>
      </c>
      <c r="E7" s="34" t="n">
        <f aca="false">CALC!N8</f>
        <v>0.62</v>
      </c>
      <c r="F7" s="34" t="n">
        <f aca="false">CALC!O8</f>
        <v>0.65</v>
      </c>
    </row>
    <row r="8" customFormat="false" ht="12.8" hidden="false" customHeight="false" outlineLevel="0" collapsed="false">
      <c r="A8" s="14" t="str">
        <f aca="false">_xlfn.CONCAT($A$1, ".", CALC!A9)</f>
        <v>LSD.RID.0.AL.LFPR.5</v>
      </c>
      <c r="B8" s="32" t="str">
        <f aca="false">_xlfn.CONCAT(CALC!B9, ":", CALC!C9)</f>
        <v>Hospitality:Worker</v>
      </c>
      <c r="C8" s="34" t="n">
        <f aca="false">CALC!L9</f>
        <v>0.7</v>
      </c>
      <c r="D8" s="34" t="n">
        <f aca="false">CALC!M9</f>
        <v>0.735</v>
      </c>
      <c r="E8" s="34" t="n">
        <f aca="false">CALC!N9</f>
        <v>0.71</v>
      </c>
      <c r="F8" s="34" t="n">
        <f aca="false">CALC!O9</f>
        <v>0.698</v>
      </c>
    </row>
    <row r="9" customFormat="false" ht="12.8" hidden="false" customHeight="false" outlineLevel="0" collapsed="false">
      <c r="A9" s="14" t="str">
        <f aca="false">_xlfn.CONCAT($A$1, ".", CALC!A10)</f>
        <v>LSD.RID.0.AL.LFPR.6</v>
      </c>
      <c r="B9" s="32" t="str">
        <f aca="false">_xlfn.CONCAT(CALC!B10, ":", CALC!C10)</f>
        <v>Hospitality:Support</v>
      </c>
      <c r="C9" s="34" t="n">
        <f aca="false">CALC!L10</f>
        <v>0.7</v>
      </c>
      <c r="D9" s="34" t="n">
        <f aca="false">CALC!M10</f>
        <v>0.735</v>
      </c>
      <c r="E9" s="34" t="n">
        <f aca="false">CALC!N10</f>
        <v>0.71</v>
      </c>
      <c r="F9" s="34" t="n">
        <f aca="false">CALC!O10</f>
        <v>0.698</v>
      </c>
    </row>
    <row r="10" customFormat="false" ht="12.8" hidden="false" customHeight="false" outlineLevel="0" collapsed="false">
      <c r="A10" s="14" t="str">
        <f aca="false">_xlfn.CONCAT($A$1, ".", CALC!A11)</f>
        <v>LSD.RID.0.AL.LFPR.7</v>
      </c>
      <c r="B10" s="32" t="str">
        <f aca="false">_xlfn.CONCAT(CALC!B11, ":", CALC!C11)</f>
        <v>Cleaning &amp; Maintenance:Worker</v>
      </c>
      <c r="C10" s="34" t="n">
        <f aca="false">CALC!L11</f>
        <v>0.63</v>
      </c>
      <c r="D10" s="34" t="n">
        <f aca="false">CALC!M11</f>
        <v>0.68</v>
      </c>
      <c r="E10" s="34" t="n">
        <f aca="false">CALC!N11</f>
        <v>0.63</v>
      </c>
      <c r="F10" s="34" t="n">
        <f aca="false">CALC!O11</f>
        <v>0.628</v>
      </c>
    </row>
    <row r="11" customFormat="false" ht="12.8" hidden="false" customHeight="false" outlineLevel="0" collapsed="false">
      <c r="A11" s="14" t="str">
        <f aca="false">_xlfn.CONCAT($A$1, ".", CALC!A12)</f>
        <v>LSD.RID.0.AL.LFPR.8</v>
      </c>
      <c r="B11" s="32" t="str">
        <f aca="false">_xlfn.CONCAT(CALC!B12, ":", CALC!C12)</f>
        <v>Cleaning &amp; Maintenance:Support</v>
      </c>
      <c r="C11" s="34" t="n">
        <f aca="false">CALC!L12</f>
        <v>0.63</v>
      </c>
      <c r="D11" s="34" t="n">
        <f aca="false">CALC!M12</f>
        <v>0.68</v>
      </c>
      <c r="E11" s="34" t="n">
        <f aca="false">CALC!N12</f>
        <v>0.63</v>
      </c>
      <c r="F11" s="34" t="n">
        <f aca="false">CALC!O12</f>
        <v>0.628</v>
      </c>
    </row>
    <row r="12" customFormat="false" ht="12.8" hidden="false" customHeight="false" outlineLevel="0" collapsed="false">
      <c r="A12" s="14" t="str">
        <f aca="false">_xlfn.CONCAT($A$1, ".", CALC!A13)</f>
        <v>LSD.RID.0.AL.LFPR.9</v>
      </c>
      <c r="B12" s="32" t="str">
        <f aca="false">_xlfn.CONCAT(CALC!B13, ":", CALC!C13)</f>
        <v>Manufacturing:Worker</v>
      </c>
      <c r="C12" s="34" t="n">
        <f aca="false">CALC!L13</f>
        <v>0.71</v>
      </c>
      <c r="D12" s="34" t="n">
        <f aca="false">CALC!M13</f>
        <v>0.75</v>
      </c>
      <c r="E12" s="34" t="n">
        <f aca="false">CALC!N13</f>
        <v>0.71</v>
      </c>
      <c r="F12" s="34" t="n">
        <f aca="false">CALC!O13</f>
        <v>0.708</v>
      </c>
    </row>
    <row r="13" customFormat="false" ht="12.8" hidden="false" customHeight="false" outlineLevel="0" collapsed="false">
      <c r="A13" s="14" t="str">
        <f aca="false">_xlfn.CONCAT($A$1, ".", CALC!A14)</f>
        <v>LSD.RID.0.AL.LFPR.10</v>
      </c>
      <c r="B13" s="32" t="str">
        <f aca="false">_xlfn.CONCAT(CALC!B14, ":", CALC!C14)</f>
        <v>Manufacturing:Support</v>
      </c>
      <c r="C13" s="34" t="n">
        <f aca="false">CALC!L14</f>
        <v>0.71</v>
      </c>
      <c r="D13" s="34" t="n">
        <f aca="false">CALC!M14</f>
        <v>0.75</v>
      </c>
      <c r="E13" s="34" t="n">
        <f aca="false">CALC!N14</f>
        <v>0.71</v>
      </c>
      <c r="F13" s="34" t="n">
        <f aca="false">CALC!O14</f>
        <v>0.708</v>
      </c>
    </row>
    <row r="14" customFormat="false" ht="12.8" hidden="false" customHeight="false" outlineLevel="0" collapsed="false">
      <c r="A14" s="14" t="str">
        <f aca="false">_xlfn.CONCAT($A$1, ".", CALC!A15)</f>
        <v>LSD.RID.0.AL.LFPR.11</v>
      </c>
      <c r="B14" s="32" t="str">
        <f aca="false">_xlfn.CONCAT(CALC!B15, ":", CALC!C15)</f>
        <v>Transportation &amp; Warehousing:Worker</v>
      </c>
      <c r="C14" s="34" t="n">
        <f aca="false">CALC!L15</f>
        <v>0.68</v>
      </c>
      <c r="D14" s="34" t="n">
        <f aca="false">CALC!M15</f>
        <v>0.72</v>
      </c>
      <c r="E14" s="34" t="n">
        <f aca="false">CALC!N15</f>
        <v>0.68</v>
      </c>
      <c r="F14" s="34" t="n">
        <f aca="false">CALC!O15</f>
        <v>0.678</v>
      </c>
    </row>
    <row r="15" customFormat="false" ht="12.8" hidden="false" customHeight="false" outlineLevel="0" collapsed="false">
      <c r="A15" s="14" t="str">
        <f aca="false">_xlfn.CONCAT($A$1, ".", CALC!A16)</f>
        <v>LSD.RID.0.AL.LFPR.12</v>
      </c>
      <c r="B15" s="32" t="str">
        <f aca="false">_xlfn.CONCAT(CALC!B16, ":", CALC!C16)</f>
        <v>Transportation &amp; Warehousing:Support</v>
      </c>
      <c r="C15" s="34" t="n">
        <f aca="false">CALC!L16</f>
        <v>0.68</v>
      </c>
      <c r="D15" s="34" t="n">
        <f aca="false">CALC!M16</f>
        <v>0.72</v>
      </c>
      <c r="E15" s="34" t="n">
        <f aca="false">CALC!N16</f>
        <v>0.68</v>
      </c>
      <c r="F15" s="34" t="n">
        <f aca="false">CALC!O16</f>
        <v>0.678</v>
      </c>
    </row>
    <row r="16" customFormat="false" ht="12.8" hidden="false" customHeight="false" outlineLevel="0" collapsed="false">
      <c r="A16" s="14" t="str">
        <f aca="false">_xlfn.CONCAT($A$1, ".", CALC!A17)</f>
        <v>LSD.RID.0.AL.LFPR.13</v>
      </c>
      <c r="B16" s="32" t="str">
        <f aca="false">_xlfn.CONCAT(CALC!B17, ":", CALC!C17)</f>
        <v>Retail Trade:Worker</v>
      </c>
      <c r="C16" s="34" t="n">
        <f aca="false">CALC!L17</f>
        <v>0.7</v>
      </c>
      <c r="D16" s="34" t="n">
        <f aca="false">CALC!M17</f>
        <v>0.735</v>
      </c>
      <c r="E16" s="34" t="n">
        <f aca="false">CALC!N17</f>
        <v>0.71</v>
      </c>
      <c r="F16" s="34" t="n">
        <f aca="false">CALC!O17</f>
        <v>0.698</v>
      </c>
    </row>
    <row r="17" customFormat="false" ht="12.8" hidden="false" customHeight="false" outlineLevel="0" collapsed="false">
      <c r="A17" s="14" t="str">
        <f aca="false">_xlfn.CONCAT($A$1, ".", CALC!A18)</f>
        <v>LSD.RID.0.AL.LFPR.14</v>
      </c>
      <c r="B17" s="32" t="str">
        <f aca="false">_xlfn.CONCAT(CALC!B18, ":", CALC!C18)</f>
        <v>Retail Trade:Support</v>
      </c>
      <c r="C17" s="34" t="n">
        <f aca="false">CALC!L18</f>
        <v>0.7</v>
      </c>
      <c r="D17" s="34" t="n">
        <f aca="false">CALC!M18</f>
        <v>0.735</v>
      </c>
      <c r="E17" s="34" t="n">
        <f aca="false">CALC!N18</f>
        <v>0.71</v>
      </c>
      <c r="F17" s="34" t="n">
        <f aca="false">CALC!O18</f>
        <v>0.698</v>
      </c>
    </row>
    <row r="18" customFormat="false" ht="12.8" hidden="false" customHeight="false" outlineLevel="0" collapsed="false">
      <c r="A18" s="14" t="str">
        <f aca="false">_xlfn.CONCAT($A$1, ".", CALC!A19)</f>
        <v>LSD.RID.0.AL.LFPR.15</v>
      </c>
      <c r="B18" s="32" t="str">
        <f aca="false">_xlfn.CONCAT(CALC!B19, ":", CALC!C19)</f>
        <v>Landscaping / Groundskeeping:Worker</v>
      </c>
      <c r="C18" s="34" t="n">
        <f aca="false">CALC!L19</f>
        <v>0.61</v>
      </c>
      <c r="D18" s="34" t="n">
        <f aca="false">CALC!M19</f>
        <v>0.66</v>
      </c>
      <c r="E18" s="34" t="n">
        <f aca="false">CALC!N19</f>
        <v>0.61</v>
      </c>
      <c r="F18" s="34" t="n">
        <f aca="false">CALC!O19</f>
        <v>0.608</v>
      </c>
    </row>
    <row r="19" customFormat="false" ht="12.8" hidden="false" customHeight="false" outlineLevel="0" collapsed="false">
      <c r="A19" s="14" t="str">
        <f aca="false">_xlfn.CONCAT($A$1, ".", CALC!A20)</f>
        <v>LSD.RID.0.AL.LFPR.16</v>
      </c>
      <c r="B19" s="32" t="str">
        <f aca="false">_xlfn.CONCAT(CALC!B20, ":", CALC!C20)</f>
        <v>Landscaping / Groundskeeping:Support</v>
      </c>
      <c r="C19" s="34" t="n">
        <f aca="false">CALC!L20</f>
        <v>0.61</v>
      </c>
      <c r="D19" s="34" t="n">
        <f aca="false">CALC!M20</f>
        <v>0.66</v>
      </c>
      <c r="E19" s="34" t="n">
        <f aca="false">CALC!N20</f>
        <v>0.61</v>
      </c>
      <c r="F19" s="34" t="n">
        <f aca="false">CALC!O20</f>
        <v>0.608</v>
      </c>
    </row>
    <row r="20" customFormat="false" ht="12.8" hidden="false" customHeight="false" outlineLevel="0" collapsed="false">
      <c r="A20" s="14" t="str">
        <f aca="false">_xlfn.CONCAT($A$1, ".", CALC!A21)</f>
        <v>LSD.RID.0.AL.LFPR.17</v>
      </c>
      <c r="B20" s="32" t="str">
        <f aca="false">_xlfn.CONCAT(CALC!B21, ":", CALC!C21)</f>
        <v>Automotive &amp; Repair:Worker</v>
      </c>
      <c r="C20" s="34" t="n">
        <f aca="false">CALC!L21</f>
        <v>0.68</v>
      </c>
      <c r="D20" s="34" t="n">
        <f aca="false">CALC!M21</f>
        <v>0.72</v>
      </c>
      <c r="E20" s="34" t="n">
        <f aca="false">CALC!N21</f>
        <v>0.68</v>
      </c>
      <c r="F20" s="34" t="n">
        <f aca="false">CALC!O21</f>
        <v>0.678</v>
      </c>
    </row>
    <row r="21" customFormat="false" ht="12.8" hidden="false" customHeight="false" outlineLevel="0" collapsed="false">
      <c r="A21" s="14" t="str">
        <f aca="false">_xlfn.CONCAT($A$1, ".", CALC!A22)</f>
        <v>LSD.RID.0.AL.LFPR.18</v>
      </c>
      <c r="B21" s="32" t="str">
        <f aca="false">_xlfn.CONCAT(CALC!B22, ":", CALC!C22)</f>
        <v>Automotive &amp; Repair:Support</v>
      </c>
      <c r="C21" s="34" t="n">
        <f aca="false">CALC!L22</f>
        <v>0.68</v>
      </c>
      <c r="D21" s="34" t="n">
        <f aca="false">CALC!M22</f>
        <v>0.72</v>
      </c>
      <c r="E21" s="34" t="n">
        <f aca="false">CALC!N22</f>
        <v>0.68</v>
      </c>
      <c r="F21" s="34" t="n">
        <f aca="false">CALC!O22</f>
        <v>0.678</v>
      </c>
    </row>
    <row r="22" customFormat="false" ht="12.8" hidden="false" customHeight="false" outlineLevel="0" collapsed="false">
      <c r="A22" s="14" t="str">
        <f aca="false">_xlfn.CONCAT($A$1, ".", CALC!A23)</f>
        <v>LSD.RID.0.AL.LFPR.19</v>
      </c>
      <c r="B22" s="32" t="str">
        <f aca="false">_xlfn.CONCAT(CALC!B23, ":", CALC!C23)</f>
        <v>Healthcare &amp; Social Assistance:Worker</v>
      </c>
      <c r="C22" s="34" t="n">
        <f aca="false">CALC!L23</f>
        <v>0.71</v>
      </c>
      <c r="D22" s="34" t="n">
        <f aca="false">CALC!M23</f>
        <v>0.75</v>
      </c>
      <c r="E22" s="34" t="n">
        <f aca="false">CALC!N23</f>
        <v>0.71</v>
      </c>
      <c r="F22" s="34" t="n">
        <f aca="false">CALC!O23</f>
        <v>0.708</v>
      </c>
    </row>
    <row r="23" customFormat="false" ht="12.8" hidden="false" customHeight="false" outlineLevel="0" collapsed="false">
      <c r="A23" s="14" t="str">
        <f aca="false">_xlfn.CONCAT($A$1, ".", CALC!A24)</f>
        <v>LSD.RID.0.AL.LFPR.20</v>
      </c>
      <c r="B23" s="32" t="str">
        <f aca="false">_xlfn.CONCAT(CALC!B24, ":", CALC!C24)</f>
        <v>Healthcare &amp; Social Assistance:Support</v>
      </c>
      <c r="C23" s="34" t="n">
        <f aca="false">CALC!L24</f>
        <v>0.71</v>
      </c>
      <c r="D23" s="34" t="n">
        <f aca="false">CALC!M24</f>
        <v>0.75</v>
      </c>
      <c r="E23" s="34" t="n">
        <f aca="false">CALC!N24</f>
        <v>0.71</v>
      </c>
      <c r="F23" s="34" t="n">
        <f aca="false">CALC!O24</f>
        <v>0.708</v>
      </c>
    </row>
    <row r="24" customFormat="false" ht="12.8" hidden="false" customHeight="false" outlineLevel="0" collapsed="false">
      <c r="A24" s="14" t="str">
        <f aca="false">_xlfn.CONCAT($A$1, ".", CALC!A25)</f>
        <v>LSD.RID.0.AL.LFPR.21</v>
      </c>
      <c r="B24" s="32" t="str">
        <f aca="false">_xlfn.CONCAT(CALC!B25, ":", CALC!C25)</f>
        <v>Professional Services:Worker</v>
      </c>
      <c r="C24" s="34" t="n">
        <f aca="false">CALC!L25</f>
        <v>0.73</v>
      </c>
      <c r="D24" s="34" t="n">
        <f aca="false">CALC!M25</f>
        <v>0.77</v>
      </c>
      <c r="E24" s="34" t="n">
        <f aca="false">CALC!N25</f>
        <v>0.73</v>
      </c>
      <c r="F24" s="34" t="n">
        <f aca="false">CALC!O25</f>
        <v>0.728</v>
      </c>
    </row>
    <row r="25" customFormat="false" ht="12.8" hidden="false" customHeight="false" outlineLevel="0" collapsed="false">
      <c r="A25" s="14" t="str">
        <f aca="false">_xlfn.CONCAT($A$1, ".", CALC!A26)</f>
        <v>LSD.RID.0.AL.LFPR.22</v>
      </c>
      <c r="B25" s="32" t="str">
        <f aca="false">_xlfn.CONCAT(CALC!B26, ":", CALC!C26)</f>
        <v>Professional Services:Support</v>
      </c>
      <c r="C25" s="34" t="n">
        <f aca="false">CALC!L26</f>
        <v>0.73</v>
      </c>
      <c r="D25" s="34" t="n">
        <f aca="false">CALC!M26</f>
        <v>0.77</v>
      </c>
      <c r="E25" s="34" t="n">
        <f aca="false">CALC!N26</f>
        <v>0.73</v>
      </c>
      <c r="F25" s="34" t="n">
        <f aca="false">CALC!O26</f>
        <v>0.728</v>
      </c>
    </row>
    <row r="26" customFormat="false" ht="12.8" hidden="false" customHeight="false" outlineLevel="0" collapsed="false">
      <c r="A26" s="14" t="str">
        <f aca="false">_xlfn.CONCAT($A$1, ".", CALC!A27)</f>
        <v>LSD.RID.0.AL.LFPR.23</v>
      </c>
      <c r="B26" s="32" t="str">
        <f aca="false">_xlfn.CONCAT(CALC!B27, ":", CALC!C27)</f>
        <v>Educational Services:Worker</v>
      </c>
      <c r="C26" s="34" t="n">
        <f aca="false">CALC!L27</f>
        <v>0.75</v>
      </c>
      <c r="D26" s="34" t="n">
        <f aca="false">CALC!M27</f>
        <v>0.79</v>
      </c>
      <c r="E26" s="34" t="n">
        <f aca="false">CALC!N27</f>
        <v>0.75</v>
      </c>
      <c r="F26" s="34" t="n">
        <f aca="false">CALC!O27</f>
        <v>0.748</v>
      </c>
    </row>
    <row r="27" customFormat="false" ht="12.8" hidden="false" customHeight="false" outlineLevel="0" collapsed="false">
      <c r="A27" s="14" t="str">
        <f aca="false">_xlfn.CONCAT($A$1, ".", CALC!A28)</f>
        <v>LSD.RID.0.AL.LFPR.24</v>
      </c>
      <c r="B27" s="32" t="str">
        <f aca="false">_xlfn.CONCAT(CALC!B28, ":", CALC!C28)</f>
        <v>Educational Services:Support</v>
      </c>
      <c r="C27" s="34" t="n">
        <f aca="false">CALC!L28</f>
        <v>0.75</v>
      </c>
      <c r="D27" s="34" t="n">
        <f aca="false">CALC!M28</f>
        <v>0.79</v>
      </c>
      <c r="E27" s="34" t="n">
        <f aca="false">CALC!N28</f>
        <v>0.75</v>
      </c>
      <c r="F27" s="34" t="n">
        <f aca="false">CALC!O28</f>
        <v>0.748</v>
      </c>
    </row>
    <row r="28" customFormat="false" ht="12.8" hidden="false" customHeight="false" outlineLevel="0" collapsed="false">
      <c r="A28" s="14" t="str">
        <f aca="false">_xlfn.CONCAT($A$1, ".", CALC!A29)</f>
        <v>LSD.RID.0.AL.LFPR.25</v>
      </c>
      <c r="B28" s="32" t="str">
        <f aca="false">_xlfn.CONCAT(CALC!B29, ":", CALC!C29)</f>
        <v>Finance &amp; Insurance:Worker</v>
      </c>
      <c r="C28" s="34" t="n">
        <f aca="false">CALC!L29</f>
        <v>0.78</v>
      </c>
      <c r="D28" s="34" t="n">
        <f aca="false">CALC!M29</f>
        <v>0.82</v>
      </c>
      <c r="E28" s="34" t="n">
        <f aca="false">CALC!N29</f>
        <v>0.78</v>
      </c>
      <c r="F28" s="34" t="n">
        <f aca="false">CALC!O29</f>
        <v>0.778</v>
      </c>
    </row>
    <row r="29" customFormat="false" ht="12.8" hidden="false" customHeight="false" outlineLevel="0" collapsed="false">
      <c r="A29" s="14" t="str">
        <f aca="false">_xlfn.CONCAT($A$1, ".", CALC!A30)</f>
        <v>LSD.RID.0.AL.LFPR.26</v>
      </c>
      <c r="B29" s="32" t="str">
        <f aca="false">_xlfn.CONCAT(CALC!B30, ":", CALC!C30)</f>
        <v>Finance &amp; Insurance:Support</v>
      </c>
      <c r="C29" s="34" t="n">
        <f aca="false">CALC!L30</f>
        <v>0.78</v>
      </c>
      <c r="D29" s="34" t="n">
        <f aca="false">CALC!M30</f>
        <v>0.82</v>
      </c>
      <c r="E29" s="34" t="n">
        <f aca="false">CALC!N30</f>
        <v>0.78</v>
      </c>
      <c r="F29" s="34" t="n">
        <f aca="false">CALC!O30</f>
        <v>0.778</v>
      </c>
    </row>
    <row r="30" customFormat="false" ht="12.8" hidden="false" customHeight="false" outlineLevel="0" collapsed="false">
      <c r="A30" s="14" t="str">
        <f aca="false">_xlfn.CONCAT($A$1, ".", CALC!A31)</f>
        <v>LSD.RID.0.AL.LFPR.27</v>
      </c>
      <c r="B30" s="32" t="str">
        <f aca="false">_xlfn.CONCAT(CALC!B31, ":", CALC!C31)</f>
        <v>Media and Information Technology:Worker</v>
      </c>
      <c r="C30" s="34" t="n">
        <f aca="false">CALC!L31</f>
        <v>0.74</v>
      </c>
      <c r="D30" s="34" t="n">
        <f aca="false">CALC!M31</f>
        <v>0.78</v>
      </c>
      <c r="E30" s="34" t="n">
        <f aca="false">CALC!N31</f>
        <v>0.74</v>
      </c>
      <c r="F30" s="34" t="n">
        <f aca="false">CALC!O31</f>
        <v>0.738</v>
      </c>
    </row>
    <row r="31" customFormat="false" ht="12.8" hidden="false" customHeight="false" outlineLevel="0" collapsed="false">
      <c r="A31" s="14" t="str">
        <f aca="false">_xlfn.CONCAT($A$1, ".", CALC!A32)</f>
        <v>LSD.RID.0.AL.LFPR.28</v>
      </c>
      <c r="B31" s="32" t="str">
        <f aca="false">_xlfn.CONCAT(CALC!B32, ":", CALC!C32)</f>
        <v>Media and Information Technology:Support</v>
      </c>
      <c r="C31" s="34" t="n">
        <f aca="false">CALC!L32</f>
        <v>0.74</v>
      </c>
      <c r="D31" s="34" t="n">
        <f aca="false">CALC!M32</f>
        <v>0.78</v>
      </c>
      <c r="E31" s="34" t="n">
        <f aca="false">CALC!N32</f>
        <v>0.74</v>
      </c>
      <c r="F31" s="34" t="n">
        <f aca="false">CALC!O32</f>
        <v>0.738</v>
      </c>
    </row>
    <row r="32" customFormat="false" ht="12.8" hidden="false" customHeight="false" outlineLevel="0" collapsed="false">
      <c r="A32" s="14" t="str">
        <f aca="false">_xlfn.CONCAT($A$1, ".", CALC!A33)</f>
        <v>LSD.RID.0.AL.LFPR.29</v>
      </c>
      <c r="B32" s="32" t="str">
        <f aca="false">_xlfn.CONCAT(CALC!B33, ":", CALC!C33)</f>
        <v>Government:Worker</v>
      </c>
      <c r="C32" s="34" t="n">
        <f aca="false">CALC!L33</f>
        <v>0.81</v>
      </c>
      <c r="D32" s="34" t="n">
        <f aca="false">CALC!M33</f>
        <v>0.85</v>
      </c>
      <c r="E32" s="34" t="n">
        <f aca="false">CALC!N33</f>
        <v>0.81</v>
      </c>
      <c r="F32" s="34" t="n">
        <f aca="false">CALC!O33</f>
        <v>0.808</v>
      </c>
    </row>
    <row r="33" customFormat="false" ht="12.8" hidden="false" customHeight="false" outlineLevel="0" collapsed="false">
      <c r="A33" s="14" t="e">
        <f aca="false">_xlfn.CONCAT($A$1, ".", #REF!)</f>
        <v>#REF!</v>
      </c>
      <c r="B33" s="32" t="e">
        <f aca="false">_xlfn.CONCAT(#REF!, ":", #REF!)</f>
        <v>#REF!</v>
      </c>
      <c r="C33" s="34" t="e">
        <f aca="false">#REF!</f>
        <v>#REF!</v>
      </c>
      <c r="D33" s="34" t="e">
        <f aca="false">#REF!</f>
        <v>#REF!</v>
      </c>
      <c r="E33" s="34" t="e">
        <f aca="false">#REF!</f>
        <v>#REF!</v>
      </c>
      <c r="F33" s="34" t="e">
        <f aca="false">#REF!</f>
        <v>#REF!</v>
      </c>
    </row>
    <row r="34" customFormat="false" ht="12.8" hidden="false" customHeight="false" outlineLevel="0" collapsed="false">
      <c r="A34" s="14" t="e">
        <f aca="false">_xlfn.CONCAT($A$1, ".", #REF!)</f>
        <v>#REF!</v>
      </c>
      <c r="B34" s="32" t="e">
        <f aca="false">_xlfn.CONCAT(#REF!, ":", #REF!)</f>
        <v>#REF!</v>
      </c>
      <c r="C34" s="34" t="e">
        <f aca="false">#REF!</f>
        <v>#REF!</v>
      </c>
      <c r="D34" s="34" t="e">
        <f aca="false">#REF!</f>
        <v>#REF!</v>
      </c>
      <c r="E34" s="34" t="e">
        <f aca="false">#REF!</f>
        <v>#REF!</v>
      </c>
      <c r="F34" s="34" t="e">
        <f aca="false">#REF!</f>
        <v>#REF!</v>
      </c>
    </row>
    <row r="35" customFormat="false" ht="12.8" hidden="false" customHeight="false" outlineLevel="0" collapsed="false">
      <c r="A35" s="14" t="e">
        <f aca="false">_xlfn.CONCAT($A$1, ".", #REF!)</f>
        <v>#REF!</v>
      </c>
      <c r="B35" s="32" t="e">
        <f aca="false">_xlfn.CONCAT(#REF!, ":", #REF!)</f>
        <v>#REF!</v>
      </c>
      <c r="C35" s="34" t="e">
        <f aca="false">#REF!</f>
        <v>#REF!</v>
      </c>
      <c r="D35" s="34" t="e">
        <f aca="false">#REF!</f>
        <v>#REF!</v>
      </c>
      <c r="E35" s="34" t="e">
        <f aca="false">#REF!</f>
        <v>#REF!</v>
      </c>
      <c r="F35" s="34" t="e">
        <f aca="false">#REF!</f>
        <v>#REF!</v>
      </c>
    </row>
    <row r="36" customFormat="false" ht="12.8" hidden="false" customHeight="false" outlineLevel="0" collapsed="false">
      <c r="A36" s="14" t="e">
        <f aca="false">_xlfn.CONCAT($A$1, ".", #REF!)</f>
        <v>#REF!</v>
      </c>
      <c r="B36" s="32" t="e">
        <f aca="false">_xlfn.CONCAT(#REF!, ":", #REF!)</f>
        <v>#REF!</v>
      </c>
      <c r="C36" s="34" t="e">
        <f aca="false">#REF!</f>
        <v>#REF!</v>
      </c>
      <c r="D36" s="34" t="e">
        <f aca="false">#REF!</f>
        <v>#REF!</v>
      </c>
      <c r="E36" s="34" t="e">
        <f aca="false">#REF!</f>
        <v>#REF!</v>
      </c>
      <c r="F36" s="34" t="e">
        <f aca="false">#REF!</f>
        <v>#REF!</v>
      </c>
    </row>
    <row r="37" customFormat="false" ht="12.8" hidden="false" customHeight="false" outlineLevel="0" collapsed="false">
      <c r="A37" s="14" t="e">
        <f aca="false">_xlfn.CONCAT($A$1, ".", #REF!)</f>
        <v>#REF!</v>
      </c>
      <c r="B37" s="32" t="e">
        <f aca="false">_xlfn.CONCAT(#REF!, ":", #REF!)</f>
        <v>#REF!</v>
      </c>
      <c r="C37" s="34" t="e">
        <f aca="false">#REF!</f>
        <v>#REF!</v>
      </c>
      <c r="D37" s="34" t="e">
        <f aca="false">#REF!</f>
        <v>#REF!</v>
      </c>
      <c r="E37" s="34" t="e">
        <f aca="false">#REF!</f>
        <v>#REF!</v>
      </c>
      <c r="F37" s="34"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3B0"/>
    <pageSetUpPr fitToPage="false"/>
  </sheetPr>
  <dimension ref="A1:BP37"/>
  <sheetViews>
    <sheetView showFormulas="false" showGridLines="true" showRowColHeaders="true" showZeros="true" rightToLeft="false" tabSelected="false" showOutlineSymbols="true" defaultGridColor="true" view="normal" topLeftCell="A86" colorId="64" zoomScale="90" zoomScaleNormal="90" zoomScalePageLayoutView="100" workbookViewId="0">
      <selection pane="topLeft" activeCell="H37" activeCellId="0" sqref="H37"/>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41.51"/>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12.8" hidden="false" customHeight="false" outlineLevel="0" collapsed="false">
      <c r="A1" s="11" t="s">
        <v>8439</v>
      </c>
      <c r="B1" s="20" t="s">
        <v>8440</v>
      </c>
      <c r="C1" s="13" t="s">
        <v>2</v>
      </c>
      <c r="D1" s="30" t="s">
        <v>8441</v>
      </c>
      <c r="AZ1" s="10"/>
      <c r="BP1" s="10"/>
    </row>
    <row r="2" customFormat="false" ht="46.25" hidden="false" customHeight="false" outlineLevel="0" collapsed="false">
      <c r="A2" s="22" t="s">
        <v>8431</v>
      </c>
      <c r="B2" s="20" t="s">
        <v>8432</v>
      </c>
      <c r="C2" s="27" t="str">
        <f aca="false">CALC!P3</f>
        <v>Unemployment Rate</v>
      </c>
      <c r="D2" s="27" t="str">
        <f aca="false">CALC!Q3</f>
        <v>Authorized Immigrant Unemployment Rate</v>
      </c>
      <c r="E2" s="27" t="str">
        <f aca="false">CALC!R3</f>
        <v>Unauthorized Immigrant Unemployment Rate</v>
      </c>
      <c r="F2" s="27" t="str">
        <f aca="false">CALC!S3</f>
        <v>American Unemployment Rate</v>
      </c>
    </row>
    <row r="3" customFormat="false" ht="12.8" hidden="false" customHeight="false" outlineLevel="0" collapsed="false">
      <c r="A3" s="11" t="str">
        <f aca="false">_xlfn.CONCAT($A$1, ".", CALC!A4)</f>
        <v>AL.U3R.0</v>
      </c>
      <c r="B3" s="31" t="str">
        <f aca="false">_xlfn.CONCAT(CALC!B4, ":", CALC!C4)</f>
        <v>All Industries:All Roles</v>
      </c>
      <c r="C3" s="27" t="n">
        <f aca="false">CALC!P4</f>
        <v>0.047</v>
      </c>
      <c r="D3" s="27" t="n">
        <f aca="false">CALC!Q4</f>
        <v>0.046</v>
      </c>
      <c r="E3" s="27" t="n">
        <f aca="false">CALC!R4</f>
        <v>0.106</v>
      </c>
      <c r="F3" s="27" t="n">
        <f aca="false">CALC!S4</f>
        <v>0.044</v>
      </c>
    </row>
    <row r="4" customFormat="false" ht="12.8" hidden="false" customHeight="false" outlineLevel="0" collapsed="false">
      <c r="A4" s="14" t="str">
        <f aca="false">_xlfn.CONCAT($A$1, ".", CALC!A5)</f>
        <v>AL.U3R.1</v>
      </c>
      <c r="B4" s="32" t="str">
        <f aca="false">_xlfn.CONCAT(CALC!B5, ":", CALC!C5)</f>
        <v>Agriculture:Worker</v>
      </c>
      <c r="C4" s="34" t="n">
        <f aca="false">CALC!P5</f>
        <v>0.07</v>
      </c>
      <c r="D4" s="34" t="n">
        <f aca="false">CALC!Q5</f>
        <v>0.07</v>
      </c>
      <c r="E4" s="34" t="n">
        <f aca="false">CALC!R5</f>
        <v>0.11</v>
      </c>
      <c r="F4" s="34" t="n">
        <f aca="false">CALC!S5</f>
        <v>0.045</v>
      </c>
    </row>
    <row r="5" customFormat="false" ht="12.8" hidden="false" customHeight="false" outlineLevel="0" collapsed="false">
      <c r="A5" s="14" t="str">
        <f aca="false">_xlfn.CONCAT($A$1, ".", CALC!A6)</f>
        <v>AL.U3R.2</v>
      </c>
      <c r="B5" s="32" t="str">
        <f aca="false">_xlfn.CONCAT(CALC!B6, ":", CALC!C6)</f>
        <v>Agriculture:Support</v>
      </c>
      <c r="C5" s="34" t="n">
        <f aca="false">CALC!P6</f>
        <v>0.07</v>
      </c>
      <c r="D5" s="34" t="n">
        <f aca="false">CALC!Q6</f>
        <v>0.07</v>
      </c>
      <c r="E5" s="34" t="n">
        <f aca="false">CALC!R6</f>
        <v>0.11</v>
      </c>
      <c r="F5" s="34" t="n">
        <f aca="false">CALC!S6</f>
        <v>0.045</v>
      </c>
    </row>
    <row r="6" customFormat="false" ht="12.8" hidden="false" customHeight="false" outlineLevel="0" collapsed="false">
      <c r="A6" s="14" t="str">
        <f aca="false">_xlfn.CONCAT($A$1, ".", CALC!A7)</f>
        <v>AL.U3R.3</v>
      </c>
      <c r="B6" s="32" t="str">
        <f aca="false">_xlfn.CONCAT(CALC!B7, ":", CALC!C7)</f>
        <v>Construction:Worker</v>
      </c>
      <c r="C6" s="34" t="n">
        <f aca="false">CALC!P7</f>
        <v>0.06</v>
      </c>
      <c r="D6" s="34" t="n">
        <f aca="false">CALC!Q7</f>
        <v>0.06</v>
      </c>
      <c r="E6" s="34" t="n">
        <f aca="false">CALC!R7</f>
        <v>0.1</v>
      </c>
      <c r="F6" s="34" t="n">
        <f aca="false">CALC!S7</f>
        <v>0.03</v>
      </c>
    </row>
    <row r="7" customFormat="false" ht="12.8" hidden="false" customHeight="false" outlineLevel="0" collapsed="false">
      <c r="A7" s="14" t="str">
        <f aca="false">_xlfn.CONCAT($A$1, ".", CALC!A8)</f>
        <v>AL.U3R.4</v>
      </c>
      <c r="B7" s="32" t="str">
        <f aca="false">_xlfn.CONCAT(CALC!B8, ":", CALC!C8)</f>
        <v>Construction:Support</v>
      </c>
      <c r="C7" s="34" t="n">
        <f aca="false">CALC!P8</f>
        <v>0.06</v>
      </c>
      <c r="D7" s="34" t="n">
        <f aca="false">CALC!Q8</f>
        <v>0.06</v>
      </c>
      <c r="E7" s="34" t="n">
        <f aca="false">CALC!R8</f>
        <v>0.1</v>
      </c>
      <c r="F7" s="34" t="n">
        <f aca="false">CALC!S8</f>
        <v>0.03</v>
      </c>
    </row>
    <row r="8" customFormat="false" ht="12.8" hidden="false" customHeight="false" outlineLevel="0" collapsed="false">
      <c r="A8" s="14" t="str">
        <f aca="false">_xlfn.CONCAT($A$1, ".", CALC!A9)</f>
        <v>AL.U3R.5</v>
      </c>
      <c r="B8" s="32" t="str">
        <f aca="false">_xlfn.CONCAT(CALC!B9, ":", CALC!C9)</f>
        <v>Hospitality:Worker</v>
      </c>
      <c r="C8" s="34" t="n">
        <f aca="false">CALC!P9</f>
        <v>0.07</v>
      </c>
      <c r="D8" s="34" t="n">
        <f aca="false">CALC!Q9</f>
        <v>0.07</v>
      </c>
      <c r="E8" s="34" t="n">
        <f aca="false">CALC!R9</f>
        <v>0.12</v>
      </c>
      <c r="F8" s="34" t="n">
        <f aca="false">CALC!S9</f>
        <v>0.037</v>
      </c>
    </row>
    <row r="9" customFormat="false" ht="12.8" hidden="false" customHeight="false" outlineLevel="0" collapsed="false">
      <c r="A9" s="14" t="str">
        <f aca="false">_xlfn.CONCAT($A$1, ".", CALC!A10)</f>
        <v>AL.U3R.6</v>
      </c>
      <c r="B9" s="32" t="str">
        <f aca="false">_xlfn.CONCAT(CALC!B10, ":", CALC!C10)</f>
        <v>Hospitality:Support</v>
      </c>
      <c r="C9" s="34" t="n">
        <f aca="false">CALC!P10</f>
        <v>0.07</v>
      </c>
      <c r="D9" s="34" t="n">
        <f aca="false">CALC!Q10</f>
        <v>0.07</v>
      </c>
      <c r="E9" s="34" t="n">
        <f aca="false">CALC!R10</f>
        <v>0.12</v>
      </c>
      <c r="F9" s="34" t="n">
        <f aca="false">CALC!S10</f>
        <v>0.037</v>
      </c>
    </row>
    <row r="10" customFormat="false" ht="12.8" hidden="false" customHeight="false" outlineLevel="0" collapsed="false">
      <c r="A10" s="14" t="str">
        <f aca="false">_xlfn.CONCAT($A$1, ".", CALC!A11)</f>
        <v>AL.U3R.7</v>
      </c>
      <c r="B10" s="32" t="str">
        <f aca="false">_xlfn.CONCAT(CALC!B11, ":", CALC!C11)</f>
        <v>Cleaning &amp; Maintenance:Worker</v>
      </c>
      <c r="C10" s="34" t="n">
        <f aca="false">CALC!P11</f>
        <v>0.08</v>
      </c>
      <c r="D10" s="34" t="n">
        <f aca="false">CALC!Q11</f>
        <v>0.08</v>
      </c>
      <c r="E10" s="34" t="n">
        <f aca="false">CALC!R11</f>
        <v>0.13</v>
      </c>
      <c r="F10" s="34" t="n">
        <f aca="false">CALC!S11</f>
        <v>0.04</v>
      </c>
    </row>
    <row r="11" customFormat="false" ht="12.8" hidden="false" customHeight="false" outlineLevel="0" collapsed="false">
      <c r="A11" s="14" t="str">
        <f aca="false">_xlfn.CONCAT($A$1, ".", CALC!A12)</f>
        <v>AL.U3R.8</v>
      </c>
      <c r="B11" s="32" t="str">
        <f aca="false">_xlfn.CONCAT(CALC!B12, ":", CALC!C12)</f>
        <v>Cleaning &amp; Maintenance:Support</v>
      </c>
      <c r="C11" s="34" t="n">
        <f aca="false">CALC!P12</f>
        <v>0.08</v>
      </c>
      <c r="D11" s="34" t="n">
        <f aca="false">CALC!Q12</f>
        <v>0.08</v>
      </c>
      <c r="E11" s="34" t="n">
        <f aca="false">CALC!R12</f>
        <v>0.13</v>
      </c>
      <c r="F11" s="34" t="n">
        <f aca="false">CALC!S12</f>
        <v>0.04</v>
      </c>
    </row>
    <row r="12" customFormat="false" ht="12.8" hidden="false" customHeight="false" outlineLevel="0" collapsed="false">
      <c r="A12" s="14" t="str">
        <f aca="false">_xlfn.CONCAT($A$1, ".", CALC!A13)</f>
        <v>AL.U3R.9</v>
      </c>
      <c r="B12" s="32" t="str">
        <f aca="false">_xlfn.CONCAT(CALC!B13, ":", CALC!C13)</f>
        <v>Manufacturing:Worker</v>
      </c>
      <c r="C12" s="34" t="n">
        <f aca="false">CALC!P13</f>
        <v>0.04</v>
      </c>
      <c r="D12" s="34" t="n">
        <f aca="false">CALC!Q13</f>
        <v>0.04</v>
      </c>
      <c r="E12" s="34" t="n">
        <f aca="false">CALC!R13</f>
        <v>0.07</v>
      </c>
      <c r="F12" s="34" t="n">
        <f aca="false">CALC!S13</f>
        <v>0.018</v>
      </c>
    </row>
    <row r="13" customFormat="false" ht="12.8" hidden="false" customHeight="false" outlineLevel="0" collapsed="false">
      <c r="A13" s="14" t="str">
        <f aca="false">_xlfn.CONCAT($A$1, ".", CALC!A14)</f>
        <v>AL.U3R.10</v>
      </c>
      <c r="B13" s="32" t="str">
        <f aca="false">_xlfn.CONCAT(CALC!B14, ":", CALC!C14)</f>
        <v>Manufacturing:Support</v>
      </c>
      <c r="C13" s="34" t="n">
        <f aca="false">CALC!P14</f>
        <v>0.04</v>
      </c>
      <c r="D13" s="34" t="n">
        <f aca="false">CALC!Q14</f>
        <v>0.04</v>
      </c>
      <c r="E13" s="34" t="n">
        <f aca="false">CALC!R14</f>
        <v>0.07</v>
      </c>
      <c r="F13" s="34" t="n">
        <f aca="false">CALC!S14</f>
        <v>0.018</v>
      </c>
    </row>
    <row r="14" customFormat="false" ht="12.8" hidden="false" customHeight="false" outlineLevel="0" collapsed="false">
      <c r="A14" s="14" t="str">
        <f aca="false">_xlfn.CONCAT($A$1, ".", CALC!A15)</f>
        <v>AL.U3R.11</v>
      </c>
      <c r="B14" s="32" t="str">
        <f aca="false">_xlfn.CONCAT(CALC!B15, ":", CALC!C15)</f>
        <v>Transportation &amp; Warehousing:Worker</v>
      </c>
      <c r="C14" s="34" t="n">
        <f aca="false">CALC!P15</f>
        <v>0.05</v>
      </c>
      <c r="D14" s="34" t="n">
        <f aca="false">CALC!Q15</f>
        <v>0.05</v>
      </c>
      <c r="E14" s="34" t="n">
        <f aca="false">CALC!R15</f>
        <v>0.08</v>
      </c>
      <c r="F14" s="34" t="n">
        <f aca="false">CALC!S15</f>
        <v>0.022</v>
      </c>
    </row>
    <row r="15" customFormat="false" ht="12.8" hidden="false" customHeight="false" outlineLevel="0" collapsed="false">
      <c r="A15" s="14" t="str">
        <f aca="false">_xlfn.CONCAT($A$1, ".", CALC!A16)</f>
        <v>AL.U3R.12</v>
      </c>
      <c r="B15" s="32" t="str">
        <f aca="false">_xlfn.CONCAT(CALC!B16, ":", CALC!C16)</f>
        <v>Transportation &amp; Warehousing:Support</v>
      </c>
      <c r="C15" s="34" t="n">
        <f aca="false">CALC!P16</f>
        <v>0.05</v>
      </c>
      <c r="D15" s="34" t="n">
        <f aca="false">CALC!Q16</f>
        <v>0.05</v>
      </c>
      <c r="E15" s="34" t="n">
        <f aca="false">CALC!R16</f>
        <v>0.08</v>
      </c>
      <c r="F15" s="34" t="n">
        <f aca="false">CALC!S16</f>
        <v>0.022</v>
      </c>
    </row>
    <row r="16" customFormat="false" ht="12.8" hidden="false" customHeight="false" outlineLevel="0" collapsed="false">
      <c r="A16" s="14" t="str">
        <f aca="false">_xlfn.CONCAT($A$1, ".", CALC!A17)</f>
        <v>AL.U3R.13</v>
      </c>
      <c r="B16" s="32" t="str">
        <f aca="false">_xlfn.CONCAT(CALC!B17, ":", CALC!C17)</f>
        <v>Retail Trade:Worker</v>
      </c>
      <c r="C16" s="34" t="n">
        <f aca="false">CALC!P17</f>
        <v>0.07</v>
      </c>
      <c r="D16" s="34" t="n">
        <f aca="false">CALC!Q17</f>
        <v>0.07</v>
      </c>
      <c r="E16" s="34" t="n">
        <f aca="false">CALC!R17</f>
        <v>0.12</v>
      </c>
      <c r="F16" s="34" t="n">
        <f aca="false">CALC!S17</f>
        <v>0.037</v>
      </c>
    </row>
    <row r="17" customFormat="false" ht="12.8" hidden="false" customHeight="false" outlineLevel="0" collapsed="false">
      <c r="A17" s="14" t="str">
        <f aca="false">_xlfn.CONCAT($A$1, ".", CALC!A18)</f>
        <v>AL.U3R.14</v>
      </c>
      <c r="B17" s="32" t="str">
        <f aca="false">_xlfn.CONCAT(CALC!B18, ":", CALC!C18)</f>
        <v>Retail Trade:Support</v>
      </c>
      <c r="C17" s="34" t="n">
        <f aca="false">CALC!P18</f>
        <v>0.07</v>
      </c>
      <c r="D17" s="34" t="n">
        <f aca="false">CALC!Q18</f>
        <v>0.07</v>
      </c>
      <c r="E17" s="34" t="n">
        <f aca="false">CALC!R18</f>
        <v>0.12</v>
      </c>
      <c r="F17" s="34" t="n">
        <f aca="false">CALC!S18</f>
        <v>0.037</v>
      </c>
    </row>
    <row r="18" customFormat="false" ht="12.8" hidden="false" customHeight="false" outlineLevel="0" collapsed="false">
      <c r="A18" s="14" t="str">
        <f aca="false">_xlfn.CONCAT($A$1, ".", CALC!A19)</f>
        <v>AL.U3R.15</v>
      </c>
      <c r="B18" s="32" t="str">
        <f aca="false">_xlfn.CONCAT(CALC!B19, ":", CALC!C19)</f>
        <v>Landscaping / Groundskeeping:Worker</v>
      </c>
      <c r="C18" s="34" t="n">
        <f aca="false">CALC!P19</f>
        <v>0.07</v>
      </c>
      <c r="D18" s="34" t="n">
        <f aca="false">CALC!Q19</f>
        <v>0.07</v>
      </c>
      <c r="E18" s="34" t="n">
        <f aca="false">CALC!R19</f>
        <v>0.11</v>
      </c>
      <c r="F18" s="34" t="n">
        <f aca="false">CALC!S19</f>
        <v>0.045</v>
      </c>
    </row>
    <row r="19" customFormat="false" ht="12.8" hidden="false" customHeight="false" outlineLevel="0" collapsed="false">
      <c r="A19" s="14" t="str">
        <f aca="false">_xlfn.CONCAT($A$1, ".", CALC!A20)</f>
        <v>AL.U3R.16</v>
      </c>
      <c r="B19" s="32" t="str">
        <f aca="false">_xlfn.CONCAT(CALC!B20, ":", CALC!C20)</f>
        <v>Landscaping / Groundskeeping:Support</v>
      </c>
      <c r="C19" s="34" t="n">
        <f aca="false">CALC!P20</f>
        <v>0.07</v>
      </c>
      <c r="D19" s="34" t="n">
        <f aca="false">CALC!Q20</f>
        <v>0.07</v>
      </c>
      <c r="E19" s="34" t="n">
        <f aca="false">CALC!R20</f>
        <v>0.11</v>
      </c>
      <c r="F19" s="34" t="n">
        <f aca="false">CALC!S20</f>
        <v>0.045</v>
      </c>
    </row>
    <row r="20" customFormat="false" ht="12.8" hidden="false" customHeight="false" outlineLevel="0" collapsed="false">
      <c r="A20" s="14" t="str">
        <f aca="false">_xlfn.CONCAT($A$1, ".", CALC!A21)</f>
        <v>AL.U3R.17</v>
      </c>
      <c r="B20" s="32" t="str">
        <f aca="false">_xlfn.CONCAT(CALC!B21, ":", CALC!C21)</f>
        <v>Automotive &amp; Repair:Worker</v>
      </c>
      <c r="C20" s="34" t="n">
        <f aca="false">CALC!P21</f>
        <v>0.05</v>
      </c>
      <c r="D20" s="34" t="n">
        <f aca="false">CALC!Q21</f>
        <v>0.05</v>
      </c>
      <c r="E20" s="34" t="n">
        <f aca="false">CALC!R21</f>
        <v>0.08</v>
      </c>
      <c r="F20" s="34" t="n">
        <f aca="false">CALC!S21</f>
        <v>0.022</v>
      </c>
    </row>
    <row r="21" customFormat="false" ht="12.8" hidden="false" customHeight="false" outlineLevel="0" collapsed="false">
      <c r="A21" s="14" t="str">
        <f aca="false">_xlfn.CONCAT($A$1, ".", CALC!A22)</f>
        <v>AL.U3R.18</v>
      </c>
      <c r="B21" s="32" t="str">
        <f aca="false">_xlfn.CONCAT(CALC!B22, ":", CALC!C22)</f>
        <v>Automotive &amp; Repair:Support</v>
      </c>
      <c r="C21" s="34" t="n">
        <f aca="false">CALC!P22</f>
        <v>0.05</v>
      </c>
      <c r="D21" s="34" t="n">
        <f aca="false">CALC!Q22</f>
        <v>0.05</v>
      </c>
      <c r="E21" s="34" t="n">
        <f aca="false">CALC!R22</f>
        <v>0.08</v>
      </c>
      <c r="F21" s="34" t="n">
        <f aca="false">CALC!S22</f>
        <v>0.022</v>
      </c>
    </row>
    <row r="22" customFormat="false" ht="12.8" hidden="false" customHeight="false" outlineLevel="0" collapsed="false">
      <c r="A22" s="14" t="str">
        <f aca="false">_xlfn.CONCAT($A$1, ".", CALC!A23)</f>
        <v>AL.U3R.19</v>
      </c>
      <c r="B22" s="32" t="str">
        <f aca="false">_xlfn.CONCAT(CALC!B23, ":", CALC!C23)</f>
        <v>Healthcare &amp; Social Assistance:Worker</v>
      </c>
      <c r="C22" s="34" t="n">
        <f aca="false">CALC!P23</f>
        <v>0.04</v>
      </c>
      <c r="D22" s="34" t="n">
        <f aca="false">CALC!Q23</f>
        <v>0.04</v>
      </c>
      <c r="E22" s="34" t="n">
        <f aca="false">CALC!R23</f>
        <v>0.07</v>
      </c>
      <c r="F22" s="34" t="n">
        <f aca="false">CALC!S23</f>
        <v>0.018</v>
      </c>
    </row>
    <row r="23" customFormat="false" ht="12.8" hidden="false" customHeight="false" outlineLevel="0" collapsed="false">
      <c r="A23" s="14" t="str">
        <f aca="false">_xlfn.CONCAT($A$1, ".", CALC!A24)</f>
        <v>AL.U3R.20</v>
      </c>
      <c r="B23" s="32" t="str">
        <f aca="false">_xlfn.CONCAT(CALC!B24, ":", CALC!C24)</f>
        <v>Healthcare &amp; Social Assistance:Support</v>
      </c>
      <c r="C23" s="34" t="n">
        <f aca="false">CALC!P24</f>
        <v>0.04</v>
      </c>
      <c r="D23" s="34" t="n">
        <f aca="false">CALC!Q24</f>
        <v>0.04</v>
      </c>
      <c r="E23" s="34" t="n">
        <f aca="false">CALC!R24</f>
        <v>0.07</v>
      </c>
      <c r="F23" s="34" t="n">
        <f aca="false">CALC!S24</f>
        <v>0.018</v>
      </c>
    </row>
    <row r="24" customFormat="false" ht="12.8" hidden="false" customHeight="false" outlineLevel="0" collapsed="false">
      <c r="A24" s="14" t="str">
        <f aca="false">_xlfn.CONCAT($A$1, ".", CALC!A25)</f>
        <v>AL.U3R.21</v>
      </c>
      <c r="B24" s="32" t="str">
        <f aca="false">_xlfn.CONCAT(CALC!B25, ":", CALC!C25)</f>
        <v>Professional Services:Worker</v>
      </c>
      <c r="C24" s="34" t="n">
        <f aca="false">CALC!P25</f>
        <v>0.04</v>
      </c>
      <c r="D24" s="34" t="n">
        <f aca="false">CALC!Q25</f>
        <v>0.04</v>
      </c>
      <c r="E24" s="34" t="n">
        <f aca="false">CALC!R25</f>
        <v>0.07</v>
      </c>
      <c r="F24" s="34" t="n">
        <f aca="false">CALC!S25</f>
        <v>0.018</v>
      </c>
    </row>
    <row r="25" customFormat="false" ht="12.8" hidden="false" customHeight="false" outlineLevel="0" collapsed="false">
      <c r="A25" s="14" t="str">
        <f aca="false">_xlfn.CONCAT($A$1, ".", CALC!A26)</f>
        <v>AL.U3R.22</v>
      </c>
      <c r="B25" s="32" t="str">
        <f aca="false">_xlfn.CONCAT(CALC!B26, ":", CALC!C26)</f>
        <v>Professional Services:Support</v>
      </c>
      <c r="C25" s="34" t="n">
        <f aca="false">CALC!P26</f>
        <v>0.04</v>
      </c>
      <c r="D25" s="34" t="n">
        <f aca="false">CALC!Q26</f>
        <v>0.04</v>
      </c>
      <c r="E25" s="34" t="n">
        <f aca="false">CALC!R26</f>
        <v>0.07</v>
      </c>
      <c r="F25" s="34" t="n">
        <f aca="false">CALC!S26</f>
        <v>0.018</v>
      </c>
    </row>
    <row r="26" customFormat="false" ht="12.8" hidden="false" customHeight="false" outlineLevel="0" collapsed="false">
      <c r="A26" s="14" t="str">
        <f aca="false">_xlfn.CONCAT($A$1, ".", CALC!A27)</f>
        <v>AL.U3R.23</v>
      </c>
      <c r="B26" s="32" t="str">
        <f aca="false">_xlfn.CONCAT(CALC!B27, ":", CALC!C27)</f>
        <v>Educational Services:Worker</v>
      </c>
      <c r="C26" s="34" t="n">
        <f aca="false">CALC!P27</f>
        <v>0.04</v>
      </c>
      <c r="D26" s="34" t="n">
        <f aca="false">CALC!Q27</f>
        <v>0.04</v>
      </c>
      <c r="E26" s="34" t="n">
        <f aca="false">CALC!R27</f>
        <v>0.07</v>
      </c>
      <c r="F26" s="34" t="n">
        <f aca="false">CALC!S27</f>
        <v>0.018</v>
      </c>
    </row>
    <row r="27" customFormat="false" ht="12.8" hidden="false" customHeight="false" outlineLevel="0" collapsed="false">
      <c r="A27" s="14" t="str">
        <f aca="false">_xlfn.CONCAT($A$1, ".", CALC!A28)</f>
        <v>AL.U3R.24</v>
      </c>
      <c r="B27" s="32" t="str">
        <f aca="false">_xlfn.CONCAT(CALC!B28, ":", CALC!C28)</f>
        <v>Educational Services:Support</v>
      </c>
      <c r="C27" s="34" t="n">
        <f aca="false">CALC!P28</f>
        <v>0.04</v>
      </c>
      <c r="D27" s="34" t="n">
        <f aca="false">CALC!Q28</f>
        <v>0.04</v>
      </c>
      <c r="E27" s="34" t="n">
        <f aca="false">CALC!R28</f>
        <v>0.07</v>
      </c>
      <c r="F27" s="34" t="n">
        <f aca="false">CALC!S28</f>
        <v>0.018</v>
      </c>
    </row>
    <row r="28" customFormat="false" ht="12.8" hidden="false" customHeight="false" outlineLevel="0" collapsed="false">
      <c r="A28" s="14" t="str">
        <f aca="false">_xlfn.CONCAT($A$1, ".", CALC!A29)</f>
        <v>AL.U3R.25</v>
      </c>
      <c r="B28" s="32" t="str">
        <f aca="false">_xlfn.CONCAT(CALC!B29, ":", CALC!C29)</f>
        <v>Finance &amp; Insurance:Worker</v>
      </c>
      <c r="C28" s="34" t="n">
        <f aca="false">CALC!P29</f>
        <v>0.04</v>
      </c>
      <c r="D28" s="34" t="n">
        <f aca="false">CALC!Q29</f>
        <v>0.04</v>
      </c>
      <c r="E28" s="34" t="n">
        <f aca="false">CALC!R29</f>
        <v>0.07</v>
      </c>
      <c r="F28" s="34" t="n">
        <f aca="false">CALC!S29</f>
        <v>0.018</v>
      </c>
    </row>
    <row r="29" customFormat="false" ht="12.8" hidden="false" customHeight="false" outlineLevel="0" collapsed="false">
      <c r="A29" s="14" t="str">
        <f aca="false">_xlfn.CONCAT($A$1, ".", CALC!A30)</f>
        <v>AL.U3R.26</v>
      </c>
      <c r="B29" s="32" t="str">
        <f aca="false">_xlfn.CONCAT(CALC!B30, ":", CALC!C30)</f>
        <v>Finance &amp; Insurance:Support</v>
      </c>
      <c r="C29" s="34" t="n">
        <f aca="false">CALC!P30</f>
        <v>0.04</v>
      </c>
      <c r="D29" s="34" t="n">
        <f aca="false">CALC!Q30</f>
        <v>0.04</v>
      </c>
      <c r="E29" s="34" t="n">
        <f aca="false">CALC!R30</f>
        <v>0.07</v>
      </c>
      <c r="F29" s="34" t="n">
        <f aca="false">CALC!S30</f>
        <v>0.018</v>
      </c>
    </row>
    <row r="30" customFormat="false" ht="12.8" hidden="false" customHeight="false" outlineLevel="0" collapsed="false">
      <c r="A30" s="14" t="str">
        <f aca="false">_xlfn.CONCAT($A$1, ".", CALC!A31)</f>
        <v>AL.U3R.27</v>
      </c>
      <c r="B30" s="32" t="str">
        <f aca="false">_xlfn.CONCAT(CALC!B31, ":", CALC!C31)</f>
        <v>Media and Information Technology:Worker</v>
      </c>
      <c r="C30" s="34" t="n">
        <f aca="false">CALC!P31</f>
        <v>0.04</v>
      </c>
      <c r="D30" s="34" t="n">
        <f aca="false">CALC!Q31</f>
        <v>0.04</v>
      </c>
      <c r="E30" s="34" t="n">
        <f aca="false">CALC!R31</f>
        <v>0.07</v>
      </c>
      <c r="F30" s="34" t="n">
        <f aca="false">CALC!S31</f>
        <v>0.018</v>
      </c>
    </row>
    <row r="31" customFormat="false" ht="12.8" hidden="false" customHeight="false" outlineLevel="0" collapsed="false">
      <c r="A31" s="14" t="str">
        <f aca="false">_xlfn.CONCAT($A$1, ".", CALC!A32)</f>
        <v>AL.U3R.28</v>
      </c>
      <c r="B31" s="32" t="str">
        <f aca="false">_xlfn.CONCAT(CALC!B32, ":", CALC!C32)</f>
        <v>Media and Information Technology:Support</v>
      </c>
      <c r="C31" s="34" t="n">
        <f aca="false">CALC!P32</f>
        <v>0.04</v>
      </c>
      <c r="D31" s="34" t="n">
        <f aca="false">CALC!Q32</f>
        <v>0.04</v>
      </c>
      <c r="E31" s="34" t="n">
        <f aca="false">CALC!R32</f>
        <v>0.07</v>
      </c>
      <c r="F31" s="34" t="n">
        <f aca="false">CALC!S32</f>
        <v>0.018</v>
      </c>
    </row>
    <row r="32" customFormat="false" ht="12.8" hidden="false" customHeight="false" outlineLevel="0" collapsed="false">
      <c r="A32" s="14" t="str">
        <f aca="false">_xlfn.CONCAT($A$1, ".", CALC!A33)</f>
        <v>AL.U3R.29</v>
      </c>
      <c r="B32" s="32" t="str">
        <f aca="false">_xlfn.CONCAT(CALC!B33, ":", CALC!C33)</f>
        <v>Government:Worker</v>
      </c>
      <c r="C32" s="34" t="n">
        <f aca="false">CALC!P33</f>
        <v>0.03</v>
      </c>
      <c r="D32" s="34" t="n">
        <f aca="false">CALC!Q33</f>
        <v>0.03</v>
      </c>
      <c r="E32" s="34" t="n">
        <f aca="false">CALC!R33</f>
        <v>0.07</v>
      </c>
      <c r="F32" s="34" t="n">
        <f aca="false">CALC!S33</f>
        <v>0.018</v>
      </c>
    </row>
    <row r="33" customFormat="false" ht="12.8" hidden="false" customHeight="false" outlineLevel="0" collapsed="false">
      <c r="A33" s="14" t="e">
        <f aca="false">_xlfn.CONCAT($A$1, ".", #REF!)</f>
        <v>#REF!</v>
      </c>
      <c r="B33" s="32" t="e">
        <f aca="false">_xlfn.CONCAT(#REF!, ":", #REF!)</f>
        <v>#REF!</v>
      </c>
      <c r="C33" s="34" t="e">
        <f aca="false">#REF!</f>
        <v>#REF!</v>
      </c>
      <c r="D33" s="34" t="e">
        <f aca="false">#REF!</f>
        <v>#REF!</v>
      </c>
      <c r="E33" s="34" t="e">
        <f aca="false">#REF!</f>
        <v>#REF!</v>
      </c>
      <c r="F33" s="34" t="e">
        <f aca="false">#REF!</f>
        <v>#REF!</v>
      </c>
    </row>
    <row r="34" customFormat="false" ht="12.8" hidden="false" customHeight="false" outlineLevel="0" collapsed="false">
      <c r="A34" s="14" t="e">
        <f aca="false">_xlfn.CONCAT($A$1, ".", #REF!)</f>
        <v>#REF!</v>
      </c>
      <c r="B34" s="32" t="e">
        <f aca="false">_xlfn.CONCAT(#REF!, ":", #REF!)</f>
        <v>#REF!</v>
      </c>
      <c r="C34" s="34" t="e">
        <f aca="false">#REF!</f>
        <v>#REF!</v>
      </c>
      <c r="D34" s="34" t="e">
        <f aca="false">#REF!</f>
        <v>#REF!</v>
      </c>
      <c r="E34" s="34" t="e">
        <f aca="false">#REF!</f>
        <v>#REF!</v>
      </c>
      <c r="F34" s="34" t="e">
        <f aca="false">#REF!</f>
        <v>#REF!</v>
      </c>
    </row>
    <row r="35" customFormat="false" ht="12.8" hidden="false" customHeight="false" outlineLevel="0" collapsed="false">
      <c r="A35" s="14" t="e">
        <f aca="false">_xlfn.CONCAT($A$1, ".", #REF!)</f>
        <v>#REF!</v>
      </c>
      <c r="B35" s="32" t="e">
        <f aca="false">_xlfn.CONCAT(#REF!, ":", #REF!)</f>
        <v>#REF!</v>
      </c>
      <c r="C35" s="34" t="e">
        <f aca="false">#REF!</f>
        <v>#REF!</v>
      </c>
      <c r="D35" s="34" t="e">
        <f aca="false">#REF!</f>
        <v>#REF!</v>
      </c>
      <c r="E35" s="34" t="e">
        <f aca="false">#REF!</f>
        <v>#REF!</v>
      </c>
      <c r="F35" s="34" t="e">
        <f aca="false">#REF!</f>
        <v>#REF!</v>
      </c>
    </row>
    <row r="36" customFormat="false" ht="12.8" hidden="false" customHeight="false" outlineLevel="0" collapsed="false">
      <c r="A36" s="14" t="e">
        <f aca="false">_xlfn.CONCAT($A$1, ".", #REF!)</f>
        <v>#REF!</v>
      </c>
      <c r="B36" s="32" t="e">
        <f aca="false">_xlfn.CONCAT(#REF!, ":", #REF!)</f>
        <v>#REF!</v>
      </c>
      <c r="C36" s="34" t="e">
        <f aca="false">#REF!</f>
        <v>#REF!</v>
      </c>
      <c r="D36" s="34" t="e">
        <f aca="false">#REF!</f>
        <v>#REF!</v>
      </c>
      <c r="E36" s="34" t="e">
        <f aca="false">#REF!</f>
        <v>#REF!</v>
      </c>
      <c r="F36" s="34" t="e">
        <f aca="false">#REF!</f>
        <v>#REF!</v>
      </c>
    </row>
    <row r="37" customFormat="false" ht="12.8" hidden="false" customHeight="false" outlineLevel="0" collapsed="false">
      <c r="A37" s="14" t="e">
        <f aca="false">_xlfn.CONCAT($A$1, ".", #REF!)</f>
        <v>#REF!</v>
      </c>
      <c r="B37" s="32" t="e">
        <f aca="false">_xlfn.CONCAT(#REF!, ":", #REF!)</f>
        <v>#REF!</v>
      </c>
      <c r="C37" s="34" t="e">
        <f aca="false">#REF!</f>
        <v>#REF!</v>
      </c>
      <c r="D37" s="34" t="e">
        <f aca="false">#REF!</f>
        <v>#REF!</v>
      </c>
      <c r="E37" s="34" t="e">
        <f aca="false">#REF!</f>
        <v>#REF!</v>
      </c>
      <c r="F37" s="34"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182"/>
  <sheetViews>
    <sheetView showFormulas="false" showGridLines="true" showRowColHeaders="true" showZeros="true" rightToLeft="false" tabSelected="false" showOutlineSymbols="true" defaultGridColor="true" view="normal" topLeftCell="A68" colorId="64" zoomScale="90" zoomScaleNormal="90" zoomScalePageLayoutView="100" workbookViewId="0">
      <selection pane="topLeft" activeCell="H36" activeCellId="0" sqref="H36"/>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41.51"/>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12.8" hidden="false" customHeight="false" outlineLevel="0" collapsed="false">
      <c r="A1" s="11" t="s">
        <v>8442</v>
      </c>
      <c r="B1" s="20" t="s">
        <v>8443</v>
      </c>
      <c r="C1" s="13" t="s">
        <v>2</v>
      </c>
      <c r="D1" s="30" t="s">
        <v>8444</v>
      </c>
      <c r="AZ1" s="10"/>
      <c r="BP1" s="10"/>
    </row>
    <row r="2" customFormat="false" ht="46.25" hidden="false" customHeight="false" outlineLevel="0" collapsed="false">
      <c r="A2" s="22" t="s">
        <v>8431</v>
      </c>
      <c r="B2" s="20" t="s">
        <v>8432</v>
      </c>
      <c r="C2" s="27" t="str">
        <f aca="false">CALC!T3</f>
        <v>Underemployment Rate</v>
      </c>
      <c r="D2" s="27" t="str">
        <f aca="false">CALC!U3</f>
        <v>Authorized Immigrant Underemployment Rate</v>
      </c>
      <c r="E2" s="27" t="str">
        <f aca="false">CALC!V3</f>
        <v>Unauthorized Immigrant Underemployment Rate</v>
      </c>
      <c r="F2" s="27" t="str">
        <f aca="false">CALC!W3</f>
        <v>American Underemployment Rate</v>
      </c>
    </row>
    <row r="3" customFormat="false" ht="12.8" hidden="false" customHeight="false" outlineLevel="0" collapsed="false">
      <c r="A3" s="11" t="str">
        <f aca="false">_xlfn.CONCAT($A$1, ".", CALC!A4)</f>
        <v>AL.U6R.0</v>
      </c>
      <c r="B3" s="31" t="str">
        <f aca="false">_xlfn.CONCAT(CALC!B4, ":", CALC!C4)</f>
        <v>All Industries:All Roles</v>
      </c>
      <c r="C3" s="27" t="n">
        <f aca="false">CALC!T4</f>
        <v>0.068</v>
      </c>
      <c r="D3" s="27" t="n">
        <f aca="false">CALC!U4</f>
        <v>0.066</v>
      </c>
      <c r="E3" s="27" t="n">
        <f aca="false">CALC!V4</f>
        <v>0.128</v>
      </c>
      <c r="F3" s="27" t="n">
        <f aca="false">CALC!W4</f>
        <v>0.066</v>
      </c>
    </row>
    <row r="4" customFormat="false" ht="12.8" hidden="false" customHeight="false" outlineLevel="0" collapsed="false">
      <c r="A4" s="14" t="str">
        <f aca="false">_xlfn.CONCAT($A$1, ".", CALC!A5)</f>
        <v>AL.U6R.1</v>
      </c>
      <c r="B4" s="32" t="str">
        <f aca="false">_xlfn.CONCAT(CALC!B5, ":", CALC!C5)</f>
        <v>Agriculture:Worker</v>
      </c>
      <c r="C4" s="34" t="n">
        <f aca="false">CALC!T5</f>
        <v>0.093</v>
      </c>
      <c r="D4" s="34" t="n">
        <f aca="false">CALC!U5</f>
        <v>0.108</v>
      </c>
      <c r="E4" s="34" t="n">
        <f aca="false">CALC!V5</f>
        <v>0.155</v>
      </c>
      <c r="F4" s="34" t="n">
        <f aca="false">CALC!W5</f>
        <v>0.089</v>
      </c>
    </row>
    <row r="5" customFormat="false" ht="12.8" hidden="false" customHeight="false" outlineLevel="0" collapsed="false">
      <c r="A5" s="14" t="str">
        <f aca="false">_xlfn.CONCAT($A$1, ".", CALC!A6)</f>
        <v>AL.U6R.2</v>
      </c>
      <c r="B5" s="32" t="str">
        <f aca="false">_xlfn.CONCAT(CALC!B6, ":", CALC!C6)</f>
        <v>Agriculture:Support</v>
      </c>
      <c r="C5" s="34" t="n">
        <f aca="false">CALC!T6</f>
        <v>0.093</v>
      </c>
      <c r="D5" s="34" t="n">
        <f aca="false">CALC!U6</f>
        <v>0.108</v>
      </c>
      <c r="E5" s="34" t="n">
        <f aca="false">CALC!V6</f>
        <v>0.155</v>
      </c>
      <c r="F5" s="34" t="n">
        <f aca="false">CALC!W6</f>
        <v>0.089</v>
      </c>
    </row>
    <row r="6" customFormat="false" ht="12.8" hidden="false" customHeight="false" outlineLevel="0" collapsed="false">
      <c r="A6" s="14" t="str">
        <f aca="false">_xlfn.CONCAT($A$1, ".", CALC!A7)</f>
        <v>AL.U6R.3</v>
      </c>
      <c r="B6" s="32" t="str">
        <f aca="false">_xlfn.CONCAT(CALC!B7, ":", CALC!C7)</f>
        <v>Construction:Worker</v>
      </c>
      <c r="C6" s="34" t="n">
        <f aca="false">CALC!T7</f>
        <v>0.046</v>
      </c>
      <c r="D6" s="34" t="n">
        <f aca="false">CALC!U7</f>
        <v>0.066</v>
      </c>
      <c r="E6" s="34" t="n">
        <f aca="false">CALC!V7</f>
        <v>0.11</v>
      </c>
      <c r="F6" s="34" t="n">
        <f aca="false">CALC!W7</f>
        <v>0.042</v>
      </c>
    </row>
    <row r="7" customFormat="false" ht="12.8" hidden="false" customHeight="false" outlineLevel="0" collapsed="false">
      <c r="A7" s="14" t="str">
        <f aca="false">_xlfn.CONCAT($A$1, ".", CALC!A8)</f>
        <v>AL.U6R.4</v>
      </c>
      <c r="B7" s="32" t="str">
        <f aca="false">_xlfn.CONCAT(CALC!B8, ":", CALC!C8)</f>
        <v>Construction:Support</v>
      </c>
      <c r="C7" s="34" t="n">
        <f aca="false">CALC!T8</f>
        <v>0.046</v>
      </c>
      <c r="D7" s="34" t="n">
        <f aca="false">CALC!U8</f>
        <v>0.066</v>
      </c>
      <c r="E7" s="34" t="n">
        <f aca="false">CALC!V8</f>
        <v>0.11</v>
      </c>
      <c r="F7" s="34" t="n">
        <f aca="false">CALC!W8</f>
        <v>0.042</v>
      </c>
    </row>
    <row r="8" customFormat="false" ht="12.8" hidden="false" customHeight="false" outlineLevel="0" collapsed="false">
      <c r="A8" s="14" t="str">
        <f aca="false">_xlfn.CONCAT($A$1, ".", CALC!A9)</f>
        <v>AL.U6R.5</v>
      </c>
      <c r="B8" s="32" t="str">
        <f aca="false">_xlfn.CONCAT(CALC!B9, ":", CALC!C9)</f>
        <v>Hospitality:Worker</v>
      </c>
      <c r="C8" s="34" t="n">
        <f aca="false">CALC!T9</f>
        <v>0.072</v>
      </c>
      <c r="D8" s="34" t="n">
        <f aca="false">CALC!U9</f>
        <v>0.095</v>
      </c>
      <c r="E8" s="34" t="n">
        <f aca="false">CALC!V9</f>
        <v>0.162</v>
      </c>
      <c r="F8" s="34" t="n">
        <f aca="false">CALC!W9</f>
        <v>0.069</v>
      </c>
    </row>
    <row r="9" customFormat="false" ht="12.8" hidden="false" customHeight="false" outlineLevel="0" collapsed="false">
      <c r="A9" s="14" t="str">
        <f aca="false">_xlfn.CONCAT($A$1, ".", CALC!A10)</f>
        <v>AL.U6R.6</v>
      </c>
      <c r="B9" s="32" t="str">
        <f aca="false">_xlfn.CONCAT(CALC!B10, ":", CALC!C10)</f>
        <v>Hospitality:Support</v>
      </c>
      <c r="C9" s="34" t="n">
        <f aca="false">CALC!T10</f>
        <v>0.072</v>
      </c>
      <c r="D9" s="34" t="n">
        <f aca="false">CALC!U10</f>
        <v>0.095</v>
      </c>
      <c r="E9" s="34" t="n">
        <f aca="false">CALC!V10</f>
        <v>0.162</v>
      </c>
      <c r="F9" s="34" t="n">
        <f aca="false">CALC!W10</f>
        <v>0.069</v>
      </c>
    </row>
    <row r="10" customFormat="false" ht="12.8" hidden="false" customHeight="false" outlineLevel="0" collapsed="false">
      <c r="A10" s="14" t="str">
        <f aca="false">_xlfn.CONCAT($A$1, ".", CALC!A11)</f>
        <v>AL.U6R.7</v>
      </c>
      <c r="B10" s="32" t="str">
        <f aca="false">_xlfn.CONCAT(CALC!B11, ":", CALC!C11)</f>
        <v>Cleaning &amp; Maintenance:Worker</v>
      </c>
      <c r="C10" s="34" t="n">
        <f aca="false">CALC!T11</f>
        <v>0.1</v>
      </c>
      <c r="D10" s="34" t="n">
        <f aca="false">CALC!U11</f>
        <v>0.132</v>
      </c>
      <c r="E10" s="34" t="n">
        <f aca="false">CALC!V11</f>
        <v>0.221</v>
      </c>
      <c r="F10" s="34" t="n">
        <f aca="false">CALC!W11</f>
        <v>0.095</v>
      </c>
    </row>
    <row r="11" customFormat="false" ht="12.8" hidden="false" customHeight="false" outlineLevel="0" collapsed="false">
      <c r="A11" s="14" t="str">
        <f aca="false">_xlfn.CONCAT($A$1, ".", CALC!A12)</f>
        <v>AL.U6R.8</v>
      </c>
      <c r="B11" s="32" t="str">
        <f aca="false">_xlfn.CONCAT(CALC!B12, ":", CALC!C12)</f>
        <v>Cleaning &amp; Maintenance:Support</v>
      </c>
      <c r="C11" s="34" t="n">
        <f aca="false">CALC!T12</f>
        <v>0.1</v>
      </c>
      <c r="D11" s="34" t="n">
        <f aca="false">CALC!U12</f>
        <v>0.132</v>
      </c>
      <c r="E11" s="34" t="n">
        <f aca="false">CALC!V12</f>
        <v>0.221</v>
      </c>
      <c r="F11" s="34" t="n">
        <f aca="false">CALC!W12</f>
        <v>0.095</v>
      </c>
    </row>
    <row r="12" customFormat="false" ht="12.8" hidden="false" customHeight="false" outlineLevel="0" collapsed="false">
      <c r="A12" s="14" t="str">
        <f aca="false">_xlfn.CONCAT($A$1, ".", CALC!A13)</f>
        <v>AL.U6R.9</v>
      </c>
      <c r="B12" s="32" t="str">
        <f aca="false">_xlfn.CONCAT(CALC!B13, ":", CALC!C13)</f>
        <v>Manufacturing:Worker</v>
      </c>
      <c r="C12" s="34" t="n">
        <f aca="false">CALC!T13</f>
        <v>0.031</v>
      </c>
      <c r="D12" s="34" t="n">
        <f aca="false">CALC!U13</f>
        <v>0.037</v>
      </c>
      <c r="E12" s="34" t="n">
        <f aca="false">CALC!V13</f>
        <v>0.078</v>
      </c>
      <c r="F12" s="34" t="n">
        <f aca="false">CALC!W13</f>
        <v>0.03</v>
      </c>
    </row>
    <row r="13" customFormat="false" ht="12.8" hidden="false" customHeight="false" outlineLevel="0" collapsed="false">
      <c r="A13" s="14" t="str">
        <f aca="false">_xlfn.CONCAT($A$1, ".", CALC!A14)</f>
        <v>AL.U6R.10</v>
      </c>
      <c r="B13" s="32" t="str">
        <f aca="false">_xlfn.CONCAT(CALC!B14, ":", CALC!C14)</f>
        <v>Manufacturing:Support</v>
      </c>
      <c r="C13" s="34" t="n">
        <f aca="false">CALC!T14</f>
        <v>0.031</v>
      </c>
      <c r="D13" s="34" t="n">
        <f aca="false">CALC!U14</f>
        <v>0.037</v>
      </c>
      <c r="E13" s="34" t="n">
        <f aca="false">CALC!V14</f>
        <v>0.078</v>
      </c>
      <c r="F13" s="34" t="n">
        <f aca="false">CALC!W14</f>
        <v>0.03</v>
      </c>
    </row>
    <row r="14" customFormat="false" ht="12.8" hidden="false" customHeight="false" outlineLevel="0" collapsed="false">
      <c r="A14" s="14" t="str">
        <f aca="false">_xlfn.CONCAT($A$1, ".", CALC!A15)</f>
        <v>AL.U6R.11</v>
      </c>
      <c r="B14" s="32" t="str">
        <f aca="false">_xlfn.CONCAT(CALC!B15, ":", CALC!C15)</f>
        <v>Transportation &amp; Warehousing:Worker</v>
      </c>
      <c r="C14" s="34" t="n">
        <f aca="false">CALC!T15</f>
        <v>0.037</v>
      </c>
      <c r="D14" s="34" t="n">
        <f aca="false">CALC!U15</f>
        <v>0.046</v>
      </c>
      <c r="E14" s="34" t="n">
        <f aca="false">CALC!V15</f>
        <v>0.084</v>
      </c>
      <c r="F14" s="34" t="n">
        <f aca="false">CALC!W15</f>
        <v>0.034</v>
      </c>
    </row>
    <row r="15" customFormat="false" ht="12.8" hidden="false" customHeight="false" outlineLevel="0" collapsed="false">
      <c r="A15" s="14" t="str">
        <f aca="false">_xlfn.CONCAT($A$1, ".", CALC!A16)</f>
        <v>AL.U6R.12</v>
      </c>
      <c r="B15" s="32" t="str">
        <f aca="false">_xlfn.CONCAT(CALC!B16, ":", CALC!C16)</f>
        <v>Transportation &amp; Warehousing:Support</v>
      </c>
      <c r="C15" s="34" t="n">
        <f aca="false">CALC!T16</f>
        <v>0.037</v>
      </c>
      <c r="D15" s="34" t="n">
        <f aca="false">CALC!U16</f>
        <v>0.046</v>
      </c>
      <c r="E15" s="34" t="n">
        <f aca="false">CALC!V16</f>
        <v>0.084</v>
      </c>
      <c r="F15" s="34" t="n">
        <f aca="false">CALC!W16</f>
        <v>0.034</v>
      </c>
    </row>
    <row r="16" customFormat="false" ht="12.8" hidden="false" customHeight="false" outlineLevel="0" collapsed="false">
      <c r="A16" s="14" t="str">
        <f aca="false">_xlfn.CONCAT($A$1, ".", CALC!A17)</f>
        <v>AL.U6R.13</v>
      </c>
      <c r="B16" s="32" t="str">
        <f aca="false">_xlfn.CONCAT(CALC!B17, ":", CALC!C17)</f>
        <v>Retail Trade:Worker</v>
      </c>
      <c r="C16" s="34" t="n">
        <f aca="false">CALC!T17</f>
        <v>0.074</v>
      </c>
      <c r="D16" s="34" t="n">
        <f aca="false">CALC!U17</f>
        <v>0.097</v>
      </c>
      <c r="E16" s="34" t="n">
        <f aca="false">CALC!V17</f>
        <v>0.165</v>
      </c>
      <c r="F16" s="34" t="n">
        <f aca="false">CALC!W17</f>
        <v>0.071</v>
      </c>
    </row>
    <row r="17" customFormat="false" ht="12.8" hidden="false" customHeight="false" outlineLevel="0" collapsed="false">
      <c r="A17" s="14" t="str">
        <f aca="false">_xlfn.CONCAT($A$1, ".", CALC!A18)</f>
        <v>AL.U6R.14</v>
      </c>
      <c r="B17" s="32" t="str">
        <f aca="false">_xlfn.CONCAT(CALC!B18, ":", CALC!C18)</f>
        <v>Retail Trade:Support</v>
      </c>
      <c r="C17" s="34" t="n">
        <f aca="false">CALC!T18</f>
        <v>0.074</v>
      </c>
      <c r="D17" s="34" t="n">
        <f aca="false">CALC!U18</f>
        <v>0.097</v>
      </c>
      <c r="E17" s="34" t="n">
        <f aca="false">CALC!V18</f>
        <v>0.165</v>
      </c>
      <c r="F17" s="34" t="n">
        <f aca="false">CALC!W18</f>
        <v>0.071</v>
      </c>
    </row>
    <row r="18" customFormat="false" ht="12.8" hidden="false" customHeight="false" outlineLevel="0" collapsed="false">
      <c r="A18" s="14" t="str">
        <f aca="false">_xlfn.CONCAT($A$1, ".", CALC!A19)</f>
        <v>AL.U6R.15</v>
      </c>
      <c r="B18" s="32" t="str">
        <f aca="false">_xlfn.CONCAT(CALC!B19, ":", CALC!C19)</f>
        <v>Landscaping / Groundskeeping:Worker</v>
      </c>
      <c r="C18" s="34" t="n">
        <f aca="false">CALC!T19</f>
        <v>0.093</v>
      </c>
      <c r="D18" s="34" t="n">
        <f aca="false">CALC!U19</f>
        <v>0.108</v>
      </c>
      <c r="E18" s="34" t="n">
        <f aca="false">CALC!V19</f>
        <v>0.155</v>
      </c>
      <c r="F18" s="34" t="n">
        <f aca="false">CALC!W19</f>
        <v>0.089</v>
      </c>
    </row>
    <row r="19" customFormat="false" ht="12.8" hidden="false" customHeight="false" outlineLevel="0" collapsed="false">
      <c r="A19" s="14" t="str">
        <f aca="false">_xlfn.CONCAT($A$1, ".", CALC!A20)</f>
        <v>AL.U6R.16</v>
      </c>
      <c r="B19" s="32" t="str">
        <f aca="false">_xlfn.CONCAT(CALC!B20, ":", CALC!C20)</f>
        <v>Landscaping / Groundskeeping:Support</v>
      </c>
      <c r="C19" s="34" t="n">
        <f aca="false">CALC!T20</f>
        <v>0.093</v>
      </c>
      <c r="D19" s="34" t="n">
        <f aca="false">CALC!U20</f>
        <v>0.108</v>
      </c>
      <c r="E19" s="34" t="n">
        <f aca="false">CALC!V20</f>
        <v>0.155</v>
      </c>
      <c r="F19" s="34" t="n">
        <f aca="false">CALC!W20</f>
        <v>0.089</v>
      </c>
    </row>
    <row r="20" customFormat="false" ht="12.8" hidden="false" customHeight="false" outlineLevel="0" collapsed="false">
      <c r="A20" s="14" t="str">
        <f aca="false">_xlfn.CONCAT($A$1, ".", CALC!A21)</f>
        <v>AL.U6R.17</v>
      </c>
      <c r="B20" s="32" t="str">
        <f aca="false">_xlfn.CONCAT(CALC!B21, ":", CALC!C21)</f>
        <v>Automotive &amp; Repair:Worker</v>
      </c>
      <c r="C20" s="34" t="n">
        <f aca="false">CALC!T21</f>
        <v>0.046</v>
      </c>
      <c r="D20" s="34" t="n">
        <f aca="false">CALC!U21</f>
        <v>0.057</v>
      </c>
      <c r="E20" s="34" t="n">
        <f aca="false">CALC!V21</f>
        <v>0.104</v>
      </c>
      <c r="F20" s="34" t="n">
        <f aca="false">CALC!W21</f>
        <v>0.042</v>
      </c>
    </row>
    <row r="21" customFormat="false" ht="12.8" hidden="false" customHeight="false" outlineLevel="0" collapsed="false">
      <c r="A21" s="14" t="str">
        <f aca="false">_xlfn.CONCAT($A$1, ".", CALC!A22)</f>
        <v>AL.U6R.18</v>
      </c>
      <c r="B21" s="32" t="str">
        <f aca="false">_xlfn.CONCAT(CALC!B22, ":", CALC!C22)</f>
        <v>Automotive &amp; Repair:Support</v>
      </c>
      <c r="C21" s="34" t="n">
        <f aca="false">CALC!T22</f>
        <v>0.046</v>
      </c>
      <c r="D21" s="34" t="n">
        <f aca="false">CALC!U22</f>
        <v>0.057</v>
      </c>
      <c r="E21" s="34" t="n">
        <f aca="false">CALC!V22</f>
        <v>0.104</v>
      </c>
      <c r="F21" s="34" t="n">
        <f aca="false">CALC!W22</f>
        <v>0.042</v>
      </c>
    </row>
    <row r="22" customFormat="false" ht="12.8" hidden="false" customHeight="false" outlineLevel="0" collapsed="false">
      <c r="A22" s="14" t="str">
        <f aca="false">_xlfn.CONCAT($A$1, ".", CALC!A23)</f>
        <v>AL.U6R.19</v>
      </c>
      <c r="B22" s="32" t="str">
        <f aca="false">_xlfn.CONCAT(CALC!B23, ":", CALC!C23)</f>
        <v>Healthcare &amp; Social Assistance:Worker</v>
      </c>
      <c r="C22" s="34" t="n">
        <f aca="false">CALC!T23</f>
        <v>0.035</v>
      </c>
      <c r="D22" s="34" t="n">
        <f aca="false">CALC!U23</f>
        <v>0.042</v>
      </c>
      <c r="E22" s="34" t="n">
        <f aca="false">CALC!V23</f>
        <v>0.088</v>
      </c>
      <c r="F22" s="34" t="n">
        <f aca="false">CALC!W23</f>
        <v>0.034</v>
      </c>
    </row>
    <row r="23" customFormat="false" ht="12.8" hidden="false" customHeight="false" outlineLevel="0" collapsed="false">
      <c r="A23" s="14" t="str">
        <f aca="false">_xlfn.CONCAT($A$1, ".", CALC!A24)</f>
        <v>AL.U6R.20</v>
      </c>
      <c r="B23" s="32" t="str">
        <f aca="false">_xlfn.CONCAT(CALC!B24, ":", CALC!C24)</f>
        <v>Healthcare &amp; Social Assistance:Support</v>
      </c>
      <c r="C23" s="34" t="n">
        <f aca="false">CALC!T24</f>
        <v>0.035</v>
      </c>
      <c r="D23" s="34" t="n">
        <f aca="false">CALC!U24</f>
        <v>0.042</v>
      </c>
      <c r="E23" s="34" t="n">
        <f aca="false">CALC!V24</f>
        <v>0.088</v>
      </c>
      <c r="F23" s="34" t="n">
        <f aca="false">CALC!W24</f>
        <v>0.034</v>
      </c>
    </row>
    <row r="24" customFormat="false" ht="12.8" hidden="false" customHeight="false" outlineLevel="0" collapsed="false">
      <c r="A24" s="14" t="str">
        <f aca="false">_xlfn.CONCAT($A$1, ".", CALC!A25)</f>
        <v>AL.U6R.21</v>
      </c>
      <c r="B24" s="32" t="str">
        <f aca="false">_xlfn.CONCAT(CALC!B25, ":", CALC!C25)</f>
        <v>Professional Services:Worker</v>
      </c>
      <c r="C24" s="34" t="n">
        <f aca="false">CALC!T25</f>
        <v>0.026</v>
      </c>
      <c r="D24" s="34" t="n">
        <f aca="false">CALC!U25</f>
        <v>0.031</v>
      </c>
      <c r="E24" s="34" t="n">
        <f aca="false">CALC!V25</f>
        <v>0.065</v>
      </c>
      <c r="F24" s="34" t="n">
        <f aca="false">CALC!W25</f>
        <v>0.024</v>
      </c>
    </row>
    <row r="25" customFormat="false" ht="12.8" hidden="false" customHeight="false" outlineLevel="0" collapsed="false">
      <c r="A25" s="14" t="str">
        <f aca="false">_xlfn.CONCAT($A$1, ".", CALC!A26)</f>
        <v>AL.U6R.22</v>
      </c>
      <c r="B25" s="32" t="str">
        <f aca="false">_xlfn.CONCAT(CALC!B26, ":", CALC!C26)</f>
        <v>Professional Services:Support</v>
      </c>
      <c r="C25" s="34" t="n">
        <f aca="false">CALC!T26</f>
        <v>0.026</v>
      </c>
      <c r="D25" s="34" t="n">
        <f aca="false">CALC!U26</f>
        <v>0.031</v>
      </c>
      <c r="E25" s="34" t="n">
        <f aca="false">CALC!V26</f>
        <v>0.065</v>
      </c>
      <c r="F25" s="34" t="n">
        <f aca="false">CALC!W26</f>
        <v>0.024</v>
      </c>
    </row>
    <row r="26" customFormat="false" ht="12.8" hidden="false" customHeight="false" outlineLevel="0" collapsed="false">
      <c r="A26" s="14" t="str">
        <f aca="false">_xlfn.CONCAT($A$1, ".", CALC!A27)</f>
        <v>AL.U6R.23</v>
      </c>
      <c r="B26" s="32" t="str">
        <f aca="false">_xlfn.CONCAT(CALC!B27, ":", CALC!C27)</f>
        <v>Educational Services:Worker</v>
      </c>
      <c r="C26" s="34" t="n">
        <f aca="false">CALC!T27</f>
        <v>0.036</v>
      </c>
      <c r="D26" s="34" t="n">
        <f aca="false">CALC!U27</f>
        <v>0.043</v>
      </c>
      <c r="E26" s="34" t="n">
        <f aca="false">CALC!V27</f>
        <v>0.09</v>
      </c>
      <c r="F26" s="34" t="n">
        <f aca="false">CALC!W27</f>
        <v>0.035</v>
      </c>
    </row>
    <row r="27" customFormat="false" ht="12.8" hidden="false" customHeight="false" outlineLevel="0" collapsed="false">
      <c r="A27" s="14" t="str">
        <f aca="false">_xlfn.CONCAT($A$1, ".", CALC!A28)</f>
        <v>AL.U6R.24</v>
      </c>
      <c r="B27" s="32" t="str">
        <f aca="false">_xlfn.CONCAT(CALC!B28, ":", CALC!C28)</f>
        <v>Educational Services:Support</v>
      </c>
      <c r="C27" s="34" t="n">
        <f aca="false">CALC!T28</f>
        <v>0.036</v>
      </c>
      <c r="D27" s="34" t="n">
        <f aca="false">CALC!U28</f>
        <v>0.043</v>
      </c>
      <c r="E27" s="34" t="n">
        <f aca="false">CALC!V28</f>
        <v>0.09</v>
      </c>
      <c r="F27" s="34" t="n">
        <f aca="false">CALC!W28</f>
        <v>0.035</v>
      </c>
    </row>
    <row r="28" customFormat="false" ht="12.8" hidden="false" customHeight="false" outlineLevel="0" collapsed="false">
      <c r="A28" s="14" t="str">
        <f aca="false">_xlfn.CONCAT($A$1, ".", CALC!A29)</f>
        <v>AL.U6R.25</v>
      </c>
      <c r="B28" s="32" t="str">
        <f aca="false">_xlfn.CONCAT(CALC!B29, ":", CALC!C29)</f>
        <v>Finance &amp; Insurance:Worker</v>
      </c>
      <c r="C28" s="34" t="n">
        <f aca="false">CALC!T29</f>
        <v>0.028</v>
      </c>
      <c r="D28" s="34" t="n">
        <f aca="false">CALC!U29</f>
        <v>0.034</v>
      </c>
      <c r="E28" s="34" t="n">
        <f aca="false">CALC!V29</f>
        <v>0.071</v>
      </c>
      <c r="F28" s="34" t="n">
        <f aca="false">CALC!W29</f>
        <v>0.027</v>
      </c>
    </row>
    <row r="29" customFormat="false" ht="12.8" hidden="false" customHeight="false" outlineLevel="0" collapsed="false">
      <c r="A29" s="14" t="str">
        <f aca="false">_xlfn.CONCAT($A$1, ".", CALC!A30)</f>
        <v>AL.U6R.26</v>
      </c>
      <c r="B29" s="32" t="str">
        <f aca="false">_xlfn.CONCAT(CALC!B30, ":", CALC!C30)</f>
        <v>Finance &amp; Insurance:Support</v>
      </c>
      <c r="C29" s="34" t="n">
        <f aca="false">CALC!T30</f>
        <v>0.028</v>
      </c>
      <c r="D29" s="34" t="n">
        <f aca="false">CALC!U30</f>
        <v>0.034</v>
      </c>
      <c r="E29" s="34" t="n">
        <f aca="false">CALC!V30</f>
        <v>0.071</v>
      </c>
      <c r="F29" s="34" t="n">
        <f aca="false">CALC!W30</f>
        <v>0.027</v>
      </c>
    </row>
    <row r="30" customFormat="false" ht="12.8" hidden="false" customHeight="false" outlineLevel="0" collapsed="false">
      <c r="A30" s="14" t="str">
        <f aca="false">_xlfn.CONCAT($A$1, ".", CALC!A31)</f>
        <v>AL.U6R.27</v>
      </c>
      <c r="B30" s="32" t="str">
        <f aca="false">_xlfn.CONCAT(CALC!B31, ":", CALC!C31)</f>
        <v>Media and Information Technology:Worker</v>
      </c>
      <c r="C30" s="34" t="n">
        <f aca="false">CALC!T31</f>
        <v>0.03</v>
      </c>
      <c r="D30" s="34" t="n">
        <f aca="false">CALC!U31</f>
        <v>0.036</v>
      </c>
      <c r="E30" s="34" t="n">
        <f aca="false">CALC!V31</f>
        <v>0.076</v>
      </c>
      <c r="F30" s="34" t="n">
        <f aca="false">CALC!W31</f>
        <v>0.029</v>
      </c>
    </row>
    <row r="31" customFormat="false" ht="12.8" hidden="false" customHeight="false" outlineLevel="0" collapsed="false">
      <c r="A31" s="14" t="str">
        <f aca="false">_xlfn.CONCAT($A$1, ".", CALC!A32)</f>
        <v>AL.U6R.28</v>
      </c>
      <c r="B31" s="32" t="str">
        <f aca="false">_xlfn.CONCAT(CALC!B32, ":", CALC!C32)</f>
        <v>Media and Information Technology:Support</v>
      </c>
      <c r="C31" s="34" t="n">
        <f aca="false">CALC!T32</f>
        <v>0.03</v>
      </c>
      <c r="D31" s="34" t="n">
        <f aca="false">CALC!U32</f>
        <v>0.036</v>
      </c>
      <c r="E31" s="34" t="n">
        <f aca="false">CALC!V32</f>
        <v>0.076</v>
      </c>
      <c r="F31" s="34" t="n">
        <f aca="false">CALC!W32</f>
        <v>0.029</v>
      </c>
    </row>
    <row r="32" customFormat="false" ht="12.8" hidden="false" customHeight="false" outlineLevel="0" collapsed="false">
      <c r="A32" s="14" t="str">
        <f aca="false">_xlfn.CONCAT($A$1, ".", CALC!A33)</f>
        <v>AL.U6R.29</v>
      </c>
      <c r="B32" s="32" t="str">
        <f aca="false">_xlfn.CONCAT(CALC!B33, ":", CALC!C33)</f>
        <v>Government:Worker</v>
      </c>
      <c r="C32" s="34" t="n">
        <f aca="false">CALC!T33</f>
        <v>0.03</v>
      </c>
      <c r="D32" s="34" t="n">
        <f aca="false">CALC!U33</f>
        <v>0.036</v>
      </c>
      <c r="E32" s="34" t="n">
        <f aca="false">CALC!V33</f>
        <v>0.076</v>
      </c>
      <c r="F32" s="34" t="n">
        <f aca="false">CALC!W33</f>
        <v>0.029</v>
      </c>
    </row>
    <row r="33" customFormat="false" ht="12.8" hidden="false" customHeight="false" outlineLevel="0" collapsed="false">
      <c r="A33" s="14" t="e">
        <f aca="false">_xlfn.CONCAT($A$1, ".", #REF!)</f>
        <v>#REF!</v>
      </c>
      <c r="B33" s="32" t="e">
        <f aca="false">_xlfn.CONCAT(#REF!, ":", #REF!)</f>
        <v>#REF!</v>
      </c>
      <c r="C33" s="34" t="e">
        <f aca="false">#REF!</f>
        <v>#REF!</v>
      </c>
      <c r="D33" s="34" t="e">
        <f aca="false">#REF!</f>
        <v>#REF!</v>
      </c>
      <c r="E33" s="34" t="e">
        <f aca="false">#REF!</f>
        <v>#REF!</v>
      </c>
      <c r="F33" s="34" t="e">
        <f aca="false">#REF!</f>
        <v>#REF!</v>
      </c>
    </row>
    <row r="34" customFormat="false" ht="12.8" hidden="false" customHeight="false" outlineLevel="0" collapsed="false">
      <c r="A34" s="14" t="e">
        <f aca="false">_xlfn.CONCAT($A$1, ".", #REF!)</f>
        <v>#REF!</v>
      </c>
      <c r="B34" s="32" t="e">
        <f aca="false">_xlfn.CONCAT(#REF!, ":", #REF!)</f>
        <v>#REF!</v>
      </c>
      <c r="C34" s="34" t="e">
        <f aca="false">#REF!</f>
        <v>#REF!</v>
      </c>
      <c r="D34" s="34" t="e">
        <f aca="false">#REF!</f>
        <v>#REF!</v>
      </c>
      <c r="E34" s="34" t="e">
        <f aca="false">#REF!</f>
        <v>#REF!</v>
      </c>
      <c r="F34" s="34" t="e">
        <f aca="false">#REF!</f>
        <v>#REF!</v>
      </c>
    </row>
    <row r="35" customFormat="false" ht="12.8" hidden="false" customHeight="false" outlineLevel="0" collapsed="false">
      <c r="A35" s="14" t="e">
        <f aca="false">_xlfn.CONCAT($A$1, ".", #REF!)</f>
        <v>#REF!</v>
      </c>
      <c r="B35" s="32" t="e">
        <f aca="false">_xlfn.CONCAT(#REF!, ":", #REF!)</f>
        <v>#REF!</v>
      </c>
      <c r="C35" s="34" t="e">
        <f aca="false">#REF!</f>
        <v>#REF!</v>
      </c>
      <c r="D35" s="34" t="e">
        <f aca="false">#REF!</f>
        <v>#REF!</v>
      </c>
      <c r="E35" s="34" t="e">
        <f aca="false">#REF!</f>
        <v>#REF!</v>
      </c>
      <c r="F35" s="34" t="e">
        <f aca="false">#REF!</f>
        <v>#REF!</v>
      </c>
    </row>
    <row r="36" customFormat="false" ht="12.8" hidden="false" customHeight="false" outlineLevel="0" collapsed="false">
      <c r="A36" s="14" t="e">
        <f aca="false">_xlfn.CONCAT($A$1, ".", #REF!)</f>
        <v>#REF!</v>
      </c>
      <c r="B36" s="32" t="e">
        <f aca="false">_xlfn.CONCAT(#REF!, ":", #REF!)</f>
        <v>#REF!</v>
      </c>
      <c r="C36" s="34" t="e">
        <f aca="false">#REF!</f>
        <v>#REF!</v>
      </c>
      <c r="D36" s="34" t="e">
        <f aca="false">#REF!</f>
        <v>#REF!</v>
      </c>
      <c r="E36" s="34" t="e">
        <f aca="false">#REF!</f>
        <v>#REF!</v>
      </c>
      <c r="F36" s="34" t="e">
        <f aca="false">#REF!</f>
        <v>#REF!</v>
      </c>
    </row>
    <row r="37" customFormat="false" ht="12.8" hidden="false" customHeight="false" outlineLevel="0" collapsed="false">
      <c r="A37" s="14" t="e">
        <f aca="false">_xlfn.CONCAT($A$1, ".", #REF!)</f>
        <v>#REF!</v>
      </c>
      <c r="B37" s="32" t="e">
        <f aca="false">_xlfn.CONCAT(#REF!, ":", #REF!)</f>
        <v>#REF!</v>
      </c>
      <c r="C37" s="34" t="e">
        <f aca="false">#REF!</f>
        <v>#REF!</v>
      </c>
      <c r="D37" s="34" t="e">
        <f aca="false">#REF!</f>
        <v>#REF!</v>
      </c>
      <c r="E37" s="34" t="e">
        <f aca="false">#REF!</f>
        <v>#REF!</v>
      </c>
      <c r="F37" s="34" t="e">
        <f aca="false">#REF!</f>
        <v>#REF!</v>
      </c>
    </row>
    <row r="131" customFormat="false" ht="12.8" hidden="false" customHeight="false" outlineLevel="0" collapsed="false">
      <c r="A131" s="11" t="s">
        <v>8445</v>
      </c>
      <c r="B131" s="20" t="s">
        <v>8446</v>
      </c>
      <c r="C131" s="30" t="s">
        <v>8444</v>
      </c>
    </row>
    <row r="132" customFormat="false" ht="12.8" hidden="false" customHeight="false" outlineLevel="0" collapsed="false">
      <c r="A132" s="11" t="s">
        <v>22</v>
      </c>
      <c r="B132" s="23" t="s">
        <v>8432</v>
      </c>
      <c r="C132" s="27" t="e">
        <f aca="false">#REF!</f>
        <v>#REF!</v>
      </c>
      <c r="D132" s="27" t="e">
        <f aca="false">#REF!</f>
        <v>#REF!</v>
      </c>
      <c r="E132" s="27" t="e">
        <f aca="false">#REF!</f>
        <v>#REF!</v>
      </c>
      <c r="F132" s="27" t="e">
        <f aca="false">#REF!</f>
        <v>#REF!</v>
      </c>
    </row>
    <row r="133" customFormat="false" ht="12.8" hidden="false" customHeight="false" outlineLevel="0" collapsed="false">
      <c r="A133" s="9" t="e">
        <f aca="false">_xlfn.CONCAT($A$131, ".", #REF!)</f>
        <v>#REF!</v>
      </c>
      <c r="B133" s="12" t="e">
        <f aca="false">_xlfn.CONCAT(#REF!, ": ", #REF!)</f>
        <v>#REF!</v>
      </c>
      <c r="C133" s="34" t="e">
        <f aca="false">#REF!</f>
        <v>#REF!</v>
      </c>
      <c r="D133" s="34" t="e">
        <f aca="false">#REF!</f>
        <v>#REF!</v>
      </c>
      <c r="E133" s="34" t="e">
        <f aca="false">#REF!</f>
        <v>#REF!</v>
      </c>
      <c r="F133" s="34" t="e">
        <f aca="false">#REF!</f>
        <v>#REF!</v>
      </c>
    </row>
    <row r="134" customFormat="false" ht="12.8" hidden="false" customHeight="false" outlineLevel="0" collapsed="false">
      <c r="A134" s="9" t="e">
        <f aca="false">_xlfn.CONCAT($A$131, ".", #REF!)</f>
        <v>#REF!</v>
      </c>
      <c r="B134" s="15" t="e">
        <f aca="false">_xlfn.CONCAT(#REF!, ": ", #REF!)</f>
        <v>#REF!</v>
      </c>
      <c r="C134" s="34" t="e">
        <f aca="false">#REF!</f>
        <v>#REF!</v>
      </c>
      <c r="D134" s="34" t="e">
        <f aca="false">#REF!</f>
        <v>#REF!</v>
      </c>
      <c r="E134" s="34" t="e">
        <f aca="false">#REF!</f>
        <v>#REF!</v>
      </c>
      <c r="F134" s="34" t="e">
        <f aca="false">#REF!</f>
        <v>#REF!</v>
      </c>
    </row>
    <row r="135" customFormat="false" ht="12.8" hidden="false" customHeight="false" outlineLevel="0" collapsed="false">
      <c r="A135" s="9" t="e">
        <f aca="false">_xlfn.CONCAT($A$131, ".", #REF!)</f>
        <v>#REF!</v>
      </c>
      <c r="B135" s="15" t="e">
        <f aca="false">_xlfn.CONCAT(#REF!, ": ", #REF!)</f>
        <v>#REF!</v>
      </c>
      <c r="C135" s="34" t="e">
        <f aca="false">#REF!</f>
        <v>#REF!</v>
      </c>
      <c r="D135" s="34" t="e">
        <f aca="false">#REF!</f>
        <v>#REF!</v>
      </c>
      <c r="E135" s="34" t="e">
        <f aca="false">#REF!</f>
        <v>#REF!</v>
      </c>
      <c r="F135" s="34" t="e">
        <f aca="false">#REF!</f>
        <v>#REF!</v>
      </c>
    </row>
    <row r="136" customFormat="false" ht="12.8" hidden="false" customHeight="false" outlineLevel="0" collapsed="false">
      <c r="A136" s="9" t="e">
        <f aca="false">_xlfn.CONCAT($A$131, ".", #REF!)</f>
        <v>#REF!</v>
      </c>
      <c r="B136" s="15" t="e">
        <f aca="false">_xlfn.CONCAT(#REF!, ": ", #REF!)</f>
        <v>#REF!</v>
      </c>
      <c r="C136" s="34" t="e">
        <f aca="false">#REF!</f>
        <v>#REF!</v>
      </c>
      <c r="D136" s="34" t="e">
        <f aca="false">#REF!</f>
        <v>#REF!</v>
      </c>
      <c r="E136" s="34" t="e">
        <f aca="false">#REF!</f>
        <v>#REF!</v>
      </c>
      <c r="F136" s="34" t="e">
        <f aca="false">#REF!</f>
        <v>#REF!</v>
      </c>
    </row>
    <row r="137" customFormat="false" ht="12.8" hidden="false" customHeight="false" outlineLevel="0" collapsed="false">
      <c r="A137" s="9" t="e">
        <f aca="false">_xlfn.CONCAT($A$131, ".", #REF!)</f>
        <v>#REF!</v>
      </c>
      <c r="B137" s="15" t="e">
        <f aca="false">_xlfn.CONCAT(#REF!, ": ", #REF!)</f>
        <v>#REF!</v>
      </c>
      <c r="C137" s="34" t="e">
        <f aca="false">#REF!</f>
        <v>#REF!</v>
      </c>
      <c r="D137" s="34" t="e">
        <f aca="false">#REF!</f>
        <v>#REF!</v>
      </c>
      <c r="E137" s="34" t="e">
        <f aca="false">#REF!</f>
        <v>#REF!</v>
      </c>
      <c r="F137" s="34" t="e">
        <f aca="false">#REF!</f>
        <v>#REF!</v>
      </c>
    </row>
    <row r="138" customFormat="false" ht="12.8" hidden="false" customHeight="false" outlineLevel="0" collapsed="false">
      <c r="A138" s="9" t="e">
        <f aca="false">_xlfn.CONCAT($A$131, ".", #REF!)</f>
        <v>#REF!</v>
      </c>
      <c r="B138" s="15" t="e">
        <f aca="false">_xlfn.CONCAT(#REF!, ": ", #REF!)</f>
        <v>#REF!</v>
      </c>
      <c r="C138" s="34" t="e">
        <f aca="false">#REF!</f>
        <v>#REF!</v>
      </c>
      <c r="D138" s="34" t="e">
        <f aca="false">#REF!</f>
        <v>#REF!</v>
      </c>
      <c r="E138" s="34" t="e">
        <f aca="false">#REF!</f>
        <v>#REF!</v>
      </c>
      <c r="F138" s="34" t="e">
        <f aca="false">#REF!</f>
        <v>#REF!</v>
      </c>
    </row>
    <row r="139" customFormat="false" ht="12.8" hidden="false" customHeight="false" outlineLevel="0" collapsed="false">
      <c r="A139" s="9" t="e">
        <f aca="false">_xlfn.CONCAT($A$131, ".", #REF!)</f>
        <v>#REF!</v>
      </c>
      <c r="B139" s="15" t="e">
        <f aca="false">_xlfn.CONCAT(#REF!, ": ", #REF!)</f>
        <v>#REF!</v>
      </c>
      <c r="C139" s="34" t="e">
        <f aca="false">#REF!</f>
        <v>#REF!</v>
      </c>
      <c r="D139" s="34" t="e">
        <f aca="false">#REF!</f>
        <v>#REF!</v>
      </c>
      <c r="E139" s="34" t="e">
        <f aca="false">#REF!</f>
        <v>#REF!</v>
      </c>
      <c r="F139" s="34" t="e">
        <f aca="false">#REF!</f>
        <v>#REF!</v>
      </c>
    </row>
    <row r="140" customFormat="false" ht="12.8" hidden="false" customHeight="false" outlineLevel="0" collapsed="false">
      <c r="A140" s="9" t="e">
        <f aca="false">_xlfn.CONCAT($A$131, ".", #REF!)</f>
        <v>#REF!</v>
      </c>
      <c r="B140" s="15" t="e">
        <f aca="false">_xlfn.CONCAT(#REF!, ": ", #REF!)</f>
        <v>#REF!</v>
      </c>
      <c r="C140" s="34" t="e">
        <f aca="false">#REF!</f>
        <v>#REF!</v>
      </c>
      <c r="D140" s="34" t="e">
        <f aca="false">#REF!</f>
        <v>#REF!</v>
      </c>
      <c r="E140" s="34" t="e">
        <f aca="false">#REF!</f>
        <v>#REF!</v>
      </c>
      <c r="F140" s="34" t="e">
        <f aca="false">#REF!</f>
        <v>#REF!</v>
      </c>
    </row>
    <row r="141" customFormat="false" ht="12.8" hidden="false" customHeight="false" outlineLevel="0" collapsed="false">
      <c r="A141" s="9" t="e">
        <f aca="false">_xlfn.CONCAT($A$131, ".", #REF!)</f>
        <v>#REF!</v>
      </c>
      <c r="B141" s="15" t="e">
        <f aca="false">_xlfn.CONCAT(#REF!, ": ", #REF!)</f>
        <v>#REF!</v>
      </c>
      <c r="C141" s="34" t="e">
        <f aca="false">#REF!</f>
        <v>#REF!</v>
      </c>
      <c r="D141" s="34" t="e">
        <f aca="false">#REF!</f>
        <v>#REF!</v>
      </c>
      <c r="E141" s="34" t="e">
        <f aca="false">#REF!</f>
        <v>#REF!</v>
      </c>
      <c r="F141" s="34" t="e">
        <f aca="false">#REF!</f>
        <v>#REF!</v>
      </c>
    </row>
    <row r="142" customFormat="false" ht="12.8" hidden="false" customHeight="false" outlineLevel="0" collapsed="false">
      <c r="A142" s="9" t="e">
        <f aca="false">_xlfn.CONCAT($A$131, ".", #REF!)</f>
        <v>#REF!</v>
      </c>
      <c r="B142" s="15" t="e">
        <f aca="false">_xlfn.CONCAT(#REF!, ": ", #REF!)</f>
        <v>#REF!</v>
      </c>
      <c r="C142" s="34" t="e">
        <f aca="false">#REF!</f>
        <v>#REF!</v>
      </c>
      <c r="D142" s="34" t="e">
        <f aca="false">#REF!</f>
        <v>#REF!</v>
      </c>
      <c r="E142" s="34" t="e">
        <f aca="false">#REF!</f>
        <v>#REF!</v>
      </c>
      <c r="F142" s="34" t="e">
        <f aca="false">#REF!</f>
        <v>#REF!</v>
      </c>
    </row>
    <row r="143" customFormat="false" ht="12.8" hidden="false" customHeight="false" outlineLevel="0" collapsed="false">
      <c r="A143" s="9" t="e">
        <f aca="false">_xlfn.CONCAT($A$131, ".", #REF!)</f>
        <v>#REF!</v>
      </c>
      <c r="B143" s="15" t="e">
        <f aca="false">_xlfn.CONCAT(#REF!, ": ", #REF!)</f>
        <v>#REF!</v>
      </c>
      <c r="C143" s="34" t="e">
        <f aca="false">#REF!</f>
        <v>#REF!</v>
      </c>
      <c r="D143" s="34" t="e">
        <f aca="false">#REF!</f>
        <v>#REF!</v>
      </c>
      <c r="E143" s="34" t="e">
        <f aca="false">#REF!</f>
        <v>#REF!</v>
      </c>
      <c r="F143" s="34" t="e">
        <f aca="false">#REF!</f>
        <v>#REF!</v>
      </c>
    </row>
    <row r="144" customFormat="false" ht="12.8" hidden="false" customHeight="false" outlineLevel="0" collapsed="false">
      <c r="A144" s="9" t="e">
        <f aca="false">_xlfn.CONCAT($A$131, ".", #REF!)</f>
        <v>#REF!</v>
      </c>
      <c r="B144" s="15" t="e">
        <f aca="false">_xlfn.CONCAT(#REF!, ": ", #REF!)</f>
        <v>#REF!</v>
      </c>
      <c r="C144" s="34" t="e">
        <f aca="false">#REF!</f>
        <v>#REF!</v>
      </c>
      <c r="D144" s="34" t="e">
        <f aca="false">#REF!</f>
        <v>#REF!</v>
      </c>
      <c r="E144" s="34" t="e">
        <f aca="false">#REF!</f>
        <v>#REF!</v>
      </c>
      <c r="F144" s="34" t="e">
        <f aca="false">#REF!</f>
        <v>#REF!</v>
      </c>
    </row>
    <row r="145" customFormat="false" ht="12.8" hidden="false" customHeight="false" outlineLevel="0" collapsed="false">
      <c r="A145" s="9" t="e">
        <f aca="false">_xlfn.CONCAT($A$131, ".", #REF!)</f>
        <v>#REF!</v>
      </c>
      <c r="B145" s="15" t="e">
        <f aca="false">_xlfn.CONCAT(#REF!, ": ", #REF!)</f>
        <v>#REF!</v>
      </c>
      <c r="C145" s="34" t="e">
        <f aca="false">#REF!</f>
        <v>#REF!</v>
      </c>
      <c r="D145" s="34" t="e">
        <f aca="false">#REF!</f>
        <v>#REF!</v>
      </c>
      <c r="E145" s="34" t="e">
        <f aca="false">#REF!</f>
        <v>#REF!</v>
      </c>
      <c r="F145" s="34" t="e">
        <f aca="false">#REF!</f>
        <v>#REF!</v>
      </c>
    </row>
    <row r="146" customFormat="false" ht="12.8" hidden="false" customHeight="false" outlineLevel="0" collapsed="false">
      <c r="A146" s="9" t="e">
        <f aca="false">_xlfn.CONCAT($A$131, ".", #REF!)</f>
        <v>#REF!</v>
      </c>
      <c r="B146" s="15" t="e">
        <f aca="false">_xlfn.CONCAT(#REF!, ": ", #REF!)</f>
        <v>#REF!</v>
      </c>
      <c r="C146" s="34" t="e">
        <f aca="false">#REF!</f>
        <v>#REF!</v>
      </c>
      <c r="D146" s="34" t="e">
        <f aca="false">#REF!</f>
        <v>#REF!</v>
      </c>
      <c r="E146" s="34" t="e">
        <f aca="false">#REF!</f>
        <v>#REF!</v>
      </c>
      <c r="F146" s="34" t="e">
        <f aca="false">#REF!</f>
        <v>#REF!</v>
      </c>
    </row>
    <row r="147" customFormat="false" ht="12.8" hidden="false" customHeight="false" outlineLevel="0" collapsed="false">
      <c r="A147" s="9" t="e">
        <f aca="false">_xlfn.CONCAT($A$131, ".", #REF!)</f>
        <v>#REF!</v>
      </c>
      <c r="B147" s="15" t="e">
        <f aca="false">_xlfn.CONCAT(#REF!, ": ", #REF!)</f>
        <v>#REF!</v>
      </c>
      <c r="C147" s="34" t="e">
        <f aca="false">#REF!</f>
        <v>#REF!</v>
      </c>
      <c r="D147" s="34" t="e">
        <f aca="false">#REF!</f>
        <v>#REF!</v>
      </c>
      <c r="E147" s="34" t="e">
        <f aca="false">#REF!</f>
        <v>#REF!</v>
      </c>
      <c r="F147" s="34" t="e">
        <f aca="false">#REF!</f>
        <v>#REF!</v>
      </c>
    </row>
    <row r="148" customFormat="false" ht="12.8" hidden="false" customHeight="false" outlineLevel="0" collapsed="false">
      <c r="A148" s="9" t="e">
        <f aca="false">_xlfn.CONCAT($A$131, ".", #REF!)</f>
        <v>#REF!</v>
      </c>
      <c r="B148" s="15" t="e">
        <f aca="false">_xlfn.CONCAT(#REF!, ": ", #REF!)</f>
        <v>#REF!</v>
      </c>
      <c r="C148" s="34" t="e">
        <f aca="false">#REF!</f>
        <v>#REF!</v>
      </c>
      <c r="D148" s="34" t="e">
        <f aca="false">#REF!</f>
        <v>#REF!</v>
      </c>
      <c r="E148" s="34" t="e">
        <f aca="false">#REF!</f>
        <v>#REF!</v>
      </c>
      <c r="F148" s="34" t="e">
        <f aca="false">#REF!</f>
        <v>#REF!</v>
      </c>
    </row>
    <row r="149" customFormat="false" ht="12.8" hidden="false" customHeight="false" outlineLevel="0" collapsed="false">
      <c r="A149" s="9" t="e">
        <f aca="false">_xlfn.CONCAT($A$131, ".", #REF!)</f>
        <v>#REF!</v>
      </c>
      <c r="B149" s="15" t="e">
        <f aca="false">_xlfn.CONCAT(#REF!, ": ", #REF!)</f>
        <v>#REF!</v>
      </c>
      <c r="C149" s="34" t="e">
        <f aca="false">#REF!</f>
        <v>#REF!</v>
      </c>
      <c r="D149" s="34" t="e">
        <f aca="false">#REF!</f>
        <v>#REF!</v>
      </c>
      <c r="E149" s="34" t="e">
        <f aca="false">#REF!</f>
        <v>#REF!</v>
      </c>
      <c r="F149" s="34" t="e">
        <f aca="false">#REF!</f>
        <v>#REF!</v>
      </c>
    </row>
    <row r="150" customFormat="false" ht="12.8" hidden="false" customHeight="false" outlineLevel="0" collapsed="false">
      <c r="A150" s="9" t="e">
        <f aca="false">_xlfn.CONCAT($A$131, ".", #REF!)</f>
        <v>#REF!</v>
      </c>
      <c r="B150" s="15" t="e">
        <f aca="false">_xlfn.CONCAT(#REF!, ": ", #REF!)</f>
        <v>#REF!</v>
      </c>
      <c r="C150" s="34" t="e">
        <f aca="false">#REF!</f>
        <v>#REF!</v>
      </c>
      <c r="D150" s="34" t="e">
        <f aca="false">#REF!</f>
        <v>#REF!</v>
      </c>
      <c r="E150" s="34" t="e">
        <f aca="false">#REF!</f>
        <v>#REF!</v>
      </c>
      <c r="F150" s="34" t="e">
        <f aca="false">#REF!</f>
        <v>#REF!</v>
      </c>
    </row>
    <row r="151" customFormat="false" ht="12.8" hidden="false" customHeight="false" outlineLevel="0" collapsed="false">
      <c r="A151" s="9" t="e">
        <f aca="false">_xlfn.CONCAT($A$131, ".", #REF!)</f>
        <v>#REF!</v>
      </c>
      <c r="B151" s="15" t="e">
        <f aca="false">_xlfn.CONCAT(#REF!, ": ", #REF!)</f>
        <v>#REF!</v>
      </c>
      <c r="C151" s="34" t="e">
        <f aca="false">#REF!</f>
        <v>#REF!</v>
      </c>
      <c r="D151" s="34" t="e">
        <f aca="false">#REF!</f>
        <v>#REF!</v>
      </c>
      <c r="E151" s="34" t="e">
        <f aca="false">#REF!</f>
        <v>#REF!</v>
      </c>
      <c r="F151" s="34" t="e">
        <f aca="false">#REF!</f>
        <v>#REF!</v>
      </c>
    </row>
    <row r="152" customFormat="false" ht="12.8" hidden="false" customHeight="false" outlineLevel="0" collapsed="false">
      <c r="A152" s="9" t="e">
        <f aca="false">_xlfn.CONCAT($A$131, ".", #REF!)</f>
        <v>#REF!</v>
      </c>
      <c r="B152" s="15" t="e">
        <f aca="false">_xlfn.CONCAT(#REF!, ": ", #REF!)</f>
        <v>#REF!</v>
      </c>
      <c r="C152" s="34" t="e">
        <f aca="false">#REF!</f>
        <v>#REF!</v>
      </c>
      <c r="D152" s="34" t="e">
        <f aca="false">#REF!</f>
        <v>#REF!</v>
      </c>
      <c r="E152" s="34" t="e">
        <f aca="false">#REF!</f>
        <v>#REF!</v>
      </c>
      <c r="F152" s="34" t="e">
        <f aca="false">#REF!</f>
        <v>#REF!</v>
      </c>
    </row>
    <row r="153" customFormat="false" ht="12.8" hidden="false" customHeight="false" outlineLevel="0" collapsed="false">
      <c r="A153" s="9" t="e">
        <f aca="false">_xlfn.CONCAT($A$131, ".", #REF!)</f>
        <v>#REF!</v>
      </c>
      <c r="B153" s="15" t="e">
        <f aca="false">_xlfn.CONCAT(#REF!, ": ", #REF!)</f>
        <v>#REF!</v>
      </c>
      <c r="C153" s="34" t="e">
        <f aca="false">#REF!</f>
        <v>#REF!</v>
      </c>
      <c r="D153" s="34" t="e">
        <f aca="false">#REF!</f>
        <v>#REF!</v>
      </c>
      <c r="E153" s="34" t="e">
        <f aca="false">#REF!</f>
        <v>#REF!</v>
      </c>
      <c r="F153" s="34" t="e">
        <f aca="false">#REF!</f>
        <v>#REF!</v>
      </c>
    </row>
    <row r="154" customFormat="false" ht="12.8" hidden="false" customHeight="false" outlineLevel="0" collapsed="false">
      <c r="A154" s="9" t="e">
        <f aca="false">_xlfn.CONCAT($A$131, ".", #REF!)</f>
        <v>#REF!</v>
      </c>
      <c r="B154" s="15" t="e">
        <f aca="false">_xlfn.CONCAT(#REF!, ": ", #REF!)</f>
        <v>#REF!</v>
      </c>
      <c r="C154" s="34" t="e">
        <f aca="false">#REF!</f>
        <v>#REF!</v>
      </c>
      <c r="D154" s="34" t="e">
        <f aca="false">#REF!</f>
        <v>#REF!</v>
      </c>
      <c r="E154" s="34" t="e">
        <f aca="false">#REF!</f>
        <v>#REF!</v>
      </c>
      <c r="F154" s="34" t="e">
        <f aca="false">#REF!</f>
        <v>#REF!</v>
      </c>
    </row>
    <row r="155" customFormat="false" ht="12.8" hidden="false" customHeight="false" outlineLevel="0" collapsed="false">
      <c r="A155" s="9" t="e">
        <f aca="false">_xlfn.CONCAT($A$131, ".", #REF!)</f>
        <v>#REF!</v>
      </c>
      <c r="B155" s="15" t="e">
        <f aca="false">_xlfn.CONCAT(#REF!, ": ", #REF!)</f>
        <v>#REF!</v>
      </c>
      <c r="C155" s="34" t="e">
        <f aca="false">#REF!</f>
        <v>#REF!</v>
      </c>
      <c r="D155" s="34" t="e">
        <f aca="false">#REF!</f>
        <v>#REF!</v>
      </c>
      <c r="E155" s="34" t="e">
        <f aca="false">#REF!</f>
        <v>#REF!</v>
      </c>
      <c r="F155" s="34" t="e">
        <f aca="false">#REF!</f>
        <v>#REF!</v>
      </c>
    </row>
    <row r="156" customFormat="false" ht="12.8" hidden="false" customHeight="false" outlineLevel="0" collapsed="false">
      <c r="A156" s="9" t="e">
        <f aca="false">_xlfn.CONCAT($A$131, ".", #REF!)</f>
        <v>#REF!</v>
      </c>
      <c r="B156" s="15" t="e">
        <f aca="false">_xlfn.CONCAT(#REF!, ": ", #REF!)</f>
        <v>#REF!</v>
      </c>
      <c r="C156" s="34" t="e">
        <f aca="false">#REF!</f>
        <v>#REF!</v>
      </c>
      <c r="D156" s="34" t="e">
        <f aca="false">#REF!</f>
        <v>#REF!</v>
      </c>
      <c r="E156" s="34" t="e">
        <f aca="false">#REF!</f>
        <v>#REF!</v>
      </c>
      <c r="F156" s="34" t="e">
        <f aca="false">#REF!</f>
        <v>#REF!</v>
      </c>
    </row>
    <row r="157" customFormat="false" ht="12.8" hidden="false" customHeight="false" outlineLevel="0" collapsed="false">
      <c r="A157" s="9" t="e">
        <f aca="false">_xlfn.CONCAT($A$131, ".", #REF!)</f>
        <v>#REF!</v>
      </c>
      <c r="B157" s="15" t="e">
        <f aca="false">_xlfn.CONCAT(#REF!, ": ", #REF!)</f>
        <v>#REF!</v>
      </c>
      <c r="C157" s="34" t="e">
        <f aca="false">#REF!</f>
        <v>#REF!</v>
      </c>
      <c r="D157" s="34" t="e">
        <f aca="false">#REF!</f>
        <v>#REF!</v>
      </c>
      <c r="E157" s="34" t="e">
        <f aca="false">#REF!</f>
        <v>#REF!</v>
      </c>
      <c r="F157" s="34" t="e">
        <f aca="false">#REF!</f>
        <v>#REF!</v>
      </c>
    </row>
    <row r="158" customFormat="false" ht="12.8" hidden="false" customHeight="false" outlineLevel="0" collapsed="false">
      <c r="A158" s="9" t="e">
        <f aca="false">_xlfn.CONCAT($A$131, ".", #REF!)</f>
        <v>#REF!</v>
      </c>
      <c r="B158" s="15" t="e">
        <f aca="false">_xlfn.CONCAT(#REF!, ": ", #REF!)</f>
        <v>#REF!</v>
      </c>
      <c r="C158" s="34" t="e">
        <f aca="false">#REF!</f>
        <v>#REF!</v>
      </c>
      <c r="D158" s="34" t="e">
        <f aca="false">#REF!</f>
        <v>#REF!</v>
      </c>
      <c r="E158" s="34" t="e">
        <f aca="false">#REF!</f>
        <v>#REF!</v>
      </c>
      <c r="F158" s="34" t="e">
        <f aca="false">#REF!</f>
        <v>#REF!</v>
      </c>
    </row>
    <row r="159" customFormat="false" ht="12.8" hidden="false" customHeight="false" outlineLevel="0" collapsed="false">
      <c r="A159" s="9" t="e">
        <f aca="false">_xlfn.CONCAT($A$131, ".", #REF!)</f>
        <v>#REF!</v>
      </c>
      <c r="B159" s="15" t="e">
        <f aca="false">_xlfn.CONCAT(#REF!, ": ", #REF!)</f>
        <v>#REF!</v>
      </c>
      <c r="C159" s="34" t="e">
        <f aca="false">#REF!</f>
        <v>#REF!</v>
      </c>
      <c r="D159" s="34" t="e">
        <f aca="false">#REF!</f>
        <v>#REF!</v>
      </c>
      <c r="E159" s="34" t="e">
        <f aca="false">#REF!</f>
        <v>#REF!</v>
      </c>
      <c r="F159" s="34" t="e">
        <f aca="false">#REF!</f>
        <v>#REF!</v>
      </c>
    </row>
    <row r="160" customFormat="false" ht="12.8" hidden="false" customHeight="false" outlineLevel="0" collapsed="false">
      <c r="A160" s="9" t="e">
        <f aca="false">_xlfn.CONCAT($A$131, ".", #REF!)</f>
        <v>#REF!</v>
      </c>
      <c r="B160" s="15" t="e">
        <f aca="false">_xlfn.CONCAT(#REF!, ": ", #REF!)</f>
        <v>#REF!</v>
      </c>
      <c r="C160" s="34" t="e">
        <f aca="false">#REF!</f>
        <v>#REF!</v>
      </c>
      <c r="D160" s="34" t="e">
        <f aca="false">#REF!</f>
        <v>#REF!</v>
      </c>
      <c r="E160" s="34" t="e">
        <f aca="false">#REF!</f>
        <v>#REF!</v>
      </c>
      <c r="F160" s="34" t="e">
        <f aca="false">#REF!</f>
        <v>#REF!</v>
      </c>
    </row>
    <row r="161" customFormat="false" ht="12.8" hidden="false" customHeight="false" outlineLevel="0" collapsed="false">
      <c r="A161" s="9" t="e">
        <f aca="false">_xlfn.CONCAT($A$131, ".", #REF!)</f>
        <v>#REF!</v>
      </c>
      <c r="B161" s="15" t="e">
        <f aca="false">_xlfn.CONCAT(#REF!, ": ", #REF!)</f>
        <v>#REF!</v>
      </c>
      <c r="C161" s="34" t="e">
        <f aca="false">#REF!</f>
        <v>#REF!</v>
      </c>
      <c r="D161" s="34" t="e">
        <f aca="false">#REF!</f>
        <v>#REF!</v>
      </c>
      <c r="E161" s="34" t="e">
        <f aca="false">#REF!</f>
        <v>#REF!</v>
      </c>
      <c r="F161" s="34" t="e">
        <f aca="false">#REF!</f>
        <v>#REF!</v>
      </c>
    </row>
    <row r="162" customFormat="false" ht="12.8" hidden="false" customHeight="false" outlineLevel="0" collapsed="false">
      <c r="A162" s="9" t="e">
        <f aca="false">_xlfn.CONCAT($A$131, ".", #REF!)</f>
        <v>#REF!</v>
      </c>
      <c r="B162" s="15" t="e">
        <f aca="false">_xlfn.CONCAT(#REF!, ": ", #REF!)</f>
        <v>#REF!</v>
      </c>
      <c r="C162" s="34" t="e">
        <f aca="false">#REF!</f>
        <v>#REF!</v>
      </c>
      <c r="D162" s="34" t="e">
        <f aca="false">#REF!</f>
        <v>#REF!</v>
      </c>
      <c r="E162" s="34" t="e">
        <f aca="false">#REF!</f>
        <v>#REF!</v>
      </c>
      <c r="F162" s="34" t="e">
        <f aca="false">#REF!</f>
        <v>#REF!</v>
      </c>
    </row>
    <row r="163" customFormat="false" ht="12.8" hidden="false" customHeight="false" outlineLevel="0" collapsed="false">
      <c r="A163" s="9" t="e">
        <f aca="false">_xlfn.CONCAT($A$131, ".", #REF!)</f>
        <v>#REF!</v>
      </c>
      <c r="B163" s="15" t="e">
        <f aca="false">_xlfn.CONCAT(#REF!, ": ", #REF!)</f>
        <v>#REF!</v>
      </c>
      <c r="C163" s="34" t="e">
        <f aca="false">#REF!</f>
        <v>#REF!</v>
      </c>
      <c r="D163" s="34" t="e">
        <f aca="false">#REF!</f>
        <v>#REF!</v>
      </c>
      <c r="E163" s="34" t="e">
        <f aca="false">#REF!</f>
        <v>#REF!</v>
      </c>
      <c r="F163" s="34" t="e">
        <f aca="false">#REF!</f>
        <v>#REF!</v>
      </c>
    </row>
    <row r="164" customFormat="false" ht="12.8" hidden="false" customHeight="false" outlineLevel="0" collapsed="false">
      <c r="B164" s="15"/>
      <c r="C164" s="34"/>
      <c r="D164" s="34"/>
      <c r="E164" s="34"/>
      <c r="F164" s="34"/>
    </row>
    <row r="165" customFormat="false" ht="12.8" hidden="false" customHeight="false" outlineLevel="0" collapsed="false">
      <c r="B165" s="15"/>
      <c r="C165" s="34"/>
      <c r="D165" s="34"/>
      <c r="E165" s="34"/>
      <c r="F165" s="34"/>
    </row>
    <row r="166" customFormat="false" ht="12.8" hidden="false" customHeight="false" outlineLevel="0" collapsed="false">
      <c r="B166" s="15"/>
      <c r="C166" s="34"/>
      <c r="D166" s="34"/>
      <c r="E166" s="34"/>
      <c r="F166" s="34"/>
    </row>
    <row r="167" customFormat="false" ht="12.8" hidden="false" customHeight="false" outlineLevel="0" collapsed="false">
      <c r="B167" s="15"/>
      <c r="C167" s="34"/>
      <c r="D167" s="34"/>
      <c r="E167" s="34"/>
      <c r="F167" s="34"/>
    </row>
    <row r="168" customFormat="false" ht="12.8" hidden="false" customHeight="false" outlineLevel="0" collapsed="false">
      <c r="B168" s="15"/>
      <c r="C168" s="34"/>
      <c r="D168" s="34"/>
      <c r="E168" s="34"/>
      <c r="F168" s="34"/>
    </row>
    <row r="169" customFormat="false" ht="12.8" hidden="false" customHeight="false" outlineLevel="0" collapsed="false">
      <c r="B169" s="15"/>
      <c r="C169" s="34"/>
      <c r="D169" s="34"/>
      <c r="E169" s="34"/>
      <c r="F169" s="34"/>
    </row>
    <row r="170" customFormat="false" ht="12.8" hidden="false" customHeight="false" outlineLevel="0" collapsed="false">
      <c r="B170" s="15"/>
      <c r="C170" s="34"/>
      <c r="D170" s="34"/>
      <c r="E170" s="34"/>
      <c r="F170" s="34"/>
    </row>
    <row r="171" customFormat="false" ht="12.8" hidden="false" customHeight="false" outlineLevel="0" collapsed="false">
      <c r="B171" s="15"/>
      <c r="C171" s="34"/>
      <c r="D171" s="34"/>
      <c r="E171" s="34"/>
      <c r="F171" s="34"/>
    </row>
    <row r="172" customFormat="false" ht="12.8" hidden="false" customHeight="false" outlineLevel="0" collapsed="false">
      <c r="B172" s="15"/>
      <c r="C172" s="34"/>
      <c r="D172" s="34"/>
      <c r="E172" s="34"/>
      <c r="F172" s="34"/>
    </row>
    <row r="173" customFormat="false" ht="12.8" hidden="false" customHeight="false" outlineLevel="0" collapsed="false">
      <c r="B173" s="15"/>
      <c r="C173" s="34"/>
      <c r="D173" s="34"/>
      <c r="E173" s="34"/>
      <c r="F173" s="34"/>
    </row>
    <row r="174" customFormat="false" ht="12.8" hidden="false" customHeight="false" outlineLevel="0" collapsed="false">
      <c r="B174" s="15"/>
      <c r="C174" s="34"/>
      <c r="D174" s="34"/>
      <c r="E174" s="34"/>
      <c r="F174" s="34"/>
    </row>
    <row r="175" customFormat="false" ht="12.8" hidden="false" customHeight="false" outlineLevel="0" collapsed="false">
      <c r="B175" s="15"/>
      <c r="C175" s="34"/>
      <c r="D175" s="34"/>
      <c r="E175" s="34"/>
      <c r="F175" s="34"/>
    </row>
    <row r="176" customFormat="false" ht="12.8" hidden="false" customHeight="false" outlineLevel="0" collapsed="false">
      <c r="B176" s="15"/>
      <c r="C176" s="34"/>
      <c r="D176" s="34"/>
      <c r="E176" s="34"/>
      <c r="F176" s="34"/>
    </row>
    <row r="177" customFormat="false" ht="12.8" hidden="false" customHeight="false" outlineLevel="0" collapsed="false">
      <c r="B177" s="15"/>
      <c r="C177" s="34"/>
      <c r="D177" s="34"/>
      <c r="E177" s="34"/>
      <c r="F177" s="34"/>
    </row>
    <row r="178" customFormat="false" ht="12.8" hidden="false" customHeight="false" outlineLevel="0" collapsed="false">
      <c r="B178" s="15"/>
      <c r="C178" s="34"/>
      <c r="D178" s="34"/>
      <c r="E178" s="34"/>
      <c r="F178" s="34"/>
    </row>
    <row r="179" customFormat="false" ht="12.8" hidden="false" customHeight="false" outlineLevel="0" collapsed="false">
      <c r="B179" s="15"/>
      <c r="C179" s="34"/>
      <c r="D179" s="34"/>
      <c r="E179" s="34"/>
      <c r="F179" s="34"/>
    </row>
    <row r="180" customFormat="false" ht="12.8" hidden="false" customHeight="false" outlineLevel="0" collapsed="false">
      <c r="B180" s="15"/>
      <c r="C180" s="34"/>
      <c r="D180" s="34"/>
      <c r="E180" s="34"/>
      <c r="F180" s="34"/>
    </row>
    <row r="181" customFormat="false" ht="12.8" hidden="false" customHeight="false" outlineLevel="0" collapsed="false">
      <c r="B181" s="15"/>
      <c r="C181" s="34"/>
      <c r="D181" s="34"/>
      <c r="E181" s="34"/>
      <c r="F181" s="34"/>
    </row>
    <row r="182" customFormat="false" ht="12.8" hidden="false" customHeight="false" outlineLevel="0" collapsed="false">
      <c r="B182" s="15"/>
      <c r="C182" s="34"/>
      <c r="D182" s="34"/>
      <c r="E182" s="34"/>
      <c r="F182" s="34"/>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37"/>
  <sheetViews>
    <sheetView showFormulas="false" showGridLines="true" showRowColHeaders="true" showZeros="true" rightToLeft="false" tabSelected="false" showOutlineSymbols="true" defaultGridColor="true" view="normal" topLeftCell="A70" colorId="64" zoomScale="90" zoomScaleNormal="90" zoomScalePageLayoutView="100" workbookViewId="0">
      <selection pane="topLeft" activeCell="H34" activeCellId="0" sqref="H34"/>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41.51"/>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12.8" hidden="false" customHeight="false" outlineLevel="0" collapsed="false">
      <c r="A1" s="11" t="s">
        <v>8447</v>
      </c>
      <c r="B1" s="20" t="s">
        <v>8448</v>
      </c>
      <c r="C1" s="13" t="s">
        <v>2</v>
      </c>
      <c r="D1" s="30" t="s">
        <v>8449</v>
      </c>
      <c r="AZ1" s="10"/>
      <c r="BP1" s="10"/>
    </row>
    <row r="2" customFormat="false" ht="35.05" hidden="false" customHeight="false" outlineLevel="0" collapsed="false">
      <c r="A2" s="22" t="s">
        <v>8431</v>
      </c>
      <c r="B2" s="20" t="s">
        <v>8432</v>
      </c>
      <c r="C2" s="35" t="str">
        <f aca="false">CALC!X3</f>
        <v>Wage Average ($ /hr)</v>
      </c>
      <c r="D2" s="35" t="str">
        <f aca="false">CALC!AD3</f>
        <v>Authorized Immigrant Wage Average ($ /hr)</v>
      </c>
      <c r="E2" s="35" t="str">
        <f aca="false">CALC!AJ3</f>
        <v>Unauthorized Immigrant Wage Average ($ /hr)</v>
      </c>
      <c r="F2" s="35" t="str">
        <f aca="false">CALC!AP3</f>
        <v>American Wage Average ($ /hr)</v>
      </c>
    </row>
    <row r="3" customFormat="false" ht="12.8" hidden="false" customHeight="false" outlineLevel="0" collapsed="false">
      <c r="A3" s="11" t="str">
        <f aca="false">_xlfn.CONCAT($A$1, ".", CALC!A4)</f>
        <v>AL.WAVG.0</v>
      </c>
      <c r="B3" s="31" t="str">
        <f aca="false">_xlfn.CONCAT(CALC!B4, ":", CALC!C4)</f>
        <v>All Industries:All Roles</v>
      </c>
      <c r="C3" s="35" t="n">
        <f aca="false">CALC!X4</f>
        <v>31.5</v>
      </c>
      <c r="D3" s="35" t="n">
        <f aca="false">CALC!AD4</f>
        <v>30.5</v>
      </c>
      <c r="E3" s="35" t="n">
        <f aca="false">CALC!AJ4</f>
        <v>26.8</v>
      </c>
      <c r="F3" s="35" t="n">
        <f aca="false">CALC!AP4</f>
        <v>32.1</v>
      </c>
    </row>
    <row r="4" customFormat="false" ht="12.8" hidden="false" customHeight="false" outlineLevel="0" collapsed="false">
      <c r="A4" s="14" t="str">
        <f aca="false">_xlfn.CONCAT($A$1, ".", CALC!A5)</f>
        <v>AL.WAVG.1</v>
      </c>
      <c r="B4" s="32" t="str">
        <f aca="false">_xlfn.CONCAT(CALC!B5, ":", CALC!C5)</f>
        <v>Agriculture:Worker</v>
      </c>
      <c r="C4" s="36" t="n">
        <f aca="false">CALC!X5</f>
        <v>21.93</v>
      </c>
      <c r="D4" s="36" t="n">
        <f aca="false">CALC!AD5</f>
        <v>21</v>
      </c>
      <c r="E4" s="36" t="n">
        <f aca="false">CALC!AJ5</f>
        <v>18.2</v>
      </c>
      <c r="F4" s="36" t="n">
        <f aca="false">CALC!AP5</f>
        <v>22.4</v>
      </c>
    </row>
    <row r="5" customFormat="false" ht="12.8" hidden="false" customHeight="false" outlineLevel="0" collapsed="false">
      <c r="A5" s="14" t="str">
        <f aca="false">_xlfn.CONCAT($A$1, ".", CALC!A6)</f>
        <v>AL.WAVG.2</v>
      </c>
      <c r="B5" s="32" t="str">
        <f aca="false">_xlfn.CONCAT(CALC!B6, ":", CALC!C6)</f>
        <v>Agriculture:Support</v>
      </c>
      <c r="C5" s="36" t="n">
        <f aca="false">CALC!X6</f>
        <v>18.64</v>
      </c>
      <c r="D5" s="36" t="n">
        <f aca="false">CALC!AD6</f>
        <v>17.8</v>
      </c>
      <c r="E5" s="36" t="n">
        <f aca="false">CALC!AJ6</f>
        <v>15.5</v>
      </c>
      <c r="F5" s="36" t="n">
        <f aca="false">CALC!AP6</f>
        <v>19</v>
      </c>
    </row>
    <row r="6" customFormat="false" ht="12.8" hidden="false" customHeight="false" outlineLevel="0" collapsed="false">
      <c r="A6" s="14" t="str">
        <f aca="false">_xlfn.CONCAT($A$1, ".", CALC!A7)</f>
        <v>AL.WAVG.3</v>
      </c>
      <c r="B6" s="32" t="str">
        <f aca="false">_xlfn.CONCAT(CALC!B7, ":", CALC!C7)</f>
        <v>Construction:Worker</v>
      </c>
      <c r="C6" s="36" t="n">
        <f aca="false">CALC!X7</f>
        <v>25.34</v>
      </c>
      <c r="D6" s="36" t="n">
        <f aca="false">CALC!AD7</f>
        <v>24.1</v>
      </c>
      <c r="E6" s="36" t="n">
        <f aca="false">CALC!AJ7</f>
        <v>21.5</v>
      </c>
      <c r="F6" s="36" t="n">
        <f aca="false">CALC!AP7</f>
        <v>25.9</v>
      </c>
    </row>
    <row r="7" customFormat="false" ht="12.8" hidden="false" customHeight="false" outlineLevel="0" collapsed="false">
      <c r="A7" s="14" t="str">
        <f aca="false">_xlfn.CONCAT($A$1, ".", CALC!A8)</f>
        <v>AL.WAVG.4</v>
      </c>
      <c r="B7" s="32" t="str">
        <f aca="false">_xlfn.CONCAT(CALC!B8, ":", CALC!C8)</f>
        <v>Construction:Support</v>
      </c>
      <c r="C7" s="36" t="n">
        <f aca="false">CALC!X8</f>
        <v>21.54</v>
      </c>
      <c r="D7" s="36" t="n">
        <f aca="false">CALC!AD8</f>
        <v>20.5</v>
      </c>
      <c r="E7" s="36" t="n">
        <f aca="false">CALC!AJ8</f>
        <v>18.3</v>
      </c>
      <c r="F7" s="36" t="n">
        <f aca="false">CALC!AP8</f>
        <v>22</v>
      </c>
    </row>
    <row r="8" customFormat="false" ht="12.8" hidden="false" customHeight="false" outlineLevel="0" collapsed="false">
      <c r="A8" s="14" t="str">
        <f aca="false">_xlfn.CONCAT($A$1, ".", CALC!A9)</f>
        <v>AL.WAVG.5</v>
      </c>
      <c r="B8" s="32" t="str">
        <f aca="false">_xlfn.CONCAT(CALC!B9, ":", CALC!C9)</f>
        <v>Hospitality:Worker</v>
      </c>
      <c r="C8" s="36" t="n">
        <f aca="false">CALC!X9</f>
        <v>14.15</v>
      </c>
      <c r="D8" s="36" t="n">
        <f aca="false">CALC!AD9</f>
        <v>13.5</v>
      </c>
      <c r="E8" s="36" t="n">
        <f aca="false">CALC!AJ9</f>
        <v>11.7</v>
      </c>
      <c r="F8" s="36" t="n">
        <f aca="false">CALC!AP9</f>
        <v>14.4</v>
      </c>
    </row>
    <row r="9" customFormat="false" ht="12.8" hidden="false" customHeight="false" outlineLevel="0" collapsed="false">
      <c r="A9" s="14" t="str">
        <f aca="false">_xlfn.CONCAT($A$1, ".", CALC!A10)</f>
        <v>AL.WAVG.6</v>
      </c>
      <c r="B9" s="32" t="str">
        <f aca="false">_xlfn.CONCAT(CALC!B10, ":", CALC!C10)</f>
        <v>Hospitality:Support</v>
      </c>
      <c r="C9" s="36" t="n">
        <f aca="false">CALC!X10</f>
        <v>12.03</v>
      </c>
      <c r="D9" s="36" t="n">
        <f aca="false">CALC!AD10</f>
        <v>11.5</v>
      </c>
      <c r="E9" s="36" t="n">
        <f aca="false">CALC!AJ10</f>
        <v>9.9</v>
      </c>
      <c r="F9" s="36" t="n">
        <f aca="false">CALC!AP10</f>
        <v>12.3</v>
      </c>
    </row>
    <row r="10" customFormat="false" ht="12.8" hidden="false" customHeight="false" outlineLevel="0" collapsed="false">
      <c r="A10" s="14" t="str">
        <f aca="false">_xlfn.CONCAT($A$1, ".", CALC!A11)</f>
        <v>AL.WAVG.7</v>
      </c>
      <c r="B10" s="32" t="str">
        <f aca="false">_xlfn.CONCAT(CALC!B11, ":", CALC!C11)</f>
        <v>Cleaning &amp; Maintenance:Worker</v>
      </c>
      <c r="C10" s="36" t="n">
        <f aca="false">CALC!X11</f>
        <v>16.59</v>
      </c>
      <c r="D10" s="36" t="n">
        <f aca="false">CALC!AD11</f>
        <v>15.8</v>
      </c>
      <c r="E10" s="36" t="n">
        <f aca="false">CALC!AJ11</f>
        <v>13.8</v>
      </c>
      <c r="F10" s="36" t="n">
        <f aca="false">CALC!AP11</f>
        <v>16.9</v>
      </c>
    </row>
    <row r="11" customFormat="false" ht="12.8" hidden="false" customHeight="false" outlineLevel="0" collapsed="false">
      <c r="A11" s="14" t="str">
        <f aca="false">_xlfn.CONCAT($A$1, ".", CALC!A12)</f>
        <v>AL.WAVG.8</v>
      </c>
      <c r="B11" s="32" t="str">
        <f aca="false">_xlfn.CONCAT(CALC!B12, ":", CALC!C12)</f>
        <v>Cleaning &amp; Maintenance:Support</v>
      </c>
      <c r="C11" s="36" t="n">
        <f aca="false">CALC!X12</f>
        <v>14.1</v>
      </c>
      <c r="D11" s="36" t="n">
        <f aca="false">CALC!AD12</f>
        <v>13.4</v>
      </c>
      <c r="E11" s="36" t="n">
        <f aca="false">CALC!AJ12</f>
        <v>11.7</v>
      </c>
      <c r="F11" s="36" t="n">
        <f aca="false">CALC!AP12</f>
        <v>14.4</v>
      </c>
    </row>
    <row r="12" customFormat="false" ht="12.8" hidden="false" customHeight="false" outlineLevel="0" collapsed="false">
      <c r="A12" s="14" t="str">
        <f aca="false">_xlfn.CONCAT($A$1, ".", CALC!A13)</f>
        <v>AL.WAVG.9</v>
      </c>
      <c r="B12" s="32" t="str">
        <f aca="false">_xlfn.CONCAT(CALC!B13, ":", CALC!C13)</f>
        <v>Manufacturing:Worker</v>
      </c>
      <c r="C12" s="36" t="n">
        <f aca="false">CALC!X13</f>
        <v>24.19</v>
      </c>
      <c r="D12" s="36" t="n">
        <f aca="false">CALC!AD13</f>
        <v>23</v>
      </c>
      <c r="E12" s="36" t="n">
        <f aca="false">CALC!AJ13</f>
        <v>21</v>
      </c>
      <c r="F12" s="36" t="n">
        <f aca="false">CALC!AP13</f>
        <v>24.7</v>
      </c>
    </row>
    <row r="13" customFormat="false" ht="12.8" hidden="false" customHeight="false" outlineLevel="0" collapsed="false">
      <c r="A13" s="14" t="str">
        <f aca="false">_xlfn.CONCAT($A$1, ".", CALC!A14)</f>
        <v>AL.WAVG.10</v>
      </c>
      <c r="B13" s="32" t="str">
        <f aca="false">_xlfn.CONCAT(CALC!B14, ":", CALC!C14)</f>
        <v>Manufacturing:Support</v>
      </c>
      <c r="C13" s="36" t="n">
        <f aca="false">CALC!X14</f>
        <v>20.56</v>
      </c>
      <c r="D13" s="36" t="n">
        <f aca="false">CALC!AD14</f>
        <v>19.6</v>
      </c>
      <c r="E13" s="36" t="n">
        <f aca="false">CALC!AJ14</f>
        <v>17.9</v>
      </c>
      <c r="F13" s="36" t="n">
        <f aca="false">CALC!AP14</f>
        <v>21</v>
      </c>
    </row>
    <row r="14" customFormat="false" ht="12.8" hidden="false" customHeight="false" outlineLevel="0" collapsed="false">
      <c r="A14" s="14" t="str">
        <f aca="false">_xlfn.CONCAT($A$1, ".", CALC!A15)</f>
        <v>AL.WAVG.11</v>
      </c>
      <c r="B14" s="32" t="str">
        <f aca="false">_xlfn.CONCAT(CALC!B15, ":", CALC!C15)</f>
        <v>Transportation &amp; Warehousing:Worker</v>
      </c>
      <c r="C14" s="36" t="n">
        <f aca="false">CALC!X15</f>
        <v>24.4</v>
      </c>
      <c r="D14" s="36" t="n">
        <f aca="false">CALC!AD15</f>
        <v>23.2</v>
      </c>
      <c r="E14" s="36" t="n">
        <f aca="false">CALC!AJ15</f>
        <v>21.2</v>
      </c>
      <c r="F14" s="36" t="n">
        <f aca="false">CALC!AP15</f>
        <v>24.9</v>
      </c>
    </row>
    <row r="15" customFormat="false" ht="12.8" hidden="false" customHeight="false" outlineLevel="0" collapsed="false">
      <c r="A15" s="14" t="str">
        <f aca="false">_xlfn.CONCAT($A$1, ".", CALC!A16)</f>
        <v>AL.WAVG.12</v>
      </c>
      <c r="B15" s="32" t="str">
        <f aca="false">_xlfn.CONCAT(CALC!B16, ":", CALC!C16)</f>
        <v>Transportation &amp; Warehousing:Support</v>
      </c>
      <c r="C15" s="36" t="n">
        <f aca="false">CALC!X16</f>
        <v>20.74</v>
      </c>
      <c r="D15" s="36" t="n">
        <f aca="false">CALC!AD16</f>
        <v>19.7</v>
      </c>
      <c r="E15" s="36" t="n">
        <f aca="false">CALC!AJ16</f>
        <v>18</v>
      </c>
      <c r="F15" s="36" t="n">
        <f aca="false">CALC!AP16</f>
        <v>21.2</v>
      </c>
    </row>
    <row r="16" customFormat="false" ht="12.8" hidden="false" customHeight="false" outlineLevel="0" collapsed="false">
      <c r="A16" s="14" t="str">
        <f aca="false">_xlfn.CONCAT($A$1, ".", CALC!A17)</f>
        <v>AL.WAVG.13</v>
      </c>
      <c r="B16" s="32" t="str">
        <f aca="false">_xlfn.CONCAT(CALC!B17, ":", CALC!C17)</f>
        <v>Retail Trade:Worker</v>
      </c>
      <c r="C16" s="36" t="n">
        <f aca="false">CALC!X17</f>
        <v>21.94</v>
      </c>
      <c r="D16" s="36" t="n">
        <f aca="false">CALC!AD17</f>
        <v>20.9</v>
      </c>
      <c r="E16" s="36" t="n">
        <f aca="false">CALC!AJ17</f>
        <v>18.1</v>
      </c>
      <c r="F16" s="36" t="n">
        <f aca="false">CALC!AP17</f>
        <v>22.4</v>
      </c>
    </row>
    <row r="17" customFormat="false" ht="12.8" hidden="false" customHeight="false" outlineLevel="0" collapsed="false">
      <c r="A17" s="14" t="str">
        <f aca="false">_xlfn.CONCAT($A$1, ".", CALC!A18)</f>
        <v>AL.WAVG.14</v>
      </c>
      <c r="B17" s="32" t="str">
        <f aca="false">_xlfn.CONCAT(CALC!B18, ":", CALC!C18)</f>
        <v>Retail Trade:Support</v>
      </c>
      <c r="C17" s="36" t="n">
        <f aca="false">CALC!X18</f>
        <v>18.65</v>
      </c>
      <c r="D17" s="36" t="n">
        <f aca="false">CALC!AD18</f>
        <v>17.8</v>
      </c>
      <c r="E17" s="36" t="n">
        <f aca="false">CALC!AJ18</f>
        <v>15.4</v>
      </c>
      <c r="F17" s="36" t="n">
        <f aca="false">CALC!AP18</f>
        <v>19</v>
      </c>
    </row>
    <row r="18" customFormat="false" ht="12.8" hidden="false" customHeight="false" outlineLevel="0" collapsed="false">
      <c r="A18" s="14" t="str">
        <f aca="false">_xlfn.CONCAT($A$1, ".", CALC!A19)</f>
        <v>AL.WAVG.15</v>
      </c>
      <c r="B18" s="32" t="str">
        <f aca="false">_xlfn.CONCAT(CALC!B19, ":", CALC!C19)</f>
        <v>Landscaping / Groundskeeping:Worker</v>
      </c>
      <c r="C18" s="36" t="n">
        <f aca="false">CALC!X19</f>
        <v>16.59</v>
      </c>
      <c r="D18" s="36" t="n">
        <f aca="false">CALC!AD19</f>
        <v>15.8</v>
      </c>
      <c r="E18" s="36" t="n">
        <f aca="false">CALC!AJ19</f>
        <v>13.8</v>
      </c>
      <c r="F18" s="36" t="n">
        <f aca="false">CALC!AP19</f>
        <v>16.9</v>
      </c>
    </row>
    <row r="19" customFormat="false" ht="12.8" hidden="false" customHeight="false" outlineLevel="0" collapsed="false">
      <c r="A19" s="14" t="str">
        <f aca="false">_xlfn.CONCAT($A$1, ".", CALC!A20)</f>
        <v>AL.WAVG.16</v>
      </c>
      <c r="B19" s="32" t="str">
        <f aca="false">_xlfn.CONCAT(CALC!B20, ":", CALC!C20)</f>
        <v>Landscaping / Groundskeeping:Support</v>
      </c>
      <c r="C19" s="36" t="n">
        <f aca="false">CALC!X20</f>
        <v>14.1</v>
      </c>
      <c r="D19" s="36" t="n">
        <f aca="false">CALC!AD20</f>
        <v>13.4</v>
      </c>
      <c r="E19" s="36" t="n">
        <f aca="false">CALC!AJ20</f>
        <v>11.7</v>
      </c>
      <c r="F19" s="36" t="n">
        <f aca="false">CALC!AP20</f>
        <v>14.4</v>
      </c>
    </row>
    <row r="20" customFormat="false" ht="12.8" hidden="false" customHeight="false" outlineLevel="0" collapsed="false">
      <c r="A20" s="14" t="str">
        <f aca="false">_xlfn.CONCAT($A$1, ".", CALC!A21)</f>
        <v>AL.WAVG.17</v>
      </c>
      <c r="B20" s="32" t="str">
        <f aca="false">_xlfn.CONCAT(CALC!B21, ":", CALC!C21)</f>
        <v>Automotive &amp; Repair:Worker</v>
      </c>
      <c r="C20" s="36" t="n">
        <f aca="false">CALC!X21</f>
        <v>29.21</v>
      </c>
      <c r="D20" s="36" t="n">
        <f aca="false">CALC!AD21</f>
        <v>27.7</v>
      </c>
      <c r="E20" s="36" t="n">
        <f aca="false">CALC!AJ21</f>
        <v>25.3</v>
      </c>
      <c r="F20" s="36" t="n">
        <f aca="false">CALC!AP21</f>
        <v>29.8</v>
      </c>
    </row>
    <row r="21" customFormat="false" ht="12.8" hidden="false" customHeight="false" outlineLevel="0" collapsed="false">
      <c r="A21" s="14" t="str">
        <f aca="false">_xlfn.CONCAT($A$1, ".", CALC!A22)</f>
        <v>AL.WAVG.18</v>
      </c>
      <c r="B21" s="32" t="str">
        <f aca="false">_xlfn.CONCAT(CALC!B22, ":", CALC!C22)</f>
        <v>Automotive &amp; Repair:Support</v>
      </c>
      <c r="C21" s="36" t="n">
        <f aca="false">CALC!X22</f>
        <v>24.83</v>
      </c>
      <c r="D21" s="36" t="n">
        <f aca="false">CALC!AD22</f>
        <v>23.6</v>
      </c>
      <c r="E21" s="36" t="n">
        <f aca="false">CALC!AJ22</f>
        <v>21.5</v>
      </c>
      <c r="F21" s="36" t="n">
        <f aca="false">CALC!AP22</f>
        <v>25.3</v>
      </c>
    </row>
    <row r="22" customFormat="false" ht="12.8" hidden="false" customHeight="false" outlineLevel="0" collapsed="false">
      <c r="A22" s="14" t="str">
        <f aca="false">_xlfn.CONCAT($A$1, ".", CALC!A23)</f>
        <v>AL.WAVG.19</v>
      </c>
      <c r="B22" s="32" t="str">
        <f aca="false">_xlfn.CONCAT(CALC!B23, ":", CALC!C23)</f>
        <v>Healthcare &amp; Social Assistance:Worker</v>
      </c>
      <c r="C22" s="36" t="n">
        <f aca="false">CALC!X23</f>
        <v>41.16</v>
      </c>
      <c r="D22" s="36" t="n">
        <f aca="false">CALC!AD23</f>
        <v>39.1</v>
      </c>
      <c r="E22" s="36" t="n">
        <f aca="false">CALC!AJ23</f>
        <v>35.8</v>
      </c>
      <c r="F22" s="36" t="n">
        <f aca="false">CALC!AP23</f>
        <v>42</v>
      </c>
    </row>
    <row r="23" customFormat="false" ht="12.8" hidden="false" customHeight="false" outlineLevel="0" collapsed="false">
      <c r="A23" s="14" t="str">
        <f aca="false">_xlfn.CONCAT($A$1, ".", CALC!A24)</f>
        <v>AL.WAVG.20</v>
      </c>
      <c r="B23" s="32" t="str">
        <f aca="false">_xlfn.CONCAT(CALC!B24, ":", CALC!C24)</f>
        <v>Healthcare &amp; Social Assistance:Support</v>
      </c>
      <c r="C23" s="36" t="n">
        <f aca="false">CALC!X24</f>
        <v>34.99</v>
      </c>
      <c r="D23" s="36" t="n">
        <f aca="false">CALC!AD24</f>
        <v>33.2</v>
      </c>
      <c r="E23" s="36" t="n">
        <f aca="false">CALC!AJ24</f>
        <v>30.4</v>
      </c>
      <c r="F23" s="36" t="n">
        <f aca="false">CALC!AP24</f>
        <v>35.7</v>
      </c>
    </row>
    <row r="24" customFormat="false" ht="12.8" hidden="false" customHeight="false" outlineLevel="0" collapsed="false">
      <c r="A24" s="14" t="str">
        <f aca="false">_xlfn.CONCAT($A$1, ".", CALC!A25)</f>
        <v>AL.WAVG.21</v>
      </c>
      <c r="B24" s="32" t="str">
        <f aca="false">_xlfn.CONCAT(CALC!B25, ":", CALC!C25)</f>
        <v>Professional Services:Worker</v>
      </c>
      <c r="C24" s="36" t="n">
        <f aca="false">CALC!X25</f>
        <v>53.09</v>
      </c>
      <c r="D24" s="36" t="n">
        <f aca="false">CALC!AD25</f>
        <v>50.4</v>
      </c>
      <c r="E24" s="36" t="n">
        <f aca="false">CALC!AJ25</f>
        <v>46.2</v>
      </c>
      <c r="F24" s="36" t="n">
        <f aca="false">CALC!AP25</f>
        <v>54.2</v>
      </c>
    </row>
    <row r="25" customFormat="false" ht="12.8" hidden="false" customHeight="false" outlineLevel="0" collapsed="false">
      <c r="A25" s="14" t="str">
        <f aca="false">_xlfn.CONCAT($A$1, ".", CALC!A26)</f>
        <v>AL.WAVG.22</v>
      </c>
      <c r="B25" s="32" t="str">
        <f aca="false">_xlfn.CONCAT(CALC!B26, ":", CALC!C26)</f>
        <v>Professional Services:Support</v>
      </c>
      <c r="C25" s="36" t="n">
        <f aca="false">CALC!X26</f>
        <v>45.13</v>
      </c>
      <c r="D25" s="36" t="n">
        <f aca="false">CALC!AD26</f>
        <v>42.9</v>
      </c>
      <c r="E25" s="36" t="n">
        <f aca="false">CALC!AJ26</f>
        <v>39.3</v>
      </c>
      <c r="F25" s="36" t="n">
        <f aca="false">CALC!AP26</f>
        <v>46</v>
      </c>
    </row>
    <row r="26" customFormat="false" ht="12.8" hidden="false" customHeight="false" outlineLevel="0" collapsed="false">
      <c r="A26" s="14" t="str">
        <f aca="false">_xlfn.CONCAT($A$1, ".", CALC!A27)</f>
        <v>AL.WAVG.23</v>
      </c>
      <c r="B26" s="32" t="str">
        <f aca="false">_xlfn.CONCAT(CALC!B27, ":", CALC!C27)</f>
        <v>Educational Services:Worker</v>
      </c>
      <c r="C26" s="36" t="n">
        <f aca="false">CALC!X27</f>
        <v>26.24</v>
      </c>
      <c r="D26" s="36" t="n">
        <f aca="false">CALC!AD27</f>
        <v>24.9</v>
      </c>
      <c r="E26" s="36" t="n">
        <f aca="false">CALC!AJ27</f>
        <v>22.8</v>
      </c>
      <c r="F26" s="36" t="n">
        <f aca="false">CALC!AP27</f>
        <v>26.8</v>
      </c>
    </row>
    <row r="27" customFormat="false" ht="12.8" hidden="false" customHeight="false" outlineLevel="0" collapsed="false">
      <c r="A27" s="14" t="str">
        <f aca="false">_xlfn.CONCAT($A$1, ".", CALC!A28)</f>
        <v>AL.WAVG.24</v>
      </c>
      <c r="B27" s="32" t="str">
        <f aca="false">_xlfn.CONCAT(CALC!B28, ":", CALC!C28)</f>
        <v>Educational Services:Support</v>
      </c>
      <c r="C27" s="36" t="n">
        <f aca="false">CALC!X28</f>
        <v>22.3</v>
      </c>
      <c r="D27" s="36" t="n">
        <f aca="false">CALC!AD28</f>
        <v>21.2</v>
      </c>
      <c r="E27" s="36" t="n">
        <f aca="false">CALC!AJ28</f>
        <v>19.4</v>
      </c>
      <c r="F27" s="36" t="n">
        <f aca="false">CALC!AP28</f>
        <v>22.8</v>
      </c>
    </row>
    <row r="28" customFormat="false" ht="12.8" hidden="false" customHeight="false" outlineLevel="0" collapsed="false">
      <c r="A28" s="14" t="str">
        <f aca="false">_xlfn.CONCAT($A$1, ".", CALC!A29)</f>
        <v>AL.WAVG.25</v>
      </c>
      <c r="B28" s="32" t="str">
        <f aca="false">_xlfn.CONCAT(CALC!B29, ":", CALC!C29)</f>
        <v>Finance &amp; Insurance:Worker</v>
      </c>
      <c r="C28" s="36" t="n">
        <f aca="false">CALC!X29</f>
        <v>41</v>
      </c>
      <c r="D28" s="36" t="n">
        <f aca="false">CALC!AD29</f>
        <v>39</v>
      </c>
      <c r="E28" s="36" t="n">
        <f aca="false">CALC!AJ29</f>
        <v>35.7</v>
      </c>
      <c r="F28" s="36" t="n">
        <f aca="false">CALC!AP29</f>
        <v>41.8</v>
      </c>
    </row>
    <row r="29" customFormat="false" ht="12.8" hidden="false" customHeight="false" outlineLevel="0" collapsed="false">
      <c r="A29" s="14" t="str">
        <f aca="false">_xlfn.CONCAT($A$1, ".", CALC!A30)</f>
        <v>AL.WAVG.26</v>
      </c>
      <c r="B29" s="32" t="str">
        <f aca="false">_xlfn.CONCAT(CALC!B30, ":", CALC!C30)</f>
        <v>Finance &amp; Insurance:Support</v>
      </c>
      <c r="C29" s="36" t="n">
        <f aca="false">CALC!X30</f>
        <v>34.85</v>
      </c>
      <c r="D29" s="36" t="n">
        <f aca="false">CALC!AD30</f>
        <v>33.1</v>
      </c>
      <c r="E29" s="36" t="n">
        <f aca="false">CALC!AJ30</f>
        <v>30.3</v>
      </c>
      <c r="F29" s="36" t="n">
        <f aca="false">CALC!AP30</f>
        <v>35.5</v>
      </c>
    </row>
    <row r="30" customFormat="false" ht="12.8" hidden="false" customHeight="false" outlineLevel="0" collapsed="false">
      <c r="A30" s="14" t="str">
        <f aca="false">_xlfn.CONCAT($A$1, ".", CALC!A31)</f>
        <v>AL.WAVG.27</v>
      </c>
      <c r="B30" s="32" t="str">
        <f aca="false">_xlfn.CONCAT(CALC!B31, ":", CALC!C31)</f>
        <v>Media and Information Technology:Worker</v>
      </c>
      <c r="C30" s="36" t="n">
        <f aca="false">CALC!X31</f>
        <v>28.71</v>
      </c>
      <c r="D30" s="36" t="n">
        <f aca="false">CALC!AD31</f>
        <v>27.3</v>
      </c>
      <c r="E30" s="36" t="n">
        <f aca="false">CALC!AJ31</f>
        <v>25</v>
      </c>
      <c r="F30" s="36" t="n">
        <f aca="false">CALC!AP31</f>
        <v>29.3</v>
      </c>
    </row>
    <row r="31" customFormat="false" ht="12.8" hidden="false" customHeight="false" outlineLevel="0" collapsed="false">
      <c r="A31" s="14" t="str">
        <f aca="false">_xlfn.CONCAT($A$1, ".", CALC!A32)</f>
        <v>AL.WAVG.28</v>
      </c>
      <c r="B31" s="32" t="str">
        <f aca="false">_xlfn.CONCAT(CALC!B32, ":", CALC!C32)</f>
        <v>Media and Information Technology:Support</v>
      </c>
      <c r="C31" s="36" t="n">
        <f aca="false">CALC!X32</f>
        <v>24.4</v>
      </c>
      <c r="D31" s="36" t="n">
        <f aca="false">CALC!AD32</f>
        <v>23.2</v>
      </c>
      <c r="E31" s="36" t="n">
        <f aca="false">CALC!AJ32</f>
        <v>21.2</v>
      </c>
      <c r="F31" s="36" t="n">
        <f aca="false">CALC!AP32</f>
        <v>24.9</v>
      </c>
    </row>
    <row r="32" customFormat="false" ht="12.8" hidden="false" customHeight="false" outlineLevel="0" collapsed="false">
      <c r="A32" s="14" t="str">
        <f aca="false">_xlfn.CONCAT($A$1, ".", CALC!A33)</f>
        <v>AL.WAVG.29</v>
      </c>
      <c r="B32" s="32" t="str">
        <f aca="false">_xlfn.CONCAT(CALC!B33, ":", CALC!C33)</f>
        <v>Government:Worker</v>
      </c>
      <c r="C32" s="36" t="n">
        <f aca="false">CALC!X33</f>
        <v>24.54</v>
      </c>
      <c r="D32" s="36" t="n">
        <f aca="false">CALC!AD33</f>
        <v>23.3</v>
      </c>
      <c r="E32" s="36" t="n">
        <f aca="false">CALC!AJ33</f>
        <v>21.3</v>
      </c>
      <c r="F32" s="36" t="n">
        <f aca="false">CALC!AP33</f>
        <v>25</v>
      </c>
    </row>
    <row r="33" customFormat="false" ht="12.8" hidden="false" customHeight="false" outlineLevel="0" collapsed="false">
      <c r="A33" s="14" t="e">
        <f aca="false">_xlfn.CONCAT($A$1, ".", #REF!)</f>
        <v>#REF!</v>
      </c>
      <c r="B33" s="32" t="e">
        <f aca="false">_xlfn.CONCAT(#REF!, ":", #REF!)</f>
        <v>#REF!</v>
      </c>
      <c r="C33" s="36" t="e">
        <f aca="false">#REF!</f>
        <v>#REF!</v>
      </c>
      <c r="D33" s="36" t="e">
        <f aca="false">#REF!</f>
        <v>#REF!</v>
      </c>
      <c r="E33" s="36" t="e">
        <f aca="false">#REF!</f>
        <v>#REF!</v>
      </c>
      <c r="F33" s="36" t="e">
        <f aca="false">#REF!</f>
        <v>#REF!</v>
      </c>
    </row>
    <row r="34" customFormat="false" ht="12.8" hidden="false" customHeight="false" outlineLevel="0" collapsed="false">
      <c r="A34" s="14" t="e">
        <f aca="false">_xlfn.CONCAT($A$1, ".", #REF!)</f>
        <v>#REF!</v>
      </c>
      <c r="B34" s="32" t="e">
        <f aca="false">_xlfn.CONCAT(#REF!, ":", #REF!)</f>
        <v>#REF!</v>
      </c>
      <c r="C34" s="36" t="e">
        <f aca="false">#REF!</f>
        <v>#REF!</v>
      </c>
      <c r="D34" s="36" t="e">
        <f aca="false">#REF!</f>
        <v>#REF!</v>
      </c>
      <c r="E34" s="36" t="e">
        <f aca="false">#REF!</f>
        <v>#REF!</v>
      </c>
      <c r="F34" s="36" t="e">
        <f aca="false">#REF!</f>
        <v>#REF!</v>
      </c>
    </row>
    <row r="35" customFormat="false" ht="12.8" hidden="false" customHeight="false" outlineLevel="0" collapsed="false">
      <c r="A35" s="14" t="e">
        <f aca="false">_xlfn.CONCAT($A$1, ".", #REF!)</f>
        <v>#REF!</v>
      </c>
      <c r="B35" s="32" t="e">
        <f aca="false">_xlfn.CONCAT(#REF!, ":", #REF!)</f>
        <v>#REF!</v>
      </c>
      <c r="C35" s="36" t="e">
        <f aca="false">#REF!</f>
        <v>#REF!</v>
      </c>
      <c r="D35" s="36" t="e">
        <f aca="false">#REF!</f>
        <v>#REF!</v>
      </c>
      <c r="E35" s="36" t="e">
        <f aca="false">#REF!</f>
        <v>#REF!</v>
      </c>
      <c r="F35" s="36" t="e">
        <f aca="false">#REF!</f>
        <v>#REF!</v>
      </c>
    </row>
    <row r="36" customFormat="false" ht="12.8" hidden="false" customHeight="false" outlineLevel="0" collapsed="false">
      <c r="A36" s="14" t="e">
        <f aca="false">_xlfn.CONCAT($A$1, ".", #REF!)</f>
        <v>#REF!</v>
      </c>
      <c r="B36" s="32" t="e">
        <f aca="false">_xlfn.CONCAT(#REF!, ":", #REF!)</f>
        <v>#REF!</v>
      </c>
      <c r="C36" s="36" t="e">
        <f aca="false">#REF!</f>
        <v>#REF!</v>
      </c>
      <c r="D36" s="36" t="e">
        <f aca="false">#REF!</f>
        <v>#REF!</v>
      </c>
      <c r="E36" s="36" t="e">
        <f aca="false">#REF!</f>
        <v>#REF!</v>
      </c>
      <c r="F36" s="36" t="e">
        <f aca="false">#REF!</f>
        <v>#REF!</v>
      </c>
    </row>
    <row r="37" customFormat="false" ht="12.8" hidden="false" customHeight="false" outlineLevel="0" collapsed="false">
      <c r="A37" s="14" t="e">
        <f aca="false">_xlfn.CONCAT($A$1, ".", #REF!)</f>
        <v>#REF!</v>
      </c>
      <c r="B37" s="32" t="e">
        <f aca="false">_xlfn.CONCAT(#REF!, ":", #REF!)</f>
        <v>#REF!</v>
      </c>
      <c r="C37" s="36" t="e">
        <f aca="false">#REF!</f>
        <v>#REF!</v>
      </c>
      <c r="D37" s="36" t="e">
        <f aca="false">#REF!</f>
        <v>#REF!</v>
      </c>
      <c r="E37" s="36" t="e">
        <f aca="false">#REF!</f>
        <v>#REF!</v>
      </c>
      <c r="F37" s="36"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39"/>
  <sheetViews>
    <sheetView showFormulas="false" showGridLines="true" showRowColHeaders="true" showZeros="true" rightToLeft="false" tabSelected="false" showOutlineSymbols="true" defaultGridColor="true" view="normal" topLeftCell="A111" colorId="64" zoomScale="90" zoomScaleNormal="90" zoomScalePageLayoutView="100" workbookViewId="0">
      <selection pane="topLeft" activeCell="J152" activeCellId="0" sqref="J152"/>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41.51"/>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12.8" hidden="false" customHeight="false" outlineLevel="0" collapsed="false">
      <c r="A1" s="3" t="s">
        <v>8450</v>
      </c>
      <c r="B1" s="20" t="s">
        <v>8451</v>
      </c>
      <c r="C1" s="13" t="s">
        <v>2</v>
      </c>
      <c r="D1" s="30" t="s">
        <v>8452</v>
      </c>
      <c r="AZ1" s="10"/>
      <c r="BP1" s="10"/>
    </row>
    <row r="2" customFormat="false" ht="46.25" hidden="false" customHeight="false" outlineLevel="0" collapsed="false">
      <c r="A2" s="22" t="s">
        <v>8431</v>
      </c>
      <c r="B2" s="20" t="s">
        <v>8432</v>
      </c>
      <c r="C2" s="37" t="str">
        <f aca="false">CALC!AA3</f>
        <v>Annual Income Average ($)</v>
      </c>
      <c r="D2" s="37" t="str">
        <f aca="false">CALC!AG3</f>
        <v>Authorized Immigrant Annual Income Average ($)</v>
      </c>
      <c r="E2" s="37" t="str">
        <f aca="false">CALC!AM3</f>
        <v>Unauthorized Immigrant Annual Income Average ($)</v>
      </c>
      <c r="F2" s="37" t="str">
        <f aca="false">CALC!AS3</f>
        <v>American Annual Income Average ($)</v>
      </c>
    </row>
    <row r="3" customFormat="false" ht="12.8" hidden="false" customHeight="false" outlineLevel="0" collapsed="false">
      <c r="A3" s="11" t="str">
        <f aca="false">_xlfn.CONCAT($A$1, ".", CALC!A4)</f>
        <v>AL.AIAVG.0</v>
      </c>
      <c r="B3" s="31" t="str">
        <f aca="false">_xlfn.CONCAT(CALC!B4, ":", CALC!C4)</f>
        <v>All Industries:All Roles</v>
      </c>
      <c r="C3" s="37" t="n">
        <f aca="false">CALC!AA4</f>
        <v>65520</v>
      </c>
      <c r="D3" s="37" t="n">
        <f aca="false">CALC!AG4</f>
        <v>63440</v>
      </c>
      <c r="E3" s="37" t="n">
        <f aca="false">CALC!AM4</f>
        <v>55776</v>
      </c>
      <c r="F3" s="37" t="n">
        <f aca="false">CALC!AS4</f>
        <v>66768</v>
      </c>
    </row>
    <row r="4" customFormat="false" ht="12.8" hidden="false" customHeight="false" outlineLevel="0" collapsed="false">
      <c r="A4" s="14" t="str">
        <f aca="false">_xlfn.CONCAT($A$1, ".", CALC!A5)</f>
        <v>AL.AIAVG.1</v>
      </c>
      <c r="B4" s="32" t="str">
        <f aca="false">_xlfn.CONCAT(CALC!B5, ":", CALC!C5)</f>
        <v>Agriculture:Worker</v>
      </c>
      <c r="C4" s="38" t="n">
        <f aca="false">CALC!AA5</f>
        <v>45614</v>
      </c>
      <c r="D4" s="38" t="n">
        <f aca="false">CALC!AG5</f>
        <v>43680</v>
      </c>
      <c r="E4" s="38" t="n">
        <f aca="false">CALC!AM5</f>
        <v>37856</v>
      </c>
      <c r="F4" s="38" t="n">
        <f aca="false">CALC!AS5</f>
        <v>46592</v>
      </c>
    </row>
    <row r="5" customFormat="false" ht="12.8" hidden="false" customHeight="false" outlineLevel="0" collapsed="false">
      <c r="A5" s="14" t="str">
        <f aca="false">_xlfn.CONCAT($A$1, ".", CALC!A6)</f>
        <v>AL.AIAVG.2</v>
      </c>
      <c r="B5" s="32" t="str">
        <f aca="false">_xlfn.CONCAT(CALC!B6, ":", CALC!C6)</f>
        <v>Agriculture:Support</v>
      </c>
      <c r="C5" s="38" t="n">
        <f aca="false">CALC!AA6</f>
        <v>38771</v>
      </c>
      <c r="D5" s="38" t="n">
        <f aca="false">CALC!AG6</f>
        <v>37024</v>
      </c>
      <c r="E5" s="38" t="n">
        <f aca="false">CALC!AM6</f>
        <v>32240</v>
      </c>
      <c r="F5" s="38" t="n">
        <f aca="false">CALC!AS6</f>
        <v>39520</v>
      </c>
    </row>
    <row r="6" customFormat="false" ht="12.8" hidden="false" customHeight="false" outlineLevel="0" collapsed="false">
      <c r="A6" s="14" t="str">
        <f aca="false">_xlfn.CONCAT($A$1, ".", CALC!A7)</f>
        <v>AL.AIAVG.3</v>
      </c>
      <c r="B6" s="32" t="str">
        <f aca="false">_xlfn.CONCAT(CALC!B7, ":", CALC!C7)</f>
        <v>Construction:Worker</v>
      </c>
      <c r="C6" s="38" t="n">
        <f aca="false">CALC!AA7</f>
        <v>52707</v>
      </c>
      <c r="D6" s="38" t="n">
        <f aca="false">CALC!AG7</f>
        <v>50128</v>
      </c>
      <c r="E6" s="38" t="n">
        <f aca="false">CALC!AM7</f>
        <v>44720</v>
      </c>
      <c r="F6" s="38" t="n">
        <f aca="false">CALC!AS7</f>
        <v>53872</v>
      </c>
    </row>
    <row r="7" customFormat="false" ht="12.8" hidden="false" customHeight="false" outlineLevel="0" collapsed="false">
      <c r="A7" s="14" t="str">
        <f aca="false">_xlfn.CONCAT($A$1, ".", CALC!A8)</f>
        <v>AL.AIAVG.4</v>
      </c>
      <c r="B7" s="32" t="str">
        <f aca="false">_xlfn.CONCAT(CALC!B8, ":", CALC!C8)</f>
        <v>Construction:Support</v>
      </c>
      <c r="C7" s="38" t="n">
        <f aca="false">CALC!AA8</f>
        <v>44771</v>
      </c>
      <c r="D7" s="38" t="n">
        <f aca="false">CALC!AG8</f>
        <v>42640</v>
      </c>
      <c r="E7" s="38" t="n">
        <f aca="false">CALC!AM8</f>
        <v>38064</v>
      </c>
      <c r="F7" s="38" t="n">
        <f aca="false">CALC!AS8</f>
        <v>45760</v>
      </c>
    </row>
    <row r="8" customFormat="false" ht="12.8" hidden="false" customHeight="false" outlineLevel="0" collapsed="false">
      <c r="A8" s="14" t="str">
        <f aca="false">_xlfn.CONCAT($A$1, ".", CALC!A9)</f>
        <v>AL.AIAVG.5</v>
      </c>
      <c r="B8" s="32" t="str">
        <f aca="false">_xlfn.CONCAT(CALC!B9, ":", CALC!C9)</f>
        <v>Hospitality:Worker</v>
      </c>
      <c r="C8" s="38" t="n">
        <f aca="false">CALC!AA9</f>
        <v>29432</v>
      </c>
      <c r="D8" s="38" t="n">
        <f aca="false">CALC!AG9</f>
        <v>28080</v>
      </c>
      <c r="E8" s="38" t="n">
        <f aca="false">CALC!AM9</f>
        <v>24336</v>
      </c>
      <c r="F8" s="38" t="n">
        <f aca="false">CALC!AS9</f>
        <v>29952</v>
      </c>
    </row>
    <row r="9" customFormat="false" ht="12.8" hidden="false" customHeight="false" outlineLevel="0" collapsed="false">
      <c r="A9" s="14" t="str">
        <f aca="false">_xlfn.CONCAT($A$1, ".", CALC!A10)</f>
        <v>AL.AIAVG.6</v>
      </c>
      <c r="B9" s="32" t="str">
        <f aca="false">_xlfn.CONCAT(CALC!B10, ":", CALC!C10)</f>
        <v>Hospitality:Support</v>
      </c>
      <c r="C9" s="38" t="n">
        <f aca="false">CALC!AA10</f>
        <v>25022</v>
      </c>
      <c r="D9" s="38" t="n">
        <f aca="false">CALC!AG10</f>
        <v>23920</v>
      </c>
      <c r="E9" s="38" t="n">
        <f aca="false">CALC!AM10</f>
        <v>20592</v>
      </c>
      <c r="F9" s="38" t="n">
        <f aca="false">CALC!AS10</f>
        <v>25584</v>
      </c>
    </row>
    <row r="10" customFormat="false" ht="12.8" hidden="false" customHeight="false" outlineLevel="0" collapsed="false">
      <c r="A10" s="14" t="str">
        <f aca="false">_xlfn.CONCAT($A$1, ".", CALC!A11)</f>
        <v>AL.AIAVG.7</v>
      </c>
      <c r="B10" s="32" t="str">
        <f aca="false">_xlfn.CONCAT(CALC!B11, ":", CALC!C11)</f>
        <v>Cleaning &amp; Maintenance:Worker</v>
      </c>
      <c r="C10" s="38" t="n">
        <f aca="false">CALC!AA11</f>
        <v>34507</v>
      </c>
      <c r="D10" s="38" t="n">
        <f aca="false">CALC!AG11</f>
        <v>32864</v>
      </c>
      <c r="E10" s="38" t="n">
        <f aca="false">CALC!AM11</f>
        <v>28704</v>
      </c>
      <c r="F10" s="38" t="n">
        <f aca="false">CALC!AS11</f>
        <v>35152</v>
      </c>
    </row>
    <row r="11" customFormat="false" ht="12.8" hidden="false" customHeight="false" outlineLevel="0" collapsed="false">
      <c r="A11" s="14" t="str">
        <f aca="false">_xlfn.CONCAT($A$1, ".", CALC!A12)</f>
        <v>AL.AIAVG.8</v>
      </c>
      <c r="B11" s="32" t="str">
        <f aca="false">_xlfn.CONCAT(CALC!B12, ":", CALC!C12)</f>
        <v>Cleaning &amp; Maintenance:Support</v>
      </c>
      <c r="C11" s="38" t="n">
        <f aca="false">CALC!AA12</f>
        <v>29328</v>
      </c>
      <c r="D11" s="38" t="n">
        <f aca="false">CALC!AG12</f>
        <v>27872</v>
      </c>
      <c r="E11" s="38" t="n">
        <f aca="false">CALC!AM12</f>
        <v>24336</v>
      </c>
      <c r="F11" s="38" t="n">
        <f aca="false">CALC!AS12</f>
        <v>29952</v>
      </c>
    </row>
    <row r="12" customFormat="false" ht="12.8" hidden="false" customHeight="false" outlineLevel="0" collapsed="false">
      <c r="A12" s="14" t="str">
        <f aca="false">_xlfn.CONCAT($A$1, ".", CALC!A13)</f>
        <v>AL.AIAVG.9</v>
      </c>
      <c r="B12" s="32" t="str">
        <f aca="false">_xlfn.CONCAT(CALC!B13, ":", CALC!C13)</f>
        <v>Manufacturing:Worker</v>
      </c>
      <c r="C12" s="38" t="n">
        <f aca="false">CALC!AA13</f>
        <v>50315</v>
      </c>
      <c r="D12" s="38" t="n">
        <f aca="false">CALC!AG13</f>
        <v>47840</v>
      </c>
      <c r="E12" s="38" t="n">
        <f aca="false">CALC!AM13</f>
        <v>43680</v>
      </c>
      <c r="F12" s="38" t="n">
        <f aca="false">CALC!AS13</f>
        <v>51376</v>
      </c>
    </row>
    <row r="13" customFormat="false" ht="12.8" hidden="false" customHeight="false" outlineLevel="0" collapsed="false">
      <c r="A13" s="14" t="str">
        <f aca="false">_xlfn.CONCAT($A$1, ".", CALC!A14)</f>
        <v>AL.AIAVG.10</v>
      </c>
      <c r="B13" s="32" t="str">
        <f aca="false">_xlfn.CONCAT(CALC!B14, ":", CALC!C14)</f>
        <v>Manufacturing:Support</v>
      </c>
      <c r="C13" s="38" t="n">
        <f aca="false">CALC!AA14</f>
        <v>42765</v>
      </c>
      <c r="D13" s="38" t="n">
        <f aca="false">CALC!AG14</f>
        <v>40768</v>
      </c>
      <c r="E13" s="38" t="n">
        <f aca="false">CALC!AM14</f>
        <v>37232</v>
      </c>
      <c r="F13" s="38" t="n">
        <f aca="false">CALC!AS14</f>
        <v>43680</v>
      </c>
    </row>
    <row r="14" customFormat="false" ht="12.8" hidden="false" customHeight="false" outlineLevel="0" collapsed="false">
      <c r="A14" s="14" t="str">
        <f aca="false">_xlfn.CONCAT($A$1, ".", CALC!A15)</f>
        <v>AL.AIAVG.11</v>
      </c>
      <c r="B14" s="32" t="str">
        <f aca="false">_xlfn.CONCAT(CALC!B15, ":", CALC!C15)</f>
        <v>Transportation &amp; Warehousing:Worker</v>
      </c>
      <c r="C14" s="38" t="n">
        <f aca="false">CALC!AA15</f>
        <v>50752</v>
      </c>
      <c r="D14" s="38" t="n">
        <f aca="false">CALC!AG15</f>
        <v>48256</v>
      </c>
      <c r="E14" s="38" t="n">
        <f aca="false">CALC!AM15</f>
        <v>44100</v>
      </c>
      <c r="F14" s="38" t="n">
        <f aca="false">CALC!AS15</f>
        <v>51792</v>
      </c>
    </row>
    <row r="15" customFormat="false" ht="12.8" hidden="false" customHeight="false" outlineLevel="0" collapsed="false">
      <c r="A15" s="14" t="str">
        <f aca="false">_xlfn.CONCAT($A$1, ".", CALC!A16)</f>
        <v>AL.AIAVG.12</v>
      </c>
      <c r="B15" s="32" t="str">
        <f aca="false">_xlfn.CONCAT(CALC!B16, ":", CALC!C16)</f>
        <v>Transportation &amp; Warehousing:Support</v>
      </c>
      <c r="C15" s="38" t="n">
        <f aca="false">CALC!AA16</f>
        <v>43139</v>
      </c>
      <c r="D15" s="38" t="n">
        <f aca="false">CALC!AG16</f>
        <v>40976</v>
      </c>
      <c r="E15" s="38" t="n">
        <f aca="false">CALC!AM16</f>
        <v>37440</v>
      </c>
      <c r="F15" s="38" t="n">
        <f aca="false">CALC!AS16</f>
        <v>44096</v>
      </c>
    </row>
    <row r="16" customFormat="false" ht="12.8" hidden="false" customHeight="false" outlineLevel="0" collapsed="false">
      <c r="A16" s="14" t="str">
        <f aca="false">_xlfn.CONCAT($A$1, ".", CALC!A17)</f>
        <v>AL.AIAVG.13</v>
      </c>
      <c r="B16" s="32" t="str">
        <f aca="false">_xlfn.CONCAT(CALC!B17, ":", CALC!C17)</f>
        <v>Retail Trade:Worker</v>
      </c>
      <c r="C16" s="38" t="n">
        <f aca="false">CALC!AA17</f>
        <v>45635</v>
      </c>
      <c r="D16" s="38" t="n">
        <f aca="false">CALC!AG17</f>
        <v>43472</v>
      </c>
      <c r="E16" s="38" t="n">
        <f aca="false">CALC!AM17</f>
        <v>37648</v>
      </c>
      <c r="F16" s="38" t="n">
        <f aca="false">CALC!AS17</f>
        <v>46592</v>
      </c>
    </row>
    <row r="17" customFormat="false" ht="12.8" hidden="false" customHeight="false" outlineLevel="0" collapsed="false">
      <c r="A17" s="14" t="str">
        <f aca="false">_xlfn.CONCAT($A$1, ".", CALC!A18)</f>
        <v>AL.AIAVG.14</v>
      </c>
      <c r="B17" s="32" t="str">
        <f aca="false">_xlfn.CONCAT(CALC!B18, ":", CALC!C18)</f>
        <v>Retail Trade:Support</v>
      </c>
      <c r="C17" s="38" t="n">
        <f aca="false">CALC!AA18</f>
        <v>38792</v>
      </c>
      <c r="D17" s="38" t="n">
        <f aca="false">CALC!AG18</f>
        <v>37024</v>
      </c>
      <c r="E17" s="38" t="n">
        <f aca="false">CALC!AM18</f>
        <v>32032</v>
      </c>
      <c r="F17" s="38" t="n">
        <f aca="false">CALC!AS18</f>
        <v>39520</v>
      </c>
    </row>
    <row r="18" customFormat="false" ht="12.8" hidden="false" customHeight="false" outlineLevel="0" collapsed="false">
      <c r="A18" s="14" t="str">
        <f aca="false">_xlfn.CONCAT($A$1, ".", CALC!A19)</f>
        <v>AL.AIAVG.15</v>
      </c>
      <c r="B18" s="32" t="str">
        <f aca="false">_xlfn.CONCAT(CALC!B19, ":", CALC!C19)</f>
        <v>Landscaping / Groundskeeping:Worker</v>
      </c>
      <c r="C18" s="38" t="n">
        <f aca="false">CALC!AA19</f>
        <v>34507</v>
      </c>
      <c r="D18" s="38" t="n">
        <f aca="false">CALC!AG19</f>
        <v>32864</v>
      </c>
      <c r="E18" s="38" t="n">
        <f aca="false">CALC!AM19</f>
        <v>28704</v>
      </c>
      <c r="F18" s="38" t="n">
        <f aca="false">CALC!AS19</f>
        <v>35152</v>
      </c>
    </row>
    <row r="19" customFormat="false" ht="12.8" hidden="false" customHeight="false" outlineLevel="0" collapsed="false">
      <c r="A19" s="14" t="str">
        <f aca="false">_xlfn.CONCAT($A$1, ".", CALC!A20)</f>
        <v>AL.AIAVG.16</v>
      </c>
      <c r="B19" s="32" t="str">
        <f aca="false">_xlfn.CONCAT(CALC!B20, ":", CALC!C20)</f>
        <v>Landscaping / Groundskeeping:Support</v>
      </c>
      <c r="C19" s="38" t="n">
        <f aca="false">CALC!AA20</f>
        <v>29328</v>
      </c>
      <c r="D19" s="38" t="n">
        <f aca="false">CALC!AG20</f>
        <v>27872</v>
      </c>
      <c r="E19" s="38" t="n">
        <f aca="false">CALC!AM20</f>
        <v>24336</v>
      </c>
      <c r="F19" s="38" t="n">
        <f aca="false">CALC!AS20</f>
        <v>29952</v>
      </c>
    </row>
    <row r="20" customFormat="false" ht="12.8" hidden="false" customHeight="false" outlineLevel="0" collapsed="false">
      <c r="A20" s="14" t="str">
        <f aca="false">_xlfn.CONCAT($A$1, ".", CALC!A21)</f>
        <v>AL.AIAVG.17</v>
      </c>
      <c r="B20" s="32" t="str">
        <f aca="false">_xlfn.CONCAT(CALC!B21, ":", CALC!C21)</f>
        <v>Automotive &amp; Repair:Worker</v>
      </c>
      <c r="C20" s="38" t="n">
        <f aca="false">CALC!AA21</f>
        <v>60757</v>
      </c>
      <c r="D20" s="38" t="n">
        <f aca="false">CALC!AG21</f>
        <v>57616</v>
      </c>
      <c r="E20" s="38" t="n">
        <f aca="false">CALC!AM21</f>
        <v>52624</v>
      </c>
      <c r="F20" s="38" t="n">
        <f aca="false">CALC!AS21</f>
        <v>61984</v>
      </c>
    </row>
    <row r="21" customFormat="false" ht="12.8" hidden="false" customHeight="false" outlineLevel="0" collapsed="false">
      <c r="A21" s="14" t="str">
        <f aca="false">_xlfn.CONCAT($A$1, ".", CALC!A22)</f>
        <v>AL.AIAVG.18</v>
      </c>
      <c r="B21" s="32" t="str">
        <f aca="false">_xlfn.CONCAT(CALC!B22, ":", CALC!C22)</f>
        <v>Automotive &amp; Repair:Support</v>
      </c>
      <c r="C21" s="38" t="n">
        <f aca="false">CALC!AA22</f>
        <v>51646</v>
      </c>
      <c r="D21" s="38" t="n">
        <f aca="false">CALC!AG22</f>
        <v>49088</v>
      </c>
      <c r="E21" s="38" t="n">
        <f aca="false">CALC!AM22</f>
        <v>44720</v>
      </c>
      <c r="F21" s="38" t="n">
        <f aca="false">CALC!AS22</f>
        <v>52624</v>
      </c>
    </row>
    <row r="22" customFormat="false" ht="12.8" hidden="false" customHeight="false" outlineLevel="0" collapsed="false">
      <c r="A22" s="14" t="str">
        <f aca="false">_xlfn.CONCAT($A$1, ".", CALC!A23)</f>
        <v>AL.AIAVG.19</v>
      </c>
      <c r="B22" s="32" t="str">
        <f aca="false">_xlfn.CONCAT(CALC!B23, ":", CALC!C23)</f>
        <v>Healthcare &amp; Social Assistance:Worker</v>
      </c>
      <c r="C22" s="38" t="n">
        <f aca="false">CALC!AA23</f>
        <v>85613</v>
      </c>
      <c r="D22" s="38" t="n">
        <f aca="false">CALC!AG23</f>
        <v>81328</v>
      </c>
      <c r="E22" s="38" t="n">
        <f aca="false">CALC!AM23</f>
        <v>74464</v>
      </c>
      <c r="F22" s="38" t="n">
        <f aca="false">CALC!AS23</f>
        <v>87360</v>
      </c>
    </row>
    <row r="23" customFormat="false" ht="12.8" hidden="false" customHeight="false" outlineLevel="0" collapsed="false">
      <c r="A23" s="14" t="str">
        <f aca="false">_xlfn.CONCAT($A$1, ".", CALC!A24)</f>
        <v>AL.AIAVG.20</v>
      </c>
      <c r="B23" s="32" t="str">
        <f aca="false">_xlfn.CONCAT(CALC!B24, ":", CALC!C24)</f>
        <v>Healthcare &amp; Social Assistance:Support</v>
      </c>
      <c r="C23" s="38" t="n">
        <f aca="false">CALC!AA24</f>
        <v>72779</v>
      </c>
      <c r="D23" s="38" t="n">
        <f aca="false">CALC!AG24</f>
        <v>69056</v>
      </c>
      <c r="E23" s="38" t="n">
        <f aca="false">CALC!AM24</f>
        <v>63232</v>
      </c>
      <c r="F23" s="38" t="n">
        <f aca="false">CALC!AS24</f>
        <v>74256</v>
      </c>
    </row>
    <row r="24" customFormat="false" ht="12.8" hidden="false" customHeight="false" outlineLevel="0" collapsed="false">
      <c r="A24" s="14" t="str">
        <f aca="false">_xlfn.CONCAT($A$1, ".", CALC!A25)</f>
        <v>AL.AIAVG.21</v>
      </c>
      <c r="B24" s="32" t="str">
        <f aca="false">_xlfn.CONCAT(CALC!B25, ":", CALC!C25)</f>
        <v>Professional Services:Worker</v>
      </c>
      <c r="C24" s="38" t="n">
        <f aca="false">CALC!AA25</f>
        <v>110427</v>
      </c>
      <c r="D24" s="38" t="n">
        <f aca="false">CALC!AG25</f>
        <v>104832</v>
      </c>
      <c r="E24" s="38" t="n">
        <f aca="false">CALC!AM25</f>
        <v>96096</v>
      </c>
      <c r="F24" s="38" t="n">
        <f aca="false">CALC!AS25</f>
        <v>112736</v>
      </c>
    </row>
    <row r="25" customFormat="false" ht="12.8" hidden="false" customHeight="false" outlineLevel="0" collapsed="false">
      <c r="A25" s="14" t="str">
        <f aca="false">_xlfn.CONCAT($A$1, ".", CALC!A26)</f>
        <v>AL.AIAVG.22</v>
      </c>
      <c r="B25" s="32" t="str">
        <f aca="false">_xlfn.CONCAT(CALC!B26, ":", CALC!C26)</f>
        <v>Professional Services:Support</v>
      </c>
      <c r="C25" s="38" t="n">
        <f aca="false">CALC!AA26</f>
        <v>93870</v>
      </c>
      <c r="D25" s="38" t="n">
        <f aca="false">CALC!AG26</f>
        <v>89232</v>
      </c>
      <c r="E25" s="38" t="n">
        <f aca="false">CALC!AM26</f>
        <v>81744</v>
      </c>
      <c r="F25" s="38" t="n">
        <f aca="false">CALC!AS26</f>
        <v>95680</v>
      </c>
    </row>
    <row r="26" customFormat="false" ht="12.8" hidden="false" customHeight="false" outlineLevel="0" collapsed="false">
      <c r="A26" s="14" t="str">
        <f aca="false">_xlfn.CONCAT($A$1, ".", CALC!A27)</f>
        <v>AL.AIAVG.23</v>
      </c>
      <c r="B26" s="32" t="str">
        <f aca="false">_xlfn.CONCAT(CALC!B27, ":", CALC!C27)</f>
        <v>Educational Services:Worker</v>
      </c>
      <c r="C26" s="38" t="n">
        <f aca="false">CALC!AA27</f>
        <v>54579</v>
      </c>
      <c r="D26" s="38" t="n">
        <f aca="false">CALC!AG27</f>
        <v>51792</v>
      </c>
      <c r="E26" s="38" t="n">
        <f aca="false">CALC!AM27</f>
        <v>47424</v>
      </c>
      <c r="F26" s="38" t="n">
        <f aca="false">CALC!AS27</f>
        <v>55744</v>
      </c>
    </row>
    <row r="27" customFormat="false" ht="12.8" hidden="false" customHeight="false" outlineLevel="0" collapsed="false">
      <c r="A27" s="14" t="str">
        <f aca="false">_xlfn.CONCAT($A$1, ".", CALC!A28)</f>
        <v>AL.AIAVG.24</v>
      </c>
      <c r="B27" s="32" t="str">
        <f aca="false">_xlfn.CONCAT(CALC!B28, ":", CALC!C28)</f>
        <v>Educational Services:Support</v>
      </c>
      <c r="C27" s="38" t="n">
        <f aca="false">CALC!AA28</f>
        <v>46384</v>
      </c>
      <c r="D27" s="38" t="n">
        <f aca="false">CALC!AG28</f>
        <v>44096</v>
      </c>
      <c r="E27" s="38" t="n">
        <f aca="false">CALC!AM28</f>
        <v>40352</v>
      </c>
      <c r="F27" s="38" t="n">
        <f aca="false">CALC!AS28</f>
        <v>47424</v>
      </c>
    </row>
    <row r="28" customFormat="false" ht="12.8" hidden="false" customHeight="false" outlineLevel="0" collapsed="false">
      <c r="A28" s="14" t="str">
        <f aca="false">_xlfn.CONCAT($A$1, ".", CALC!A29)</f>
        <v>AL.AIAVG.25</v>
      </c>
      <c r="B28" s="32" t="str">
        <f aca="false">_xlfn.CONCAT(CALC!B29, ":", CALC!C29)</f>
        <v>Finance &amp; Insurance:Worker</v>
      </c>
      <c r="C28" s="38" t="n">
        <f aca="false">CALC!AA29</f>
        <v>85280</v>
      </c>
      <c r="D28" s="38" t="n">
        <f aca="false">CALC!AG29</f>
        <v>81120</v>
      </c>
      <c r="E28" s="38" t="n">
        <f aca="false">CALC!AM29</f>
        <v>74256</v>
      </c>
      <c r="F28" s="38" t="n">
        <f aca="false">CALC!AS29</f>
        <v>86944</v>
      </c>
    </row>
    <row r="29" customFormat="false" ht="12.8" hidden="false" customHeight="false" outlineLevel="0" collapsed="false">
      <c r="A29" s="14" t="str">
        <f aca="false">_xlfn.CONCAT($A$1, ".", CALC!A30)</f>
        <v>AL.AIAVG.26</v>
      </c>
      <c r="B29" s="32" t="str">
        <f aca="false">_xlfn.CONCAT(CALC!B30, ":", CALC!C30)</f>
        <v>Finance &amp; Insurance:Support</v>
      </c>
      <c r="C29" s="38" t="n">
        <f aca="false">CALC!AA30</f>
        <v>72488</v>
      </c>
      <c r="D29" s="38" t="n">
        <f aca="false">CALC!AG30</f>
        <v>68848</v>
      </c>
      <c r="E29" s="38" t="n">
        <f aca="false">CALC!AM30</f>
        <v>63024</v>
      </c>
      <c r="F29" s="38" t="n">
        <f aca="false">CALC!AS30</f>
        <v>73840</v>
      </c>
    </row>
    <row r="30" customFormat="false" ht="12.8" hidden="false" customHeight="false" outlineLevel="0" collapsed="false">
      <c r="A30" s="14" t="str">
        <f aca="false">_xlfn.CONCAT($A$1, ".", CALC!A31)</f>
        <v>AL.AIAVG.27</v>
      </c>
      <c r="B30" s="32" t="str">
        <f aca="false">_xlfn.CONCAT(CALC!B31, ":", CALC!C31)</f>
        <v>Media and Information Technology:Worker</v>
      </c>
      <c r="C30" s="38" t="n">
        <f aca="false">CALC!AA31</f>
        <v>59717</v>
      </c>
      <c r="D30" s="38" t="n">
        <f aca="false">CALC!AG31</f>
        <v>56864</v>
      </c>
      <c r="E30" s="38" t="n">
        <f aca="false">CALC!AM31</f>
        <v>52000</v>
      </c>
      <c r="F30" s="38" t="n">
        <f aca="false">CALC!AS31</f>
        <v>60944</v>
      </c>
    </row>
    <row r="31" customFormat="false" ht="12.8" hidden="false" customHeight="false" outlineLevel="0" collapsed="false">
      <c r="A31" s="14" t="str">
        <f aca="false">_xlfn.CONCAT($A$1, ".", CALC!A32)</f>
        <v>AL.AIAVG.28</v>
      </c>
      <c r="B31" s="32" t="str">
        <f aca="false">_xlfn.CONCAT(CALC!B32, ":", CALC!C32)</f>
        <v>Media and Information Technology:Support</v>
      </c>
      <c r="C31" s="38" t="n">
        <f aca="false">CALC!AA32</f>
        <v>50752</v>
      </c>
      <c r="D31" s="38" t="n">
        <f aca="false">CALC!AG32</f>
        <v>48256</v>
      </c>
      <c r="E31" s="38" t="n">
        <f aca="false">CALC!AM32</f>
        <v>44100</v>
      </c>
      <c r="F31" s="38" t="n">
        <f aca="false">CALC!AS32</f>
        <v>51792</v>
      </c>
    </row>
    <row r="32" customFormat="false" ht="12.8" hidden="false" customHeight="false" outlineLevel="0" collapsed="false">
      <c r="A32" s="14" t="str">
        <f aca="false">_xlfn.CONCAT($A$1, ".", CALC!A33)</f>
        <v>AL.AIAVG.29</v>
      </c>
      <c r="B32" s="32" t="str">
        <f aca="false">_xlfn.CONCAT(CALC!B33, ":", CALC!C33)</f>
        <v>Government:Worker</v>
      </c>
      <c r="C32" s="38" t="n">
        <f aca="false">CALC!AA33</f>
        <v>51043</v>
      </c>
      <c r="D32" s="38" t="n">
        <f aca="false">CALC!AG33</f>
        <v>48464</v>
      </c>
      <c r="E32" s="38" t="n">
        <f aca="false">CALC!AM33</f>
        <v>44280</v>
      </c>
      <c r="F32" s="38" t="n">
        <f aca="false">CALC!AS33</f>
        <v>52000</v>
      </c>
    </row>
    <row r="33" customFormat="false" ht="12.8" hidden="false" customHeight="false" outlineLevel="0" collapsed="false">
      <c r="A33" s="14" t="e">
        <f aca="false">_xlfn.CONCAT($A$1, ".", #REF!)</f>
        <v>#REF!</v>
      </c>
      <c r="B33" s="32" t="e">
        <f aca="false">_xlfn.CONCAT(#REF!, ":", #REF!)</f>
        <v>#REF!</v>
      </c>
      <c r="C33" s="38" t="e">
        <f aca="false">#REF!</f>
        <v>#REF!</v>
      </c>
      <c r="D33" s="38" t="e">
        <f aca="false">#REF!</f>
        <v>#REF!</v>
      </c>
      <c r="E33" s="38" t="e">
        <f aca="false">#REF!</f>
        <v>#REF!</v>
      </c>
      <c r="F33" s="38" t="e">
        <f aca="false">#REF!</f>
        <v>#REF!</v>
      </c>
    </row>
    <row r="34" customFormat="false" ht="12.8" hidden="false" customHeight="false" outlineLevel="0" collapsed="false">
      <c r="A34" s="14" t="e">
        <f aca="false">_xlfn.CONCAT($A$1, ".", #REF!)</f>
        <v>#REF!</v>
      </c>
      <c r="B34" s="32" t="e">
        <f aca="false">_xlfn.CONCAT(#REF!, ":", #REF!)</f>
        <v>#REF!</v>
      </c>
      <c r="C34" s="38" t="e">
        <f aca="false">#REF!</f>
        <v>#REF!</v>
      </c>
      <c r="D34" s="38" t="e">
        <f aca="false">#REF!</f>
        <v>#REF!</v>
      </c>
      <c r="E34" s="38" t="e">
        <f aca="false">#REF!</f>
        <v>#REF!</v>
      </c>
      <c r="F34" s="38" t="e">
        <f aca="false">#REF!</f>
        <v>#REF!</v>
      </c>
    </row>
    <row r="35" customFormat="false" ht="12.8" hidden="false" customHeight="false" outlineLevel="0" collapsed="false">
      <c r="A35" s="14" t="e">
        <f aca="false">_xlfn.CONCAT($A$1, ".", #REF!)</f>
        <v>#REF!</v>
      </c>
      <c r="B35" s="32" t="e">
        <f aca="false">_xlfn.CONCAT(#REF!, ":", #REF!)</f>
        <v>#REF!</v>
      </c>
      <c r="C35" s="38" t="e">
        <f aca="false">#REF!</f>
        <v>#REF!</v>
      </c>
      <c r="D35" s="38" t="e">
        <f aca="false">#REF!</f>
        <v>#REF!</v>
      </c>
      <c r="E35" s="38" t="e">
        <f aca="false">#REF!</f>
        <v>#REF!</v>
      </c>
      <c r="F35" s="38" t="e">
        <f aca="false">#REF!</f>
        <v>#REF!</v>
      </c>
    </row>
    <row r="36" customFormat="false" ht="12.8" hidden="false" customHeight="false" outlineLevel="0" collapsed="false">
      <c r="A36" s="14" t="e">
        <f aca="false">_xlfn.CONCAT($A$1, ".", #REF!)</f>
        <v>#REF!</v>
      </c>
      <c r="B36" s="32" t="e">
        <f aca="false">_xlfn.CONCAT(#REF!, ":", #REF!)</f>
        <v>#REF!</v>
      </c>
      <c r="C36" s="38" t="e">
        <f aca="false">#REF!</f>
        <v>#REF!</v>
      </c>
      <c r="D36" s="38" t="e">
        <f aca="false">#REF!</f>
        <v>#REF!</v>
      </c>
      <c r="E36" s="38" t="e">
        <f aca="false">#REF!</f>
        <v>#REF!</v>
      </c>
      <c r="F36" s="38" t="e">
        <f aca="false">#REF!</f>
        <v>#REF!</v>
      </c>
    </row>
    <row r="37" customFormat="false" ht="12.8" hidden="false" customHeight="false" outlineLevel="0" collapsed="false">
      <c r="A37" s="14" t="e">
        <f aca="false">_xlfn.CONCAT($A$1, ".", #REF!)</f>
        <v>#REF!</v>
      </c>
      <c r="B37" s="32" t="e">
        <f aca="false">_xlfn.CONCAT(#REF!, ":", #REF!)</f>
        <v>#REF!</v>
      </c>
      <c r="C37" s="38" t="e">
        <f aca="false">#REF!</f>
        <v>#REF!</v>
      </c>
      <c r="D37" s="38" t="e">
        <f aca="false">#REF!</f>
        <v>#REF!</v>
      </c>
      <c r="E37" s="38" t="e">
        <f aca="false">#REF!</f>
        <v>#REF!</v>
      </c>
      <c r="F37" s="38" t="e">
        <f aca="false">#REF!</f>
        <v>#REF!</v>
      </c>
    </row>
    <row r="38" customFormat="false" ht="12.8" hidden="false" customHeight="false" outlineLevel="0" collapsed="false">
      <c r="B38" s="15"/>
      <c r="C38" s="37"/>
      <c r="D38" s="37"/>
      <c r="E38" s="37"/>
      <c r="F38" s="37"/>
    </row>
    <row r="39" customFormat="false" ht="12.8" hidden="false" customHeight="false" outlineLevel="0" collapsed="false">
      <c r="B39" s="15"/>
      <c r="C39" s="37"/>
      <c r="D39" s="37"/>
      <c r="E39" s="37"/>
      <c r="F39" s="37"/>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38"/>
  <sheetViews>
    <sheetView showFormulas="false" showGridLines="true" showRowColHeaders="true" showZeros="true" rightToLeft="false" tabSelected="false" showOutlineSymbols="true" defaultGridColor="true" view="normal" topLeftCell="A91" colorId="64" zoomScale="90" zoomScaleNormal="90" zoomScalePageLayoutView="100" workbookViewId="0">
      <selection pane="topLeft" activeCell="H127" activeCellId="0" sqref="H127"/>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41.51"/>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12.8" hidden="false" customHeight="false" outlineLevel="0" collapsed="false">
      <c r="A1" s="11" t="s">
        <v>8453</v>
      </c>
      <c r="B1" s="12" t="s">
        <v>8454</v>
      </c>
      <c r="C1" s="13" t="s">
        <v>2</v>
      </c>
      <c r="D1" s="30" t="s">
        <v>8455</v>
      </c>
      <c r="AZ1" s="10"/>
      <c r="BA1" s="10"/>
      <c r="BB1" s="10"/>
      <c r="BC1" s="10"/>
    </row>
    <row r="2" customFormat="false" ht="46.25" hidden="false" customHeight="false" outlineLevel="0" collapsed="false">
      <c r="A2" s="22" t="s">
        <v>8431</v>
      </c>
      <c r="B2" s="20" t="s">
        <v>8432</v>
      </c>
      <c r="C2" s="28" t="str">
        <f aca="false">CALC!AV3</f>
        <v>Federal Personal Income Tax Revenue ($)</v>
      </c>
      <c r="D2" s="28" t="str">
        <f aca="false">CALC!AW3</f>
        <v>Authorized Immigrant Federal Personal Income Tax Revenue ($)</v>
      </c>
      <c r="E2" s="28" t="str">
        <f aca="false">CALC!AX3</f>
        <v>Unauthorized Immigrant Federal Personal Income Tax Revenue ($)</v>
      </c>
      <c r="F2" s="28" t="str">
        <f aca="false">CALC!AY3</f>
        <v>American Federal Personal Income Tax Revenue ($)</v>
      </c>
    </row>
    <row r="3" customFormat="false" ht="12.8" hidden="false" customHeight="false" outlineLevel="0" collapsed="false">
      <c r="A3" s="11" t="str">
        <f aca="false">_xlfn.CONCAT($A$1, ".", CALC!A4)</f>
        <v>AL.FPITREV.0</v>
      </c>
      <c r="B3" s="31" t="str">
        <f aca="false">_xlfn.CONCAT(CALC!B4, ":", CALC!C4)</f>
        <v>All Industries:All Roles</v>
      </c>
      <c r="C3" s="28" t="n">
        <f aca="false">CALC!AV4</f>
        <v>1250000000</v>
      </c>
      <c r="D3" s="28" t="n">
        <f aca="false">CALC!AW4</f>
        <v>45000000</v>
      </c>
      <c r="E3" s="28" t="n">
        <f aca="false">CALC!AX4</f>
        <v>115000000</v>
      </c>
      <c r="F3" s="28" t="n">
        <f aca="false">CALC!AY4</f>
        <v>1095000000</v>
      </c>
    </row>
    <row r="4" customFormat="false" ht="12.8" hidden="false" customHeight="false" outlineLevel="0" collapsed="false">
      <c r="A4" s="14" t="str">
        <f aca="false">_xlfn.CONCAT($A$1, ".", CALC!A5)</f>
        <v>AL.FPITREV.1</v>
      </c>
      <c r="B4" s="32" t="str">
        <f aca="false">_xlfn.CONCAT(CALC!B5, ":", CALC!C5)</f>
        <v>Agriculture:Worker</v>
      </c>
      <c r="C4" s="39" t="n">
        <f aca="false">CALC!AV5</f>
        <v>1800000</v>
      </c>
      <c r="D4" s="39" t="n">
        <f aca="false">CALC!AW5</f>
        <v>61000</v>
      </c>
      <c r="E4" s="39" t="n">
        <f aca="false">CALC!AX5</f>
        <v>98000</v>
      </c>
      <c r="F4" s="39" t="n">
        <f aca="false">CALC!AY5</f>
        <v>1641000</v>
      </c>
    </row>
    <row r="5" customFormat="false" ht="12.8" hidden="false" customHeight="false" outlineLevel="0" collapsed="false">
      <c r="A5" s="14" t="str">
        <f aca="false">_xlfn.CONCAT($A$1, ".", CALC!A6)</f>
        <v>AL.FPITREV.2</v>
      </c>
      <c r="B5" s="32" t="str">
        <f aca="false">_xlfn.CONCAT(CALC!B6, ":", CALC!C6)</f>
        <v>Agriculture:Support</v>
      </c>
      <c r="C5" s="39" t="n">
        <f aca="false">CALC!AV6</f>
        <v>900000</v>
      </c>
      <c r="D5" s="39" t="n">
        <f aca="false">CALC!AW6</f>
        <v>30500</v>
      </c>
      <c r="E5" s="39" t="n">
        <f aca="false">CALC!AX6</f>
        <v>49000</v>
      </c>
      <c r="F5" s="39" t="n">
        <f aca="false">CALC!AY6</f>
        <v>820500</v>
      </c>
    </row>
    <row r="6" customFormat="false" ht="12.8" hidden="false" customHeight="false" outlineLevel="0" collapsed="false">
      <c r="A6" s="14" t="str">
        <f aca="false">_xlfn.CONCAT($A$1, ".", CALC!A7)</f>
        <v>AL.FPITREV.3</v>
      </c>
      <c r="B6" s="32" t="str">
        <f aca="false">_xlfn.CONCAT(CALC!B7, ":", CALC!C7)</f>
        <v>Construction:Worker</v>
      </c>
      <c r="C6" s="39" t="n">
        <f aca="false">CALC!AV7</f>
        <v>5000000</v>
      </c>
      <c r="D6" s="39" t="n">
        <f aca="false">CALC!AW7</f>
        <v>170000</v>
      </c>
      <c r="E6" s="39" t="n">
        <f aca="false">CALC!AX7</f>
        <v>90000</v>
      </c>
      <c r="F6" s="39" t="n">
        <f aca="false">CALC!AY7</f>
        <v>4740000</v>
      </c>
    </row>
    <row r="7" customFormat="false" ht="12.8" hidden="false" customHeight="false" outlineLevel="0" collapsed="false">
      <c r="A7" s="14" t="str">
        <f aca="false">_xlfn.CONCAT($A$1, ".", CALC!A8)</f>
        <v>AL.FPITREV.4</v>
      </c>
      <c r="B7" s="32" t="str">
        <f aca="false">_xlfn.CONCAT(CALC!B8, ":", CALC!C8)</f>
        <v>Construction:Support</v>
      </c>
      <c r="C7" s="39" t="n">
        <f aca="false">CALC!AV8</f>
        <v>2500000</v>
      </c>
      <c r="D7" s="39" t="n">
        <f aca="false">CALC!AW8</f>
        <v>85000</v>
      </c>
      <c r="E7" s="39" t="n">
        <f aca="false">CALC!AX8</f>
        <v>45000</v>
      </c>
      <c r="F7" s="39" t="n">
        <f aca="false">CALC!AY8</f>
        <v>2370000</v>
      </c>
    </row>
    <row r="8" customFormat="false" ht="12.8" hidden="false" customHeight="false" outlineLevel="0" collapsed="false">
      <c r="A8" s="14" t="str">
        <f aca="false">_xlfn.CONCAT($A$1, ".", CALC!A9)</f>
        <v>AL.FPITREV.5</v>
      </c>
      <c r="B8" s="32" t="str">
        <f aca="false">_xlfn.CONCAT(CALC!B9, ":", CALC!C9)</f>
        <v>Hospitality:Worker</v>
      </c>
      <c r="C8" s="39" t="n">
        <f aca="false">CALC!AV9</f>
        <v>36000000</v>
      </c>
      <c r="D8" s="39" t="n">
        <f aca="false">CALC!AW9</f>
        <v>1224000</v>
      </c>
      <c r="E8" s="39" t="n">
        <f aca="false">CALC!AX9</f>
        <v>648000</v>
      </c>
      <c r="F8" s="39" t="n">
        <f aca="false">CALC!AY9</f>
        <v>34137600</v>
      </c>
    </row>
    <row r="9" customFormat="false" ht="12.8" hidden="false" customHeight="false" outlineLevel="0" collapsed="false">
      <c r="A9" s="14" t="str">
        <f aca="false">_xlfn.CONCAT($A$1, ".", CALC!A10)</f>
        <v>AL.FPITREV.6</v>
      </c>
      <c r="B9" s="32" t="str">
        <f aca="false">_xlfn.CONCAT(CALC!B10, ":", CALC!C10)</f>
        <v>Hospitality:Support</v>
      </c>
      <c r="C9" s="39" t="n">
        <f aca="false">CALC!AV10</f>
        <v>18000000</v>
      </c>
      <c r="D9" s="39" t="n">
        <f aca="false">CALC!AW10</f>
        <v>612000</v>
      </c>
      <c r="E9" s="39" t="n">
        <f aca="false">CALC!AX10</f>
        <v>324000</v>
      </c>
      <c r="F9" s="39" t="n">
        <f aca="false">CALC!AY10</f>
        <v>17068800</v>
      </c>
    </row>
    <row r="10" customFormat="false" ht="12.8" hidden="false" customHeight="false" outlineLevel="0" collapsed="false">
      <c r="A10" s="14" t="str">
        <f aca="false">_xlfn.CONCAT($A$1, ".", CALC!A11)</f>
        <v>AL.FPITREV.7</v>
      </c>
      <c r="B10" s="32" t="str">
        <f aca="false">_xlfn.CONCAT(CALC!B11, ":", CALC!C11)</f>
        <v>Cleaning &amp; Maintenance:Worker</v>
      </c>
      <c r="C10" s="39" t="n">
        <f aca="false">CALC!AV11</f>
        <v>5200000</v>
      </c>
      <c r="D10" s="39" t="n">
        <f aca="false">CALC!AW11</f>
        <v>177000</v>
      </c>
      <c r="E10" s="39" t="n">
        <f aca="false">CALC!AX11</f>
        <v>93600</v>
      </c>
      <c r="F10" s="39" t="n">
        <f aca="false">CALC!AY11</f>
        <v>4928400</v>
      </c>
    </row>
    <row r="11" customFormat="false" ht="12.8" hidden="false" customHeight="false" outlineLevel="0" collapsed="false">
      <c r="A11" s="14" t="str">
        <f aca="false">_xlfn.CONCAT($A$1, ".", CALC!A12)</f>
        <v>AL.FPITREV.8</v>
      </c>
      <c r="B11" s="32" t="str">
        <f aca="false">_xlfn.CONCAT(CALC!B12, ":", CALC!C12)</f>
        <v>Cleaning &amp; Maintenance:Support</v>
      </c>
      <c r="C11" s="39" t="n">
        <f aca="false">CALC!AV12</f>
        <v>2600000</v>
      </c>
      <c r="D11" s="39" t="n">
        <f aca="false">CALC!AW12</f>
        <v>88400</v>
      </c>
      <c r="E11" s="39" t="n">
        <f aca="false">CALC!AX12</f>
        <v>46800</v>
      </c>
      <c r="F11" s="39" t="n">
        <f aca="false">CALC!AY12</f>
        <v>2464200</v>
      </c>
    </row>
    <row r="12" customFormat="false" ht="12.8" hidden="false" customHeight="false" outlineLevel="0" collapsed="false">
      <c r="A12" s="14" t="str">
        <f aca="false">_xlfn.CONCAT($A$1, ".", CALC!A13)</f>
        <v>AL.FPITREV.9</v>
      </c>
      <c r="B12" s="32" t="str">
        <f aca="false">_xlfn.CONCAT(CALC!B13, ":", CALC!C13)</f>
        <v>Manufacturing:Worker</v>
      </c>
      <c r="C12" s="39" t="n">
        <f aca="false">CALC!AV13</f>
        <v>69000000</v>
      </c>
      <c r="D12" s="39" t="n">
        <f aca="false">CALC!AW13</f>
        <v>2346000</v>
      </c>
      <c r="E12" s="39" t="n">
        <f aca="false">CALC!AX13</f>
        <v>1242000</v>
      </c>
      <c r="F12" s="39" t="n">
        <f aca="false">CALC!AY13</f>
        <v>65418000</v>
      </c>
    </row>
    <row r="13" customFormat="false" ht="12.8" hidden="false" customHeight="false" outlineLevel="0" collapsed="false">
      <c r="A13" s="14" t="str">
        <f aca="false">_xlfn.CONCAT($A$1, ".", CALC!A14)</f>
        <v>AL.FPITREV.10</v>
      </c>
      <c r="B13" s="32" t="str">
        <f aca="false">_xlfn.CONCAT(CALC!B14, ":", CALC!C14)</f>
        <v>Manufacturing:Support</v>
      </c>
      <c r="C13" s="39" t="n">
        <f aca="false">CALC!AV14</f>
        <v>34500000</v>
      </c>
      <c r="D13" s="39" t="n">
        <f aca="false">CALC!AW14</f>
        <v>1173000</v>
      </c>
      <c r="E13" s="39" t="n">
        <f aca="false">CALC!AX14</f>
        <v>621000</v>
      </c>
      <c r="F13" s="39" t="n">
        <f aca="false">CALC!AY14</f>
        <v>32709000</v>
      </c>
    </row>
    <row r="14" customFormat="false" ht="12.8" hidden="false" customHeight="false" outlineLevel="0" collapsed="false">
      <c r="A14" s="14" t="str">
        <f aca="false">_xlfn.CONCAT($A$1, ".", CALC!A15)</f>
        <v>AL.FPITREV.11</v>
      </c>
      <c r="B14" s="32" t="str">
        <f aca="false">_xlfn.CONCAT(CALC!B15, ":", CALC!C15)</f>
        <v>Transportation &amp; Warehousing:Worker</v>
      </c>
      <c r="C14" s="39" t="n">
        <f aca="false">CALC!AV15</f>
        <v>23000000</v>
      </c>
      <c r="D14" s="39" t="n">
        <f aca="false">CALC!AW15</f>
        <v>782000</v>
      </c>
      <c r="E14" s="39" t="n">
        <f aca="false">CALC!AX15</f>
        <v>414000</v>
      </c>
      <c r="F14" s="39" t="n">
        <f aca="false">CALC!AY15</f>
        <v>21796000</v>
      </c>
    </row>
    <row r="15" customFormat="false" ht="12.8" hidden="false" customHeight="false" outlineLevel="0" collapsed="false">
      <c r="A15" s="14" t="str">
        <f aca="false">_xlfn.CONCAT($A$1, ".", CALC!A16)</f>
        <v>AL.FPITREV.12</v>
      </c>
      <c r="B15" s="32" t="str">
        <f aca="false">_xlfn.CONCAT(CALC!B16, ":", CALC!C16)</f>
        <v>Transportation &amp; Warehousing:Support</v>
      </c>
      <c r="C15" s="39" t="n">
        <f aca="false">CALC!AV16</f>
        <v>11500000</v>
      </c>
      <c r="D15" s="39" t="n">
        <f aca="false">CALC!AW16</f>
        <v>391000</v>
      </c>
      <c r="E15" s="39" t="n">
        <f aca="false">CALC!AX16</f>
        <v>207000</v>
      </c>
      <c r="F15" s="39" t="n">
        <f aca="false">CALC!AY16</f>
        <v>10898000</v>
      </c>
    </row>
    <row r="16" customFormat="false" ht="12.8" hidden="false" customHeight="false" outlineLevel="0" collapsed="false">
      <c r="A16" s="14" t="str">
        <f aca="false">_xlfn.CONCAT($A$1, ".", CALC!A17)</f>
        <v>AL.FPITREV.13</v>
      </c>
      <c r="B16" s="32" t="str">
        <f aca="false">_xlfn.CONCAT(CALC!B17, ":", CALC!C17)</f>
        <v>Retail Trade:Worker</v>
      </c>
      <c r="C16" s="39" t="n">
        <f aca="false">CALC!AV17</f>
        <v>48000000</v>
      </c>
      <c r="D16" s="39" t="n">
        <f aca="false">CALC!AW17</f>
        <v>1632000</v>
      </c>
      <c r="E16" s="39" t="n">
        <f aca="false">CALC!AX17</f>
        <v>864000</v>
      </c>
      <c r="F16" s="39" t="n">
        <f aca="false">CALC!AY17</f>
        <v>45528000</v>
      </c>
    </row>
    <row r="17" customFormat="false" ht="12.8" hidden="false" customHeight="false" outlineLevel="0" collapsed="false">
      <c r="A17" s="14" t="str">
        <f aca="false">_xlfn.CONCAT($A$1, ".", CALC!A18)</f>
        <v>AL.FPITREV.14</v>
      </c>
      <c r="B17" s="32" t="str">
        <f aca="false">_xlfn.CONCAT(CALC!B18, ":", CALC!C18)</f>
        <v>Retail Trade:Support</v>
      </c>
      <c r="C17" s="39" t="n">
        <f aca="false">CALC!AV18</f>
        <v>24000000</v>
      </c>
      <c r="D17" s="39" t="n">
        <f aca="false">CALC!AW18</f>
        <v>816000</v>
      </c>
      <c r="E17" s="39" t="n">
        <f aca="false">CALC!AX18</f>
        <v>432000</v>
      </c>
      <c r="F17" s="39" t="n">
        <f aca="false">CALC!AY18</f>
        <v>22764000</v>
      </c>
    </row>
    <row r="18" customFormat="false" ht="12.8" hidden="false" customHeight="false" outlineLevel="0" collapsed="false">
      <c r="A18" s="14" t="str">
        <f aca="false">_xlfn.CONCAT($A$1, ".", CALC!A19)</f>
        <v>AL.FPITREV.15</v>
      </c>
      <c r="B18" s="32" t="str">
        <f aca="false">_xlfn.CONCAT(CALC!B19, ":", CALC!C19)</f>
        <v>Landscaping / Groundskeeping:Worker</v>
      </c>
      <c r="C18" s="39" t="n">
        <f aca="false">CALC!AV19</f>
        <v>3300000</v>
      </c>
      <c r="D18" s="39" t="n">
        <f aca="false">CALC!AW19</f>
        <v>112200</v>
      </c>
      <c r="E18" s="39" t="n">
        <f aca="false">CALC!AX19</f>
        <v>59400</v>
      </c>
      <c r="F18" s="39" t="n">
        <f aca="false">CALC!AY19</f>
        <v>3132600</v>
      </c>
    </row>
    <row r="19" customFormat="false" ht="12.8" hidden="false" customHeight="false" outlineLevel="0" collapsed="false">
      <c r="A19" s="14" t="str">
        <f aca="false">_xlfn.CONCAT($A$1, ".", CALC!A20)</f>
        <v>AL.FPITREV.16</v>
      </c>
      <c r="B19" s="32" t="str">
        <f aca="false">_xlfn.CONCAT(CALC!B20, ":", CALC!C20)</f>
        <v>Landscaping / Groundskeeping:Support</v>
      </c>
      <c r="C19" s="39" t="n">
        <f aca="false">CALC!AV20</f>
        <v>1650000</v>
      </c>
      <c r="D19" s="39" t="n">
        <f aca="false">CALC!AW20</f>
        <v>56100</v>
      </c>
      <c r="E19" s="39" t="n">
        <f aca="false">CALC!AX20</f>
        <v>29700</v>
      </c>
      <c r="F19" s="39" t="n">
        <f aca="false">CALC!AY20</f>
        <v>1566300</v>
      </c>
    </row>
    <row r="20" customFormat="false" ht="12.8" hidden="false" customHeight="false" outlineLevel="0" collapsed="false">
      <c r="A20" s="14" t="str">
        <f aca="false">_xlfn.CONCAT($A$1, ".", CALC!A21)</f>
        <v>AL.FPITREV.17</v>
      </c>
      <c r="B20" s="32" t="str">
        <f aca="false">_xlfn.CONCAT(CALC!B21, ":", CALC!C21)</f>
        <v>Automotive &amp; Repair:Worker</v>
      </c>
      <c r="C20" s="39" t="n">
        <f aca="false">CALC!AV21</f>
        <v>2700000</v>
      </c>
      <c r="D20" s="39" t="n">
        <f aca="false">CALC!AW21</f>
        <v>91800</v>
      </c>
      <c r="E20" s="39" t="n">
        <f aca="false">CALC!AX21</f>
        <v>48600</v>
      </c>
      <c r="F20" s="39" t="n">
        <f aca="false">CALC!AY21</f>
        <v>2554200</v>
      </c>
    </row>
    <row r="21" customFormat="false" ht="12.8" hidden="false" customHeight="false" outlineLevel="0" collapsed="false">
      <c r="A21" s="14" t="str">
        <f aca="false">_xlfn.CONCAT($A$1, ".", CALC!A22)</f>
        <v>AL.FPITREV.18</v>
      </c>
      <c r="B21" s="32" t="str">
        <f aca="false">_xlfn.CONCAT(CALC!B22, ":", CALC!C22)</f>
        <v>Automotive &amp; Repair:Support</v>
      </c>
      <c r="C21" s="39" t="n">
        <f aca="false">CALC!AV22</f>
        <v>1350000</v>
      </c>
      <c r="D21" s="39" t="n">
        <f aca="false">CALC!AW22</f>
        <v>45900</v>
      </c>
      <c r="E21" s="39" t="n">
        <f aca="false">CALC!AX22</f>
        <v>24300</v>
      </c>
      <c r="F21" s="39" t="n">
        <f aca="false">CALC!AY22</f>
        <v>1277100</v>
      </c>
    </row>
    <row r="22" customFormat="false" ht="12.8" hidden="false" customHeight="false" outlineLevel="0" collapsed="false">
      <c r="A22" s="14" t="str">
        <f aca="false">_xlfn.CONCAT($A$1, ".", CALC!A23)</f>
        <v>AL.FPITREV.19</v>
      </c>
      <c r="B22" s="32" t="str">
        <f aca="false">_xlfn.CONCAT(CALC!B23, ":", CALC!C23)</f>
        <v>Healthcare &amp; Social Assistance:Worker</v>
      </c>
      <c r="C22" s="39" t="n">
        <f aca="false">CALC!AV23</f>
        <v>104000000</v>
      </c>
      <c r="D22" s="39" t="n">
        <f aca="false">CALC!AW23</f>
        <v>3536000</v>
      </c>
      <c r="E22" s="39" t="n">
        <f aca="false">CALC!AX23</f>
        <v>1872000</v>
      </c>
      <c r="F22" s="39" t="n">
        <f aca="false">CALC!AY23</f>
        <v>98566400</v>
      </c>
    </row>
    <row r="23" customFormat="false" ht="12.8" hidden="false" customHeight="false" outlineLevel="0" collapsed="false">
      <c r="A23" s="14" t="str">
        <f aca="false">_xlfn.CONCAT($A$1, ".", CALC!A24)</f>
        <v>AL.FPITREV.20</v>
      </c>
      <c r="B23" s="32" t="str">
        <f aca="false">_xlfn.CONCAT(CALC!B24, ":", CALC!C24)</f>
        <v>Healthcare &amp; Social Assistance:Support</v>
      </c>
      <c r="C23" s="39" t="n">
        <f aca="false">CALC!AV24</f>
        <v>52000000</v>
      </c>
      <c r="D23" s="39" t="n">
        <f aca="false">CALC!AW24</f>
        <v>1768000</v>
      </c>
      <c r="E23" s="39" t="n">
        <f aca="false">CALC!AX24</f>
        <v>936000</v>
      </c>
      <c r="F23" s="39" t="n">
        <f aca="false">CALC!AY24</f>
        <v>49283200</v>
      </c>
    </row>
    <row r="24" customFormat="false" ht="12.8" hidden="false" customHeight="false" outlineLevel="0" collapsed="false">
      <c r="A24" s="14" t="str">
        <f aca="false">_xlfn.CONCAT($A$1, ".", CALC!A25)</f>
        <v>AL.FPITREV.21</v>
      </c>
      <c r="B24" s="32" t="str">
        <f aca="false">_xlfn.CONCAT(CALC!B25, ":", CALC!C25)</f>
        <v>Professional Services:Worker</v>
      </c>
      <c r="C24" s="39" t="n">
        <f aca="false">CALC!AV25</f>
        <v>66000000</v>
      </c>
      <c r="D24" s="39" t="n">
        <f aca="false">CALC!AW25</f>
        <v>2244000</v>
      </c>
      <c r="E24" s="39" t="n">
        <f aca="false">CALC!AX25</f>
        <v>1188000</v>
      </c>
      <c r="F24" s="39" t="n">
        <f aca="false">CALC!AY25</f>
        <v>62598000</v>
      </c>
    </row>
    <row r="25" customFormat="false" ht="12.8" hidden="false" customHeight="false" outlineLevel="0" collapsed="false">
      <c r="A25" s="14" t="str">
        <f aca="false">_xlfn.CONCAT($A$1, ".", CALC!A26)</f>
        <v>AL.FPITREV.22</v>
      </c>
      <c r="B25" s="32" t="str">
        <f aca="false">_xlfn.CONCAT(CALC!B26, ":", CALC!C26)</f>
        <v>Professional Services:Support</v>
      </c>
      <c r="C25" s="39" t="n">
        <f aca="false">CALC!AV26</f>
        <v>33000000</v>
      </c>
      <c r="D25" s="39" t="n">
        <f aca="false">CALC!AW26</f>
        <v>1122000</v>
      </c>
      <c r="E25" s="39" t="n">
        <f aca="false">CALC!AX26</f>
        <v>594000</v>
      </c>
      <c r="F25" s="39" t="n">
        <f aca="false">CALC!AY26</f>
        <v>31299000</v>
      </c>
    </row>
    <row r="26" customFormat="false" ht="12.8" hidden="false" customHeight="false" outlineLevel="0" collapsed="false">
      <c r="A26" s="14" t="str">
        <f aca="false">_xlfn.CONCAT($A$1, ".", CALC!A27)</f>
        <v>AL.FPITREV.23</v>
      </c>
      <c r="B26" s="32" t="str">
        <f aca="false">_xlfn.CONCAT(CALC!B27, ":", CALC!C27)</f>
        <v>Educational Services:Worker</v>
      </c>
      <c r="C26" s="39" t="n">
        <f aca="false">CALC!AV27</f>
        <v>42000000</v>
      </c>
      <c r="D26" s="39" t="n">
        <f aca="false">CALC!AW27</f>
        <v>1428000</v>
      </c>
      <c r="E26" s="39" t="n">
        <f aca="false">CALC!AX27</f>
        <v>756000</v>
      </c>
      <c r="F26" s="39" t="n">
        <f aca="false">CALC!AY27</f>
        <v>39823200</v>
      </c>
    </row>
    <row r="27" customFormat="false" ht="12.8" hidden="false" customHeight="false" outlineLevel="0" collapsed="false">
      <c r="A27" s="14" t="str">
        <f aca="false">_xlfn.CONCAT($A$1, ".", CALC!A28)</f>
        <v>AL.FPITREV.24</v>
      </c>
      <c r="B27" s="32" t="str">
        <f aca="false">_xlfn.CONCAT(CALC!B28, ":", CALC!C28)</f>
        <v>Educational Services:Support</v>
      </c>
      <c r="C27" s="39" t="n">
        <f aca="false">CALC!AV28</f>
        <v>21000000</v>
      </c>
      <c r="D27" s="39" t="n">
        <f aca="false">CALC!AW28</f>
        <v>714000</v>
      </c>
      <c r="E27" s="39" t="n">
        <f aca="false">CALC!AX28</f>
        <v>378000</v>
      </c>
      <c r="F27" s="39" t="n">
        <f aca="false">CALC!AY28</f>
        <v>19911600</v>
      </c>
    </row>
    <row r="28" customFormat="false" ht="12.8" hidden="false" customHeight="false" outlineLevel="0" collapsed="false">
      <c r="A28" s="14" t="str">
        <f aca="false">_xlfn.CONCAT($A$1, ".", CALC!A29)</f>
        <v>AL.FPITREV.25</v>
      </c>
      <c r="B28" s="32" t="str">
        <f aca="false">_xlfn.CONCAT(CALC!B29, ":", CALC!C29)</f>
        <v>Finance &amp; Insurance:Worker</v>
      </c>
      <c r="C28" s="39" t="n">
        <f aca="false">CALC!AV29</f>
        <v>30000000</v>
      </c>
      <c r="D28" s="39" t="n">
        <f aca="false">CALC!AW29</f>
        <v>1020000</v>
      </c>
      <c r="E28" s="39" t="n">
        <f aca="false">CALC!AX29</f>
        <v>540000</v>
      </c>
      <c r="F28" s="39" t="n">
        <f aca="false">CALC!AY29</f>
        <v>28458000</v>
      </c>
    </row>
    <row r="29" customFormat="false" ht="12.8" hidden="false" customHeight="false" outlineLevel="0" collapsed="false">
      <c r="A29" s="14" t="str">
        <f aca="false">_xlfn.CONCAT($A$1, ".", CALC!A30)</f>
        <v>AL.FPITREV.26</v>
      </c>
      <c r="B29" s="32" t="str">
        <f aca="false">_xlfn.CONCAT(CALC!B30, ":", CALC!C30)</f>
        <v>Finance &amp; Insurance:Support</v>
      </c>
      <c r="C29" s="39" t="n">
        <f aca="false">CALC!AV30</f>
        <v>15000000</v>
      </c>
      <c r="D29" s="39" t="n">
        <f aca="false">CALC!AW30</f>
        <v>510000</v>
      </c>
      <c r="E29" s="39" t="n">
        <f aca="false">CALC!AX30</f>
        <v>270000</v>
      </c>
      <c r="F29" s="39" t="n">
        <f aca="false">CALC!AY30</f>
        <v>14229000</v>
      </c>
    </row>
    <row r="30" customFormat="false" ht="12.8" hidden="false" customHeight="false" outlineLevel="0" collapsed="false">
      <c r="A30" s="14" t="str">
        <f aca="false">_xlfn.CONCAT($A$1, ".", CALC!A31)</f>
        <v>AL.FPITREV.27</v>
      </c>
      <c r="B30" s="32" t="str">
        <f aca="false">_xlfn.CONCAT(CALC!B31, ":", CALC!C31)</f>
        <v>Media and Information Technology:Worker</v>
      </c>
      <c r="C30" s="39" t="n">
        <f aca="false">CALC!AV31</f>
        <v>9000000</v>
      </c>
      <c r="D30" s="39" t="n">
        <f aca="false">CALC!AW31</f>
        <v>306000</v>
      </c>
      <c r="E30" s="39" t="n">
        <f aca="false">CALC!AX31</f>
        <v>162000</v>
      </c>
      <c r="F30" s="39" t="n">
        <f aca="false">CALC!AY31</f>
        <v>8532000</v>
      </c>
    </row>
    <row r="31" customFormat="false" ht="12.8" hidden="false" customHeight="false" outlineLevel="0" collapsed="false">
      <c r="A31" s="14" t="str">
        <f aca="false">_xlfn.CONCAT($A$1, ".", CALC!A32)</f>
        <v>AL.FPITREV.28</v>
      </c>
      <c r="B31" s="32" t="str">
        <f aca="false">_xlfn.CONCAT(CALC!B32, ":", CALC!C32)</f>
        <v>Media and Information Technology:Support</v>
      </c>
      <c r="C31" s="39" t="n">
        <f aca="false">CALC!AV32</f>
        <v>4500000</v>
      </c>
      <c r="D31" s="39" t="n">
        <f aca="false">CALC!AW32</f>
        <v>153000</v>
      </c>
      <c r="E31" s="39" t="n">
        <f aca="false">CALC!AX32</f>
        <v>81000</v>
      </c>
      <c r="F31" s="39" t="n">
        <f aca="false">CALC!AY32</f>
        <v>4266000</v>
      </c>
    </row>
    <row r="32" customFormat="false" ht="12.8" hidden="false" customHeight="false" outlineLevel="0" collapsed="false">
      <c r="A32" s="14" t="str">
        <f aca="false">_xlfn.CONCAT($A$1, ".", CALC!A33)</f>
        <v>AL.FPITREV.29</v>
      </c>
      <c r="B32" s="32" t="str">
        <f aca="false">_xlfn.CONCAT(CALC!B33, ":", CALC!C33)</f>
        <v>Government:Worker</v>
      </c>
      <c r="C32" s="39" t="n">
        <f aca="false">CALC!AV33</f>
        <v>120000000</v>
      </c>
      <c r="D32" s="39" t="n">
        <f aca="false">CALC!AW33</f>
        <v>4080000</v>
      </c>
      <c r="E32" s="39" t="n">
        <f aca="false">CALC!AX33</f>
        <v>2160000</v>
      </c>
      <c r="F32" s="39" t="n">
        <f aca="false">CALC!AY33</f>
        <v>113520000</v>
      </c>
    </row>
    <row r="33" customFormat="false" ht="12.8" hidden="false" customHeight="false" outlineLevel="0" collapsed="false">
      <c r="A33" s="14" t="e">
        <f aca="false">_xlfn.CONCAT($A$1, ".", #REF!)</f>
        <v>#REF!</v>
      </c>
      <c r="B33" s="32" t="e">
        <f aca="false">_xlfn.CONCAT(#REF!, ":", #REF!)</f>
        <v>#REF!</v>
      </c>
      <c r="C33" s="39" t="e">
        <f aca="false">#REF!</f>
        <v>#REF!</v>
      </c>
      <c r="D33" s="39" t="e">
        <f aca="false">#REF!</f>
        <v>#REF!</v>
      </c>
      <c r="E33" s="39" t="e">
        <f aca="false">#REF!</f>
        <v>#REF!</v>
      </c>
      <c r="F33" s="39" t="e">
        <f aca="false">#REF!</f>
        <v>#REF!</v>
      </c>
    </row>
    <row r="34" customFormat="false" ht="12.8" hidden="false" customHeight="false" outlineLevel="0" collapsed="false">
      <c r="A34" s="14" t="e">
        <f aca="false">_xlfn.CONCAT($A$1, ".", #REF!)</f>
        <v>#REF!</v>
      </c>
      <c r="B34" s="32" t="e">
        <f aca="false">_xlfn.CONCAT(#REF!, ":", #REF!)</f>
        <v>#REF!</v>
      </c>
      <c r="C34" s="39" t="e">
        <f aca="false">#REF!</f>
        <v>#REF!</v>
      </c>
      <c r="D34" s="39" t="e">
        <f aca="false">#REF!</f>
        <v>#REF!</v>
      </c>
      <c r="E34" s="39" t="e">
        <f aca="false">#REF!</f>
        <v>#REF!</v>
      </c>
      <c r="F34" s="39" t="e">
        <f aca="false">#REF!</f>
        <v>#REF!</v>
      </c>
    </row>
    <row r="35" customFormat="false" ht="12.8" hidden="false" customHeight="false" outlineLevel="0" collapsed="false">
      <c r="A35" s="14" t="e">
        <f aca="false">_xlfn.CONCAT($A$1, ".", #REF!)</f>
        <v>#REF!</v>
      </c>
      <c r="B35" s="32" t="e">
        <f aca="false">_xlfn.CONCAT(#REF!, ":", #REF!)</f>
        <v>#REF!</v>
      </c>
      <c r="C35" s="39" t="e">
        <f aca="false">#REF!</f>
        <v>#REF!</v>
      </c>
      <c r="D35" s="39" t="e">
        <f aca="false">#REF!</f>
        <v>#REF!</v>
      </c>
      <c r="E35" s="39" t="e">
        <f aca="false">#REF!</f>
        <v>#REF!</v>
      </c>
      <c r="F35" s="39" t="e">
        <f aca="false">#REF!</f>
        <v>#REF!</v>
      </c>
    </row>
    <row r="36" customFormat="false" ht="12.8" hidden="false" customHeight="false" outlineLevel="0" collapsed="false">
      <c r="A36" s="14" t="e">
        <f aca="false">_xlfn.CONCAT($A$1, ".", #REF!)</f>
        <v>#REF!</v>
      </c>
      <c r="B36" s="32" t="e">
        <f aca="false">_xlfn.CONCAT(#REF!, ":", #REF!)</f>
        <v>#REF!</v>
      </c>
      <c r="C36" s="39" t="e">
        <f aca="false">#REF!</f>
        <v>#REF!</v>
      </c>
      <c r="D36" s="39" t="e">
        <f aca="false">#REF!</f>
        <v>#REF!</v>
      </c>
      <c r="E36" s="39" t="e">
        <f aca="false">#REF!</f>
        <v>#REF!</v>
      </c>
      <c r="F36" s="39" t="e">
        <f aca="false">#REF!</f>
        <v>#REF!</v>
      </c>
    </row>
    <row r="37" customFormat="false" ht="12.8" hidden="false" customHeight="false" outlineLevel="0" collapsed="false">
      <c r="A37" s="14" t="e">
        <f aca="false">_xlfn.CONCAT($A$1, ".", #REF!)</f>
        <v>#REF!</v>
      </c>
      <c r="B37" s="32" t="e">
        <f aca="false">_xlfn.CONCAT(#REF!, ":", #REF!)</f>
        <v>#REF!</v>
      </c>
      <c r="C37" s="39" t="e">
        <f aca="false">#REF!</f>
        <v>#REF!</v>
      </c>
      <c r="D37" s="39" t="e">
        <f aca="false">#REF!</f>
        <v>#REF!</v>
      </c>
      <c r="E37" s="39" t="e">
        <f aca="false">#REF!</f>
        <v>#REF!</v>
      </c>
      <c r="F37" s="39" t="e">
        <f aca="false">#REF!</f>
        <v>#REF!</v>
      </c>
    </row>
    <row r="38" customFormat="false" ht="12.8" hidden="false" customHeight="false" outlineLevel="0" collapsed="false">
      <c r="A38" s="14"/>
      <c r="B38" s="15"/>
      <c r="C38" s="28"/>
      <c r="D38" s="28"/>
      <c r="E38" s="28"/>
      <c r="F38" s="2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38"/>
  <sheetViews>
    <sheetView showFormulas="false" showGridLines="true" showRowColHeaders="true" showZeros="true" rightToLeft="false" tabSelected="false" showOutlineSymbols="true" defaultGridColor="true" view="normal" topLeftCell="A25" colorId="64" zoomScale="90" zoomScaleNormal="90" zoomScalePageLayoutView="100" workbookViewId="0">
      <selection pane="topLeft" activeCell="I88" activeCellId="0" sqref="I88"/>
    </sheetView>
  </sheetViews>
  <sheetFormatPr defaultColWidth="11.53515625" defaultRowHeight="12.8" customHeight="false" zeroHeight="false" outlineLevelRow="0" outlineLevelCol="0"/>
  <cols>
    <col collapsed="false" customWidth="false" hidden="false" outlineLevel="0" max="1" min="1" style="9" width="11.53"/>
    <col collapsed="false" customWidth="true" hidden="false" outlineLevel="0" max="2" min="2" style="10" width="36.9"/>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23.85" hidden="false" customHeight="false" outlineLevel="0" collapsed="false">
      <c r="A1" s="11" t="s">
        <v>8456</v>
      </c>
      <c r="B1" s="20" t="s">
        <v>8457</v>
      </c>
      <c r="C1" s="13" t="s">
        <v>2</v>
      </c>
      <c r="D1" s="30" t="s">
        <v>8458</v>
      </c>
      <c r="AZ1" s="10"/>
      <c r="BP1" s="10"/>
    </row>
    <row r="2" customFormat="false" ht="46.25" hidden="false" customHeight="false" outlineLevel="0" collapsed="false">
      <c r="A2" s="22" t="s">
        <v>8431</v>
      </c>
      <c r="B2" s="20" t="s">
        <v>8432</v>
      </c>
      <c r="C2" s="28" t="str">
        <f aca="false">CALC!AV3</f>
        <v>Federal Personal Income Tax Revenue ($)</v>
      </c>
      <c r="D2" s="28" t="str">
        <f aca="false">CALC!AW3</f>
        <v>Authorized Immigrant Federal Personal Income Tax Revenue ($)</v>
      </c>
      <c r="E2" s="28" t="str">
        <f aca="false">CALC!AX3</f>
        <v>Unauthorized Immigrant Federal Personal Income Tax Revenue ($)</v>
      </c>
      <c r="F2" s="28" t="str">
        <f aca="false">CALC!AY3</f>
        <v>American Federal Personal Income Tax Revenue ($)</v>
      </c>
    </row>
    <row r="3" customFormat="false" ht="12.8" hidden="false" customHeight="false" outlineLevel="0" collapsed="false">
      <c r="A3" s="11" t="str">
        <f aca="false">_xlfn.CONCAT($A$1, ".", CALC!A4)</f>
        <v>AL.FPPTR.0</v>
      </c>
      <c r="B3" s="31" t="str">
        <f aca="false">_xlfn.CONCAT(CALC!B4, ":", CALC!C4)</f>
        <v>All Industries:All Roles</v>
      </c>
      <c r="C3" s="28" t="n">
        <f aca="false">CALC!AV4</f>
        <v>1250000000</v>
      </c>
      <c r="D3" s="28" t="n">
        <f aca="false">CALC!AW4</f>
        <v>45000000</v>
      </c>
      <c r="E3" s="28" t="n">
        <f aca="false">CALC!AX4</f>
        <v>115000000</v>
      </c>
      <c r="F3" s="28" t="n">
        <f aca="false">CALC!AY4</f>
        <v>1095000000</v>
      </c>
    </row>
    <row r="4" customFormat="false" ht="12.8" hidden="false" customHeight="false" outlineLevel="0" collapsed="false">
      <c r="A4" s="14" t="str">
        <f aca="false">_xlfn.CONCAT($A$1, ".", CALC!A5)</f>
        <v>AL.FPPTR.1</v>
      </c>
      <c r="B4" s="32" t="str">
        <f aca="false">_xlfn.CONCAT(CALC!B5, ":", CALC!C5)</f>
        <v>Agriculture:Worker</v>
      </c>
      <c r="C4" s="39" t="n">
        <f aca="false">CALC!AV5</f>
        <v>1800000</v>
      </c>
      <c r="D4" s="39" t="n">
        <f aca="false">CALC!AW5</f>
        <v>61000</v>
      </c>
      <c r="E4" s="39" t="n">
        <f aca="false">CALC!AX5</f>
        <v>98000</v>
      </c>
      <c r="F4" s="39" t="n">
        <f aca="false">CALC!AY5</f>
        <v>1641000</v>
      </c>
    </row>
    <row r="5" customFormat="false" ht="12.8" hidden="false" customHeight="false" outlineLevel="0" collapsed="false">
      <c r="A5" s="14" t="str">
        <f aca="false">_xlfn.CONCAT($A$1, ".", CALC!A6)</f>
        <v>AL.FPPTR.2</v>
      </c>
      <c r="B5" s="32" t="str">
        <f aca="false">_xlfn.CONCAT(CALC!B6, ":", CALC!C6)</f>
        <v>Agriculture:Support</v>
      </c>
      <c r="C5" s="39" t="n">
        <f aca="false">CALC!AV6</f>
        <v>900000</v>
      </c>
      <c r="D5" s="39" t="n">
        <f aca="false">CALC!AW6</f>
        <v>30500</v>
      </c>
      <c r="E5" s="39" t="n">
        <f aca="false">CALC!AX6</f>
        <v>49000</v>
      </c>
      <c r="F5" s="39" t="n">
        <f aca="false">CALC!AY6</f>
        <v>820500</v>
      </c>
    </row>
    <row r="6" customFormat="false" ht="12.8" hidden="false" customHeight="false" outlineLevel="0" collapsed="false">
      <c r="A6" s="14" t="str">
        <f aca="false">_xlfn.CONCAT($A$1, ".", CALC!A7)</f>
        <v>AL.FPPTR.3</v>
      </c>
      <c r="B6" s="32" t="str">
        <f aca="false">_xlfn.CONCAT(CALC!B7, ":", CALC!C7)</f>
        <v>Construction:Worker</v>
      </c>
      <c r="C6" s="39" t="n">
        <f aca="false">CALC!AV7</f>
        <v>5000000</v>
      </c>
      <c r="D6" s="39" t="n">
        <f aca="false">CALC!AW7</f>
        <v>170000</v>
      </c>
      <c r="E6" s="39" t="n">
        <f aca="false">CALC!AX7</f>
        <v>90000</v>
      </c>
      <c r="F6" s="39" t="n">
        <f aca="false">CALC!AY7</f>
        <v>4740000</v>
      </c>
    </row>
    <row r="7" customFormat="false" ht="12.8" hidden="false" customHeight="false" outlineLevel="0" collapsed="false">
      <c r="A7" s="14" t="str">
        <f aca="false">_xlfn.CONCAT($A$1, ".", CALC!A8)</f>
        <v>AL.FPPTR.4</v>
      </c>
      <c r="B7" s="32" t="str">
        <f aca="false">_xlfn.CONCAT(CALC!B8, ":", CALC!C8)</f>
        <v>Construction:Support</v>
      </c>
      <c r="C7" s="39" t="n">
        <f aca="false">CALC!AV8</f>
        <v>2500000</v>
      </c>
      <c r="D7" s="39" t="n">
        <f aca="false">CALC!AW8</f>
        <v>85000</v>
      </c>
      <c r="E7" s="39" t="n">
        <f aca="false">CALC!AX8</f>
        <v>45000</v>
      </c>
      <c r="F7" s="39" t="n">
        <f aca="false">CALC!AY8</f>
        <v>2370000</v>
      </c>
    </row>
    <row r="8" customFormat="false" ht="12.8" hidden="false" customHeight="false" outlineLevel="0" collapsed="false">
      <c r="A8" s="14" t="str">
        <f aca="false">_xlfn.CONCAT($A$1, ".", CALC!A9)</f>
        <v>AL.FPPTR.5</v>
      </c>
      <c r="B8" s="32" t="str">
        <f aca="false">_xlfn.CONCAT(CALC!B9, ":", CALC!C9)</f>
        <v>Hospitality:Worker</v>
      </c>
      <c r="C8" s="39" t="n">
        <f aca="false">CALC!AV9</f>
        <v>36000000</v>
      </c>
      <c r="D8" s="39" t="n">
        <f aca="false">CALC!AW9</f>
        <v>1224000</v>
      </c>
      <c r="E8" s="39" t="n">
        <f aca="false">CALC!AX9</f>
        <v>648000</v>
      </c>
      <c r="F8" s="39" t="n">
        <f aca="false">CALC!AY9</f>
        <v>34137600</v>
      </c>
    </row>
    <row r="9" customFormat="false" ht="12.8" hidden="false" customHeight="false" outlineLevel="0" collapsed="false">
      <c r="A9" s="14" t="str">
        <f aca="false">_xlfn.CONCAT($A$1, ".", CALC!A10)</f>
        <v>AL.FPPTR.6</v>
      </c>
      <c r="B9" s="32" t="str">
        <f aca="false">_xlfn.CONCAT(CALC!B10, ":", CALC!C10)</f>
        <v>Hospitality:Support</v>
      </c>
      <c r="C9" s="39" t="n">
        <f aca="false">CALC!AV10</f>
        <v>18000000</v>
      </c>
      <c r="D9" s="39" t="n">
        <f aca="false">CALC!AW10</f>
        <v>612000</v>
      </c>
      <c r="E9" s="39" t="n">
        <f aca="false">CALC!AX10</f>
        <v>324000</v>
      </c>
      <c r="F9" s="39" t="n">
        <f aca="false">CALC!AY10</f>
        <v>17068800</v>
      </c>
    </row>
    <row r="10" customFormat="false" ht="12.8" hidden="false" customHeight="false" outlineLevel="0" collapsed="false">
      <c r="A10" s="14" t="str">
        <f aca="false">_xlfn.CONCAT($A$1, ".", CALC!A11)</f>
        <v>AL.FPPTR.7</v>
      </c>
      <c r="B10" s="32" t="str">
        <f aca="false">_xlfn.CONCAT(CALC!B11, ":", CALC!C11)</f>
        <v>Cleaning &amp; Maintenance:Worker</v>
      </c>
      <c r="C10" s="39" t="n">
        <f aca="false">CALC!AV11</f>
        <v>5200000</v>
      </c>
      <c r="D10" s="39" t="n">
        <f aca="false">CALC!AW11</f>
        <v>177000</v>
      </c>
      <c r="E10" s="39" t="n">
        <f aca="false">CALC!AX11</f>
        <v>93600</v>
      </c>
      <c r="F10" s="39" t="n">
        <f aca="false">CALC!AY11</f>
        <v>4928400</v>
      </c>
    </row>
    <row r="11" customFormat="false" ht="12.8" hidden="false" customHeight="false" outlineLevel="0" collapsed="false">
      <c r="A11" s="14" t="str">
        <f aca="false">_xlfn.CONCAT($A$1, ".", CALC!A12)</f>
        <v>AL.FPPTR.8</v>
      </c>
      <c r="B11" s="32" t="str">
        <f aca="false">_xlfn.CONCAT(CALC!B12, ":", CALC!C12)</f>
        <v>Cleaning &amp; Maintenance:Support</v>
      </c>
      <c r="C11" s="39" t="n">
        <f aca="false">CALC!AV12</f>
        <v>2600000</v>
      </c>
      <c r="D11" s="39" t="n">
        <f aca="false">CALC!AW12</f>
        <v>88400</v>
      </c>
      <c r="E11" s="39" t="n">
        <f aca="false">CALC!AX12</f>
        <v>46800</v>
      </c>
      <c r="F11" s="39" t="n">
        <f aca="false">CALC!AY12</f>
        <v>2464200</v>
      </c>
    </row>
    <row r="12" customFormat="false" ht="12.8" hidden="false" customHeight="false" outlineLevel="0" collapsed="false">
      <c r="A12" s="14" t="str">
        <f aca="false">_xlfn.CONCAT($A$1, ".", CALC!A13)</f>
        <v>AL.FPPTR.9</v>
      </c>
      <c r="B12" s="32" t="str">
        <f aca="false">_xlfn.CONCAT(CALC!B13, ":", CALC!C13)</f>
        <v>Manufacturing:Worker</v>
      </c>
      <c r="C12" s="39" t="n">
        <f aca="false">CALC!AV13</f>
        <v>69000000</v>
      </c>
      <c r="D12" s="39" t="n">
        <f aca="false">CALC!AW13</f>
        <v>2346000</v>
      </c>
      <c r="E12" s="39" t="n">
        <f aca="false">CALC!AX13</f>
        <v>1242000</v>
      </c>
      <c r="F12" s="39" t="n">
        <f aca="false">CALC!AY13</f>
        <v>65418000</v>
      </c>
    </row>
    <row r="13" customFormat="false" ht="12.8" hidden="false" customHeight="false" outlineLevel="0" collapsed="false">
      <c r="A13" s="14" t="str">
        <f aca="false">_xlfn.CONCAT($A$1, ".", CALC!A14)</f>
        <v>AL.FPPTR.10</v>
      </c>
      <c r="B13" s="32" t="str">
        <f aca="false">_xlfn.CONCAT(CALC!B14, ":", CALC!C14)</f>
        <v>Manufacturing:Support</v>
      </c>
      <c r="C13" s="39" t="n">
        <f aca="false">CALC!AV14</f>
        <v>34500000</v>
      </c>
      <c r="D13" s="39" t="n">
        <f aca="false">CALC!AW14</f>
        <v>1173000</v>
      </c>
      <c r="E13" s="39" t="n">
        <f aca="false">CALC!AX14</f>
        <v>621000</v>
      </c>
      <c r="F13" s="39" t="n">
        <f aca="false">CALC!AY14</f>
        <v>32709000</v>
      </c>
    </row>
    <row r="14" customFormat="false" ht="12.8" hidden="false" customHeight="false" outlineLevel="0" collapsed="false">
      <c r="A14" s="14" t="str">
        <f aca="false">_xlfn.CONCAT($A$1, ".", CALC!A15)</f>
        <v>AL.FPPTR.11</v>
      </c>
      <c r="B14" s="32" t="str">
        <f aca="false">_xlfn.CONCAT(CALC!B15, ":", CALC!C15)</f>
        <v>Transportation &amp; Warehousing:Worker</v>
      </c>
      <c r="C14" s="39" t="n">
        <f aca="false">CALC!AV15</f>
        <v>23000000</v>
      </c>
      <c r="D14" s="39" t="n">
        <f aca="false">CALC!AW15</f>
        <v>782000</v>
      </c>
      <c r="E14" s="39" t="n">
        <f aca="false">CALC!AX15</f>
        <v>414000</v>
      </c>
      <c r="F14" s="39" t="n">
        <f aca="false">CALC!AY15</f>
        <v>21796000</v>
      </c>
    </row>
    <row r="15" customFormat="false" ht="12.8" hidden="false" customHeight="false" outlineLevel="0" collapsed="false">
      <c r="A15" s="14" t="str">
        <f aca="false">_xlfn.CONCAT($A$1, ".", CALC!A16)</f>
        <v>AL.FPPTR.12</v>
      </c>
      <c r="B15" s="32" t="str">
        <f aca="false">_xlfn.CONCAT(CALC!B16, ":", CALC!C16)</f>
        <v>Transportation &amp; Warehousing:Support</v>
      </c>
      <c r="C15" s="39" t="n">
        <f aca="false">CALC!AV16</f>
        <v>11500000</v>
      </c>
      <c r="D15" s="39" t="n">
        <f aca="false">CALC!AW16</f>
        <v>391000</v>
      </c>
      <c r="E15" s="39" t="n">
        <f aca="false">CALC!AX16</f>
        <v>207000</v>
      </c>
      <c r="F15" s="39" t="n">
        <f aca="false">CALC!AY16</f>
        <v>10898000</v>
      </c>
    </row>
    <row r="16" customFormat="false" ht="12.8" hidden="false" customHeight="false" outlineLevel="0" collapsed="false">
      <c r="A16" s="14" t="str">
        <f aca="false">_xlfn.CONCAT($A$1, ".", CALC!A17)</f>
        <v>AL.FPPTR.13</v>
      </c>
      <c r="B16" s="32" t="str">
        <f aca="false">_xlfn.CONCAT(CALC!B17, ":", CALC!C17)</f>
        <v>Retail Trade:Worker</v>
      </c>
      <c r="C16" s="39" t="n">
        <f aca="false">CALC!AV17</f>
        <v>48000000</v>
      </c>
      <c r="D16" s="39" t="n">
        <f aca="false">CALC!AW17</f>
        <v>1632000</v>
      </c>
      <c r="E16" s="39" t="n">
        <f aca="false">CALC!AX17</f>
        <v>864000</v>
      </c>
      <c r="F16" s="39" t="n">
        <f aca="false">CALC!AY17</f>
        <v>45528000</v>
      </c>
    </row>
    <row r="17" customFormat="false" ht="12.8" hidden="false" customHeight="false" outlineLevel="0" collapsed="false">
      <c r="A17" s="14" t="str">
        <f aca="false">_xlfn.CONCAT($A$1, ".", CALC!A18)</f>
        <v>AL.FPPTR.14</v>
      </c>
      <c r="B17" s="32" t="str">
        <f aca="false">_xlfn.CONCAT(CALC!B18, ":", CALC!C18)</f>
        <v>Retail Trade:Support</v>
      </c>
      <c r="C17" s="39" t="n">
        <f aca="false">CALC!AV18</f>
        <v>24000000</v>
      </c>
      <c r="D17" s="39" t="n">
        <f aca="false">CALC!AW18</f>
        <v>816000</v>
      </c>
      <c r="E17" s="39" t="n">
        <f aca="false">CALC!AX18</f>
        <v>432000</v>
      </c>
      <c r="F17" s="39" t="n">
        <f aca="false">CALC!AY18</f>
        <v>22764000</v>
      </c>
    </row>
    <row r="18" customFormat="false" ht="12.8" hidden="false" customHeight="false" outlineLevel="0" collapsed="false">
      <c r="A18" s="14" t="str">
        <f aca="false">_xlfn.CONCAT($A$1, ".", CALC!A19)</f>
        <v>AL.FPPTR.15</v>
      </c>
      <c r="B18" s="32" t="str">
        <f aca="false">_xlfn.CONCAT(CALC!B19, ":", CALC!C19)</f>
        <v>Landscaping / Groundskeeping:Worker</v>
      </c>
      <c r="C18" s="39" t="n">
        <f aca="false">CALC!AV19</f>
        <v>3300000</v>
      </c>
      <c r="D18" s="39" t="n">
        <f aca="false">CALC!AW19</f>
        <v>112200</v>
      </c>
      <c r="E18" s="39" t="n">
        <f aca="false">CALC!AX19</f>
        <v>59400</v>
      </c>
      <c r="F18" s="39" t="n">
        <f aca="false">CALC!AY19</f>
        <v>3132600</v>
      </c>
    </row>
    <row r="19" customFormat="false" ht="12.8" hidden="false" customHeight="false" outlineLevel="0" collapsed="false">
      <c r="A19" s="14" t="str">
        <f aca="false">_xlfn.CONCAT($A$1, ".", CALC!A20)</f>
        <v>AL.FPPTR.16</v>
      </c>
      <c r="B19" s="32" t="str">
        <f aca="false">_xlfn.CONCAT(CALC!B20, ":", CALC!C20)</f>
        <v>Landscaping / Groundskeeping:Support</v>
      </c>
      <c r="C19" s="39" t="n">
        <f aca="false">CALC!AV20</f>
        <v>1650000</v>
      </c>
      <c r="D19" s="39" t="n">
        <f aca="false">CALC!AW20</f>
        <v>56100</v>
      </c>
      <c r="E19" s="39" t="n">
        <f aca="false">CALC!AX20</f>
        <v>29700</v>
      </c>
      <c r="F19" s="39" t="n">
        <f aca="false">CALC!AY20</f>
        <v>1566300</v>
      </c>
    </row>
    <row r="20" customFormat="false" ht="12.8" hidden="false" customHeight="false" outlineLevel="0" collapsed="false">
      <c r="A20" s="14" t="str">
        <f aca="false">_xlfn.CONCAT($A$1, ".", CALC!A21)</f>
        <v>AL.FPPTR.17</v>
      </c>
      <c r="B20" s="32" t="str">
        <f aca="false">_xlfn.CONCAT(CALC!B21, ":", CALC!C21)</f>
        <v>Automotive &amp; Repair:Worker</v>
      </c>
      <c r="C20" s="39" t="n">
        <f aca="false">CALC!AV21</f>
        <v>2700000</v>
      </c>
      <c r="D20" s="39" t="n">
        <f aca="false">CALC!AW21</f>
        <v>91800</v>
      </c>
      <c r="E20" s="39" t="n">
        <f aca="false">CALC!AX21</f>
        <v>48600</v>
      </c>
      <c r="F20" s="39" t="n">
        <f aca="false">CALC!AY21</f>
        <v>2554200</v>
      </c>
    </row>
    <row r="21" customFormat="false" ht="12.8" hidden="false" customHeight="false" outlineLevel="0" collapsed="false">
      <c r="A21" s="14" t="str">
        <f aca="false">_xlfn.CONCAT($A$1, ".", CALC!A22)</f>
        <v>AL.FPPTR.18</v>
      </c>
      <c r="B21" s="32" t="str">
        <f aca="false">_xlfn.CONCAT(CALC!B22, ":", CALC!C22)</f>
        <v>Automotive &amp; Repair:Support</v>
      </c>
      <c r="C21" s="39" t="n">
        <f aca="false">CALC!AV22</f>
        <v>1350000</v>
      </c>
      <c r="D21" s="39" t="n">
        <f aca="false">CALC!AW22</f>
        <v>45900</v>
      </c>
      <c r="E21" s="39" t="n">
        <f aca="false">CALC!AX22</f>
        <v>24300</v>
      </c>
      <c r="F21" s="39" t="n">
        <f aca="false">CALC!AY22</f>
        <v>1277100</v>
      </c>
    </row>
    <row r="22" customFormat="false" ht="12.8" hidden="false" customHeight="false" outlineLevel="0" collapsed="false">
      <c r="A22" s="14" t="str">
        <f aca="false">_xlfn.CONCAT($A$1, ".", CALC!A23)</f>
        <v>AL.FPPTR.19</v>
      </c>
      <c r="B22" s="32" t="str">
        <f aca="false">_xlfn.CONCAT(CALC!B23, ":", CALC!C23)</f>
        <v>Healthcare &amp; Social Assistance:Worker</v>
      </c>
      <c r="C22" s="39" t="n">
        <f aca="false">CALC!AV23</f>
        <v>104000000</v>
      </c>
      <c r="D22" s="39" t="n">
        <f aca="false">CALC!AW23</f>
        <v>3536000</v>
      </c>
      <c r="E22" s="39" t="n">
        <f aca="false">CALC!AX23</f>
        <v>1872000</v>
      </c>
      <c r="F22" s="39" t="n">
        <f aca="false">CALC!AY23</f>
        <v>98566400</v>
      </c>
    </row>
    <row r="23" customFormat="false" ht="12.8" hidden="false" customHeight="false" outlineLevel="0" collapsed="false">
      <c r="A23" s="14" t="str">
        <f aca="false">_xlfn.CONCAT($A$1, ".", CALC!A24)</f>
        <v>AL.FPPTR.20</v>
      </c>
      <c r="B23" s="32" t="str">
        <f aca="false">_xlfn.CONCAT(CALC!B24, ":", CALC!C24)</f>
        <v>Healthcare &amp; Social Assistance:Support</v>
      </c>
      <c r="C23" s="39" t="n">
        <f aca="false">CALC!AV24</f>
        <v>52000000</v>
      </c>
      <c r="D23" s="39" t="n">
        <f aca="false">CALC!AW24</f>
        <v>1768000</v>
      </c>
      <c r="E23" s="39" t="n">
        <f aca="false">CALC!AX24</f>
        <v>936000</v>
      </c>
      <c r="F23" s="39" t="n">
        <f aca="false">CALC!AY24</f>
        <v>49283200</v>
      </c>
    </row>
    <row r="24" customFormat="false" ht="12.8" hidden="false" customHeight="false" outlineLevel="0" collapsed="false">
      <c r="A24" s="14" t="str">
        <f aca="false">_xlfn.CONCAT($A$1, ".", CALC!A25)</f>
        <v>AL.FPPTR.21</v>
      </c>
      <c r="B24" s="32" t="str">
        <f aca="false">_xlfn.CONCAT(CALC!B25, ":", CALC!C25)</f>
        <v>Professional Services:Worker</v>
      </c>
      <c r="C24" s="39" t="n">
        <f aca="false">CALC!AV25</f>
        <v>66000000</v>
      </c>
      <c r="D24" s="39" t="n">
        <f aca="false">CALC!AW25</f>
        <v>2244000</v>
      </c>
      <c r="E24" s="39" t="n">
        <f aca="false">CALC!AX25</f>
        <v>1188000</v>
      </c>
      <c r="F24" s="39" t="n">
        <f aca="false">CALC!AY25</f>
        <v>62598000</v>
      </c>
    </row>
    <row r="25" customFormat="false" ht="12.8" hidden="false" customHeight="false" outlineLevel="0" collapsed="false">
      <c r="A25" s="14" t="str">
        <f aca="false">_xlfn.CONCAT($A$1, ".", CALC!A26)</f>
        <v>AL.FPPTR.22</v>
      </c>
      <c r="B25" s="32" t="str">
        <f aca="false">_xlfn.CONCAT(CALC!B26, ":", CALC!C26)</f>
        <v>Professional Services:Support</v>
      </c>
      <c r="C25" s="39" t="n">
        <f aca="false">CALC!AV26</f>
        <v>33000000</v>
      </c>
      <c r="D25" s="39" t="n">
        <f aca="false">CALC!AW26</f>
        <v>1122000</v>
      </c>
      <c r="E25" s="39" t="n">
        <f aca="false">CALC!AX26</f>
        <v>594000</v>
      </c>
      <c r="F25" s="39" t="n">
        <f aca="false">CALC!AY26</f>
        <v>31299000</v>
      </c>
    </row>
    <row r="26" customFormat="false" ht="12.8" hidden="false" customHeight="false" outlineLevel="0" collapsed="false">
      <c r="A26" s="14" t="str">
        <f aca="false">_xlfn.CONCAT($A$1, ".", CALC!A27)</f>
        <v>AL.FPPTR.23</v>
      </c>
      <c r="B26" s="32" t="str">
        <f aca="false">_xlfn.CONCAT(CALC!B27, ":", CALC!C27)</f>
        <v>Educational Services:Worker</v>
      </c>
      <c r="C26" s="39" t="n">
        <f aca="false">CALC!AV27</f>
        <v>42000000</v>
      </c>
      <c r="D26" s="39" t="n">
        <f aca="false">CALC!AW27</f>
        <v>1428000</v>
      </c>
      <c r="E26" s="39" t="n">
        <f aca="false">CALC!AX27</f>
        <v>756000</v>
      </c>
      <c r="F26" s="39" t="n">
        <f aca="false">CALC!AY27</f>
        <v>39823200</v>
      </c>
    </row>
    <row r="27" customFormat="false" ht="12.8" hidden="false" customHeight="false" outlineLevel="0" collapsed="false">
      <c r="A27" s="14" t="str">
        <f aca="false">_xlfn.CONCAT($A$1, ".", CALC!A28)</f>
        <v>AL.FPPTR.24</v>
      </c>
      <c r="B27" s="32" t="str">
        <f aca="false">_xlfn.CONCAT(CALC!B28, ":", CALC!C28)</f>
        <v>Educational Services:Support</v>
      </c>
      <c r="C27" s="39" t="n">
        <f aca="false">CALC!AV28</f>
        <v>21000000</v>
      </c>
      <c r="D27" s="39" t="n">
        <f aca="false">CALC!AW28</f>
        <v>714000</v>
      </c>
      <c r="E27" s="39" t="n">
        <f aca="false">CALC!AX28</f>
        <v>378000</v>
      </c>
      <c r="F27" s="39" t="n">
        <f aca="false">CALC!AY28</f>
        <v>19911600</v>
      </c>
    </row>
    <row r="28" customFormat="false" ht="12.8" hidden="false" customHeight="false" outlineLevel="0" collapsed="false">
      <c r="A28" s="14" t="str">
        <f aca="false">_xlfn.CONCAT($A$1, ".", CALC!A29)</f>
        <v>AL.FPPTR.25</v>
      </c>
      <c r="B28" s="32" t="str">
        <f aca="false">_xlfn.CONCAT(CALC!B29, ":", CALC!C29)</f>
        <v>Finance &amp; Insurance:Worker</v>
      </c>
      <c r="C28" s="39" t="n">
        <f aca="false">CALC!AV29</f>
        <v>30000000</v>
      </c>
      <c r="D28" s="39" t="n">
        <f aca="false">CALC!AW29</f>
        <v>1020000</v>
      </c>
      <c r="E28" s="39" t="n">
        <f aca="false">CALC!AX29</f>
        <v>540000</v>
      </c>
      <c r="F28" s="39" t="n">
        <f aca="false">CALC!AY29</f>
        <v>28458000</v>
      </c>
    </row>
    <row r="29" customFormat="false" ht="12.8" hidden="false" customHeight="false" outlineLevel="0" collapsed="false">
      <c r="A29" s="14" t="str">
        <f aca="false">_xlfn.CONCAT($A$1, ".", CALC!A30)</f>
        <v>AL.FPPTR.26</v>
      </c>
      <c r="B29" s="32" t="str">
        <f aca="false">_xlfn.CONCAT(CALC!B30, ":", CALC!C30)</f>
        <v>Finance &amp; Insurance:Support</v>
      </c>
      <c r="C29" s="39" t="n">
        <f aca="false">CALC!AV30</f>
        <v>15000000</v>
      </c>
      <c r="D29" s="39" t="n">
        <f aca="false">CALC!AW30</f>
        <v>510000</v>
      </c>
      <c r="E29" s="39" t="n">
        <f aca="false">CALC!AX30</f>
        <v>270000</v>
      </c>
      <c r="F29" s="39" t="n">
        <f aca="false">CALC!AY30</f>
        <v>14229000</v>
      </c>
    </row>
    <row r="30" customFormat="false" ht="12.8" hidden="false" customHeight="false" outlineLevel="0" collapsed="false">
      <c r="A30" s="14" t="str">
        <f aca="false">_xlfn.CONCAT($A$1, ".", CALC!A31)</f>
        <v>AL.FPPTR.27</v>
      </c>
      <c r="B30" s="32" t="str">
        <f aca="false">_xlfn.CONCAT(CALC!B31, ":", CALC!C31)</f>
        <v>Media and Information Technology:Worker</v>
      </c>
      <c r="C30" s="39" t="n">
        <f aca="false">CALC!AV31</f>
        <v>9000000</v>
      </c>
      <c r="D30" s="39" t="n">
        <f aca="false">CALC!AW31</f>
        <v>306000</v>
      </c>
      <c r="E30" s="39" t="n">
        <f aca="false">CALC!AX31</f>
        <v>162000</v>
      </c>
      <c r="F30" s="39" t="n">
        <f aca="false">CALC!AY31</f>
        <v>8532000</v>
      </c>
    </row>
    <row r="31" customFormat="false" ht="12.8" hidden="false" customHeight="false" outlineLevel="0" collapsed="false">
      <c r="A31" s="14" t="str">
        <f aca="false">_xlfn.CONCAT($A$1, ".", CALC!A32)</f>
        <v>AL.FPPTR.28</v>
      </c>
      <c r="B31" s="32" t="str">
        <f aca="false">_xlfn.CONCAT(CALC!B32, ":", CALC!C32)</f>
        <v>Media and Information Technology:Support</v>
      </c>
      <c r="C31" s="39" t="n">
        <f aca="false">CALC!AV32</f>
        <v>4500000</v>
      </c>
      <c r="D31" s="39" t="n">
        <f aca="false">CALC!AW32</f>
        <v>153000</v>
      </c>
      <c r="E31" s="39" t="n">
        <f aca="false">CALC!AX32</f>
        <v>81000</v>
      </c>
      <c r="F31" s="39" t="n">
        <f aca="false">CALC!AY32</f>
        <v>4266000</v>
      </c>
    </row>
    <row r="32" customFormat="false" ht="12.8" hidden="false" customHeight="false" outlineLevel="0" collapsed="false">
      <c r="A32" s="14" t="str">
        <f aca="false">_xlfn.CONCAT($A$1, ".", CALC!A33)</f>
        <v>AL.FPPTR.29</v>
      </c>
      <c r="B32" s="32" t="str">
        <f aca="false">_xlfn.CONCAT(CALC!B33, ":", CALC!C33)</f>
        <v>Government:Worker</v>
      </c>
      <c r="C32" s="39" t="n">
        <f aca="false">CALC!AV33</f>
        <v>120000000</v>
      </c>
      <c r="D32" s="39" t="n">
        <f aca="false">CALC!AW33</f>
        <v>4080000</v>
      </c>
      <c r="E32" s="39" t="n">
        <f aca="false">CALC!AX33</f>
        <v>2160000</v>
      </c>
      <c r="F32" s="39" t="n">
        <f aca="false">CALC!AY33</f>
        <v>113520000</v>
      </c>
    </row>
    <row r="33" customFormat="false" ht="12.8" hidden="false" customHeight="false" outlineLevel="0" collapsed="false">
      <c r="A33" s="14" t="e">
        <f aca="false">_xlfn.CONCAT($A$1, ".", #REF!)</f>
        <v>#REF!</v>
      </c>
      <c r="B33" s="32" t="e">
        <f aca="false">_xlfn.CONCAT(#REF!, ":", #REF!)</f>
        <v>#REF!</v>
      </c>
      <c r="C33" s="39" t="e">
        <f aca="false">#REF!</f>
        <v>#REF!</v>
      </c>
      <c r="D33" s="39" t="e">
        <f aca="false">#REF!</f>
        <v>#REF!</v>
      </c>
      <c r="E33" s="39" t="e">
        <f aca="false">#REF!</f>
        <v>#REF!</v>
      </c>
      <c r="F33" s="39" t="e">
        <f aca="false">#REF!</f>
        <v>#REF!</v>
      </c>
    </row>
    <row r="34" customFormat="false" ht="12.8" hidden="false" customHeight="false" outlineLevel="0" collapsed="false">
      <c r="A34" s="14" t="e">
        <f aca="false">_xlfn.CONCAT($A$1, ".", #REF!)</f>
        <v>#REF!</v>
      </c>
      <c r="B34" s="32" t="e">
        <f aca="false">_xlfn.CONCAT(#REF!, ":", #REF!)</f>
        <v>#REF!</v>
      </c>
      <c r="C34" s="39" t="e">
        <f aca="false">#REF!</f>
        <v>#REF!</v>
      </c>
      <c r="D34" s="39" t="e">
        <f aca="false">#REF!</f>
        <v>#REF!</v>
      </c>
      <c r="E34" s="39" t="e">
        <f aca="false">#REF!</f>
        <v>#REF!</v>
      </c>
      <c r="F34" s="39" t="e">
        <f aca="false">#REF!</f>
        <v>#REF!</v>
      </c>
    </row>
    <row r="35" customFormat="false" ht="12.8" hidden="false" customHeight="false" outlineLevel="0" collapsed="false">
      <c r="A35" s="14" t="e">
        <f aca="false">_xlfn.CONCAT($A$1, ".", #REF!)</f>
        <v>#REF!</v>
      </c>
      <c r="B35" s="32" t="e">
        <f aca="false">_xlfn.CONCAT(#REF!, ":", #REF!)</f>
        <v>#REF!</v>
      </c>
      <c r="C35" s="39" t="e">
        <f aca="false">#REF!</f>
        <v>#REF!</v>
      </c>
      <c r="D35" s="39" t="e">
        <f aca="false">#REF!</f>
        <v>#REF!</v>
      </c>
      <c r="E35" s="39" t="e">
        <f aca="false">#REF!</f>
        <v>#REF!</v>
      </c>
      <c r="F35" s="39" t="e">
        <f aca="false">#REF!</f>
        <v>#REF!</v>
      </c>
    </row>
    <row r="36" customFormat="false" ht="12.8" hidden="false" customHeight="false" outlineLevel="0" collapsed="false">
      <c r="A36" s="14" t="e">
        <f aca="false">_xlfn.CONCAT($A$1, ".", #REF!)</f>
        <v>#REF!</v>
      </c>
      <c r="B36" s="32" t="e">
        <f aca="false">_xlfn.CONCAT(#REF!, ":", #REF!)</f>
        <v>#REF!</v>
      </c>
      <c r="C36" s="39" t="e">
        <f aca="false">#REF!</f>
        <v>#REF!</v>
      </c>
      <c r="D36" s="39" t="e">
        <f aca="false">#REF!</f>
        <v>#REF!</v>
      </c>
      <c r="E36" s="39" t="e">
        <f aca="false">#REF!</f>
        <v>#REF!</v>
      </c>
      <c r="F36" s="39" t="e">
        <f aca="false">#REF!</f>
        <v>#REF!</v>
      </c>
    </row>
    <row r="37" customFormat="false" ht="12.8" hidden="false" customHeight="false" outlineLevel="0" collapsed="false">
      <c r="A37" s="14" t="e">
        <f aca="false">_xlfn.CONCAT($A$1, ".", #REF!)</f>
        <v>#REF!</v>
      </c>
      <c r="B37" s="32" t="e">
        <f aca="false">_xlfn.CONCAT(#REF!, ":", #REF!)</f>
        <v>#REF!</v>
      </c>
      <c r="C37" s="39" t="e">
        <f aca="false">#REF!</f>
        <v>#REF!</v>
      </c>
      <c r="D37" s="39" t="e">
        <f aca="false">#REF!</f>
        <v>#REF!</v>
      </c>
      <c r="E37" s="39" t="e">
        <f aca="false">#REF!</f>
        <v>#REF!</v>
      </c>
      <c r="F37" s="39" t="e">
        <f aca="false">#REF!</f>
        <v>#REF!</v>
      </c>
    </row>
    <row r="38" customFormat="false" ht="12.8" hidden="false" customHeight="false" outlineLevel="0" collapsed="false">
      <c r="B38" s="15"/>
      <c r="C38" s="28"/>
      <c r="D38" s="28"/>
      <c r="E38" s="28"/>
      <c r="F38" s="2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37"/>
  <sheetViews>
    <sheetView showFormulas="false" showGridLines="true" showRowColHeaders="true" showZeros="true" rightToLeft="false" tabSelected="false" showOutlineSymbols="true" defaultGridColor="true" view="normal" topLeftCell="A85" colorId="64" zoomScale="90" zoomScaleNormal="90" zoomScalePageLayoutView="100" workbookViewId="0">
      <selection pane="topLeft" activeCell="F3" activeCellId="0" sqref="F3"/>
    </sheetView>
  </sheetViews>
  <sheetFormatPr defaultColWidth="11.53515625" defaultRowHeight="12.8" customHeight="false" zeroHeight="false" outlineLevelRow="0" outlineLevelCol="0"/>
  <cols>
    <col collapsed="false" customWidth="true" hidden="false" outlineLevel="0" max="1" min="1" style="9" width="13.84"/>
    <col collapsed="false" customWidth="true" hidden="false" outlineLevel="0" max="2" min="2" style="10" width="36.9"/>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23.85" hidden="false" customHeight="false" outlineLevel="0" collapsed="false">
      <c r="A1" s="11" t="s">
        <v>8459</v>
      </c>
      <c r="B1" s="20" t="s">
        <v>8460</v>
      </c>
      <c r="C1" s="13" t="s">
        <v>2</v>
      </c>
      <c r="D1" s="30" t="s">
        <v>8461</v>
      </c>
      <c r="AZ1" s="10"/>
      <c r="BP1" s="10"/>
    </row>
    <row r="2" customFormat="false" ht="35.05" hidden="false" customHeight="false" outlineLevel="0" collapsed="false">
      <c r="A2" s="22" t="s">
        <v>8431</v>
      </c>
      <c r="B2" s="20" t="s">
        <v>8432</v>
      </c>
      <c r="C2" s="28" t="str">
        <f aca="false">CALC!BD3</f>
        <v>EITC Credit Refund</v>
      </c>
      <c r="D2" s="28" t="str">
        <f aca="false">CALC!BE3</f>
        <v>Authorized Immigrant EITC Credit Refund</v>
      </c>
      <c r="E2" s="28" t="str">
        <f aca="false">CALC!BF3</f>
        <v>Unauthorized Immigrant EITC Credit Refund</v>
      </c>
      <c r="F2" s="28" t="str">
        <f aca="false">CALC!BG3</f>
        <v>American Effective Tax EITC Credit Refund</v>
      </c>
    </row>
    <row r="3" customFormat="false" ht="12.8" hidden="false" customHeight="false" outlineLevel="0" collapsed="false">
      <c r="A3" s="11" t="str">
        <f aca="false">_xlfn.CONCAT($A$1, ".", CALC!A4)</f>
        <v>AL.EITCREF.0</v>
      </c>
      <c r="B3" s="31" t="str">
        <f aca="false">_xlfn.CONCAT(CALC!B4, ":", CALC!C4)</f>
        <v>All Industries:All Roles</v>
      </c>
      <c r="C3" s="28" t="n">
        <f aca="false">CALC!BD4</f>
        <v>320000000</v>
      </c>
      <c r="D3" s="28" t="n">
        <f aca="false">CALC!BE4</f>
        <v>90000000</v>
      </c>
      <c r="E3" s="28" t="n">
        <f aca="false">CALC!BF4</f>
        <v>0</v>
      </c>
      <c r="F3" s="28" t="n">
        <f aca="false">CALC!BG4</f>
        <v>230000000</v>
      </c>
    </row>
    <row r="4" customFormat="false" ht="12.8" hidden="false" customHeight="false" outlineLevel="0" collapsed="false">
      <c r="A4" s="14" t="str">
        <f aca="false">_xlfn.CONCAT($A$1, ".", CALC!A5)</f>
        <v>AL.EITCREF.1</v>
      </c>
      <c r="B4" s="32" t="str">
        <f aca="false">_xlfn.CONCAT(CALC!B5, ":", CALC!C5)</f>
        <v>Agriculture:Worker</v>
      </c>
      <c r="C4" s="39" t="n">
        <f aca="false">CALC!BD5</f>
        <v>90000</v>
      </c>
      <c r="D4" s="39" t="n">
        <f aca="false">CALC!BE5</f>
        <v>18000</v>
      </c>
      <c r="E4" s="39" t="n">
        <f aca="false">CALC!BF5</f>
        <v>0</v>
      </c>
      <c r="F4" s="39" t="n">
        <f aca="false">CALC!BG5</f>
        <v>72000</v>
      </c>
    </row>
    <row r="5" customFormat="false" ht="12.8" hidden="false" customHeight="false" outlineLevel="0" collapsed="false">
      <c r="A5" s="14" t="str">
        <f aca="false">_xlfn.CONCAT($A$1, ".", CALC!A6)</f>
        <v>AL.EITCREF.2</v>
      </c>
      <c r="B5" s="32" t="str">
        <f aca="false">_xlfn.CONCAT(CALC!B6, ":", CALC!C6)</f>
        <v>Agriculture:Support</v>
      </c>
      <c r="C5" s="39" t="n">
        <f aca="false">CALC!BD6</f>
        <v>45000</v>
      </c>
      <c r="D5" s="39" t="n">
        <f aca="false">CALC!BE6</f>
        <v>9000</v>
      </c>
      <c r="E5" s="39" t="n">
        <f aca="false">CALC!BF6</f>
        <v>0</v>
      </c>
      <c r="F5" s="39" t="n">
        <f aca="false">CALC!BG6</f>
        <v>36000</v>
      </c>
    </row>
    <row r="6" customFormat="false" ht="12.8" hidden="false" customHeight="false" outlineLevel="0" collapsed="false">
      <c r="A6" s="14" t="str">
        <f aca="false">_xlfn.CONCAT($A$1, ".", CALC!A7)</f>
        <v>AL.EITCREF.3</v>
      </c>
      <c r="B6" s="32" t="str">
        <f aca="false">_xlfn.CONCAT(CALC!B7, ":", CALC!C7)</f>
        <v>Construction:Worker</v>
      </c>
      <c r="C6" s="39" t="n">
        <f aca="false">CALC!BD7</f>
        <v>500000</v>
      </c>
      <c r="D6" s="39" t="n">
        <f aca="false">CALC!BE7</f>
        <v>100000</v>
      </c>
      <c r="E6" s="39" t="n">
        <f aca="false">CALC!BF7</f>
        <v>0</v>
      </c>
      <c r="F6" s="39" t="n">
        <f aca="false">CALC!BG7</f>
        <v>400000</v>
      </c>
    </row>
    <row r="7" customFormat="false" ht="12.8" hidden="false" customHeight="false" outlineLevel="0" collapsed="false">
      <c r="A7" s="14" t="str">
        <f aca="false">_xlfn.CONCAT($A$1, ".", CALC!A8)</f>
        <v>AL.EITCREF.4</v>
      </c>
      <c r="B7" s="32" t="str">
        <f aca="false">_xlfn.CONCAT(CALC!B8, ":", CALC!C8)</f>
        <v>Construction:Support</v>
      </c>
      <c r="C7" s="39" t="n">
        <f aca="false">CALC!BD8</f>
        <v>250000</v>
      </c>
      <c r="D7" s="39" t="n">
        <f aca="false">CALC!BE8</f>
        <v>50000</v>
      </c>
      <c r="E7" s="39" t="n">
        <f aca="false">CALC!BF8</f>
        <v>0</v>
      </c>
      <c r="F7" s="39" t="n">
        <f aca="false">CALC!BG8</f>
        <v>200000</v>
      </c>
    </row>
    <row r="8" customFormat="false" ht="12.8" hidden="false" customHeight="false" outlineLevel="0" collapsed="false">
      <c r="A8" s="14" t="str">
        <f aca="false">_xlfn.CONCAT($A$1, ".", CALC!A9)</f>
        <v>AL.EITCREF.5</v>
      </c>
      <c r="B8" s="32" t="str">
        <f aca="false">_xlfn.CONCAT(CALC!B9, ":", CALC!C9)</f>
        <v>Hospitality:Worker</v>
      </c>
      <c r="C8" s="39" t="n">
        <f aca="false">CALC!BD9</f>
        <v>1800000</v>
      </c>
      <c r="D8" s="39" t="n">
        <f aca="false">CALC!BE9</f>
        <v>360000</v>
      </c>
      <c r="E8" s="39" t="n">
        <f aca="false">CALC!BF9</f>
        <v>0</v>
      </c>
      <c r="F8" s="39" t="n">
        <f aca="false">CALC!BG9</f>
        <v>1440000</v>
      </c>
    </row>
    <row r="9" customFormat="false" ht="12.8" hidden="false" customHeight="false" outlineLevel="0" collapsed="false">
      <c r="A9" s="14" t="str">
        <f aca="false">_xlfn.CONCAT($A$1, ".", CALC!A10)</f>
        <v>AL.EITCREF.6</v>
      </c>
      <c r="B9" s="32" t="str">
        <f aca="false">_xlfn.CONCAT(CALC!B10, ":", CALC!C10)</f>
        <v>Hospitality:Support</v>
      </c>
      <c r="C9" s="39" t="n">
        <f aca="false">CALC!BD10</f>
        <v>900000</v>
      </c>
      <c r="D9" s="39" t="n">
        <f aca="false">CALC!BE10</f>
        <v>180000</v>
      </c>
      <c r="E9" s="39" t="n">
        <f aca="false">CALC!BF10</f>
        <v>0</v>
      </c>
      <c r="F9" s="39" t="n">
        <f aca="false">CALC!BG10</f>
        <v>720000</v>
      </c>
    </row>
    <row r="10" customFormat="false" ht="12.8" hidden="false" customHeight="false" outlineLevel="0" collapsed="false">
      <c r="A10" s="14" t="str">
        <f aca="false">_xlfn.CONCAT($A$1, ".", CALC!A11)</f>
        <v>AL.EITCREF.7</v>
      </c>
      <c r="B10" s="32" t="str">
        <f aca="false">_xlfn.CONCAT(CALC!B11, ":", CALC!C11)</f>
        <v>Cleaning &amp; Maintenance:Worker</v>
      </c>
      <c r="C10" s="39" t="n">
        <f aca="false">CALC!BD11</f>
        <v>650000</v>
      </c>
      <c r="D10" s="39" t="n">
        <f aca="false">CALC!BE11</f>
        <v>130000</v>
      </c>
      <c r="E10" s="39" t="n">
        <f aca="false">CALC!BF11</f>
        <v>0</v>
      </c>
      <c r="F10" s="39" t="n">
        <f aca="false">CALC!BG11</f>
        <v>520000</v>
      </c>
    </row>
    <row r="11" customFormat="false" ht="12.8" hidden="false" customHeight="false" outlineLevel="0" collapsed="false">
      <c r="A11" s="14" t="str">
        <f aca="false">_xlfn.CONCAT($A$1, ".", CALC!A12)</f>
        <v>AL.EITCREF.8</v>
      </c>
      <c r="B11" s="32" t="str">
        <f aca="false">_xlfn.CONCAT(CALC!B12, ":", CALC!C12)</f>
        <v>Cleaning &amp; Maintenance:Support</v>
      </c>
      <c r="C11" s="39" t="n">
        <f aca="false">CALC!BD12</f>
        <v>325000</v>
      </c>
      <c r="D11" s="39" t="n">
        <f aca="false">CALC!BE12</f>
        <v>65000</v>
      </c>
      <c r="E11" s="39" t="n">
        <f aca="false">CALC!BF12</f>
        <v>0</v>
      </c>
      <c r="F11" s="39" t="n">
        <f aca="false">CALC!BG12</f>
        <v>260000</v>
      </c>
    </row>
    <row r="12" customFormat="false" ht="12.8" hidden="false" customHeight="false" outlineLevel="0" collapsed="false">
      <c r="A12" s="14" t="str">
        <f aca="false">_xlfn.CONCAT($A$1, ".", CALC!A13)</f>
        <v>AL.EITCREF.9</v>
      </c>
      <c r="B12" s="32" t="str">
        <f aca="false">_xlfn.CONCAT(CALC!B13, ":", CALC!C13)</f>
        <v>Manufacturing:Worker</v>
      </c>
      <c r="C12" s="39" t="n">
        <f aca="false">CALC!BD13</f>
        <v>2700000</v>
      </c>
      <c r="D12" s="39" t="n">
        <f aca="false">CALC!BE13</f>
        <v>540000</v>
      </c>
      <c r="E12" s="39" t="n">
        <f aca="false">CALC!BF13</f>
        <v>0</v>
      </c>
      <c r="F12" s="39" t="n">
        <f aca="false">CALC!BG13</f>
        <v>2160000</v>
      </c>
    </row>
    <row r="13" customFormat="false" ht="12.8" hidden="false" customHeight="false" outlineLevel="0" collapsed="false">
      <c r="A13" s="14" t="str">
        <f aca="false">_xlfn.CONCAT($A$1, ".", CALC!A14)</f>
        <v>AL.EITCREF.10</v>
      </c>
      <c r="B13" s="32" t="str">
        <f aca="false">_xlfn.CONCAT(CALC!B14, ":", CALC!C14)</f>
        <v>Manufacturing:Support</v>
      </c>
      <c r="C13" s="39" t="n">
        <f aca="false">CALC!BD14</f>
        <v>1350000</v>
      </c>
      <c r="D13" s="39" t="n">
        <f aca="false">CALC!BE14</f>
        <v>270000</v>
      </c>
      <c r="E13" s="39" t="n">
        <f aca="false">CALC!BF14</f>
        <v>0</v>
      </c>
      <c r="F13" s="39" t="n">
        <f aca="false">CALC!BG14</f>
        <v>1080000</v>
      </c>
    </row>
    <row r="14" customFormat="false" ht="12.8" hidden="false" customHeight="false" outlineLevel="0" collapsed="false">
      <c r="A14" s="14" t="str">
        <f aca="false">_xlfn.CONCAT($A$1, ".", CALC!A15)</f>
        <v>AL.EITCREF.11</v>
      </c>
      <c r="B14" s="32" t="str">
        <f aca="false">_xlfn.CONCAT(CALC!B15, ":", CALC!C15)</f>
        <v>Transportation &amp; Warehousing:Worker</v>
      </c>
      <c r="C14" s="39" t="n">
        <f aca="false">CALC!BD15</f>
        <v>900000</v>
      </c>
      <c r="D14" s="39" t="n">
        <f aca="false">CALC!BE15</f>
        <v>180000</v>
      </c>
      <c r="E14" s="39" t="n">
        <f aca="false">CALC!BF15</f>
        <v>0</v>
      </c>
      <c r="F14" s="39" t="n">
        <f aca="false">CALC!BG15</f>
        <v>720000</v>
      </c>
    </row>
    <row r="15" customFormat="false" ht="12.8" hidden="false" customHeight="false" outlineLevel="0" collapsed="false">
      <c r="A15" s="14" t="str">
        <f aca="false">_xlfn.CONCAT($A$1, ".", CALC!A16)</f>
        <v>AL.EITCREF.12</v>
      </c>
      <c r="B15" s="32" t="str">
        <f aca="false">_xlfn.CONCAT(CALC!B16, ":", CALC!C16)</f>
        <v>Transportation &amp; Warehousing:Support</v>
      </c>
      <c r="C15" s="39" t="n">
        <f aca="false">CALC!BD16</f>
        <v>450000</v>
      </c>
      <c r="D15" s="39" t="n">
        <f aca="false">CALC!BE16</f>
        <v>90000</v>
      </c>
      <c r="E15" s="39" t="n">
        <f aca="false">CALC!BF16</f>
        <v>0</v>
      </c>
      <c r="F15" s="39" t="n">
        <f aca="false">CALC!BG16</f>
        <v>360000</v>
      </c>
    </row>
    <row r="16" customFormat="false" ht="12.8" hidden="false" customHeight="false" outlineLevel="0" collapsed="false">
      <c r="A16" s="14" t="str">
        <f aca="false">_xlfn.CONCAT($A$1, ".", CALC!A17)</f>
        <v>AL.EITCREF.13</v>
      </c>
      <c r="B16" s="32" t="str">
        <f aca="false">_xlfn.CONCAT(CALC!B17, ":", CALC!C17)</f>
        <v>Retail Trade:Worker</v>
      </c>
      <c r="C16" s="39" t="n">
        <f aca="false">CALC!BD17</f>
        <v>2400000</v>
      </c>
      <c r="D16" s="39" t="n">
        <f aca="false">CALC!BE17</f>
        <v>480000</v>
      </c>
      <c r="E16" s="39" t="n">
        <f aca="false">CALC!BF17</f>
        <v>0</v>
      </c>
      <c r="F16" s="39" t="n">
        <f aca="false">CALC!BG17</f>
        <v>1920000</v>
      </c>
    </row>
    <row r="17" customFormat="false" ht="12.8" hidden="false" customHeight="false" outlineLevel="0" collapsed="false">
      <c r="A17" s="14" t="str">
        <f aca="false">_xlfn.CONCAT($A$1, ".", CALC!A18)</f>
        <v>AL.EITCREF.14</v>
      </c>
      <c r="B17" s="32" t="str">
        <f aca="false">_xlfn.CONCAT(CALC!B18, ":", CALC!C18)</f>
        <v>Retail Trade:Support</v>
      </c>
      <c r="C17" s="39" t="n">
        <f aca="false">CALC!BD18</f>
        <v>1200000</v>
      </c>
      <c r="D17" s="39" t="n">
        <f aca="false">CALC!BE18</f>
        <v>240000</v>
      </c>
      <c r="E17" s="39" t="n">
        <f aca="false">CALC!BF18</f>
        <v>0</v>
      </c>
      <c r="F17" s="39" t="n">
        <f aca="false">CALC!BG18</f>
        <v>960000</v>
      </c>
    </row>
    <row r="18" customFormat="false" ht="12.8" hidden="false" customHeight="false" outlineLevel="0" collapsed="false">
      <c r="A18" s="14" t="str">
        <f aca="false">_xlfn.CONCAT($A$1, ".", CALC!A19)</f>
        <v>AL.EITCREF.15</v>
      </c>
      <c r="B18" s="32" t="str">
        <f aca="false">_xlfn.CONCAT(CALC!B19, ":", CALC!C19)</f>
        <v>Landscaping / Groundskeeping:Worker</v>
      </c>
      <c r="C18" s="39" t="n">
        <f aca="false">CALC!BD19</f>
        <v>330000</v>
      </c>
      <c r="D18" s="39" t="n">
        <f aca="false">CALC!BE19</f>
        <v>66000</v>
      </c>
      <c r="E18" s="39" t="n">
        <f aca="false">CALC!BF19</f>
        <v>0</v>
      </c>
      <c r="F18" s="39" t="n">
        <f aca="false">CALC!BG19</f>
        <v>264000</v>
      </c>
    </row>
    <row r="19" customFormat="false" ht="12.8" hidden="false" customHeight="false" outlineLevel="0" collapsed="false">
      <c r="A19" s="14" t="str">
        <f aca="false">_xlfn.CONCAT($A$1, ".", CALC!A20)</f>
        <v>AL.EITCREF.16</v>
      </c>
      <c r="B19" s="32" t="str">
        <f aca="false">_xlfn.CONCAT(CALC!B20, ":", CALC!C20)</f>
        <v>Landscaping / Groundskeeping:Support</v>
      </c>
      <c r="C19" s="39" t="n">
        <f aca="false">CALC!BD20</f>
        <v>165000</v>
      </c>
      <c r="D19" s="39" t="n">
        <f aca="false">CALC!BE20</f>
        <v>33000</v>
      </c>
      <c r="E19" s="39" t="n">
        <f aca="false">CALC!BF20</f>
        <v>0</v>
      </c>
      <c r="F19" s="39" t="n">
        <f aca="false">CALC!BG20</f>
        <v>132000</v>
      </c>
    </row>
    <row r="20" customFormat="false" ht="12.8" hidden="false" customHeight="false" outlineLevel="0" collapsed="false">
      <c r="A20" s="14" t="str">
        <f aca="false">_xlfn.CONCAT($A$1, ".", CALC!A21)</f>
        <v>AL.EITCREF.17</v>
      </c>
      <c r="B20" s="32" t="str">
        <f aca="false">_xlfn.CONCAT(CALC!B21, ":", CALC!C21)</f>
        <v>Automotive &amp; Repair:Worker</v>
      </c>
      <c r="C20" s="39" t="n">
        <f aca="false">CALC!BD21</f>
        <v>270000</v>
      </c>
      <c r="D20" s="39" t="n">
        <f aca="false">CALC!BE21</f>
        <v>54000</v>
      </c>
      <c r="E20" s="39" t="n">
        <f aca="false">CALC!BF21</f>
        <v>0</v>
      </c>
      <c r="F20" s="39" t="n">
        <f aca="false">CALC!BG21</f>
        <v>216000</v>
      </c>
    </row>
    <row r="21" customFormat="false" ht="12.8" hidden="false" customHeight="false" outlineLevel="0" collapsed="false">
      <c r="A21" s="14" t="str">
        <f aca="false">_xlfn.CONCAT($A$1, ".", CALC!A22)</f>
        <v>AL.EITCREF.18</v>
      </c>
      <c r="B21" s="32" t="str">
        <f aca="false">_xlfn.CONCAT(CALC!B22, ":", CALC!C22)</f>
        <v>Automotive &amp; Repair:Support</v>
      </c>
      <c r="C21" s="39" t="n">
        <f aca="false">CALC!BD22</f>
        <v>135000</v>
      </c>
      <c r="D21" s="39" t="n">
        <f aca="false">CALC!BE22</f>
        <v>27000</v>
      </c>
      <c r="E21" s="39" t="n">
        <f aca="false">CALC!BF22</f>
        <v>0</v>
      </c>
      <c r="F21" s="39" t="n">
        <f aca="false">CALC!BG22</f>
        <v>108000</v>
      </c>
    </row>
    <row r="22" customFormat="false" ht="12.8" hidden="false" customHeight="false" outlineLevel="0" collapsed="false">
      <c r="A22" s="14" t="str">
        <f aca="false">_xlfn.CONCAT($A$1, ".", CALC!A23)</f>
        <v>AL.EITCREF.19</v>
      </c>
      <c r="B22" s="32" t="str">
        <f aca="false">_xlfn.CONCAT(CALC!B23, ":", CALC!C23)</f>
        <v>Healthcare &amp; Social Assistance:Worker</v>
      </c>
      <c r="C22" s="39" t="n">
        <f aca="false">CALC!BD23</f>
        <v>5200000</v>
      </c>
      <c r="D22" s="39" t="n">
        <f aca="false">CALC!BE23</f>
        <v>1040000</v>
      </c>
      <c r="E22" s="39" t="n">
        <f aca="false">CALC!BF23</f>
        <v>0</v>
      </c>
      <c r="F22" s="39" t="n">
        <f aca="false">CALC!BG23</f>
        <v>4160000</v>
      </c>
    </row>
    <row r="23" customFormat="false" ht="12.8" hidden="false" customHeight="false" outlineLevel="0" collapsed="false">
      <c r="A23" s="14" t="str">
        <f aca="false">_xlfn.CONCAT($A$1, ".", CALC!A24)</f>
        <v>AL.EITCREF.20</v>
      </c>
      <c r="B23" s="32" t="str">
        <f aca="false">_xlfn.CONCAT(CALC!B24, ":", CALC!C24)</f>
        <v>Healthcare &amp; Social Assistance:Support</v>
      </c>
      <c r="C23" s="39" t="n">
        <f aca="false">CALC!BD24</f>
        <v>2600000</v>
      </c>
      <c r="D23" s="39" t="n">
        <f aca="false">CALC!BE24</f>
        <v>520000</v>
      </c>
      <c r="E23" s="39" t="n">
        <f aca="false">CALC!BF24</f>
        <v>0</v>
      </c>
      <c r="F23" s="39" t="n">
        <f aca="false">CALC!BG24</f>
        <v>2080000</v>
      </c>
    </row>
    <row r="24" customFormat="false" ht="12.8" hidden="false" customHeight="false" outlineLevel="0" collapsed="false">
      <c r="A24" s="14" t="str">
        <f aca="false">_xlfn.CONCAT($A$1, ".", CALC!A25)</f>
        <v>AL.EITCREF.21</v>
      </c>
      <c r="B24" s="32" t="str">
        <f aca="false">_xlfn.CONCAT(CALC!B25, ":", CALC!C25)</f>
        <v>Professional Services:Worker</v>
      </c>
      <c r="C24" s="39" t="n">
        <f aca="false">CALC!BD25</f>
        <v>3300000</v>
      </c>
      <c r="D24" s="39" t="n">
        <f aca="false">CALC!BE25</f>
        <v>660000</v>
      </c>
      <c r="E24" s="39" t="n">
        <f aca="false">CALC!BF25</f>
        <v>0</v>
      </c>
      <c r="F24" s="39" t="n">
        <f aca="false">CALC!BG25</f>
        <v>2640000</v>
      </c>
    </row>
    <row r="25" customFormat="false" ht="12.8" hidden="false" customHeight="false" outlineLevel="0" collapsed="false">
      <c r="A25" s="14" t="str">
        <f aca="false">_xlfn.CONCAT($A$1, ".", CALC!A26)</f>
        <v>AL.EITCREF.22</v>
      </c>
      <c r="B25" s="32" t="str">
        <f aca="false">_xlfn.CONCAT(CALC!B26, ":", CALC!C26)</f>
        <v>Professional Services:Support</v>
      </c>
      <c r="C25" s="39" t="n">
        <f aca="false">CALC!BD26</f>
        <v>1650000</v>
      </c>
      <c r="D25" s="39" t="n">
        <f aca="false">CALC!BE26</f>
        <v>330000</v>
      </c>
      <c r="E25" s="39" t="n">
        <f aca="false">CALC!BF26</f>
        <v>0</v>
      </c>
      <c r="F25" s="39" t="n">
        <f aca="false">CALC!BG26</f>
        <v>1320000</v>
      </c>
    </row>
    <row r="26" customFormat="false" ht="12.8" hidden="false" customHeight="false" outlineLevel="0" collapsed="false">
      <c r="A26" s="14" t="str">
        <f aca="false">_xlfn.CONCAT($A$1, ".", CALC!A27)</f>
        <v>AL.EITCREF.23</v>
      </c>
      <c r="B26" s="32" t="str">
        <f aca="false">_xlfn.CONCAT(CALC!B27, ":", CALC!C27)</f>
        <v>Educational Services:Worker</v>
      </c>
      <c r="C26" s="39" t="n">
        <f aca="false">CALC!BD27</f>
        <v>2100000</v>
      </c>
      <c r="D26" s="39" t="n">
        <f aca="false">CALC!BE27</f>
        <v>420000</v>
      </c>
      <c r="E26" s="39" t="n">
        <f aca="false">CALC!BF27</f>
        <v>0</v>
      </c>
      <c r="F26" s="39" t="n">
        <f aca="false">CALC!BG27</f>
        <v>1680000</v>
      </c>
    </row>
    <row r="27" customFormat="false" ht="12.8" hidden="false" customHeight="false" outlineLevel="0" collapsed="false">
      <c r="A27" s="14" t="str">
        <f aca="false">_xlfn.CONCAT($A$1, ".", CALC!A28)</f>
        <v>AL.EITCREF.24</v>
      </c>
      <c r="B27" s="32" t="str">
        <f aca="false">_xlfn.CONCAT(CALC!B28, ":", CALC!C28)</f>
        <v>Educational Services:Support</v>
      </c>
      <c r="C27" s="39" t="n">
        <f aca="false">CALC!BD28</f>
        <v>1050000</v>
      </c>
      <c r="D27" s="39" t="n">
        <f aca="false">CALC!BE28</f>
        <v>210000</v>
      </c>
      <c r="E27" s="39" t="n">
        <f aca="false">CALC!BF28</f>
        <v>0</v>
      </c>
      <c r="F27" s="39" t="n">
        <f aca="false">CALC!BG28</f>
        <v>840000</v>
      </c>
    </row>
    <row r="28" customFormat="false" ht="12.8" hidden="false" customHeight="false" outlineLevel="0" collapsed="false">
      <c r="A28" s="14" t="str">
        <f aca="false">_xlfn.CONCAT($A$1, ".", CALC!A29)</f>
        <v>AL.EITCREF.25</v>
      </c>
      <c r="B28" s="32" t="str">
        <f aca="false">_xlfn.CONCAT(CALC!B29, ":", CALC!C29)</f>
        <v>Finance &amp; Insurance:Worker</v>
      </c>
      <c r="C28" s="39" t="n">
        <f aca="false">CALC!BD29</f>
        <v>1500000</v>
      </c>
      <c r="D28" s="39" t="n">
        <f aca="false">CALC!BE29</f>
        <v>300000</v>
      </c>
      <c r="E28" s="39" t="n">
        <f aca="false">CALC!BF29</f>
        <v>0</v>
      </c>
      <c r="F28" s="39" t="n">
        <f aca="false">CALC!BG29</f>
        <v>1200000</v>
      </c>
    </row>
    <row r="29" customFormat="false" ht="12.8" hidden="false" customHeight="false" outlineLevel="0" collapsed="false">
      <c r="A29" s="14" t="str">
        <f aca="false">_xlfn.CONCAT($A$1, ".", CALC!A30)</f>
        <v>AL.EITCREF.26</v>
      </c>
      <c r="B29" s="32" t="str">
        <f aca="false">_xlfn.CONCAT(CALC!B30, ":", CALC!C30)</f>
        <v>Finance &amp; Insurance:Support</v>
      </c>
      <c r="C29" s="39" t="n">
        <f aca="false">CALC!BD30</f>
        <v>750000</v>
      </c>
      <c r="D29" s="39" t="n">
        <f aca="false">CALC!BE30</f>
        <v>150000</v>
      </c>
      <c r="E29" s="39" t="n">
        <f aca="false">CALC!BF30</f>
        <v>0</v>
      </c>
      <c r="F29" s="39" t="n">
        <f aca="false">CALC!BG30</f>
        <v>600000</v>
      </c>
    </row>
    <row r="30" customFormat="false" ht="12.8" hidden="false" customHeight="false" outlineLevel="0" collapsed="false">
      <c r="A30" s="14" t="str">
        <f aca="false">_xlfn.CONCAT($A$1, ".", CALC!A31)</f>
        <v>AL.EITCREF.27</v>
      </c>
      <c r="B30" s="32" t="str">
        <f aca="false">_xlfn.CONCAT(CALC!B31, ":", CALC!C31)</f>
        <v>Media and Information Technology:Worker</v>
      </c>
      <c r="C30" s="39" t="n">
        <f aca="false">CALC!BD31</f>
        <v>450000</v>
      </c>
      <c r="D30" s="39" t="n">
        <f aca="false">CALC!BE31</f>
        <v>90000</v>
      </c>
      <c r="E30" s="39" t="n">
        <f aca="false">CALC!BF31</f>
        <v>0</v>
      </c>
      <c r="F30" s="39" t="n">
        <f aca="false">CALC!BG31</f>
        <v>360000</v>
      </c>
    </row>
    <row r="31" customFormat="false" ht="12.8" hidden="false" customHeight="false" outlineLevel="0" collapsed="false">
      <c r="A31" s="14" t="str">
        <f aca="false">_xlfn.CONCAT($A$1, ".", CALC!A32)</f>
        <v>AL.EITCREF.28</v>
      </c>
      <c r="B31" s="32" t="str">
        <f aca="false">_xlfn.CONCAT(CALC!B32, ":", CALC!C32)</f>
        <v>Media and Information Technology:Support</v>
      </c>
      <c r="C31" s="39" t="n">
        <f aca="false">CALC!BD32</f>
        <v>225000</v>
      </c>
      <c r="D31" s="39" t="n">
        <f aca="false">CALC!BE32</f>
        <v>45000</v>
      </c>
      <c r="E31" s="39" t="n">
        <f aca="false">CALC!BF32</f>
        <v>0</v>
      </c>
      <c r="F31" s="39" t="n">
        <f aca="false">CALC!BG32</f>
        <v>180000</v>
      </c>
    </row>
    <row r="32" customFormat="false" ht="12.8" hidden="false" customHeight="false" outlineLevel="0" collapsed="false">
      <c r="A32" s="14" t="str">
        <f aca="false">_xlfn.CONCAT($A$1, ".", CALC!A33)</f>
        <v>AL.EITCREF.29</v>
      </c>
      <c r="B32" s="32" t="str">
        <f aca="false">_xlfn.CONCAT(CALC!B33, ":", CALC!C33)</f>
        <v>Government:Worker</v>
      </c>
      <c r="C32" s="39" t="n">
        <f aca="false">CALC!BD33</f>
        <v>6000000</v>
      </c>
      <c r="D32" s="39" t="n">
        <f aca="false">CALC!BE33</f>
        <v>1200000</v>
      </c>
      <c r="E32" s="39" t="n">
        <f aca="false">CALC!BF33</f>
        <v>0</v>
      </c>
      <c r="F32" s="39" t="n">
        <f aca="false">CALC!BG33</f>
        <v>4800000</v>
      </c>
    </row>
    <row r="33" customFormat="false" ht="12.8" hidden="false" customHeight="false" outlineLevel="0" collapsed="false">
      <c r="A33" s="14" t="e">
        <f aca="false">_xlfn.CONCAT($A$1, ".", #REF!)</f>
        <v>#REF!</v>
      </c>
      <c r="B33" s="32" t="e">
        <f aca="false">_xlfn.CONCAT(#REF!, ":", #REF!)</f>
        <v>#REF!</v>
      </c>
      <c r="C33" s="39" t="e">
        <f aca="false">#REF!</f>
        <v>#REF!</v>
      </c>
      <c r="D33" s="39" t="e">
        <f aca="false">#REF!</f>
        <v>#REF!</v>
      </c>
      <c r="E33" s="39" t="e">
        <f aca="false">#REF!</f>
        <v>#REF!</v>
      </c>
      <c r="F33" s="39" t="e">
        <f aca="false">#REF!</f>
        <v>#REF!</v>
      </c>
    </row>
    <row r="34" customFormat="false" ht="12.8" hidden="false" customHeight="false" outlineLevel="0" collapsed="false">
      <c r="A34" s="14" t="e">
        <f aca="false">_xlfn.CONCAT($A$1, ".", #REF!)</f>
        <v>#REF!</v>
      </c>
      <c r="B34" s="32" t="e">
        <f aca="false">_xlfn.CONCAT(#REF!, ":", #REF!)</f>
        <v>#REF!</v>
      </c>
      <c r="C34" s="39" t="e">
        <f aca="false">#REF!</f>
        <v>#REF!</v>
      </c>
      <c r="D34" s="39" t="e">
        <f aca="false">#REF!</f>
        <v>#REF!</v>
      </c>
      <c r="E34" s="39" t="e">
        <f aca="false">#REF!</f>
        <v>#REF!</v>
      </c>
      <c r="F34" s="39" t="e">
        <f aca="false">#REF!</f>
        <v>#REF!</v>
      </c>
    </row>
    <row r="35" customFormat="false" ht="12.8" hidden="false" customHeight="false" outlineLevel="0" collapsed="false">
      <c r="A35" s="14" t="e">
        <f aca="false">_xlfn.CONCAT($A$1, ".", #REF!)</f>
        <v>#REF!</v>
      </c>
      <c r="B35" s="32" t="e">
        <f aca="false">_xlfn.CONCAT(#REF!, ":", #REF!)</f>
        <v>#REF!</v>
      </c>
      <c r="C35" s="39" t="e">
        <f aca="false">#REF!</f>
        <v>#REF!</v>
      </c>
      <c r="D35" s="39" t="e">
        <f aca="false">#REF!</f>
        <v>#REF!</v>
      </c>
      <c r="E35" s="39" t="e">
        <f aca="false">#REF!</f>
        <v>#REF!</v>
      </c>
      <c r="F35" s="39" t="e">
        <f aca="false">#REF!</f>
        <v>#REF!</v>
      </c>
    </row>
    <row r="36" customFormat="false" ht="12.8" hidden="false" customHeight="false" outlineLevel="0" collapsed="false">
      <c r="A36" s="14" t="e">
        <f aca="false">_xlfn.CONCAT($A$1, ".", #REF!)</f>
        <v>#REF!</v>
      </c>
      <c r="B36" s="32" t="e">
        <f aca="false">_xlfn.CONCAT(#REF!, ":", #REF!)</f>
        <v>#REF!</v>
      </c>
      <c r="C36" s="39" t="e">
        <f aca="false">#REF!</f>
        <v>#REF!</v>
      </c>
      <c r="D36" s="39" t="e">
        <f aca="false">#REF!</f>
        <v>#REF!</v>
      </c>
      <c r="E36" s="39" t="e">
        <f aca="false">#REF!</f>
        <v>#REF!</v>
      </c>
      <c r="F36" s="39" t="e">
        <f aca="false">#REF!</f>
        <v>#REF!</v>
      </c>
    </row>
    <row r="37" customFormat="false" ht="12.8" hidden="false" customHeight="false" outlineLevel="0" collapsed="false">
      <c r="A37" s="14" t="e">
        <f aca="false">_xlfn.CONCAT($A$1, ".", #REF!)</f>
        <v>#REF!</v>
      </c>
      <c r="B37" s="32" t="e">
        <f aca="false">_xlfn.CONCAT(#REF!, ":", #REF!)</f>
        <v>#REF!</v>
      </c>
      <c r="C37" s="39" t="e">
        <f aca="false">#REF!</f>
        <v>#REF!</v>
      </c>
      <c r="D37" s="39" t="e">
        <f aca="false">#REF!</f>
        <v>#REF!</v>
      </c>
      <c r="E37" s="39" t="e">
        <f aca="false">#REF!</f>
        <v>#REF!</v>
      </c>
      <c r="F37" s="39"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38"/>
  <sheetViews>
    <sheetView showFormulas="false" showGridLines="true" showRowColHeaders="true" showZeros="true" rightToLeft="false" tabSelected="false" showOutlineSymbols="true" defaultGridColor="true" view="normal" topLeftCell="A39" colorId="64" zoomScale="90" zoomScaleNormal="90" zoomScalePageLayoutView="100" workbookViewId="0">
      <selection pane="topLeft" activeCell="C133" activeCellId="0" sqref="C133"/>
    </sheetView>
  </sheetViews>
  <sheetFormatPr defaultColWidth="11.53515625" defaultRowHeight="12.8" customHeight="false" zeroHeight="false" outlineLevelRow="0" outlineLevelCol="0"/>
  <cols>
    <col collapsed="false" customWidth="true" hidden="false" outlineLevel="0" max="1" min="1" style="9" width="13.84"/>
    <col collapsed="false" customWidth="true" hidden="false" outlineLevel="0" max="2" min="2" style="10" width="36.9"/>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23.85" hidden="false" customHeight="false" outlineLevel="0" collapsed="false">
      <c r="A1" s="11" t="s">
        <v>8462</v>
      </c>
      <c r="B1" s="20" t="s">
        <v>8463</v>
      </c>
      <c r="C1" s="13" t="s">
        <v>2</v>
      </c>
      <c r="D1" s="30" t="s">
        <v>8464</v>
      </c>
      <c r="AZ1" s="10"/>
      <c r="BP1" s="10"/>
    </row>
    <row r="2" customFormat="false" ht="35.05" hidden="false" customHeight="false" outlineLevel="0" collapsed="false">
      <c r="A2" s="22" t="s">
        <v>8431</v>
      </c>
      <c r="B2" s="20" t="s">
        <v>8432</v>
      </c>
      <c r="C2" s="28" t="str">
        <f aca="false">CALC!BH3</f>
        <v>ACTC Credit Refund</v>
      </c>
      <c r="D2" s="28" t="str">
        <f aca="false">CALC!BI3</f>
        <v>Authorized Immigrant ACTC Credit Refund</v>
      </c>
      <c r="E2" s="28" t="str">
        <f aca="false">CALC!BJ3</f>
        <v>Unauthorized Immigrant ACTC Credit Refund</v>
      </c>
      <c r="F2" s="28" t="str">
        <f aca="false">CALC!BK3</f>
        <v>American Effective Tax ACTC Credit Refund</v>
      </c>
    </row>
    <row r="3" customFormat="false" ht="12.8" hidden="false" customHeight="false" outlineLevel="0" collapsed="false">
      <c r="A3" s="11" t="str">
        <f aca="false">_xlfn.CONCAT($A$1, ".", CALC!A4)</f>
        <v>AL.ACTCREF.0</v>
      </c>
      <c r="B3" s="31" t="str">
        <f aca="false">_xlfn.CONCAT(CALC!B4, ":", CALC!C4)</f>
        <v>All Industries:All Roles</v>
      </c>
      <c r="C3" s="28" t="n">
        <f aca="false">CALC!BH4</f>
        <v>160000000</v>
      </c>
      <c r="D3" s="28" t="n">
        <f aca="false">CALC!BI4</f>
        <v>40000000</v>
      </c>
      <c r="E3" s="28" t="n">
        <f aca="false">CALC!BJ4</f>
        <v>40000000</v>
      </c>
      <c r="F3" s="28" t="n">
        <f aca="false">CALC!BK4</f>
        <v>120000000</v>
      </c>
    </row>
    <row r="4" customFormat="false" ht="12.8" hidden="false" customHeight="false" outlineLevel="0" collapsed="false">
      <c r="A4" s="14" t="str">
        <f aca="false">_xlfn.CONCAT($A$1, ".", CALC!A5)</f>
        <v>AL.ACTCREF.1</v>
      </c>
      <c r="B4" s="32" t="str">
        <f aca="false">_xlfn.CONCAT(CALC!B5, ":", CALC!C5)</f>
        <v>Agriculture:Worker</v>
      </c>
      <c r="C4" s="39" t="n">
        <f aca="false">CALC!BH5</f>
        <v>45000</v>
      </c>
      <c r="D4" s="39" t="n">
        <f aca="false">CALC!BI5</f>
        <v>9000</v>
      </c>
      <c r="E4" s="39" t="n">
        <f aca="false">CALC!BJ5</f>
        <v>18000</v>
      </c>
      <c r="F4" s="39" t="n">
        <f aca="false">CALC!BK5</f>
        <v>54000</v>
      </c>
    </row>
    <row r="5" customFormat="false" ht="12.8" hidden="false" customHeight="false" outlineLevel="0" collapsed="false">
      <c r="A5" s="14" t="str">
        <f aca="false">_xlfn.CONCAT($A$1, ".", CALC!A6)</f>
        <v>AL.ACTCREF.2</v>
      </c>
      <c r="B5" s="32" t="str">
        <f aca="false">_xlfn.CONCAT(CALC!B6, ":", CALC!C6)</f>
        <v>Agriculture:Support</v>
      </c>
      <c r="C5" s="39" t="n">
        <f aca="false">CALC!BH6</f>
        <v>22500</v>
      </c>
      <c r="D5" s="39" t="n">
        <f aca="false">CALC!BI6</f>
        <v>4500</v>
      </c>
      <c r="E5" s="39" t="n">
        <f aca="false">CALC!BJ6</f>
        <v>9000</v>
      </c>
      <c r="F5" s="39" t="n">
        <f aca="false">CALC!BK6</f>
        <v>27000</v>
      </c>
    </row>
    <row r="6" customFormat="false" ht="12.8" hidden="false" customHeight="false" outlineLevel="0" collapsed="false">
      <c r="A6" s="14" t="str">
        <f aca="false">_xlfn.CONCAT($A$1, ".", CALC!A7)</f>
        <v>AL.ACTCREF.3</v>
      </c>
      <c r="B6" s="32" t="str">
        <f aca="false">_xlfn.CONCAT(CALC!B7, ":", CALC!C7)</f>
        <v>Construction:Worker</v>
      </c>
      <c r="C6" s="39" t="n">
        <f aca="false">CALC!BH7</f>
        <v>250000</v>
      </c>
      <c r="D6" s="39" t="n">
        <f aca="false">CALC!BI7</f>
        <v>50000</v>
      </c>
      <c r="E6" s="39" t="n">
        <f aca="false">CALC!BJ7</f>
        <v>50000</v>
      </c>
      <c r="F6" s="39" t="n">
        <f aca="false">CALC!BK7</f>
        <v>150000</v>
      </c>
    </row>
    <row r="7" customFormat="false" ht="12.8" hidden="false" customHeight="false" outlineLevel="0" collapsed="false">
      <c r="A7" s="14" t="str">
        <f aca="false">_xlfn.CONCAT($A$1, ".", CALC!A8)</f>
        <v>AL.ACTCREF.4</v>
      </c>
      <c r="B7" s="32" t="str">
        <f aca="false">_xlfn.CONCAT(CALC!B8, ":", CALC!C8)</f>
        <v>Construction:Support</v>
      </c>
      <c r="C7" s="39" t="n">
        <f aca="false">CALC!BH8</f>
        <v>125000</v>
      </c>
      <c r="D7" s="39" t="n">
        <f aca="false">CALC!BI8</f>
        <v>25000</v>
      </c>
      <c r="E7" s="39" t="n">
        <f aca="false">CALC!BJ8</f>
        <v>25000</v>
      </c>
      <c r="F7" s="39" t="n">
        <f aca="false">CALC!BK8</f>
        <v>75000</v>
      </c>
    </row>
    <row r="8" customFormat="false" ht="12.8" hidden="false" customHeight="false" outlineLevel="0" collapsed="false">
      <c r="A8" s="14" t="str">
        <f aca="false">_xlfn.CONCAT($A$1, ".", CALC!A9)</f>
        <v>AL.ACTCREF.5</v>
      </c>
      <c r="B8" s="32" t="str">
        <f aca="false">_xlfn.CONCAT(CALC!B9, ":", CALC!C9)</f>
        <v>Hospitality:Worker</v>
      </c>
      <c r="C8" s="39" t="n">
        <f aca="false">CALC!BH9</f>
        <v>900000</v>
      </c>
      <c r="D8" s="39" t="n">
        <f aca="false">CALC!BI9</f>
        <v>180000</v>
      </c>
      <c r="E8" s="39" t="n">
        <f aca="false">CALC!BJ9</f>
        <v>180000</v>
      </c>
      <c r="F8" s="39" t="n">
        <f aca="false">CALC!BK9</f>
        <v>540000</v>
      </c>
    </row>
    <row r="9" customFormat="false" ht="12.8" hidden="false" customHeight="false" outlineLevel="0" collapsed="false">
      <c r="A9" s="14" t="str">
        <f aca="false">_xlfn.CONCAT($A$1, ".", CALC!A10)</f>
        <v>AL.ACTCREF.6</v>
      </c>
      <c r="B9" s="32" t="str">
        <f aca="false">_xlfn.CONCAT(CALC!B10, ":", CALC!C10)</f>
        <v>Hospitality:Support</v>
      </c>
      <c r="C9" s="39" t="n">
        <f aca="false">CALC!BH10</f>
        <v>450000</v>
      </c>
      <c r="D9" s="39" t="n">
        <f aca="false">CALC!BI10</f>
        <v>90000</v>
      </c>
      <c r="E9" s="39" t="n">
        <f aca="false">CALC!BJ10</f>
        <v>90000</v>
      </c>
      <c r="F9" s="39" t="n">
        <f aca="false">CALC!BK10</f>
        <v>270000</v>
      </c>
    </row>
    <row r="10" customFormat="false" ht="12.8" hidden="false" customHeight="false" outlineLevel="0" collapsed="false">
      <c r="A10" s="14" t="str">
        <f aca="false">_xlfn.CONCAT($A$1, ".", CALC!A11)</f>
        <v>AL.ACTCREF.7</v>
      </c>
      <c r="B10" s="32" t="str">
        <f aca="false">_xlfn.CONCAT(CALC!B11, ":", CALC!C11)</f>
        <v>Cleaning &amp; Maintenance:Worker</v>
      </c>
      <c r="C10" s="39" t="n">
        <f aca="false">CALC!BH11</f>
        <v>325000</v>
      </c>
      <c r="D10" s="39" t="n">
        <f aca="false">CALC!BI11</f>
        <v>65000</v>
      </c>
      <c r="E10" s="39" t="n">
        <f aca="false">CALC!BJ11</f>
        <v>65000</v>
      </c>
      <c r="F10" s="39" t="n">
        <f aca="false">CALC!BK11</f>
        <v>195000</v>
      </c>
    </row>
    <row r="11" customFormat="false" ht="12.8" hidden="false" customHeight="false" outlineLevel="0" collapsed="false">
      <c r="A11" s="14" t="str">
        <f aca="false">_xlfn.CONCAT($A$1, ".", CALC!A12)</f>
        <v>AL.ACTCREF.8</v>
      </c>
      <c r="B11" s="32" t="str">
        <f aca="false">_xlfn.CONCAT(CALC!B12, ":", CALC!C12)</f>
        <v>Cleaning &amp; Maintenance:Support</v>
      </c>
      <c r="C11" s="39" t="n">
        <f aca="false">CALC!BH12</f>
        <v>162500</v>
      </c>
      <c r="D11" s="39" t="n">
        <f aca="false">CALC!BI12</f>
        <v>32500</v>
      </c>
      <c r="E11" s="39" t="n">
        <f aca="false">CALC!BJ12</f>
        <v>32500</v>
      </c>
      <c r="F11" s="39" t="n">
        <f aca="false">CALC!BK12</f>
        <v>97500</v>
      </c>
    </row>
    <row r="12" customFormat="false" ht="12.8" hidden="false" customHeight="false" outlineLevel="0" collapsed="false">
      <c r="A12" s="14" t="str">
        <f aca="false">_xlfn.CONCAT($A$1, ".", CALC!A13)</f>
        <v>AL.ACTCREF.9</v>
      </c>
      <c r="B12" s="32" t="str">
        <f aca="false">_xlfn.CONCAT(CALC!B13, ":", CALC!C13)</f>
        <v>Manufacturing:Worker</v>
      </c>
      <c r="C12" s="39" t="n">
        <f aca="false">CALC!BH13</f>
        <v>1350000</v>
      </c>
      <c r="D12" s="39" t="n">
        <f aca="false">CALC!BI13</f>
        <v>270000</v>
      </c>
      <c r="E12" s="39" t="n">
        <f aca="false">CALC!BJ13</f>
        <v>135000</v>
      </c>
      <c r="F12" s="39" t="n">
        <f aca="false">CALC!BK13</f>
        <v>405000</v>
      </c>
    </row>
    <row r="13" customFormat="false" ht="12.8" hidden="false" customHeight="false" outlineLevel="0" collapsed="false">
      <c r="A13" s="14" t="str">
        <f aca="false">_xlfn.CONCAT($A$1, ".", CALC!A14)</f>
        <v>AL.ACTCREF.10</v>
      </c>
      <c r="B13" s="32" t="str">
        <f aca="false">_xlfn.CONCAT(CALC!B14, ":", CALC!C14)</f>
        <v>Manufacturing:Support</v>
      </c>
      <c r="C13" s="39" t="n">
        <f aca="false">CALC!BH14</f>
        <v>675000</v>
      </c>
      <c r="D13" s="39" t="n">
        <f aca="false">CALC!BI14</f>
        <v>135000</v>
      </c>
      <c r="E13" s="39" t="n">
        <f aca="false">CALC!BJ14</f>
        <v>67500</v>
      </c>
      <c r="F13" s="39" t="n">
        <f aca="false">CALC!BK14</f>
        <v>202500</v>
      </c>
    </row>
    <row r="14" customFormat="false" ht="12.8" hidden="false" customHeight="false" outlineLevel="0" collapsed="false">
      <c r="A14" s="14" t="str">
        <f aca="false">_xlfn.CONCAT($A$1, ".", CALC!A15)</f>
        <v>AL.ACTCREF.11</v>
      </c>
      <c r="B14" s="32" t="str">
        <f aca="false">_xlfn.CONCAT(CALC!B15, ":", CALC!C15)</f>
        <v>Transportation &amp; Warehousing:Worker</v>
      </c>
      <c r="C14" s="39" t="n">
        <f aca="false">CALC!BH15</f>
        <v>450000</v>
      </c>
      <c r="D14" s="39" t="n">
        <f aca="false">CALC!BI15</f>
        <v>90000</v>
      </c>
      <c r="E14" s="39" t="n">
        <f aca="false">CALC!BJ15</f>
        <v>90000</v>
      </c>
      <c r="F14" s="39" t="n">
        <f aca="false">CALC!BK15</f>
        <v>270000</v>
      </c>
    </row>
    <row r="15" customFormat="false" ht="12.8" hidden="false" customHeight="false" outlineLevel="0" collapsed="false">
      <c r="A15" s="14" t="str">
        <f aca="false">_xlfn.CONCAT($A$1, ".", CALC!A16)</f>
        <v>AL.ACTCREF.12</v>
      </c>
      <c r="B15" s="32" t="str">
        <f aca="false">_xlfn.CONCAT(CALC!B16, ":", CALC!C16)</f>
        <v>Transportation &amp; Warehousing:Support</v>
      </c>
      <c r="C15" s="39" t="n">
        <f aca="false">CALC!BH16</f>
        <v>225000</v>
      </c>
      <c r="D15" s="39" t="n">
        <f aca="false">CALC!BI16</f>
        <v>45000</v>
      </c>
      <c r="E15" s="39" t="n">
        <f aca="false">CALC!BJ16</f>
        <v>45000</v>
      </c>
      <c r="F15" s="39" t="n">
        <f aca="false">CALC!BK16</f>
        <v>135000</v>
      </c>
    </row>
    <row r="16" customFormat="false" ht="12.8" hidden="false" customHeight="false" outlineLevel="0" collapsed="false">
      <c r="A16" s="14" t="str">
        <f aca="false">_xlfn.CONCAT($A$1, ".", CALC!A17)</f>
        <v>AL.ACTCREF.13</v>
      </c>
      <c r="B16" s="32" t="str">
        <f aca="false">_xlfn.CONCAT(CALC!B17, ":", CALC!C17)</f>
        <v>Retail Trade:Worker</v>
      </c>
      <c r="C16" s="39" t="n">
        <f aca="false">CALC!BH17</f>
        <v>1200000</v>
      </c>
      <c r="D16" s="39" t="n">
        <f aca="false">CALC!BI17</f>
        <v>240000</v>
      </c>
      <c r="E16" s="39" t="n">
        <f aca="false">CALC!BJ17</f>
        <v>240000</v>
      </c>
      <c r="F16" s="39" t="n">
        <f aca="false">CALC!BK17</f>
        <v>720000</v>
      </c>
    </row>
    <row r="17" customFormat="false" ht="12.8" hidden="false" customHeight="false" outlineLevel="0" collapsed="false">
      <c r="A17" s="14" t="str">
        <f aca="false">_xlfn.CONCAT($A$1, ".", CALC!A18)</f>
        <v>AL.ACTCREF.14</v>
      </c>
      <c r="B17" s="32" t="str">
        <f aca="false">_xlfn.CONCAT(CALC!B18, ":", CALC!C18)</f>
        <v>Retail Trade:Support</v>
      </c>
      <c r="C17" s="39" t="n">
        <f aca="false">CALC!BH18</f>
        <v>600000</v>
      </c>
      <c r="D17" s="39" t="n">
        <f aca="false">CALC!BI18</f>
        <v>120000</v>
      </c>
      <c r="E17" s="39" t="n">
        <f aca="false">CALC!BJ18</f>
        <v>120000</v>
      </c>
      <c r="F17" s="39" t="n">
        <f aca="false">CALC!BK18</f>
        <v>360000</v>
      </c>
    </row>
    <row r="18" customFormat="false" ht="12.8" hidden="false" customHeight="false" outlineLevel="0" collapsed="false">
      <c r="A18" s="14" t="str">
        <f aca="false">_xlfn.CONCAT($A$1, ".", CALC!A19)</f>
        <v>AL.ACTCREF.15</v>
      </c>
      <c r="B18" s="32" t="str">
        <f aca="false">_xlfn.CONCAT(CALC!B19, ":", CALC!C19)</f>
        <v>Landscaping / Groundskeeping:Worker</v>
      </c>
      <c r="C18" s="39" t="n">
        <f aca="false">CALC!BH19</f>
        <v>165000</v>
      </c>
      <c r="D18" s="39" t="n">
        <f aca="false">CALC!BI19</f>
        <v>33000</v>
      </c>
      <c r="E18" s="39" t="n">
        <f aca="false">CALC!BJ19</f>
        <v>33000</v>
      </c>
      <c r="F18" s="39" t="n">
        <f aca="false">CALC!BK19</f>
        <v>99000</v>
      </c>
    </row>
    <row r="19" customFormat="false" ht="12.8" hidden="false" customHeight="false" outlineLevel="0" collapsed="false">
      <c r="A19" s="14" t="str">
        <f aca="false">_xlfn.CONCAT($A$1, ".", CALC!A20)</f>
        <v>AL.ACTCREF.16</v>
      </c>
      <c r="B19" s="32" t="str">
        <f aca="false">_xlfn.CONCAT(CALC!B20, ":", CALC!C20)</f>
        <v>Landscaping / Groundskeeping:Support</v>
      </c>
      <c r="C19" s="39" t="n">
        <f aca="false">CALC!BH20</f>
        <v>82500</v>
      </c>
      <c r="D19" s="39" t="n">
        <f aca="false">CALC!BI20</f>
        <v>16500</v>
      </c>
      <c r="E19" s="39" t="n">
        <f aca="false">CALC!BJ20</f>
        <v>16500</v>
      </c>
      <c r="F19" s="39" t="n">
        <f aca="false">CALC!BK20</f>
        <v>49500</v>
      </c>
    </row>
    <row r="20" customFormat="false" ht="12.8" hidden="false" customHeight="false" outlineLevel="0" collapsed="false">
      <c r="A20" s="14" t="str">
        <f aca="false">_xlfn.CONCAT($A$1, ".", CALC!A21)</f>
        <v>AL.ACTCREF.17</v>
      </c>
      <c r="B20" s="32" t="str">
        <f aca="false">_xlfn.CONCAT(CALC!B21, ":", CALC!C21)</f>
        <v>Automotive &amp; Repair:Worker</v>
      </c>
      <c r="C20" s="39" t="n">
        <f aca="false">CALC!BH21</f>
        <v>135000</v>
      </c>
      <c r="D20" s="39" t="n">
        <f aca="false">CALC!BI21</f>
        <v>27000</v>
      </c>
      <c r="E20" s="39" t="n">
        <f aca="false">CALC!BJ21</f>
        <v>27000</v>
      </c>
      <c r="F20" s="39" t="n">
        <f aca="false">CALC!BK21</f>
        <v>81000</v>
      </c>
    </row>
    <row r="21" customFormat="false" ht="12.8" hidden="false" customHeight="false" outlineLevel="0" collapsed="false">
      <c r="A21" s="14" t="str">
        <f aca="false">_xlfn.CONCAT($A$1, ".", CALC!A22)</f>
        <v>AL.ACTCREF.18</v>
      </c>
      <c r="B21" s="32" t="str">
        <f aca="false">_xlfn.CONCAT(CALC!B22, ":", CALC!C22)</f>
        <v>Automotive &amp; Repair:Support</v>
      </c>
      <c r="C21" s="39" t="n">
        <f aca="false">CALC!BH22</f>
        <v>67500</v>
      </c>
      <c r="D21" s="39" t="n">
        <f aca="false">CALC!BI22</f>
        <v>13500</v>
      </c>
      <c r="E21" s="39" t="n">
        <f aca="false">CALC!BJ22</f>
        <v>13500</v>
      </c>
      <c r="F21" s="39" t="n">
        <f aca="false">CALC!BK22</f>
        <v>40500</v>
      </c>
    </row>
    <row r="22" customFormat="false" ht="12.8" hidden="false" customHeight="false" outlineLevel="0" collapsed="false">
      <c r="A22" s="14" t="str">
        <f aca="false">_xlfn.CONCAT($A$1, ".", CALC!A23)</f>
        <v>AL.ACTCREF.19</v>
      </c>
      <c r="B22" s="32" t="str">
        <f aca="false">_xlfn.CONCAT(CALC!B23, ":", CALC!C23)</f>
        <v>Healthcare &amp; Social Assistance:Worker</v>
      </c>
      <c r="C22" s="39" t="n">
        <f aca="false">CALC!BH23</f>
        <v>2600000</v>
      </c>
      <c r="D22" s="39" t="n">
        <f aca="false">CALC!BI23</f>
        <v>520000</v>
      </c>
      <c r="E22" s="39" t="n">
        <f aca="false">CALC!BJ23</f>
        <v>520000</v>
      </c>
      <c r="F22" s="39" t="n">
        <f aca="false">CALC!BK23</f>
        <v>1560000</v>
      </c>
    </row>
    <row r="23" customFormat="false" ht="12.8" hidden="false" customHeight="false" outlineLevel="0" collapsed="false">
      <c r="A23" s="14" t="str">
        <f aca="false">_xlfn.CONCAT($A$1, ".", CALC!A24)</f>
        <v>AL.ACTCREF.20</v>
      </c>
      <c r="B23" s="32" t="str">
        <f aca="false">_xlfn.CONCAT(CALC!B24, ":", CALC!C24)</f>
        <v>Healthcare &amp; Social Assistance:Support</v>
      </c>
      <c r="C23" s="39" t="n">
        <f aca="false">CALC!BH24</f>
        <v>1300000</v>
      </c>
      <c r="D23" s="39" t="n">
        <f aca="false">CALC!BI24</f>
        <v>260000</v>
      </c>
      <c r="E23" s="39" t="n">
        <f aca="false">CALC!BJ24</f>
        <v>260000</v>
      </c>
      <c r="F23" s="39" t="n">
        <f aca="false">CALC!BK24</f>
        <v>780000</v>
      </c>
    </row>
    <row r="24" customFormat="false" ht="12.8" hidden="false" customHeight="false" outlineLevel="0" collapsed="false">
      <c r="A24" s="14" t="str">
        <f aca="false">_xlfn.CONCAT($A$1, ".", CALC!A25)</f>
        <v>AL.ACTCREF.21</v>
      </c>
      <c r="B24" s="32" t="str">
        <f aca="false">_xlfn.CONCAT(CALC!B25, ":", CALC!C25)</f>
        <v>Professional Services:Worker</v>
      </c>
      <c r="C24" s="39" t="n">
        <f aca="false">CALC!BH25</f>
        <v>1650000</v>
      </c>
      <c r="D24" s="39" t="n">
        <f aca="false">CALC!BI25</f>
        <v>330000</v>
      </c>
      <c r="E24" s="39" t="n">
        <f aca="false">CALC!BJ25</f>
        <v>330000</v>
      </c>
      <c r="F24" s="39" t="n">
        <f aca="false">CALC!BK25</f>
        <v>990000</v>
      </c>
    </row>
    <row r="25" customFormat="false" ht="12.8" hidden="false" customHeight="false" outlineLevel="0" collapsed="false">
      <c r="A25" s="14" t="str">
        <f aca="false">_xlfn.CONCAT($A$1, ".", CALC!A26)</f>
        <v>AL.ACTCREF.22</v>
      </c>
      <c r="B25" s="32" t="str">
        <f aca="false">_xlfn.CONCAT(CALC!B26, ":", CALC!C26)</f>
        <v>Professional Services:Support</v>
      </c>
      <c r="C25" s="39" t="n">
        <f aca="false">CALC!BH26</f>
        <v>825000</v>
      </c>
      <c r="D25" s="39" t="n">
        <f aca="false">CALC!BI26</f>
        <v>165000</v>
      </c>
      <c r="E25" s="39" t="n">
        <f aca="false">CALC!BJ26</f>
        <v>165000</v>
      </c>
      <c r="F25" s="39" t="n">
        <f aca="false">CALC!BK26</f>
        <v>495000</v>
      </c>
    </row>
    <row r="26" customFormat="false" ht="12.8" hidden="false" customHeight="false" outlineLevel="0" collapsed="false">
      <c r="A26" s="14" t="str">
        <f aca="false">_xlfn.CONCAT($A$1, ".", CALC!A27)</f>
        <v>AL.ACTCREF.23</v>
      </c>
      <c r="B26" s="32" t="str">
        <f aca="false">_xlfn.CONCAT(CALC!B27, ":", CALC!C27)</f>
        <v>Educational Services:Worker</v>
      </c>
      <c r="C26" s="39" t="n">
        <f aca="false">CALC!BH27</f>
        <v>1050000</v>
      </c>
      <c r="D26" s="39" t="n">
        <f aca="false">CALC!BI27</f>
        <v>210000</v>
      </c>
      <c r="E26" s="39" t="n">
        <f aca="false">CALC!BJ27</f>
        <v>210000</v>
      </c>
      <c r="F26" s="39" t="n">
        <f aca="false">CALC!BK27</f>
        <v>630000</v>
      </c>
    </row>
    <row r="27" customFormat="false" ht="12.8" hidden="false" customHeight="false" outlineLevel="0" collapsed="false">
      <c r="A27" s="14" t="str">
        <f aca="false">_xlfn.CONCAT($A$1, ".", CALC!A28)</f>
        <v>AL.ACTCREF.24</v>
      </c>
      <c r="B27" s="32" t="str">
        <f aca="false">_xlfn.CONCAT(CALC!B28, ":", CALC!C28)</f>
        <v>Educational Services:Support</v>
      </c>
      <c r="C27" s="39" t="n">
        <f aca="false">CALC!BH28</f>
        <v>525000</v>
      </c>
      <c r="D27" s="39" t="n">
        <f aca="false">CALC!BI28</f>
        <v>105000</v>
      </c>
      <c r="E27" s="39" t="n">
        <f aca="false">CALC!BJ28</f>
        <v>105000</v>
      </c>
      <c r="F27" s="39" t="n">
        <f aca="false">CALC!BK28</f>
        <v>315000</v>
      </c>
    </row>
    <row r="28" customFormat="false" ht="12.8" hidden="false" customHeight="false" outlineLevel="0" collapsed="false">
      <c r="A28" s="14" t="str">
        <f aca="false">_xlfn.CONCAT($A$1, ".", CALC!A29)</f>
        <v>AL.ACTCREF.25</v>
      </c>
      <c r="B28" s="32" t="str">
        <f aca="false">_xlfn.CONCAT(CALC!B29, ":", CALC!C29)</f>
        <v>Finance &amp; Insurance:Worker</v>
      </c>
      <c r="C28" s="39" t="n">
        <f aca="false">CALC!BH29</f>
        <v>750000</v>
      </c>
      <c r="D28" s="39" t="n">
        <f aca="false">CALC!BI29</f>
        <v>150000</v>
      </c>
      <c r="E28" s="39" t="n">
        <f aca="false">CALC!BJ29</f>
        <v>150000</v>
      </c>
      <c r="F28" s="39" t="n">
        <f aca="false">CALC!BK29</f>
        <v>450000</v>
      </c>
    </row>
    <row r="29" customFormat="false" ht="12.8" hidden="false" customHeight="false" outlineLevel="0" collapsed="false">
      <c r="A29" s="14" t="str">
        <f aca="false">_xlfn.CONCAT($A$1, ".", CALC!A30)</f>
        <v>AL.ACTCREF.26</v>
      </c>
      <c r="B29" s="32" t="str">
        <f aca="false">_xlfn.CONCAT(CALC!B30, ":", CALC!C30)</f>
        <v>Finance &amp; Insurance:Support</v>
      </c>
      <c r="C29" s="39" t="n">
        <f aca="false">CALC!BH30</f>
        <v>375000</v>
      </c>
      <c r="D29" s="39" t="n">
        <f aca="false">CALC!BI30</f>
        <v>75000</v>
      </c>
      <c r="E29" s="39" t="n">
        <f aca="false">CALC!BJ30</f>
        <v>75000</v>
      </c>
      <c r="F29" s="39" t="n">
        <f aca="false">CALC!BK30</f>
        <v>225000</v>
      </c>
    </row>
    <row r="30" customFormat="false" ht="12.8" hidden="false" customHeight="false" outlineLevel="0" collapsed="false">
      <c r="A30" s="14" t="str">
        <f aca="false">_xlfn.CONCAT($A$1, ".", CALC!A31)</f>
        <v>AL.ACTCREF.27</v>
      </c>
      <c r="B30" s="32" t="str">
        <f aca="false">_xlfn.CONCAT(CALC!B31, ":", CALC!C31)</f>
        <v>Media and Information Technology:Worker</v>
      </c>
      <c r="C30" s="39" t="n">
        <f aca="false">CALC!BH31</f>
        <v>225000</v>
      </c>
      <c r="D30" s="39" t="n">
        <f aca="false">CALC!BI31</f>
        <v>45000</v>
      </c>
      <c r="E30" s="39" t="n">
        <f aca="false">CALC!BJ31</f>
        <v>45000</v>
      </c>
      <c r="F30" s="39" t="n">
        <f aca="false">CALC!BK31</f>
        <v>135000</v>
      </c>
    </row>
    <row r="31" customFormat="false" ht="12.8" hidden="false" customHeight="false" outlineLevel="0" collapsed="false">
      <c r="A31" s="14" t="str">
        <f aca="false">_xlfn.CONCAT($A$1, ".", CALC!A32)</f>
        <v>AL.ACTCREF.28</v>
      </c>
      <c r="B31" s="32" t="str">
        <f aca="false">_xlfn.CONCAT(CALC!B32, ":", CALC!C32)</f>
        <v>Media and Information Technology:Support</v>
      </c>
      <c r="C31" s="39" t="n">
        <f aca="false">CALC!BH32</f>
        <v>112500</v>
      </c>
      <c r="D31" s="39" t="n">
        <f aca="false">CALC!BI32</f>
        <v>22500</v>
      </c>
      <c r="E31" s="39" t="n">
        <f aca="false">CALC!BJ32</f>
        <v>22500</v>
      </c>
      <c r="F31" s="39" t="n">
        <f aca="false">CALC!BK32</f>
        <v>67500</v>
      </c>
    </row>
    <row r="32" customFormat="false" ht="12.8" hidden="false" customHeight="false" outlineLevel="0" collapsed="false">
      <c r="A32" s="14" t="str">
        <f aca="false">_xlfn.CONCAT($A$1, ".", CALC!A33)</f>
        <v>AL.ACTCREF.29</v>
      </c>
      <c r="B32" s="32" t="str">
        <f aca="false">_xlfn.CONCAT(CALC!B33, ":", CALC!C33)</f>
        <v>Government:Worker</v>
      </c>
      <c r="C32" s="39" t="n">
        <f aca="false">CALC!BH33</f>
        <v>3000000</v>
      </c>
      <c r="D32" s="39" t="n">
        <f aca="false">CALC!BI33</f>
        <v>600000</v>
      </c>
      <c r="E32" s="39" t="n">
        <f aca="false">CALC!BJ33</f>
        <v>600000</v>
      </c>
      <c r="F32" s="39" t="n">
        <f aca="false">CALC!BK33</f>
        <v>1800000</v>
      </c>
    </row>
    <row r="33" customFormat="false" ht="12.8" hidden="false" customHeight="false" outlineLevel="0" collapsed="false">
      <c r="A33" s="14" t="e">
        <f aca="false">_xlfn.CONCAT($A$1, ".", #REF!)</f>
        <v>#REF!</v>
      </c>
      <c r="B33" s="32" t="e">
        <f aca="false">_xlfn.CONCAT(#REF!, ":", #REF!)</f>
        <v>#REF!</v>
      </c>
      <c r="C33" s="39" t="e">
        <f aca="false">#REF!</f>
        <v>#REF!</v>
      </c>
      <c r="D33" s="39" t="e">
        <f aca="false">#REF!</f>
        <v>#REF!</v>
      </c>
      <c r="E33" s="39" t="e">
        <f aca="false">#REF!</f>
        <v>#REF!</v>
      </c>
      <c r="F33" s="39" t="e">
        <f aca="false">#REF!</f>
        <v>#REF!</v>
      </c>
    </row>
    <row r="34" customFormat="false" ht="12.8" hidden="false" customHeight="false" outlineLevel="0" collapsed="false">
      <c r="A34" s="14" t="e">
        <f aca="false">_xlfn.CONCAT($A$1, ".", #REF!)</f>
        <v>#REF!</v>
      </c>
      <c r="B34" s="32" t="e">
        <f aca="false">_xlfn.CONCAT(#REF!, ":", #REF!)</f>
        <v>#REF!</v>
      </c>
      <c r="C34" s="39" t="e">
        <f aca="false">#REF!</f>
        <v>#REF!</v>
      </c>
      <c r="D34" s="39" t="e">
        <f aca="false">#REF!</f>
        <v>#REF!</v>
      </c>
      <c r="E34" s="39" t="e">
        <f aca="false">#REF!</f>
        <v>#REF!</v>
      </c>
      <c r="F34" s="39" t="e">
        <f aca="false">#REF!</f>
        <v>#REF!</v>
      </c>
    </row>
    <row r="35" customFormat="false" ht="12.8" hidden="false" customHeight="false" outlineLevel="0" collapsed="false">
      <c r="A35" s="14" t="e">
        <f aca="false">_xlfn.CONCAT($A$1, ".", #REF!)</f>
        <v>#REF!</v>
      </c>
      <c r="B35" s="32" t="e">
        <f aca="false">_xlfn.CONCAT(#REF!, ":", #REF!)</f>
        <v>#REF!</v>
      </c>
      <c r="C35" s="39" t="e">
        <f aca="false">#REF!</f>
        <v>#REF!</v>
      </c>
      <c r="D35" s="39" t="e">
        <f aca="false">#REF!</f>
        <v>#REF!</v>
      </c>
      <c r="E35" s="39" t="e">
        <f aca="false">#REF!</f>
        <v>#REF!</v>
      </c>
      <c r="F35" s="39" t="e">
        <f aca="false">#REF!</f>
        <v>#REF!</v>
      </c>
    </row>
    <row r="36" customFormat="false" ht="12.8" hidden="false" customHeight="false" outlineLevel="0" collapsed="false">
      <c r="A36" s="14" t="e">
        <f aca="false">_xlfn.CONCAT($A$1, ".", #REF!)</f>
        <v>#REF!</v>
      </c>
      <c r="B36" s="32" t="e">
        <f aca="false">_xlfn.CONCAT(#REF!, ":", #REF!)</f>
        <v>#REF!</v>
      </c>
      <c r="C36" s="39" t="e">
        <f aca="false">#REF!</f>
        <v>#REF!</v>
      </c>
      <c r="D36" s="39" t="e">
        <f aca="false">#REF!</f>
        <v>#REF!</v>
      </c>
      <c r="E36" s="39" t="e">
        <f aca="false">#REF!</f>
        <v>#REF!</v>
      </c>
      <c r="F36" s="39" t="e">
        <f aca="false">#REF!</f>
        <v>#REF!</v>
      </c>
    </row>
    <row r="37" customFormat="false" ht="12.8" hidden="false" customHeight="false" outlineLevel="0" collapsed="false">
      <c r="A37" s="14" t="e">
        <f aca="false">_xlfn.CONCAT($A$1, ".", #REF!)</f>
        <v>#REF!</v>
      </c>
      <c r="B37" s="32" t="e">
        <f aca="false">_xlfn.CONCAT(#REF!, ":", #REF!)</f>
        <v>#REF!</v>
      </c>
      <c r="C37" s="39" t="e">
        <f aca="false">#REF!</f>
        <v>#REF!</v>
      </c>
      <c r="D37" s="39" t="e">
        <f aca="false">#REF!</f>
        <v>#REF!</v>
      </c>
      <c r="E37" s="39" t="e">
        <f aca="false">#REF!</f>
        <v>#REF!</v>
      </c>
      <c r="F37" s="39" t="e">
        <f aca="false">#REF!</f>
        <v>#REF!</v>
      </c>
    </row>
    <row r="38" customFormat="false" ht="12.8" hidden="false" customHeight="false" outlineLevel="0" collapsed="false">
      <c r="A38" s="14"/>
      <c r="B38" s="15"/>
      <c r="C38" s="28"/>
      <c r="D38" s="28"/>
      <c r="E38" s="28"/>
      <c r="F38" s="2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37"/>
  <sheetViews>
    <sheetView showFormulas="false" showGridLines="true" showRowColHeaders="true" showZeros="true" rightToLeft="false" tabSelected="false" showOutlineSymbols="true" defaultGridColor="true" view="normal" topLeftCell="A87" colorId="64" zoomScale="90" zoomScaleNormal="90" zoomScalePageLayoutView="100" workbookViewId="0">
      <selection pane="topLeft" activeCell="H32" activeCellId="0" sqref="H32"/>
    </sheetView>
  </sheetViews>
  <sheetFormatPr defaultColWidth="11.53515625" defaultRowHeight="12.8" customHeight="false" zeroHeight="false" outlineLevelRow="0" outlineLevelCol="0"/>
  <cols>
    <col collapsed="false" customWidth="true" hidden="false" outlineLevel="0" max="1" min="1" style="9" width="18.45"/>
    <col collapsed="false" customWidth="true" hidden="false" outlineLevel="0" max="2" min="2" style="10" width="36.9"/>
    <col collapsed="false" customWidth="true" hidden="false" outlineLevel="0" max="3" min="3" style="10" width="21.47"/>
    <col collapsed="false" customWidth="true" hidden="false" outlineLevel="0" max="34" min="4" style="10" width="16.84"/>
    <col collapsed="false" customWidth="true" hidden="false" outlineLevel="0" max="48" min="35" style="10" width="17.78"/>
    <col collapsed="false" customWidth="true" hidden="false" outlineLevel="0" max="51" min="49" style="10" width="15.48"/>
    <col collapsed="false" customWidth="true" hidden="false" outlineLevel="0" max="56" min="56" style="10" width="18.45"/>
    <col collapsed="false" customWidth="true" hidden="false" outlineLevel="0" max="59" min="57" style="10" width="16.14"/>
    <col collapsed="false" customWidth="true" hidden="false" outlineLevel="0" max="67" min="60" style="10" width="13.84"/>
  </cols>
  <sheetData>
    <row r="1" customFormat="false" ht="23.85" hidden="false" customHeight="false" outlineLevel="0" collapsed="false">
      <c r="A1" s="11" t="s">
        <v>8465</v>
      </c>
      <c r="B1" s="20" t="s">
        <v>8466</v>
      </c>
      <c r="C1" s="13" t="s">
        <v>2</v>
      </c>
      <c r="D1" s="15" t="s">
        <v>8467</v>
      </c>
      <c r="AZ1" s="10"/>
      <c r="BP1" s="10"/>
    </row>
    <row r="2" customFormat="false" ht="35.05" hidden="false" customHeight="false" outlineLevel="0" collapsed="false">
      <c r="A2" s="40" t="s">
        <v>8431</v>
      </c>
      <c r="B2" s="17" t="s">
        <v>8432</v>
      </c>
      <c r="C2" s="28" t="str">
        <f aca="false">CALC!BL3</f>
        <v>AOTC Credit Refund</v>
      </c>
      <c r="D2" s="28" t="str">
        <f aca="false">CALC!BM3</f>
        <v>Authorized Immigrant AOTC Credit Refund</v>
      </c>
      <c r="E2" s="28" t="str">
        <f aca="false">CALC!BN3</f>
        <v>Unauthorized Immigrant AOTC Credit Refund</v>
      </c>
      <c r="F2" s="28" t="str">
        <f aca="false">CALC!BO3</f>
        <v>American Effective Tax AOTC Credit Refund</v>
      </c>
    </row>
    <row r="3" customFormat="false" ht="12.8" hidden="false" customHeight="false" outlineLevel="0" collapsed="false">
      <c r="A3" s="14" t="str">
        <f aca="false">_xlfn.CONCAT($A$1, ".", CALC!A4)</f>
        <v>AL.AOTCREF.0</v>
      </c>
      <c r="B3" s="32" t="str">
        <f aca="false">_xlfn.CONCAT(CALC!B4, ":", CALC!C4)</f>
        <v>All Industries:All Roles</v>
      </c>
      <c r="C3" s="28" t="n">
        <f aca="false">CALC!BL4</f>
        <v>80000000</v>
      </c>
      <c r="D3" s="28" t="n">
        <f aca="false">CALC!BM4</f>
        <v>20000000</v>
      </c>
      <c r="E3" s="28" t="n">
        <f aca="false">CALC!BN4</f>
        <v>20000000</v>
      </c>
      <c r="F3" s="28" t="n">
        <f aca="false">CALC!BO4</f>
        <v>60000000</v>
      </c>
    </row>
    <row r="4" customFormat="false" ht="12.8" hidden="false" customHeight="false" outlineLevel="0" collapsed="false">
      <c r="A4" s="14" t="str">
        <f aca="false">_xlfn.CONCAT($A$1, ".", CALC!A5)</f>
        <v>AL.AOTCREF.1</v>
      </c>
      <c r="B4" s="32" t="str">
        <f aca="false">_xlfn.CONCAT(CALC!B5, ":", CALC!C5)</f>
        <v>Agriculture:Worker</v>
      </c>
      <c r="C4" s="28" t="n">
        <f aca="false">CALC!BL5</f>
        <v>27000</v>
      </c>
      <c r="D4" s="28" t="n">
        <f aca="false">CALC!BM5</f>
        <v>5400</v>
      </c>
      <c r="E4" s="28" t="n">
        <f aca="false">CALC!BN5</f>
        <v>13500</v>
      </c>
      <c r="F4" s="28" t="n">
        <f aca="false">CALC!BO5</f>
        <v>40500</v>
      </c>
    </row>
    <row r="5" customFormat="false" ht="12.8" hidden="false" customHeight="false" outlineLevel="0" collapsed="false">
      <c r="A5" s="14" t="str">
        <f aca="false">_xlfn.CONCAT($A$1, ".", CALC!A6)</f>
        <v>AL.AOTCREF.2</v>
      </c>
      <c r="B5" s="32" t="str">
        <f aca="false">_xlfn.CONCAT(CALC!B6, ":", CALC!C6)</f>
        <v>Agriculture:Support</v>
      </c>
      <c r="C5" s="28" t="n">
        <f aca="false">CALC!BL6</f>
        <v>13500</v>
      </c>
      <c r="D5" s="28" t="n">
        <f aca="false">CALC!BM6</f>
        <v>2700</v>
      </c>
      <c r="E5" s="28" t="n">
        <f aca="false">CALC!BN6</f>
        <v>6750</v>
      </c>
      <c r="F5" s="28" t="n">
        <f aca="false">CALC!BO6</f>
        <v>20250</v>
      </c>
    </row>
    <row r="6" customFormat="false" ht="12.8" hidden="false" customHeight="false" outlineLevel="0" collapsed="false">
      <c r="A6" s="14" t="str">
        <f aca="false">_xlfn.CONCAT($A$1, ".", CALC!A7)</f>
        <v>AL.AOTCREF.3</v>
      </c>
      <c r="B6" s="32" t="str">
        <f aca="false">_xlfn.CONCAT(CALC!B7, ":", CALC!C7)</f>
        <v>Construction:Worker</v>
      </c>
      <c r="C6" s="28" t="n">
        <f aca="false">CALC!BL7</f>
        <v>75000</v>
      </c>
      <c r="D6" s="28" t="n">
        <f aca="false">CALC!BM7</f>
        <v>15000</v>
      </c>
      <c r="E6" s="28" t="n">
        <f aca="false">CALC!BN7</f>
        <v>37500</v>
      </c>
      <c r="F6" s="28" t="n">
        <f aca="false">CALC!BO7</f>
        <v>112500</v>
      </c>
    </row>
    <row r="7" customFormat="false" ht="12.8" hidden="false" customHeight="false" outlineLevel="0" collapsed="false">
      <c r="A7" s="14" t="str">
        <f aca="false">_xlfn.CONCAT($A$1, ".", CALC!A8)</f>
        <v>AL.AOTCREF.4</v>
      </c>
      <c r="B7" s="32" t="str">
        <f aca="false">_xlfn.CONCAT(CALC!B8, ":", CALC!C8)</f>
        <v>Construction:Support</v>
      </c>
      <c r="C7" s="28" t="n">
        <f aca="false">CALC!BL8</f>
        <v>37500</v>
      </c>
      <c r="D7" s="28" t="n">
        <f aca="false">CALC!BM8</f>
        <v>7500</v>
      </c>
      <c r="E7" s="28" t="n">
        <f aca="false">CALC!BN8</f>
        <v>18750</v>
      </c>
      <c r="F7" s="28" t="n">
        <f aca="false">CALC!BO8</f>
        <v>56250</v>
      </c>
    </row>
    <row r="8" customFormat="false" ht="12.8" hidden="false" customHeight="false" outlineLevel="0" collapsed="false">
      <c r="A8" s="14" t="str">
        <f aca="false">_xlfn.CONCAT($A$1, ".", CALC!A9)</f>
        <v>AL.AOTCREF.5</v>
      </c>
      <c r="B8" s="32" t="str">
        <f aca="false">_xlfn.CONCAT(CALC!B9, ":", CALC!C9)</f>
        <v>Hospitality:Worker</v>
      </c>
      <c r="C8" s="28" t="n">
        <f aca="false">CALC!BL9</f>
        <v>270000</v>
      </c>
      <c r="D8" s="28" t="n">
        <f aca="false">CALC!BM9</f>
        <v>54000</v>
      </c>
      <c r="E8" s="28" t="n">
        <f aca="false">CALC!BN9</f>
        <v>135000</v>
      </c>
      <c r="F8" s="28" t="n">
        <f aca="false">CALC!BO9</f>
        <v>405000</v>
      </c>
    </row>
    <row r="9" customFormat="false" ht="12.8" hidden="false" customHeight="false" outlineLevel="0" collapsed="false">
      <c r="A9" s="14" t="str">
        <f aca="false">_xlfn.CONCAT($A$1, ".", CALC!A10)</f>
        <v>AL.AOTCREF.6</v>
      </c>
      <c r="B9" s="32" t="str">
        <f aca="false">_xlfn.CONCAT(CALC!B10, ":", CALC!C10)</f>
        <v>Hospitality:Support</v>
      </c>
      <c r="C9" s="28" t="n">
        <f aca="false">CALC!BL10</f>
        <v>135000</v>
      </c>
      <c r="D9" s="28" t="n">
        <f aca="false">CALC!BM10</f>
        <v>27000</v>
      </c>
      <c r="E9" s="28" t="n">
        <f aca="false">CALC!BN10</f>
        <v>67500</v>
      </c>
      <c r="F9" s="28" t="n">
        <f aca="false">CALC!BO10</f>
        <v>202500</v>
      </c>
    </row>
    <row r="10" customFormat="false" ht="12.8" hidden="false" customHeight="false" outlineLevel="0" collapsed="false">
      <c r="A10" s="14" t="str">
        <f aca="false">_xlfn.CONCAT($A$1, ".", CALC!A11)</f>
        <v>AL.AOTCREF.7</v>
      </c>
      <c r="B10" s="32" t="str">
        <f aca="false">_xlfn.CONCAT(CALC!B11, ":", CALC!C11)</f>
        <v>Cleaning &amp; Maintenance:Worker</v>
      </c>
      <c r="C10" s="28" t="n">
        <f aca="false">CALC!BL11</f>
        <v>97500</v>
      </c>
      <c r="D10" s="28" t="n">
        <f aca="false">CALC!BM11</f>
        <v>19500</v>
      </c>
      <c r="E10" s="28" t="n">
        <f aca="false">CALC!BN11</f>
        <v>48750</v>
      </c>
      <c r="F10" s="28" t="n">
        <f aca="false">CALC!BO11</f>
        <v>146250</v>
      </c>
    </row>
    <row r="11" customFormat="false" ht="12.8" hidden="false" customHeight="false" outlineLevel="0" collapsed="false">
      <c r="A11" s="14" t="str">
        <f aca="false">_xlfn.CONCAT($A$1, ".", CALC!A12)</f>
        <v>AL.AOTCREF.8</v>
      </c>
      <c r="B11" s="32" t="str">
        <f aca="false">_xlfn.CONCAT(CALC!B12, ":", CALC!C12)</f>
        <v>Cleaning &amp; Maintenance:Support</v>
      </c>
      <c r="C11" s="28" t="n">
        <f aca="false">CALC!BL12</f>
        <v>48750</v>
      </c>
      <c r="D11" s="28" t="n">
        <f aca="false">CALC!BM12</f>
        <v>9750</v>
      </c>
      <c r="E11" s="28" t="n">
        <f aca="false">CALC!BN12</f>
        <v>24375</v>
      </c>
      <c r="F11" s="28" t="n">
        <f aca="false">CALC!BO12</f>
        <v>73125</v>
      </c>
    </row>
    <row r="12" customFormat="false" ht="12.8" hidden="false" customHeight="false" outlineLevel="0" collapsed="false">
      <c r="A12" s="14" t="str">
        <f aca="false">_xlfn.CONCAT($A$1, ".", CALC!A13)</f>
        <v>AL.AOTCREF.9</v>
      </c>
      <c r="B12" s="32" t="str">
        <f aca="false">_xlfn.CONCAT(CALC!B13, ":", CALC!C13)</f>
        <v>Manufacturing:Worker</v>
      </c>
      <c r="C12" s="28" t="n">
        <f aca="false">CALC!BL13</f>
        <v>675000</v>
      </c>
      <c r="D12" s="28" t="n">
        <f aca="false">CALC!BM13</f>
        <v>135000</v>
      </c>
      <c r="E12" s="28" t="n">
        <f aca="false">CALC!BN13</f>
        <v>337500</v>
      </c>
      <c r="F12" s="28" t="n">
        <f aca="false">CALC!BO13</f>
        <v>1012500</v>
      </c>
    </row>
    <row r="13" customFormat="false" ht="12.8" hidden="false" customHeight="false" outlineLevel="0" collapsed="false">
      <c r="A13" s="14" t="str">
        <f aca="false">_xlfn.CONCAT($A$1, ".", CALC!A14)</f>
        <v>AL.AOTCREF.10</v>
      </c>
      <c r="B13" s="32" t="str">
        <f aca="false">_xlfn.CONCAT(CALC!B14, ":", CALC!C14)</f>
        <v>Manufacturing:Support</v>
      </c>
      <c r="C13" s="28" t="n">
        <f aca="false">CALC!BL14</f>
        <v>337500</v>
      </c>
      <c r="D13" s="28" t="n">
        <f aca="false">CALC!BM14</f>
        <v>67500</v>
      </c>
      <c r="E13" s="28" t="n">
        <f aca="false">CALC!BN14</f>
        <v>168750</v>
      </c>
      <c r="F13" s="28" t="n">
        <f aca="false">CALC!BO14</f>
        <v>506250</v>
      </c>
    </row>
    <row r="14" customFormat="false" ht="12.8" hidden="false" customHeight="false" outlineLevel="0" collapsed="false">
      <c r="A14" s="14" t="str">
        <f aca="false">_xlfn.CONCAT($A$1, ".", CALC!A15)</f>
        <v>AL.AOTCREF.11</v>
      </c>
      <c r="B14" s="32" t="str">
        <f aca="false">_xlfn.CONCAT(CALC!B15, ":", CALC!C15)</f>
        <v>Transportation &amp; Warehousing:Worker</v>
      </c>
      <c r="C14" s="28" t="n">
        <f aca="false">CALC!BL15</f>
        <v>225000</v>
      </c>
      <c r="D14" s="28" t="n">
        <f aca="false">CALC!BM15</f>
        <v>45000</v>
      </c>
      <c r="E14" s="28" t="n">
        <f aca="false">CALC!BN15</f>
        <v>112500</v>
      </c>
      <c r="F14" s="28" t="n">
        <f aca="false">CALC!BO15</f>
        <v>337500</v>
      </c>
    </row>
    <row r="15" customFormat="false" ht="12.8" hidden="false" customHeight="false" outlineLevel="0" collapsed="false">
      <c r="A15" s="14" t="str">
        <f aca="false">_xlfn.CONCAT($A$1, ".", CALC!A16)</f>
        <v>AL.AOTCREF.12</v>
      </c>
      <c r="B15" s="32" t="str">
        <f aca="false">_xlfn.CONCAT(CALC!B16, ":", CALC!C16)</f>
        <v>Transportation &amp; Warehousing:Support</v>
      </c>
      <c r="C15" s="28" t="n">
        <f aca="false">CALC!BL16</f>
        <v>112500</v>
      </c>
      <c r="D15" s="28" t="n">
        <f aca="false">CALC!BM16</f>
        <v>22500</v>
      </c>
      <c r="E15" s="28" t="n">
        <f aca="false">CALC!BN16</f>
        <v>56250</v>
      </c>
      <c r="F15" s="28" t="n">
        <f aca="false">CALC!BO16</f>
        <v>168750</v>
      </c>
    </row>
    <row r="16" customFormat="false" ht="12.8" hidden="false" customHeight="false" outlineLevel="0" collapsed="false">
      <c r="A16" s="14" t="str">
        <f aca="false">_xlfn.CONCAT($A$1, ".", CALC!A17)</f>
        <v>AL.AOTCREF.13</v>
      </c>
      <c r="B16" s="32" t="str">
        <f aca="false">_xlfn.CONCAT(CALC!B17, ":", CALC!C17)</f>
        <v>Retail Trade:Worker</v>
      </c>
      <c r="C16" s="28" t="n">
        <f aca="false">CALC!BL17</f>
        <v>600000</v>
      </c>
      <c r="D16" s="28" t="n">
        <f aca="false">CALC!BM17</f>
        <v>120000</v>
      </c>
      <c r="E16" s="28" t="n">
        <f aca="false">CALC!BN17</f>
        <v>300000</v>
      </c>
      <c r="F16" s="28" t="n">
        <f aca="false">CALC!BO17</f>
        <v>900000</v>
      </c>
    </row>
    <row r="17" customFormat="false" ht="12.8" hidden="false" customHeight="false" outlineLevel="0" collapsed="false">
      <c r="A17" s="14" t="str">
        <f aca="false">_xlfn.CONCAT($A$1, ".", CALC!A18)</f>
        <v>AL.AOTCREF.14</v>
      </c>
      <c r="B17" s="32" t="str">
        <f aca="false">_xlfn.CONCAT(CALC!B18, ":", CALC!C18)</f>
        <v>Retail Trade:Support</v>
      </c>
      <c r="C17" s="28" t="n">
        <f aca="false">CALC!BL18</f>
        <v>300000</v>
      </c>
      <c r="D17" s="28" t="n">
        <f aca="false">CALC!BM18</f>
        <v>60000</v>
      </c>
      <c r="E17" s="28" t="n">
        <f aca="false">CALC!BN18</f>
        <v>150000</v>
      </c>
      <c r="F17" s="28" t="n">
        <f aca="false">CALC!BO18</f>
        <v>450000</v>
      </c>
    </row>
    <row r="18" customFormat="false" ht="12.8" hidden="false" customHeight="false" outlineLevel="0" collapsed="false">
      <c r="A18" s="14" t="str">
        <f aca="false">_xlfn.CONCAT($A$1, ".", CALC!A19)</f>
        <v>AL.AOTCREF.15</v>
      </c>
      <c r="B18" s="32" t="str">
        <f aca="false">_xlfn.CONCAT(CALC!B19, ":", CALC!C19)</f>
        <v>Landscaping / Groundskeeping:Worker</v>
      </c>
      <c r="C18" s="28" t="n">
        <f aca="false">CALC!BL19</f>
        <v>82500</v>
      </c>
      <c r="D18" s="28" t="n">
        <f aca="false">CALC!BM19</f>
        <v>16500</v>
      </c>
      <c r="E18" s="28" t="n">
        <f aca="false">CALC!BN19</f>
        <v>41250</v>
      </c>
      <c r="F18" s="28" t="n">
        <f aca="false">CALC!BO19</f>
        <v>123750</v>
      </c>
    </row>
    <row r="19" customFormat="false" ht="12.8" hidden="false" customHeight="false" outlineLevel="0" collapsed="false">
      <c r="A19" s="14" t="str">
        <f aca="false">_xlfn.CONCAT($A$1, ".", CALC!A20)</f>
        <v>AL.AOTCREF.16</v>
      </c>
      <c r="B19" s="32" t="str">
        <f aca="false">_xlfn.CONCAT(CALC!B20, ":", CALC!C20)</f>
        <v>Landscaping / Groundskeeping:Support</v>
      </c>
      <c r="C19" s="28" t="n">
        <f aca="false">CALC!BL20</f>
        <v>41250</v>
      </c>
      <c r="D19" s="28" t="n">
        <f aca="false">CALC!BM20</f>
        <v>8250</v>
      </c>
      <c r="E19" s="28" t="n">
        <f aca="false">CALC!BN20</f>
        <v>20625</v>
      </c>
      <c r="F19" s="28" t="n">
        <f aca="false">CALC!BO20</f>
        <v>61875</v>
      </c>
    </row>
    <row r="20" customFormat="false" ht="12.8" hidden="false" customHeight="false" outlineLevel="0" collapsed="false">
      <c r="A20" s="14" t="str">
        <f aca="false">_xlfn.CONCAT($A$1, ".", CALC!A21)</f>
        <v>AL.AOTCREF.17</v>
      </c>
      <c r="B20" s="32" t="str">
        <f aca="false">_xlfn.CONCAT(CALC!B21, ":", CALC!C21)</f>
        <v>Automotive &amp; Repair:Worker</v>
      </c>
      <c r="C20" s="28" t="n">
        <f aca="false">CALC!BL21</f>
        <v>67500</v>
      </c>
      <c r="D20" s="28" t="n">
        <f aca="false">CALC!BM21</f>
        <v>13500</v>
      </c>
      <c r="E20" s="28" t="n">
        <f aca="false">CALC!BN21</f>
        <v>33750</v>
      </c>
      <c r="F20" s="28" t="n">
        <f aca="false">CALC!BO21</f>
        <v>101250</v>
      </c>
    </row>
    <row r="21" customFormat="false" ht="12.8" hidden="false" customHeight="false" outlineLevel="0" collapsed="false">
      <c r="A21" s="14" t="str">
        <f aca="false">_xlfn.CONCAT($A$1, ".", CALC!A22)</f>
        <v>AL.AOTCREF.18</v>
      </c>
      <c r="B21" s="32" t="str">
        <f aca="false">_xlfn.CONCAT(CALC!B22, ":", CALC!C22)</f>
        <v>Automotive &amp; Repair:Support</v>
      </c>
      <c r="C21" s="28" t="n">
        <f aca="false">CALC!BL22</f>
        <v>33750</v>
      </c>
      <c r="D21" s="28" t="n">
        <f aca="false">CALC!BM22</f>
        <v>6750</v>
      </c>
      <c r="E21" s="28" t="n">
        <f aca="false">CALC!BN22</f>
        <v>16875</v>
      </c>
      <c r="F21" s="28" t="n">
        <f aca="false">CALC!BO22</f>
        <v>50625</v>
      </c>
    </row>
    <row r="22" customFormat="false" ht="12.8" hidden="false" customHeight="false" outlineLevel="0" collapsed="false">
      <c r="A22" s="14" t="str">
        <f aca="false">_xlfn.CONCAT($A$1, ".", CALC!A23)</f>
        <v>AL.AOTCREF.19</v>
      </c>
      <c r="B22" s="32" t="str">
        <f aca="false">_xlfn.CONCAT(CALC!B23, ":", CALC!C23)</f>
        <v>Healthcare &amp; Social Assistance:Worker</v>
      </c>
      <c r="C22" s="28" t="n">
        <f aca="false">CALC!BL23</f>
        <v>1300000</v>
      </c>
      <c r="D22" s="28" t="n">
        <f aca="false">CALC!BM23</f>
        <v>260000</v>
      </c>
      <c r="E22" s="28" t="n">
        <f aca="false">CALC!BN23</f>
        <v>650000</v>
      </c>
      <c r="F22" s="28" t="n">
        <f aca="false">CALC!BO23</f>
        <v>1950000</v>
      </c>
    </row>
    <row r="23" customFormat="false" ht="12.8" hidden="false" customHeight="false" outlineLevel="0" collapsed="false">
      <c r="A23" s="14" t="str">
        <f aca="false">_xlfn.CONCAT($A$1, ".", CALC!A24)</f>
        <v>AL.AOTCREF.20</v>
      </c>
      <c r="B23" s="32" t="str">
        <f aca="false">_xlfn.CONCAT(CALC!B24, ":", CALC!C24)</f>
        <v>Healthcare &amp; Social Assistance:Support</v>
      </c>
      <c r="C23" s="28" t="n">
        <f aca="false">CALC!BL24</f>
        <v>650000</v>
      </c>
      <c r="D23" s="28" t="n">
        <f aca="false">CALC!BM24</f>
        <v>130000</v>
      </c>
      <c r="E23" s="28" t="n">
        <f aca="false">CALC!BN24</f>
        <v>325000</v>
      </c>
      <c r="F23" s="28" t="n">
        <f aca="false">CALC!BO24</f>
        <v>975000</v>
      </c>
    </row>
    <row r="24" customFormat="false" ht="12.8" hidden="false" customHeight="false" outlineLevel="0" collapsed="false">
      <c r="A24" s="14" t="str">
        <f aca="false">_xlfn.CONCAT($A$1, ".", CALC!A25)</f>
        <v>AL.AOTCREF.21</v>
      </c>
      <c r="B24" s="32" t="str">
        <f aca="false">_xlfn.CONCAT(CALC!B25, ":", CALC!C25)</f>
        <v>Professional Services:Worker</v>
      </c>
      <c r="C24" s="28" t="n">
        <f aca="false">CALC!BL25</f>
        <v>825000</v>
      </c>
      <c r="D24" s="28" t="n">
        <f aca="false">CALC!BM25</f>
        <v>165000</v>
      </c>
      <c r="E24" s="28" t="n">
        <f aca="false">CALC!BN25</f>
        <v>412500</v>
      </c>
      <c r="F24" s="28" t="n">
        <f aca="false">CALC!BO25</f>
        <v>1237500</v>
      </c>
    </row>
    <row r="25" customFormat="false" ht="12.8" hidden="false" customHeight="false" outlineLevel="0" collapsed="false">
      <c r="A25" s="14" t="str">
        <f aca="false">_xlfn.CONCAT($A$1, ".", CALC!A26)</f>
        <v>AL.AOTCREF.22</v>
      </c>
      <c r="B25" s="32" t="str">
        <f aca="false">_xlfn.CONCAT(CALC!B26, ":", CALC!C26)</f>
        <v>Professional Services:Support</v>
      </c>
      <c r="C25" s="28" t="n">
        <f aca="false">CALC!BL26</f>
        <v>412500</v>
      </c>
      <c r="D25" s="28" t="n">
        <f aca="false">CALC!BM26</f>
        <v>82500</v>
      </c>
      <c r="E25" s="28" t="n">
        <f aca="false">CALC!BN26</f>
        <v>206250</v>
      </c>
      <c r="F25" s="28" t="n">
        <f aca="false">CALC!BO26</f>
        <v>618750</v>
      </c>
    </row>
    <row r="26" customFormat="false" ht="12.8" hidden="false" customHeight="false" outlineLevel="0" collapsed="false">
      <c r="A26" s="14" t="str">
        <f aca="false">_xlfn.CONCAT($A$1, ".", CALC!A27)</f>
        <v>AL.AOTCREF.23</v>
      </c>
      <c r="B26" s="32" t="str">
        <f aca="false">_xlfn.CONCAT(CALC!B27, ":", CALC!C27)</f>
        <v>Educational Services:Worker</v>
      </c>
      <c r="C26" s="28" t="n">
        <f aca="false">CALC!BL27</f>
        <v>525000</v>
      </c>
      <c r="D26" s="28" t="n">
        <f aca="false">CALC!BM27</f>
        <v>105000</v>
      </c>
      <c r="E26" s="28" t="n">
        <f aca="false">CALC!BN27</f>
        <v>262500</v>
      </c>
      <c r="F26" s="28" t="n">
        <f aca="false">CALC!BO27</f>
        <v>787500</v>
      </c>
    </row>
    <row r="27" customFormat="false" ht="12.8" hidden="false" customHeight="false" outlineLevel="0" collapsed="false">
      <c r="A27" s="14" t="str">
        <f aca="false">_xlfn.CONCAT($A$1, ".", CALC!A28)</f>
        <v>AL.AOTCREF.24</v>
      </c>
      <c r="B27" s="32" t="str">
        <f aca="false">_xlfn.CONCAT(CALC!B28, ":", CALC!C28)</f>
        <v>Educational Services:Support</v>
      </c>
      <c r="C27" s="28" t="n">
        <f aca="false">CALC!BL28</f>
        <v>262500</v>
      </c>
      <c r="D27" s="28" t="n">
        <f aca="false">CALC!BM28</f>
        <v>52500</v>
      </c>
      <c r="E27" s="28" t="n">
        <f aca="false">CALC!BN28</f>
        <v>131250</v>
      </c>
      <c r="F27" s="28" t="n">
        <f aca="false">CALC!BO28</f>
        <v>393750</v>
      </c>
    </row>
    <row r="28" customFormat="false" ht="12.8" hidden="false" customHeight="false" outlineLevel="0" collapsed="false">
      <c r="A28" s="14" t="str">
        <f aca="false">_xlfn.CONCAT($A$1, ".", CALC!A29)</f>
        <v>AL.AOTCREF.25</v>
      </c>
      <c r="B28" s="32" t="str">
        <f aca="false">_xlfn.CONCAT(CALC!B29, ":", CALC!C29)</f>
        <v>Finance &amp; Insurance:Worker</v>
      </c>
      <c r="C28" s="28" t="n">
        <f aca="false">CALC!BL29</f>
        <v>375000</v>
      </c>
      <c r="D28" s="28" t="n">
        <f aca="false">CALC!BM29</f>
        <v>75000</v>
      </c>
      <c r="E28" s="28" t="n">
        <f aca="false">CALC!BN29</f>
        <v>187500</v>
      </c>
      <c r="F28" s="28" t="n">
        <f aca="false">CALC!BO29</f>
        <v>562500</v>
      </c>
    </row>
    <row r="29" customFormat="false" ht="12.8" hidden="false" customHeight="false" outlineLevel="0" collapsed="false">
      <c r="A29" s="14" t="str">
        <f aca="false">_xlfn.CONCAT($A$1, ".", CALC!A30)</f>
        <v>AL.AOTCREF.26</v>
      </c>
      <c r="B29" s="32" t="str">
        <f aca="false">_xlfn.CONCAT(CALC!B30, ":", CALC!C30)</f>
        <v>Finance &amp; Insurance:Support</v>
      </c>
      <c r="C29" s="28" t="n">
        <f aca="false">CALC!BL30</f>
        <v>187500</v>
      </c>
      <c r="D29" s="28" t="n">
        <f aca="false">CALC!BM30</f>
        <v>37500</v>
      </c>
      <c r="E29" s="28" t="n">
        <f aca="false">CALC!BN30</f>
        <v>93750</v>
      </c>
      <c r="F29" s="28" t="n">
        <f aca="false">CALC!BO30</f>
        <v>281250</v>
      </c>
    </row>
    <row r="30" customFormat="false" ht="12.8" hidden="false" customHeight="false" outlineLevel="0" collapsed="false">
      <c r="A30" s="14" t="str">
        <f aca="false">_xlfn.CONCAT($A$1, ".", CALC!A31)</f>
        <v>AL.AOTCREF.27</v>
      </c>
      <c r="B30" s="32" t="str">
        <f aca="false">_xlfn.CONCAT(CALC!B31, ":", CALC!C31)</f>
        <v>Media and Information Technology:Worker</v>
      </c>
      <c r="C30" s="28" t="n">
        <f aca="false">CALC!BL31</f>
        <v>112500</v>
      </c>
      <c r="D30" s="28" t="n">
        <f aca="false">CALC!BM31</f>
        <v>22500</v>
      </c>
      <c r="E30" s="28" t="n">
        <f aca="false">CALC!BN31</f>
        <v>56250</v>
      </c>
      <c r="F30" s="28" t="n">
        <f aca="false">CALC!BO31</f>
        <v>168750</v>
      </c>
    </row>
    <row r="31" customFormat="false" ht="12.8" hidden="false" customHeight="false" outlineLevel="0" collapsed="false">
      <c r="A31" s="14" t="str">
        <f aca="false">_xlfn.CONCAT($A$1, ".", CALC!A32)</f>
        <v>AL.AOTCREF.28</v>
      </c>
      <c r="B31" s="32" t="str">
        <f aca="false">_xlfn.CONCAT(CALC!B32, ":", CALC!C32)</f>
        <v>Media and Information Technology:Support</v>
      </c>
      <c r="C31" s="28" t="n">
        <f aca="false">CALC!BL32</f>
        <v>56250</v>
      </c>
      <c r="D31" s="28" t="n">
        <f aca="false">CALC!BM32</f>
        <v>11250</v>
      </c>
      <c r="E31" s="28" t="n">
        <f aca="false">CALC!BN32</f>
        <v>28125</v>
      </c>
      <c r="F31" s="28" t="n">
        <f aca="false">CALC!BO32</f>
        <v>84375</v>
      </c>
    </row>
    <row r="32" customFormat="false" ht="12.8" hidden="false" customHeight="false" outlineLevel="0" collapsed="false">
      <c r="A32" s="14" t="str">
        <f aca="false">_xlfn.CONCAT($A$1, ".", CALC!A33)</f>
        <v>AL.AOTCREF.29</v>
      </c>
      <c r="B32" s="32" t="str">
        <f aca="false">_xlfn.CONCAT(CALC!B33, ":", CALC!C33)</f>
        <v>Government:Worker</v>
      </c>
      <c r="C32" s="28" t="n">
        <f aca="false">CALC!BL33</f>
        <v>1500000</v>
      </c>
      <c r="D32" s="28" t="n">
        <f aca="false">CALC!BM33</f>
        <v>300000</v>
      </c>
      <c r="E32" s="28" t="n">
        <f aca="false">CALC!BN33</f>
        <v>750000</v>
      </c>
      <c r="F32" s="28" t="n">
        <f aca="false">CALC!BO33</f>
        <v>2250000</v>
      </c>
    </row>
    <row r="33" customFormat="false" ht="12.8" hidden="false" customHeight="false" outlineLevel="0" collapsed="false">
      <c r="A33" s="14" t="e">
        <f aca="false">_xlfn.CONCAT($A$1, ".", #REF!)</f>
        <v>#REF!</v>
      </c>
      <c r="B33" s="32" t="e">
        <f aca="false">_xlfn.CONCAT(#REF!, ":", #REF!)</f>
        <v>#REF!</v>
      </c>
      <c r="C33" s="28" t="e">
        <f aca="false">#REF!</f>
        <v>#REF!</v>
      </c>
      <c r="D33" s="28" t="e">
        <f aca="false">#REF!</f>
        <v>#REF!</v>
      </c>
      <c r="E33" s="28" t="e">
        <f aca="false">#REF!</f>
        <v>#REF!</v>
      </c>
      <c r="F33" s="28" t="e">
        <f aca="false">#REF!</f>
        <v>#REF!</v>
      </c>
    </row>
    <row r="34" customFormat="false" ht="12.8" hidden="false" customHeight="false" outlineLevel="0" collapsed="false">
      <c r="A34" s="14" t="e">
        <f aca="false">_xlfn.CONCAT($A$1, ".", #REF!)</f>
        <v>#REF!</v>
      </c>
      <c r="B34" s="32" t="e">
        <f aca="false">_xlfn.CONCAT(#REF!, ":", #REF!)</f>
        <v>#REF!</v>
      </c>
      <c r="C34" s="28" t="e">
        <f aca="false">#REF!</f>
        <v>#REF!</v>
      </c>
      <c r="D34" s="28" t="e">
        <f aca="false">#REF!</f>
        <v>#REF!</v>
      </c>
      <c r="E34" s="28" t="e">
        <f aca="false">#REF!</f>
        <v>#REF!</v>
      </c>
      <c r="F34" s="28" t="e">
        <f aca="false">#REF!</f>
        <v>#REF!</v>
      </c>
    </row>
    <row r="35" customFormat="false" ht="12.8" hidden="false" customHeight="false" outlineLevel="0" collapsed="false">
      <c r="A35" s="14" t="e">
        <f aca="false">_xlfn.CONCAT($A$1, ".", #REF!)</f>
        <v>#REF!</v>
      </c>
      <c r="B35" s="32" t="e">
        <f aca="false">_xlfn.CONCAT(#REF!, ":", #REF!)</f>
        <v>#REF!</v>
      </c>
      <c r="C35" s="28" t="e">
        <f aca="false">#REF!</f>
        <v>#REF!</v>
      </c>
      <c r="D35" s="28" t="e">
        <f aca="false">#REF!</f>
        <v>#REF!</v>
      </c>
      <c r="E35" s="28" t="e">
        <f aca="false">#REF!</f>
        <v>#REF!</v>
      </c>
      <c r="F35" s="28" t="e">
        <f aca="false">#REF!</f>
        <v>#REF!</v>
      </c>
    </row>
    <row r="36" customFormat="false" ht="12.8" hidden="false" customHeight="false" outlineLevel="0" collapsed="false">
      <c r="A36" s="14" t="e">
        <f aca="false">_xlfn.CONCAT($A$1, ".", #REF!)</f>
        <v>#REF!</v>
      </c>
      <c r="B36" s="32" t="e">
        <f aca="false">_xlfn.CONCAT(#REF!, ":", #REF!)</f>
        <v>#REF!</v>
      </c>
      <c r="C36" s="28" t="e">
        <f aca="false">#REF!</f>
        <v>#REF!</v>
      </c>
      <c r="D36" s="28" t="e">
        <f aca="false">#REF!</f>
        <v>#REF!</v>
      </c>
      <c r="E36" s="28" t="e">
        <f aca="false">#REF!</f>
        <v>#REF!</v>
      </c>
      <c r="F36" s="28" t="e">
        <f aca="false">#REF!</f>
        <v>#REF!</v>
      </c>
    </row>
    <row r="37" customFormat="false" ht="12.8" hidden="false" customHeight="false" outlineLevel="0" collapsed="false">
      <c r="A37" s="14" t="e">
        <f aca="false">_xlfn.CONCAT($A$1, ".", #REF!)</f>
        <v>#REF!</v>
      </c>
      <c r="B37" s="32" t="e">
        <f aca="false">_xlfn.CONCAT(#REF!, ":", #REF!)</f>
        <v>#REF!</v>
      </c>
      <c r="C37" s="28" t="e">
        <f aca="false">#REF!</f>
        <v>#REF!</v>
      </c>
      <c r="D37" s="28" t="e">
        <f aca="false">#REF!</f>
        <v>#REF!</v>
      </c>
      <c r="E37" s="28" t="e">
        <f aca="false">#REF!</f>
        <v>#REF!</v>
      </c>
      <c r="F37" s="28"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4037</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2026-02-06T19:41:37Z</dcterms:modified>
  <cp:revision>530</cp:revision>
  <dc:subject/>
  <dc:title/>
</cp:coreProperties>
</file>

<file path=docProps/custom.xml><?xml version="1.0" encoding="utf-8"?>
<Properties xmlns="http://schemas.openxmlformats.org/officeDocument/2006/custom-properties" xmlns:vt="http://schemas.openxmlformats.org/officeDocument/2006/docPropsVTypes"/>
</file>