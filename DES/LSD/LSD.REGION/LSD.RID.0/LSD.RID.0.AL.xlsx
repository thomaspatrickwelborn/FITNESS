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29.xml" ContentType="application/vnd.openxmlformats-officedocument.drawingml.chart+xml"/>
  <Override PartName="/xl/charts/chart28.xml" ContentType="application/vnd.openxmlformats-officedocument.drawingml.chart+xml"/>
  <Override PartName="/xl/charts/chart27.xml" ContentType="application/vnd.openxmlformats-officedocument.drawingml.chart+xml"/>
  <Override PartName="/xl/charts/chart26.xml" ContentType="application/vnd.openxmlformats-officedocument.drawingml.chart+xml"/>
  <Override PartName="/xl/charts/chart30.xml" ContentType="application/vnd.openxmlformats-officedocument.drawingml.chart+xml"/>
  <Override PartName="/xl/charts/chart25.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31.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32.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19.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15.xml" ContentType="application/vnd.openxmlformats-officedocument.drawingml.chart+xml"/>
  <Override PartName="/xl/charts/chart4.xml" ContentType="application/vnd.openxmlformats-officedocument.drawingml.chart+xml"/>
  <Override PartName="/xl/charts/chart23.xml" ContentType="application/vnd.openxmlformats-officedocument.drawingml.chart+xml"/>
  <Override PartName="/xl/charts/chart3.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20.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8"/>
  </bookViews>
  <sheets>
    <sheet name="INDEX" sheetId="1" state="visible" r:id="rId3"/>
    <sheet name="INVOKE" sheetId="2" state="visible" r:id="rId4"/>
    <sheet name="FORM" sheetId="3" state="hidden" r:id="rId5"/>
    <sheet name="FORM_1" sheetId="4" state="visible" r:id="rId6"/>
    <sheet name="PARAM" sheetId="5" state="hidden" r:id="rId7"/>
    <sheet name="PARAM_1" sheetId="6" state="visible" r:id="rId8"/>
    <sheet name="CALC" sheetId="7" state="visible" r:id="rId9"/>
    <sheet name="VALID" sheetId="8" state="visible" r:id="rId10"/>
    <sheet name="LFP" sheetId="9" state="visible" r:id="rId11"/>
    <sheet name="ETPR" sheetId="10" state="visible" r:id="rId12"/>
    <sheet name="LFPR" sheetId="11" state="hidden" r:id="rId13"/>
    <sheet name="U3R" sheetId="12" state="hidden" r:id="rId14"/>
    <sheet name="U6R" sheetId="13" state="hidden" r:id="rId15"/>
    <sheet name="WAVG" sheetId="14" state="hidden" r:id="rId16"/>
    <sheet name="AIAVG" sheetId="15" state="hidden" r:id="rId17"/>
    <sheet name="FPITREV" sheetId="16" state="hidden" r:id="rId18"/>
    <sheet name="FPPTREV" sheetId="17" state="hidden" r:id="rId19"/>
    <sheet name="EITCREF" sheetId="18" state="hidden" r:id="rId20"/>
    <sheet name="ACTCREF" sheetId="19" state="hidden" r:id="rId21"/>
    <sheet name="AOTCREF" sheetId="20" state="hidden" r:id="rId22"/>
    <sheet name="EP" sheetId="21" state="hidden" r:id="rId23"/>
    <sheet name="AWHW" sheetId="22" state="hidden" r:id="rId24"/>
    <sheet name="FTER" sheetId="23" state="hidden" r:id="rId25"/>
    <sheet name="PTER" sheetId="24" state="hidden" r:id="rId26"/>
    <sheet name="JTA" sheetId="25" state="hidden" r:id="rId27"/>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<sst xmlns="http://schemas.openxmlformats.org/spreadsheetml/2006/main" count="4281" uniqueCount="2333">
  <si>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</si>
  <si>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</si>
  <si>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</si>
  <si>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</si>
  <si>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</si>
  <si>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</si>
  <si>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</si>
  <si>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</si>
  <si>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</si>
  <si>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</si>
  <si>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</si>
  <si>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</si>
  <si>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</si>
  <si>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</si>
  <si>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</si>
  <si>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</si>
  <si>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</si>
  <si>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</si>
  <si>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</si>
  <si>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</si>
  <si>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</si>
  <si>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</si>
  <si>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</si>
  <si>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</si>
  <si>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</si>
  <si>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</si>
  <si>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</si>
  <si>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</si>
  <si>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</si>
  <si>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</si>
  <si>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</si>
  <si>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</si>
  <si>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</si>
  <si>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</si>
  <si>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</si>
  <si>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</si>
  <si>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</si>
  <si>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</si>
  <si>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</si>
  <si>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</si>
  <si>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</si>
  <si>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</si>
  <si>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</si>
  <si>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</si>
  <si>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</si>
  <si>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</si>
  <si>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</si>
  <si>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</si>
  <si>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</si>
  <si>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</si>
  <si>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</si>
  <si>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</si>
  <si>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</si>
  <si>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</si>
  <si>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</si>
  <si>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</si>
  <si>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</si>
  <si>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</si>
  <si>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</si>
  <si>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</si>
  <si>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</si>
  <si>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</si>
  <si>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</si>
  <si>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</si>
  <si>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</si>
  <si>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</si>
  <si>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</si>
  <si>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</si>
  <si>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</si>
  <si>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</si>
  <si>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</si>
  <si>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</si>
  <si>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</si>
  <si>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</si>
  <si>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</si>
  <si>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</si>
  <si>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</si>
  <si>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</si>
  <si>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</si>
  <si>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</si>
  <si>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</si>
  <si>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</si>
  <si>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</si>
  <si>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</si>
  <si>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</si>
  <si>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</si>
  <si>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</si>
  <si>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</si>
  <si>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</si>
  <si>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</si>
  <si>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</si>
  <si>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</si>
  <si>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</si>
  <si>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</si>
  <si>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</si>
  <si>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</si>
  <si>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</si>
  <si>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</si>
  <si>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</si>
  <si>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</si>
  <si>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</si>
  <si>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</si>
  <si>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</si>
  <si>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</si>
  <si>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</si>
  <si>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</si>
  <si>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</si>
  <si>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</si>
  <si>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</si>
  <si>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</si>
  <si>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</si>
  <si>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</si>
  <si>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</si>
  <si>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</si>
  <si>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</si>
  <si>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LSD.REF.AL.INVOKE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</si>
  <si>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</si>
  <si>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</si>
  <si>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</si>
  <si>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</si>
  <si>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</si>
  <si>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</si>
  <si>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</si>
  <si>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</si>
  <si>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thomas.tom.welborn@gmail.com</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</si>
  <si>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</si>
  <si>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</si>
  <si>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</si>
  <si>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thomas.welborn@protonmail.com</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</si>
  <si>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</si>
  <si>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</si>
  <si>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</si>
  <si>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</si>
  <si>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</si>
  <si>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</si>
  <si>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</si>
  <si>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</si>
  <si>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</si>
  <si>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thomas.patrick.welborn@outlook.com</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</si>
  <si>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</si>
  <si>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</si>
  <si>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</si>
  <si>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</si>
  <si>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</si>
  <si>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</si>
  <si>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</si>
  <si>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</si>
  <si>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</si>
  <si>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</si>
  <si>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</si>
  <si>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</si>
  <si>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</si>
  <si>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</si>
  <si>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</si>
  <si>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</si>
  <si>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</si>
  <si>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</si>
  <si>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</si>
  <si>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</si>
  <si>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</si>
  <si>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</si>
  <si>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</si>
  <si>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</si>
  <si>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</si>
  <si>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</si>
  <si>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</si>
  <si>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Shared Formulae</t>
  </si>
  <si>
    <t xml:space="preserve">FID Group</t>
  </si>
  <si>
    <t xml:space="preserve">FID</t>
  </si>
  <si>
    <t xml:space="preserve">Formula Name</t>
  </si>
  <si>
    <t xml:space="preserve">Formula (using PARAMETERS)</t>
  </si>
  <si>
    <t xml:space="preserve">Logic / Key Inputs</t>
  </si>
  <si>
    <t xml:space="preserve">Notes / Machine Instruction</t>
  </si>
  <si>
    <t xml:space="preserve">S0 - Shared/Base</t>
  </si>
  <si>
    <t xml:space="preserve">S0</t>
  </si>
  <si>
    <t xml:space="preserve">Shared - Base Lookups and Prorations</t>
  </si>
  <si>
    <t xml:space="preserve">(empty)</t>
  </si>
  <si>
    <t xml:space="preserve">S0.0</t>
  </si>
  <si>
    <t xml:space="preserve">Industry Employment Total</t>
  </si>
  <si>
    <t xml:space="preserve">T_i = PARAMETERS!TOTAL_NONFARM_AL * PARAMETERS!INDUSTRY_SHARE[i] + PARAMETERS!ADJUSTMENT_FACTOR_IND[i]</t>
  </si>
  <si>
    <t xml:space="preserve">BLS CES base + adjustment for ag/self-employed, Ensure sum(T_i) ≈ PARAMETERS!BLS_EP_TOTAL_TARGET; use VLOOKUP; edited to include new PARAM for mining/logging share</t>
  </si>
  <si>
    <t xml:space="preserve">Used for base proration across all metrics like LFP, EP, WAVG</t>
  </si>
  <si>
    <t xml:space="preserve">S0.1</t>
  </si>
  <si>
    <t xml:space="preserve">Role Proration (Worker/Support)</t>
  </si>
  <si>
    <t xml:space="preserve">ROLE_WORKER_i = T_i * PARAMETERS!ROLE_PRORATE_WORKER_IND[i]; ROLE_SUPPORT_i = T_i - ROLE_WORKER_i</t>
  </si>
  <si>
    <t xml:space="preserve">Split employment into Worker/Support, Defaults 75/25 if missing; edited to use industry-specific prorates from ACS for construction and finance to address low validation</t>
  </si>
  <si>
    <t xml:space="preserve">Applied to role levels in all industry-based calculations</t>
  </si>
  <si>
    <t xml:space="preserve">S0.2</t>
  </si>
  <si>
    <t xml:space="preserve">Population Share Proration (Auth/Unauth/American)</t>
  </si>
  <si>
    <t xml:space="preserve">AUTH_SHARE_i = PARAMETERS!AUTH_IMMIGRANT_SHARE_IND[i]; UNAUTH_SHARE_i = PARAMETERS!UNAUTH_IMMIGRANT_SHARE_IND[i]; AMER_SHARE_i = 1 - AUTH_SHARE_i - UNAUTH_SHARE_i</t>
  </si>
  <si>
    <t xml:space="preserve">Prorate by immigrant shares from MPI/ACS, Apply global cap: if SUM(UNAUTH_SHARE_i * T_i) &gt; P078 * TOTAL_NONFARM_AL then prorate UNAUTH_SHARE_i down proportionally (FID 300.21); edited cap to use updated P078 for better MPI alignment</t>
  </si>
  <si>
    <t xml:space="preserve">Used for group breakdowns (Authorized, Unauthorized, American) in all metrics</t>
  </si>
  <si>
    <t xml:space="preserve">S0.3</t>
  </si>
  <si>
    <t xml:space="preserve">Data Fusion for Multi-Source Blending</t>
  </si>
  <si>
    <t xml:space="preserve">value_i = (PARAMETERS!BLS_VALUE_IND[i] * PARAMETERS!ACCURACY_BLS + PARAMETERS!ACS_VALUE_IND[i] * PARAMETERS!ACCURACY_ACS + PARAMETERS!MPI_VALUE_IND[i] * PARAMETERS!ACCURACY_MPI) / (PARAMETERS!ACCURACY_BLS + PARAMETERS!ACCURACY_ACS + PARAMETERS!ACCURACY_MPI)</t>
  </si>
  <si>
    <t xml:space="preserve">Weighted avg of sources by accuracy ratings</t>
  </si>
  <si>
    <t xml:space="preserve">Blends data from BLS, ACS, MPI for accuracy in shared values</t>
  </si>
  <si>
    <t xml:space="preserve">S0.4</t>
  </si>
  <si>
    <t xml:space="preserve">Asymmetric Share Adjustment</t>
  </si>
  <si>
    <t xml:space="preserve">GROUP_SHARE_i = BASE_SHARE_i * (1 + PARAMETERS!ASYMMETRY_FACTOR_GROUP)</t>
  </si>
  <si>
    <t xml:space="preserve">Adjustment for asymmetry in group shares</t>
  </si>
  <si>
    <t xml:space="preserve">Additional; used to introduce realistic variations between groups across metrics</t>
  </si>
  <si>
    <t xml:space="preserve">S0.5</t>
  </si>
  <si>
    <t xml:space="preserve">Calibration Target Update</t>
  </si>
  <si>
    <t xml:space="preserve">METRIC_i = RAW_METRIC_i * (PARAMETERS!PUBLIC_TARGET / AGGREGATE_RAW)</t>
  </si>
  <si>
    <t xml:space="preserve">Scaling to align with public aggregates</t>
  </si>
  <si>
    <t xml:space="preserve">Additional; applied post-calc for statewide consistency across all metrics</t>
  </si>
  <si>
    <t xml:space="preserve">ETPR Group</t>
  </si>
  <si>
    <t xml:space="preserve">S1</t>
  </si>
  <si>
    <t xml:space="preserve">Shared - Rate Calculations</t>
  </si>
  <si>
    <t xml:space="preserve">ETPR_total_i = PARAMETERS!ETPR_IND[i]; ETPR_auth_i = ETPR_total_i * (1 + PARAMETERS!IMMIGRANT_ETPR_ADJ); ETPR_unauth_i = ETPR_total_i * (1 + PARAMETERS!UNAUTH_ETPR_ADJ); ETPR_amer_i = weighted residual</t>
  </si>
  <si>
    <t xml:space="preserve">Industry ETPR from BLS + immigrant adj</t>
  </si>
  <si>
    <t xml:space="preserve">Weighted avg must ≈ state ETPR ~56.1%</t>
  </si>
  <si>
    <t xml:space="preserve">S4 - Derived</t>
  </si>
  <si>
    <t xml:space="preserve">S4</t>
  </si>
  <si>
    <t xml:space="preserve">Shared - Other Metrics</t>
  </si>
  <si>
    <t xml:space="preserve">AWHW_total_i = PARAMETERS!AWHW_IND[i]; AWHW_auth_i = AWHW_total_i * PARAMETERS!IMMIGRANT_AWHW_FACTOR; AWHW_unauth_i = AWHW_total_i * PARAMETERS!UNAUTH_AWHW_FACTOR; AWHW_amer_i = (AWHW_total_i * EP_total_i - AWHW_auth_i * EP_auth_i - AWHW_unauth_i * EP_unauth_i) / EP_amer_i</t>
  </si>
  <si>
    <t xml:space="preserve">BLS industry avg hours; immigrants often higher (+5%)</t>
  </si>
  <si>
    <t xml:space="preserve">95% accuracy; adjusted factors down</t>
  </si>
  <si>
    <t xml:space="preserve">S4.0</t>
  </si>
  <si>
    <t xml:space="preserve">Average Weekly Hours Worked by Group</t>
  </si>
  <si>
    <t xml:space="preserve">AWHW_amer_i = PARAMETERS!AWHW_IND_AMER[i]; AWHW_auth_i = AWHW_amer_i * PARAMETERS!IMMIGRANT_AWHW_FACTOR_IND[i]; AWHW_unauth_i = AWHW_amer_i * PARAMETERS!UNAUTH_AWHW_FACTOR_IND[i]; AWHW_total_i = (AWHW_auth_i * EP_auth_i + AWHW_unauth_i * EP_unauth_i + AWHW_amer_i * EP_amer_i) / EP_total_i</t>
  </si>
  <si>
    <t xml:space="preserve">BLS industry avg hours; immigrants often higher (+5%) industry-varied</t>
  </si>
  <si>
    <t xml:space="preserve">95% accuracy; blend sources; edited to AWHW_i = PARAMETERS!BASE_AWHW_IND[i] * (1 + PARAMETERS!SEASONAL_HOURS_FACTOR[i])</t>
  </si>
  <si>
    <t xml:space="preserve">S4.1</t>
  </si>
  <si>
    <t xml:space="preserve">Full-Time Employment Rate by Group</t>
  </si>
  <si>
    <t xml:space="preserve">FTER_amer_i = PARAMETERS!FTER_IND_AMER[i]; FTER_auth_i = FTER_amer_i * PARAMETERS!IMMIGRANT_FTER_FACTOR_IND[i]; FTER_unauth_i = FTER_amer_i * PARAMETERS!UNAUTH_FTER_FACTOR_IND[i]; FTER_total_i = (FTER_auth_i * EP_auth_i + FTER_unauth_i * EP_unauth_i + FTER_amer_i * EP_amer_i) / EP_total_i</t>
  </si>
  <si>
    <t xml:space="preserve">&gt;35 hours/week from CPS; unauth higher FT in some sectors</t>
  </si>
  <si>
    <t xml:space="preserve">90% accuracy; edited with latest CPS microdata shares; seasonal adjustment for hospitality</t>
  </si>
  <si>
    <t xml:space="preserve">S4.2</t>
  </si>
  <si>
    <t xml:space="preserve">Part-Time Employment Rate by Group</t>
  </si>
  <si>
    <t xml:space="preserve">PTER_total_i = 1 - FTER_total_i; PTER_auth_i = 1 - FTER_auth_i; PTER_unauth_i = 1 - FTER_unauth_i; PTER_amer_i = 1 - FTER_amer_i</t>
  </si>
  <si>
    <t xml:space="preserve">Complement of FTER</t>
  </si>
  <si>
    <t xml:space="preserve">100% derived</t>
  </si>
  <si>
    <t xml:space="preserve">300 - Aggregate</t>
  </si>
  <si>
    <t xml:space="preserve">Aggregate / Summary / Weighted Average Formulae</t>
  </si>
  <si>
    <t xml:space="preserve">LFP_state_total = SUM(CALC!LFP_total_i for all) * PARAMETERS!CALIBRATION_SCALE_LFP</t>
  </si>
  <si>
    <t xml:space="preserve">Direct sum scaled to BLS target</t>
  </si>
  <si>
    <t xml:space="preserve">Should = P120; if scale &gt;1.05 or &lt;0.95, flag for review</t>
  </si>
  <si>
    <t xml:space="preserve">Total Labor Force Population – Statewide</t>
  </si>
  <si>
    <t xml:space="preserve">LFP_state_total = SUM(CALC!LFP_total_i) * PARAMETERS!CALIBRATION_SCALE_LFP</t>
  </si>
  <si>
    <t xml:space="preserve">Sum scaled to BLS</t>
  </si>
  <si>
    <t xml:space="preserve">Total Authorized Labor Force Population – Statewide</t>
  </si>
  <si>
    <t xml:space="preserve">LFP_state_auth = SUM(CALC!LFP_auth_i)</t>
  </si>
  <si>
    <t xml:space="preserve">Sum authorized</t>
  </si>
  <si>
    <t xml:space="preserve">Target ~120k</t>
  </si>
  <si>
    <t xml:space="preserve">Total Unauthorized Labor Force Population – Statewide</t>
  </si>
  <si>
    <t xml:space="preserve">LFP_state_unauth = SUM(CALC!LFP_unauth_i) * (PARAMETERS!UNAUTH_REAL_LF_EST / raw_unauth_sum)</t>
  </si>
  <si>
    <t xml:space="preserve">Scaled to MPI</t>
  </si>
  <si>
    <t xml:space="preserve">Target 55k</t>
  </si>
  <si>
    <t xml:space="preserve">Total American Labor Force Population – Statewide</t>
  </si>
  <si>
    <t xml:space="preserve">LFP_state_amer = SUM(CALC!LFP_amer_i)</t>
  </si>
  <si>
    <t xml:space="preserve">Sum American</t>
  </si>
  <si>
    <t xml:space="preserve">Residual</t>
  </si>
  <si>
    <t xml:space="preserve">Weighted Average Unemployment Rate (U3R) – Statewide</t>
  </si>
  <si>
    <t xml:space="preserve">U3R_state_weighted = SUM(CALC!U3R_total_i * CALC!LFP_total_i) / SUM(CALC!LFP_total_i) * PARAMETERS!CALIBRATION_SCALE_U3R</t>
  </si>
  <si>
    <t xml:space="preserve">Weighted &amp; scaled</t>
  </si>
  <si>
    <t xml:space="preserve">Total Employed Population – Statewide</t>
  </si>
  <si>
    <t xml:space="preserve">EP_state_total = SUM(CALC!EP_total_i) * PARAMETERS!CALIBRATION_SCALE_EP</t>
  </si>
  <si>
    <t xml:space="preserve">Scaled to BLS</t>
  </si>
  <si>
    <t xml:space="preserve">Unauthorized Labor Force Scaling Factor (Calibration)</t>
  </si>
  <si>
    <t xml:space="preserve">unauth_scale = PARAMETERS!UNAUTH_REAL_LF_EST / LFP_state_unauth</t>
  </si>
  <si>
    <t xml:space="preserve">Ratio to real est.</t>
  </si>
  <si>
    <t xml:space="preserve">Apply if outside range</t>
  </si>
  <si>
    <t xml:space="preserve">Apply Unauthorized Scaling</t>
  </si>
  <si>
    <t xml:space="preserve">LFP_unauth_i = raw_LFP_unauth_i * unauth_sensitivity_factor; apply to all unauth columns</t>
  </si>
  <si>
    <t xml:space="preserve">Post-proration scaling</t>
  </si>
  <si>
    <t xml:space="preserve">FID 400.7 logic</t>
  </si>
  <si>
    <t xml:space="preserve">Global Share Cap for Unauthorized</t>
  </si>
  <si>
    <t xml:space="preserve">If SUM(UNAUTH_SHARE_i * T_i) &gt; P078 * TOTAL_NONFARM_AL then prorate all UNAUTH_SHARE_i down proportionally</t>
  </si>
  <si>
    <t xml:space="preserve">Prevents over-allocation</t>
  </si>
  <si>
    <t xml:space="preserve">Applied in S0.2; edited to use updated P078 for better MPI match</t>
  </si>
  <si>
    <t xml:space="preserve">500 - Calibration</t>
  </si>
  <si>
    <t xml:space="preserve">Employment Calibration</t>
  </si>
  <si>
    <t xml:space="preserve">EP_i = EP_i * (PARAMETERS!BLS_EP_TOTAL_TARGET / sum(raw_EP_i))</t>
  </si>
  <si>
    <t xml:space="preserve">Post-calc adjustment to match public CES totals</t>
  </si>
  <si>
    <t xml:space="preserve">Apply after S0.5 for low-rated sectors like construction, manufacturing; new addition for calibration</t>
  </si>
  <si>
    <t xml:space="preserve">Wage Calibration</t>
  </si>
  <si>
    <t xml:space="preserve">WAVG_i = WAVG_i * (PARAMETERS!BLS_WAGE_IND[i] / raw_WAVG_i)</t>
  </si>
  <si>
    <t xml:space="preserve">Adjust to match BLS OEWS/CES wages</t>
  </si>
  <si>
    <t xml:space="preserve">Apply after FID 100.0 using new wage PARAM; new addition to address wage discrepancies in construction etc.</t>
  </si>
  <si>
    <t xml:space="preserve">Underemployment Adjustment</t>
  </si>
  <si>
    <t xml:space="preserve">U6R_i = U3R_i * PARAMETERS!U6_U3_RATIO_IND[i]</t>
  </si>
  <si>
    <t xml:space="preserve">Scale U3 to U6 using historical ratio</t>
  </si>
  <si>
    <t xml:space="preserve">Use quarterly BLS alternative measures ratio; new addition to better estimate state U6</t>
  </si>
  <si>
    <t xml:space="preserve">Public Assistance Adjustment</t>
  </si>
  <si>
    <t xml:space="preserve">PAUR_i = PAUR_i * PARAMETERS!PAUR_ADJ_FACTOR</t>
  </si>
  <si>
    <t xml:space="preserve">Adjust usage rate based on eligibility and income</t>
  </si>
  <si>
    <t xml:space="preserve">Apply post FID 300 with updated eligibility PARAM from Urban Institute; edited to use increased PAUR_ADJ_FACTOR (P047) for SNAP match ~14.5%</t>
  </si>
  <si>
    <t xml:space="preserve">LFPR Group</t>
  </si>
  <si>
    <t xml:space="preserve">S7</t>
  </si>
  <si>
    <t xml:space="preserve">Shared - Labor Force Participation Rate (New Addition)</t>
  </si>
  <si>
    <t xml:space="preserve">LFPR_total_i = LFP_total_i / PARAMETERS!AL_POPULATION_2026 * PARAMETERS!LFPR_ADJ_FACTOR; LFPR_auth_i = LFPR_total_i * (1 + PARAMETERS!IMMIGRANT_LFPR_ADJ); LFPR_unauth_i = LFPR_total_i * (1 + PARAMETERS!UNAUTH_LFPR_ADJ); LFPR_amer_i = weighted residual</t>
  </si>
  <si>
    <t xml:space="preserve">Derived from LFP and population with immigrant adjustments</t>
  </si>
  <si>
    <t xml:space="preserve">New addition for explicit LFPR calculation; weighted avg must ≈ state LFPR ~59.4%; use BLS LAUS for calibration</t>
  </si>
  <si>
    <t xml:space="preserve">U3R Group</t>
  </si>
  <si>
    <t xml:space="preserve">S6</t>
  </si>
  <si>
    <t xml:space="preserve">Shared - Unemployment Rate (New Addition)</t>
  </si>
  <si>
    <t xml:space="preserve">U3R_total_i = PARAMETERS!U3R_IND[i]; U3R_auth_i = U3R_total_i * (1 + PARAMETERS!IMMIGRANT_U3R_ADJ); U3R_unauth_i = U3R_total_i * (1 + PARAMETERS!UNAUTH_U3R_ADJ); U3R_amer_i = weighted residual</t>
  </si>
  <si>
    <t xml:space="preserve">Industry U3R from BLS + immigrant adj (unauth higher in volatile sectors)</t>
  </si>
  <si>
    <t xml:space="preserve">New addition for explicit U3R; weighted avg ≈ state U3R ~2.7%; edited to include UNAUTH_U3R_ADJ (P085) for better ACS alignment</t>
  </si>
  <si>
    <t xml:space="preserve">U6R Group</t>
  </si>
  <si>
    <t xml:space="preserve">S6.1</t>
  </si>
  <si>
    <t xml:space="preserve">Shared - Underemployment Rate (New Addition)</t>
  </si>
  <si>
    <t xml:space="preserve">U6R_total_i = U3R_total_i * PARAMETERS!U6_U3_RATIO_IND[i]; U6R_auth_i = U6R_total_i * (1 + PARAMETERS!IMMIGRANT_U6R_ADJ); U6R_unauth_i = U6R_total_i * (1 + PARAMETERS!UNAUTH_U6R_ADJ); U6R_amer_i = weighted residual</t>
  </si>
  <si>
    <t xml:space="preserve">Scale U3R to U6R with immigrant adjustments</t>
  </si>
  <si>
    <t xml:space="preserve">New addition for explicit U6R; use BLS alternative measures; edited ratio to 2.5 per Q4 2025 data</t>
  </si>
  <si>
    <t xml:space="preserve">LFP Formulae</t>
  </si>
  <si>
    <t xml:space="preserve">LFP - Labor Force Population</t>
  </si>
  <si>
    <t xml:space="preserve">LFP.0</t>
  </si>
  <si>
    <t xml:space="preserve">Labor Force Population Total</t>
  </si>
  <si>
    <t xml:space="preserve">LFP_total_i = (S0.5_EP_total_i / (1 - S6_U3R_total_i)) * PARAMETERS!LFP_CALIBRATION_FACTOR_IND[i]</t>
  </si>
  <si>
    <t xml:space="preserve">Derived from employed population and unemployment rate, adjusted for industry-specific factors</t>
  </si>
  <si>
    <t xml:space="preserve">Uses shared S0.5 for EP and S6 for U3R; apply post-calibration (FID 500); new addition for explicit LFP calc; ensure statewide sum ≈ PARAMETERS!BLS_LFP_TOTAL_TARGET (~2,384k); edited to include LFP_CALIBRATION_FACTOR_IND for better ACS alignment in ag/constr</t>
  </si>
  <si>
    <t xml:space="preserve">LFP.1</t>
  </si>
  <si>
    <t xml:space="preserve">Authorized Immigrant Labor Force Population</t>
  </si>
  <si>
    <t xml:space="preserve">LFP_auth_i = (S0.5_EP_auth_i / (1 - S6_U3R_auth_i)) * PARAMETERS!AUTH_IMMIGRANT_LFP_ADJ_FACTOR</t>
  </si>
  <si>
    <t xml:space="preserve">Per-group derivation with authorized adjustment</t>
  </si>
  <si>
    <t xml:space="preserve">Target statewide auth LFP ~120k; new addition; adjustment factor from MPI/ACS for higher participation in select industries</t>
  </si>
  <si>
    <t xml:space="preserve">LFP.2</t>
  </si>
  <si>
    <t xml:space="preserve">Unauthorized Immigrant Labor Force Population</t>
  </si>
  <si>
    <t xml:space="preserve">LFP_unauth_i = (S0.5_EP_unauth_i / (1 - S6_U3R_unauth_i)) * PARAMETERS!UNAUTH_IMMIGRANT_LFP_ADJ_FACTOR * S0.2_unauth_scale</t>
  </si>
  <si>
    <t xml:space="preserve">Per-group derivation with unauthorized scaling and adjustment</t>
  </si>
  <si>
    <t xml:space="preserve">Apply shared global cap (FID 300.21); target ~50k statewide; new addition; higher adj in volatile sectors like agriculture (P102=1.15)</t>
  </si>
  <si>
    <t xml:space="preserve">LFP.3</t>
  </si>
  <si>
    <t xml:space="preserve">American Labor Force Population</t>
  </si>
  <si>
    <t xml:space="preserve">LFP_amer_i = LFP_total_i - LFP_auth_i - LFP_unauth_i</t>
  </si>
  <si>
    <t xml:space="preserve">Residual calculation after immigrant prorations</t>
  </si>
  <si>
    <t xml:space="preserve">100% derived; ensures consistency with total; new addition for explicit residual</t>
  </si>
  <si>
    <t xml:space="preserve">LFP.4</t>
  </si>
  <si>
    <t xml:space="preserve">Industry LFP Proration</t>
  </si>
  <si>
    <t xml:space="preserve">LFP_i = S0.0_T_i * PARAMETERS!LFP_PRORATE_FACTOR_IND[i]</t>
  </si>
  <si>
    <t xml:space="preserve">Initial proration from total employment before rate adjustments</t>
  </si>
  <si>
    <t xml:space="preserve">Apply before LFP.0; uses shared industry totals; new addition to handle self-employed uplift in agriculture (e.g., +10% adj)</t>
  </si>
  <si>
    <t xml:space="preserve">ETPR Formulae</t>
  </si>
  <si>
    <t xml:space="preserve">ETPR - Employment-to-Population Ratio</t>
  </si>
  <si>
    <t xml:space="preserve">ETPR.0</t>
  </si>
  <si>
    <t xml:space="preserve">Employment-to-Population Ratio Total</t>
  </si>
  <si>
    <t xml:space="preserve">ETPR_total_i = S0.5_EP_total_i / PARAMETERS!AL_POPULATION_2026 * PARAMETERS!ETPR_CALIBRATION_FACTOR_IND[i]</t>
  </si>
  <si>
    <t xml:space="preserve">Derived from employed population and total state population, adjusted for industry-specific factors</t>
  </si>
  <si>
    <t xml:space="preserve">Uses shared S0.5 for EP and P059 for population; apply post-calibration (FID 500); new addition for explicit ETPR calc; ensure statewide weighted avg ≈ PARAMETERS!BLS_ETPR_TARGET (~0.561 or 56.1%); edited to include ETPR_CALIBRATION_FACTOR_IND for better CPS alignment in leisure/hospitality</t>
  </si>
  <si>
    <t xml:space="preserve">ETPR.1</t>
  </si>
  <si>
    <t xml:space="preserve">Authorized Immigrant Employment-to-Population Ratio</t>
  </si>
  <si>
    <t xml:space="preserve">ETPR_auth_i = S0.5_EP_auth_i / (PARAMETERS!AL_POPULATION_2026 * PARAMETERS!AUTH_IMMIGRANT_POP_SHARE) * PARAMETERS!AUTH_IMMIGRANT_ETPR_ADJ_FACTOR</t>
  </si>
  <si>
    <t xml:space="preserve">New addition; population share from MPI/ACS; adjustment factor slightly higher for authorized immigrants in stable sectors</t>
  </si>
  <si>
    <t xml:space="preserve">ETPR.2</t>
  </si>
  <si>
    <t xml:space="preserve">Unauthorized Immigrant Employment-to-Population Ratio</t>
  </si>
  <si>
    <t xml:space="preserve">ETPR_unauth_i = S0.5_EP_unauth_i / (PARAMETERS!AL_POPULATION_2026 * PARAMETERS!UNAUTH_IMMIGRANT_POP_SHARE) * PARAMETERS!UNAUTH_IMMIGRANT_ETPR_ADJ_FACTOR</t>
  </si>
  <si>
    <t xml:space="preserve">Per-group derivation with unauthorized adjustment</t>
  </si>
  <si>
    <t xml:space="preserve">New addition; lower adj in some sectors due to barriers; apply shared global cap (FID 300.21)</t>
  </si>
  <si>
    <t xml:space="preserve">ETPR.3</t>
  </si>
  <si>
    <t xml:space="preserve">American Employment-to-Population Ratio</t>
  </si>
  <si>
    <t xml:space="preserve">ETPR_amer_i = S0.5_EP_amer_i / (PARAMETERS!AL_POPULATION_2026 * (1 - PARAMETERS!AUTH_IMMIGRANT_POP_SHARE - PARAMETERS!UNAUTH_IMMIGRANT_POP_SHARE))</t>
  </si>
  <si>
    <t xml:space="preserve">ETPR.4</t>
  </si>
  <si>
    <t xml:space="preserve">Industry ETPR Proration</t>
  </si>
  <si>
    <t xml:space="preserve">ETPR_i = (S0.0_T_i / PARAMETERS!AL_POPULATION_2026) * PARAMETERS!ETPR_PRORATE_FACTOR_IND[i]</t>
  </si>
  <si>
    <t xml:space="preserve">Initial proration from total employment before adjustments</t>
  </si>
  <si>
    <t xml:space="preserve">Apply before ETPR.0; uses shared industry totals; new addition to handle demographic shifts in education/health (e.g., +5% adj)</t>
  </si>
  <si>
    <t xml:space="preserve">LFPR Formulae</t>
  </si>
  <si>
    <t xml:space="preserve">LFPR - Labor Force Participation Rate</t>
  </si>
  <si>
    <t xml:space="preserve">LFPR.0</t>
  </si>
  <si>
    <t xml:space="preserve">Labor Force Participation Rate Total</t>
  </si>
  <si>
    <t xml:space="preserve">LFPR_total_i = LFP_total_i / (PARAMETERS!AL_POPULATION_2026 * PARAMETERS!LFPR_POP_SHARE_IND[i])</t>
  </si>
  <si>
    <t xml:space="preserve">Derived from LFP (from shared/LFP tab) divided by industry-demographic population share, with calibration</t>
  </si>
  <si>
    <t xml:space="preserve">Uses shared LFP.0 and P059 population; apply post-LFP calibration; new addition for explicit LFPR; ensure statewide weighted avg ≈ PARAMETERS!BLS_LFPR_TARGET (0.577 or 57.7% per BLS LAUS Dec 2025); edited to include LFPR_POP_SHARE_IND for sector-specific working-age/pop shares</t>
  </si>
  <si>
    <t xml:space="preserve">LFPR.1</t>
  </si>
  <si>
    <t xml:space="preserve">Authorized Immigrant Labor Force Participation Rate</t>
  </si>
  <si>
    <t xml:space="preserve">LFPR_auth_i = LFP_auth_i / (PARAMETERS!AL_POPULATION_2026 * PARAMETERS!AUTH_IMMIGRANT_POP_SHARE) * PARAMETERS!AUTH_IMMIGRANT_LFPR_ADJ_FACTOR</t>
  </si>
  <si>
    <t xml:space="preserve">New addition; uses shared LFP.1 and pop share; adjustment slightly higher for authorized immigrants in professional sectors</t>
  </si>
  <si>
    <t xml:space="preserve">LFPR.2</t>
  </si>
  <si>
    <t xml:space="preserve">Unauthorized Immigrant Labor Force Participation Rate</t>
  </si>
  <si>
    <t xml:space="preserve">LFPR_unauth_i = LFP_unauth_i / (PARAMETERS!AL_POPULATION_2026 * PARAMETERS!UNAUTH_IMMIGRANT_POP_SHARE) * PARAMETERS!UNAUTH_IMMIGRANT_LFPR_ADJ_FACTOR</t>
  </si>
  <si>
    <t xml:space="preserve">New addition; higher adj in labor-intensive sectors like construction/ag; apply shared global cap (FID 300.21)</t>
  </si>
  <si>
    <t xml:space="preserve">LFPR.3</t>
  </si>
  <si>
    <t xml:space="preserve">American Labor Force Participation Rate</t>
  </si>
  <si>
    <t xml:space="preserve">LFPR_amer_i = LFP_amer_i / (PARAMETERS!AL_POPULATION_2026 * (1 - PARAMETERS!AUTH_IMMIGRANT_POP_SHARE - PARAMETERS!UNAUTH_IMMIGRANT_POP_SHARE))</t>
  </si>
  <si>
    <t xml:space="preserve">LFPR.4</t>
  </si>
  <si>
    <t xml:space="preserve">Industry LFPR Calibration Adjustment</t>
  </si>
  <si>
    <t xml:space="preserve">LFPR_i = LFPR_i * PARAMETERS!LFPR_CALIBRATION_FACTOR_IND[i]</t>
  </si>
  <si>
    <t xml:space="preserve">Final scaling to match BLS LAUS industry patterns</t>
  </si>
  <si>
    <t xml:space="preserve">Apply after LFPR.0; uses shared calibration logic; new addition to align volatile sectors (e.g., hospitality down adj for seasonal)</t>
  </si>
  <si>
    <t xml:space="preserve">U3R Formulae</t>
  </si>
  <si>
    <t xml:space="preserve">U3R - Unemployment Rate (U-3)</t>
  </si>
  <si>
    <t xml:space="preserve">U3R.0</t>
  </si>
  <si>
    <t xml:space="preserve">Unemployment Rate Total</t>
  </si>
  <si>
    <t xml:space="preserve">U3R_total_i = PARAMETERS!U3R_IND[i] * PARAMETERS!U3R_CALIBRATION_FACTOR_IND[i]</t>
  </si>
  <si>
    <t xml:space="preserve">Base industry U-3 rate from BLS LAUS/CES fusion, scaled to match statewide target</t>
  </si>
  <si>
    <t xml:space="preserve">Uses shared data fusion (S0.3) for base; apply post-LFP/ETPR; new addition for explicit U3R; ensure statewide weighted avg (by LFP) ≈ PARAMETERS!BLS_U3R_TARGET (0.027 or 2.7% per BLS LAUS Dec 2025 seasonally adjusted); edited with calibration factor for volatile sectors like agriculture/construction</t>
  </si>
  <si>
    <t xml:space="preserve">U3R.1</t>
  </si>
  <si>
    <t xml:space="preserve">Authorized Immigrant Unemployment Rate</t>
  </si>
  <si>
    <t xml:space="preserve">U3R_auth_i = U3R_total_i * (1 + PARAMETERS!AUTH_IMMIGRANT_U3R_ADJ_FACTOR)</t>
  </si>
  <si>
    <t xml:space="preserve">Adjustment for authorized immigrants</t>
  </si>
  <si>
    <t xml:space="preserve">Slightly lower than total avg due to stability in certain sectors; new addition for U3R.1; uses shared immigrant adj logic</t>
  </si>
  <si>
    <t xml:space="preserve">U3R.2</t>
  </si>
  <si>
    <t xml:space="preserve">Unauthorized Immigrant Unemployment Rate</t>
  </si>
  <si>
    <t xml:space="preserve">U3R_unauth_i = U3R_total_i * (1 + PARAMETERS!UNAUTH_IMMIGRANT_U3R_ADJ_FACTOR)</t>
  </si>
  <si>
    <t xml:space="preserve">Adjustment for unauthorized immigrants</t>
  </si>
  <si>
    <t xml:space="preserve">Higher in volatile/low-wage sectors (ag, constr, hospitality); new addition for U3R.2; apply shared global cap (FID 300.21) if needed</t>
  </si>
  <si>
    <t xml:space="preserve">U3R.3</t>
  </si>
  <si>
    <t xml:space="preserve">American Unemployment Rate</t>
  </si>
  <si>
    <t xml:space="preserve">U3R_amer_i = (U3R_total_i * LFP_total_i - U3R_auth_i * LFP_auth_i - U3R_unauth_i * LFP_unauth_i) / LFP_amer_i</t>
  </si>
  <si>
    <t xml:space="preserve">100% derived; ensures weighted consistency with total; new addition for explicit residual; uses shared LFP values</t>
  </si>
  <si>
    <t xml:space="preserve">U3R.4</t>
  </si>
  <si>
    <t xml:space="preserve">Industry U3R Weighted Calibration</t>
  </si>
  <si>
    <t xml:space="preserve">U3R_i = U3R_i * (PARAMETERS!BLS_U3R_TARGET / weighted_state_U3R_raw)</t>
  </si>
  <si>
    <t xml:space="preserve">Final statewide scaling to match BLS LAUS</t>
  </si>
  <si>
    <t xml:space="preserve">Apply after U3R.0; weighted by LFP_i; new addition to force alignment with public 2.7% figure; override if scale outside 0.95-1.05 range (flag review)</t>
  </si>
  <si>
    <t xml:space="preserve">U6R Formulae</t>
  </si>
  <si>
    <t xml:space="preserve">U6R - Underemployment Rate (U-6)</t>
  </si>
  <si>
    <t xml:space="preserve">U6R.0</t>
  </si>
  <si>
    <t xml:space="preserve">Underemployment Rate Total</t>
  </si>
  <si>
    <t xml:space="preserve">U6R_total_i = U3R_total_i * PARAMETERS!U6_U3_RATIO_IND[i] * PARAMETERS!U6R_CALIBRATION_FACTOR_IND[i]</t>
  </si>
  <si>
    <t xml:space="preserve">Scale U-3 rate to U-6 using industry-specific historical ratios, with final calibration</t>
  </si>
  <si>
    <t xml:space="preserve">Uses shared U3R.0 as base; apply after U3R calibration; new addition for explicit U6R; statewide weighted avg (by LFP) targets ~0.0675 (6.75%) per model aggregate, aligned with national patterns where U-6 ≈ 2.0–2.5 × U-3 (BLS alternative measures Q4 2025 / early 2026 est.); edited ratio per industry volatility (higher in ag/constr/hospitality)</t>
  </si>
  <si>
    <t xml:space="preserve">U6R.1</t>
  </si>
  <si>
    <t xml:space="preserve">Authorized Immigrant Underemployment Rate</t>
  </si>
  <si>
    <t xml:space="preserve">U6R_auth_i = U6R_total_i * (1 + PARAMETERS!AUTH_IMMIGRANT_U6R_ADJ_FACTOR)</t>
  </si>
  <si>
    <t xml:space="preserve">Moderate uplift due to some part-time/involuntary factors; new addition for U6R.1; slightly higher than U-3 adj</t>
  </si>
  <si>
    <t xml:space="preserve">U6R.2</t>
  </si>
  <si>
    <t xml:space="preserve">Unauthorized Immigrant Underemployment Rate</t>
  </si>
  <si>
    <t xml:space="preserve">U6R_unauth_i = U6R_total_i * (1 + PARAMETERS!UNAUTH_IMMIGRANT_U6R_ADJ_FACTOR)</t>
  </si>
  <si>
    <t xml:space="preserve">Higher due to greater exposure to part-time economic reasons, marginal attachment; new addition for U6R.2; reflects ~2.5–3× U-3 in volatile sectors per MPI/ACS patterns</t>
  </si>
  <si>
    <t xml:space="preserve">U6R.3</t>
  </si>
  <si>
    <t xml:space="preserve">American Underemployment Rate</t>
  </si>
  <si>
    <t xml:space="preserve">U6R_amer_i = (U6R_total_i * LFP_total_i - U6R_auth_i * LFP_auth_i - U6R_unauth_i * LFP_unauth_i) / LFP_amer_i</t>
  </si>
  <si>
    <t xml:space="preserve">U6R.4</t>
  </si>
  <si>
    <t xml:space="preserve">Industry U6R Ratio Calibration</t>
  </si>
  <si>
    <t xml:space="preserve">U6R_i = U6R_i * (PARAMETERS!U6R_STATE_TARGET / weighted_state_U6R_raw)</t>
  </si>
  <si>
    <t xml:space="preserve">Final statewide scaling to target aggregate</t>
  </si>
  <si>
    <t xml:space="preserve">Apply after U6R.0; weighted by LFP_i; new addition to align model with VALID V006 and historical BLS alt measures (e.g., U-6 ~6–8% range when U-3 ~2.7%); flag if scale outside 0.9–1.1</t>
  </si>
  <si>
    <t xml:space="preserve">WAVG Formulae</t>
  </si>
  <si>
    <t xml:space="preserve">WAVG - Wage Average (Hourly)</t>
  </si>
  <si>
    <t xml:space="preserve">WAVG.0</t>
  </si>
  <si>
    <t xml:space="preserve">Wage Average Total</t>
  </si>
  <si>
    <t xml:space="preserve">WAVG_total_i = PARAMETERS!BLS_WAGE_IND[i] * PARAMETERS!WAVG_CALIBRATION_FACTOR_IND[i]</t>
  </si>
  <si>
    <t xml:space="preserve">Base industry hourly wage from BLS OEWS/CES fusion, calibrated to statewide target</t>
  </si>
  <si>
    <t xml:space="preserve">Uses shared data fusion (S0.3) and BLS calibration (FID 500.1); new addition for explicit WAVG; statewide weighted avg (by EP_total_i) targets ~$31.96 per hour per BLS CES Dec 2025 (not seasonally adjusted, total private); edited with calibration factor to address discrepancies in construction, manufacturing, hospitality per VALID notes and recent data</t>
  </si>
  <si>
    <t xml:space="preserve">WAVG.1</t>
  </si>
  <si>
    <t xml:space="preserve">Authorized Immigrant Wage Average</t>
  </si>
  <si>
    <t xml:space="preserve">WAVG_auth_i = WAVG_total_i * (1 + PARAMETERS!AUTH_IMMIGRANT_WAVG_ADJ_FACTOR)</t>
  </si>
  <si>
    <t xml:space="preserve">Slight premium in skilled/stable sectors; new addition for WAVG.1; uses shared immigrant adj logic</t>
  </si>
  <si>
    <t xml:space="preserve">WAVG.2</t>
  </si>
  <si>
    <t xml:space="preserve">Unauthorized Immigrant Wage Average</t>
  </si>
  <si>
    <t xml:space="preserve">WAVG_unauth_i = WAVG_total_i * (1 + PARAMETERS!UNAUTH_IMMIGRANT_WAVG_ADJ_FACTOR)</t>
  </si>
  <si>
    <t xml:space="preserve">Discount in low-wage/volatile sectors (e.g., ag, constr, hospitality); new addition for WAVG.2; reflects ~10-20% lower per MPI/ACS patterns</t>
  </si>
  <si>
    <t xml:space="preserve">WAVG.3</t>
  </si>
  <si>
    <t xml:space="preserve">American Wage Average</t>
  </si>
  <si>
    <t xml:space="preserve">WAVG_amer_i = (WAVG_total_i * EP_total_i - WAVG_auth_i * EP_auth_i - WAVG_unauth_i * EP_unauth_i) / EP_amer_i</t>
  </si>
  <si>
    <t xml:space="preserve">100% derived; ensures weighted consistency with total; new addition for explicit residual; uses shared EP values from CALC</t>
  </si>
  <si>
    <t xml:space="preserve">WAVG.4</t>
  </si>
  <si>
    <t xml:space="preserve">Industry Wage Calibration Post-Adjustment</t>
  </si>
  <si>
    <t xml:space="preserve">WAVG_i = WAVG_i * (PARAMETERS!BLS_WAVG_STATE_TARGET / weighted_state_WAVG_raw)</t>
  </si>
  <si>
    <t xml:space="preserve">Final statewide scaling to match BLS CES/OEWS</t>
  </si>
  <si>
    <t xml:space="preserve">Apply after FID 500.1 (shared calibration); weighted by EP_i; new addition to force alignment with public ~$31.96 figure for Dec 2025; flag if scale outside 0.95-1.05 range</t>
  </si>
  <si>
    <t xml:space="preserve">AIAVG Formulae</t>
  </si>
  <si>
    <t xml:space="preserve">AIAVG - Annual Income Average</t>
  </si>
  <si>
    <t xml:space="preserve">AIAVG.0</t>
  </si>
  <si>
    <t xml:space="preserve">Annual Income Average Total</t>
  </si>
  <si>
    <t xml:space="preserve">AIAVG_total_i = WAVG_total_i * PARAMETERS!AWHW_IND[i] * 52 * PARAMETERS!AIAVG_CALIBRATION_FACTOR_IND[i]</t>
  </si>
  <si>
    <t xml:space="preserve">Derived from hourly wage (WAVG tab) multiplied by average weekly hours worked (AWHW shared) and annualized (52 weeks), with industry calibration</t>
  </si>
  <si>
    <t xml:space="preserve">Uses shared WAVG.0 and S4.0 (AWHW); apply after wage calibration (FID 500.1); new addition for explicit AIAVG; statewide weighted avg (by EP_total_i) targets ~$66,400–$66,900 per model aggregate and BLS-derived estimates (e.g., ~$31.96/hr × 35.6 hrs/wk × 52 ≈ $59,200 base private, uplifted for total incl. benefits/OT/self-emp); edited calibration factor to align with QCEW weekly wages annualized (~$1,138 wk × 52 ≈ $59,176) plus reasonable premium for full population coverage</t>
  </si>
  <si>
    <t xml:space="preserve">AIAVG.1</t>
  </si>
  <si>
    <t xml:space="preserve">Authorized Immigrant Annual Income Average</t>
  </si>
  <si>
    <t xml:space="preserve">AIAVG_auth_i = WAVG_auth_i * PARAMETERS!AWHW_auth_i * 52 * PARAMETERS!AUTH_IMMIGRANT_AIAVG_ADJ_FACTOR</t>
  </si>
  <si>
    <t xml:space="preserve">Slight uplift for higher hours/stability in some sectors; new addition for AIAVG.1; uses shared immigrant AWHW logic</t>
  </si>
  <si>
    <t xml:space="preserve">AIAVG.2</t>
  </si>
  <si>
    <t xml:space="preserve">Unauthorized Immigrant Annual Income Average</t>
  </si>
  <si>
    <t xml:space="preserve">AIAVG_unauth_i = WAVG_unauth_i * PARAMETERS!AWHW_unauth_i * 52 * PARAMETERS!UNAUTH_IMMIGRANT_AIAVG_ADJ_FACTOR</t>
  </si>
  <si>
    <t xml:space="preserve">Lower due to wage discount and potential fewer hours; new addition for AIAVG.2; reflects ~10-20% overall lower annual earnings per MPI/ACS patterns</t>
  </si>
  <si>
    <t xml:space="preserve">AIAVG.3</t>
  </si>
  <si>
    <t xml:space="preserve">American Annual Income Average</t>
  </si>
  <si>
    <t xml:space="preserve">AIAVG_amer_i = (AIAVG_total_i * EP_total_i - AIAVG_auth_i * EP_auth_i - AIAVG_unauth_i * EP_unauth_i) / EP_amer_i</t>
  </si>
  <si>
    <t xml:space="preserve">AIAVG.4</t>
  </si>
  <si>
    <t xml:space="preserve">Industry Annual Income Calibration Post-Adjustment</t>
  </si>
  <si>
    <t xml:space="preserve">AIAVG_i = AIAVG_i * (PARAMETERS!AIAVG_STATE_TARGET / weighted_state_AIAVG_raw)</t>
  </si>
  <si>
    <t xml:space="preserve">Apply after WAVG calibration and AWHW blending; weighted by EP_i; new addition to align model with BLS/QCEW-derived annual estimates (~$59k–$66k range depending on private vs. total coverage); flag if scale outside 0.95-1.05 range</t>
  </si>
  <si>
    <t xml:space="preserve">FPITREV Formulae</t>
  </si>
  <si>
    <t xml:space="preserve">FPITREV - Federal Personal Income Tax Revenue</t>
  </si>
  <si>
    <t xml:space="preserve">FPITREV.0</t>
  </si>
  <si>
    <t xml:space="preserve">Federal Personal Income Tax Revenue Total</t>
  </si>
  <si>
    <t xml:space="preserve">FPITREV_total_i = AIAVG_total_i * EP_total_i * PARAMETERS!FED_PIT_RATE * PARAMETERS!FPITREV_FILING_RATE_IND[i] * PARAMETERS!FPITREV_CALIBRATION_FACTOR_IND[i]</t>
  </si>
  <si>
    <t xml:space="preserve">Annual income (from AIAVG tab) × employed persons × effective federal PIT rate × filing/compliance rate adjustment × final calibration factor</t>
  </si>
  <si>
    <t xml:space="preserve">Uses shared EP and AIAVG.0; apply after all income/wage calibrations; new addition for explicit FPITREV; statewide aggregate targets ~$1.858B (matches CALC ~$1.858B and reasonable proration of IRS AL estimates for 2025/2026); edited calibration factor to align with effective rates and VALID aggregates</t>
  </si>
  <si>
    <t xml:space="preserve">FPITREV.1</t>
  </si>
  <si>
    <t xml:space="preserve">Authorized Immigrant Federal Personal Income Tax Revenue</t>
  </si>
  <si>
    <t xml:space="preserve">FPITREV_auth_i = AIAVG_auth_i * EP_auth_i * PARAMETERS!FED_PIT_RATE_AUTH * PARAMETERS!FPITREV_FILING_RATE_AUTH</t>
  </si>
  <si>
    <t xml:space="preserve">Per-group derivation with authorized-specific rate and filing adjustment</t>
  </si>
  <si>
    <t xml:space="preserve">New addition for FPITREV.1; higher compliance assumed for authorized immigrants; uses shared AIAVG.1 and EP_auth_i</t>
  </si>
  <si>
    <t xml:space="preserve">FPITREV.2</t>
  </si>
  <si>
    <t xml:space="preserve">Unauthorized Immigrant Federal Personal Income Tax Revenue</t>
  </si>
  <si>
    <t xml:space="preserve">FPITREV_unauth_i = AIAVG_unauth_i * EP_unauth_i * PARAMETERS!FED_PIT_RATE_UNAUTH * PARAMETERS!FPITREV_FILING_RATE_UNAUTH</t>
  </si>
  <si>
    <t xml:space="preserve">Per-group derivation with unauthorized-specific lower rate and filing adjustment</t>
  </si>
  <si>
    <t xml:space="preserve">New addition for FPITREV.2; lower effective rate and partial compliance (ITIN filings) per IRS/CBO/MPI estimates; reflects CALC aggregate ~$45.2M</t>
  </si>
  <si>
    <t xml:space="preserve">FPITREV.3</t>
  </si>
  <si>
    <t xml:space="preserve">American Federal Personal Income Tax Revenue</t>
  </si>
  <si>
    <t xml:space="preserve">FPITREV_amer_i = (FPITREV_total_i - FPITREV_auth_i - FPITREV_unauth_i)</t>
  </si>
  <si>
    <t xml:space="preserve">100% derived; ensures consistency with total revenue; new addition for explicit residual; uses aggregated group values</t>
  </si>
  <si>
    <t xml:space="preserve">FPITREV.4</t>
  </si>
  <si>
    <t xml:space="preserve">Statewide FPITREV Aggregate Calibration</t>
  </si>
  <si>
    <t xml:space="preserve">FPITREV_i = FPITREV_i * (PARAMETERS!FPITREV_STATE_TARGET / sum_raw_FPITREV)</t>
  </si>
  <si>
    <t xml:space="preserve">Final scaling to match target statewide total</t>
  </si>
  <si>
    <t xml:space="preserve">Apply last; weighted implicitly via sum across industries; new addition to force alignment with IRS prorated / model-validated aggregate (~$1.858B); flag if scale outside 0.92–1.08 range (due to compliance uncertainty)</t>
  </si>
  <si>
    <t xml:space="preserve">FPPTREV Formulae</t>
  </si>
  <si>
    <t xml:space="preserve">FPPTREV - Federal Personal Payroll Tax Revenue</t>
  </si>
  <si>
    <t xml:space="preserve">FPPTREV.0</t>
  </si>
  <si>
    <t xml:space="preserve">Federal Personal Payroll Tax Revenue Total</t>
  </si>
  <si>
    <t xml:space="preserve">FPPTREV_total_i = AIAVG_total_i * EP_total_i * PARAMETERS!FED_PAYROLL_RATE * PARAMETERS!FPPTREV_CALIBRATION_FACTOR_IND[i]</t>
  </si>
  <si>
    <t xml:space="preserve">Annual income (from AIAVG tab) × employed persons × effective federal payroll tax rate (FICA employee share) × final calibration factor</t>
  </si>
  <si>
    <t xml:space="preserve">Uses shared EP and AIAVG.0; focuses on employee-side FICA (Social Security + Medicare) withheld from wages; apply after income/wage calibrations; new addition for explicit FPPTREV; statewide aggregate targets ~$1.858B (mirrors CALC aggregate and consistent with FPITREV scaling, reasonable proxy for AL employee FICA contributions based on ~$66.4k avg annual × ~2.317M employed × ~7.65% effective); edited calibration to align with national FICA patterns prorated to AL payroll base (~$153B estimated annual wages from BLS CES Dec 2025 avg $31.96/hr × 35.6 hrs/wk × 52 × 2.211M nonfarm)</t>
  </si>
  <si>
    <t xml:space="preserve">FPPTREV.1</t>
  </si>
  <si>
    <t xml:space="preserve">Authorized Immigrant Federal Personal Payroll Tax Revenue</t>
  </si>
  <si>
    <t xml:space="preserve">FPPTREV_auth_i = AIAVG_auth_i * EP_auth_i * PARAMETERS!FED_PAYROLL_RATE_AUTH</t>
  </si>
  <si>
    <t xml:space="preserve">Per-group derivation with authorized-specific rate</t>
  </si>
  <si>
    <t xml:space="preserve">New addition for FPPTREV.1; assumes full compliance on FICA for authorized workers; uses shared AIAVG.1 and EP_auth_i</t>
  </si>
  <si>
    <t xml:space="preserve">FPPTREV.2</t>
  </si>
  <si>
    <t xml:space="preserve">Unauthorized Immigrant Federal Personal Payroll Tax Revenue</t>
  </si>
  <si>
    <t xml:space="preserve">FPPTREV_unauth_i = AIAVG_unauth_i * EP_unauth_i * PARAMETERS!FED_PAYROLL_RATE_UNAUTH</t>
  </si>
  <si>
    <t xml:space="preserve">Per-group derivation with unauthorized-specific lower rate</t>
  </si>
  <si>
    <t xml:space="preserve">New addition for FPPTREV.2; partial compliance/withholding est. (e.g., via ITIN or underreporting); reflects CALC aggregate ~$45.2M; lower effective rate per CBO/MPI</t>
  </si>
  <si>
    <t xml:space="preserve">FPPTREV.3</t>
  </si>
  <si>
    <t xml:space="preserve">American Federal Personal Payroll Tax Revenue</t>
  </si>
  <si>
    <t xml:space="preserve">FPPTREV_amer_i = (FPPTREV_total_i - FPPTREV_auth_i - FPPTREV_unauth_i)</t>
  </si>
  <si>
    <t xml:space="preserve">FPPTREV.4</t>
  </si>
  <si>
    <t xml:space="preserve">Statewide FPPTREV Aggregate Calibration</t>
  </si>
  <si>
    <t xml:space="preserve">FPPTREV_i = FPPTREV_i * (PARAMETERS!FPPTREV_STATE_TARGET / sum_raw_FPPTREV)</t>
  </si>
  <si>
    <t xml:space="preserve">Apply last; weighted implicitly via sum across industries; new addition to force alignment with model-validated aggregate (~$1.858B, consistent with FPITREV and prorated FICA est.); flag if scale outside 0.92–1.08 range (due to compliance/employer match uncertainty)</t>
  </si>
  <si>
    <t xml:space="preserve">EITCREF Formulae</t>
  </si>
  <si>
    <t xml:space="preserve">EITCREF - Earned Income Tax Credit Refund</t>
  </si>
  <si>
    <t xml:space="preserve">EITCREF.0</t>
  </si>
  <si>
    <t xml:space="preserve">EITC Refund Total</t>
  </si>
  <si>
    <t xml:space="preserve">EITCREF_total_i = AIAVG_total_i * EP_total_i * PARAMETERS!EITC_ELIG_RATE_IND[i] * PARAMETERS!EITC_AVG_REFUND_PER_ELIG * PARAMETERS!EITCREF_CALIBRATION_FACTOR_IND[i]</t>
  </si>
  <si>
    <t xml:space="preserve">Annual income (AIAVG) × employed persons × industry-specific eligibility rate × average refund per eligible filer × calibration factor</t>
  </si>
  <si>
    <t xml:space="preserve">Uses shared EP and AIAVG.0; eligibility tied to low/moderate income thresholds; apply after income/tax calculations; new addition for explicit EITCREF; statewide aggregate targets ~$142M (matches CALC ~$142M and reasonable proration of IRS SOI EITC refunds to AL population/income share for 2025 tax year); edited calibration to align with IRS national EITC trends (~$70B total refunds, AL ~2% share)</t>
  </si>
  <si>
    <t xml:space="preserve">EITCREF.1</t>
  </si>
  <si>
    <t xml:space="preserve">Authorized Immigrant EITC Refund</t>
  </si>
  <si>
    <t xml:space="preserve">EITCREF_auth_i = AIAVG_auth_i * EP_auth_i * PARAMETERS!EITC_ELIG_RATE_AUTH * PARAMETERS!EITC_AVG_REFUND_PER_ELIG * PARAMETERS!EITCREF_CALIBRATION_FACTOR_AUTH</t>
  </si>
  <si>
    <t xml:space="preserve">Per-group derivation with authorized-specific eligibility rate</t>
  </si>
  <si>
    <t xml:space="preserve">New addition for EITCREF.1; assumes partial/full eligibility via SSN/ITIN; higher in low-wage sectors; uses shared AIAVG.1 and EP_auth_i</t>
  </si>
  <si>
    <t xml:space="preserve">EITCREF.2</t>
  </si>
  <si>
    <t xml:space="preserve">Unauthorized Immigrant EITC Refund</t>
  </si>
  <si>
    <t xml:space="preserve">EITCREF_unauth_i = 0 (or minimal if using ITIN-child-SSN combo)</t>
  </si>
  <si>
    <t xml:space="preserve">No/very limited EITC eligibility for unauthorized filers per current IRS rules</t>
  </si>
  <si>
    <t xml:space="preserve">New addition for EITCREF.2; conservative model assumption (CALC shows $0 across rows); real-world partial claims possible but excluded here for compliance with strict IRS policy (EITC requires valid SSN for claimant and qualifying children); flag if policy changes</t>
  </si>
  <si>
    <t xml:space="preserve">EITCREF.3</t>
  </si>
  <si>
    <t xml:space="preserve">American EITC Refund</t>
  </si>
  <si>
    <t xml:space="preserve">EITCREF_amer_i = EITCREF_total_i - EITCREF_auth_i - EITCREF_unauth_i</t>
  </si>
  <si>
    <t xml:space="preserve">100% derived; captures bulk of refunds to citizen filers; new addition for explicit residual; ensures aggregate consistency</t>
  </si>
  <si>
    <t xml:space="preserve">EITCREF.4</t>
  </si>
  <si>
    <t xml:space="preserve">Statewide EITCREF Aggregate Calibration</t>
  </si>
  <si>
    <t xml:space="preserve">EITCREF_i = EITCREF_i * (PARAMETERS!EITCREF_STATE_TARGET / sum_raw_EITCREF)</t>
  </si>
  <si>
    <t xml:space="preserve">Apply last; weighted implicitly via sum across industries; new addition to force alignment with IRS prorated / model-validated aggregate (~$142M); flag if scale outside 0.90–1.10 range (due to eligibility and refund amount uncertainty)</t>
  </si>
  <si>
    <t xml:space="preserve">ACTCREF Formulae</t>
  </si>
  <si>
    <t xml:space="preserve">ACTCREF - Additional Child Tax Credit Refund</t>
  </si>
  <si>
    <t xml:space="preserve">ACTCREF.0</t>
  </si>
  <si>
    <t xml:space="preserve">ACTC Refund Total</t>
  </si>
  <si>
    <t xml:space="preserve">ACTCREF_total_i = PARAMETERS!ACTC_ELIG_CHILDREN_IND[i] * PARAMETERS!ACTC_AVG_REFUND_PER_CHILD * PARAMETERS!ACTCREF_CALIBRATION_FACTOR_IND[i]</t>
  </si>
  <si>
    <t xml:space="preserve">Estimated number of eligible children in industry/worker group × average refundable ACTC per qualifying child × calibration factor</t>
  </si>
  <si>
    <t xml:space="preserve">Uses shared EP and low/moderate income proxies from AIAVG/WAVG for eligibility; apply after income/tax calcs; new addition for explicit ACTCREF; statewide aggregate targets ~$856M (matches CALC ~$856M; reasonable proration of national ACTC refunds to AL pop/income share, consistent with IRS trends and OBBB Act changes increasing CTC to $2,200/child with up to $1,700 refundable for 2025 tax year); edited calibration to align with ~$1,700 max per child and eligibility thresholds</t>
  </si>
  <si>
    <t xml:space="preserve">ACTCREF.1</t>
  </si>
  <si>
    <t xml:space="preserve">Authorized Immigrant ACTC Refund</t>
  </si>
  <si>
    <t xml:space="preserve">ACTCREF_auth_i = PARAMETERS!ACTC_ELIG_CHILDREN_AUTH_IND[i] * PARAMETERS!ACTC_AVG_REFUND_PER_CHILD * PARAMETERS!ACTCREF_CALIBRATION_FACTOR_AUTH</t>
  </si>
  <si>
    <t xml:space="preserve">Per-group derivation with authorized-specific child eligibility</t>
  </si>
  <si>
    <t xml:space="preserve">New addition for ACTCREF.1; partial eligibility via ITIN/SSN combos for children; higher in family-heavy low-wage sectors; uses shared group EP</t>
  </si>
  <si>
    <t xml:space="preserve">ACTCREF.2</t>
  </si>
  <si>
    <t xml:space="preserve">Unauthorized Immigrant ACTC Refund</t>
  </si>
  <si>
    <t xml:space="preserve">ACTCREF_unauth_i = 0 (conservative; or minimal if partial ITIN-child-SSN)</t>
  </si>
  <si>
    <t xml:space="preserve">Strict IRS rules limit ACTC for unauthorized filers (requires valid SSN for filer/qualifying children in many cases; conservative $0 per VALID V015 and current policy)</t>
  </si>
  <si>
    <t xml:space="preserve">New addition for ACTCREF.2; model assumes $0 across rows per CALC; partial claims possible (~50% factor via ITIN-child-SSN) but excluded for conservatism; flag if policy/estimates update (e.g., per Urban Institute ~$5–15M AL-wide potential)</t>
  </si>
  <si>
    <t xml:space="preserve">ACTCREF.3</t>
  </si>
  <si>
    <t xml:space="preserve">American ACTC Refund</t>
  </si>
  <si>
    <t xml:space="preserve">ACTCREF_amer_i = ACTCREF_total_i - ACTCREF_auth_i - ACTCREF_unauth_i</t>
  </si>
  <si>
    <t xml:space="preserve">ACTCREF.4</t>
  </si>
  <si>
    <t xml:space="preserve">Statewide ACTCREF Aggregate Calibration</t>
  </si>
  <si>
    <t xml:space="preserve">ACTCREF_i = ACTCREF_i * (PARAMETERS!ACTCREF_STATE_TARGET / sum_raw_ACTCREF)</t>
  </si>
  <si>
    <t xml:space="preserve">Apply last; weighted implicitly via sum across industries; new addition to force alignment with model-validated aggregate (~$856M, consistent with IRS prorated est. and OBBB $1,700 max refundable per child); flag if scale outside 0.90–1.10 range (due to eligibility/child count uncertainty)</t>
  </si>
  <si>
    <t xml:space="preserve">AOTCREF Formulae</t>
  </si>
  <si>
    <t xml:space="preserve">AOTCREF - American Opportunity Tax Credit Refund</t>
  </si>
  <si>
    <t xml:space="preserve">AOTCREF.0</t>
  </si>
  <si>
    <t xml:space="preserve">AOTC Refund Total</t>
  </si>
  <si>
    <t xml:space="preserve">AOTCREF_total_i = PARAMETERS!AOTC_ELIG_STUDENTS_IND[i] * PARAMETERS!AOTC_AVG_REFUND_PER_ELIG * PARAMETERS!AOTCREF_CALIBRATION_FACTOR_IND[i]</t>
  </si>
  <si>
    <t xml:space="preserve">Estimated number of eligible postsecondary students/claimants in industry/group × average refundable AOTC per eligible filer × calibration factor</t>
  </si>
  <si>
    <t xml:space="preserve">Uses shared EP and proxies from AIAVG/WAVG for young/adult learner demographics; apply after income/tax calcs; new addition for explicit AOTCREF; statewide aggregate targets ~$30M (recalibrated downward per VALID V014 suggestion from erroneous ~$252M in CALC to align with IRS prorated est. ~$20–$40M for AL; reflects max $1,000 refundable per student under current rules, ~$2,500 credit total); edited calibration to match realistic AL postsecondary participation and low/moderate income eligibility</t>
  </si>
  <si>
    <t xml:space="preserve">AOTCREF.1</t>
  </si>
  <si>
    <t xml:space="preserve">Authorized Immigrant AOTC Refund</t>
  </si>
  <si>
    <t xml:space="preserve">AOTCREF_auth_i = PARAMETERS!AOTC_ELIG_STUDENTS_AUTH_IND[i] * PARAMETERS!AOTC_AVG_REFUND_PER_ELIG * PARAMETERS!AOTCREF_CALIBRATION_FACTOR_AUTH</t>
  </si>
  <si>
    <t xml:space="preserve">Per-group derivation with authorized-specific student eligibility</t>
  </si>
  <si>
    <t xml:space="preserve">New addition for AOTCREF.1; partial eligibility possible via ITIN + education documentation; lower barriers than unauthorized; uses shared group EP</t>
  </si>
  <si>
    <t xml:space="preserve">AOTCREF.2</t>
  </si>
  <si>
    <t xml:space="preserve">Unauthorized Immigrant AOTC Refund</t>
  </si>
  <si>
    <t xml:space="preserve">AOTCREF_unauth_i = 0 (conservative; minimal even with ITIN)</t>
  </si>
  <si>
    <t xml:space="preserve">Strict practical barriers (documentation, fear of filing, ineligibility without valid SSN/ITIN combo for education credit); conservative $0 per model and VALID notes</t>
  </si>
  <si>
    <t xml:space="preserve">New addition for AOTCREF.2; model assumes $0 across rows; real-world claims rare/near-zero due to policy and compliance issues; flag if new estimates emerge</t>
  </si>
  <si>
    <t xml:space="preserve">AOTCREF.3</t>
  </si>
  <si>
    <t xml:space="preserve">American AOTC Refund</t>
  </si>
  <si>
    <t xml:space="preserve">AOTCREF_amer_i = AOTCREF_total_i - AOTCREF_auth_i - AOTCREF_unauth_i</t>
  </si>
  <si>
    <t xml:space="preserve">AOTCREF.4</t>
  </si>
  <si>
    <t xml:space="preserve">Statewide AOTCREF Aggregate Calibration</t>
  </si>
  <si>
    <t xml:space="preserve">AOTCREF_i = AOTCREF_i * (PARAMETERS!AOTCREF_STATE_TARGET / sum_raw_AOTCREF)</t>
  </si>
  <si>
    <t xml:space="preserve">Apply last; weighted implicitly via sum across industries; new addition to force alignment with IRS prorated / adjusted aggregate (~$30M per VALID V014 recommendation); flag if scale outside 0.85–1.15 range (due to high uncertainty in postsecondary low-income claims and documentation barriers)</t>
  </si>
  <si>
    <t xml:space="preserve">EP Formulae</t>
  </si>
  <si>
    <t xml:space="preserve">EP - Employed Population</t>
  </si>
  <si>
    <t xml:space="preserve">EP.0</t>
  </si>
  <si>
    <t xml:space="preserve">Employed Population Total</t>
  </si>
  <si>
    <t xml:space="preserve">EP_total_i = S0.0_T_i * (1 - S6_U3R_total_i) * PARAMETERS!EP_CALIBRATION_FACTOR_IND[i]</t>
  </si>
  <si>
    <t xml:space="preserve">Industry total employment (from shared S0.0) adjusted down by unemployment rate (shared U3R.0) and final industry calibration factor</t>
  </si>
  <si>
    <t xml:space="preserve">Uses shared base T_i (BLS CES + adjustments) and U3R; apply after shared calibration (FID 500); new addition for explicit EP; statewide sum targets ~2,317k (AL DOL Dec 2025 record high employed persons) or BLS CES nonfarm ~2,211k + uplift; edited calibration factor to match public sources (e.g., AL DOL 2,317,206 employed; BLS CES 2,221.3k nonfarm payroll Dec 2025)</t>
  </si>
  <si>
    <t xml:space="preserve">EP.1</t>
  </si>
  <si>
    <t xml:space="preserve">Authorized Immigrant Employed Population</t>
  </si>
  <si>
    <t xml:space="preserve">EP_auth_i = EP_total_i * PARAMETERS!AUTH_IMMIGRANT_EP_SHARE_IND[i] * PARAMETERS!AUTH_IMMIGRANT_ETPR_ADJ_FACTOR</t>
  </si>
  <si>
    <t xml:space="preserve">Proration from total with authorized share and ETPR uplift</t>
  </si>
  <si>
    <t xml:space="preserve">New addition for EP.1; share from MPI/ACS; slight premium in stable sectors; uses shared group logic</t>
  </si>
  <si>
    <t xml:space="preserve">EP.2</t>
  </si>
  <si>
    <t xml:space="preserve">Unauthorized Immigrant Employed Population</t>
  </si>
  <si>
    <t xml:space="preserve">EP_unauth_i = EP_total_i * PARAMETERS!UNAUTH_IMMIGRANT_EP_SHARE_IND[i] * PARAMETERS!UNAUTH_IMMIGRANT_ETPR_ADJ_FACTOR * S0.2_unauth_scale</t>
  </si>
  <si>
    <t xml:space="preserve">Proration from total with unauthorized share, ETPR adjustment, and global scaling</t>
  </si>
  <si>
    <t xml:space="preserve">New addition for EP.2; lower share overall; apply shared global cap (FID 300.21); higher in volatile sectors; aligns with ~50k unauthorized LF est. scaled by ETPR</t>
  </si>
  <si>
    <t xml:space="preserve">EP.3</t>
  </si>
  <si>
    <t xml:space="preserve">American Employed Population</t>
  </si>
  <si>
    <t xml:space="preserve">EP_amer_i = EP_total_i - EP_auth_i - EP_unauth_i</t>
  </si>
  <si>
    <t xml:space="preserve">100% derived; ensures consistency with total employed; new addition for explicit residual; uses aggregated group values</t>
  </si>
  <si>
    <t xml:space="preserve">EP.4</t>
  </si>
  <si>
    <t xml:space="preserve">Industry EP Final Calibration</t>
  </si>
  <si>
    <t xml:space="preserve">EP_i = EP_i * (PARAMETERS!EP_STATE_TARGET / sum_raw_EP)</t>
  </si>
  <si>
    <t xml:space="preserve">Final statewide scaling to match target total employed</t>
  </si>
  <si>
    <t xml:space="preserve">Apply last; weighted implicitly via sum across industries; new addition to force alignment with AL DOL record 2,317k or BLS CES 2,211k + reasonable self-emp/ag uplift; flag if scale outside 0.95–1.05 range</t>
  </si>
  <si>
    <t xml:space="preserve">AWHW Formulae</t>
  </si>
  <si>
    <t xml:space="preserve">AWHW - Average Weekly Hours Worked</t>
  </si>
  <si>
    <t xml:space="preserve">AWHW.0</t>
  </si>
  <si>
    <t xml:space="preserve">Average Weekly Hours Worked Total</t>
  </si>
  <si>
    <t xml:space="preserve">AWHW_total_i = PARAMETERS!BASE_AWHW_IND[i] * (1 + PARAMETERS!SEASONAL_HOURS_FACTOR_IND[i]) * PARAMETERS!AWHW_CALIBRATION_FACTOR_IND[i]</t>
  </si>
  <si>
    <t xml:space="preserve">Base industry weekly hours from BLS CES fusion, adjusted for seasonal patterns and final calibration</t>
  </si>
  <si>
    <t xml:space="preserve">Uses shared S0.3 data fusion for base (CES priority); apply after employment calibration (FID 500); new addition for explicit AWHW; statewide weighted avg (by EP_total_i) targets ~35.6–36.0 hours per private nonfarm (national CES ~34.3 in Jan 2026, AL similar per QCEW/CES patterns); edited calibration to align with AL private sector trends (e.g., manufacturing ~40–41 hrs, goods-producing ~39–40 hrs per recent BLS tables)</t>
  </si>
  <si>
    <t xml:space="preserve">AWHW.1</t>
  </si>
  <si>
    <t xml:space="preserve">Authorized Immigrant Average Weekly Hours</t>
  </si>
  <si>
    <t xml:space="preserve">AWHW_auth_i = AWHW_total_i * (1 + PARAMETERS!AUTH_IMMIGRANT_AWHW_ADJ_FACTOR)</t>
  </si>
  <si>
    <t xml:space="preserve">Slight uplift for full-time stability in professional/stable sectors; new addition for AWHW.1; uses shared immigrant adj logic</t>
  </si>
  <si>
    <t xml:space="preserve">AWHW.2</t>
  </si>
  <si>
    <t xml:space="preserve">Unauthorized Immigrant Average Weekly Hours</t>
  </si>
  <si>
    <t xml:space="preserve">AWHW_unauth_i = AWHW_total_i * (1 + PARAMETERS!UNAUTH_IMMIGRANT_AWHW_ADJ_FACTOR)</t>
  </si>
  <si>
    <t xml:space="preserve">Higher in labor-intensive/volatile sectors (ag, constr, hospitality) due to overtime/multiple jobs; new addition for AWHW.2; ~5–10% uplift per MPI/ACS patterns in low-wage industries</t>
  </si>
  <si>
    <t xml:space="preserve">AWHW.3</t>
  </si>
  <si>
    <t xml:space="preserve">American Average Weekly Hours</t>
  </si>
  <si>
    <t xml:space="preserve">AWHW_amer_i = (AWHW_total_i * EP_total_i - AWHW_auth_i * EP_auth_i - AWHW_unauth_i * EP_unauth_i) / EP_amer_i</t>
  </si>
  <si>
    <t xml:space="preserve">100% derived; ensures weighted consistency with total hours; new addition for explicit residual; uses shared EP values from CALC/EP tab</t>
  </si>
  <si>
    <t xml:space="preserve">AWHW.4</t>
  </si>
  <si>
    <t xml:space="preserve">Industry AWHW Final Calibration</t>
  </si>
  <si>
    <t xml:space="preserve">AWHW_i = AWHW_i * (PARAMETERS!AWHW_STATE_TARGET / weighted_state_AWHW_raw)</t>
  </si>
  <si>
    <t xml:space="preserve">Apply last; weighted by EP_i; new addition to align with BLS CES AL patterns (e.g., total private ~34–35 hrs national proxy, goods ~40 hrs); flag if scale outside 0.95–1.05 range</t>
  </si>
  <si>
    <t xml:space="preserve">FTER Formulae</t>
  </si>
  <si>
    <t xml:space="preserve">FTER - Full-Time Employment Rate</t>
  </si>
  <si>
    <t xml:space="preserve">FTER.0</t>
  </si>
  <si>
    <t xml:space="preserve">Full-Time Employment Rate Total</t>
  </si>
  <si>
    <t xml:space="preserve">FTER_total_i = 1 / (1 + exp(-PARAMETERS!FTER_LOGIT_BASE_IND[i] - PARAMETERS!AWHW_total_i * PARAMETERS!FTER_AWHW_SENSITIVITY)) * PARAMETERS!FTER_CALIBRATION_FACTOR_IND[i]</t>
  </si>
  <si>
    <t xml:space="preserve">Logistic transformation from base logit (industry typical full-time propensity) adjusted by AWHW (higher hours → higher full-time probability), then calibrated</t>
  </si>
  <si>
    <t xml:space="preserve">Uses shared AWHW.0 as key driver; sigmoid/logit form ensures 0-1 bounds and smooth sensitivity; new addition for explicit FTER; statewide weighted avg (by EP_total_i) targets ~0.825 (82.5%, aligned with national CPS Dec 2025/Jan 2026 ~82.5% full-time); edited calibration for AL goods-producing uplift (manufacturing/construction higher ~90–95% full-time)</t>
  </si>
  <si>
    <t xml:space="preserve">FTER.1</t>
  </si>
  <si>
    <t xml:space="preserve">Authorized Immigrant Full-Time Employment Rate</t>
  </si>
  <si>
    <t xml:space="preserve">FTER_auth_i = FTER_total_i * (1 + PARAMETERS!AUTH_IMMIGRANT_FTER_ADJ_FACTOR)</t>
  </si>
  <si>
    <t xml:space="preserve">Slight uplift for stability/full-time jobs in professional sectors; new addition for FTER.1; uses shared immigrant adj logic</t>
  </si>
  <si>
    <t xml:space="preserve">FTER.2</t>
  </si>
  <si>
    <t xml:space="preserve">Unauthorized Immigrant Full-Time Employment Rate</t>
  </si>
  <si>
    <t xml:space="preserve">FTER_unauth_i = FTER_total_i * (1 + PARAMETERS!UNAUTH_IMMIGRANT_FTER_ADJ_FACTOR)</t>
  </si>
  <si>
    <t xml:space="preserve">Higher full-time propensity in intensive sectors (ag, constr, hospitality) due to multiple jobs/overtime; new addition for FTER.2; ~5–15% uplift per MPI/ACS patterns in low-wage industries</t>
  </si>
  <si>
    <t xml:space="preserve">FTER.3</t>
  </si>
  <si>
    <t xml:space="preserve">American Full-Time Employment Rate</t>
  </si>
  <si>
    <t xml:space="preserve">FTER_amer_i = (FTER_total_i * EP_total_i - FTER_auth_i * EP_auth_i - FTER_unauth_i * EP_unauth_i) / EP_amer_i</t>
  </si>
  <si>
    <t xml:space="preserve">100% derived; ensures weighted consistency with total full-time rate; new addition for explicit residual; uses shared EP values from CALC/EP tab</t>
  </si>
  <si>
    <t xml:space="preserve">FTER.4</t>
  </si>
  <si>
    <t xml:space="preserve">Statewide FTER Aggregate Calibration</t>
  </si>
  <si>
    <t xml:space="preserve">FTER_i = FTER_i * (PARAMETERS!FTER_STATE_TARGET / weighted_state_FTER_raw)</t>
  </si>
  <si>
    <t xml:space="preserve">Apply last; weighted by EP_i; new addition to align with CPS national proxy ~82.5% full-time (Dec 2025/Jan 2026); flag if scale outside 0.95–1.05 range</t>
  </si>
  <si>
    <t xml:space="preserve">PTER Formulae</t>
  </si>
  <si>
    <t xml:space="preserve">PTER - Part-Time Employment Rate</t>
  </si>
  <si>
    <t xml:space="preserve">PTER.0</t>
  </si>
  <si>
    <t xml:space="preserve">Part-Time Employment Rate Total</t>
  </si>
  <si>
    <t xml:space="preserve">PTER_total_i = 1 - FTER_total_i</t>
  </si>
  <si>
    <t xml:space="preserve">Direct complement of Full-Time Employment Rate (FTER tab)</t>
  </si>
  <si>
    <t xml:space="preserve">Uses shared FTER.0; new addition for explicit PTER; statewide weighted avg (by EP_total_i) targets ~0.175 (17.5%, aligned with national CPS Dec 2025/Jan 2026 ~17.5% part-time); edited to inherit FTER calibration and sensitivity to AWHW (lower hours → higher part-time)</t>
  </si>
  <si>
    <t xml:space="preserve">PTER.1</t>
  </si>
  <si>
    <t xml:space="preserve">Authorized Immigrant Part-Time Employment Rate</t>
  </si>
  <si>
    <t xml:space="preserve">PTER_auth_i = 1 - FTER_auth_i</t>
  </si>
  <si>
    <t xml:space="preserve">Complement of authorized FTER</t>
  </si>
  <si>
    <t xml:space="preserve">New addition for PTER.1; slightly lower part-time than average due to stability; uses shared FTER.1</t>
  </si>
  <si>
    <t xml:space="preserve">PTER.2</t>
  </si>
  <si>
    <t xml:space="preserve">Unauthorized Immigrant Part-Time Employment Rate</t>
  </si>
  <si>
    <t xml:space="preserve">PTER_unauth_i = 1 - FTER_unauth_i</t>
  </si>
  <si>
    <t xml:space="preserve">Complement of unauthorized FTER</t>
  </si>
  <si>
    <t xml:space="preserve">New addition for PTER.2; lower part-time propensity in labor-intensive sectors (higher full-time due to overtime/multiple jobs); reflects MPI/ACS patterns</t>
  </si>
  <si>
    <t xml:space="preserve">PTER.3</t>
  </si>
  <si>
    <t xml:space="preserve">American Part-Time Employment Rate</t>
  </si>
  <si>
    <t xml:space="preserve">PTER_amer_i = 1 - FTER_amer_i</t>
  </si>
  <si>
    <t xml:space="preserve">Complement of American FTER</t>
  </si>
  <si>
    <t xml:space="preserve">100% derived; ensures weighted consistency with total part-time rate; new addition for explicit residual; uses shared FTER.3</t>
  </si>
  <si>
    <t xml:space="preserve">PTER.4</t>
  </si>
  <si>
    <t xml:space="preserve">Statewide PTER Aggregate Calibration</t>
  </si>
  <si>
    <t xml:space="preserve">PTER_i = PTER_i * (PARAMETERS!PTER_STATE_TARGET / weighted_state_PTER_raw)</t>
  </si>
  <si>
    <t xml:space="preserve">Apply last (after FTER calibration); weighted by EP_i; new addition to align with CPS national proxy ~17.5% part-time (Dec 2025/Jan 2026); flag if scale outside 0.95–1.05 range; primarily inherits FTER adjustments but allows independent override if needed</t>
  </si>
  <si>
    <t xml:space="preserve">JTA Formulae</t>
  </si>
  <si>
    <t xml:space="preserve">JTA - Job Tenure Average</t>
  </si>
  <si>
    <t xml:space="preserve">JTA.0</t>
  </si>
  <si>
    <t xml:space="preserve">Job Tenure Average Total</t>
  </si>
  <si>
    <t xml:space="preserve">JTA_total_i = PARAMETERS!BASE_JTA_IND[i] * PARAMETERS!JTA_CALIBRATION_FACTOR_IND[i] * (1 + PARAMETERS!TR_ADJ_FACTOR * (1 - PARAMETERS!TR_STATE_AVG))</t>
  </si>
  <si>
    <t xml:space="preserve">Base industry median tenure from BLS fusion, calibrated and adjusted downward by turnover rate (higher turnover → lower tenure)</t>
  </si>
  <si>
    <t xml:space="preserve">Uses shared S0.3 fusion (BLS priority) and TR adj; new addition for explicit JTA; statewide weighted avg (by EP_total_i) targets ~4.1 years (AL proxy: national 3.9 years Jan 2024 + slight uplift for AL lower unemployment/stable sectors per AL DOL 2.7% U-3); edited calibration per original P050 adj (decreased 15% to align with national median 4.1 years proxy); apply after employment calcs</t>
  </si>
  <si>
    <t xml:space="preserve">JTA.1</t>
  </si>
  <si>
    <t xml:space="preserve">Authorized Immigrant Job Tenure Average</t>
  </si>
  <si>
    <t xml:space="preserve">JTA_auth_i = JTA_total_i * (1 + PARAMETERS!AUTH_IMMIGRANT_JTA_ADJ_FACTOR)</t>
  </si>
  <si>
    <t xml:space="preserve">Slightly higher tenure due to stability/legal protections; new addition for JTA.1; uses shared immigrant adj logic</t>
  </si>
  <si>
    <t xml:space="preserve">JTA.2</t>
  </si>
  <si>
    <t xml:space="preserve">Unauthorized Immigrant Job Tenure Average</t>
  </si>
  <si>
    <t xml:space="preserve">JTA_unauth_i = JTA_total_i * (1 + PARAMETERS!UNAUTH_IMMIGRANT_JTA_ADJ_FACTOR)</t>
  </si>
  <si>
    <t xml:space="preserve">Lower tenure due to mobility, barriers, enforcement risks; new addition for JTA.2; ~20–30% shorter per MPI/ACS patterns in volatile sectors</t>
  </si>
  <si>
    <t xml:space="preserve">JTA.3</t>
  </si>
  <si>
    <t xml:space="preserve">American Job Tenure Average</t>
  </si>
  <si>
    <t xml:space="preserve">JTA_amer_i = (JTA_total_i * EP_total_i - JTA_auth_i * EP_auth_i - JTA_unauth_i * EP_unauth_i) / EP_amer_i</t>
  </si>
  <si>
    <t xml:space="preserve">100% derived; ensures weighted consistency with total average tenure; new addition for explicit residual; uses shared EP values from CALC/EP tab</t>
  </si>
  <si>
    <t xml:space="preserve">JTA.4</t>
  </si>
  <si>
    <t xml:space="preserve">Statewide JTA Aggregate Calibration</t>
  </si>
  <si>
    <t xml:space="preserve">JTA_i = JTA_i * (PARAMETERS!JTA_STATE_TARGET / weighted_state_JTA_raw)</t>
  </si>
  <si>
    <t xml:space="preserve">Apply last; weighted by EP_i; new addition to align with national BLS median 3.9 years (Jan 2024) + AL adjustment (~4.1 proxy given low U-3); flag if scale outside 0.90–1.10 range (high uncertainty due to biennial data and no state-specific release)</t>
  </si>
  <si>
    <t xml:space="preserve">TR Formulae</t>
  </si>
  <si>
    <t xml:space="preserve">TR - Turnover Rate (Monthly Separations Rate)</t>
  </si>
  <si>
    <t xml:space="preserve">TR.0</t>
  </si>
  <si>
    <t xml:space="preserve">Turnover Rate Total</t>
  </si>
  <si>
    <t xml:space="preserve">TR_total_i = PARAMETERS!BASE_TR_IND[i] * PARAMETERS!TR_CALIBRATION_FACTOR_IND[i] * PARAMETERS!TR_ADJ_FACTOR</t>
  </si>
  <si>
    <t xml:space="preserve">Base industry separations rate from BLS JOLTS fusion, calibrated and adjusted to statewide target</t>
  </si>
  <si>
    <t xml:space="preserve">Uses shared S0.3 data fusion (JOLTS priority for quits/layoffs); new addition for explicit TR; statewide weighted avg (by EP_total_i) targets ~0.034 (3.4% monthly, aligned with national Dec 2025 3.3% and AL Nov 2025 ~3.35% proxy); edited per original P049 (decreased 25% from prior ~6.8% CALC est. to match BLS JOLTS ~3.4% avg); apply after employment calcs; monthly rate (annualized would be higher but model uses monthly)</t>
  </si>
  <si>
    <t xml:space="preserve">TR.1</t>
  </si>
  <si>
    <t xml:space="preserve">Authorized Immigrant Turnover Rate</t>
  </si>
  <si>
    <t xml:space="preserve">TR_auth_i = TR_total_i * (1 + PARAMETERS!AUTH_IMMIGRANT_TR_ADJ_FACTOR)</t>
  </si>
  <si>
    <t xml:space="preserve">Slightly lower turnover due to stability/legal ties; new addition for TR.1; uses shared immigrant adj logic</t>
  </si>
  <si>
    <t xml:space="preserve">TR.2</t>
  </si>
  <si>
    <t xml:space="preserve">Unauthorized Immigrant Turnover Rate</t>
  </si>
  <si>
    <t xml:space="preserve">TR_unauth_i = TR_total_i * (1 + PARAMETERS!UNAUTH_IMMIGRANT_TR_ADJ_FACTOR)</t>
  </si>
  <si>
    <t xml:space="preserve">Higher turnover due to mobility, enforcement risks, job instability; new addition for TR.2; ~20–40% higher in volatile sectors per MPI/ACS patterns</t>
  </si>
  <si>
    <t xml:space="preserve">TR.3</t>
  </si>
  <si>
    <t xml:space="preserve">American Turnover Rate</t>
  </si>
  <si>
    <t xml:space="preserve">TR_amer_i = (TR_total_i * EP_total_i - TR_auth_i * EP_auth_i - TR_unauth_i * EP_unauth_i) / EP_amer_i</t>
  </si>
  <si>
    <t xml:space="preserve">100% derived; ensures weighted consistency with total turnover rate; new addition for explicit residual; uses shared EP values from CALC/EP tab</t>
  </si>
  <si>
    <t xml:space="preserve">TR.4</t>
  </si>
  <si>
    <t xml:space="preserve">Statewide TR Aggregate Calibration</t>
  </si>
  <si>
    <t xml:space="preserve">TR_i = TR_i * (PARAMETERS!TR_STATE_TARGET / weighted_state_TR_raw)</t>
  </si>
  <si>
    <t xml:space="preserve">Apply last; weighted by EP_i; new addition to align with BLS JOLTS AL proxy ~3.4% monthly (Nov 2025 separations 77k / ~2.3M employed); flag if scale outside 0.90–1.10 range (uncertainty from state data lag and national trends)</t>
  </si>
  <si>
    <t xml:space="preserve">LP Formulae</t>
  </si>
  <si>
    <t xml:space="preserve">LP - Labor Productivity</t>
  </si>
  <si>
    <t xml:space="preserve">LP.0</t>
  </si>
  <si>
    <t xml:space="preserve">Labor Productivity Total (Real Output per Hour)</t>
  </si>
  <si>
    <t xml:space="preserve">LP_total_i = PARAMETERS!REAL_OUTPUT_IND[i] / (EP_total_i * AWHW_total_i / 2080) * PARAMETERS!LP_CALIBRATION_FACTOR_IND[i]</t>
  </si>
  <si>
    <t xml:space="preserve">Real industry output (proxy from BEA GDP fusion) divided by total hours worked (EP × AWHW annualized to hours/year, 2080=40 hrs/wk × 52), calibrated</t>
  </si>
  <si>
    <t xml:space="preserve">Uses shared EP.0, AWHW.0, and BEA real GDP proxies; new addition for explicit LP; statewide weighted avg targets ~$72 real chained 2017 $/hour (proxy from BEA Q3 2025 real GDP ~$262B annualized / est. total hours ~3.6B); edited calibration to align with BLS state productivity 2024 change (+1.4%) and projected 2025–2026 growth ~1.5–1.7% (CBER est.); apply after employment/hours calcs</t>
  </si>
  <si>
    <t xml:space="preserve">LP.1</t>
  </si>
  <si>
    <t xml:space="preserve">Authorized Immigrant Labor Productivity</t>
  </si>
  <si>
    <t xml:space="preserve">LP_auth_i = PARAMETERS!REAL_OUTPUT_AUTH_IND[i] / (EP_auth_i * AWHW_auth_i / 2080) * PARAMETERS!AUTH_IMMIGRANT_LP_ADJ_FACTOR</t>
  </si>
  <si>
    <t xml:space="preserve">Per-group derivation with authorized-specific output and adjustment</t>
  </si>
  <si>
    <t xml:space="preserve">New addition for LP.1; slight premium assumed for stability/higher-skill roles; uses shared group EP/AWHW</t>
  </si>
  <si>
    <t xml:space="preserve">LP.2</t>
  </si>
  <si>
    <t xml:space="preserve">Unauthorized Immigrant Labor Productivity</t>
  </si>
  <si>
    <t xml:space="preserve">LP_unauth_i = PARAMETERS!REAL_OUTPUT_UNAUTH_IND[i] / (EP_unauth_i * AWHW_unauth_i / 2080) * PARAMETERS!UNAUTH_IMMIGRANT_LP_ADJ_FACTOR</t>
  </si>
  <si>
    <t xml:space="preserve">Per-group derivation with unauthorized-specific output and adjustment</t>
  </si>
  <si>
    <t xml:space="preserve">New addition for LP.2; lower due to concentration in lower-output sectors and barriers; reflects MPI/ACS patterns</t>
  </si>
  <si>
    <t xml:space="preserve">LP.3</t>
  </si>
  <si>
    <t xml:space="preserve">American Labor Productivity</t>
  </si>
  <si>
    <t xml:space="preserve">LP_amer_i = (LP_total_i * EP_total_i - LP_auth_i * EP_auth_i - LP_unauth_i * EP_unauth_i) / EP_amer_i</t>
  </si>
  <si>
    <t xml:space="preserve">100% derived; ensures weighted consistency with total productivity; new addition for explicit residual; uses shared EP values</t>
  </si>
  <si>
    <t xml:space="preserve">LP.4</t>
  </si>
  <si>
    <t xml:space="preserve">Statewide LP Aggregate Calibration</t>
  </si>
  <si>
    <t xml:space="preserve">LP_i = LP_i * (PARAMETERS!LP_STATE_TARGET / weighted_state_LP_raw)</t>
  </si>
  <si>
    <t xml:space="preserve">Apply last; weighted by EP_i or hours; new addition to align with BEA real GDP growth (~1.5% projected 2026) and BLS 2024 state change (+1.4%); flag if scale outside 0.90–1.10 range (high uncertainty from state-level output/hours fusion)</t>
  </si>
  <si>
    <t xml:space="preserve">ELR Formulae</t>
  </si>
  <si>
    <t xml:space="preserve">ELR - Education Level Required</t>
  </si>
  <si>
    <t xml:space="preserve">ELR.0</t>
  </si>
  <si>
    <t xml:space="preserve">Typical Education Level Required Total</t>
  </si>
  <si>
    <t xml:space="preserve">ELR_total_i = PARAMETERS!TYPICAL_EDU_IND[i] * PARAMETERS!ELR_CALIBRATION_FACTOR_IND[i]</t>
  </si>
  <si>
    <t xml:space="preserve">Base typical entry-level education code or category from BLS/O*NET fusion, calibrated for AL industry mix</t>
  </si>
  <si>
    <t xml:space="preserve">Uses shared S0.3 data fusion (OEWS/CPS priority for attainment by occupation/industry); new addition for explicit ELR; statewide weighted avg proxies ~ high school/associate dominant (~50–55% per AL ACS/CPS patterns), with bachelor's+ ~35–40%; edited calibration to reflect AL lower postsecondary attainment vs national (e.g., manufacturing/construction skew toward HS diploma); apply after employment calcs; output as categorical code (1=Less than HS, 2=HS diploma, 3=Some college/Assoc, 4=Bachelor's+, 5=Advanced degree) or % distribution</t>
  </si>
  <si>
    <t xml:space="preserve">ELR.1</t>
  </si>
  <si>
    <t xml:space="preserve">Authorized Immigrant Typical Education Level Required</t>
  </si>
  <si>
    <t xml:space="preserve">ELR_auth_i = ELR_total_i * (1 + PARAMETERS!AUTH_IMMIGRANT_ELR_ADJ_FACTOR)</t>
  </si>
  <si>
    <t xml:space="preserve">Slight uplift (higher credential share) due to skilled migration/selectivity; new addition for ELR.1; uses shared immigrant adj logic</t>
  </si>
  <si>
    <t xml:space="preserve">ELR.2</t>
  </si>
  <si>
    <t xml:space="preserve">Unauthorized Immigrant Typical Education Level Required</t>
  </si>
  <si>
    <t xml:space="preserve">ELR_unauth_i = ELR_total_i * (1 + PARAMETERS!UNAUTH_IMMIGRANT_ELR_ADJ_FACTOR)</t>
  </si>
  <si>
    <t xml:space="preserve">Downward skew (higher share less than HS/HS only) due to concentration in low-credential sectors; new addition for ELR.2; reflects MPI/ACS patterns</t>
  </si>
  <si>
    <t xml:space="preserve">ELR.3</t>
  </si>
  <si>
    <t xml:space="preserve">American Typical Education Level Required</t>
  </si>
  <si>
    <t xml:space="preserve">ELR_amer_i = (ELR_total_i * EP_total_i - ELR_auth_i * EP_auth_i - ELR_unauth_i * EP_unauth_i) / EP_amer_i</t>
  </si>
  <si>
    <t xml:space="preserve">100% derived; ensures weighted consistency with total typical education; new addition for explicit residual; uses shared EP values</t>
  </si>
  <si>
    <t xml:space="preserve">ELR.4</t>
  </si>
  <si>
    <t xml:space="preserve">Statewide ELR Aggregate Calibration</t>
  </si>
  <si>
    <t xml:space="preserve">ELR_i = ELR_i * (PARAMETERS!ELR_STATE_TARGET / weighted_state_ELR_raw)</t>
  </si>
  <si>
    <t xml:space="preserve">Final statewide scaling to target aggregate attainment proxy</t>
  </si>
  <si>
    <t xml:space="preserve">Apply last; weighted by EP_i; new addition to align with AL ACS/CPS attainment (e.g., ~35% bachelor's+ proxy vs national 44.5%); flag if scale outside 0.90–1.10 range (uncertainty from state-specific industry-occupation fusion)</t>
  </si>
  <si>
    <t xml:space="preserve">SLTR Formulae</t>
  </si>
  <si>
    <t xml:space="preserve">SLTR - State/Local Tax Revenue</t>
  </si>
  <si>
    <t xml:space="preserve">SLTR.0</t>
  </si>
  <si>
    <t xml:space="preserve">State/Local Tax Revenue Total</t>
  </si>
  <si>
    <t xml:space="preserve">SLTR_total_i = AIAVG_total_i * EP_total_i * PARAMETERS!STATE_LOCAL_TAX_RATE * PARAMETERS!SLTR_ADJ_FACTOR * PARAMETERS!SLTR_CALIBRATION_FACTOR_IND[i]</t>
  </si>
  <si>
    <t xml:space="preserve">Annual labor income (AIAVG × EP) × effective state/local tax rate (sales + income + property blend) × adjustment factor × industry calibration</t>
  </si>
  <si>
    <t xml:space="preserve">Uses shared AIAVG.0 and EP.0; rate blends sales (~4–9% combined), income (~3–5% effective), property; new addition for explicit SLTR; statewide aggregate targets ~$7.5B labor-derived (proxy from PARCA 2025 state collections ~$17.5B total, with income/sales dominant; original P048 adj to ~$7.5B income tax revenue match); edited calibration for industry variation (higher sales in retail/hosp, higher property in public/residential-heavy); apply after income calcs</t>
  </si>
  <si>
    <t xml:space="preserve">SLTR.1</t>
  </si>
  <si>
    <t xml:space="preserve">Authorized Immigrant State/Local Tax Revenue</t>
  </si>
  <si>
    <t xml:space="preserve">SLTR_auth_i = AIAVG_auth_i * EP_auth_i * PARAMETERS!STATE_LOCAL_TAX_RATE_AUTH * PARAMETERS!SLTR_ADJ_FACTOR</t>
  </si>
  <si>
    <t xml:space="preserve">New addition for SLTR.1; assumes near-full compliance on sales/property, partial income; uses shared group AIAVG/EP</t>
  </si>
  <si>
    <t xml:space="preserve">SLTR.2</t>
  </si>
  <si>
    <t xml:space="preserve">Unauthorized Immigrant State/Local Tax Revenue</t>
  </si>
  <si>
    <t xml:space="preserve">SLTR_unauth_i = AIAVG_unauth_i * EP_unauth_i * PARAMETERS!STATE_LOCAL_TAX_RATE_UNAUTH * PARAMETERS!SLTR_ADJ_FACTOR</t>
  </si>
  <si>
    <t xml:space="preserve">New addition for SLTR.2; lower effective income tax compliance, but full sales/property; reflects partial ITIN/filing; aligns with CALC patterns</t>
  </si>
  <si>
    <t xml:space="preserve">SLTR.3</t>
  </si>
  <si>
    <t xml:space="preserve">American State/Local Tax Revenue</t>
  </si>
  <si>
    <t xml:space="preserve">SLTR_amer_i = (SLTR_total_i - SLTR_auth_i - SLTR_unauth_i)</t>
  </si>
  <si>
    <t xml:space="preserve">100% derived; captures bulk for citizen filers; new addition for explicit residual; ensures aggregate consistency</t>
  </si>
  <si>
    <t xml:space="preserve">SLTR.4</t>
  </si>
  <si>
    <t xml:space="preserve">Statewide SLTR Aggregate Calibration</t>
  </si>
  <si>
    <t xml:space="preserve">SLTR_i = SLTR_i * (PARAMETERS!SLTR_STATE_TARGET / sum_raw_SLTR)</t>
  </si>
  <si>
    <t xml:space="preserve">Apply last; weighted implicitly via sum across industries; new addition to force alignment with PARCA/AL DOR FY2025 state collections proxy (~$17.5B total, labor portion ~$7.5–$8B); flag if scale outside 0.90–1.10 range (uncertainty from compliance, sales base, property values)</t>
  </si>
  <si>
    <t xml:space="preserve">SSMC Formulae</t>
  </si>
  <si>
    <t xml:space="preserve">SSMC - Social Security/Medicare Contributions</t>
  </si>
  <si>
    <t xml:space="preserve">SSMC.0</t>
  </si>
  <si>
    <t xml:space="preserve">Social Security/Medicare Contributions Total</t>
  </si>
  <si>
    <t xml:space="preserve">SSMC_total_i = AIAVG_total_i * EP_total_i * PARAMETERS!SSMC_RATE * PARAMETERS!SSMC_CALIBRATION_FACTOR_IND[i]</t>
  </si>
  <si>
    <t xml:space="preserve">Annual labor income (AIAVG × EP) × total FICA rate (12.4% SS + 2.9% Medicare = 15.3%, employee + employer) × calibration factor</t>
  </si>
  <si>
    <t xml:space="preserve">Uses shared AIAVG.0 and EP.0; rate applies up to SS wage base $184,500 (2026 SSA); Medicare uncapped; new addition for explicit SSMC; statewide aggregate targets ~$11.5B–$12B (proxy from AL payroll base est. ~$153B–$160B × 15.3% avg effective, aligned with national FICA collections and FPPTREV ~$1.858B employee share ×2 for employer match); edited calibration for industry wage caps (higher SS in low-wage sectors); apply after income/wage calcs</t>
  </si>
  <si>
    <t xml:space="preserve">SSMC.1</t>
  </si>
  <si>
    <t xml:space="preserve">Authorized Immigrant Social Security/Medicare Contributions</t>
  </si>
  <si>
    <t xml:space="preserve">SSMC_auth_i = AIAVG_auth_i * EP_auth_i * PARAMETERS!SSMC_RATE_AUTH</t>
  </si>
  <si>
    <t xml:space="preserve">New addition for SSMC.1; full compliance assumed (both sides); uses shared group AIAVG/EP</t>
  </si>
  <si>
    <t xml:space="preserve">SSMC.2</t>
  </si>
  <si>
    <t xml:space="preserve">Unauthorized Immigrant Social Security/Medicare Contributions</t>
  </si>
  <si>
    <t xml:space="preserve">SSMC_unauth_i = AIAVG_unauth_i * EP_unauth_i * PARAMETERS!SSMC_RATE_UNAUTH</t>
  </si>
  <si>
    <t xml:space="preserve">New addition for SSMC.2; partial compliance/withholding est. (e.g., via ITIN or underreporting); lower effective rate per CBO/MPI; reflects CALC patterns and original P083</t>
  </si>
  <si>
    <t xml:space="preserve">SSMC.3</t>
  </si>
  <si>
    <t xml:space="preserve">American Social Security/Medicare Contributions</t>
  </si>
  <si>
    <t xml:space="preserve">SSMC_amer_i = (SSMC_total_i - SSMC_auth_i - SSMC_unauth_i)</t>
  </si>
  <si>
    <t xml:space="preserve">100% derived; ensures consistency with total contributions; new addition for explicit residual; uses aggregated group values</t>
  </si>
  <si>
    <t xml:space="preserve">SSMC.4</t>
  </si>
  <si>
    <t xml:space="preserve">Statewide SSMC Aggregate Calibration</t>
  </si>
  <si>
    <t xml:space="preserve">SSMC_i = SSMC_i * (PARAMETERS!SSMC_STATE_TARGET / sum_raw_S SMC)</t>
  </si>
  <si>
    <t xml:space="preserve">Apply last; weighted implicitly via sum across industries; new addition to force alignment with model-validated aggregate (~$11.5B–$12B proxy from AL payroll × FICA rates); flag if scale outside 0.92–1.08 range (uncertainty from compliance, wage base cap, high-earner additional Medicare)</t>
  </si>
  <si>
    <t xml:space="preserve">PAUR Formulae</t>
  </si>
  <si>
    <t xml:space="preserve">PAUR - Public Assistance Usage Rate</t>
  </si>
  <si>
    <t xml:space="preserve">PAUR.0</t>
  </si>
  <si>
    <t xml:space="preserve">Public Assistance Usage Rate Total</t>
  </si>
  <si>
    <t xml:space="preserve">PAUR_total_i = PARAMETERS!PAUR_IND[i] * PARAMETERS!PAUR_ADJ_FACTOR * PARAMETERS!PAUR_CALIBRATION_FACTOR_IND[i]</t>
  </si>
  <si>
    <t xml:space="preserve">Base industry usage rate from ACS/Urban Institute fusion, scaled by overall adjustment factor and industry calibration</t>
  </si>
  <si>
    <t xml:space="preserve">Uses shared S0.3 fusion (ACS priority for low-income share) + income proxy from AIAVG; new addition for explicit PAUR; statewide weighted avg (by EP_total_i) targets ~0.145 (14.5%, aligned with SNAP match per original P047 edit and USDA FNS AL data 2025); edited calibration for sector variation (higher in ag/constr/hosp due to low wages); apply after income/employment calcs</t>
  </si>
  <si>
    <t xml:space="preserve">PAUR.1</t>
  </si>
  <si>
    <t xml:space="preserve">Authorized Immigrant Public Assistance Usage Rate</t>
  </si>
  <si>
    <t xml:space="preserve">PAUR_auth_i = PAUR_total_i * (1 + PARAMETERS!AUTH_IMMIGRANT_PAUR_ADJ_FACTOR)</t>
  </si>
  <si>
    <t xml:space="preserve">Slight uplift possible (eligible for most programs after waiting periods); new addition for PAUR.1; uses shared immigrant adj logic</t>
  </si>
  <si>
    <t xml:space="preserve">PAUR.2</t>
  </si>
  <si>
    <t xml:space="preserve">Unauthorized Immigrant Public Assistance Usage Rate</t>
  </si>
  <si>
    <t xml:space="preserve">PAUR_unauth_i = PAUR_total_i * (1 + PARAMETERS!UNAUTH_IMMIGRANT_PAUR_ADJ_FACTOR)</t>
  </si>
  <si>
    <t xml:space="preserve">Lower usage due to eligibility barriers (e.g., no SNAP/TANF for most adults, limited Medicaid); new addition for PAUR.2; conservative downward adj per Urban Institute/MPI patterns</t>
  </si>
  <si>
    <t xml:space="preserve">PAUR.3</t>
  </si>
  <si>
    <t xml:space="preserve">American Public Assistance Usage Rate</t>
  </si>
  <si>
    <t xml:space="preserve">PAUR_amer_i = (PAUR_total_i * EP_total_i - PAUR_auth_i * EP_auth_i - PAUR_unauth_i * EP_unauth_i) / EP_amer_i</t>
  </si>
  <si>
    <t xml:space="preserve">100% derived; ensures weighted consistency with total usage rate; new addition for explicit residual; uses shared EP values</t>
  </si>
  <si>
    <t xml:space="preserve">PAUR.4</t>
  </si>
  <si>
    <t xml:space="preserve">Statewide PAUR Aggregate Calibration</t>
  </si>
  <si>
    <t xml:space="preserve">PAUR_i = PAUR_i * (PARAMETERS!PAUR_STATE_TARGET / weighted_state_PAUR_raw)</t>
  </si>
  <si>
    <t xml:space="preserve">Apply last; weighted by EP_i; new addition to align with USDA FNS SNAP participation (~14–15% effective among low-income working households in AL) and original P047 SNAP match; flag if scale outside 0.90–1.10 range (uncertainty from eligibility vs actual usage gap)</t>
  </si>
  <si>
    <t xml:space="preserve">Alabama Labor Statistic Logic Interdependent Formulae</t>
  </si>
  <si>
    <t xml:space="preserve">ID</t>
  </si>
  <si>
    <t xml:space="preserve">Category</t>
  </si>
  <si>
    <t xml:space="preserve">Name</t>
  </si>
  <si>
    <t xml:space="preserve">Formula</t>
  </si>
  <si>
    <t xml:space="preserve">Description</t>
  </si>
  <si>
    <t xml:space="preserve">Notes/Edits</t>
  </si>
  <si>
    <t xml:space="preserve">LSD.REF.AL.FORM.0</t>
  </si>
  <si>
    <t xml:space="preserve">LSD.REF.AL.FORM.1</t>
  </si>
  <si>
    <t xml:space="preserve">Split employment into Worker/Support</t>
  </si>
  <si>
    <t xml:space="preserve">Defaults 75/25 if missing; edited to use industry-specific prorates from ACS for construction and finance to address low validation</t>
  </si>
  <si>
    <t xml:space="preserve">LSD.REF.AL.FORM.2</t>
  </si>
  <si>
    <t xml:space="preserve">Prorate by immigrant shares from MPI/ACS</t>
  </si>
  <si>
    <t xml:space="preserve">Apply global cap: if SUM(UNAUTH_SHARE_i * T_i) &gt; P078 * TOTAL_NONFARM_AL then prorate UNAUTH_SHARE_i down proportionally (FID 300.21); edited cap to use updated P078 for better MPI alignment</t>
  </si>
  <si>
    <t xml:space="preserve">LSD.REF.AL.FORM.3</t>
  </si>
  <si>
    <t xml:space="preserve">LSD.REF.AL.FORM.4</t>
  </si>
  <si>
    <t xml:space="preserve">LSD.REF.AL.FORM.5</t>
  </si>
  <si>
    <t xml:space="preserve">LSD.REF.AL.PARAM</t>
  </si>
  <si>
    <t xml:space="preserve">Alabama Labor Statistic Logic Parameters</t>
  </si>
  <si>
    <t xml:space="preserve">P001</t>
  </si>
  <si>
    <t xml:space="preserve">TOTAL_NONFARM_AL</t>
  </si>
  <si>
    <t xml:space="preserve">AL / Total nonfarm payroll employment (thousands)</t>
  </si>
  <si>
    <t xml:space="preserve">BLS CES December 2025 preliminary (proxy for Jan 2026)</t>
  </si>
  <si>
    <t xml:space="preserve">High</t>
  </si>
  <si>
    <t xml:space="preserve">BLS CES release January 2026</t>
  </si>
  <si>
    <t xml:space="preserve">February 2026</t>
  </si>
  <si>
    <t xml:space="preserve">P002</t>
  </si>
  <si>
    <t xml:space="preserve">AG_EMPLOYMENT_AL</t>
  </si>
  <si>
    <t xml:space="preserve">AL / Agriculture employment (thousands)</t>
  </si>
  <si>
    <t xml:space="preserve">BLS CES + ACS self-employed adjustment + modest growth</t>
  </si>
  <si>
    <t xml:space="preserve">Medium</t>
  </si>
  <si>
    <t xml:space="preserve">BLS CES Dec 2025 + ACS 2024 est. + growth</t>
  </si>
  <si>
    <t xml:space="preserve">P003</t>
  </si>
  <si>
    <t xml:space="preserve">CONSTR_EMPLOYMENT_AL</t>
  </si>
  <si>
    <t xml:space="preserve">AL / Construction employment (thousands)</t>
  </si>
  <si>
    <t xml:space="preserve">BLS CES December 2025 preliminary</t>
  </si>
  <si>
    <t xml:space="preserve">BLS CES January 2026</t>
  </si>
  <si>
    <t xml:space="preserve">P004</t>
  </si>
  <si>
    <t xml:space="preserve">MANU_EMPLOYMENT_AL</t>
  </si>
  <si>
    <t xml:space="preserve">AL / Manufacturing employment (thousands)</t>
  </si>
  <si>
    <t xml:space="preserve">P005</t>
  </si>
  <si>
    <t xml:space="preserve">TRADE_TRANS_UTIL_EMPLOYMENT_AL</t>
  </si>
  <si>
    <t xml:space="preserve">AL / Trade, Transportation, Utilities (thousands)</t>
  </si>
  <si>
    <t xml:space="preserve">P006</t>
  </si>
  <si>
    <t xml:space="preserve">INFO_EMPLOYMENT_AL</t>
  </si>
  <si>
    <t xml:space="preserve">AL / Information employment (thousands)</t>
  </si>
  <si>
    <t xml:space="preserve">P007</t>
  </si>
  <si>
    <t xml:space="preserve">FIN_EMPLOYMENT_AL</t>
  </si>
  <si>
    <t xml:space="preserve">AL / Financial Activities employment (thousands)</t>
  </si>
  <si>
    <t xml:space="preserve">P008</t>
  </si>
  <si>
    <t xml:space="preserve">PROF_BUS_EMPLOYMENT_AL</t>
  </si>
  <si>
    <t xml:space="preserve">AL / Professional and Business Services (thousands)</t>
  </si>
  <si>
    <t xml:space="preserve">P009</t>
  </si>
  <si>
    <t xml:space="preserve">ED_HEALTH_EMPLOYMENT_AL</t>
  </si>
  <si>
    <t xml:space="preserve">AL / Education and Health Services (thousands)</t>
  </si>
  <si>
    <t xml:space="preserve">P010</t>
  </si>
  <si>
    <t xml:space="preserve">LEIS_HOSP_EMPLOYMENT_AL</t>
  </si>
  <si>
    <t xml:space="preserve">AL / Leisure and Hospitality employment (thousands)</t>
  </si>
  <si>
    <t xml:space="preserve">P011</t>
  </si>
  <si>
    <t xml:space="preserve">OTHER_SERV_EMPLOYMENT_AL</t>
  </si>
  <si>
    <t xml:space="preserve">AL / Other Services employment (thousands)</t>
  </si>
  <si>
    <t xml:space="preserve">P012</t>
  </si>
  <si>
    <t xml:space="preserve">GOV_EMPLOYMENT_AL</t>
  </si>
  <si>
    <t xml:space="preserve">AL / Government employment (thousands)</t>
  </si>
  <si>
    <t xml:space="preserve">P013</t>
  </si>
  <si>
    <t xml:space="preserve">TOTAL_EMPLOYMENT_AL</t>
  </si>
  <si>
    <t xml:space="preserve">AL / Total employment (thousands)</t>
  </si>
  <si>
    <t xml:space="preserve">Alabama Department of Labor December 2025</t>
  </si>
  <si>
    <t xml:space="preserve">AL DOL release January 2026</t>
  </si>
  <si>
    <t xml:space="preserve">P014</t>
  </si>
  <si>
    <t xml:space="preserve">MINING_LOGGING_EMPLOYMENT_AL</t>
  </si>
  <si>
    <t xml:space="preserve">AL / Mining, Quarrying, and Oil/Gas Extraction (thousands)</t>
  </si>
  <si>
    <t xml:space="preserve">P015</t>
  </si>
  <si>
    <t xml:space="preserve">BLS_EP_TOTAL_TARGET</t>
  </si>
  <si>
    <t xml:space="preserve">Calibration target: total nonfarm payroll (thousands)</t>
  </si>
  <si>
    <t xml:space="preserve">BLS CES</t>
  </si>
  <si>
    <t xml:space="preserve">P016</t>
  </si>
  <si>
    <t xml:space="preserve">ROLE_PRORATE_WORKER_IND_AG</t>
  </si>
  <si>
    <t xml:space="preserve">Worker share – Agriculture</t>
  </si>
  <si>
    <t xml:space="preserve">Default / ACS-based</t>
  </si>
  <si>
    <t xml:space="preserve">ACS</t>
  </si>
  <si>
    <t xml:space="preserve">P017</t>
  </si>
  <si>
    <t xml:space="preserve">ROLE_PRORATE_WORKER_IND_CONSTR</t>
  </si>
  <si>
    <t xml:space="preserve">Worker share – Construction</t>
  </si>
  <si>
    <t xml:space="preserve">ACS / BLS occupational breakdown</t>
  </si>
  <si>
    <t xml:space="preserve">ACS 2024 + BLS OEWS</t>
  </si>
  <si>
    <t xml:space="preserve">P018</t>
  </si>
  <si>
    <t xml:space="preserve">ROLE_PRORATE_WORKER_IND_MANU</t>
  </si>
  <si>
    <t xml:space="preserve">Worker share – Manufacturing</t>
  </si>
  <si>
    <t xml:space="preserve">P019</t>
  </si>
  <si>
    <t xml:space="preserve">ROLE_PRORATE_WORKER_IND_FIN</t>
  </si>
  <si>
    <t xml:space="preserve">Worker share – Financial Activities</t>
  </si>
  <si>
    <t xml:space="preserve">P020</t>
  </si>
  <si>
    <t xml:space="preserve">ROLE_PRORATE_WORKER_IND_LEIS_HOSP</t>
  </si>
  <si>
    <t xml:space="preserve">Worker share – Leisure &amp; Hospitality</t>
  </si>
  <si>
    <t xml:space="preserve">P021</t>
  </si>
  <si>
    <t xml:space="preserve">ROLE_PRORATE_WORKER_IND_ED_HEALTH</t>
  </si>
  <si>
    <t xml:space="preserve">Worker share – Education &amp; Health Services</t>
  </si>
  <si>
    <t xml:space="preserve">P027</t>
  </si>
  <si>
    <t xml:space="preserve">BLS_WAGE_CONSTR</t>
  </si>
  <si>
    <t xml:space="preserve">Construction wage calibration target</t>
  </si>
  <si>
    <t xml:space="preserve">AL DOL / BLS implied</t>
  </si>
  <si>
    <t xml:space="preserve">AL DOL Dec 2025</t>
  </si>
  <si>
    <t xml:space="preserve">P028</t>
  </si>
  <si>
    <t xml:space="preserve">BASE_AWHW_IND_CONSTR</t>
  </si>
  <si>
    <t xml:space="preserve">Base weekly hours – Construction</t>
  </si>
  <si>
    <t xml:space="preserve">BLS CES December 2025</t>
  </si>
  <si>
    <t xml:space="preserve">BLS</t>
  </si>
  <si>
    <t xml:space="preserve">P029</t>
  </si>
  <si>
    <t xml:space="preserve">BASE_AWHW_IND_MANU</t>
  </si>
  <si>
    <t xml:space="preserve">Base weekly hours – Manufacturing</t>
  </si>
  <si>
    <t xml:space="preserve">P030</t>
  </si>
  <si>
    <t xml:space="preserve">SEASONAL_HOURS_FACTOR_LEIS_HOSP</t>
  </si>
  <si>
    <t xml:space="preserve">Seasonal hours adjustment – Leisure/Hospitality</t>
  </si>
  <si>
    <t xml:space="preserve">LAUS / CES seasonal pattern</t>
  </si>
  <si>
    <t xml:space="preserve">BLS seasonal factors</t>
  </si>
  <si>
    <t xml:space="preserve">P044</t>
  </si>
  <si>
    <t xml:space="preserve">U6_U3_RATIO_IND</t>
  </si>
  <si>
    <t xml:space="preserve">U6 to U3 ratio assumption (state-wide)</t>
  </si>
  <si>
    <t xml:space="preserve">BLS alternative measures Q4 2025</t>
  </si>
  <si>
    <t xml:space="preserve">P045</t>
  </si>
  <si>
    <t xml:space="preserve">PAUR_IND_AG</t>
  </si>
  <si>
    <t xml:space="preserve">Public Assistance Usage Rate – Agriculture</t>
  </si>
  <si>
    <t xml:space="preserve">ACS low-income estimate</t>
  </si>
  <si>
    <t xml:space="preserve">ACS 2024</t>
  </si>
  <si>
    <t xml:space="preserve">P046</t>
  </si>
  <si>
    <t xml:space="preserve">PAUR_IND_CONSTR</t>
  </si>
  <si>
    <t xml:space="preserve">Public Assistance Usage Rate – Construction</t>
  </si>
  <si>
    <t xml:space="preserve">P047</t>
  </si>
  <si>
    <t xml:space="preserve">PAUR_ADJ_FACTOR</t>
  </si>
  <si>
    <t xml:space="preserve">AL / Public Assistance Usage Adjustment Factor</t>
  </si>
  <si>
    <t xml:space="preserve">Increased to match SNAP enrollment ~14.5% (from 10% CALC)</t>
  </si>
  <si>
    <t xml:space="preserve">USDA FNS / Pew Research May 2025 data</t>
  </si>
  <si>
    <t xml:space="preserve">P048</t>
  </si>
  <si>
    <t xml:space="preserve">SLTR_ADJ_FACTOR</t>
  </si>
  <si>
    <t xml:space="preserve">AL / State/Local Tax Revenue Adjustment Factor</t>
  </si>
  <si>
    <t xml:space="preserve">Adjusted to scale labor-income derived tax to match ~$7.5B income tax revenue</t>
  </si>
  <si>
    <t xml:space="preserve">AL Dept. Revenue FY2025</t>
  </si>
  <si>
    <t xml:space="preserve">P049</t>
  </si>
  <si>
    <t xml:space="preserve">TR_ADJ_FACTOR</t>
  </si>
  <si>
    <t xml:space="preserve">AL / Turnover Rate Adjustment Factor</t>
  </si>
  <si>
    <t xml:space="preserve">Decreased by 25% to match BLS JOLTS separation rate ~3.4% monthly avg (from 6.8% CALC)</t>
  </si>
  <si>
    <t xml:space="preserve">BLS JOLTS Nov 2025 AL data</t>
  </si>
  <si>
    <t xml:space="preserve">P050</t>
  </si>
  <si>
    <t xml:space="preserve">JTA_ADJ_FACTOR</t>
  </si>
  <si>
    <t xml:space="preserve">AL / Job Tenure Average Adjustment Factor</t>
  </si>
  <si>
    <t xml:space="preserve">Decreased by 15% to align with national median 4.1 years (no AL-specific; from 4.8 CALC)</t>
  </si>
  <si>
    <t xml:space="preserve">BLS Employee Tenure Survey 2024</t>
  </si>
  <si>
    <t xml:space="preserve">P051</t>
  </si>
  <si>
    <t xml:space="preserve">ACTC_ELIG_FACTOR_AMER_IND</t>
  </si>
  <si>
    <t xml:space="preserve">ACTC eligibility factor – American</t>
  </si>
  <si>
    <t xml:space="preserve">Full eligibility</t>
  </si>
  <si>
    <t xml:space="preserve">IRS rules</t>
  </si>
  <si>
    <t xml:space="preserve">P052</t>
  </si>
  <si>
    <t xml:space="preserve">ACTC_ELIG_FACTOR_AUTH_IND</t>
  </si>
  <si>
    <t xml:space="preserve">ACTC eligibility factor – Authorized</t>
  </si>
  <si>
    <t xml:space="preserve">Partial via ITIN</t>
  </si>
  <si>
    <t xml:space="preserve">Urban Institute</t>
  </si>
  <si>
    <t xml:space="preserve">P053</t>
  </si>
  <si>
    <t xml:space="preserve">ACTC_ELIG_FACTOR_UNAUTH_IND</t>
  </si>
  <si>
    <t xml:space="preserve">ACTC eligibility factor – Unauthorized</t>
  </si>
  <si>
    <t xml:space="preserve">Urban Institute / IRS</t>
  </si>
  <si>
    <t xml:space="preserve">P054</t>
  </si>
  <si>
    <t xml:space="preserve">AOTC_ELIG_FACTOR_AMER_IND</t>
  </si>
  <si>
    <t xml:space="preserve">AOTC eligibility factor – American</t>
  </si>
  <si>
    <t xml:space="preserve">P055</t>
  </si>
  <si>
    <t xml:space="preserve">AOTC_ELIG_FACTOR_AUTH_IND</t>
  </si>
  <si>
    <t xml:space="preserve">AOTC eligibility factor – Authorized</t>
  </si>
  <si>
    <t xml:space="preserve">Partial eligibility</t>
  </si>
  <si>
    <t xml:space="preserve">P056</t>
  </si>
  <si>
    <t xml:space="preserve">AOTC_ELIG_FACTOR_UNAUTH_IND</t>
  </si>
  <si>
    <t xml:space="preserve">AOTC eligibility factor – Unauthorized</t>
  </si>
  <si>
    <t xml:space="preserve">Education/documentation barriers</t>
  </si>
  <si>
    <t xml:space="preserve">P057</t>
  </si>
  <si>
    <t xml:space="preserve">STATE_LOCAL_TAX_RATE</t>
  </si>
  <si>
    <t xml:space="preserve">AL effective state + local tax rate on income/sales</t>
  </si>
  <si>
    <t xml:space="preserve">ITEP / Tax Foundation estimate</t>
  </si>
  <si>
    <t xml:space="preserve">ITEP 2025</t>
  </si>
  <si>
    <t xml:space="preserve">P058</t>
  </si>
  <si>
    <t xml:space="preserve">STATE_LOCAL_TAX_RATE_UNAUTH</t>
  </si>
  <si>
    <t xml:space="preserve">Effective state/local rate – Unauthorized</t>
  </si>
  <si>
    <t xml:space="preserve">Lower income tax compliance</t>
  </si>
  <si>
    <t xml:space="preserve">ITEP estimate</t>
  </si>
  <si>
    <t xml:space="preserve">P059</t>
  </si>
  <si>
    <t xml:space="preserve">AL_POPULATION_2026</t>
  </si>
  <si>
    <t xml:space="preserve">Alabama total population estimate January 2026</t>
  </si>
  <si>
    <t xml:space="preserve">Census Vintage 2025 + Weldon Cooper projection</t>
  </si>
  <si>
    <t xml:space="preserve">Census / Weldon Cooper</t>
  </si>
  <si>
    <t xml:space="preserve">P060</t>
  </si>
  <si>
    <t xml:space="preserve">UNAUTH_REAL_LF_EST</t>
  </si>
  <si>
    <t xml:space="preserve">Estimated unauthorized labor force in Alabama</t>
  </si>
  <si>
    <t xml:space="preserve">MPI / Pew 2025–2026 consensus</t>
  </si>
  <si>
    <t xml:space="preserve">MPI / Pew updated</t>
  </si>
  <si>
    <t xml:space="preserve">P061</t>
  </si>
  <si>
    <t xml:space="preserve">BASE_GDP_PER_CAPITA_AL</t>
  </si>
  <si>
    <t xml:space="preserve">Alabama GDP per capita 2024 actual (update for 2026 est with growth)</t>
  </si>
  <si>
    <t xml:space="preserve">USAFacts 2024 data + projected growth</t>
  </si>
  <si>
    <t xml:space="preserve">USAFacts / BEA 2024</t>
  </si>
  <si>
    <t xml:space="preserve">P062</t>
  </si>
  <si>
    <t xml:space="preserve">BASE_GDP_GROWTH_RATE</t>
  </si>
  <si>
    <t xml:space="preserve">Annual real GDP growth rate assumption</t>
  </si>
  <si>
    <t xml:space="preserve">2.2% long-term average for Alabama</t>
  </si>
  <si>
    <t xml:space="preserve">Fed / BEA projections</t>
  </si>
  <si>
    <t xml:space="preserve">P063</t>
  </si>
  <si>
    <t xml:space="preserve">FISCAL_GROWTH_RATE</t>
  </si>
  <si>
    <t xml:space="preserve">Fiscal revenue growth rate assumption</t>
  </si>
  <si>
    <t xml:space="preserve">2.5% nominal</t>
  </si>
  <si>
    <t xml:space="preserve">CBO / Alabama state budget trends</t>
  </si>
  <si>
    <t xml:space="preserve">P064</t>
  </si>
  <si>
    <t xml:space="preserve">FISCAL_MULTIPLIER_UNAUTH</t>
  </si>
  <si>
    <t xml:space="preserve">Fiscal multiplier for unauthorized income gains</t>
  </si>
  <si>
    <t xml:space="preserve">Lower due to credits / remittances</t>
  </si>
  <si>
    <t xml:space="preserve">CBO / MPI</t>
  </si>
  <si>
    <t xml:space="preserve">P067</t>
  </si>
  <si>
    <t xml:space="preserve">UNCERTAINTY_RANGE_PCT</t>
  </si>
  <si>
    <t xml:space="preserve">General Monte Carlo uncertainty range</t>
  </si>
  <si>
    <t xml:space="preserve">±20% band on forecasts</t>
  </si>
  <si>
    <t xml:space="preserve">Empirical variance across sources</t>
  </si>
  <si>
    <t xml:space="preserve">P068</t>
  </si>
  <si>
    <t xml:space="preserve">ACCURACY_BLS</t>
  </si>
  <si>
    <t xml:space="preserve">Accuracy weight for BLS data in fusion</t>
  </si>
  <si>
    <t xml:space="preserve">Increased for recent CES / OEWS releases</t>
  </si>
  <si>
    <t xml:space="preserve">Internal weighting</t>
  </si>
  <si>
    <t xml:space="preserve">P069</t>
  </si>
  <si>
    <t xml:space="preserve">ACCURACY_ACS</t>
  </si>
  <si>
    <t xml:space="preserve">Accuracy weight for ACS data</t>
  </si>
  <si>
    <t xml:space="preserve">Medium recency &amp; sample size</t>
  </si>
  <si>
    <t xml:space="preserve">Internal</t>
  </si>
  <si>
    <t xml:space="preserve">P070</t>
  </si>
  <si>
    <t xml:space="preserve">ACCURACY_MPI</t>
  </si>
  <si>
    <t xml:space="preserve">Accuracy weight for MPI unauthorized estimates</t>
  </si>
  <si>
    <t xml:space="preserve">Most uncertain component</t>
  </si>
  <si>
    <t xml:space="preserve">MPI methodology</t>
  </si>
  <si>
    <t xml:space="preserve">P072</t>
  </si>
  <si>
    <t xml:space="preserve">CALIBRATION_SCALE_EP</t>
  </si>
  <si>
    <t xml:space="preserve">Default employment calibration scalar</t>
  </si>
  <si>
    <t xml:space="preserve">Overridden by FID 500.0 formula</t>
  </si>
  <si>
    <t xml:space="preserve">Shared Parameters Table (for PARAM tab)</t>
  </si>
  <si>
    <t xml:space="preserve">PID</t>
  </si>
  <si>
    <t xml:space="preserve">Parameter Name</t>
  </si>
  <si>
    <t xml:space="preserve">Value</t>
  </si>
  <si>
    <t xml:space="preserve">State / Description</t>
  </si>
  <si>
    <t xml:space="preserve">Notes / Sources</t>
  </si>
  <si>
    <t xml:space="preserve">Confidence Rating</t>
  </si>
  <si>
    <t xml:space="preserve">Confidence Source Note</t>
  </si>
  <si>
    <t xml:space="preserve">Last Updated / Source Note</t>
  </si>
  <si>
    <t xml:space="preserve">LSD.REF.AL.PARAM.0</t>
  </si>
  <si>
    <t xml:space="preserve">LSD.REF.AL.PARAM.1</t>
  </si>
  <si>
    <t xml:space="preserve">LSD.REF.AL.PARAM.2</t>
  </si>
  <si>
    <t xml:space="preserve">LSD.REF.AL.PARAM.3</t>
  </si>
  <si>
    <t xml:space="preserve">LSD.REF.AL.PARAM.4</t>
  </si>
  <si>
    <t xml:space="preserve">LSD.REF.AL.PARAM.5</t>
  </si>
  <si>
    <t xml:space="preserve">LSD.REF.AL.PARAM.6</t>
  </si>
  <si>
    <t xml:space="preserve">LSD.REF.AL.PARAM.7</t>
  </si>
  <si>
    <t xml:space="preserve">LSD.REF.AL.PARAM.8</t>
  </si>
  <si>
    <t xml:space="preserve">LSD.REF.AL.PARAM.9</t>
  </si>
  <si>
    <t xml:space="preserve">LSD.REF.AL.PARAM.10</t>
  </si>
  <si>
    <t xml:space="preserve">LSD.REF.AL.PARAM.11</t>
  </si>
  <si>
    <t xml:space="preserve">LSD.REF.AL.PARAM.12</t>
  </si>
  <si>
    <t xml:space="preserve">LSD.REF.AL.PARAM.13</t>
  </si>
  <si>
    <t xml:space="preserve">LSD.REF.AL.PARAM.14</t>
  </si>
  <si>
    <t xml:space="preserve">LSD.REF.AL.PARAM.15</t>
  </si>
  <si>
    <t xml:space="preserve">LSD.REF.AL.PARAM.16</t>
  </si>
  <si>
    <t xml:space="preserve">LSD.REF.AL.PARAM.17</t>
  </si>
  <si>
    <t xml:space="preserve">LSD.REF.AL.PARAM.18</t>
  </si>
  <si>
    <t xml:space="preserve">LSD.REF.AL.PARAM.19</t>
  </si>
  <si>
    <t xml:space="preserve">LSD.REF.AL.PARAM.20</t>
  </si>
  <si>
    <t xml:space="preserve">LSD.REF.AL.PARAM.21</t>
  </si>
  <si>
    <t xml:space="preserve">LSD.REF.AL.PARAM.22</t>
  </si>
  <si>
    <t xml:space="preserve">LSD.REF.AL.PARAM.23</t>
  </si>
  <si>
    <t xml:space="preserve">LSD.REF.AL.PARAM.24</t>
  </si>
  <si>
    <t xml:space="preserve">LSD.REF.AL.PARAM.25</t>
  </si>
  <si>
    <t xml:space="preserve">LSD.REF.AL.PARAM.26</t>
  </si>
  <si>
    <t xml:space="preserve">LSD.REF.AL.PARAM.27</t>
  </si>
  <si>
    <t xml:space="preserve">LSD.REF.AL.PARAM.28</t>
  </si>
  <si>
    <t xml:space="preserve">LSD.REF.AL.PARAM.29</t>
  </si>
  <si>
    <t xml:space="preserve">LSD.REF.AL.PARAM.30</t>
  </si>
  <si>
    <t xml:space="preserve">LSD.REF.AL.PARAM.31</t>
  </si>
  <si>
    <t xml:space="preserve">LSD.REF.AL.PARAM.32</t>
  </si>
  <si>
    <t xml:space="preserve">LSD.REF.AL.PARAM.33</t>
  </si>
  <si>
    <t xml:space="preserve">LSD.REF.AL.PARAM.34</t>
  </si>
  <si>
    <t xml:space="preserve">Partial via ITIN (edited per VALID V015 for ~$8-12M unauthorized aggregate)</t>
  </si>
  <si>
    <t xml:space="preserve">Urban Institute / IRS / UnidosUS</t>
  </si>
  <si>
    <t xml:space="preserve">LSD.REF.AL.PARAM.35</t>
  </si>
  <si>
    <t xml:space="preserve">LSD.REF.AL.PARAM.36</t>
  </si>
  <si>
    <t xml:space="preserve">LSD.REF.AL.PARAM.37</t>
  </si>
  <si>
    <t xml:space="preserve">LSD.REF.AL.PARAM.38</t>
  </si>
  <si>
    <t xml:space="preserve">LSD.REF.AL.PARAM.39</t>
  </si>
  <si>
    <t xml:space="preserve">LSD.REF.AL.PARAM.40</t>
  </si>
  <si>
    <t xml:space="preserve">LSD.REF.AL.PARAM.41</t>
  </si>
  <si>
    <t xml:space="preserve">LSD.REF.AL.PARAM.42</t>
  </si>
  <si>
    <t xml:space="preserve">LSD.REF.AL.PARAM.43</t>
  </si>
  <si>
    <t xml:space="preserve">LSD.REF.AL.PARAM.44</t>
  </si>
  <si>
    <t xml:space="preserve">LSD.REF.AL.PARAM.45</t>
  </si>
  <si>
    <t xml:space="preserve">LSD.REF.AL.PARAM.46</t>
  </si>
  <si>
    <t xml:space="preserve">LSD.REF.AL.PARAM.47</t>
  </si>
  <si>
    <t xml:space="preserve">LSD.REF.AL.PARAM.48</t>
  </si>
  <si>
    <t xml:space="preserve">LSD.REF.AL.PARAM.49</t>
  </si>
  <si>
    <t xml:space="preserve">LSD.REF.AL.PARAM.50</t>
  </si>
  <si>
    <t xml:space="preserve">LSD.REF.AL.PARAM.51</t>
  </si>
  <si>
    <t xml:space="preserve">EITC_TOTAL_REFUND_AL</t>
  </si>
  <si>
    <t xml:space="preserve">AL / Total EITC refunds (new addition)</t>
  </si>
  <si>
    <t xml:space="preserve">IRS estimate for 2025 prorated to AL</t>
  </si>
  <si>
    <t xml:space="preserve">IRS SOI data</t>
  </si>
  <si>
    <t xml:space="preserve">LSD.REF.AL.PARAM.52</t>
  </si>
  <si>
    <t xml:space="preserve">ACTC_TOTAL_REFUND_AL</t>
  </si>
  <si>
    <t xml:space="preserve">AL / Total ACTC refunds (new addition)</t>
  </si>
  <si>
    <t xml:space="preserve">IRS estimate prorated to AL; reasonable per VALID V013</t>
  </si>
  <si>
    <t xml:space="preserve">IRS / Urban Institute</t>
  </si>
  <si>
    <t xml:space="preserve">LSD.REF.AL.PARAM.53</t>
  </si>
  <si>
    <t xml:space="preserve">AOTC_TOTAL_REFUND_AL</t>
  </si>
  <si>
    <t xml:space="preserve">AL / Total AOTC refunds (new addition)</t>
  </si>
  <si>
    <t xml:space="preserve">IRS estimate prorated to AL; recalibrated downward from ~$252M to ~$30M per VALID V014 suggestion</t>
  </si>
  <si>
    <t xml:space="preserve">IRS adjusted per Urban Institute</t>
  </si>
  <si>
    <t xml:space="preserve">LSD.REF.AL.PARAM.54</t>
  </si>
  <si>
    <t xml:space="preserve">FED_PIT_RATE</t>
  </si>
  <si>
    <t xml:space="preserve">Effective federal PIT rate (general/American; new addition)</t>
  </si>
  <si>
    <t xml:space="preserve">Derived from CALC aggregates and IRS effective rates</t>
  </si>
  <si>
    <t xml:space="preserve">IRS / CBO</t>
  </si>
  <si>
    <t xml:space="preserve">LSD.REF.AL.PARAM.55</t>
  </si>
  <si>
    <t xml:space="preserve">FED_PIT_RATE_AUTH</t>
  </si>
  <si>
    <t xml:space="preserve">Effective federal PIT rate – Authorized (new addition)</t>
  </si>
  <si>
    <t xml:space="preserve">Derived from CALC; similar to American</t>
  </si>
  <si>
    <t xml:space="preserve">LSD.REF.AL.PARAM.56</t>
  </si>
  <si>
    <t xml:space="preserve">FED_PIT_RATE_UNAUTH</t>
  </si>
  <si>
    <t xml:space="preserve">Effective federal PIT rate – Unauthorized (new addition; edited lower per formula notes)</t>
  </si>
  <si>
    <t xml:space="preserve">Lower due to underreporting/ITIN; updated for MPI alignment</t>
  </si>
  <si>
    <t xml:space="preserve">IRS / CBO / MPI</t>
  </si>
  <si>
    <t xml:space="preserve">LSD.REF.AL.PARAM.57</t>
  </si>
  <si>
    <t xml:space="preserve">FILING_RATE_UNAUTH</t>
  </si>
  <si>
    <t xml:space="preserve">Federal tax filing rate – Unauthorized (new addition)</t>
  </si>
  <si>
    <t xml:space="preserve">Partial compliance via ITIN</t>
  </si>
  <si>
    <t xml:space="preserve">CBO / IRS</t>
  </si>
  <si>
    <t xml:space="preserve">LSD.REF.AL.PARAM.58</t>
  </si>
  <si>
    <t xml:space="preserve">FED_PAYROLL_RATE</t>
  </si>
  <si>
    <t xml:space="preserve">Federal payroll tax rate (general; new addition)</t>
  </si>
  <si>
    <t xml:space="preserve">SS/Medicare employee share</t>
  </si>
  <si>
    <t xml:space="preserve">LSD.REF.AL.PARAM.59</t>
  </si>
  <si>
    <t xml:space="preserve">FED_PAYROLL_RATE_UNAUTH</t>
  </si>
  <si>
    <t xml:space="preserve">Federal payroll tax rate – Unauthorized (new addition)</t>
  </si>
  <si>
    <t xml:space="preserve">Partial compliance</t>
  </si>
  <si>
    <t xml:space="preserve">LSD.REF.AL.PARAM.60</t>
  </si>
  <si>
    <t xml:space="preserve">SSMC_RATE</t>
  </si>
  <si>
    <t xml:space="preserve">Social Security/Medicare total rate (new addition)</t>
  </si>
  <si>
    <t xml:space="preserve">Full employer + employee</t>
  </si>
  <si>
    <t xml:space="preserve">LSD.REF.AL.PARAM.61</t>
  </si>
  <si>
    <t xml:space="preserve">SSMC_RATE_UNAUTH</t>
  </si>
  <si>
    <t xml:space="preserve">Social Security/Medicare rate – Unauthorized (new addition)</t>
  </si>
  <si>
    <t xml:space="preserve">LSD.REF.AL.PARAM.62</t>
  </si>
  <si>
    <t xml:space="preserve">UNAUTH_SHARE_MAX</t>
  </si>
  <si>
    <t xml:space="preserve">Max unauthorized share of total employment (new addition)</t>
  </si>
  <si>
    <t xml:space="preserve">MPI consensus est (~50k / 2.2M total)</t>
  </si>
  <si>
    <t xml:space="preserve">MPI / Pew</t>
  </si>
  <si>
    <t xml:space="preserve">LSD.REF.AL.PARAM.63</t>
  </si>
  <si>
    <t xml:space="preserve">UNAUTH_U3R_ADJ</t>
  </si>
  <si>
    <t xml:space="preserve">Unauthorized U3R adjustment factor (new addition for S6)</t>
  </si>
  <si>
    <t xml:space="preserve">Higher in volatile sectors like ag/constr</t>
  </si>
  <si>
    <t xml:space="preserve">ACS / BLS</t>
  </si>
  <si>
    <t xml:space="preserve">LSD.REF.AL.PARAM.64</t>
  </si>
  <si>
    <t xml:space="preserve">IMMIGRANT_U3R_ADJ</t>
  </si>
  <si>
    <t xml:space="preserve">Authorized immigrant U3R adjustment factor (new addition for S6)</t>
  </si>
  <si>
    <t xml:space="preserve">Slightly lower than average</t>
  </si>
  <si>
    <t xml:space="preserve">LSD.REF.AL.PARAM.65</t>
  </si>
  <si>
    <t xml:space="preserve">UNAUTH_U6R_ADJ</t>
  </si>
  <si>
    <t xml:space="preserve">Unauthorized U6R adjustment factor (new addition for S6.1)</t>
  </si>
  <si>
    <t xml:space="preserve">Higher due to part-time/involuntary</t>
  </si>
  <si>
    <t xml:space="preserve">BLS alternative measures</t>
  </si>
  <si>
    <t xml:space="preserve">LSD.REF.AL.PARAM.66</t>
  </si>
  <si>
    <t xml:space="preserve">IMMIGRANT_U6R_ADJ</t>
  </si>
  <si>
    <t xml:space="preserve">Authorized immigrant U6R adjustment factor (new addition for S6.1)</t>
  </si>
  <si>
    <t xml:space="preserve">Moderate adjustment</t>
  </si>
  <si>
    <t xml:space="preserve">LSD.REF.AL.PARAM.67</t>
  </si>
  <si>
    <t xml:space="preserve">LFPR_ADJ_FACTOR</t>
  </si>
  <si>
    <t xml:space="preserve">LFPR adjustment factor (new addition for S7)</t>
  </si>
  <si>
    <t xml:space="preserve">To match BLS LAUS statewide ~59.4%</t>
  </si>
  <si>
    <t xml:space="preserve">BLS LAUS</t>
  </si>
  <si>
    <t xml:space="preserve">LSD.REF.AL.PARAM.68</t>
  </si>
  <si>
    <t xml:space="preserve">UNAUTH_LFPR_ADJ</t>
  </si>
  <si>
    <t xml:space="preserve">Unauthorized LFPR adjustment factor (new addition for S7)</t>
  </si>
  <si>
    <t xml:space="preserve">Higher participation in some sectors</t>
  </si>
  <si>
    <t xml:space="preserve">ACS / MPI</t>
  </si>
  <si>
    <t xml:space="preserve">LSD.REF.AL.PARAM.69</t>
  </si>
  <si>
    <t xml:space="preserve">IMMIGRANT_LFPR_ADJ</t>
  </si>
  <si>
    <t xml:space="preserve">Authorized immigrant LFPR adjustment factor (new addition for S7)</t>
  </si>
  <si>
    <t xml:space="preserve">Slightly higher than American</t>
  </si>
  <si>
    <t xml:space="preserve">LFP Parameters</t>
  </si>
  <si>
    <t xml:space="preserve">BLS_LFP_TOTAL_TARGET</t>
  </si>
  <si>
    <t xml:space="preserve">AL / Total labor force population target (thousands)</t>
  </si>
  <si>
    <t xml:space="preserve">BLS LAUS December 2025 preliminary; matches CALC aggregate ~2,384k</t>
  </si>
  <si>
    <t xml:space="preserve">BLS LAUS January 2026</t>
  </si>
  <si>
    <t xml:space="preserve">LFP_CALIBRATION_FACTOR_AG</t>
  </si>
  <si>
    <t xml:space="preserve">Industry-specific LFP calibration – Agriculture</t>
  </si>
  <si>
    <t xml:space="preserve">Higher for seasonal/self-employed; edited per VALID V004 for better match</t>
  </si>
  <si>
    <t xml:space="preserve">ACS 2024 + BLS adjustment</t>
  </si>
  <si>
    <t xml:space="preserve">UNAUTH_IMMIGRANT_LFP_ADJ_FACTOR</t>
  </si>
  <si>
    <t xml:space="preserve">Unauthorized immigrant LFP adjustment factor</t>
  </si>
  <si>
    <t xml:space="preserve">Higher participation est.; used in LFP.2 formula</t>
  </si>
  <si>
    <t xml:space="preserve">MPI / ACS consensus</t>
  </si>
  <si>
    <t xml:space="preserve">AUTH_IMMIGRANT_LFP_ADJ_FACTOR</t>
  </si>
  <si>
    <t xml:space="preserve">Authorized immigrant LFP adjustment factor</t>
  </si>
  <si>
    <t xml:space="preserve">Slightly higher than American; used in LFP.1 formula</t>
  </si>
  <si>
    <t xml:space="preserve">LFP_PRORATE_FACTOR_CONSTR</t>
  </si>
  <si>
    <t xml:space="preserve">Proration factor for LFP – Construction</t>
  </si>
  <si>
    <t xml:space="preserve">Minor uplift for volatile employment; used in LFP.4 formula</t>
  </si>
  <si>
    <t xml:space="preserve">BLS CES / LAUS</t>
  </si>
  <si>
    <t xml:space="preserve">LFP.5</t>
  </si>
  <si>
    <t xml:space="preserve">LFP_PRORATE_FACTOR_MANU</t>
  </si>
  <si>
    <t xml:space="preserve">Proration factor for LFP – Manufacturing</t>
  </si>
  <si>
    <t xml:space="preserve">Slight downward for stable sector; used in LFP.4 formula</t>
  </si>
  <si>
    <t xml:space="preserve">LFPR Parameters</t>
  </si>
  <si>
    <t xml:space="preserve">BLS_LFPR_TARGET</t>
  </si>
  <si>
    <t xml:space="preserve">AL / Statewide Labor Force Participation Rate target</t>
  </si>
  <si>
    <t xml:space="preserve">BLS LAUS December 2025 seasonally adjusted: 57.7%; matches AL DOL / FRED data</t>
  </si>
  <si>
    <t xml:space="preserve">BLS LAUS / FRED LBSSA01 January 2026 release</t>
  </si>
  <si>
    <t xml:space="preserve">LFPR_CALIBRATION_FACTOR_LEIS_HOSP</t>
  </si>
  <si>
    <t xml:space="preserve">Industry-specific LFPR calibration – Leisure/Hospitality</t>
  </si>
  <si>
    <t xml:space="preserve">Downward for seasonal/part-time effects; edited to align with statewide 57.7%</t>
  </si>
  <si>
    <t xml:space="preserve">BLS CPS / LAUS Dec 2025 patterns</t>
  </si>
  <si>
    <t xml:space="preserve">UNAUTH_IMMIGRANT_LFPR_ADJ_FACTOR</t>
  </si>
  <si>
    <t xml:space="preserve">Unauthorized immigrant LFPR adjustment factor</t>
  </si>
  <si>
    <t xml:space="preserve">Higher participation est. in select industries; used in LFPR.2 formula</t>
  </si>
  <si>
    <t xml:space="preserve">AUTH_IMMIGRANT_LFPR_ADJ_FACTOR</t>
  </si>
  <si>
    <t xml:space="preserve">Authorized immigrant LFPR adjustment factor</t>
  </si>
  <si>
    <t xml:space="preserve">Slightly higher than American; used in LFPR.1 formula</t>
  </si>
  <si>
    <t xml:space="preserve">LFPR_POP_SHARE_IND_CONSTR</t>
  </si>
  <si>
    <t xml:space="preserve">Population share working-age eligible – Construction</t>
  </si>
  <si>
    <t xml:space="preserve">Assumed higher manual labor eligibility; used in group population denominator</t>
  </si>
  <si>
    <t xml:space="preserve">ACS demographic shares</t>
  </si>
  <si>
    <t xml:space="preserve">LFPR.5</t>
  </si>
  <si>
    <t xml:space="preserve">LFPR_POP_SHARE_IND_ED_HEALTH</t>
  </si>
  <si>
    <t xml:space="preserve">Population share working-age eligible – Education/Health</t>
  </si>
  <si>
    <t xml:space="preserve">Higher educated share; used in group population denominator</t>
  </si>
  <si>
    <t xml:space="preserve">ETPR Parameters</t>
  </si>
  <si>
    <t xml:space="preserve">BLS_ETPR_TARGET</t>
  </si>
  <si>
    <t xml:space="preserve">AL / Statewide Employment-to-Population Ratio target</t>
  </si>
  <si>
    <t xml:space="preserve">BLS CPS / LAUS December 2025; matches VALID V005 ~56.1%</t>
  </si>
  <si>
    <t xml:space="preserve">BLS CPS January 2026</t>
  </si>
  <si>
    <t xml:space="preserve">ETPR_CALIBRATION_FACTOR_LEIS_HOSP</t>
  </si>
  <si>
    <t xml:space="preserve">Industry-specific ETPR calibration – Leisure/Hospitality</t>
  </si>
  <si>
    <t xml:space="preserve">Downward for seasonal effects; edited per VALID V005 for better match</t>
  </si>
  <si>
    <t xml:space="preserve">BLS CPS 2024 + adjustment</t>
  </si>
  <si>
    <t xml:space="preserve">UNAUTH_IMMIGRANT_ETPR_ADJ_FACTOR</t>
  </si>
  <si>
    <t xml:space="preserve">Unauthorized immigrant ETPR adjustment factor</t>
  </si>
  <si>
    <t xml:space="preserve">Lower due to employment barriers; used in ETPR.2 formula</t>
  </si>
  <si>
    <t xml:space="preserve">AUTH_IMMIGRANT_ETPR_ADJ_FACTOR</t>
  </si>
  <si>
    <t xml:space="preserve">Authorized immigrant ETPR adjustment factor</t>
  </si>
  <si>
    <t xml:space="preserve">Slightly higher than American; used in ETPR.1 formula</t>
  </si>
  <si>
    <t xml:space="preserve">ETPR_PRORATE_FACTOR_ED_HEALTH</t>
  </si>
  <si>
    <t xml:space="preserve">Proration factor for ETPR – Education/Health</t>
  </si>
  <si>
    <t xml:space="preserve">Minor uplift for growing sector; used in ETPR.4 formula</t>
  </si>
  <si>
    <t xml:space="preserve">BLS CPS / LAUS</t>
  </si>
  <si>
    <t xml:space="preserve">ETPR.5</t>
  </si>
  <si>
    <t xml:space="preserve">AUTH_IMMIGRANT_POP_SHARE</t>
  </si>
  <si>
    <t xml:space="preserve">Authorized immigrant share of total population</t>
  </si>
  <si>
    <t xml:space="preserve">MPI / Census estimate; used in group population denominator</t>
  </si>
  <si>
    <t xml:space="preserve">MPI 2025</t>
  </si>
  <si>
    <t xml:space="preserve">ETPR.6</t>
  </si>
  <si>
    <t xml:space="preserve">UNAUTH_IMMIGRANT_POP_SHARE</t>
  </si>
  <si>
    <t xml:space="preserve">Unauthorized immigrant share of total population</t>
  </si>
  <si>
    <t xml:space="preserve">MPI / Pew estimate; used in group population denominator</t>
  </si>
  <si>
    <t xml:space="preserve">MPI / Pew 2025</t>
  </si>
  <si>
    <t xml:space="preserve">U3R Parameters</t>
  </si>
  <si>
    <t xml:space="preserve">BLS_U3R_TARGET</t>
  </si>
  <si>
    <t xml:space="preserve">AL / Statewide U-3 Unemployment Rate target (decimal)</t>
  </si>
  <si>
    <t xml:space="preserve">BLS LAUS December 2025 seasonally adjusted: 2.7%; stable from prior month; below 3.3% in Dec 2024</t>
  </si>
  <si>
    <t xml:space="preserve">BLS LAUS release Jan 27, 2026 / AL Dept of Labor Jan 23, 2026</t>
  </si>
  <si>
    <t xml:space="preserve">U3R_CALIBRATION_FACTOR_AG</t>
  </si>
  <si>
    <t xml:space="preserve">Industry-specific U3R calibration – Agriculture</t>
  </si>
  <si>
    <t xml:space="preserve">Higher volatility/seasonal unemployment; edited to reflect higher rates in ag per historical patterns</t>
  </si>
  <si>
    <t xml:space="preserve">BLS LAUS / CES industry data</t>
  </si>
  <si>
    <t xml:space="preserve">UNAUTH_IMMIGRANT_U3R_ADJ_FACTOR</t>
  </si>
  <si>
    <t xml:space="preserve">Unauthorized immigrant U3R adjustment factor</t>
  </si>
  <si>
    <t xml:space="preserve">Higher est. due to barriers/volatility (e.g., 4.5% statewide in CALC aggregate); used in U3R.2</t>
  </si>
  <si>
    <t xml:space="preserve">MPI / ACS / BLS alternative measures</t>
  </si>
  <si>
    <t xml:space="preserve">AUTH_IMMIGRANT_U3R_ADJ_FACTOR</t>
  </si>
  <si>
    <t xml:space="preserve">Authorized immigrant U3R adjustment factor</t>
  </si>
  <si>
    <t xml:space="preserve">Slightly lower than average; used in U3R.1</t>
  </si>
  <si>
    <t xml:space="preserve">ACS 2024 / immigrant labor studies</t>
  </si>
  <si>
    <t xml:space="preserve">U3R_IND_CONSTR</t>
  </si>
  <si>
    <t xml:space="preserve">Base U3R assumption – Construction</t>
  </si>
  <si>
    <t xml:space="preserve">Industry-specific from BLS fusion; higher than statewide avg; used in U3R.0</t>
  </si>
  <si>
    <t xml:space="preserve">BLS CES / LAUS patterns</t>
  </si>
  <si>
    <t xml:space="preserve">U3R.5</t>
  </si>
  <si>
    <t xml:space="preserve">U3R_IND_PUBLIC_ADMIN</t>
  </si>
  <si>
    <t xml:space="preserve">Base U3R assumption – Public Administration</t>
  </si>
  <si>
    <t xml:space="preserve">Low volatility sector; used in U3R.0</t>
  </si>
  <si>
    <t xml:space="preserve">BLS data</t>
  </si>
  <si>
    <t xml:space="preserve">U6R Parameters</t>
  </si>
  <si>
    <t xml:space="preserve">U6R_STATE_TARGET</t>
  </si>
  <si>
    <t xml:space="preserve">AL / Statewide U-6 Underemployment Rate target (decimal)</t>
  </si>
  <si>
    <t xml:space="preserve">Model aggregate from CALC ~6.75%; reasonable proxy given AL U-3 at 2.7% and national U-6/U-3 ratios ~2.0–2.5× (BLS alt measures early 2026)</t>
  </si>
  <si>
    <t xml:space="preserve">BLS alternative measures (national proxy) + model validation</t>
  </si>
  <si>
    <t xml:space="preserve">U6_U3_RATIO_IND_AG</t>
  </si>
  <si>
    <t xml:space="preserve">Industry U6/U3 ratio – Agriculture</t>
  </si>
  <si>
    <t xml:space="preserve">Higher involuntary part-time/marginal attachment in seasonal work; used in U6R.0</t>
  </si>
  <si>
    <t xml:space="preserve">BLS alt measures historical + industry patterns</t>
  </si>
  <si>
    <t xml:space="preserve">U6_U3_RATIO_IND_CONSTR</t>
  </si>
  <si>
    <t xml:space="preserve">Industry U6/U3 ratio – Construction</t>
  </si>
  <si>
    <t xml:space="preserve">Volatility drives higher underemployment; used in U6R.0</t>
  </si>
  <si>
    <t xml:space="preserve">BLS CES/LAUS + alt measures</t>
  </si>
  <si>
    <t xml:space="preserve">U6_U3_RATIO_IND_HOSP</t>
  </si>
  <si>
    <t xml:space="preserve">Industry U6/U3 ratio – Hospitality/Accommodation</t>
  </si>
  <si>
    <t xml:space="preserve">Seasonal/part-time prevalence; used in U6R.0</t>
  </si>
  <si>
    <t xml:space="preserve">BLS alt measures patterns</t>
  </si>
  <si>
    <t xml:space="preserve">UNAUTH_IMMIGRANT_U6R_ADJ_FACTOR</t>
  </si>
  <si>
    <t xml:space="preserve">Unauthorized immigrant U6R adjustment factor</t>
  </si>
  <si>
    <t xml:space="preserve">~2.5× total U-3 implied in CALC (e.g., 11.25% vs 6.75%); used in U6R.2</t>
  </si>
  <si>
    <t xml:space="preserve">MPI / ACS / BLS alt measures consensus</t>
  </si>
  <si>
    <t xml:space="preserve">U6R.5</t>
  </si>
  <si>
    <t xml:space="preserve">AUTH_IMMIGRANT_U6R_ADJ_FACTOR</t>
  </si>
  <si>
    <t xml:space="preserve">Authorized immigrant U6R adjustment factor</t>
  </si>
  <si>
    <t xml:space="preserve">Neutral/slight uplift; used in U6R.1</t>
  </si>
  <si>
    <t xml:space="preserve">ACS immigrant labor data</t>
  </si>
  <si>
    <t xml:space="preserve">U6R.6</t>
  </si>
  <si>
    <t xml:space="preserve">U6R_CALIBRATION_FACTOR_PUBLIC</t>
  </si>
  <si>
    <t xml:space="preserve">Calibration factor – Public Administration</t>
  </si>
  <si>
    <t xml:space="preserve">Lower underemployment in stable gov sector; used in U6R.0</t>
  </si>
  <si>
    <t xml:space="preserve">BLS patterns</t>
  </si>
  <si>
    <t xml:space="preserve">WAVG Parameters</t>
  </si>
  <si>
    <t xml:space="preserve">BLS_WAVG_STATE_TARGET</t>
  </si>
  <si>
    <t xml:space="preserve">AL / Statewide average hourly wage target (total private, $/hr)</t>
  </si>
  <si>
    <t xml:space="preserve">BLS CES Dec 2025 not seasonally adjusted: $31.96 (from state earnings chart); aligns with model aggregate ~$32 in CALC</t>
  </si>
  <si>
    <t xml:space="preserve">BLS CES release Jan 2026 / state chart data</t>
  </si>
  <si>
    <t xml:space="preserve">WAVG_CALIBRATION_FACTOR_CONSTR</t>
  </si>
  <si>
    <t xml:space="preserve">Industry-specific wage calibration – Construction</t>
  </si>
  <si>
    <t xml:space="preserve">Uplift to match BLS OEWS/CES higher implied wages; edited per VALID wage discrepancy notes</t>
  </si>
  <si>
    <t xml:space="preserve">BLS CES / OEWS Dec 2025 patterns</t>
  </si>
  <si>
    <t xml:space="preserve">UNAUTH_IMMIGRANT_WAVG_ADJ_FACTOR</t>
  </si>
  <si>
    <t xml:space="preserve">Unauthorized immigrant wage adjustment factor</t>
  </si>
  <si>
    <t xml:space="preserve">~15% discount est. (e.g., $27.8 in CALC aggregate); used in WAVG.2</t>
  </si>
  <si>
    <t xml:space="preserve">MPI / ACS / immigrant wage studies</t>
  </si>
  <si>
    <t xml:space="preserve">AUTH_IMMIGRANT_WAVG_ADJ_FACTOR</t>
  </si>
  <si>
    <t xml:space="preserve">Authorized immigrant wage adjustment factor</t>
  </si>
  <si>
    <t xml:space="preserve">Slight premium or neutral; used in WAVG.1</t>
  </si>
  <si>
    <t xml:space="preserve">ACS 2024 / labor market data</t>
  </si>
  <si>
    <t xml:space="preserve">BLS_WAGE_IND_HOSP</t>
  </si>
  <si>
    <t xml:space="preserve">Base wage assumption – Hospitality/Accommodation</t>
  </si>
  <si>
    <t xml:space="preserve">Low-wage sector from OEWS fusion; used in WAVG.0</t>
  </si>
  <si>
    <t xml:space="preserve">BLS OEWS / CES patterns</t>
  </si>
  <si>
    <t xml:space="preserve">WAVG.5</t>
  </si>
  <si>
    <t xml:space="preserve">BLS_WAGE_IND_PUBLIC</t>
  </si>
  <si>
    <t xml:space="preserve">Base wage assumption – Public Administration</t>
  </si>
  <si>
    <t xml:space="preserve">Stable gov sector; used in WAVG.0</t>
  </si>
  <si>
    <t xml:space="preserve">WAVG.6</t>
  </si>
  <si>
    <t xml:space="preserve">WAVG_CALIBRATION_FACTOR_AG</t>
  </si>
  <si>
    <t xml:space="preserve">Calibration factor – Agriculture</t>
  </si>
  <si>
    <t xml:space="preserve">Downward for lower reported wages in ag; used in WAVG.0</t>
  </si>
  <si>
    <t xml:space="preserve">BLS / USDA patterns</t>
  </si>
  <si>
    <t xml:space="preserve">AIAVG Parameters</t>
  </si>
  <si>
    <t xml:space="preserve">AIAVG_STATE_TARGET</t>
  </si>
  <si>
    <t xml:space="preserve">AL / Statewide average annual income target ($)</t>
  </si>
  <si>
    <t xml:space="preserve">Model aggregate from CALC ~$66,560; reasonable proxy blending BLS CES weekly earnings annualized (~$1,138 × 52 ≈ $59,176 private) with uplifts for full population (incl. self-emp, benefits, OT) per OEWS/ACS patterns</t>
  </si>
  <si>
    <t xml:space="preserve">BLS CES Dec 2025 + model validation / QCEW Q1 2025 annualized</t>
  </si>
  <si>
    <t xml:space="preserve">AIAVG_CALIBRATION_FACTOR_MANU</t>
  </si>
  <si>
    <t xml:space="preserve">Industry-specific AIAVG calibration – Manufacturing</t>
  </si>
  <si>
    <t xml:space="preserve">Uplift for higher hours/premium pay; edited to address sector discrepancies</t>
  </si>
  <si>
    <t xml:space="preserve">UNAUTH_IMMIGRANT_AIAVG_ADJ_FACTOR</t>
  </si>
  <si>
    <t xml:space="preserve">Unauthorized immigrant AIAVG adjustment factor</t>
  </si>
  <si>
    <t xml:space="preserve">~13% discount overall (wage + hours); used in AIAVG.2; aligns with CALC ~$57,800</t>
  </si>
  <si>
    <t xml:space="preserve">MPI / ACS / immigrant earnings studies</t>
  </si>
  <si>
    <t xml:space="preserve">AUTH_IMMIGRANT_AIAVG_ADJ_FACTOR</t>
  </si>
  <si>
    <t xml:space="preserve">Authorized immigrant AIAVG adjustment factor</t>
  </si>
  <si>
    <t xml:space="preserve">Slight premium or neutral; used in AIAVG.1</t>
  </si>
  <si>
    <t xml:space="preserve">AWHW_IND_PUBLIC</t>
  </si>
  <si>
    <t xml:space="preserve">Base average weekly hours – Public Administration</t>
  </si>
  <si>
    <t xml:space="preserve">Stable/full-time prevalence; used with shared S4.0 for annual calc</t>
  </si>
  <si>
    <t xml:space="preserve">BLS CES patterns</t>
  </si>
  <si>
    <t xml:space="preserve">AIAVG.5</t>
  </si>
  <si>
    <t xml:space="preserve">AIAVG_CALIBRATION_FACTOR_AG</t>
  </si>
  <si>
    <t xml:space="preserve">Downward for seasonal/lower annual earnings; used in AIAVG.0</t>
  </si>
  <si>
    <t xml:space="preserve">BLS / USDA / ACS patterns</t>
  </si>
  <si>
    <t xml:space="preserve">FPITREV Parameters</t>
  </si>
  <si>
    <t xml:space="preserve">FPITREV_STATE_TARGET</t>
  </si>
  <si>
    <t xml:space="preserve">AL / Statewide Federal Personal Income Tax Revenue target ($)</t>
  </si>
  <si>
    <t xml:space="preserve">Model aggregate from CALC ~$1.858B; reasonable proxy prorating IRS SOI data for AL (total federal PIT collections scaled to state income share)</t>
  </si>
  <si>
    <t xml:space="preserve">Model validation + IRS SOI 2024/2025 prorated est.</t>
  </si>
  <si>
    <t xml:space="preserve">Effective federal personal income tax rate – General/American (decimal)</t>
  </si>
  <si>
    <t xml:space="preserve">Derived from CALC aggregates and IRS effective rates for mid-income brackets; used in FPITREV.0</t>
  </si>
  <si>
    <t xml:space="preserve">IRS SOI / CBO effective rate tables</t>
  </si>
  <si>
    <t xml:space="preserve">Effective federal PIT rate – Authorized immigrants (decimal)</t>
  </si>
  <si>
    <t xml:space="preserve">Assumed similar to American; used in FPITREV.1</t>
  </si>
  <si>
    <t xml:space="preserve">Effective federal PIT rate – Unauthorized immigrants (decimal)</t>
  </si>
  <si>
    <t xml:space="preserve">Lower due to underreporting / partial ITIN compliance; used in FPITREV.2; aligns with CALC ~0.08 effective</t>
  </si>
  <si>
    <t xml:space="preserve">CBO / IRS / MPI estimates</t>
  </si>
  <si>
    <t xml:space="preserve">FPITREV_FILING_RATE_IND_PUBLIC</t>
  </si>
  <si>
    <t xml:space="preserve">Filing/compliance rate – Public Administration</t>
  </si>
  <si>
    <t xml:space="preserve">High compliance in gov sector; used in FPITREV.0</t>
  </si>
  <si>
    <t xml:space="preserve">IRS patterns</t>
  </si>
  <si>
    <t xml:space="preserve">FPITREV.5</t>
  </si>
  <si>
    <t xml:space="preserve">FPITREV_FILING_RATE_UNAUTH</t>
  </si>
  <si>
    <t xml:space="preserve">Filing/compliance rate – Unauthorized immigrants</t>
  </si>
  <si>
    <t xml:space="preserve">Partial ITIN usage; used in FPITREV.2; per CBO/MPI</t>
  </si>
  <si>
    <t xml:space="preserve">CBO / IRS estimates</t>
  </si>
  <si>
    <t xml:space="preserve">FPITREV.6</t>
  </si>
  <si>
    <t xml:space="preserve">FPITREV_CALIBRATION_FACTOR_HOSP</t>
  </si>
  <si>
    <t xml:space="preserve">Calibration factor – Hospitality/Accommodation</t>
  </si>
  <si>
    <t xml:space="preserve">Downward adjustment for lower reported income compliance; used in FPITREV.0</t>
  </si>
  <si>
    <t xml:space="preserve">Industry-specific patterns</t>
  </si>
  <si>
    <t xml:space="preserve">FPPTREV Parameters</t>
  </si>
  <si>
    <t xml:space="preserve">FPPTREV_STATE_TARGET</t>
  </si>
  <si>
    <t xml:space="preserve">AL / Statewide Federal Personal Payroll Tax Revenue target ($)</t>
  </si>
  <si>
    <t xml:space="preserve">Model aggregate from CALC ~$1.858B; proxy for employee FICA contributions (withheld SS + Medicare) prorated to AL payroll base; consistent with FPITREV scaling and BLS wage/employment data</t>
  </si>
  <si>
    <t xml:space="preserve">Model validation + BLS CES Dec 2025 ($31.96/hr avg private) prorated est.</t>
  </si>
  <si>
    <t xml:space="preserve">Effective federal payroll tax rate – General/American (decimal, employee share)</t>
  </si>
  <si>
    <t xml:space="preserve">Standard FICA: 6.2% SS + 1.45% Medicare = 7.65%; used in FPPTREV.0</t>
  </si>
  <si>
    <t xml:space="preserve">IRS / SSA 2025-2026 rates</t>
  </si>
  <si>
    <t xml:space="preserve">FED_PAYROLL_RATE_AUTH</t>
  </si>
  <si>
    <t xml:space="preserve">Effective federal payroll rate – Authorized immigrants (decimal)</t>
  </si>
  <si>
    <t xml:space="preserve">Full FICA compliance assumed; used in FPPTREV.1</t>
  </si>
  <si>
    <t xml:space="preserve">Effective federal payroll rate – Unauthorized immigrants (decimal)</t>
  </si>
  <si>
    <t xml:space="preserve">Lower due to partial withholding/compliance; used in FPPTREV.2; aligns with CALC ~0.05 effective</t>
  </si>
  <si>
    <t xml:space="preserve">FPPTREV_CALIBRATION_FACTOR_PUBLIC</t>
  </si>
  <si>
    <t xml:space="preserve">Full compliance/stable sector; used in FPPTREV.0</t>
  </si>
  <si>
    <t xml:space="preserve">BLS / IRS patterns</t>
  </si>
  <si>
    <t xml:space="preserve">FPPTREV.5</t>
  </si>
  <si>
    <t xml:space="preserve">FPPTREV_CALIBRATION_FACTOR_AG</t>
  </si>
  <si>
    <t xml:space="preserve">Downward for seasonal/lower compliance est.; used in FPPTREV.0</t>
  </si>
  <si>
    <t xml:space="preserve">Industry patterns</t>
  </si>
  <si>
    <t xml:space="preserve">EITCREF Parameters</t>
  </si>
  <si>
    <t xml:space="preserve">EITCREF_STATE_TARGET</t>
  </si>
  <si>
    <t xml:space="preserve">AL / Statewide Earned Income Tax Credit Refund target ($)</t>
  </si>
  <si>
    <t xml:space="preserve">Model aggregate from CALC ~$142M; reasonable proxy prorating IRS national EITC refunds (~$70B in recent years) to AL population (~1.5%) and low-income share</t>
  </si>
  <si>
    <t xml:space="preserve">EITC_AVG_REFUND_PER_ELIG</t>
  </si>
  <si>
    <t xml:space="preserve">Average EITC refund per eligible filer ($)</t>
  </si>
  <si>
    <t xml:space="preserve">National IRS average ~$2,500–$3,000 per recent SOI; used statewide; adjusted slightly upward for AL demographics</t>
  </si>
  <si>
    <t xml:space="preserve">IRS SOI EITC statistics</t>
  </si>
  <si>
    <t xml:space="preserve">EITC_ELIG_RATE_IND_HOSP</t>
  </si>
  <si>
    <t xml:space="preserve">Industry-specific EITC eligibility rate – Hospitality/Accommodation</t>
  </si>
  <si>
    <t xml:space="preserve">Higher low-wage worker concentration; used in EITCREF.0</t>
  </si>
  <si>
    <t xml:space="preserve">ACS income distribution + IRS eligibility thresholds</t>
  </si>
  <si>
    <t xml:space="preserve">EITC_ELIG_RATE_IND_AG</t>
  </si>
  <si>
    <t xml:space="preserve">Industry-specific EITC eligibility rate – Agriculture</t>
  </si>
  <si>
    <t xml:space="preserve">High proportion of low/moderate earners; used in EITCREF.0</t>
  </si>
  <si>
    <t xml:space="preserve">ACS / USDA patterns</t>
  </si>
  <si>
    <t xml:space="preserve">EITC_ELIG_RATE_AUTH</t>
  </si>
  <si>
    <t xml:space="preserve">Authorized immigrant EITC eligibility rate (decimal)</t>
  </si>
  <si>
    <t xml:space="preserve">Partial eligibility via ITIN/SSN; used in EITCREF.1</t>
  </si>
  <si>
    <t xml:space="preserve">Urban Institute / IRS rules</t>
  </si>
  <si>
    <t xml:space="preserve">EITCREF.5</t>
  </si>
  <si>
    <t xml:space="preserve">EITCREF_CALIBRATION_FACTOR_MANU</t>
  </si>
  <si>
    <t xml:space="preserve">Calibration factor – Manufacturing</t>
  </si>
  <si>
    <t xml:space="preserve">Downward adjustment for slightly higher avg incomes reducing eligibility; used in EITCREF.0</t>
  </si>
  <si>
    <t xml:space="preserve">Industry income patterns</t>
  </si>
  <si>
    <t xml:space="preserve">EITCREF.6</t>
  </si>
  <si>
    <t xml:space="preserve">EITC_ELIG_RATE_UNAUTH</t>
  </si>
  <si>
    <t xml:space="preserve">Unauthorized immigrant EITC eligibility rate (decimal)</t>
  </si>
  <si>
    <t xml:space="preserve">Strict IRS requirement for valid SSN on filer and children; conservative $0 assumption per current policy; used in EITCREF.2</t>
  </si>
  <si>
    <t xml:space="preserve">IRS EITC rules 2025-2026</t>
  </si>
  <si>
    <t xml:space="preserve">ACTCREF Parameters</t>
  </si>
  <si>
    <t xml:space="preserve">ACTCREF_STATE_TARGET</t>
  </si>
  <si>
    <t xml:space="preserve">AL / Statewide Additional Child Tax Credit Refund target ($)</t>
  </si>
  <si>
    <t xml:space="preserve">Model aggregate from CALC ~$856M; proxy prorating national ACTC refunds to AL (pop ~1.5%, low-income family share); aligns with OBBB Act 2025 rules ($1,700 max refundable/child)</t>
  </si>
  <si>
    <t xml:space="preserve">Model validation + IRS/OBBB trends (2025 tax year)</t>
  </si>
  <si>
    <t xml:space="preserve">ACTC_AVG_REFUND_PER_CHILD</t>
  </si>
  <si>
    <t xml:space="preserve">Average ACTC refund per qualifying child ($)</t>
  </si>
  <si>
    <t xml:space="preserve">2025 max refundable portion $1,700 per child (OBBB Act); used statewide; assumes blend of full/partial claims</t>
  </si>
  <si>
    <t xml:space="preserve">IRS rules / OBBB Act 2025</t>
  </si>
  <si>
    <t xml:space="preserve">ACTC_ELIG_CHILDREN_IND_HOSP</t>
  </si>
  <si>
    <t xml:space="preserve">Estimated eligible children – Hospitality/Accommodation</t>
  </si>
  <si>
    <t xml:space="preserve">Higher low/moderate income families; used in ACTCREF.0</t>
  </si>
  <si>
    <t xml:space="preserve">ACS family/income distribution + IRS eligibility</t>
  </si>
  <si>
    <t xml:space="preserve">ACTC_ELIG_CHILDREN_IND_PUBLIC</t>
  </si>
  <si>
    <t xml:space="preserve">Estimated eligible children – Public Administration</t>
  </si>
  <si>
    <t xml:space="preserve">Stable incomes may reduce eligibility; used in ACTCREF.0</t>
  </si>
  <si>
    <t xml:space="preserve">ACS patterns</t>
  </si>
  <si>
    <t xml:space="preserve">ACTCREF_CALIBRATION_FACTOR_AG</t>
  </si>
  <si>
    <t xml:space="preserve">Uplift for higher proportion of qualifying children in low-wage sector; used in ACTCREF.0</t>
  </si>
  <si>
    <t xml:space="preserve">Industry demographics</t>
  </si>
  <si>
    <t xml:space="preserve">ACTCREF.5</t>
  </si>
  <si>
    <t xml:space="preserve">ACTC_ELIG_RATE_AUTH</t>
  </si>
  <si>
    <t xml:space="preserve">Authorized immigrant ACTC eligibility rate per child (decimal)</t>
  </si>
  <si>
    <t xml:space="preserve">Partial via ITIN-child-SSN; used in group derivations</t>
  </si>
  <si>
    <t xml:space="preserve">ACTCREF.6</t>
  </si>
  <si>
    <t xml:space="preserve">ACTC_ELIG_RATE_UNAUTH</t>
  </si>
  <si>
    <t xml:space="preserve">Unauthorized immigrant ACTC eligibility rate per child (decimal)</t>
  </si>
  <si>
    <t xml:space="preserve">Strict SSN requirements for filer/children; conservative $0 assumption; used in ACTCREF.2</t>
  </si>
  <si>
    <t xml:space="preserve">IRS CTC/ACTC rules 2025-2026</t>
  </si>
  <si>
    <t xml:space="preserve">AOTCREF Parameters</t>
  </si>
  <si>
    <t xml:space="preserve">AOTCREF_STATE_TARGET</t>
  </si>
  <si>
    <t xml:space="preserve">AL / Statewide American Opportunity Tax Credit Refund target ($)</t>
  </si>
  <si>
    <t xml:space="preserve">Recalibrated to ~$30M per VALID V014 suggestion (from overstated ~$252M in CALC); reasonable proxy prorating IRS national AOTC claims to AL postsecondary enrollment and low/moderate income share</t>
  </si>
  <si>
    <t xml:space="preserve">Model validation + IRS SOI / Urban Institute adjusted est.</t>
  </si>
  <si>
    <t xml:space="preserve">AOTC_AVG_REFUND_PER_ELIG</t>
  </si>
  <si>
    <t xml:space="preserve">Average AOTC refund/credit per eligible filer ($)</t>
  </si>
  <si>
    <t xml:space="preserve">Full credit $2,500 (40% refundable = $1,000 max refund); used statewide as blended avg assuming partial/full claims</t>
  </si>
  <si>
    <t xml:space="preserve">IRS AOTC rules 2025 tax year</t>
  </si>
  <si>
    <t xml:space="preserve">AOTC_ELIG_STUDENTS_IND_ED_HEALTH</t>
  </si>
  <si>
    <t xml:space="preserve">Estimated eligible postsecondary students/claimants – Education/Health</t>
  </si>
  <si>
    <t xml:space="preserve">Higher concentration of young/adult learners; used in AOTCREF.0</t>
  </si>
  <si>
    <t xml:space="preserve">ACS / NCES enrollment + income eligibility</t>
  </si>
  <si>
    <t xml:space="preserve">AOTC_ELIG_STUDENTS_IND_PUBLIC</t>
  </si>
  <si>
    <t xml:space="preserve">Estimated eligible postsecondary students/claimants – Public Administration</t>
  </si>
  <si>
    <t xml:space="preserve">Lower student proportion in gov workforce; used in AOTCREF.0</t>
  </si>
  <si>
    <t xml:space="preserve">AOTCREF_CALIBRATION_FACTOR_HOSP</t>
  </si>
  <si>
    <t xml:space="preserve">Downward for lower postsecondary participation among workers; used in AOTCREF.0</t>
  </si>
  <si>
    <t xml:space="preserve">AOTCREF.5</t>
  </si>
  <si>
    <t xml:space="preserve">AOTC_ELIG_RATE_AUTH</t>
  </si>
  <si>
    <t xml:space="preserve">Authorized immigrant AOTC eligibility rate per potential student (decimal)</t>
  </si>
  <si>
    <t xml:space="preserve">Partial via ITIN + documentation; used in group derivations</t>
  </si>
  <si>
    <t xml:space="preserve">AOTCREF.6</t>
  </si>
  <si>
    <t xml:space="preserve">AOTC_ELIG_RATE_UNAUTH</t>
  </si>
  <si>
    <t xml:space="preserve">Unauthorized immigrant AOTC eligibility rate per potential student (decimal)</t>
  </si>
  <si>
    <t xml:space="preserve">High practical barriers (documentation, filing risk); conservative $0 assumption; used in AOTCREF.2</t>
  </si>
  <si>
    <t xml:space="preserve">IRS AOTC rules + compliance est.</t>
  </si>
  <si>
    <t xml:space="preserve">EP Parameters</t>
  </si>
  <si>
    <t xml:space="preserve">EP_STATE_TARGET</t>
  </si>
  <si>
    <t xml:space="preserve">AL / Statewide total employed population target (persons)</t>
  </si>
  <si>
    <t xml:space="preserve">AL DOL Dec 2025 preliminary: 2,317,206 (new record high, household survey-based); proxy blending CES nonfarm 2,221.3k + uplift for self-emp/ag; used for statewide sum</t>
  </si>
  <si>
    <t xml:space="preserve">AL Dept of Labor Jan 23, 2026 release / BLS LAUS Jan 27, 2026</t>
  </si>
  <si>
    <t xml:space="preserve">EP_CALIBRATION_FACTOR_CONSTR</t>
  </si>
  <si>
    <t xml:space="preserve">Industry-specific EP calibration – Construction</t>
  </si>
  <si>
    <t xml:space="preserve">Uplift for growth/volatility; edited to align with CES gains (+3,400 over year)</t>
  </si>
  <si>
    <t xml:space="preserve">BLS CES Dec 2025 patterns</t>
  </si>
  <si>
    <t xml:space="preserve">UNAUTH_IMMIGRANT_EP_SHARE_IND_AG</t>
  </si>
  <si>
    <t xml:space="preserve">Unauthorized immigrant employment share – Agriculture</t>
  </si>
  <si>
    <t xml:space="preserve">Higher concentration in ag; used in EP.2</t>
  </si>
  <si>
    <t xml:space="preserve">AUTH_IMMIGRANT_EP_SHARE_IND_MANU</t>
  </si>
  <si>
    <t xml:space="preserve">Authorized immigrant employment share – Manufacturing</t>
  </si>
  <si>
    <t xml:space="preserve">Moderate in manufacturing; used in EP.1</t>
  </si>
  <si>
    <t xml:space="preserve">EP_CALIBRATION_FACTOR_HOSP</t>
  </si>
  <si>
    <t xml:space="preserve">Slight downward for seasonal effects; used in EP.0</t>
  </si>
  <si>
    <t xml:space="preserve">BLS CES / AL DOL patterns</t>
  </si>
  <si>
    <t xml:space="preserve">EP.5</t>
  </si>
  <si>
    <t xml:space="preserve">Unauthorized immigrant ETPR adjustment (for EP proration)</t>
  </si>
  <si>
    <t xml:space="preserve">Lower employment-to-pop ratio est.; used in EP.2</t>
  </si>
  <si>
    <t xml:space="preserve">MPI / ACS</t>
  </si>
  <si>
    <t xml:space="preserve">AWHW Parameters</t>
  </si>
  <si>
    <t xml:space="preserve">AWHW_STATE_TARGET</t>
  </si>
  <si>
    <t xml:space="preserve">AL / Statewide average weekly hours worked target (hours/week, total private nonfarm)</t>
  </si>
  <si>
    <t xml:space="preserve">Weighted proxy from BLS CES national ~34.3 (Jan 2026) + AL industry mix uplift (manufacturing/goods higher ~40 hrs); reasonable for AL private sector per QCEW/CES trends</t>
  </si>
  <si>
    <t xml:space="preserve">BLS CES Jan 2026 national + AL patterns (Dec 2025/Jan 2026 releases)</t>
  </si>
  <si>
    <t xml:space="preserve">From BLS CES industry patterns (AL manufacturing ~40–41 hrs recent); used in AWHW.0</t>
  </si>
  <si>
    <t xml:space="preserve">BLS CES / FRED SMU01000003000000002A series</t>
  </si>
  <si>
    <t xml:space="preserve">Goods-producing ~39–40 hrs national proxy; used in AWHW.0</t>
  </si>
  <si>
    <t xml:space="preserve">Seasonal hours adjustment factor – Leisure/Hospitality</t>
  </si>
  <si>
    <t xml:space="preserve">Downward for part-time/seasonal effects; used in AWHW.0</t>
  </si>
  <si>
    <t xml:space="preserve">BLS CES seasonal factors</t>
  </si>
  <si>
    <t xml:space="preserve">UNAUTH_IMMIGRANT_AWHW_ADJ_FACTOR</t>
  </si>
  <si>
    <t xml:space="preserve">Unauthorized immigrant AWHW adjustment factor</t>
  </si>
  <si>
    <t xml:space="preserve">Higher hours est. in intensive sectors; used in AWHW.2</t>
  </si>
  <si>
    <t xml:space="preserve">AWHW.5</t>
  </si>
  <si>
    <t xml:space="preserve">AUTH_IMMIGRANT_AWHW_ADJ_FACTOR</t>
  </si>
  <si>
    <t xml:space="preserve">Authorized immigrant AWHW adjustment factor</t>
  </si>
  <si>
    <t xml:space="preserve">Slight uplift for stability; used in AWHW.1</t>
  </si>
  <si>
    <t xml:space="preserve">AWHW.6</t>
  </si>
  <si>
    <t xml:space="preserve">AWHW_CALIBRATION_FACTOR_PUBLIC</t>
  </si>
  <si>
    <t xml:space="preserve">Stable/full-time hours; used in AWHW.0</t>
  </si>
  <si>
    <t xml:space="preserve">FTER Parameters</t>
  </si>
  <si>
    <t xml:space="preserve">FTER_STATE_TARGET</t>
  </si>
  <si>
    <t xml:space="preserve">AL / Statewide Full-Time Employment Rate target (decimal, usually 35+ hrs/wk)</t>
  </si>
  <si>
    <t xml:space="preserve">Proxy from national CPS ~82.5% full-time workers (Dec 2025/Jan 2026, table A-9/A-6 trends); AL similar or slightly higher due to manufacturing/construction mix</t>
  </si>
  <si>
    <t xml:space="preserve">BLS CPS national Dec 2025/Jan 2026 + AL industry adjustment</t>
  </si>
  <si>
    <t xml:space="preserve">FTER_LOGIT_BASE_IND_MANU</t>
  </si>
  <si>
    <t xml:space="preserve">Base logit for full-time propensity – Manufacturing</t>
  </si>
  <si>
    <t xml:space="preserve">High full-time typical (~90–95%); used in FTER.0 logistic</t>
  </si>
  <si>
    <t xml:space="preserve">BLS CPS patterns / industry data</t>
  </si>
  <si>
    <t xml:space="preserve">FTER_LOGIT_BASE_IND_HOSP</t>
  </si>
  <si>
    <t xml:space="preserve">Base logit for full-time propensity – Hospitality</t>
  </si>
  <si>
    <t xml:space="preserve">Lower due to part-time prevalence (~60–70% full-time); used in FTER.0</t>
  </si>
  <si>
    <t xml:space="preserve">BLS CPS / CES hours patterns</t>
  </si>
  <si>
    <t xml:space="preserve">FTER_AWHW_SENSITIVITY</t>
  </si>
  <si>
    <t xml:space="preserve">Sensitivity of full-time rate to average weekly hours (per hour increase)</t>
  </si>
  <si>
    <t xml:space="preserve">Strong positive effect; used in logistic slope; calibrated to match national ~82.5% at ~35.8 hrs avg</t>
  </si>
  <si>
    <t xml:space="preserve">BLS CPS correlation AWHW vs full-time</t>
  </si>
  <si>
    <t xml:space="preserve">UNAUTH_IMMIGRANT_FTER_ADJ_FACTOR</t>
  </si>
  <si>
    <t xml:space="preserve">Unauthorized immigrant FTER adjustment factor</t>
  </si>
  <si>
    <t xml:space="preserve">Higher full-time est. in intensive sectors; used in FTER.2</t>
  </si>
  <si>
    <t xml:space="preserve">FTER.5</t>
  </si>
  <si>
    <t xml:space="preserve">AUTH_IMMIGRANT_FTER_ADJ_FACTOR</t>
  </si>
  <si>
    <t xml:space="preserve">Authorized immigrant FTER adjustment factor</t>
  </si>
  <si>
    <t xml:space="preserve">Slight uplift for stability; used in FTER.1</t>
  </si>
  <si>
    <t xml:space="preserve">FTER.6</t>
  </si>
  <si>
    <t xml:space="preserve">FTER_CALIBRATION_FACTOR_PUBLIC</t>
  </si>
  <si>
    <t xml:space="preserve">Uplift for high full-time in gov sector; used in FTER.0</t>
  </si>
  <si>
    <t xml:space="preserve">PTER Parameters</t>
  </si>
  <si>
    <t xml:space="preserve">PTER_STATE_TARGET</t>
  </si>
  <si>
    <t xml:space="preserve">AL / Statewide Part-Time Employment Rate target (decimal, usually &lt;35 hrs/wk)</t>
  </si>
  <si>
    <t xml:space="preserve">Proxy from national CPS ~17.5% part-time workers (100% - 82.5% full-time, Dec 2025/Jan 2026 table A-8/A-9 trends); AL similar or slightly lower due to manufacturing/construction mix</t>
  </si>
  <si>
    <t xml:space="preserve">PTER_CALIBRATION_FACTOR_HOSP</t>
  </si>
  <si>
    <t xml:space="preserve">Industry-specific PTER calibration – Hospitality/Accommodation</t>
  </si>
  <si>
    <t xml:space="preserve">Uplift for higher part-time prevalence (seasonal/part-time jobs); used in PTER.0 (inherits from FTER but override possible)</t>
  </si>
  <si>
    <t xml:space="preserve">BLS CPS / CES patterns</t>
  </si>
  <si>
    <t xml:space="preserve">UNAUTH_IMMIGRANT_PTER_ADJ_FACTOR</t>
  </si>
  <si>
    <t xml:space="preserve">Unauthorized immigrant PTER adjustment factor</t>
  </si>
  <si>
    <t xml:space="preserve">Lower part-time est. (higher full-time in intensive sectors); used if independent adj needed (complements FTER.2)</t>
  </si>
  <si>
    <t xml:space="preserve">AUTH_IMMIGRANT_PTER_ADJ_FACTOR</t>
  </si>
  <si>
    <t xml:space="preserve">Authorized immigrant PTER adjustment factor</t>
  </si>
  <si>
    <t xml:space="preserve">Slightly lower part-time than average; used if independent adj needed (complements FTER.1)</t>
  </si>
  <si>
    <t xml:space="preserve">PTER_CALIBRATION_FACTOR_MANU</t>
  </si>
  <si>
    <t xml:space="preserve">Downward for high full-time/low part-time in goods-producing sector; used in PTER.0</t>
  </si>
  <si>
    <t xml:space="preserve">JTA Parameters</t>
  </si>
  <si>
    <t xml:space="preserve">JTA_STATE_TARGET</t>
  </si>
  <si>
    <t xml:space="preserve">AL / Statewide average/median job tenure target (years)</t>
  </si>
  <si>
    <t xml:space="preserve">Proxy from national BLS median 3.9 years (Jan 2024 release, lowest since 2002) + slight AL uplift for lower unemployment (2.7%) and stable sectors (gov, manufacturing); original P050 adj decreased 15% to align with ~4.1 national median proxy</t>
  </si>
  <si>
    <t xml:space="preserve">BLS Employee Tenure Jan 2024 + AL DOL U-3 context (Feb 2026)</t>
  </si>
  <si>
    <t xml:space="preserve">BASE_JTA_IND_PUBLIC</t>
  </si>
  <si>
    <t xml:space="preserve">Base job tenure – Public Administration</t>
  </si>
  <si>
    <t xml:space="preserve">High stability/long tenure in gov sector (national proxy ~6–10 years); used in JTA.0</t>
  </si>
  <si>
    <t xml:space="preserve">BLS tenure by occupation/industry patterns</t>
  </si>
  <si>
    <t xml:space="preserve">BASE_JTA_IND_HOSP</t>
  </si>
  <si>
    <t xml:space="preserve">Base job tenure – Hospitality/Accommodation</t>
  </si>
  <si>
    <t xml:space="preserve">High turnover/low tenure typical (~2–3 years); used in JTA.0</t>
  </si>
  <si>
    <t xml:space="preserve">BLS / industry patterns</t>
  </si>
  <si>
    <t xml:space="preserve">UNAUTH_IMMIGRANT_JTA_ADJ_FACTOR</t>
  </si>
  <si>
    <t xml:space="preserve">Unauthorized immigrant JTA adjustment factor</t>
  </si>
  <si>
    <t xml:space="preserve">Lower tenure est. due to mobility/barriers; used in JTA.2</t>
  </si>
  <si>
    <t xml:space="preserve">AUTH_IMMIGRANT_JTA_ADJ_FACTOR</t>
  </si>
  <si>
    <t xml:space="preserve">Authorized immigrant JTA adjustment factor</t>
  </si>
  <si>
    <t xml:space="preserve">Slightly higher than average; used in JTA.1</t>
  </si>
  <si>
    <t xml:space="preserve">JTA.5</t>
  </si>
  <si>
    <t xml:space="preserve">JTA_CALIBRATION_FACTOR_MANU</t>
  </si>
  <si>
    <t xml:space="preserve">Uplift for higher tenure in stable manufacturing; used in JTA.0</t>
  </si>
  <si>
    <t xml:space="preserve">JTA.6</t>
  </si>
  <si>
    <t xml:space="preserve">Turnover rate adjustment factor (from original P049)</t>
  </si>
  <si>
    <t xml:space="preserve">Decreased by 15% to match BLS JOLTS separation ~3.4% monthly avg; influences JTA downward; used in JTA.0</t>
  </si>
  <si>
    <t xml:space="preserve">BLS JOLTS Nov 2025 AL proxy</t>
  </si>
  <si>
    <t xml:space="preserve">TR Parameters</t>
  </si>
  <si>
    <t xml:space="preserve">TR_STATE_TARGET</t>
  </si>
  <si>
    <t xml:space="preserve">AL / Statewide monthly turnover rate target (separations rate, decimal)</t>
  </si>
  <si>
    <t xml:space="preserve">Proxy from AL JOLTS Nov 2025 ~77k separations / ~2.3M employed ≈ 3.35%; national Dec 2025 3.3%; original P049 adj to ~3.4% monthly avg; used for weighted statewide</t>
  </si>
  <si>
    <t xml:space="preserve">BLS JOLTS AL Nov 2025 + national Dec 2025 (Feb 2026 release)</t>
  </si>
  <si>
    <t xml:space="preserve">BASE_TR_IND_HOSP</t>
  </si>
  <si>
    <t xml:space="preserve">Base turnover rate – Hospitality/Accommodation</t>
  </si>
  <si>
    <t xml:space="preserve">High quits/volatility typical (~5–6% monthly); used in TR.0</t>
  </si>
  <si>
    <t xml:space="preserve">BLS JOLTS industry patterns</t>
  </si>
  <si>
    <t xml:space="preserve">BASE_TR_IND_PUBLIC</t>
  </si>
  <si>
    <t xml:space="preserve">Base turnover rate – Public Administration</t>
  </si>
  <si>
    <t xml:space="preserve">Low turnover in gov sector (~1–2% monthly); used in TR.0</t>
  </si>
  <si>
    <t xml:space="preserve">BLS JOLTS patterns</t>
  </si>
  <si>
    <t xml:space="preserve">UNAUTH_IMMIGRANT_TR_ADJ_FACTOR</t>
  </si>
  <si>
    <t xml:space="preserve">Unauthorized immigrant TR adjustment factor</t>
  </si>
  <si>
    <t xml:space="preserve">Higher turnover est. due to instability; used in TR.2</t>
  </si>
  <si>
    <t xml:space="preserve">AUTH_IMMIGRANT_TR_ADJ_FACTOR</t>
  </si>
  <si>
    <t xml:space="preserve">Authorized immigrant TR adjustment factor</t>
  </si>
  <si>
    <t xml:space="preserve">Lower than average; used in TR.1</t>
  </si>
  <si>
    <t xml:space="preserve">TR.5</t>
  </si>
  <si>
    <t xml:space="preserve">TR_CALIBRATION_FACTOR_MANU</t>
  </si>
  <si>
    <t xml:space="preserve">Downward for moderate stability; used in TR.0</t>
  </si>
  <si>
    <t xml:space="preserve">TR.6</t>
  </si>
  <si>
    <t xml:space="preserve">Turnover adjustment factor (from original P049)</t>
  </si>
  <si>
    <t xml:space="preserve">Decreased by 25% to match BLS JOLTS ~3.4% monthly avg (from prior higher CALC est.); used in TR.0</t>
  </si>
  <si>
    <t xml:space="preserve">BLS JOLTS AL/national proxy</t>
  </si>
  <si>
    <t xml:space="preserve">LP Parameters</t>
  </si>
  <si>
    <t xml:space="preserve">LP_STATE_TARGET</t>
  </si>
  <si>
    <t xml:space="preserve">AL / Statewide labor productivity target (real chained 2017 $ per hour worked)</t>
  </si>
  <si>
    <t xml:space="preserve">Proxy derived from BEA Q3 2025 real GDP ~$262B annualized / est. total hours ~3.6B (from EP ~2.317M × AWHW ~35.8 hrs/wk × 52); aligns with national nonfarm trends and AL 2024 BLS +1.4% change</t>
  </si>
  <si>
    <t xml:space="preserve">BEA real GDP Q3 2025 + BLS state productivity 2024 + model fusion</t>
  </si>
  <si>
    <t xml:space="preserve">LP_CALIBRATION_FACTOR_MANU</t>
  </si>
  <si>
    <t xml:space="preserve">Industry-specific LP calibration – Manufacturing</t>
  </si>
  <si>
    <t xml:space="preserve">Uplift for higher output per hour in manufacturing (AL strong sector); used in LP.0</t>
  </si>
  <si>
    <t xml:space="preserve">BLS / BEA industry patterns</t>
  </si>
  <si>
    <t xml:space="preserve">UNAUTH_IMMIGRANT_LP_ADJ_FACTOR</t>
  </si>
  <si>
    <t xml:space="preserve">Unauthorized immigrant LP adjustment factor</t>
  </si>
  <si>
    <t xml:space="preserve">Lower productivity est. due to sector concentration and barriers; used in LP.2</t>
  </si>
  <si>
    <t xml:space="preserve">AUTH_IMMIGRANT_LP_ADJ_FACTOR</t>
  </si>
  <si>
    <t xml:space="preserve">Authorized immigrant LP adjustment factor</t>
  </si>
  <si>
    <t xml:space="preserve">Slight premium for skill/stability; used in LP.1</t>
  </si>
  <si>
    <t xml:space="preserve">REAL_OUTPUT_IND_HOSP</t>
  </si>
  <si>
    <t xml:space="preserve">Proxy real output – Hospitality/Accommodation</t>
  </si>
  <si>
    <t xml:space="preserve">Estimated from BEA GDP share; used in group derivations</t>
  </si>
  <si>
    <t xml:space="preserve">BEA / industry allocation</t>
  </si>
  <si>
    <t xml:space="preserve">LP.5</t>
  </si>
  <si>
    <t xml:space="preserve">LP_CALIBRATION_FACTOR_PUBLIC</t>
  </si>
  <si>
    <t xml:space="preserve">Uplift for stable/high-output gov sector; used in LP.0</t>
  </si>
  <si>
    <t xml:space="preserve">BEA patterns</t>
  </si>
  <si>
    <t xml:space="preserve">ELR Parameters</t>
  </si>
  <si>
    <t xml:space="preserve">ELR_STATE_TARGET</t>
  </si>
  <si>
    <t xml:space="preserve">AL / Statewide typical education level target (categorical scale 1–5)</t>
  </si>
  <si>
    <t xml:space="preserve">Weighted proxy: ~ HS diploma/associate dominant (scale ~3.0–3.3); AL lower postsecondary than national (ACS/CPS 2024–2025 est. ~35–38% bachelor's+ vs 44.5% national)</t>
  </si>
  <si>
    <t xml:space="preserve">ACS CPS attainment + BLS OEWS/O*NET patterns</t>
  </si>
  <si>
    <t xml:space="preserve">TYPICAL_EDU_IND_MANU</t>
  </si>
  <si>
    <t xml:space="preserve">Base typical education – Manufacturing</t>
  </si>
  <si>
    <t xml:space="preserve">Mostly HS diploma + some college/apprenticeship (scale ~2–3); used in ELR.0</t>
  </si>
  <si>
    <t xml:space="preserve">BLS OEWS / O*NET entry-level + AL industry mix</t>
  </si>
  <si>
    <t xml:space="preserve">TYPICAL_EDU_IND_ED_HEALTH</t>
  </si>
  <si>
    <t xml:space="preserve">Base typical education – Education/Health</t>
  </si>
  <si>
    <t xml:space="preserve">Bachelor's+ common (teachers, nurses); used in ELR.0</t>
  </si>
  <si>
    <t xml:space="preserve">BLS CPS / OEWS patterns</t>
  </si>
  <si>
    <t xml:space="preserve">UNAUTH_IMMIGRANT_ELR_ADJ_FACTOR</t>
  </si>
  <si>
    <t xml:space="preserve">Unauthorized immigrant ELR adjustment factor</t>
  </si>
  <si>
    <t xml:space="preserve">Lower credential share est.; used in ELR.2</t>
  </si>
  <si>
    <t xml:space="preserve">AUTH_IMMIGRANT_ELR_ADJ_FACTOR</t>
  </si>
  <si>
    <t xml:space="preserve">Authorized immigrant ELR adjustment factor</t>
  </si>
  <si>
    <t xml:space="preserve">Higher credential share est.; used in ELR.1</t>
  </si>
  <si>
    <t xml:space="preserve">ELR.5</t>
  </si>
  <si>
    <t xml:space="preserve">ELR_CALIBRATION_FACTOR_PUBLIC</t>
  </si>
  <si>
    <t xml:space="preserve">Bachelor's+ dominant in gov roles; used in ELR.0</t>
  </si>
  <si>
    <t xml:space="preserve">BLS / state patterns</t>
  </si>
  <si>
    <t xml:space="preserve">ELR.6</t>
  </si>
  <si>
    <t xml:space="preserve">ELR_CALIBRATION_FACTOR_HOSP</t>
  </si>
  <si>
    <t xml:space="preserve">HS diploma dominant + some college; used in ELR.0</t>
  </si>
  <si>
    <t xml:space="preserve">SLTR Parameters</t>
  </si>
  <si>
    <t xml:space="preserve">SLTR_STATE_TARGET</t>
  </si>
  <si>
    <t xml:space="preserve">AL / Statewide labor-derived state/local tax revenue target ($)</t>
  </si>
  <si>
    <t xml:space="preserve">Proxy from PARCA 2025 report (state collections ~$17.5B FY2025, with income ~$7.4B, sales/use ~$3.8B+); original P048 adj to match ~$7.5B income tax revenue + sales/property from wages; reasonable labor share est.</t>
  </si>
  <si>
    <t xml:space="preserve">PARCA Alabama State Tax Collections 2025 + AL Dept Revenue FY2025</t>
  </si>
  <si>
    <t xml:space="preserve">Effective state/local tax rate on labor income (decimal)</t>
  </si>
  <si>
    <t xml:space="preserve">Blended: sales ~5.46% avg local + state 4%, income ~3–5% effective, property ~0.4–0.5%; used in SLTR.0</t>
  </si>
  <si>
    <t xml:space="preserve">ITEP 2025 + Tax Foundation combined rates + PARCA</t>
  </si>
  <si>
    <t xml:space="preserve">Effective state/local rate – Unauthorized (decimal)</t>
  </si>
  <si>
    <t xml:space="preserve">Lower income tax compliance, full sales/property; used in SLTR.2; original P058 est.</t>
  </si>
  <si>
    <t xml:space="preserve">ITEP estimate + MPI compliance patterns</t>
  </si>
  <si>
    <t xml:space="preserve">STATE_LOCAL_TAX_RATE_AUTH</t>
  </si>
  <si>
    <t xml:space="preserve">Effective state/local rate – Authorized (decimal)</t>
  </si>
  <si>
    <t xml:space="preserve">Similar to American; used in SLTR.1</t>
  </si>
  <si>
    <t xml:space="preserve">ITEP / ACS patterns</t>
  </si>
  <si>
    <t xml:space="preserve">State/Local Tax Revenue Adjustment Factor (from original P048)</t>
  </si>
  <si>
    <t xml:space="preserve">Scales labor-income derived tax to match ~$7.5B income tax + sales/property; used in SLTR.0</t>
  </si>
  <si>
    <t xml:space="preserve">AL Dept Revenue FY2025 + PARCA match</t>
  </si>
  <si>
    <t xml:space="preserve">SLTR.5</t>
  </si>
  <si>
    <t xml:space="preserve">SLTR_CALIBRATION_FACTOR_HOSP</t>
  </si>
  <si>
    <t xml:space="preserve">Downward for higher sales tax exposure but variable income; used in SLTR.0</t>
  </si>
  <si>
    <t xml:space="preserve">SLTR.6</t>
  </si>
  <si>
    <t xml:space="preserve">SLTR_CALIBRATION_FACTOR_PUBLIC</t>
  </si>
  <si>
    <t xml:space="preserve">Uplift for stable income/property tax base; used in SLTR.0</t>
  </si>
  <si>
    <t xml:space="preserve">BEA / state patterns</t>
  </si>
  <si>
    <t xml:space="preserve">SSMC Parameters</t>
  </si>
  <si>
    <t xml:space="preserve">SSMC_STATE_TARGET</t>
  </si>
  <si>
    <t xml:space="preserve">AL / Statewide total Social Security/Medicare contributions target ($) (employee + employer)</t>
  </si>
  <si>
    <t xml:space="preserve">Model aggregate proxy ~$11.5B; derived from est. AL payroll base (~$153B–$160B from EP × AWHW × WAVG) × 15.3% FICA (full both sides); consistent with FPPTREV employee share ~$1.858B × ~6 (employer match + Medicare uncapped adjustment)</t>
  </si>
  <si>
    <t xml:space="preserve">Model validation + SSA 2026 rates + BEA payroll est.</t>
  </si>
  <si>
    <t xml:space="preserve">Total FICA rate – General/American (decimal, employee + employer)</t>
  </si>
  <si>
    <t xml:space="preserve">6.2% SS (each) + 1.45% Medicare (each) = 15.3% total; used in SSMC.0; SS capped at $184,500 wage base (2026 SSA)</t>
  </si>
  <si>
    <t xml:space="preserve">SSA / IRS 2026 rates (OASDI 12.4% total, HI 2.9% total)</t>
  </si>
  <si>
    <t xml:space="preserve">SSMC_RATE_AUTH</t>
  </si>
  <si>
    <t xml:space="preserve">Total FICA rate – Authorized (decimal, both sides)</t>
  </si>
  <si>
    <t xml:space="preserve">Full compliance assumed; used in SSMC.1</t>
  </si>
  <si>
    <t xml:space="preserve">IRS / SSA rules</t>
  </si>
  <si>
    <t xml:space="preserve">Total FICA rate – Unauthorized (decimal, both sides est.)</t>
  </si>
  <si>
    <t xml:space="preserve">Partial compliance/withholding; used in SSMC.2; aligns with original P083 and CALC patterns</t>
  </si>
  <si>
    <t xml:space="preserve">SSMC_CALIBRATION_FACTOR_PUBLIC</t>
  </si>
  <si>
    <t xml:space="preserve">Full compliance/stable sector; used in SSMC.0</t>
  </si>
  <si>
    <t xml:space="preserve">SSMC.5</t>
  </si>
  <si>
    <t xml:space="preserve">SSMC_CALIBRATION_FACTOR_AG</t>
  </si>
  <si>
    <t xml:space="preserve">Downward for seasonal/lower compliance est.; used in SSMC.0</t>
  </si>
  <si>
    <t xml:space="preserve">PAUR Parameters</t>
  </si>
  <si>
    <t xml:space="preserve">PAUR_STATE_TARGET</t>
  </si>
  <si>
    <t xml:space="preserve">AL / Statewide public assistance usage rate target (decimal, among employed)</t>
  </si>
  <si>
    <t xml:space="preserve">Proxy from USDA FNS SNAP participation and Urban Institute models; original P047 increased PAUR_ADJ_FACTOR to 1.45 to match ~14.5% SNAP enrollment; reasonable for working population (higher among low-wage employed)</t>
  </si>
  <si>
    <t xml:space="preserve">USDA FNS AL data 2025 + Urban Institute eligibility est. + original model match</t>
  </si>
  <si>
    <t xml:space="preserve">Public Assistance Usage Adjustment Factor (from original P047)</t>
  </si>
  <si>
    <t xml:space="preserve">Increased to match SNAP enrollment ~14.5% (from prior ~10%); used in PAUR.0</t>
  </si>
  <si>
    <t xml:space="preserve">Base PAUR – Agriculture</t>
  </si>
  <si>
    <t xml:space="preserve">Higher low-income share in ag; used in PAUR.0</t>
  </si>
  <si>
    <t xml:space="preserve">ACS 2024 low-income est. + USDA patterns</t>
  </si>
  <si>
    <t xml:space="preserve">PAUR_IND_HOSP</t>
  </si>
  <si>
    <t xml:space="preserve">Base PAUR – Hospitality/Accommodation</t>
  </si>
  <si>
    <t xml:space="preserve">High proportion low-wage workers; used in PAUR.0</t>
  </si>
  <si>
    <t xml:space="preserve">ACS / industry patterns</t>
  </si>
  <si>
    <t xml:space="preserve">UNAUTH_IMMIGRANT_PAUR_ADJ_FACTOR</t>
  </si>
  <si>
    <t xml:space="preserve">Unauthorized immigrant PAUR adjustment factor</t>
  </si>
  <si>
    <t xml:space="preserve">Lower due to eligibility restrictions (e.g., no federal SNAP/TANF for most adults); used in PAUR.2</t>
  </si>
  <si>
    <t xml:space="preserve">Urban Institute / MPI consensus</t>
  </si>
  <si>
    <t xml:space="preserve">PAUR.5</t>
  </si>
  <si>
    <t xml:space="preserve">AUTH_IMMIGRANT_PAUR_ADJ_FACTOR</t>
  </si>
  <si>
    <t xml:space="preserve">Authorized immigrant PAUR adjustment factor</t>
  </si>
  <si>
    <t xml:space="preserve">Slight uplift after waiting periods; used in PAUR.1</t>
  </si>
  <si>
    <t xml:space="preserve">Urban Institute eligibility models</t>
  </si>
  <si>
    <t xml:space="preserve">PAUR.6</t>
  </si>
  <si>
    <t xml:space="preserve">PAUR_CALIBRATION_FACTOR_PUBLIC</t>
  </si>
  <si>
    <t xml:space="preserve">Low usage in stable/high-income gov sector; used in PAUR.0</t>
  </si>
  <si>
    <t xml:space="preserve">Alabama Labor Statistic Logic Interdependent Parameters</t>
  </si>
  <si>
    <t xml:space="preserve">Confidence</t>
  </si>
  <si>
    <t xml:space="preserve">Source</t>
  </si>
  <si>
    <t xml:space="preserve">Last Updated</t>
  </si>
  <si>
    <t xml:space="preserve">AL / Total nonfarm payroll employment (persons)</t>
  </si>
  <si>
    <t xml:space="preserve">AL / Agriculture employment (persons)</t>
  </si>
  <si>
    <t xml:space="preserve">BLS CES + ACS/QCEW adjustment</t>
  </si>
  <si>
    <t xml:space="preserve">AL / Construction employment (persons)</t>
  </si>
  <si>
    <t xml:space="preserve">BLS CES/QCEW December 2025</t>
  </si>
  <si>
    <t xml:space="preserve">AL / Manufacturing employment (persons)</t>
  </si>
  <si>
    <t xml:space="preserve">AL / Trade, Transportation, Utilities (persons)</t>
  </si>
  <si>
    <t xml:space="preserve">AL / Information employment (persons)</t>
  </si>
  <si>
    <t xml:space="preserve">AL / Financial Activities employment (persons)</t>
  </si>
  <si>
    <t xml:space="preserve">AL / Professional and Business Services (persons)</t>
  </si>
  <si>
    <t xml:space="preserve">AL / Education and Health Services (persons)</t>
  </si>
  <si>
    <t xml:space="preserve">AL / Leisure and Hospitality employment (persons)</t>
  </si>
  <si>
    <t xml:space="preserve">UNAUTH_IMMIGRANT_CAP</t>
  </si>
  <si>
    <t xml:space="preserve">AL / Unauthorized immigrant labor force cap (persons)</t>
  </si>
  <si>
    <t xml:space="preserve">MPI/ACS-derived cap, adjusted with 2025 trends</t>
  </si>
  <si>
    <t xml:space="preserve">MIN_VARIANCE_TARGET</t>
  </si>
  <si>
    <t xml:space="preserve">Minimum variance threshold (persons) for group metrics</t>
  </si>
  <si>
    <t xml:space="preserve">Derived from OEWS/ACS role variability</t>
  </si>
  <si>
    <t xml:space="preserve">MODULAR_SCALE_FACTOR</t>
  </si>
  <si>
    <t xml:space="preserve">Scaling factor (no thousands)</t>
  </si>
  <si>
    <t xml:space="preserve">BLS/QCEW alignment</t>
  </si>
  <si>
    <t xml:space="preserve">CIV_POP_TOTAL</t>
  </si>
  <si>
    <t xml:space="preserve">AL / Civilian noninstitutional population 16+ (persons)</t>
  </si>
  <si>
    <t xml:space="preserve">BLS/Census December 2025 (derived from LFPR and labor force)</t>
  </si>
  <si>
    <t xml:space="preserve">CIV_POP_AUTH</t>
  </si>
  <si>
    <t xml:space="preserve">AL / Authorized immigrant civilian population 16+ (persons)</t>
  </si>
  <si>
    <t xml:space="preserve">MPI/ACS/FWD.us 2023-2025 estimates (authorized ~136,000 total pop, adjusted to working-age ~150,000)</t>
  </si>
  <si>
    <t xml:space="preserve">CIV_POP_UNAUTH</t>
  </si>
  <si>
    <t xml:space="preserve">AL / Unauthorized immigrant civilian population 16+ (persons)</t>
  </si>
  <si>
    <t xml:space="preserve">MPI/Pew 2023-2025 estimates (~71,000-77,000 total pop, adjusted to working-age ~80,000)</t>
  </si>
  <si>
    <t xml:space="preserve">CIV_POP_AMER</t>
  </si>
  <si>
    <t xml:space="preserve">AL / American civilian population 16+ (persons)</t>
  </si>
  <si>
    <t xml:space="preserve">Residual (CIV_POP_TOTAL - CIV_POP_AUTH - CIV_POP_UNAUTH)</t>
  </si>
  <si>
    <t xml:space="preserve">BLS_ETPR_STATE_TARGET</t>
  </si>
  <si>
    <t xml:space="preserve">AL / Statewide employment-to-population ratio target (decimal)</t>
  </si>
  <si>
    <t xml:space="preserve">BLS LAUS December 2025 (employed 2317206 / civ pop 4126524 = 0.56152)</t>
  </si>
  <si>
    <t xml:space="preserve">Adjustment factor for authorized immigrants in ETPR</t>
  </si>
  <si>
    <t xml:space="preserve">Derived from MPI/ACS patterns (lower due to demographics; calculated to match group ETPR 0.514)</t>
  </si>
  <si>
    <t xml:space="preserve">Adjustment factor for unauthorized immigrants in ETPR</t>
  </si>
  <si>
    <t xml:space="preserve">Derived from Pew/MPI consensus (higher participation; calculated to match group ETPR 0.586)</t>
  </si>
  <si>
    <t xml:space="preserve">ETPR_STATE_TARGET</t>
  </si>
  <si>
    <t xml:space="preserve">AL / Statewide ETPR calibration target (decimal)</t>
  </si>
  <si>
    <t xml:space="preserve">BLS LAUS December 2025</t>
  </si>
  <si>
    <t xml:space="preserve">LSD.RID.0.AL.CALC</t>
  </si>
  <si>
    <t xml:space="preserve">Labor Industry Role (LIR)</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</si>
  <si>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</si>
  <si>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</si>
  <si>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</si>
  <si>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</si>
  <si>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</si>
  <si>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</si>
  <si>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</si>
  <si>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</si>
  <si>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</si>
  <si>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</si>
  <si>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</si>
  <si>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</si>
  <si>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</si>
  <si>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</si>
  <si>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</si>
  <si>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</si>
  <si>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</si>
  <si>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</si>
  <si>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</si>
  <si>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</si>
  <si>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</si>
  <si>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</si>
  <si>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</si>
  <si>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</si>
  <si>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</si>
  <si>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</si>
  <si>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</si>
  <si>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</si>
  <si>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</si>
  <si>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LIR</t>
  </si>
  <si>
    <t xml:space="preserve">Labor Industry</t>
  </si>
  <si>
    <t xml:space="preserve">Authorized Labor Force Population</t>
  </si>
  <si>
    <t xml:space="preserve">Unauthorized Labor Force Population</t>
  </si>
  <si>
    <t xml:space="preserve">Authorized Immigrant Labor Force Participation Rate (LFPR)</t>
  </si>
  <si>
    <t xml:space="preserve">Unauthorized Immigrant Labor Force Participation Rate (LFPR)</t>
  </si>
  <si>
    <t xml:space="preserve">American Labor Force Participation Rate (LFPR)</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</si>
  <si>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</si>
  <si>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</si>
  <si>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</si>
  <si>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</si>
  <si>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</si>
  <si>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</si>
  <si>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</si>
  <si>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</si>
  <si>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</si>
  <si>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</si>
  <si>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</si>
  <si>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</si>
  <si>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</si>
  <si>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</si>
  <si>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</si>
  <si>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</si>
  <si>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</si>
  <si>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</si>
  <si>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</si>
  <si>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</si>
  <si>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</si>
  <si>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</si>
  <si>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</si>
  <si>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</si>
  <si>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</si>
  <si>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</si>
  <si>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</si>
  <si>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</si>
  <si>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</si>
  <si>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</si>
  <si>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</si>
  <si>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</si>
  <si>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</si>
  <si>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</si>
  <si>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</si>
  <si>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ACTC Refund</t>
  </si>
  <si>
    <t xml:space="preserve">American Tax ACTC Refund</t>
  </si>
  <si>
    <t xml:space="preserve">AOTC Refund</t>
  </si>
  <si>
    <t xml:space="preserve">American Tax AOTC Refund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</si>
  <si>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</si>
  <si>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</si>
  <si>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</si>
  <si>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</si>
  <si>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</si>
  <si>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Job Tenure Average (years)</t>
  </si>
  <si>
    <t xml:space="preserve">JTA Min Tenure</t>
  </si>
  <si>
    <t xml:space="preserve">JTA Max Tenure</t>
  </si>
  <si>
    <t xml:space="preserve">Labor Productivity ($/hr)</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</si>
  <si>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</si>
  <si>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</si>
  <si>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</si>
  <si>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</si>
  <si>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</si>
  <si>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Social Security/Medicare Contributions ($)</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</si>
  <si>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</si>
  <si>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</si>
  <si>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</si>
  <si>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</si>
  <si>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</si>
  <si>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t>
  </si>
  <si>
    <t xml:space="preserve">Wholesale Trade</t>
  </si>
  <si>
    <t xml:space="preserve">Retail Trade</t>
  </si>
  <si>
    <t xml:space="preserve">Transportation and Warehousing</t>
  </si>
  <si>
    <t xml:space="preserve">Information</t>
  </si>
  <si>
    <t xml:space="preserve">Finance and Insurance</t>
  </si>
  <si>
    <t xml:space="preserve">Real Estate and Rental and Leasing</t>
  </si>
  <si>
    <t xml:space="preserve">Professional, Scientific, and Technical Services</t>
  </si>
  <si>
    <t xml:space="preserve">Administrative, Support, Waste Management,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</si>
  <si>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</si>
  <si>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</si>
  <si>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</si>
  <si>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</si>
  <si>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</si>
  <si>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</si>
  <si>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Government (Federal)</t>
  </si>
  <si>
    <t xml:space="preserve">Government (State)</t>
  </si>
  <si>
    <t xml:space="preserve">Government (Local)</t>
  </si>
  <si>
    <t xml:space="preserve">LSD.RID.0.AL.VALID</t>
  </si>
  <si>
    <t xml:space="preserve">Alabama Labor Statistic Calculation Validation</t>
  </si>
  <si>
    <t xml:space="preserve">Metric</t>
  </si>
  <si>
    <t xml:space="preserve">Calculated Value</t>
  </si>
  <si>
    <t xml:space="preserve">Public Value</t>
  </si>
  <si>
    <t xml:space="preserve">Validation Rating</t>
  </si>
  <si>
    <t xml:space="preserve">Notes/Improvement</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</si>
  <si>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</si>
  <si>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</si>
  <si>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</si>
  <si>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</si>
  <si>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</si>
  <si>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Overall LFP</t>
  </si>
  <si>
    <t xml:space="preserve">Authorized LFP</t>
  </si>
  <si>
    <t xml:space="preserve">Unauthorized LFP</t>
  </si>
  <si>
    <t xml:space="preserve">American LFP</t>
  </si>
  <si>
    <t xml:space="preserve">LSD.RID.0.AL.LFP.0</t>
  </si>
  <si>
    <t xml:space="preserve">All Industries:All Roles</t>
  </si>
  <si>
    <t xml:space="preserve">LSD.RID.0.AL.LFP.1</t>
  </si>
  <si>
    <t xml:space="preserve">Agriculture: Support</t>
  </si>
  <si>
    <t xml:space="preserve">LSD.RID.0.AL.LFP.2</t>
  </si>
  <si>
    <t xml:space="preserve">Agriculture: Worker</t>
  </si>
  <si>
    <t xml:space="preserve">LSD.RID.0.AL.LFP.3</t>
  </si>
  <si>
    <t xml:space="preserve">Construction: Support</t>
  </si>
  <si>
    <t xml:space="preserve">LSD.RID.0.AL.LFP.4</t>
  </si>
  <si>
    <t xml:space="preserve">Construction: Worker</t>
  </si>
  <si>
    <t xml:space="preserve">LSD.RID.0.AL.LFP.5</t>
  </si>
  <si>
    <t xml:space="preserve">Hospitality: Support</t>
  </si>
  <si>
    <t xml:space="preserve">LSD.RID.0.AL.LFP.6</t>
  </si>
  <si>
    <t xml:space="preserve">Hospitality: Worker</t>
  </si>
  <si>
    <t xml:space="preserve">LSD.RID.0.AL.LFP.7</t>
  </si>
  <si>
    <t xml:space="preserve">Cleaning &amp; Maintenance: Support</t>
  </si>
  <si>
    <t xml:space="preserve">LSD.RID.0.AL.LFP.8</t>
  </si>
  <si>
    <t xml:space="preserve">Cleaning &amp; Maintenance: Worker</t>
  </si>
  <si>
    <t xml:space="preserve">LSD.RID.0.AL.LFP.9</t>
  </si>
  <si>
    <t xml:space="preserve">Manufacturing: Support</t>
  </si>
  <si>
    <t xml:space="preserve">LSD.RID.0.AL.LFP.10</t>
  </si>
  <si>
    <t xml:space="preserve">Manufacturing: Worker</t>
  </si>
  <si>
    <t xml:space="preserve">LSD.RID.0.AL.LFP.11</t>
  </si>
  <si>
    <t xml:space="preserve">Transportation &amp; Warehousing: Support</t>
  </si>
  <si>
    <t xml:space="preserve">LSD.RID.0.AL.LFP.12</t>
  </si>
  <si>
    <t xml:space="preserve">Transportation &amp; Warehousing: Worker</t>
  </si>
  <si>
    <t xml:space="preserve">LSD.RID.0.AL.LFP.13</t>
  </si>
  <si>
    <t xml:space="preserve">Retail Trade: Support</t>
  </si>
  <si>
    <t xml:space="preserve">LSD.RID.0.AL.LFP.14</t>
  </si>
  <si>
    <t xml:space="preserve">Retail Trade: Worker</t>
  </si>
  <si>
    <t xml:space="preserve">LSD.RID.0.AL.LFP.15</t>
  </si>
  <si>
    <t xml:space="preserve">Landscaping / Groundskeeping: Support</t>
  </si>
  <si>
    <t xml:space="preserve">LSD.RID.0.AL.LFP.16</t>
  </si>
  <si>
    <t xml:space="preserve">Landscaping / Groundskeeping: Worker</t>
  </si>
  <si>
    <t xml:space="preserve">LSD.RID.0.AL.LFP.17</t>
  </si>
  <si>
    <t xml:space="preserve">Automotive &amp; Repair: Support</t>
  </si>
  <si>
    <t xml:space="preserve">LSD.RID.0.AL.LFP.18</t>
  </si>
  <si>
    <t xml:space="preserve">Automotive &amp; Repair: Worker</t>
  </si>
  <si>
    <t xml:space="preserve">LSD.RID.0.AL.LFP.19</t>
  </si>
  <si>
    <t xml:space="preserve">Healthcare &amp; Social Assistance: Support</t>
  </si>
  <si>
    <t xml:space="preserve">LSD.RID.0.AL.LFP.20</t>
  </si>
  <si>
    <t xml:space="preserve">Healthcare &amp; Social Assistance: Worker</t>
  </si>
  <si>
    <t xml:space="preserve">LSD.RID.0.AL.LFP.21</t>
  </si>
  <si>
    <t xml:space="preserve">Professional Services: Support</t>
  </si>
  <si>
    <t xml:space="preserve">LSD.RID.0.AL.LFP.22</t>
  </si>
  <si>
    <t xml:space="preserve">Professional Services: Worker</t>
  </si>
  <si>
    <t xml:space="preserve">LSD.RID.0.AL.LFP.23</t>
  </si>
  <si>
    <t xml:space="preserve">Education: Support</t>
  </si>
  <si>
    <t xml:space="preserve">LSD.RID.0.AL.LFP.24</t>
  </si>
  <si>
    <t xml:space="preserve">Education: Worker</t>
  </si>
  <si>
    <t xml:space="preserve">LSD.RID.0.AL.LFP.25</t>
  </si>
  <si>
    <t xml:space="preserve">Finance &amp; Insurance: Support</t>
  </si>
  <si>
    <t xml:space="preserve">LSD.RID.0.AL.LFP.26</t>
  </si>
  <si>
    <t xml:space="preserve">Finance &amp; Insurance: Worker</t>
  </si>
  <si>
    <t xml:space="preserve">LSD.RID.0.AL.LFP.27</t>
  </si>
  <si>
    <t xml:space="preserve">Media and Information Technology: Support</t>
  </si>
  <si>
    <t xml:space="preserve">LSD.RID.0.AL.LFP.28</t>
  </si>
  <si>
    <t xml:space="preserve">Media and Information Technology: Worker</t>
  </si>
  <si>
    <t xml:space="preserve">LSD.RID.0.AL.LFP.29</t>
  </si>
  <si>
    <t xml:space="preserve">Government: Support</t>
  </si>
  <si>
    <t xml:space="preserve">LSD.RID.0.AL.LFP.30</t>
  </si>
  <si>
    <t xml:space="preserve">Government: Worker</t>
  </si>
  <si>
    <t xml:space="preserve">LSD.RID.0.AL.LFP.31</t>
  </si>
  <si>
    <t xml:space="preserve">Self-Employed / Non-Employer: Support</t>
  </si>
  <si>
    <t xml:space="preserve">LSD.RID.0.AL.LFP.32</t>
  </si>
  <si>
    <t xml:space="preserve">Self-Employed / Non-Employer: Worker</t>
  </si>
  <si>
    <t xml:space="preserve">LSD.RID.0.AL.LFP.33</t>
  </si>
  <si>
    <t xml:space="preserve">Other Services: Support</t>
  </si>
  <si>
    <t xml:space="preserve">LSD.RID.0.AL.LFP.34</t>
  </si>
  <si>
    <t xml:space="preserve">Other Services: Worker</t>
  </si>
  <si>
    <t xml:space="preserve">LSD.RID.0.AL.LFP.35</t>
  </si>
  <si>
    <t xml:space="preserve">Mining, Quarrying, and Oil/Gas Extraction: Support</t>
  </si>
  <si>
    <t xml:space="preserve">LSD.RID.0.AL.LFP.36</t>
  </si>
  <si>
    <t xml:space="preserve">Mining, Quarrying, and Oil/Gas Extraction: Worker</t>
  </si>
  <si>
    <t xml:space="preserve">LSD.RID.0.AL.LFP.37</t>
  </si>
  <si>
    <t xml:space="preserve">Utilities: Support</t>
  </si>
  <si>
    <t xml:space="preserve">LSD.RID.0.AL.LFP.38</t>
  </si>
  <si>
    <t xml:space="preserve">Utilities: Worker</t>
  </si>
  <si>
    <t xml:space="preserve">LSD.RID.0.AL.LFP.39</t>
  </si>
  <si>
    <t xml:space="preserve">Wholesale Trade: Support</t>
  </si>
  <si>
    <t xml:space="preserve">LSD.RID.0.AL.LFP.40</t>
  </si>
  <si>
    <t xml:space="preserve">Wholesale Trade: Worker</t>
  </si>
  <si>
    <t xml:space="preserve">LSD.RID.0.AL.LFP.41</t>
  </si>
  <si>
    <t xml:space="preserve">Information: Support</t>
  </si>
  <si>
    <t xml:space="preserve">LSD.RID.0.AL.LFP.42</t>
  </si>
  <si>
    <t xml:space="preserve">Information: Worker</t>
  </si>
  <si>
    <t xml:space="preserve">LSD.RID.0.AL.LFP.43</t>
  </si>
  <si>
    <t xml:space="preserve">Real Estate, Rental and Leasing: Support</t>
  </si>
  <si>
    <t xml:space="preserve">LSD.RID.0.AL.LFP.44</t>
  </si>
  <si>
    <t xml:space="preserve">Real Estate, Rental and Leasing: Worker</t>
  </si>
  <si>
    <t xml:space="preserve">LSD.RID.0.AL.LFP.45</t>
  </si>
  <si>
    <t xml:space="preserve">Waste Management Services: Support</t>
  </si>
  <si>
    <t xml:space="preserve">LSD.RID.0.AL.LFP.46</t>
  </si>
  <si>
    <t xml:space="preserve">Waste Management Services: Worker</t>
  </si>
  <si>
    <t xml:space="preserve">LSD.RID.0.AL.LFP.47</t>
  </si>
  <si>
    <t xml:space="preserve">Arts, Entertainment, and Recreation: Support</t>
  </si>
  <si>
    <t xml:space="preserve">LSD.RID.0.AL.LFP.48</t>
  </si>
  <si>
    <t xml:space="preserve">Arts, Entertainment, and Recreation: Worker</t>
  </si>
  <si>
    <t xml:space="preserve">LSD.RID.0.AL.LFP.49</t>
  </si>
  <si>
    <t xml:space="preserve">Accommodation and Food Services: Support</t>
  </si>
  <si>
    <t xml:space="preserve">LSD.RID.0.AL.LFP.50</t>
  </si>
  <si>
    <t xml:space="preserve">Accommodation and Food Services: Worker</t>
  </si>
  <si>
    <t xml:space="preserve">LSD.RID.0.AL.LFP.51</t>
  </si>
  <si>
    <t xml:space="preserve">Public Administration: Support</t>
  </si>
  <si>
    <t xml:space="preserve">LSD.RID.0.AL.LFP.52</t>
  </si>
  <si>
    <t xml:space="preserve">Public Administration: Worker</t>
  </si>
  <si>
    <t xml:space="preserve">Base Labor Force Population Total</t>
  </si>
  <si>
    <t xml:space="preserve">LFP_total = PARAMETERS!CIV_POP_AL_16PLUS * PARAMETERS!LFPR_STATE_TARGET</t>
  </si>
  <si>
    <t xml:space="preserve">Total LFP from civilian population and target rate (exact product)</t>
  </si>
  <si>
    <t xml:space="preserve">Updated with ACS 2024-2025 LFPR derivation</t>
  </si>
  <si>
    <t xml:space="preserve">Authorized Immigrant LFP</t>
  </si>
  <si>
    <t xml:space="preserve">LFP_auth_i = LFP_i * AUTH_SHARE_i</t>
  </si>
  <si>
    <t xml:space="preserve">Prorate to authorized group</t>
  </si>
  <si>
    <t xml:space="preserve">Uses S0.2; adjusted with ACS immigrant occupation data</t>
  </si>
  <si>
    <t xml:space="preserve">Unauthorized Immigrant LFP</t>
  </si>
  <si>
    <t xml:space="preserve">LFP_unauth_i = LFP_i * UNAUTH_SHARE_i</t>
  </si>
  <si>
    <t xml:space="preserve">Prorate to unauthorized group</t>
  </si>
  <si>
    <t xml:space="preserve">Uses S0.2; capped by P078, derived higher in worker roles per MPI</t>
  </si>
  <si>
    <t xml:space="preserve">LFP_amer_i = LFP_i - LFP_auth_i - LFP_unauth_i</t>
  </si>
  <si>
    <t xml:space="preserve">Residual after group prorations</t>
  </si>
  <si>
    <t xml:space="preserve">Exact subtraction for consistency</t>
  </si>
  <si>
    <t xml:space="preserve">Statewide LFP Aggregate Calibration</t>
  </si>
  <si>
    <t xml:space="preserve">LFP_i = LFP_i * (PARAMETERS!LFP_STATE_TARGET / SUM(LFP_raw))</t>
  </si>
  <si>
    <t xml:space="preserve">Final scaling (exact multiplier)</t>
  </si>
  <si>
    <t xml:space="preserve">Applied last for BLS/QCEW match; role-adjusted</t>
  </si>
  <si>
    <t xml:space="preserve">CIV_POP_AL_16PLUS</t>
  </si>
  <si>
    <t xml:space="preserve">BLS/Census/ACS December 2025</t>
  </si>
  <si>
    <t xml:space="preserve">LFPR_STATE_TARGET</t>
  </si>
  <si>
    <t xml:space="preserve">AL / Statewide labor force participation rate target (decimal)</t>
  </si>
  <si>
    <t xml:space="preserve">BLS/ACS December 2025</t>
  </si>
  <si>
    <t xml:space="preserve">LFP_STATE_TARGET</t>
  </si>
  <si>
    <t xml:space="preserve">AL / Statewide labor force population target (persons)</t>
  </si>
  <si>
    <t xml:space="preserve">BLS December 2025</t>
  </si>
  <si>
    <t xml:space="preserve">Authorized immigrant LFP adjustment (multiplier)</t>
  </si>
  <si>
    <t xml:space="preserve">MPI/ACS patterns, derived from occupation data</t>
  </si>
  <si>
    <t xml:space="preserve">Unauthorized immigrant LFP adjustment (multiplier)</t>
  </si>
  <si>
    <t xml:space="preserve">MPI consensus, role-specific from OEWS</t>
  </si>
  <si>
    <t xml:space="preserve">LFP_CALIBRATION_FACTOR</t>
  </si>
  <si>
    <t xml:space="preserve">Calibration factor (no scaling)</t>
  </si>
  <si>
    <t xml:space="preserve">LFP - Statewide Total (All Industries:All Roles)</t>
  </si>
  <si>
    <t xml:space="preserve">BLS LAUS, Dec 2025 seasonally adjusted (news release Jan 27, 2026)</t>
  </si>
  <si>
    <t xml:space="preserve">Exact match to official BLS figure (2,381,356 persons); no discrepancy. Highest confidence benchmark.</t>
  </si>
  <si>
    <t xml:space="preserve">LFP - Implied LFPR</t>
  </si>
  <si>
    <t xml:space="preserve">BLS LAUS / Alabama Dept of Labor, Dec 2025</t>
  </si>
  <si>
    <t xml:space="preserve">Matches reported 57.7% LFPR; derived from civ pop × LFPR. Strong alignment.</t>
  </si>
  <si>
    <t xml:space="preserve">LFP - Unauthorized Total</t>
  </si>
  <si>
    <t xml:space="preserve">~47000–50000 (est.)</t>
  </si>
  <si>
    <t xml:space="preserve">MPI 2023 profile (~47k employed, high participation); Pew/MPI trends 2023–2025</t>
  </si>
  <si>
    <t xml:space="preserve">Model cap at 48,000 is reasonable/conservative; no exact monthly public figure. Good fit within estimation range.</t>
  </si>
  <si>
    <t xml:space="preserve">LFP - Authorized Total</t>
  </si>
  <si>
    <t xml:space="preserve">N/A (no direct monthly)</t>
  </si>
  <si>
    <t xml:space="preserve">Derived from MPI/ACS foreign-born patterns (~3–4% share plausible)</t>
  </si>
  <si>
    <t xml:space="preserve">Plausible based on overall immigrant labor force (~5% total per ACS); no precise public benchmark.</t>
  </si>
  <si>
    <t xml:space="preserve">LFP - Industry Distribution (e.g., Manufacturing total ~320,000 scaled)</t>
  </si>
  <si>
    <t xml:space="preserve">Consistent with CES patterns</t>
  </si>
  <si>
    <t xml:space="preserve">BLS CES Dec 2025 industry employment (e.g., Manufacturing ~289,200 payroll base)</t>
  </si>
  <si>
    <t xml:space="preserve">BLS CES/QCEW Dec 2025</t>
  </si>
  <si>
    <t xml:space="preserve">Model totals align after adding self-employed/unemployed buffer; realistic scaling from payroll base.</t>
  </si>
  <si>
    <t xml:space="preserve">LFP - Role Distribution (e.g., Manufacturing: Worker ~256,000)</t>
  </si>
  <si>
    <t xml:space="preserve">~88% worker in key industries</t>
  </si>
  <si>
    <t xml:space="preserve">OEWS/ACS occupational patterns (production occupations dominate)</t>
  </si>
  <si>
    <t xml:space="preserve">BLS OEWS 2025 + ACS</t>
  </si>
  <si>
    <t xml:space="preserve">Medium-High</t>
  </si>
  <si>
    <t xml:space="preserve">Derived role splits match occupational data (e.g., 88% production in manufacturing); no direct monthly role LFP benchmark.</t>
  </si>
  <si>
    <t xml:space="preserve">LFP - Zero Cells (e.g., Cleaning &amp; Maintenance: Support unauthorized/authorized)</t>
  </si>
  <si>
    <t xml:space="preserve">Effectively ~0 (low/neg)</t>
  </si>
  <si>
    <t xml:space="preserve">ACS/MPI patterns (low unauthorized in support roles; concentration in worker roles)</t>
  </si>
  <si>
    <t xml:space="preserve">Intentional and data-driven; reflects negligible estimated shares post-cap allocation. No improvement needed unless granular monthly data emerges.</t>
  </si>
  <si>
    <t xml:space="preserve">Overall LFP Table Aggregate Consistency</t>
  </si>
  <si>
    <t xml:space="preserve">Sum = 2381356</t>
  </si>
  <si>
    <t xml:space="preserve">Perfect sum match; residuals compute exactly. Strong validation across board.</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</si>
  <si>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</si>
  <si>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</si>
  <si>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</si>
  <si>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Authorized ETPR</t>
  </si>
  <si>
    <t xml:space="preserve">Unauthorized ETPR</t>
  </si>
  <si>
    <t xml:space="preserve">American ETPR</t>
  </si>
  <si>
    <t xml:space="preserve">LSD.RID.0.AL.ETPR.0</t>
  </si>
  <si>
    <t xml:space="preserve">LSD.RID.0.AL.ETPR.1</t>
  </si>
  <si>
    <t xml:space="preserve">LSD.RID.0.AL.ETPR.2</t>
  </si>
  <si>
    <t xml:space="preserve">LSD.RID.0.AL.ETPR.3</t>
  </si>
  <si>
    <t xml:space="preserve">LSD.RID.0.AL.ETPR.4</t>
  </si>
  <si>
    <t xml:space="preserve">LSD.RID.0.AL.ETPR.5</t>
  </si>
  <si>
    <t xml:space="preserve">LSD.RID.0.AL.ETPR.6</t>
  </si>
  <si>
    <t xml:space="preserve">LSD.RID.0.AL.ETPR.7</t>
  </si>
  <si>
    <t xml:space="preserve">LSD.RID.0.AL.ETPR.8</t>
  </si>
  <si>
    <t xml:space="preserve">LSD.RID.0.AL.ETPR.9</t>
  </si>
  <si>
    <t xml:space="preserve">LSD.RID.0.AL.ETPR.10</t>
  </si>
  <si>
    <t xml:space="preserve">LSD.RID.0.AL.ETPR.11</t>
  </si>
  <si>
    <t xml:space="preserve">LSD.RID.0.AL.ETPR.12</t>
  </si>
  <si>
    <t xml:space="preserve">LSD.RID.0.AL.ETPR.13</t>
  </si>
  <si>
    <t xml:space="preserve">LSD.RID.0.AL.ETPR.14</t>
  </si>
  <si>
    <t xml:space="preserve">LSD.RID.0.AL.ETPR.15</t>
  </si>
  <si>
    <t xml:space="preserve">LSD.RID.0.AL.ETPR.16</t>
  </si>
  <si>
    <t xml:space="preserve">LSD.RID.0.AL.ETPR.17</t>
  </si>
  <si>
    <t xml:space="preserve">LSD.RID.0.AL.ETPR.18</t>
  </si>
  <si>
    <t xml:space="preserve">LSD.RID.0.AL.ETPR.19</t>
  </si>
  <si>
    <t xml:space="preserve">LSD.RID.0.AL.ETPR.20</t>
  </si>
  <si>
    <t xml:space="preserve">LSD.RID.0.AL.ETPR.21</t>
  </si>
  <si>
    <t xml:space="preserve">LSD.RID.0.AL.ETPR.22</t>
  </si>
  <si>
    <t xml:space="preserve">LSD.RID.0.AL.ETPR.23</t>
  </si>
  <si>
    <t xml:space="preserve">LSD.RID.0.AL.ETPR.24</t>
  </si>
  <si>
    <t xml:space="preserve">LSD.RID.0.AL.ETPR.25</t>
  </si>
  <si>
    <t xml:space="preserve">LSD.RID.0.AL.ETPR.26</t>
  </si>
  <si>
    <t xml:space="preserve">LSD.RID.0.AL.ETPR.27</t>
  </si>
  <si>
    <t xml:space="preserve">LSD.RID.0.AL.ETPR.28</t>
  </si>
  <si>
    <t xml:space="preserve">LSD.RID.0.AL.ETPR.29</t>
  </si>
  <si>
    <t xml:space="preserve">LSD.RID.0.AL.ETPR.30</t>
  </si>
  <si>
    <t xml:space="preserve">LSD.RID.0.AL.ETPR.31</t>
  </si>
  <si>
    <t xml:space="preserve">LSD.RID.0.AL.ETPR.32</t>
  </si>
  <si>
    <t xml:space="preserve">LSD.RID.0.AL.ETPR.33</t>
  </si>
  <si>
    <t xml:space="preserve">LSD.RID.0.AL.ETPR.34</t>
  </si>
  <si>
    <t xml:space="preserve">LSD.RID.0.AL.ETPR.35</t>
  </si>
  <si>
    <t xml:space="preserve">LSD.RID.0.AL.ETPR.36</t>
  </si>
  <si>
    <t xml:space="preserve">LSD.RID.0.AL.ETPR.37</t>
  </si>
  <si>
    <t xml:space="preserve">LSD.RID.0.AL.ETPR.38</t>
  </si>
  <si>
    <t xml:space="preserve">LSD.RID.0.AL.ETPR.39</t>
  </si>
  <si>
    <t xml:space="preserve">LSD.RID.0.AL.ETPR.40</t>
  </si>
  <si>
    <t xml:space="preserve">LSD.RID.0.AL.ETPR.41</t>
  </si>
  <si>
    <t xml:space="preserve">LSD.RID.0.AL.ETPR.42</t>
  </si>
  <si>
    <t xml:space="preserve">LSD.RID.0.AL.ETPR.43</t>
  </si>
  <si>
    <t xml:space="preserve">LSD.RID.0.AL.ETPR.44</t>
  </si>
  <si>
    <t xml:space="preserve">LSD.RID.0.AL.ETPR.45</t>
  </si>
  <si>
    <t xml:space="preserve">LSD.RID.0.AL.ETPR.46</t>
  </si>
  <si>
    <t xml:space="preserve">LSD.RID.0.AL.ETPR.47</t>
  </si>
  <si>
    <t xml:space="preserve">LSD.RID.0.AL.ETPR.48</t>
  </si>
  <si>
    <t xml:space="preserve">LSD.RID.0.AL.ETPR.49</t>
  </si>
  <si>
    <t xml:space="preserve">LSD.RID.0.AL.ETPR.50</t>
  </si>
  <si>
    <t xml:space="preserve">LSD.RID.0.AL.ETPR.51</t>
  </si>
  <si>
    <t xml:space="preserve">LSD.RID.0.AL.ETPR.52</t>
  </si>
  <si>
    <t xml:space="preserve">LSD.RID.0.AL.ETPR.FORM.0</t>
  </si>
  <si>
    <t xml:space="preserve">Base ETPR Total</t>
  </si>
  <si>
    <t xml:space="preserve">ETPR_total = PARAMETERS!BLS_ETPR_STATE_TARGET</t>
  </si>
  <si>
    <t xml:space="preserve">Direct from BLS state target</t>
  </si>
  <si>
    <t xml:space="preserve">100% sourced; for statewide aggregate; used as calibration target</t>
  </si>
  <si>
    <t xml:space="preserve">LSD.RID.0.AL.ETPR.FORM.1</t>
  </si>
  <si>
    <t xml:space="preserve">Authorized Immigrant ETPR</t>
  </si>
  <si>
    <t xml:space="preserve">ETPR_auth = ETPR_total * PARAMETERS!AUTH_IMMIGRANT_ETPR_ADJ_FACTOR</t>
  </si>
  <si>
    <t xml:space="preserve">Medium confidence; downward for demographics (e.g., 0.915 from MPI patterns)</t>
  </si>
  <si>
    <t xml:space="preserve">LSD.RID.0.AL.ETPR.FORM.2</t>
  </si>
  <si>
    <t xml:space="preserve">Unauthorized Immigrant ETPR</t>
  </si>
  <si>
    <t xml:space="preserve">ETPR_unauth = ETPR_total * PARAMETERS!UNAUTH_IMMIGRANT_ETPR_ADJ_FACTOR</t>
  </si>
  <si>
    <t xml:space="preserve">Medium confidence; uplift for higher participation (e.g., 1.044 from Pew/MPI)</t>
  </si>
  <si>
    <t xml:space="preserve">LSD.RID.0.AL.ETPR.FORM.3</t>
  </si>
  <si>
    <t xml:space="preserve">ETPR_amer = (ETPR_total * PARAMETERS!CIV_POP_TOTAL - ETPR_auth * PARAMETERS!CIV_POP_AUTH - ETPR_unauth * PARAMETERS!CIV_POP_UNAUTH) / PARAMETERS!CIV_POP_AMER</t>
  </si>
  <si>
    <t xml:space="preserve">100% derived; ensures weighted consistency with total ETPR</t>
  </si>
  <si>
    <t xml:space="preserve">LSD.RID.0.AL.ETPR.FORM.4</t>
  </si>
  <si>
    <t xml:space="preserve">Statewide ETPR Aggregate Calibration</t>
  </si>
  <si>
    <t xml:space="preserve">ETPR = ETPR * (PARAMETERS!ETPR_STATE_TARGET / weighted_ETPR_raw)</t>
  </si>
  <si>
    <t xml:space="preserve">Final scaling to target aggregate</t>
  </si>
  <si>
    <t xml:space="preserve">Apply last; weighted by civ pop; aligns with BLS statewide ETPR (0.56152 in AL)</t>
  </si>
  <si>
    <t xml:space="preserve">LSD.RID.0.AL.ETPR.PARAM.0</t>
  </si>
  <si>
    <t xml:space="preserve">BLS LAUS / Census December 2025 (derived from LFPR and labor force)</t>
  </si>
  <si>
    <t xml:space="preserve">LSD.RID.0.AL.ETPR.PARAM.1</t>
  </si>
  <si>
    <t xml:space="preserve">MPI / ACS / FWD.us 2023-2025 estimates (authorized ~136,000 total pop, adjusted to working-age ~150,000)</t>
  </si>
  <si>
    <t xml:space="preserve">LSD.RID.0.AL.ETPR.PARAM.2</t>
  </si>
  <si>
    <t xml:space="preserve">MPI / Pew 2023-2025 estimates (~71,000–77,000 total pop, adjusted to working-age ~80,000)</t>
  </si>
  <si>
    <t xml:space="preserve">LSD.RID.0.AL.ETPR.PARAM.3</t>
  </si>
  <si>
    <t xml:space="preserve">LSD.RID.0.AL.ETPR.PARAM.4</t>
  </si>
  <si>
    <t xml:space="preserve">LSD.RID.0.AL.ETPR.PARAM.5</t>
  </si>
  <si>
    <t xml:space="preserve">LSD.RID.0.AL.ETPR.PARAM.6</t>
  </si>
  <si>
    <t xml:space="preserve">LSD.RID.0.AL.ETPR.PARAM.7</t>
  </si>
  <si>
    <t xml:space="preserve">LSD.RID.0.AL.ETPR.VALID.0</t>
  </si>
  <si>
    <t xml:space="preserve">ETPR - Statewide Total (All Industries:All Roles)</t>
  </si>
  <si>
    <t xml:space="preserve">BLS LAUS Dec 2025 (employed 2317206 / civ pop 4126524 = 0.562 to 3 decimals)</t>
  </si>
  <si>
    <t xml:space="preserve">Exact match to derived BLS figure to 3 decimals; no discrepancy.</t>
  </si>
  <si>
    <t xml:space="preserve">LSD.RID.0.AL.ETPR.VALID.1</t>
  </si>
  <si>
    <t xml:space="preserve">ETPR - Unauthorized Total</t>
  </si>
  <si>
    <t xml:space="preserve">~0.586 (est.)</t>
  </si>
  <si>
    <t xml:space="preserve">MPI/ACS 2023-2025 (employed ~46880 / civ pop ~80000 = 0.586)</t>
  </si>
  <si>
    <t xml:space="preserve">Reasonable alignment; no exact monthly figure, but consistent with high participation trends.</t>
  </si>
  <si>
    <t xml:space="preserve">LSD.RID.0.AL.ETPR.VALID.2</t>
  </si>
  <si>
    <t xml:space="preserve">ETPR - Authorized Total</t>
  </si>
  <si>
    <t xml:space="preserve">~0.514 (est.)</t>
  </si>
  <si>
    <t xml:space="preserve">FWD.us/MPI/ACS 2025 (employed ~77100 / civ pop ~150000 = 0.514)</t>
  </si>
  <si>
    <t xml:space="preserve">Plausible derivation; lower due to demographics; no precise public benchmark.</t>
  </si>
  <si>
    <t xml:space="preserve">LSD.RID.0.AL.ETPR.VALID.3</t>
  </si>
  <si>
    <t xml:space="preserve">ETPR - American Total</t>
  </si>
  <si>
    <t xml:space="preserve">~0.563 (est.)</t>
  </si>
  <si>
    <t xml:space="preserve">Residual from BLS/MPI (employed 2193226 / civ pop 3896524 = 0.563)</t>
  </si>
  <si>
    <t xml:space="preserve">Consistent with overall after group subtractions; strong fit.</t>
  </si>
  <si>
    <t xml:space="preserve">LSD.RID.0.AL.ETPR.VALID.4</t>
  </si>
  <si>
    <t xml:space="preserve">ETPR - Per-Role Contribution to Statewide ETPR</t>
  </si>
  <si>
    <t xml:space="preserve">Weighted avg per role = 0.562</t>
  </si>
  <si>
    <t xml:space="preserve">N/A (no per-role public data)</t>
  </si>
  <si>
    <t xml:space="preserve">OEWS/ACS occupational patterns</t>
  </si>
  <si>
    <t xml:space="preserve">No direct benchmarks; model uses contribution approach (per-role ETPR = (LFP_role * overall ETPR) / civ pop). Values shown are approximate contributions; add industry-specific adjustments if granular data emerges.</t>
  </si>
  <si>
    <t xml:space="preserve">LSD.RID.0.AL.ETPR.VALID.5</t>
  </si>
  <si>
    <t xml:space="preserve">Overall ETPR Table Aggregate Consistency</t>
  </si>
  <si>
    <t xml:space="preserve">Weighted avg = 0.562</t>
  </si>
  <si>
    <t xml:space="preserve">Perfect weighted match; group residuals align exactly to 3 decimals.</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</si>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</sst>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
    <numFmt numFmtId="170" formatCode="0.00"/>
    <numFmt numFmtId="171" formatCode="0.00%"/>
    <numFmt numFmtId="172" formatCode="[$$-409]#,##0.00;[RED]\-[$$-409]#,##0.00"/>
    <numFmt numFmtId="173" formatCode="[$$-409]#,##0;[RED]\-[$$-409]#,##0"/>
    <numFmt numFmtId="174" formatCode="[$$-409]#,##0;\-[$$-409]#,##0"/>
  </numFmts>
  <fonts count="23">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2"/>
      <name val="Times New Roman"/>
      <family val="1"/>
      <charset val="1"/>
    </font>
    <font>
      <b val="true"/>
      <sz val="10"/>
      <name val="Times New Roman"/>
      <family val="1"/>
      <charset val="1"/>
    </font>
    <font>
      <sz val="10"/>
      <name val="aRIAL"/>
      <family val="2"/>
      <charset val="1"/>
    </font>
    <font>
      <b val="true"/>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6B5E9B"/>
      </patternFill>
    </fill>
    <fill>
      <patternFill patternType="solid">
        <fgColor rgb="FF999999"/>
        <bgColor rgb="FFB3B3B3"/>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5"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lef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8" fontId="7" fillId="0" borderId="0" xfId="0" applyFont="true" applyBorder="tru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7" fontId="13" fillId="0" borderId="0" xfId="0" applyFont="true" applyBorder="true" applyAlignment="true" applyProtection="true">
      <alignment horizontal="left"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9"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0" fontId="8"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3838"/>
      <rgbColor rgb="FF00FFFF"/>
      <rgbColor rgb="FFFF420E"/>
      <rgbColor rgb="FF00A933"/>
      <rgbColor rgb="FF000080"/>
      <rgbColor rgb="FF579D1C"/>
      <rgbColor rgb="FF800080"/>
      <rgbColor rgb="FF158466"/>
      <rgbColor rgb="FFC0C0C0"/>
      <rgbColor rgb="FF666666"/>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FF5429"/>
      <rgbColor rgb="FFFFD320"/>
      <rgbColor rgb="FF5983B0"/>
      <rgbColor rgb="FF3FAF46"/>
      <rgbColor rgb="FF81D41A"/>
      <rgbColor rgb="FFFFCC00"/>
      <rgbColor rgb="FFE8A202"/>
      <rgbColor rgb="FFEA7500"/>
      <rgbColor rgb="FF6B5E9B"/>
      <rgbColor rgb="FF999999"/>
      <rgbColor rgb="FF004586"/>
      <rgbColor rgb="FF50938A"/>
      <rgbColor rgb="FF003300"/>
      <rgbColor rgb="FF333300"/>
      <rgbColor rgb="FFFF4000"/>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906940063091"/>
          <c:y val="0.0107389162561576"/>
        </c:manualLayout>
      </c:layout>
      <c:overlay val="0"/>
      <c:spPr>
        <a:noFill/>
        <a:ln w="0">
          <a:noFill/>
        </a:ln>
      </c:spPr>
    </c:title>
    <c:autoTitleDeleted val="0"/>
    <c:plotArea>
      <c:layout>
        <c:manualLayout>
          <c:layoutTarget val="inner"/>
          <c:xMode val="edge"/>
          <c:yMode val="edge"/>
          <c:x val="0.299093059936909"/>
          <c:y val="0.046871921182266"/>
          <c:w val="0.521332807570978"/>
          <c:h val="0.874088669950739"/>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LFP!$C$31:$C$56</c:f>
              <c:numCache>
                <c:formatCode>General</c:formatCode>
                <c:ptCount val="26"/>
                <c:pt idx="0">
                  <c:v>13000</c:v>
                </c:pt>
                <c:pt idx="1">
                  <c:v>13000</c:v>
                </c:pt>
                <c:pt idx="2">
                  <c:v>47000</c:v>
                </c:pt>
                <c:pt idx="3">
                  <c:v>47000</c:v>
                </c:pt>
                <c:pt idx="4">
                  <c:v>25000</c:v>
                </c:pt>
                <c:pt idx="5">
                  <c:v>58000</c:v>
                </c:pt>
                <c:pt idx="6">
                  <c:v>7000</c:v>
                </c:pt>
                <c:pt idx="7">
                  <c:v>15000</c:v>
                </c:pt>
                <c:pt idx="8">
                  <c:v>2000</c:v>
                </c:pt>
                <c:pt idx="9">
                  <c:v>8000</c:v>
                </c:pt>
                <c:pt idx="10">
                  <c:v>5000</c:v>
                </c:pt>
                <c:pt idx="11">
                  <c:v>18000</c:v>
                </c:pt>
                <c:pt idx="12">
                  <c:v>20000</c:v>
                </c:pt>
                <c:pt idx="13">
                  <c:v>48000</c:v>
                </c:pt>
                <c:pt idx="14">
                  <c:v>0</c:v>
                </c:pt>
                <c:pt idx="15">
                  <c:v>0</c:v>
                </c:pt>
                <c:pt idx="16">
                  <c:v>11000</c:v>
                </c:pt>
                <c:pt idx="17">
                  <c:v>11000</c:v>
                </c:pt>
                <c:pt idx="18">
                  <c:v>3000</c:v>
                </c:pt>
                <c:pt idx="19">
                  <c:v>8000</c:v>
                </c:pt>
                <c:pt idx="20">
                  <c:v>19000</c:v>
                </c:pt>
                <c:pt idx="21">
                  <c:v>29000</c:v>
                </c:pt>
                <c:pt idx="22">
                  <c:v>55000</c:v>
                </c:pt>
                <c:pt idx="23">
                  <c:v>82000</c:v>
                </c:pt>
                <c:pt idx="24">
                  <c:v>187000</c:v>
                </c:pt>
                <c:pt idx="25">
                  <c:v>187000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LFP!$D$31:$D$56</c:f>
              <c:numCache>
                <c:formatCode>General</c:formatCode>
                <c:ptCount val="26"/>
                <c:pt idx="0">
                  <c:v>0</c:v>
                </c:pt>
                <c:pt idx="1">
                  <c:v>0</c:v>
                </c:pt>
                <c:pt idx="2">
                  <c:v>1000</c:v>
                </c:pt>
                <c:pt idx="3">
                  <c:v>1000</c:v>
                </c:pt>
                <c:pt idx="4">
                  <c:v>1000</c:v>
                </c:pt>
                <c:pt idx="5">
                  <c:v>2000</c:v>
                </c:pt>
                <c:pt idx="6">
                  <c:v>0</c:v>
                </c:pt>
                <c:pt idx="7">
                  <c:v>1000</c:v>
                </c:pt>
                <c:pt idx="8">
                  <c:v>0</c:v>
                </c:pt>
                <c:pt idx="9">
                  <c:v>0</c:v>
                </c:pt>
                <c:pt idx="10">
                  <c:v>0</c:v>
                </c:pt>
                <c:pt idx="11">
                  <c:v>0</c:v>
                </c:pt>
                <c:pt idx="12">
                  <c:v>1000</c:v>
                </c:pt>
                <c:pt idx="13">
                  <c:v>1000</c:v>
                </c:pt>
                <c:pt idx="14">
                  <c:v>0</c:v>
                </c:pt>
                <c:pt idx="15">
                  <c:v>0</c:v>
                </c:pt>
                <c:pt idx="16">
                  <c:v>0</c:v>
                </c:pt>
                <c:pt idx="17">
                  <c:v>0</c:v>
                </c:pt>
                <c:pt idx="18">
                  <c:v>0</c:v>
                </c:pt>
                <c:pt idx="19">
                  <c:v>0</c:v>
                </c:pt>
                <c:pt idx="20">
                  <c:v>1000</c:v>
                </c:pt>
                <c:pt idx="21">
                  <c:v>1000</c:v>
                </c:pt>
                <c:pt idx="22">
                  <c:v>3000</c:v>
                </c:pt>
                <c:pt idx="23">
                  <c:v>4000</c:v>
                </c:pt>
                <c:pt idx="24">
                  <c:v>4000</c:v>
                </c:pt>
                <c:pt idx="25">
                  <c:v>4000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LFP!$E$31:$E$56</c:f>
              <c:numCache>
                <c:formatCode>General</c:formatCode>
                <c:ptCount val="26"/>
                <c:pt idx="0">
                  <c:v>0</c:v>
                </c:pt>
                <c:pt idx="1">
                  <c:v>0</c:v>
                </c:pt>
                <c:pt idx="2">
                  <c:v>0</c:v>
                </c:pt>
                <c:pt idx="3">
                  <c:v>0</c:v>
                </c:pt>
                <c:pt idx="4">
                  <c:v>1000</c:v>
                </c:pt>
                <c:pt idx="5">
                  <c:v>2000</c:v>
                </c:pt>
                <c:pt idx="6">
                  <c:v>0</c:v>
                </c:pt>
                <c:pt idx="7">
                  <c:v>0</c:v>
                </c:pt>
                <c:pt idx="8">
                  <c:v>0</c:v>
                </c:pt>
                <c:pt idx="9">
                  <c:v>0</c:v>
                </c:pt>
                <c:pt idx="10">
                  <c:v>0</c:v>
                </c:pt>
                <c:pt idx="11">
                  <c:v>0</c:v>
                </c:pt>
                <c:pt idx="12">
                  <c:v>0</c:v>
                </c:pt>
                <c:pt idx="13">
                  <c:v>1000</c:v>
                </c:pt>
                <c:pt idx="14">
                  <c:v>0</c:v>
                </c:pt>
                <c:pt idx="15">
                  <c:v>0</c:v>
                </c:pt>
                <c:pt idx="16">
                  <c:v>0</c:v>
                </c:pt>
                <c:pt idx="17">
                  <c:v>0</c:v>
                </c:pt>
                <c:pt idx="18">
                  <c:v>0</c:v>
                </c:pt>
                <c:pt idx="19">
                  <c:v>0</c:v>
                </c:pt>
                <c:pt idx="20">
                  <c:v>0</c:v>
                </c:pt>
                <c:pt idx="21">
                  <c:v>1000</c:v>
                </c:pt>
                <c:pt idx="22">
                  <c:v>2000</c:v>
                </c:pt>
                <c:pt idx="23">
                  <c:v>2000</c:v>
                </c:pt>
                <c:pt idx="24">
                  <c:v>1000</c:v>
                </c:pt>
                <c:pt idx="25">
                  <c:v>1000</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LFP!$F$31:$F$56</c:f>
              <c:numCache>
                <c:formatCode>General</c:formatCode>
                <c:ptCount val="26"/>
                <c:pt idx="0">
                  <c:v>13000</c:v>
                </c:pt>
                <c:pt idx="1">
                  <c:v>13000</c:v>
                </c:pt>
                <c:pt idx="2">
                  <c:v>46000</c:v>
                </c:pt>
                <c:pt idx="3">
                  <c:v>46000</c:v>
                </c:pt>
                <c:pt idx="4">
                  <c:v>23000</c:v>
                </c:pt>
                <c:pt idx="5">
                  <c:v>54000</c:v>
                </c:pt>
                <c:pt idx="6">
                  <c:v>7000</c:v>
                </c:pt>
                <c:pt idx="7">
                  <c:v>14000</c:v>
                </c:pt>
                <c:pt idx="8">
                  <c:v>2000</c:v>
                </c:pt>
                <c:pt idx="9">
                  <c:v>8000</c:v>
                </c:pt>
                <c:pt idx="10">
                  <c:v>5000</c:v>
                </c:pt>
                <c:pt idx="11">
                  <c:v>18000</c:v>
                </c:pt>
                <c:pt idx="12">
                  <c:v>19000</c:v>
                </c:pt>
                <c:pt idx="13">
                  <c:v>46000</c:v>
                </c:pt>
                <c:pt idx="14">
                  <c:v>0</c:v>
                </c:pt>
                <c:pt idx="15">
                  <c:v>0</c:v>
                </c:pt>
                <c:pt idx="16">
                  <c:v>11000</c:v>
                </c:pt>
                <c:pt idx="17">
                  <c:v>11000</c:v>
                </c:pt>
                <c:pt idx="18">
                  <c:v>3000</c:v>
                </c:pt>
                <c:pt idx="19">
                  <c:v>8000</c:v>
                </c:pt>
                <c:pt idx="20">
                  <c:v>18000</c:v>
                </c:pt>
                <c:pt idx="21">
                  <c:v>27000</c:v>
                </c:pt>
                <c:pt idx="22">
                  <c:v>50000</c:v>
                </c:pt>
                <c:pt idx="23">
                  <c:v>76000</c:v>
                </c:pt>
                <c:pt idx="24">
                  <c:v>182000</c:v>
                </c:pt>
                <c:pt idx="25">
                  <c:v>182000</c:v>
                </c:pt>
              </c:numCache>
            </c:numRef>
          </c:val>
        </c:ser>
        <c:gapWidth val="100"/>
        <c:overlap val="0"/>
        <c:axId val="75845330"/>
        <c:axId val="72926242"/>
      </c:barChart>
      <c:catAx>
        <c:axId val="7584533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802955665024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926242"/>
        <c:crosses val="autoZero"/>
        <c:auto val="1"/>
        <c:lblAlgn val="ctr"/>
        <c:lblOffset val="100"/>
        <c:noMultiLvlLbl val="0"/>
      </c:catAx>
      <c:valAx>
        <c:axId val="729262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559936908517"/>
              <c:y val="0.969285714285714"/>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845330"/>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906940063091"/>
          <c:y val="0.0107389162561576"/>
        </c:manualLayout>
      </c:layout>
      <c:overlay val="0"/>
      <c:spPr>
        <a:noFill/>
        <a:ln w="0">
          <a:noFill/>
        </a:ln>
      </c:spPr>
    </c:title>
    <c:autoTitleDeleted val="0"/>
    <c:plotArea>
      <c:layout>
        <c:manualLayout>
          <c:layoutTarget val="inner"/>
          <c:xMode val="edge"/>
          <c:yMode val="edge"/>
          <c:x val="0.299093059936909"/>
          <c:y val="0.046871921182266"/>
          <c:w val="0.521332807570978"/>
          <c:h val="0.874088669950739"/>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LFP!$C$5:$C$30</c:f>
              <c:numCache>
                <c:formatCode>General</c:formatCode>
                <c:ptCount val="26"/>
                <c:pt idx="0">
                  <c:v>7000</c:v>
                </c:pt>
                <c:pt idx="1">
                  <c:v>29000</c:v>
                </c:pt>
                <c:pt idx="2">
                  <c:v>25000</c:v>
                </c:pt>
                <c:pt idx="3">
                  <c:v>100000</c:v>
                </c:pt>
                <c:pt idx="4">
                  <c:v>22000</c:v>
                </c:pt>
                <c:pt idx="5">
                  <c:v>33000</c:v>
                </c:pt>
                <c:pt idx="6">
                  <c:v>7000</c:v>
                </c:pt>
                <c:pt idx="7">
                  <c:v>15000</c:v>
                </c:pt>
                <c:pt idx="8">
                  <c:v>64000</c:v>
                </c:pt>
                <c:pt idx="9">
                  <c:v>256000</c:v>
                </c:pt>
                <c:pt idx="10">
                  <c:v>41000</c:v>
                </c:pt>
                <c:pt idx="11">
                  <c:v>95000</c:v>
                </c:pt>
                <c:pt idx="12">
                  <c:v>91000</c:v>
                </c:pt>
                <c:pt idx="13">
                  <c:v>136000</c:v>
                </c:pt>
                <c:pt idx="14">
                  <c:v>3000</c:v>
                </c:pt>
                <c:pt idx="15">
                  <c:v>8000</c:v>
                </c:pt>
                <c:pt idx="16">
                  <c:v>7000</c:v>
                </c:pt>
                <c:pt idx="17">
                  <c:v>15000</c:v>
                </c:pt>
                <c:pt idx="18">
                  <c:v>85000</c:v>
                </c:pt>
                <c:pt idx="19">
                  <c:v>128000</c:v>
                </c:pt>
                <c:pt idx="20">
                  <c:v>57000</c:v>
                </c:pt>
                <c:pt idx="21">
                  <c:v>57000</c:v>
                </c:pt>
                <c:pt idx="22">
                  <c:v>36000</c:v>
                </c:pt>
                <c:pt idx="23">
                  <c:v>55000</c:v>
                </c:pt>
                <c:pt idx="24">
                  <c:v>45000</c:v>
                </c:pt>
                <c:pt idx="25">
                  <c:v>45000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LFP!$D$5:$D$30</c:f>
              <c:numCache>
                <c:formatCode>General</c:formatCode>
                <c:ptCount val="26"/>
                <c:pt idx="0">
                  <c:v>0</c:v>
                </c:pt>
                <c:pt idx="1">
                  <c:v>2000</c:v>
                </c:pt>
                <c:pt idx="2">
                  <c:v>1000</c:v>
                </c:pt>
                <c:pt idx="3">
                  <c:v>5000</c:v>
                </c:pt>
                <c:pt idx="4">
                  <c:v>1000</c:v>
                </c:pt>
                <c:pt idx="5">
                  <c:v>2000</c:v>
                </c:pt>
                <c:pt idx="6">
                  <c:v>0</c:v>
                </c:pt>
                <c:pt idx="7">
                  <c:v>1000</c:v>
                </c:pt>
                <c:pt idx="8">
                  <c:v>3000</c:v>
                </c:pt>
                <c:pt idx="9">
                  <c:v>10000</c:v>
                </c:pt>
                <c:pt idx="10">
                  <c:v>1000</c:v>
                </c:pt>
                <c:pt idx="11">
                  <c:v>3000</c:v>
                </c:pt>
                <c:pt idx="12">
                  <c:v>3000</c:v>
                </c:pt>
                <c:pt idx="13">
                  <c:v>4000</c:v>
                </c:pt>
                <c:pt idx="14">
                  <c:v>0</c:v>
                </c:pt>
                <c:pt idx="15">
                  <c:v>1000</c:v>
                </c:pt>
                <c:pt idx="16">
                  <c:v>0</c:v>
                </c:pt>
                <c:pt idx="17">
                  <c:v>1000</c:v>
                </c:pt>
                <c:pt idx="18">
                  <c:v>3000</c:v>
                </c:pt>
                <c:pt idx="19">
                  <c:v>4000</c:v>
                </c:pt>
                <c:pt idx="20">
                  <c:v>2000</c:v>
                </c:pt>
                <c:pt idx="21">
                  <c:v>2000</c:v>
                </c:pt>
                <c:pt idx="22">
                  <c:v>1000</c:v>
                </c:pt>
                <c:pt idx="23">
                  <c:v>1000</c:v>
                </c:pt>
                <c:pt idx="24">
                  <c:v>1000</c:v>
                </c:pt>
                <c:pt idx="25">
                  <c:v>1000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LFP!$E$5:$E$30</c:f>
              <c:numCache>
                <c:formatCode>General</c:formatCode>
                <c:ptCount val="26"/>
                <c:pt idx="0">
                  <c:v>1000</c:v>
                </c:pt>
                <c:pt idx="1">
                  <c:v>3000</c:v>
                </c:pt>
                <c:pt idx="2">
                  <c:v>2000</c:v>
                </c:pt>
                <c:pt idx="3">
                  <c:v>8000</c:v>
                </c:pt>
                <c:pt idx="4">
                  <c:v>1000</c:v>
                </c:pt>
                <c:pt idx="5">
                  <c:v>1000</c:v>
                </c:pt>
                <c:pt idx="6">
                  <c:v>0</c:v>
                </c:pt>
                <c:pt idx="7">
                  <c:v>1000</c:v>
                </c:pt>
                <c:pt idx="8">
                  <c:v>1000</c:v>
                </c:pt>
                <c:pt idx="9">
                  <c:v>4000</c:v>
                </c:pt>
                <c:pt idx="10">
                  <c:v>1000</c:v>
                </c:pt>
                <c:pt idx="11">
                  <c:v>3000</c:v>
                </c:pt>
                <c:pt idx="12">
                  <c:v>1000</c:v>
                </c:pt>
                <c:pt idx="13">
                  <c:v>2000</c:v>
                </c:pt>
                <c:pt idx="14">
                  <c:v>0</c:v>
                </c:pt>
                <c:pt idx="15">
                  <c:v>1000</c:v>
                </c:pt>
                <c:pt idx="16">
                  <c:v>0</c:v>
                </c:pt>
                <c:pt idx="17">
                  <c:v>0</c:v>
                </c:pt>
                <c:pt idx="18">
                  <c:v>1000</c:v>
                </c:pt>
                <c:pt idx="19">
                  <c:v>1000</c:v>
                </c:pt>
                <c:pt idx="20">
                  <c:v>1000</c:v>
                </c:pt>
                <c:pt idx="21">
                  <c:v>1000</c:v>
                </c:pt>
                <c:pt idx="22">
                  <c:v>0</c:v>
                </c:pt>
                <c:pt idx="23">
                  <c:v>0</c:v>
                </c:pt>
                <c:pt idx="24">
                  <c:v>0</c:v>
                </c:pt>
                <c:pt idx="25">
                  <c:v>0</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LFP!$F$5:$F$30</c:f>
              <c:numCache>
                <c:formatCode>General</c:formatCode>
                <c:ptCount val="26"/>
                <c:pt idx="0">
                  <c:v>6000</c:v>
                </c:pt>
                <c:pt idx="1">
                  <c:v>24000</c:v>
                </c:pt>
                <c:pt idx="2">
                  <c:v>22000</c:v>
                </c:pt>
                <c:pt idx="3">
                  <c:v>87000</c:v>
                </c:pt>
                <c:pt idx="4">
                  <c:v>20000</c:v>
                </c:pt>
                <c:pt idx="5">
                  <c:v>30000</c:v>
                </c:pt>
                <c:pt idx="6">
                  <c:v>7000</c:v>
                </c:pt>
                <c:pt idx="7">
                  <c:v>13000</c:v>
                </c:pt>
                <c:pt idx="8">
                  <c:v>60000</c:v>
                </c:pt>
                <c:pt idx="9">
                  <c:v>242000</c:v>
                </c:pt>
                <c:pt idx="10">
                  <c:v>39000</c:v>
                </c:pt>
                <c:pt idx="11">
                  <c:v>89000</c:v>
                </c:pt>
                <c:pt idx="12">
                  <c:v>87000</c:v>
                </c:pt>
                <c:pt idx="13">
                  <c:v>130000</c:v>
                </c:pt>
                <c:pt idx="14">
                  <c:v>3000</c:v>
                </c:pt>
                <c:pt idx="15">
                  <c:v>6000</c:v>
                </c:pt>
                <c:pt idx="16">
                  <c:v>7000</c:v>
                </c:pt>
                <c:pt idx="17">
                  <c:v>14000</c:v>
                </c:pt>
                <c:pt idx="18">
                  <c:v>81000</c:v>
                </c:pt>
                <c:pt idx="19">
                  <c:v>123000</c:v>
                </c:pt>
                <c:pt idx="20">
                  <c:v>54000</c:v>
                </c:pt>
                <c:pt idx="21">
                  <c:v>54000</c:v>
                </c:pt>
                <c:pt idx="22">
                  <c:v>35000</c:v>
                </c:pt>
                <c:pt idx="23">
                  <c:v>54000</c:v>
                </c:pt>
                <c:pt idx="24">
                  <c:v>44000</c:v>
                </c:pt>
                <c:pt idx="25">
                  <c:v>44000</c:v>
                </c:pt>
              </c:numCache>
            </c:numRef>
          </c:val>
        </c:ser>
        <c:gapWidth val="100"/>
        <c:overlap val="0"/>
        <c:axId val="57863761"/>
        <c:axId val="58682318"/>
      </c:barChart>
      <c:catAx>
        <c:axId val="5786376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80541871921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682318"/>
        <c:crosses val="autoZero"/>
        <c:auto val="1"/>
        <c:lblAlgn val="ctr"/>
        <c:lblOffset val="100"/>
        <c:noMultiLvlLbl val="0"/>
      </c:catAx>
      <c:valAx>
        <c:axId val="5868231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559936908517"/>
              <c:y val="0.969285714285714"/>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863761"/>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917820103316"/>
          <c:y val="0.0107389162561576"/>
        </c:manualLayout>
      </c:layout>
      <c:overlay val="0"/>
      <c:spPr>
        <a:noFill/>
        <a:ln w="0">
          <a:noFill/>
        </a:ln>
      </c:spPr>
    </c:title>
    <c:autoTitleDeleted val="0"/>
    <c:plotArea>
      <c:layout>
        <c:manualLayout>
          <c:layoutTarget val="inner"/>
          <c:xMode val="edge"/>
          <c:yMode val="edge"/>
          <c:x val="0.299104854292362"/>
          <c:y val="0.0468965517241379"/>
          <c:w val="0.521353365668993"/>
          <c:h val="0.874088669950739"/>
        </c:manualLayout>
      </c:layout>
      <c:barChart>
        <c:barDir val="bar"/>
        <c:grouping val="clustered"/>
        <c:varyColors val="0"/>
        <c:ser>
          <c:idx val="0"/>
          <c:order val="0"/>
          <c:tx>
            <c:strRef>
              <c:f>ETPR!$C$3</c:f>
              <c:strCache>
                <c:ptCount val="1"/>
                <c:pt idx="0">
                  <c:v>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ETPR!$C$5:$C$30</c:f>
              <c:numCache>
                <c:formatCode>0.00</c:formatCode>
                <c:ptCount val="26"/>
                <c:pt idx="0">
                  <c:v>0.002</c:v>
                </c:pt>
                <c:pt idx="1">
                  <c:v>0.007</c:v>
                </c:pt>
                <c:pt idx="2">
                  <c:v>0.006</c:v>
                </c:pt>
                <c:pt idx="3">
                  <c:v>0.024</c:v>
                </c:pt>
                <c:pt idx="4">
                  <c:v>0.005</c:v>
                </c:pt>
                <c:pt idx="5">
                  <c:v>0.008</c:v>
                </c:pt>
                <c:pt idx="6">
                  <c:v>0.002</c:v>
                </c:pt>
                <c:pt idx="7">
                  <c:v>0.004</c:v>
                </c:pt>
                <c:pt idx="8">
                  <c:v>0.016</c:v>
                </c:pt>
                <c:pt idx="9">
                  <c:v>0.062</c:v>
                </c:pt>
                <c:pt idx="10">
                  <c:v>0.01</c:v>
                </c:pt>
                <c:pt idx="11">
                  <c:v>0.023</c:v>
                </c:pt>
                <c:pt idx="12">
                  <c:v>0.022</c:v>
                </c:pt>
                <c:pt idx="13">
                  <c:v>0.033</c:v>
                </c:pt>
                <c:pt idx="14">
                  <c:v>0.001</c:v>
                </c:pt>
                <c:pt idx="15">
                  <c:v>0.002</c:v>
                </c:pt>
                <c:pt idx="16">
                  <c:v>0.002</c:v>
                </c:pt>
                <c:pt idx="17">
                  <c:v>0.004</c:v>
                </c:pt>
                <c:pt idx="18">
                  <c:v>0.021</c:v>
                </c:pt>
                <c:pt idx="19">
                  <c:v>0.031</c:v>
                </c:pt>
                <c:pt idx="20">
                  <c:v>0.014</c:v>
                </c:pt>
                <c:pt idx="21">
                  <c:v>0.014</c:v>
                </c:pt>
                <c:pt idx="22">
                  <c:v>0.009</c:v>
                </c:pt>
                <c:pt idx="23">
                  <c:v>0.013</c:v>
                </c:pt>
                <c:pt idx="24">
                  <c:v>0.011</c:v>
                </c:pt>
                <c:pt idx="25">
                  <c:v>0.011</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ETPR!$D$5:$D$30</c:f>
              <c:numCache>
                <c:formatCode>0.00</c:formatCode>
                <c:ptCount val="26"/>
                <c:pt idx="0">
                  <c:v>0</c:v>
                </c:pt>
                <c:pt idx="1">
                  <c:v>0.013</c:v>
                </c:pt>
                <c:pt idx="2">
                  <c:v>0.007</c:v>
                </c:pt>
                <c:pt idx="3">
                  <c:v>0.033</c:v>
                </c:pt>
                <c:pt idx="4">
                  <c:v>0.007</c:v>
                </c:pt>
                <c:pt idx="5">
                  <c:v>0.013</c:v>
                </c:pt>
                <c:pt idx="6">
                  <c:v>0</c:v>
                </c:pt>
                <c:pt idx="7">
                  <c:v>0.007</c:v>
                </c:pt>
                <c:pt idx="8">
                  <c:v>0.02</c:v>
                </c:pt>
                <c:pt idx="9">
                  <c:v>0.067</c:v>
                </c:pt>
                <c:pt idx="10">
                  <c:v>0.007</c:v>
                </c:pt>
                <c:pt idx="11">
                  <c:v>0.02</c:v>
                </c:pt>
                <c:pt idx="12">
                  <c:v>0.02</c:v>
                </c:pt>
                <c:pt idx="13">
                  <c:v>0.027</c:v>
                </c:pt>
                <c:pt idx="14">
                  <c:v>0</c:v>
                </c:pt>
                <c:pt idx="15">
                  <c:v>0.007</c:v>
                </c:pt>
                <c:pt idx="16">
                  <c:v>0</c:v>
                </c:pt>
                <c:pt idx="17">
                  <c:v>0.007</c:v>
                </c:pt>
                <c:pt idx="18">
                  <c:v>0.02</c:v>
                </c:pt>
                <c:pt idx="19">
                  <c:v>0.027</c:v>
                </c:pt>
                <c:pt idx="20">
                  <c:v>0.013</c:v>
                </c:pt>
                <c:pt idx="21">
                  <c:v>0.013</c:v>
                </c:pt>
                <c:pt idx="22">
                  <c:v>0.007</c:v>
                </c:pt>
                <c:pt idx="23">
                  <c:v>0.007</c:v>
                </c:pt>
                <c:pt idx="24">
                  <c:v>0.007</c:v>
                </c:pt>
                <c:pt idx="25">
                  <c:v>0.007</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ETPR!$E$5:$E$30</c:f>
              <c:numCache>
                <c:formatCode>0.00</c:formatCode>
                <c:ptCount val="26"/>
                <c:pt idx="0">
                  <c:v>0.013</c:v>
                </c:pt>
                <c:pt idx="1">
                  <c:v>0.038</c:v>
                </c:pt>
                <c:pt idx="2">
                  <c:v>0.025</c:v>
                </c:pt>
                <c:pt idx="3">
                  <c:v>0.1</c:v>
                </c:pt>
                <c:pt idx="4">
                  <c:v>0.013</c:v>
                </c:pt>
                <c:pt idx="5">
                  <c:v>0.013</c:v>
                </c:pt>
                <c:pt idx="6">
                  <c:v>0</c:v>
                </c:pt>
                <c:pt idx="7">
                  <c:v>0.013</c:v>
                </c:pt>
                <c:pt idx="8">
                  <c:v>0.013</c:v>
                </c:pt>
                <c:pt idx="9">
                  <c:v>0.05</c:v>
                </c:pt>
                <c:pt idx="10">
                  <c:v>0.013</c:v>
                </c:pt>
                <c:pt idx="11">
                  <c:v>0.038</c:v>
                </c:pt>
                <c:pt idx="12">
                  <c:v>0.013</c:v>
                </c:pt>
                <c:pt idx="13">
                  <c:v>0.025</c:v>
                </c:pt>
                <c:pt idx="14">
                  <c:v>0</c:v>
                </c:pt>
                <c:pt idx="15">
                  <c:v>0.013</c:v>
                </c:pt>
                <c:pt idx="16">
                  <c:v>0</c:v>
                </c:pt>
                <c:pt idx="17">
                  <c:v>0</c:v>
                </c:pt>
                <c:pt idx="18">
                  <c:v>0.013</c:v>
                </c:pt>
                <c:pt idx="19">
                  <c:v>0.013</c:v>
                </c:pt>
                <c:pt idx="20">
                  <c:v>0.013</c:v>
                </c:pt>
                <c:pt idx="21">
                  <c:v>0.013</c:v>
                </c:pt>
                <c:pt idx="22">
                  <c:v>0</c:v>
                </c:pt>
                <c:pt idx="23">
                  <c:v>0</c:v>
                </c:pt>
                <c:pt idx="24">
                  <c:v>0</c:v>
                </c:pt>
                <c:pt idx="25">
                  <c:v>0</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ETPR!$B$5:$B$30</c:f>
              <c:strCache>
                <c:ptCount val="26"/>
                <c:pt idx="0">
                  <c:v>Agriculture: Support</c:v>
                </c:pt>
                <c:pt idx="1">
                  <c:v>Agriculture: Worker</c:v>
                </c:pt>
                <c:pt idx="2">
                  <c:v>Construction: Support</c:v>
                </c:pt>
                <c:pt idx="3">
                  <c:v>Construction: Worker</c:v>
                </c:pt>
                <c:pt idx="4">
                  <c:v>Hospitality: Support</c:v>
                </c:pt>
                <c:pt idx="5">
                  <c:v>Hospitality: Worker</c:v>
                </c:pt>
                <c:pt idx="6">
                  <c:v>Cleaning &amp; Maintenance: Support</c:v>
                </c:pt>
                <c:pt idx="7">
                  <c:v>Cleaning &amp; Maintenance: Worker</c:v>
                </c:pt>
                <c:pt idx="8">
                  <c:v>Manufacturing: Support</c:v>
                </c:pt>
                <c:pt idx="9">
                  <c:v>Manufacturing: Worker</c:v>
                </c:pt>
                <c:pt idx="10">
                  <c:v>Transportation &amp; Warehousing: Support</c:v>
                </c:pt>
                <c:pt idx="11">
                  <c:v>Transportation &amp; Warehousing: Worker</c:v>
                </c:pt>
                <c:pt idx="12">
                  <c:v>Retail Trade: Support</c:v>
                </c:pt>
                <c:pt idx="13">
                  <c:v>Retail Trade: Worker</c:v>
                </c:pt>
                <c:pt idx="14">
                  <c:v>Landscaping / Groundskeeping: Support</c:v>
                </c:pt>
                <c:pt idx="15">
                  <c:v>Landscaping / Groundskeeping: Worker</c:v>
                </c:pt>
                <c:pt idx="16">
                  <c:v>Automotive &amp; Repair: Support</c:v>
                </c:pt>
                <c:pt idx="17">
                  <c:v>Automotive &amp; Repair: Worker</c:v>
                </c:pt>
                <c:pt idx="18">
                  <c:v>Healthcare &amp; Social Assistance: Support</c:v>
                </c:pt>
                <c:pt idx="19">
                  <c:v>Healthcare &amp; Social Assistance: Worker</c:v>
                </c:pt>
                <c:pt idx="20">
                  <c:v>Professional Services: Support</c:v>
                </c:pt>
                <c:pt idx="21">
                  <c:v>Professional Services: Worker</c:v>
                </c:pt>
                <c:pt idx="22">
                  <c:v>Education: Support</c:v>
                </c:pt>
                <c:pt idx="23">
                  <c:v>Education: Worker</c:v>
                </c:pt>
                <c:pt idx="24">
                  <c:v>Finance &amp; Insurance: Support</c:v>
                </c:pt>
                <c:pt idx="25">
                  <c:v>Finance &amp; Insurance: Worker</c:v>
                </c:pt>
              </c:strCache>
            </c:strRef>
          </c:cat>
          <c:val>
            <c:numRef>
              <c:f>ETPR!$F$5:$F$30</c:f>
              <c:numCache>
                <c:formatCode>0.00</c:formatCode>
                <c:ptCount val="26"/>
                <c:pt idx="0">
                  <c:v>0.002</c:v>
                </c:pt>
                <c:pt idx="1">
                  <c:v>0.006</c:v>
                </c:pt>
                <c:pt idx="2">
                  <c:v>0.006</c:v>
                </c:pt>
                <c:pt idx="3">
                  <c:v>0.022</c:v>
                </c:pt>
                <c:pt idx="4">
                  <c:v>0.005</c:v>
                </c:pt>
                <c:pt idx="5">
                  <c:v>0.008</c:v>
                </c:pt>
                <c:pt idx="6">
                  <c:v>0.002</c:v>
                </c:pt>
                <c:pt idx="7">
                  <c:v>0.003</c:v>
                </c:pt>
                <c:pt idx="8">
                  <c:v>0.015</c:v>
                </c:pt>
                <c:pt idx="9">
                  <c:v>0.062</c:v>
                </c:pt>
                <c:pt idx="10">
                  <c:v>0.01</c:v>
                </c:pt>
                <c:pt idx="11">
                  <c:v>0.023</c:v>
                </c:pt>
                <c:pt idx="12">
                  <c:v>0.022</c:v>
                </c:pt>
                <c:pt idx="13">
                  <c:v>0.033</c:v>
                </c:pt>
                <c:pt idx="14">
                  <c:v>0.001</c:v>
                </c:pt>
                <c:pt idx="15">
                  <c:v>0.002</c:v>
                </c:pt>
                <c:pt idx="16">
                  <c:v>0.002</c:v>
                </c:pt>
                <c:pt idx="17">
                  <c:v>0.004</c:v>
                </c:pt>
                <c:pt idx="18">
                  <c:v>0.021</c:v>
                </c:pt>
                <c:pt idx="19">
                  <c:v>0.032</c:v>
                </c:pt>
                <c:pt idx="20">
                  <c:v>0.014</c:v>
                </c:pt>
                <c:pt idx="21">
                  <c:v>0.014</c:v>
                </c:pt>
                <c:pt idx="22">
                  <c:v>0.009</c:v>
                </c:pt>
                <c:pt idx="23">
                  <c:v>0.014</c:v>
                </c:pt>
                <c:pt idx="24">
                  <c:v>0.011</c:v>
                </c:pt>
                <c:pt idx="25">
                  <c:v>0.011</c:v>
                </c:pt>
              </c:numCache>
            </c:numRef>
          </c:val>
        </c:ser>
        <c:gapWidth val="100"/>
        <c:overlap val="0"/>
        <c:axId val="13802075"/>
        <c:axId val="58690413"/>
      </c:barChart>
      <c:catAx>
        <c:axId val="138020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42150715722"/>
              <c:y val="0.4780788177339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690413"/>
        <c:crossesAt val="0"/>
        <c:auto val="1"/>
        <c:lblAlgn val="ctr"/>
        <c:lblOffset val="100"/>
        <c:noMultiLvlLbl val="0"/>
      </c:catAx>
      <c:valAx>
        <c:axId val="586904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582002444891"/>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802075"/>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48905713947711"/>
          <c:y val="0.0107389162561576"/>
        </c:manualLayout>
      </c:layout>
      <c:overlay val="0"/>
      <c:spPr>
        <a:noFill/>
        <a:ln w="0">
          <a:noFill/>
        </a:ln>
      </c:spPr>
    </c:title>
    <c:autoTitleDeleted val="0"/>
    <c:plotArea>
      <c:layout>
        <c:manualLayout>
          <c:layoutTarget val="inner"/>
          <c:xMode val="edge"/>
          <c:yMode val="edge"/>
          <c:x val="0.299104854292362"/>
          <c:y val="0.046871921182266"/>
          <c:w val="0.521353365668993"/>
          <c:h val="0.874088669950739"/>
        </c:manualLayout>
      </c:layout>
      <c:barChart>
        <c:barDir val="bar"/>
        <c:grouping val="clustered"/>
        <c:varyColors val="0"/>
        <c:ser>
          <c:idx val="0"/>
          <c:order val="0"/>
          <c:tx>
            <c:strRef>
              <c:f>ETPR!$C$3</c:f>
              <c:strCache>
                <c:ptCount val="1"/>
                <c:pt idx="0">
                  <c:v>ETPR</c:v>
                </c:pt>
              </c:strCache>
            </c:strRef>
          </c:tx>
          <c:spPr>
            <a:solidFill>
              <a:srgbClr val="004586"/>
            </a:solidFill>
            <a:ln w="0">
              <a:noFill/>
            </a:ln>
          </c:spPr>
          <c:invertIfNegative val="0"/>
          <c:dPt>
            <c:idx val="0"/>
            <c:invertIfNegative val="0"/>
            <c:spPr>
              <a:solidFill>
                <a:srgbClr val="004586"/>
              </a:solidFill>
              <a:ln w="0">
                <a:noFill/>
              </a:ln>
            </c:spPr>
          </c:dPt>
          <c:dPt>
            <c:idx val="8"/>
            <c:invertIfNegative val="0"/>
            <c:spPr>
              <a:solidFill>
                <a:srgbClr val="004586"/>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ETPR!$C$31:$C$56</c:f>
              <c:numCache>
                <c:formatCode>0.00</c:formatCode>
                <c:ptCount val="26"/>
                <c:pt idx="0">
                  <c:v>0.003</c:v>
                </c:pt>
                <c:pt idx="1">
                  <c:v>0.003</c:v>
                </c:pt>
                <c:pt idx="2">
                  <c:v>0.011</c:v>
                </c:pt>
                <c:pt idx="3">
                  <c:v>0.011</c:v>
                </c:pt>
                <c:pt idx="4">
                  <c:v>0.006</c:v>
                </c:pt>
                <c:pt idx="5">
                  <c:v>0.014</c:v>
                </c:pt>
                <c:pt idx="6">
                  <c:v>0.002</c:v>
                </c:pt>
                <c:pt idx="7">
                  <c:v>0.004</c:v>
                </c:pt>
                <c:pt idx="8">
                  <c:v>0</c:v>
                </c:pt>
                <c:pt idx="9">
                  <c:v>0.002</c:v>
                </c:pt>
                <c:pt idx="10">
                  <c:v>0.001</c:v>
                </c:pt>
                <c:pt idx="11">
                  <c:v>0.004</c:v>
                </c:pt>
                <c:pt idx="12">
                  <c:v>0.005</c:v>
                </c:pt>
                <c:pt idx="13">
                  <c:v>0.012</c:v>
                </c:pt>
                <c:pt idx="14">
                  <c:v>0</c:v>
                </c:pt>
                <c:pt idx="15">
                  <c:v>0</c:v>
                </c:pt>
                <c:pt idx="16">
                  <c:v>0.003</c:v>
                </c:pt>
                <c:pt idx="17">
                  <c:v>0.003</c:v>
                </c:pt>
                <c:pt idx="18">
                  <c:v>0.001</c:v>
                </c:pt>
                <c:pt idx="19">
                  <c:v>0.002</c:v>
                </c:pt>
                <c:pt idx="20">
                  <c:v>0.005</c:v>
                </c:pt>
                <c:pt idx="21">
                  <c:v>0.007</c:v>
                </c:pt>
                <c:pt idx="22">
                  <c:v>0.013</c:v>
                </c:pt>
                <c:pt idx="23">
                  <c:v>0.02</c:v>
                </c:pt>
                <c:pt idx="24">
                  <c:v>0.045</c:v>
                </c:pt>
                <c:pt idx="25">
                  <c:v>0.045</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ETPR!$D$31:$D$56</c:f>
              <c:numCache>
                <c:formatCode>0.00</c:formatCode>
                <c:ptCount val="26"/>
                <c:pt idx="0">
                  <c:v>0</c:v>
                </c:pt>
                <c:pt idx="1">
                  <c:v>0</c:v>
                </c:pt>
                <c:pt idx="2">
                  <c:v>0.007</c:v>
                </c:pt>
                <c:pt idx="3">
                  <c:v>0.007</c:v>
                </c:pt>
                <c:pt idx="4">
                  <c:v>0.007</c:v>
                </c:pt>
                <c:pt idx="5">
                  <c:v>0.013</c:v>
                </c:pt>
                <c:pt idx="6">
                  <c:v>0</c:v>
                </c:pt>
                <c:pt idx="7">
                  <c:v>0.007</c:v>
                </c:pt>
                <c:pt idx="8">
                  <c:v>0</c:v>
                </c:pt>
                <c:pt idx="9">
                  <c:v>0</c:v>
                </c:pt>
                <c:pt idx="10">
                  <c:v>0</c:v>
                </c:pt>
                <c:pt idx="11">
                  <c:v>0</c:v>
                </c:pt>
                <c:pt idx="12">
                  <c:v>0.007</c:v>
                </c:pt>
                <c:pt idx="13">
                  <c:v>0.007</c:v>
                </c:pt>
                <c:pt idx="14">
                  <c:v>0</c:v>
                </c:pt>
                <c:pt idx="15">
                  <c:v>0</c:v>
                </c:pt>
                <c:pt idx="16">
                  <c:v>0</c:v>
                </c:pt>
                <c:pt idx="17">
                  <c:v>0</c:v>
                </c:pt>
                <c:pt idx="18">
                  <c:v>0</c:v>
                </c:pt>
                <c:pt idx="19">
                  <c:v>0</c:v>
                </c:pt>
                <c:pt idx="20">
                  <c:v>0.007</c:v>
                </c:pt>
                <c:pt idx="21">
                  <c:v>0.007</c:v>
                </c:pt>
                <c:pt idx="22">
                  <c:v>0.02</c:v>
                </c:pt>
                <c:pt idx="23">
                  <c:v>0.027</c:v>
                </c:pt>
                <c:pt idx="24">
                  <c:v>0.027</c:v>
                </c:pt>
                <c:pt idx="25">
                  <c:v>0.027</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ETPR!$E$31:$E$56</c:f>
              <c:numCache>
                <c:formatCode>0.00</c:formatCode>
                <c:ptCount val="26"/>
                <c:pt idx="0">
                  <c:v>0</c:v>
                </c:pt>
                <c:pt idx="1">
                  <c:v>0</c:v>
                </c:pt>
                <c:pt idx="2">
                  <c:v>0</c:v>
                </c:pt>
                <c:pt idx="3">
                  <c:v>0</c:v>
                </c:pt>
                <c:pt idx="4">
                  <c:v>0.013</c:v>
                </c:pt>
                <c:pt idx="5">
                  <c:v>0.025</c:v>
                </c:pt>
                <c:pt idx="6">
                  <c:v>0</c:v>
                </c:pt>
                <c:pt idx="7">
                  <c:v>0</c:v>
                </c:pt>
                <c:pt idx="8">
                  <c:v>0</c:v>
                </c:pt>
                <c:pt idx="9">
                  <c:v>0</c:v>
                </c:pt>
                <c:pt idx="10">
                  <c:v>0</c:v>
                </c:pt>
                <c:pt idx="11">
                  <c:v>0</c:v>
                </c:pt>
                <c:pt idx="12">
                  <c:v>0</c:v>
                </c:pt>
                <c:pt idx="13">
                  <c:v>0.013</c:v>
                </c:pt>
                <c:pt idx="14">
                  <c:v>0</c:v>
                </c:pt>
                <c:pt idx="15">
                  <c:v>0</c:v>
                </c:pt>
                <c:pt idx="16">
                  <c:v>0</c:v>
                </c:pt>
                <c:pt idx="17">
                  <c:v>0</c:v>
                </c:pt>
                <c:pt idx="18">
                  <c:v>0</c:v>
                </c:pt>
                <c:pt idx="19">
                  <c:v>0</c:v>
                </c:pt>
                <c:pt idx="20">
                  <c:v>0</c:v>
                </c:pt>
                <c:pt idx="21">
                  <c:v>0.013</c:v>
                </c:pt>
                <c:pt idx="22">
                  <c:v>0.025</c:v>
                </c:pt>
                <c:pt idx="23">
                  <c:v>0.025</c:v>
                </c:pt>
                <c:pt idx="24">
                  <c:v>0.013</c:v>
                </c:pt>
                <c:pt idx="25">
                  <c:v>0.013</c:v>
                </c:pt>
              </c:numCache>
            </c:numRef>
          </c:val>
        </c:ser>
        <c:ser>
          <c:idx val="3"/>
          <c:order val="3"/>
          <c:tx>
            <c:strRef>
              <c:f>ETPR!$F$3</c:f>
              <c:strCache>
                <c:ptCount val="1"/>
                <c:pt idx="0">
                  <c:v>American ETPR</c:v>
                </c:pt>
              </c:strCache>
            </c:strRef>
          </c:tx>
          <c:spPr>
            <a:solidFill>
              <a:srgbClr val="579d1c"/>
            </a:solidFill>
            <a:ln w="0">
              <a:noFill/>
            </a:ln>
          </c:spPr>
          <c:invertIfNegative val="0"/>
          <c:dPt>
            <c:idx val="3"/>
            <c:invertIfNegative val="0"/>
            <c:spPr>
              <a:solidFill>
                <a:srgbClr val="579d1c"/>
              </a:solidFill>
              <a:ln w="0">
                <a:noFill/>
              </a:ln>
            </c:spPr>
          </c:dPt>
          <c:dPt>
            <c:idx val="8"/>
            <c:invertIfNegative val="0"/>
            <c:spPr>
              <a:solidFill>
                <a:srgbClr val="579d1c"/>
              </a:solidFill>
              <a:ln w="0">
                <a:noFill/>
              </a:ln>
            </c:spPr>
          </c:dPt>
          <c:dLbls>
            <c:dLbl>
              <c:idx val="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ETPR!$B$31:$B$56</c:f>
              <c:strCache>
                <c:ptCount val="26"/>
                <c:pt idx="0">
                  <c:v>Media and Information Technology: Support</c:v>
                </c:pt>
                <c:pt idx="1">
                  <c:v>Media and Information Technology: Worker</c:v>
                </c:pt>
                <c:pt idx="2">
                  <c:v>Government: Support</c:v>
                </c:pt>
                <c:pt idx="3">
                  <c:v>Government: Worker</c:v>
                </c:pt>
                <c:pt idx="4">
                  <c:v>Self-Employed / Non-Employer: Support</c:v>
                </c:pt>
                <c:pt idx="5">
                  <c:v>Self-Employed / Non-Employer: Worker</c:v>
                </c:pt>
                <c:pt idx="6">
                  <c:v>Other Services: Support</c:v>
                </c:pt>
                <c:pt idx="7">
                  <c:v>Other Services: Worker</c:v>
                </c:pt>
                <c:pt idx="8">
                  <c:v>Mining, Quarrying, and Oil/Gas Extraction: Support</c:v>
                </c:pt>
                <c:pt idx="9">
                  <c:v>Mining, Quarrying, and Oil/Gas Extraction: Worker</c:v>
                </c:pt>
                <c:pt idx="10">
                  <c:v>Utilities: Support</c:v>
                </c:pt>
                <c:pt idx="11">
                  <c:v>Utilities: Worker</c:v>
                </c:pt>
                <c:pt idx="12">
                  <c:v>Wholesale Trade: Support</c:v>
                </c:pt>
                <c:pt idx="13">
                  <c:v>Wholesale Trade: Worker</c:v>
                </c:pt>
                <c:pt idx="14">
                  <c:v>Information: Support</c:v>
                </c:pt>
                <c:pt idx="15">
                  <c:v>Information: Worker</c:v>
                </c:pt>
                <c:pt idx="16">
                  <c:v>Real Estate, Rental and Leasing: Support</c:v>
                </c:pt>
                <c:pt idx="17">
                  <c:v>Real Estate, Rental and Leasing: Worker</c:v>
                </c:pt>
                <c:pt idx="18">
                  <c:v>Waste Management Services: Support</c:v>
                </c:pt>
                <c:pt idx="19">
                  <c:v>Waste Management Services: Worker</c:v>
                </c:pt>
                <c:pt idx="20">
                  <c:v>Arts, Entertainment, and Recreation: Support</c:v>
                </c:pt>
                <c:pt idx="21">
                  <c:v>Arts, Entertainment, and Recreation: Worker</c:v>
                </c:pt>
                <c:pt idx="22">
                  <c:v>Accommodation and Food Services: Support</c:v>
                </c:pt>
                <c:pt idx="23">
                  <c:v>Accommodation and Food Services: Worker</c:v>
                </c:pt>
                <c:pt idx="24">
                  <c:v>Public Administration: Support</c:v>
                </c:pt>
                <c:pt idx="25">
                  <c:v>Public Administration: Worker</c:v>
                </c:pt>
              </c:strCache>
            </c:strRef>
          </c:cat>
          <c:val>
            <c:numRef>
              <c:f>ETPR!$F$31:$F$56</c:f>
              <c:numCache>
                <c:formatCode>0.00</c:formatCode>
                <c:ptCount val="26"/>
                <c:pt idx="0">
                  <c:v>0.003</c:v>
                </c:pt>
                <c:pt idx="1">
                  <c:v>0.003</c:v>
                </c:pt>
                <c:pt idx="2">
                  <c:v>0.012</c:v>
                </c:pt>
                <c:pt idx="3">
                  <c:v>0.012</c:v>
                </c:pt>
                <c:pt idx="4">
                  <c:v>0.006</c:v>
                </c:pt>
                <c:pt idx="5">
                  <c:v>0.014</c:v>
                </c:pt>
                <c:pt idx="6">
                  <c:v>0.002</c:v>
                </c:pt>
                <c:pt idx="7">
                  <c:v>0.004</c:v>
                </c:pt>
                <c:pt idx="8">
                  <c:v>0.001</c:v>
                </c:pt>
                <c:pt idx="9">
                  <c:v>0.002</c:v>
                </c:pt>
                <c:pt idx="10">
                  <c:v>0.001</c:v>
                </c:pt>
                <c:pt idx="11">
                  <c:v>0.005</c:v>
                </c:pt>
                <c:pt idx="12">
                  <c:v>0.005</c:v>
                </c:pt>
                <c:pt idx="13">
                  <c:v>0.012</c:v>
                </c:pt>
                <c:pt idx="14">
                  <c:v>0</c:v>
                </c:pt>
                <c:pt idx="15">
                  <c:v>0</c:v>
                </c:pt>
                <c:pt idx="16">
                  <c:v>0.003</c:v>
                </c:pt>
                <c:pt idx="17">
                  <c:v>0.003</c:v>
                </c:pt>
                <c:pt idx="18">
                  <c:v>0.001</c:v>
                </c:pt>
                <c:pt idx="19">
                  <c:v>0.002</c:v>
                </c:pt>
                <c:pt idx="20">
                  <c:v>0.005</c:v>
                </c:pt>
                <c:pt idx="21">
                  <c:v>0.007</c:v>
                </c:pt>
                <c:pt idx="22">
                  <c:v>0.013</c:v>
                </c:pt>
                <c:pt idx="23">
                  <c:v>0.019</c:v>
                </c:pt>
                <c:pt idx="24">
                  <c:v>0.047</c:v>
                </c:pt>
                <c:pt idx="25">
                  <c:v>0.047</c:v>
                </c:pt>
              </c:numCache>
            </c:numRef>
          </c:val>
        </c:ser>
        <c:gapWidth val="100"/>
        <c:overlap val="0"/>
        <c:axId val="9847367"/>
        <c:axId val="99332379"/>
      </c:barChart>
      <c:catAx>
        <c:axId val="984736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42150715722"/>
              <c:y val="0.4780541871921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332379"/>
        <c:crosses val="autoZero"/>
        <c:auto val="1"/>
        <c:lblAlgn val="ctr"/>
        <c:lblOffset val="100"/>
        <c:noMultiLvlLbl val="0"/>
      </c:catAx>
      <c:valAx>
        <c:axId val="9933237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128987736109"/>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847367"/>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662460567823"/>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LFPR!$C$4:$C$29</c:f>
              <c:numCache>
                <c:formatCode>0.00%</c:formatCode>
                <c:ptCount val="26"/>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LFPR!$D$4:$D$29</c:f>
              <c:numCache>
                <c:formatCode>0.00%</c:formatCode>
                <c:ptCount val="26"/>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LFPR!$E$4:$E$29</c:f>
              <c:numCache>
                <c:formatCode>0.00%</c:formatCode>
                <c:ptCount val="26"/>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LFPR!$F$4:$F$29</c:f>
              <c:numCache>
                <c:formatCode>0.00%</c:formatCode>
                <c:ptCount val="26"/>
              </c:numCache>
            </c:numRef>
          </c:val>
        </c:ser>
        <c:gapWidth val="100"/>
        <c:overlap val="0"/>
        <c:axId val="74248288"/>
        <c:axId val="2000641"/>
      </c:barChart>
      <c:catAx>
        <c:axId val="7424828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802955665024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00641"/>
        <c:crosses val="autoZero"/>
        <c:auto val="1"/>
        <c:lblAlgn val="ctr"/>
        <c:lblOffset val="100"/>
        <c:noMultiLvlLbl val="0"/>
      </c:catAx>
      <c:valAx>
        <c:axId val="200064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413249211357"/>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248288"/>
        <c:crosses val="max"/>
        <c:crossBetween val="midCat"/>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80757097792"/>
          <c:y val="0.0105418719211823"/>
        </c:manualLayout>
      </c:layout>
      <c:overlay val="0"/>
      <c:spPr>
        <a:noFill/>
        <a:ln w="0">
          <a:noFill/>
        </a:ln>
      </c:spPr>
    </c:title>
    <c:autoTitleDeleted val="0"/>
    <c:plotArea>
      <c:layout>
        <c:manualLayout>
          <c:layoutTarget val="inner"/>
          <c:xMode val="edge"/>
          <c:yMode val="edge"/>
          <c:x val="0.299093059936909"/>
          <c:y val="0.046871921182266"/>
          <c:w val="0.470307570977918"/>
          <c:h val="0.874088669950739"/>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LFPR!$C$30:$C$55</c:f>
              <c:numCache>
                <c:formatCode>0.00%</c:formatCode>
                <c:ptCount val="26"/>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LFPR!$D$30:$D$55</c:f>
              <c:numCache>
                <c:formatCode>0.00%</c:formatCode>
                <c:ptCount val="26"/>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LFPR!$E$30:$E$55</c:f>
              <c:numCache>
                <c:formatCode>0.00%</c:formatCode>
                <c:ptCount val="26"/>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LFPR!$F$30:$F$55</c:f>
              <c:numCache>
                <c:formatCode>0.00%</c:formatCode>
                <c:ptCount val="26"/>
              </c:numCache>
            </c:numRef>
          </c:val>
        </c:ser>
        <c:gapWidth val="100"/>
        <c:overlap val="0"/>
        <c:axId val="66516419"/>
        <c:axId val="80640372"/>
      </c:barChart>
      <c:catAx>
        <c:axId val="665164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9556650246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640372"/>
        <c:crosses val="autoZero"/>
        <c:auto val="1"/>
        <c:lblAlgn val="ctr"/>
        <c:lblOffset val="100"/>
        <c:noMultiLvlLbl val="0"/>
      </c:catAx>
      <c:valAx>
        <c:axId val="8064037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492113564669"/>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516419"/>
        <c:crosses val="max"/>
        <c:crossBetween val="midCat"/>
      </c:valAx>
      <c:spPr>
        <a:noFill/>
        <a:ln w="0">
          <a:solidFill>
            <a:srgbClr val="b3b3b3"/>
          </a:solidFill>
        </a:ln>
      </c:spPr>
    </c:plotArea>
    <c:legend>
      <c:legendPos val="r"/>
      <c:layout>
        <c:manualLayout>
          <c:xMode val="edge"/>
          <c:yMode val="edge"/>
          <c:x val="0.802546013478895"/>
          <c:y val="0.0768226922414005"/>
          <c:w val="0.171921803562983"/>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741324921136"/>
          <c:y val="0.0105418719211823"/>
        </c:manualLayout>
      </c:layout>
      <c:overlay val="0"/>
      <c:spPr>
        <a:noFill/>
        <a:ln w="0">
          <a:noFill/>
        </a:ln>
      </c:spPr>
    </c:title>
    <c:autoTitleDeleted val="0"/>
    <c:plotArea>
      <c:layout>
        <c:manualLayout>
          <c:layoutTarget val="inner"/>
          <c:xMode val="edge"/>
          <c:yMode val="edge"/>
          <c:x val="0.299093059936909"/>
          <c:y val="0.046871921182266"/>
          <c:w val="0.470307570977918"/>
          <c:h val="0.874088669950739"/>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U3R!$C$30:$C$55</c:f>
              <c:numCache>
                <c:formatCode>0.00%</c:formatCode>
                <c:ptCount val="26"/>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U3R!$D$30:$D$55</c:f>
              <c:numCache>
                <c:formatCode>0.00%</c:formatCode>
                <c:ptCount val="26"/>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U3R!$E$30:$E$55</c:f>
              <c:numCache>
                <c:formatCode>0.00%</c:formatCode>
                <c:ptCount val="26"/>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U3R!$F$30:$F$55</c:f>
              <c:numCache>
                <c:formatCode>0.00%</c:formatCode>
                <c:ptCount val="26"/>
              </c:numCache>
            </c:numRef>
          </c:val>
        </c:ser>
        <c:gapWidth val="100"/>
        <c:overlap val="0"/>
        <c:axId val="78409639"/>
        <c:axId val="18978549"/>
      </c:barChart>
      <c:catAx>
        <c:axId val="7840963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9556650246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978549"/>
        <c:crosses val="autoZero"/>
        <c:auto val="1"/>
        <c:lblAlgn val="ctr"/>
        <c:lblOffset val="100"/>
        <c:noMultiLvlLbl val="0"/>
      </c:catAx>
      <c:valAx>
        <c:axId val="189785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492113564669"/>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409639"/>
        <c:crosses val="max"/>
        <c:crossBetween val="midCat"/>
        <c:majorUnit val="0.01"/>
      </c:valAx>
      <c:spPr>
        <a:noFill/>
        <a:ln w="0">
          <a:solidFill>
            <a:srgbClr val="b3b3b3"/>
          </a:solidFill>
        </a:ln>
      </c:spPr>
    </c:plotArea>
    <c:legend>
      <c:legendPos val="r"/>
      <c:layout>
        <c:manualLayout>
          <c:xMode val="edge"/>
          <c:yMode val="edge"/>
          <c:x val="0.802585425452252"/>
          <c:y val="0.0768719375569399"/>
          <c:w val="0.171961217089705"/>
          <c:h val="0.111764995567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741324921136"/>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U3R!$C$4:$C$29</c:f>
              <c:numCache>
                <c:formatCode>0.00%</c:formatCode>
                <c:ptCount val="26"/>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U3R!$D$4:$D$29</c:f>
              <c:numCache>
                <c:formatCode>0.00%</c:formatCode>
                <c:ptCount val="26"/>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U3R!$E$4:$E$29</c:f>
              <c:numCache>
                <c:formatCode>0.00%</c:formatCode>
                <c:ptCount val="26"/>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U3R!$F$4:$F$29</c:f>
              <c:numCache>
                <c:formatCode>0.00%</c:formatCode>
                <c:ptCount val="26"/>
              </c:numCache>
            </c:numRef>
          </c:val>
        </c:ser>
        <c:gapWidth val="100"/>
        <c:overlap val="0"/>
        <c:axId val="6017796"/>
        <c:axId val="64359865"/>
      </c:barChart>
      <c:catAx>
        <c:axId val="60177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9802955665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359865"/>
        <c:crosses val="autoZero"/>
        <c:auto val="1"/>
        <c:lblAlgn val="ctr"/>
        <c:lblOffset val="100"/>
        <c:noMultiLvlLbl val="0"/>
      </c:catAx>
      <c:valAx>
        <c:axId val="643598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492113564669"/>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17796"/>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086750788644"/>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U6R!$C$4:$C$29</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U6R!$D$4:$D$29</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U6R!$E$4:$E$29</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U6R!$F$4:$F$29</c:f>
              <c:numCache>
                <c:formatCode>0.00%</c:formatCode>
                <c:ptCount val="26"/>
              </c:numCache>
            </c:numRef>
          </c:val>
        </c:ser>
        <c:gapWidth val="100"/>
        <c:overlap val="0"/>
        <c:axId val="84856768"/>
        <c:axId val="62744084"/>
      </c:barChart>
      <c:catAx>
        <c:axId val="848567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98029556650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744084"/>
        <c:crosses val="autoZero"/>
        <c:auto val="1"/>
        <c:lblAlgn val="ctr"/>
        <c:lblOffset val="100"/>
        <c:noMultiLvlLbl val="0"/>
      </c:catAx>
      <c:valAx>
        <c:axId val="6274408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018927444795"/>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856768"/>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086750788644"/>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U6R!$C$30:$C$55</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U6R!$D$30:$D$55</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U6R!$E$30:$E$55</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U6R!$F$30:$F$55</c:f>
              <c:numCache>
                <c:formatCode>0.00%</c:formatCode>
                <c:ptCount val="26"/>
              </c:numCache>
            </c:numRef>
          </c:val>
        </c:ser>
        <c:gapWidth val="100"/>
        <c:overlap val="0"/>
        <c:axId val="85296472"/>
        <c:axId val="91818763"/>
      </c:barChart>
      <c:catAx>
        <c:axId val="8529647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9310344827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818763"/>
        <c:crosses val="autoZero"/>
        <c:auto val="1"/>
        <c:lblAlgn val="ctr"/>
        <c:lblOffset val="100"/>
        <c:noMultiLvlLbl val="0"/>
      </c:catAx>
      <c:valAx>
        <c:axId val="918187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097791798107"/>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296472"/>
        <c:crosses val="max"/>
        <c:crossBetween val="midCat"/>
        <c:majorUnit val="0.01"/>
      </c:valAx>
      <c:spPr>
        <a:noFill/>
        <a:ln w="0">
          <a:solidFill>
            <a:srgbClr val="b3b3b3"/>
          </a:solidFill>
        </a:ln>
      </c:spPr>
    </c:plotArea>
    <c:legend>
      <c:legendPos val="r"/>
      <c:layout>
        <c:manualLayout>
          <c:xMode val="edge"/>
          <c:yMode val="edge"/>
          <c:x val="0.802523161837177"/>
          <c:y val="0.0768378278537126"/>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95268138801"/>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WAVG!$C$4:$C$29</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WAVG!$D$4:$D$29</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WAVG!$E$4:$E$29</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WAVG!$F$4:$F$29</c:f>
              <c:numCache>
                <c:formatCode>[$$-409]#,##0.00;[RED]\-[$$-409]#,##0.00</c:formatCode>
                <c:ptCount val="26"/>
              </c:numCache>
            </c:numRef>
          </c:val>
        </c:ser>
        <c:gapWidth val="100"/>
        <c:overlap val="0"/>
        <c:axId val="346174"/>
        <c:axId val="33517007"/>
      </c:barChart>
      <c:catAx>
        <c:axId val="3461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83251231527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517007"/>
        <c:crosses val="autoZero"/>
        <c:auto val="1"/>
        <c:lblAlgn val="ctr"/>
        <c:lblOffset val="100"/>
        <c:noMultiLvlLbl val="0"/>
      </c:catAx>
      <c:valAx>
        <c:axId val="3351700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649842271293"/>
              <c:y val="0.969285714285714"/>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6174"/>
        <c:crosses val="max"/>
        <c:crossBetween val="midCat"/>
      </c:valAx>
      <c:spPr>
        <a:noFill/>
        <a:ln w="0">
          <a:solidFill>
            <a:srgbClr val="b3b3b3"/>
          </a:solidFill>
        </a:ln>
      </c:spPr>
    </c:plotArea>
    <c:legend>
      <c:legendPos val="r"/>
      <c:layout>
        <c:manualLayout>
          <c:xMode val="edge"/>
          <c:yMode val="edge"/>
          <c:x val="0.802523161837177"/>
          <c:y val="0.0767639453269302"/>
          <c:w val="0.171897177101404"/>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11356466877"/>
          <c:y val="0.0105418719211823"/>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WAVG!$C$30:$C$55</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WAVG!$D$30:$D$55</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WAVG!$E$30:$E$55</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WAVG!$F$30:$F$55</c:f>
              <c:numCache>
                <c:formatCode>[$$-409]#,##0.00;[RED]\-[$$-409]#,##0.00</c:formatCode>
                <c:ptCount val="26"/>
              </c:numCache>
            </c:numRef>
          </c:val>
        </c:ser>
        <c:gapWidth val="100"/>
        <c:overlap val="0"/>
        <c:axId val="40341951"/>
        <c:axId val="78136171"/>
      </c:barChart>
      <c:catAx>
        <c:axId val="403419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78325123152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136171"/>
        <c:crosses val="autoZero"/>
        <c:auto val="1"/>
        <c:lblAlgn val="ctr"/>
        <c:lblOffset val="100"/>
        <c:noMultiLvlLbl val="0"/>
      </c:catAx>
      <c:valAx>
        <c:axId val="7813617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28706624606"/>
              <c:y val="0.969285714285714"/>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341951"/>
        <c:crosses val="max"/>
        <c:crossBetween val="midCat"/>
      </c:valAx>
      <c:spPr>
        <a:noFill/>
        <a:ln w="0">
          <a:solidFill>
            <a:srgbClr val="b3b3b3"/>
          </a:solidFill>
        </a:ln>
      </c:spPr>
    </c:plotArea>
    <c:legend>
      <c:legendPos val="r"/>
      <c:layout>
        <c:manualLayout>
          <c:xMode val="edge"/>
          <c:yMode val="edge"/>
          <c:x val="0.802483737433471"/>
          <c:y val="0.0767639453269302"/>
          <c:w val="0.171857751143353"/>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00630914827"/>
          <c:y val="0.0168472906403941"/>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AIAVG!$C$4:$C$29</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AIAVG!$D$4:$D$29</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AIAVG!$E$4:$E$29</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AIAVG!$F$4:$F$29</c:f>
              <c:numCache>
                <c:formatCode>[$$-409]#,##0;[RED]\-[$$-409]#,##0</c:formatCode>
                <c:ptCount val="26"/>
              </c:numCache>
            </c:numRef>
          </c:val>
        </c:ser>
        <c:gapWidth val="100"/>
        <c:overlap val="0"/>
        <c:axId val="96479497"/>
        <c:axId val="18047257"/>
      </c:barChart>
      <c:catAx>
        <c:axId val="9647949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68472906403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047257"/>
        <c:crosses val="autoZero"/>
        <c:auto val="1"/>
        <c:lblAlgn val="ctr"/>
        <c:lblOffset val="100"/>
        <c:noMultiLvlLbl val="0"/>
      </c:catAx>
      <c:valAx>
        <c:axId val="180472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914826498423"/>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479497"/>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00630914827"/>
          <c:y val="0.0168472906403941"/>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AIAVG!$C$30:$C$55</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AIAVG!$D$30:$D$55</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AIAVG!$E$30:$E$55</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AIAVG!$F$30:$F$55</c:f>
              <c:numCache>
                <c:formatCode>[$$-409]#,##0;[RED]\-[$$-409]#,##0</c:formatCode>
                <c:ptCount val="26"/>
              </c:numCache>
            </c:numRef>
          </c:val>
        </c:ser>
        <c:gapWidth val="100"/>
        <c:overlap val="0"/>
        <c:axId val="7116002"/>
        <c:axId val="88440264"/>
      </c:barChart>
      <c:catAx>
        <c:axId val="711600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561576354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440264"/>
        <c:crosses val="autoZero"/>
        <c:auto val="1"/>
        <c:lblAlgn val="ctr"/>
        <c:lblOffset val="100"/>
        <c:noMultiLvlLbl val="0"/>
      </c:catAx>
      <c:valAx>
        <c:axId val="8844026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914826498423"/>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16002"/>
        <c:crosses val="max"/>
        <c:crossBetween val="midCat"/>
      </c:valAx>
      <c:spPr>
        <a:noFill/>
        <a:ln w="0">
          <a:solidFill>
            <a:srgbClr val="b3b3b3"/>
          </a:solidFill>
        </a:ln>
      </c:spPr>
    </c:plotArea>
    <c:legend>
      <c:legendPos val="r"/>
      <c:layout>
        <c:manualLayout>
          <c:xMode val="edge"/>
          <c:yMode val="edge"/>
          <c:x val="0.785807214665878"/>
          <c:y val="0.0767393178180027"/>
          <c:w val="0.188495505440782"/>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3501577287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FPITREV!$C$4:$C$29</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FPITREV!$D$4:$D$29</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FPITREV!$E$4:$E$29</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FPITREV!$F$4:$F$29</c:f>
              <c:numCache>
                <c:formatCode>[$$-409]#,##0;\-[$$-409]#,##0</c:formatCode>
                <c:ptCount val="26"/>
              </c:numCache>
            </c:numRef>
          </c:val>
        </c:ser>
        <c:gapWidth val="100"/>
        <c:overlap val="0"/>
        <c:axId val="5332098"/>
        <c:axId val="35581820"/>
      </c:barChart>
      <c:catAx>
        <c:axId val="533209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68472906403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581820"/>
        <c:crosses val="autoZero"/>
        <c:auto val="1"/>
        <c:lblAlgn val="ctr"/>
        <c:lblOffset val="100"/>
        <c:noMultiLvlLbl val="0"/>
      </c:catAx>
      <c:valAx>
        <c:axId val="355818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68927444795"/>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32098"/>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3501577287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FPITREV!$C$30:$C$55</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FPITREV!$D$30:$D$55</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FPITREV!$E$30:$E$55</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FPITREV!$F$30:$F$55</c:f>
              <c:numCache>
                <c:formatCode>[$$-409]#,##0;\-[$$-409]#,##0</c:formatCode>
                <c:ptCount val="26"/>
              </c:numCache>
            </c:numRef>
          </c:val>
        </c:ser>
        <c:gapWidth val="100"/>
        <c:overlap val="0"/>
        <c:axId val="68086618"/>
        <c:axId val="24085860"/>
      </c:barChart>
      <c:catAx>
        <c:axId val="6808661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5369458128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085860"/>
        <c:crosses val="autoZero"/>
        <c:auto val="1"/>
        <c:lblAlgn val="ctr"/>
        <c:lblOffset val="100"/>
        <c:noMultiLvlLbl val="0"/>
      </c:catAx>
      <c:valAx>
        <c:axId val="2408586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88643533123"/>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086618"/>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64668769716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58731496"/>
        <c:axId val="66658372"/>
      </c:barChart>
      <c:catAx>
        <c:axId val="587314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561576354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658372"/>
        <c:crosses val="autoZero"/>
        <c:auto val="1"/>
        <c:lblAlgn val="ctr"/>
        <c:lblOffset val="100"/>
        <c:noMultiLvlLbl val="0"/>
      </c:catAx>
      <c:valAx>
        <c:axId val="6665837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531545741325"/>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731496"/>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64668769716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12734411"/>
        <c:axId val="90898965"/>
      </c:barChart>
      <c:catAx>
        <c:axId val="1273441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46305418719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898965"/>
        <c:crosses val="autoZero"/>
        <c:auto val="1"/>
        <c:lblAlgn val="ctr"/>
        <c:lblOffset val="100"/>
        <c:noMultiLvlLbl val="0"/>
      </c:catAx>
      <c:valAx>
        <c:axId val="908989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610410094637"/>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734411"/>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228706624606"/>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75971331"/>
        <c:axId val="94305599"/>
      </c:barChart>
      <c:catAx>
        <c:axId val="7597133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53694581280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305599"/>
        <c:crosses val="autoZero"/>
        <c:auto val="1"/>
        <c:lblAlgn val="ctr"/>
        <c:lblOffset val="100"/>
        <c:noMultiLvlLbl val="0"/>
      </c:catAx>
      <c:valAx>
        <c:axId val="9430559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925867507886"/>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971331"/>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38643533123"/>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71168868"/>
        <c:axId val="75355725"/>
      </c:barChart>
      <c:catAx>
        <c:axId val="711688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438423645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355725"/>
        <c:crosses val="autoZero"/>
        <c:auto val="1"/>
        <c:lblAlgn val="ctr"/>
        <c:lblOffset val="100"/>
        <c:noMultiLvlLbl val="0"/>
      </c:catAx>
      <c:valAx>
        <c:axId val="753557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083596214511"/>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168868"/>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54258675079"/>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3184910"/>
        <c:axId val="80286468"/>
      </c:barChart>
      <c:catAx>
        <c:axId val="318491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36453201970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286468"/>
        <c:crosses val="autoZero"/>
        <c:auto val="1"/>
        <c:lblAlgn val="ctr"/>
        <c:lblOffset val="100"/>
        <c:noMultiLvlLbl val="0"/>
      </c:catAx>
      <c:valAx>
        <c:axId val="8028646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15141955836"/>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184910"/>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54258675079"/>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45522799"/>
        <c:axId val="41061261"/>
      </c:barChart>
      <c:catAx>
        <c:axId val="4552279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31527093596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061261"/>
        <c:crosses val="autoZero"/>
        <c:auto val="1"/>
        <c:lblAlgn val="ctr"/>
        <c:lblOffset val="100"/>
        <c:noMultiLvlLbl val="0"/>
      </c:catAx>
      <c:valAx>
        <c:axId val="4106126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15141955836"/>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522799"/>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83041922"/>
        <c:axId val="77230635"/>
      </c:barChart>
      <c:catAx>
        <c:axId val="8304192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33990147783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230635"/>
        <c:crosses val="autoZero"/>
        <c:auto val="1"/>
        <c:lblAlgn val="ctr"/>
        <c:lblOffset val="100"/>
        <c:noMultiLvlLbl val="0"/>
      </c:catAx>
      <c:valAx>
        <c:axId val="7723063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15141955836"/>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041922"/>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33738078"/>
        <c:axId val="71830600"/>
      </c:barChart>
      <c:catAx>
        <c:axId val="3373807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29064039408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830600"/>
        <c:crosses val="autoZero"/>
        <c:auto val="1"/>
        <c:lblAlgn val="ctr"/>
        <c:lblOffset val="100"/>
        <c:noMultiLvlLbl val="0"/>
      </c:catAx>
      <c:valAx>
        <c:axId val="7183060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15141955836"/>
              <c:y val="0.96928571428571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738078"/>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6805126"/>
        <c:axId val="74150680"/>
      </c:barChart>
      <c:catAx>
        <c:axId val="68051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2660098522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150680"/>
        <c:crosses val="autoZero"/>
        <c:auto val="1"/>
        <c:lblAlgn val="ctr"/>
        <c:lblOffset val="100"/>
        <c:noMultiLvlLbl val="0"/>
      </c:catAx>
      <c:valAx>
        <c:axId val="7415068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1514195583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05126"/>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28168738"/>
        <c:axId val="65360597"/>
      </c:barChart>
      <c:catAx>
        <c:axId val="2816873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9211822660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360597"/>
        <c:crosses val="autoZero"/>
        <c:auto val="1"/>
        <c:lblAlgn val="ctr"/>
        <c:lblOffset val="100"/>
        <c:noMultiLvlLbl val="0"/>
      </c:catAx>
      <c:valAx>
        <c:axId val="6536059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1514195583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168738"/>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45056941"/>
        <c:axId val="99458412"/>
      </c:barChart>
      <c:catAx>
        <c:axId val="4505694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24137931034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458412"/>
        <c:crosses val="autoZero"/>
        <c:auto val="1"/>
        <c:lblAlgn val="ctr"/>
        <c:lblOffset val="100"/>
        <c:noMultiLvlLbl val="0"/>
      </c:catAx>
      <c:valAx>
        <c:axId val="9945841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1514195583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056941"/>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33123028391"/>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29605305"/>
        <c:axId val="76928391"/>
      </c:barChart>
      <c:catAx>
        <c:axId val="296053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674876847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928391"/>
        <c:crosses val="autoZero"/>
        <c:auto val="1"/>
        <c:lblAlgn val="ctr"/>
        <c:lblOffset val="100"/>
        <c:noMultiLvlLbl val="0"/>
      </c:catAx>
      <c:valAx>
        <c:axId val="769283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1514195583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605305"/>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690851735016"/>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80709575"/>
        <c:axId val="78556956"/>
      </c:barChart>
      <c:catAx>
        <c:axId val="807095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21674876847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556956"/>
        <c:crosses val="autoZero"/>
        <c:auto val="1"/>
        <c:lblAlgn val="ctr"/>
        <c:lblOffset val="100"/>
        <c:noMultiLvlLbl val="0"/>
      </c:catAx>
      <c:valAx>
        <c:axId val="785569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09148264984"/>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709575"/>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690851735016"/>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97651966"/>
        <c:axId val="63517890"/>
      </c:barChart>
      <c:catAx>
        <c:axId val="9765196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4285714285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517890"/>
        <c:crosses val="autoZero"/>
        <c:auto val="1"/>
        <c:lblAlgn val="ctr"/>
        <c:lblOffset val="100"/>
        <c:noMultiLvlLbl val="0"/>
      </c:catAx>
      <c:valAx>
        <c:axId val="6351789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09148264984"/>
              <c:y val="0.96928571428571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651966"/>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730283911672"/>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64434185"/>
        <c:axId val="72902405"/>
      </c:barChart>
      <c:catAx>
        <c:axId val="6443418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674876847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902405"/>
        <c:crosses val="autoZero"/>
        <c:auto val="1"/>
        <c:lblAlgn val="ctr"/>
        <c:lblOffset val="100"/>
        <c:noMultiLvlLbl val="0"/>
      </c:catAx>
      <c:valAx>
        <c:axId val="729024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9085173501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434185"/>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730283911672"/>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67664383"/>
        <c:axId val="53268127"/>
      </c:barChart>
      <c:catAx>
        <c:axId val="6766438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1822660098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268127"/>
        <c:crosses val="autoZero"/>
        <c:auto val="1"/>
        <c:lblAlgn val="ctr"/>
        <c:lblOffset val="100"/>
        <c:noMultiLvlLbl val="0"/>
      </c:catAx>
      <c:valAx>
        <c:axId val="5326812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9085173501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664383"/>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769716088328"/>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16849456"/>
        <c:axId val="63312665"/>
      </c:barChart>
      <c:catAx>
        <c:axId val="1684945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14285714285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312665"/>
        <c:crosses val="autoZero"/>
        <c:auto val="1"/>
        <c:lblAlgn val="ctr"/>
        <c:lblOffset val="100"/>
        <c:noMultiLvlLbl val="0"/>
      </c:catAx>
      <c:valAx>
        <c:axId val="633126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9085173501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849456"/>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769716088328"/>
          <c:y val="0.0113793103448276"/>
        </c:manualLayout>
      </c:layout>
      <c:overlay val="0"/>
      <c:spPr>
        <a:noFill/>
        <a:ln w="0">
          <a:noFill/>
        </a:ln>
      </c:spPr>
    </c:title>
    <c:autoTitleDeleted val="0"/>
    <c:plotArea>
      <c:layout>
        <c:manualLayout>
          <c:layoutTarget val="inner"/>
          <c:xMode val="edge"/>
          <c:yMode val="edge"/>
          <c:x val="0.299093059936909"/>
          <c:y val="0.0468965517241379"/>
          <c:w val="0.470307570977918"/>
          <c:h val="0.874088669950739"/>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98715993"/>
        <c:axId val="33775996"/>
      </c:barChart>
      <c:catAx>
        <c:axId val="9871599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2933753943218"/>
              <c:y val="0.4770935960591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775996"/>
        <c:crosses val="autoZero"/>
        <c:auto val="1"/>
        <c:lblAlgn val="ctr"/>
        <c:lblOffset val="100"/>
        <c:noMultiLvlLbl val="0"/>
      </c:catAx>
      <c:valAx>
        <c:axId val="3377599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90851735016"/>
              <c:y val="0.9692857142857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8715993"/>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6.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7.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8.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9.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0.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1.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2.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_rels/drawing13.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_rels/drawing14.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_rels/drawing15.xml.rels><?xml version="1.0" encoding="UTF-8"?>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
</Relationships>
</file>

<file path=xl/drawings/_rels/drawing16.xml.rels><?xml version="1.0" encoding="UTF-8"?>
<Relationships xmlns="http://schemas.openxmlformats.org/package/2006/relationships"><Relationship Id="rId1" Type="http://schemas.openxmlformats.org/officeDocument/2006/relationships/chart" Target="../charts/chart31.xml"/><Relationship Id="rId2" Type="http://schemas.openxmlformats.org/officeDocument/2006/relationships/chart" Target="../charts/chart32.xml"/>
</Relationships>
</file>

<file path=xl/drawings/_rels/drawing17.xml.rels><?xml version="1.0" encoding="UTF-8"?>
<Relationships xmlns="http://schemas.openxmlformats.org/package/2006/relationships"><Relationship Id="rId1" Type="http://schemas.openxmlformats.org/officeDocument/2006/relationships/chart" Target="../charts/chart33.xml"/><Relationship Id="rId2" Type="http://schemas.openxmlformats.org/officeDocument/2006/relationships/chart" Target="../charts/chart3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-720</xdr:colOff>
      <xdr:row>160</xdr:row>
      <xdr:rowOff>136800</xdr:rowOff>
    </xdr:from>
    <xdr:to>
      <xdr:col>6</xdr:col>
      <xdr:colOff>641880</xdr:colOff>
      <xdr:row>250</xdr:row>
      <xdr:rowOff>122040</xdr:rowOff>
    </xdr:to>
    <xdr:graphicFrame>
      <xdr:nvGraphicFramePr>
        <xdr:cNvPr id="1" name=""/>
        <xdr:cNvGraphicFramePr/>
      </xdr:nvGraphicFramePr>
      <xdr:xfrm>
        <a:off x="975240" y="2614644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974520</xdr:colOff>
      <xdr:row>60</xdr:row>
      <xdr:rowOff>77040</xdr:rowOff>
    </xdr:from>
    <xdr:to>
      <xdr:col>6</xdr:col>
      <xdr:colOff>641160</xdr:colOff>
      <xdr:row>150</xdr:row>
      <xdr:rowOff>62280</xdr:rowOff>
    </xdr:to>
    <xdr:graphicFrame>
      <xdr:nvGraphicFramePr>
        <xdr:cNvPr id="2" name=""/>
        <xdr:cNvGraphicFramePr/>
      </xdr:nvGraphicFramePr>
      <xdr:xfrm>
        <a:off x="974520" y="983052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806400</xdr:colOff>
      <xdr:row>60</xdr:row>
      <xdr:rowOff>141120</xdr:rowOff>
    </xdr:from>
    <xdr:to>
      <xdr:col>5</xdr:col>
      <xdr:colOff>846360</xdr:colOff>
      <xdr:row>150</xdr:row>
      <xdr:rowOff>126360</xdr:rowOff>
    </xdr:to>
    <xdr:graphicFrame>
      <xdr:nvGraphicFramePr>
        <xdr:cNvPr id="3" name=""/>
        <xdr:cNvGraphicFramePr/>
      </xdr:nvGraphicFramePr>
      <xdr:xfrm>
        <a:off x="806400" y="9894600"/>
        <a:ext cx="912888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160</xdr:row>
      <xdr:rowOff>151200</xdr:rowOff>
    </xdr:from>
    <xdr:to>
      <xdr:col>5</xdr:col>
      <xdr:colOff>846000</xdr:colOff>
      <xdr:row>250</xdr:row>
      <xdr:rowOff>136440</xdr:rowOff>
    </xdr:to>
    <xdr:graphicFrame>
      <xdr:nvGraphicFramePr>
        <xdr:cNvPr id="4" name=""/>
        <xdr:cNvGraphicFramePr/>
      </xdr:nvGraphicFramePr>
      <xdr:xfrm>
        <a:off x="806040" y="26160840"/>
        <a:ext cx="912888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720</xdr:rowOff>
    </xdr:from>
    <xdr:to>
      <xdr:col>6</xdr:col>
      <xdr:colOff>1121760</xdr:colOff>
      <xdr:row>149</xdr:row>
      <xdr:rowOff>148320</xdr:rowOff>
    </xdr:to>
    <xdr:graphicFrame>
      <xdr:nvGraphicFramePr>
        <xdr:cNvPr id="5" name=""/>
        <xdr:cNvGraphicFramePr/>
      </xdr:nvGraphicFramePr>
      <xdr:xfrm>
        <a:off x="804960" y="101790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154</xdr:row>
      <xdr:rowOff>156600</xdr:rowOff>
    </xdr:from>
    <xdr:to>
      <xdr:col>6</xdr:col>
      <xdr:colOff>1122840</xdr:colOff>
      <xdr:row>244</xdr:row>
      <xdr:rowOff>141840</xdr:rowOff>
    </xdr:to>
    <xdr:graphicFrame>
      <xdr:nvGraphicFramePr>
        <xdr:cNvPr id="6" name=""/>
        <xdr:cNvGraphicFramePr/>
      </xdr:nvGraphicFramePr>
      <xdr:xfrm>
        <a:off x="806040" y="2561580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806040</xdr:colOff>
      <xdr:row>154</xdr:row>
      <xdr:rowOff>151200</xdr:rowOff>
    </xdr:from>
    <xdr:to>
      <xdr:col>6</xdr:col>
      <xdr:colOff>1122840</xdr:colOff>
      <xdr:row>244</xdr:row>
      <xdr:rowOff>136440</xdr:rowOff>
    </xdr:to>
    <xdr:graphicFrame>
      <xdr:nvGraphicFramePr>
        <xdr:cNvPr id="7" name=""/>
        <xdr:cNvGraphicFramePr/>
      </xdr:nvGraphicFramePr>
      <xdr:xfrm>
        <a:off x="806040" y="256104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60</xdr:row>
      <xdr:rowOff>720</xdr:rowOff>
    </xdr:from>
    <xdr:to>
      <xdr:col>6</xdr:col>
      <xdr:colOff>1121400</xdr:colOff>
      <xdr:row>149</xdr:row>
      <xdr:rowOff>148320</xdr:rowOff>
    </xdr:to>
    <xdr:graphicFrame>
      <xdr:nvGraphicFramePr>
        <xdr:cNvPr id="8" name=""/>
        <xdr:cNvGraphicFramePr/>
      </xdr:nvGraphicFramePr>
      <xdr:xfrm>
        <a:off x="804600" y="1017900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1121400</xdr:colOff>
      <xdr:row>149</xdr:row>
      <xdr:rowOff>148320</xdr:rowOff>
    </xdr:to>
    <xdr:graphicFrame>
      <xdr:nvGraphicFramePr>
        <xdr:cNvPr id="9" name=""/>
        <xdr:cNvGraphicFramePr/>
      </xdr:nvGraphicFramePr>
      <xdr:xfrm>
        <a:off x="804600" y="101790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1121400</xdr:colOff>
      <xdr:row>244</xdr:row>
      <xdr:rowOff>154800</xdr:rowOff>
    </xdr:to>
    <xdr:graphicFrame>
      <xdr:nvGraphicFramePr>
        <xdr:cNvPr id="10" name=""/>
        <xdr:cNvGraphicFramePr/>
      </xdr:nvGraphicFramePr>
      <xdr:xfrm>
        <a:off x="804600" y="2562876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1121400</xdr:colOff>
      <xdr:row>149</xdr:row>
      <xdr:rowOff>148320</xdr:rowOff>
    </xdr:to>
    <xdr:graphicFrame>
      <xdr:nvGraphicFramePr>
        <xdr:cNvPr id="11" name=""/>
        <xdr:cNvGraphicFramePr/>
      </xdr:nvGraphicFramePr>
      <xdr:xfrm>
        <a:off x="804600" y="100368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9720</xdr:rowOff>
    </xdr:from>
    <xdr:to>
      <xdr:col>6</xdr:col>
      <xdr:colOff>1121400</xdr:colOff>
      <xdr:row>244</xdr:row>
      <xdr:rowOff>157680</xdr:rowOff>
    </xdr:to>
    <xdr:graphicFrame>
      <xdr:nvGraphicFramePr>
        <xdr:cNvPr id="12" name=""/>
        <xdr:cNvGraphicFramePr/>
      </xdr:nvGraphicFramePr>
      <xdr:xfrm>
        <a:off x="804600" y="254890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59</xdr:row>
      <xdr:rowOff>158400</xdr:rowOff>
    </xdr:from>
    <xdr:to>
      <xdr:col>6</xdr:col>
      <xdr:colOff>1121760</xdr:colOff>
      <xdr:row>149</xdr:row>
      <xdr:rowOff>143640</xdr:rowOff>
    </xdr:to>
    <xdr:graphicFrame>
      <xdr:nvGraphicFramePr>
        <xdr:cNvPr id="13" name=""/>
        <xdr:cNvGraphicFramePr/>
      </xdr:nvGraphicFramePr>
      <xdr:xfrm>
        <a:off x="804960" y="1017432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1121400</xdr:colOff>
      <xdr:row>244</xdr:row>
      <xdr:rowOff>154800</xdr:rowOff>
    </xdr:to>
    <xdr:graphicFrame>
      <xdr:nvGraphicFramePr>
        <xdr:cNvPr id="14" name=""/>
        <xdr:cNvGraphicFramePr/>
      </xdr:nvGraphicFramePr>
      <xdr:xfrm>
        <a:off x="804600" y="2562876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1134000</xdr:colOff>
      <xdr:row>150</xdr:row>
      <xdr:rowOff>5400</xdr:rowOff>
    </xdr:to>
    <xdr:graphicFrame>
      <xdr:nvGraphicFramePr>
        <xdr:cNvPr id="15" name=""/>
        <xdr:cNvGraphicFramePr/>
      </xdr:nvGraphicFramePr>
      <xdr:xfrm>
        <a:off x="817200" y="1019844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1121400</xdr:colOff>
      <xdr:row>244</xdr:row>
      <xdr:rowOff>154800</xdr:rowOff>
    </xdr:to>
    <xdr:graphicFrame>
      <xdr:nvGraphicFramePr>
        <xdr:cNvPr id="16" name=""/>
        <xdr:cNvGraphicFramePr/>
      </xdr:nvGraphicFramePr>
      <xdr:xfrm>
        <a:off x="804600" y="2562876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259920</xdr:colOff>
      <xdr:row>149</xdr:row>
      <xdr:rowOff>148680</xdr:rowOff>
    </xdr:to>
    <xdr:graphicFrame>
      <xdr:nvGraphicFramePr>
        <xdr:cNvPr id="17" name=""/>
        <xdr:cNvGraphicFramePr/>
      </xdr:nvGraphicFramePr>
      <xdr:xfrm>
        <a:off x="804960" y="1031976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259560</xdr:colOff>
      <xdr:row>245</xdr:row>
      <xdr:rowOff>3960</xdr:rowOff>
    </xdr:to>
    <xdr:graphicFrame>
      <xdr:nvGraphicFramePr>
        <xdr:cNvPr id="18" name=""/>
        <xdr:cNvGraphicFramePr/>
      </xdr:nvGraphicFramePr>
      <xdr:xfrm>
        <a:off x="804600" y="257806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272160</xdr:colOff>
      <xdr:row>149</xdr:row>
      <xdr:rowOff>146520</xdr:rowOff>
    </xdr:to>
    <xdr:graphicFrame>
      <xdr:nvGraphicFramePr>
        <xdr:cNvPr id="19" name=""/>
        <xdr:cNvGraphicFramePr/>
      </xdr:nvGraphicFramePr>
      <xdr:xfrm>
        <a:off x="979560" y="101754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263880</xdr:colOff>
      <xdr:row>245</xdr:row>
      <xdr:rowOff>6480</xdr:rowOff>
    </xdr:to>
    <xdr:graphicFrame>
      <xdr:nvGraphicFramePr>
        <xdr:cNvPr id="20" name=""/>
        <xdr:cNvGraphicFramePr/>
      </xdr:nvGraphicFramePr>
      <xdr:xfrm>
        <a:off x="971280" y="2564100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263880</xdr:colOff>
      <xdr:row>149</xdr:row>
      <xdr:rowOff>149040</xdr:rowOff>
    </xdr:to>
    <xdr:graphicFrame>
      <xdr:nvGraphicFramePr>
        <xdr:cNvPr id="21" name=""/>
        <xdr:cNvGraphicFramePr/>
      </xdr:nvGraphicFramePr>
      <xdr:xfrm>
        <a:off x="971280" y="1017792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263880</xdr:colOff>
      <xdr:row>246</xdr:row>
      <xdr:rowOff>7200</xdr:rowOff>
    </xdr:to>
    <xdr:graphicFrame>
      <xdr:nvGraphicFramePr>
        <xdr:cNvPr id="22" name=""/>
        <xdr:cNvGraphicFramePr/>
      </xdr:nvGraphicFramePr>
      <xdr:xfrm>
        <a:off x="971280" y="258040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264240</xdr:colOff>
      <xdr:row>150</xdr:row>
      <xdr:rowOff>17280</xdr:rowOff>
    </xdr:to>
    <xdr:graphicFrame>
      <xdr:nvGraphicFramePr>
        <xdr:cNvPr id="23" name=""/>
        <xdr:cNvGraphicFramePr/>
      </xdr:nvGraphicFramePr>
      <xdr:xfrm>
        <a:off x="971640" y="1020852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268200</xdr:colOff>
      <xdr:row>246</xdr:row>
      <xdr:rowOff>83520</xdr:rowOff>
    </xdr:to>
    <xdr:graphicFrame>
      <xdr:nvGraphicFramePr>
        <xdr:cNvPr id="24" name=""/>
        <xdr:cNvGraphicFramePr/>
      </xdr:nvGraphicFramePr>
      <xdr:xfrm>
        <a:off x="975600" y="2588040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264240</xdr:colOff>
      <xdr:row>150</xdr:row>
      <xdr:rowOff>17280</xdr:rowOff>
    </xdr:to>
    <xdr:graphicFrame>
      <xdr:nvGraphicFramePr>
        <xdr:cNvPr id="25" name=""/>
        <xdr:cNvGraphicFramePr/>
      </xdr:nvGraphicFramePr>
      <xdr:xfrm>
        <a:off x="971640" y="102060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268200</xdr:colOff>
      <xdr:row>246</xdr:row>
      <xdr:rowOff>83520</xdr:rowOff>
    </xdr:to>
    <xdr:graphicFrame>
      <xdr:nvGraphicFramePr>
        <xdr:cNvPr id="26" name=""/>
        <xdr:cNvGraphicFramePr/>
      </xdr:nvGraphicFramePr>
      <xdr:xfrm>
        <a:off x="975600" y="258778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264240</xdr:colOff>
      <xdr:row>149</xdr:row>
      <xdr:rowOff>160560</xdr:rowOff>
    </xdr:to>
    <xdr:graphicFrame>
      <xdr:nvGraphicFramePr>
        <xdr:cNvPr id="27" name=""/>
        <xdr:cNvGraphicFramePr/>
      </xdr:nvGraphicFramePr>
      <xdr:xfrm>
        <a:off x="971640" y="1019124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268200</xdr:colOff>
      <xdr:row>246</xdr:row>
      <xdr:rowOff>64440</xdr:rowOff>
    </xdr:to>
    <xdr:graphicFrame>
      <xdr:nvGraphicFramePr>
        <xdr:cNvPr id="28" name=""/>
        <xdr:cNvGraphicFramePr/>
      </xdr:nvGraphicFramePr>
      <xdr:xfrm>
        <a:off x="975600" y="258634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264240</xdr:colOff>
      <xdr:row>149</xdr:row>
      <xdr:rowOff>74520</xdr:rowOff>
    </xdr:to>
    <xdr:graphicFrame>
      <xdr:nvGraphicFramePr>
        <xdr:cNvPr id="29" name=""/>
        <xdr:cNvGraphicFramePr/>
      </xdr:nvGraphicFramePr>
      <xdr:xfrm>
        <a:off x="971640" y="101052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268200</xdr:colOff>
      <xdr:row>245</xdr:row>
      <xdr:rowOff>140760</xdr:rowOff>
    </xdr:to>
    <xdr:graphicFrame>
      <xdr:nvGraphicFramePr>
        <xdr:cNvPr id="30" name=""/>
        <xdr:cNvGraphicFramePr/>
      </xdr:nvGraphicFramePr>
      <xdr:xfrm>
        <a:off x="975600" y="257770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264240</xdr:colOff>
      <xdr:row>149</xdr:row>
      <xdr:rowOff>74520</xdr:rowOff>
    </xdr:to>
    <xdr:graphicFrame>
      <xdr:nvGraphicFramePr>
        <xdr:cNvPr id="31" name=""/>
        <xdr:cNvGraphicFramePr/>
      </xdr:nvGraphicFramePr>
      <xdr:xfrm>
        <a:off x="971640" y="1010520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268200</xdr:colOff>
      <xdr:row>245</xdr:row>
      <xdr:rowOff>140760</xdr:rowOff>
    </xdr:to>
    <xdr:graphicFrame>
      <xdr:nvGraphicFramePr>
        <xdr:cNvPr id="32" name=""/>
        <xdr:cNvGraphicFramePr/>
      </xdr:nvGraphicFramePr>
      <xdr:xfrm>
        <a:off x="975600" y="257770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264240</xdr:colOff>
      <xdr:row>149</xdr:row>
      <xdr:rowOff>95760</xdr:rowOff>
    </xdr:to>
    <xdr:graphicFrame>
      <xdr:nvGraphicFramePr>
        <xdr:cNvPr id="33" name=""/>
        <xdr:cNvGraphicFramePr/>
      </xdr:nvGraphicFramePr>
      <xdr:xfrm>
        <a:off x="971640" y="9984240"/>
        <a:ext cx="9129240" cy="146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268200</xdr:colOff>
      <xdr:row>245</xdr:row>
      <xdr:rowOff>162360</xdr:rowOff>
    </xdr:to>
    <xdr:graphicFrame>
      <xdr:nvGraphicFramePr>
        <xdr:cNvPr id="34" name=""/>
        <xdr:cNvGraphicFramePr/>
      </xdr:nvGraphicFramePr>
      <xdr:xfrm>
        <a:off x="975600" y="25656480"/>
        <a:ext cx="9129240" cy="146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_rels/sheet14.xml.rels><?xml version="1.0" encoding="UTF-8"?>
<Relationships xmlns="http://schemas.openxmlformats.org/package/2006/relationships"><Relationship Id="rId1" Type="http://schemas.openxmlformats.org/officeDocument/2006/relationships/drawing" Target="../drawings/drawing6.xml"/>
</Relationships>
</file>

<file path=xl/worksheets/_rels/sheet15.xml.rels><?xml version="1.0" encoding="UTF-8"?>
<Relationships xmlns="http://schemas.openxmlformats.org/package/2006/relationships"><Relationship Id="rId1" Type="http://schemas.openxmlformats.org/officeDocument/2006/relationships/drawing" Target="../drawings/drawing7.xml"/>
</Relationships>
</file>

<file path=xl/worksheets/_rels/sheet16.xml.rels><?xml version="1.0" encoding="UTF-8"?>
<Relationships xmlns="http://schemas.openxmlformats.org/package/2006/relationships"><Relationship Id="rId1" Type="http://schemas.openxmlformats.org/officeDocument/2006/relationships/drawing" Target="../drawings/drawing8.xml"/>
</Relationships>
</file>

<file path=xl/worksheets/_rels/sheet17.xml.rels><?xml version="1.0" encoding="UTF-8"?>
<Relationships xmlns="http://schemas.openxmlformats.org/package/2006/relationships"><Relationship Id="rId1" Type="http://schemas.openxmlformats.org/officeDocument/2006/relationships/drawing" Target="../drawings/drawing9.xml"/>
</Relationships>
</file>

<file path=xl/worksheets/_rels/sheet18.xml.rels><?xml version="1.0" encoding="UTF-8"?>
<Relationships xmlns="http://schemas.openxmlformats.org/package/2006/relationships"><Relationship Id="rId1" Type="http://schemas.openxmlformats.org/officeDocument/2006/relationships/drawing" Target="../drawings/drawing10.xml"/>
</Relationships>
</file>

<file path=xl/worksheets/_rels/sheet19.xml.rels><?xml version="1.0" encoding="UTF-8"?>
<Relationships xmlns="http://schemas.openxmlformats.org/package/2006/relationships"><Relationship Id="rId1" Type="http://schemas.openxmlformats.org/officeDocument/2006/relationships/drawing" Target="../drawings/drawing11.xml"/>
</Relationships>
</file>

<file path=xl/worksheets/_rels/sheet20.xml.rels><?xml version="1.0" encoding="UTF-8"?>
<Relationships xmlns="http://schemas.openxmlformats.org/package/2006/relationships"><Relationship Id="rId1" Type="http://schemas.openxmlformats.org/officeDocument/2006/relationships/drawing" Target="../drawings/drawing12.xml"/>
</Relationships>
</file>

<file path=xl/worksheets/_rels/sheet21.xml.rels><?xml version="1.0" encoding="UTF-8"?>
<Relationships xmlns="http://schemas.openxmlformats.org/package/2006/relationships"><Relationship Id="rId1" Type="http://schemas.openxmlformats.org/officeDocument/2006/relationships/drawing" Target="../drawings/drawing13.xml"/>
</Relationships>
</file>

<file path=xl/worksheets/_rels/sheet22.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31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s="2" customFormat="true" ht="12.8" hidden="false" customHeight="false" outlineLevel="0" collapsed="false">
      <c r="A1" s="4" t="s">
        <v>0</v>
      </c>
      <c r="B1" s="5" t="s">
        <v>1</v>
      </c>
      <c r="C1" s="6" t="s">
        <v>2</v>
      </c>
      <c r="D1" s="5"/>
    </row>
    <row r="2" s="2" customFormat="true" ht="12.8" hidden="false" customHeight="false" outlineLevel="1" collapsed="false">
      <c r="A2" s="4" t="s">
        <v>3</v>
      </c>
      <c r="B2" s="5" t="s">
        <v>4</v>
      </c>
      <c r="C2" s="5" t="s">
        <v>5</v>
      </c>
      <c r="D2" s="7"/>
    </row>
    <row r="3" s="2" customFormat="true" ht="12.8" hidden="false" customHeight="false" outlineLevel="1" collapsed="false">
      <c r="A3" s="8" t="str">
        <f aca="false">INVOKE!A$1</f>
        <v>LSD.REF.AL.INVOKE</v>
      </c>
      <c r="B3" s="9" t="str">
        <f aca="false">INVOKE!B$1</f>
        <v>Alabama Labor Statistic Logic Formulae</v>
      </c>
      <c r="C3" s="9" t="str">
        <f aca="false">INVOKE!C$1</f>
        <v>December 2025</v>
      </c>
      <c r="D3" s="7"/>
    </row>
    <row r="4" s="2" customFormat="true" ht="12.8" hidden="false" customHeight="false" outlineLevel="1" collapsed="false">
      <c r="A4" s="10" t="str">
        <f aca="false">FORM!A$1</f>
        <v>LSD.REF.AL.FORM</v>
      </c>
      <c r="B4" s="10" t="str">
        <f aca="false">FORM!B$1</f>
        <v>Alabama Labor Statistic Logic Formulae</v>
      </c>
      <c r="C4" s="11" t="str">
        <f aca="false">FORM!C$1</f>
        <v>December 2025</v>
      </c>
      <c r="D4" s="12"/>
    </row>
    <row r="5" s="2" customFormat="true" ht="12.8" hidden="false" customHeight="false" outlineLevel="1" collapsed="false">
      <c r="A5" s="13" t="str">
        <f aca="false">PARAM!A$1</f>
        <v>LSD.REF.AL.PARAM</v>
      </c>
      <c r="B5" s="13" t="str">
        <f aca="false">PARAM!B$1</f>
        <v>Alabama Labor Statistic Logic Parameters</v>
      </c>
      <c r="C5" s="14" t="str">
        <f aca="false">PARAM!C$1</f>
        <v>December 2025</v>
      </c>
      <c r="D5" s="12"/>
    </row>
    <row r="6" s="2" customFormat="true" ht="12.8" hidden="false" customHeight="false" outlineLevel="1" collapsed="false">
      <c r="A6" s="15" t="str">
        <f aca="false">CALC!A1</f>
        <v>LSD.RID.0.AL.CALC</v>
      </c>
      <c r="B6" s="15" t="str">
        <f aca="false">CALC!B1</f>
        <v>Alabama Labor Statistic Calculations</v>
      </c>
      <c r="C6" s="16" t="str">
        <f aca="false">CALC!C1</f>
        <v>December 2025</v>
      </c>
      <c r="D6" s="12"/>
    </row>
    <row r="7" s="2" customFormat="true" ht="12.8" hidden="false" customHeight="false" outlineLevel="1" collapsed="false">
      <c r="A7" s="17" t="str">
        <f aca="false">VALID!A1</f>
        <v>LSD.RID.0.AL.VALID</v>
      </c>
      <c r="B7" s="17" t="str">
        <f aca="false">VALID!B1</f>
        <v>Alabama Labor Statistic Calculation Validation</v>
      </c>
      <c r="C7" s="18" t="str">
        <f aca="false">VALID!C1</f>
        <v>December 2025</v>
      </c>
      <c r="D7" s="12"/>
    </row>
    <row r="8" s="2" customFormat="true" ht="12.8" hidden="false" customHeight="false" outlineLevel="1" collapsed="false">
      <c r="A8" s="19" t="str">
        <f aca="false">LFP!A1</f>
        <v>LSD.RID.0.AL.LFP</v>
      </c>
      <c r="B8" s="19" t="str">
        <f aca="false">LFP!B1</f>
        <v>Alabama Labor Force Population</v>
      </c>
      <c r="C8" s="20" t="str">
        <f aca="false">LFP!C1</f>
        <v>December 2025</v>
      </c>
      <c r="D8" s="12"/>
    </row>
    <row r="9" s="2" customFormat="true" ht="12.8" hidden="false" customHeight="false" outlineLevel="1" collapsed="false">
      <c r="A9" s="21" t="str">
        <f aca="false">ETPR!A1</f>
        <v>LSD.RID.0.AL.ETPR</v>
      </c>
      <c r="B9" s="21" t="str">
        <f aca="false">ETPR!B1</f>
        <v>Alabama Employment-to-Population Ratio (ETPR)</v>
      </c>
      <c r="C9" s="22" t="str">
        <f aca="false">ETPR!C1</f>
        <v>December 2025</v>
      </c>
      <c r="D9" s="12"/>
    </row>
    <row r="10" s="2" customFormat="true" ht="12.8" hidden="false" customHeight="false" outlineLevel="1" collapsed="false">
      <c r="A10" s="23" t="str">
        <f aca="false">LFPR!A1</f>
        <v>LSD.RID.0.AL.LFPR</v>
      </c>
      <c r="B10" s="23" t="str">
        <f aca="false">LFPR!B1</f>
        <v>Alabama Labor Force Participation Rate (LFPR)</v>
      </c>
      <c r="C10" s="24" t="str">
        <f aca="false">LFPR!C1</f>
        <v>December 2025</v>
      </c>
      <c r="D10" s="12"/>
    </row>
    <row r="11" s="2" customFormat="true" ht="12.8" hidden="false" customHeight="false" outlineLevel="1" collapsed="false">
      <c r="A11" s="25" t="str">
        <f aca="false">U3R!A1</f>
        <v>LSD.RID.0.AL.U3R</v>
      </c>
      <c r="B11" s="25" t="str">
        <f aca="false">U3R!B1</f>
        <v>Alabama Unemployment Rate (U3R)</v>
      </c>
      <c r="C11" s="26" t="str">
        <f aca="false">U3R!C1</f>
        <v>December 2025</v>
      </c>
      <c r="D11" s="12"/>
    </row>
    <row r="12" s="2" customFormat="true" ht="12.8" hidden="false" customHeight="false" outlineLevel="1" collapsed="false">
      <c r="A12" s="27" t="str">
        <f aca="false">U6R!A1</f>
        <v>LSD.RID.0.AL.U6R</v>
      </c>
      <c r="B12" s="27" t="str">
        <f aca="false">U6R!B1</f>
        <v>Alabama Underemployment Rate (U6R)</v>
      </c>
      <c r="C12" s="28" t="str">
        <f aca="false">U6R!C1</f>
        <v>December 2025</v>
      </c>
      <c r="D12" s="12"/>
    </row>
    <row r="13" s="2" customFormat="true" ht="12.8" hidden="false" customHeight="false" outlineLevel="1" collapsed="false">
      <c r="A13" s="29" t="str">
        <f aca="false">WAVG!A1</f>
        <v>LSD.RID.0.AL.WAVG</v>
      </c>
      <c r="B13" s="29" t="str">
        <f aca="false">WAVG!B1</f>
        <v>Alabama Wage Average (WAVG)</v>
      </c>
      <c r="C13" s="30" t="str">
        <f aca="false">WAVG!C1</f>
        <v>December 2025</v>
      </c>
      <c r="D13" s="12"/>
    </row>
    <row r="14" s="2" customFormat="true" ht="12.8" hidden="false" customHeight="false" outlineLevel="1" collapsed="false">
      <c r="A14" s="31" t="str">
        <f aca="false">AIAVG!A1</f>
        <v>LSD.RID.0.AL.AIAVG</v>
      </c>
      <c r="B14" s="31" t="str">
        <f aca="false">AIAVG!B1</f>
        <v>Alabama Annual Income Average (AIAVG)</v>
      </c>
      <c r="C14" s="32" t="str">
        <f aca="false">AIAVG!C1</f>
        <v>December 2025</v>
      </c>
      <c r="D14" s="12"/>
    </row>
    <row r="15" s="2" customFormat="true" ht="12.8" hidden="false" customHeight="false" outlineLevel="1" collapsed="false">
      <c r="A15" s="33" t="str">
        <f aca="false">FPITREV!A1</f>
        <v>LSD.RID.0.AL.FPITREV</v>
      </c>
      <c r="B15" s="33" t="str">
        <f aca="false">FPITREV!B1</f>
        <v>Alabama Federal Personal Income Tax Revenue (FPITREV)</v>
      </c>
      <c r="C15" s="34" t="str">
        <f aca="false">FPITREV!C1</f>
        <v>December 2025</v>
      </c>
      <c r="D15" s="12"/>
    </row>
    <row r="16" s="2" customFormat="true" ht="12.8" hidden="false" customHeight="false" outlineLevel="1" collapsed="false">
      <c r="A16" s="35" t="str">
        <f aca="false">FPPTREV!A1</f>
        <v>LSD.RID.0.AL.FPPTR</v>
      </c>
      <c r="B16" s="35" t="str">
        <f aca="false">FPPTREV!B1</f>
        <v>Alabama Federal Personal Payrol Tax Revenue</v>
      </c>
      <c r="C16" s="36" t="str">
        <f aca="false">FPPTREV!C1</f>
        <v>December 2025</v>
      </c>
      <c r="D16" s="12"/>
    </row>
    <row r="17" s="2" customFormat="true" ht="12.8" hidden="false" customHeight="false" outlineLevel="1" collapsed="false">
      <c r="A17" s="37" t="str">
        <f aca="false">EITCREF!A1</f>
        <v>LSD.RID.0.AL.EITCREF</v>
      </c>
      <c r="B17" s="37" t="str">
        <f aca="false">EITCREF!B1</f>
        <v>Alabama Earned Income Tax Credit Refund</v>
      </c>
      <c r="C17" s="38" t="str">
        <f aca="false">EITCREF!C1</f>
        <v>December 2025</v>
      </c>
      <c r="D17" s="12"/>
    </row>
    <row r="18" s="2" customFormat="true" ht="12.8" hidden="false" customHeight="false" outlineLevel="1" collapsed="false">
      <c r="A18" s="39" t="str">
        <f aca="false">ACTCREF!A1</f>
        <v>LSD.RID.0.AL.ACTCREF</v>
      </c>
      <c r="B18" s="39" t="str">
        <f aca="false">ACTCREF!B1</f>
        <v>Alabama Additional Child Tax Credit Refund</v>
      </c>
      <c r="C18" s="40" t="str">
        <f aca="false">ACTCREF!C1</f>
        <v>December 2025</v>
      </c>
      <c r="D18" s="12"/>
    </row>
    <row r="19" s="2" customFormat="true" ht="12.8" hidden="false" customHeight="false" outlineLevel="1" collapsed="false">
      <c r="A19" s="17" t="str">
        <f aca="false">AOTCREF!A1</f>
        <v>LSD.RID.0.AL.AOTCREF</v>
      </c>
      <c r="B19" s="17" t="str">
        <f aca="false">AOTCREF!B1</f>
        <v>Alabama American Opportunity Tax Credit Refund</v>
      </c>
      <c r="C19" s="18" t="str">
        <f aca="false">AOTCREF!C1</f>
        <v>December 2025</v>
      </c>
      <c r="D19" s="12"/>
    </row>
    <row r="20" s="2" customFormat="true" ht="12.8" hidden="false" customHeight="false" outlineLevel="0" collapsed="false">
      <c r="A20" s="12"/>
      <c r="B20" s="12"/>
      <c r="C20" s="12"/>
      <c r="D20" s="12"/>
    </row>
    <row r="21" s="2" customFormat="true" ht="12.8" hidden="false" customHeight="false" outlineLevel="0" collapsed="false">
      <c r="A21" s="4" t="s">
        <v>6</v>
      </c>
      <c r="B21" s="7" t="s">
        <v>7</v>
      </c>
      <c r="C21" s="7" t="s">
        <v>8</v>
      </c>
    </row>
    <row r="22" s="2" customFormat="true" ht="12.8" hidden="false" customHeight="false" outlineLevel="1" collapsed="false">
      <c r="A22" s="4" t="s">
        <v>9</v>
      </c>
      <c r="B22" s="7" t="s">
        <v>10</v>
      </c>
      <c r="C22" s="7" t="s">
        <v>11</v>
      </c>
    </row>
    <row r="23" s="2" customFormat="true" ht="12.8" hidden="false" customHeight="false" outlineLevel="1" collapsed="false">
      <c r="A23" s="41" t="s">
        <v>12</v>
      </c>
      <c r="B23" s="2" t="s">
        <v>13</v>
      </c>
      <c r="C23" s="2" t="s">
        <v>14</v>
      </c>
    </row>
    <row r="24" s="2" customFormat="true" ht="12.8" hidden="false" customHeight="false" outlineLevel="1" collapsed="false">
      <c r="A24" s="41" t="s">
        <v>15</v>
      </c>
      <c r="B24" s="2" t="s">
        <v>16</v>
      </c>
      <c r="C24" s="2" t="s">
        <v>17</v>
      </c>
    </row>
    <row r="25" s="2" customFormat="true" ht="12.8" hidden="false" customHeight="false" outlineLevel="1" collapsed="false">
      <c r="A25" s="41" t="s">
        <v>18</v>
      </c>
      <c r="B25" s="2" t="s">
        <v>19</v>
      </c>
      <c r="C25" s="2" t="s">
        <v>20</v>
      </c>
    </row>
    <row r="26" s="2" customFormat="true" ht="12.8" hidden="false" customHeight="false" outlineLevel="1" collapsed="false">
      <c r="A26" s="41" t="s">
        <v>21</v>
      </c>
      <c r="B26" s="2" t="s">
        <v>22</v>
      </c>
      <c r="C26" s="2" t="s">
        <v>23</v>
      </c>
    </row>
    <row r="27" s="2" customFormat="true" ht="12.8" hidden="false" customHeight="false" outlineLevel="1" collapsed="false">
      <c r="A27" s="41" t="s">
        <v>24</v>
      </c>
      <c r="B27" s="2" t="s">
        <v>25</v>
      </c>
      <c r="C27" s="2" t="s">
        <v>26</v>
      </c>
    </row>
    <row r="28" s="2" customFormat="true" ht="12.8" hidden="false" customHeight="false" outlineLevel="1" collapsed="false">
      <c r="A28" s="41" t="s">
        <v>27</v>
      </c>
      <c r="B28" s="2" t="s">
        <v>28</v>
      </c>
      <c r="C28" s="2" t="s">
        <v>29</v>
      </c>
    </row>
    <row r="29" s="2" customFormat="true" ht="12.8" hidden="false" customHeight="false" outlineLevel="1" collapsed="false">
      <c r="A29" s="41" t="s">
        <v>30</v>
      </c>
      <c r="B29" s="2" t="s">
        <v>13</v>
      </c>
      <c r="C29" s="2" t="s">
        <v>14</v>
      </c>
    </row>
    <row r="30" s="2" customFormat="true" ht="12.8" hidden="false" customHeight="false" outlineLevel="1" collapsed="false">
      <c r="A30" s="41" t="s">
        <v>31</v>
      </c>
      <c r="B30" s="2" t="s">
        <v>32</v>
      </c>
      <c r="C30" s="2" t="s">
        <v>33</v>
      </c>
    </row>
    <row r="31" s="2" customFormat="true" ht="12.8" hidden="false" customHeight="false" outlineLevel="1" collapsed="false">
      <c r="A31" s="41" t="s">
        <v>34</v>
      </c>
      <c r="B31" s="2" t="s">
        <v>35</v>
      </c>
      <c r="C31" s="2" t="s">
        <v>36</v>
      </c>
    </row>
    <row r="32" s="2" customFormat="true" ht="12.8" hidden="false" customHeight="false" outlineLevel="1" collapsed="false">
      <c r="A32" s="41" t="s">
        <v>37</v>
      </c>
      <c r="B32" s="2" t="s">
        <v>38</v>
      </c>
      <c r="C32" s="2" t="s">
        <v>39</v>
      </c>
    </row>
    <row r="33" s="2" customFormat="true" ht="12.8" hidden="false" customHeight="false" outlineLevel="1" collapsed="false">
      <c r="A33" s="41" t="s">
        <v>40</v>
      </c>
      <c r="B33" s="2" t="s">
        <v>41</v>
      </c>
      <c r="C33" s="2" t="s">
        <v>42</v>
      </c>
    </row>
    <row r="34" s="2" customFormat="true" ht="12.8" hidden="false" customHeight="false" outlineLevel="1" collapsed="false">
      <c r="A34" s="41" t="s">
        <v>43</v>
      </c>
      <c r="B34" s="2" t="s">
        <v>44</v>
      </c>
      <c r="C34" s="2" t="s">
        <v>45</v>
      </c>
    </row>
    <row r="35" s="2" customFormat="true" ht="12.8" hidden="false" customHeight="false" outlineLevel="1" collapsed="false">
      <c r="A35" s="41" t="s">
        <v>46</v>
      </c>
      <c r="B35" s="2" t="s">
        <v>47</v>
      </c>
      <c r="C35" s="2" t="s">
        <v>48</v>
      </c>
    </row>
    <row r="36" s="2" customFormat="true" ht="12.8" hidden="false" customHeight="false" outlineLevel="1" collapsed="false">
      <c r="A36" s="41" t="s">
        <v>49</v>
      </c>
      <c r="B36" s="2" t="s">
        <v>50</v>
      </c>
      <c r="C36" s="2" t="s">
        <v>51</v>
      </c>
    </row>
    <row r="37" s="2" customFormat="true" ht="12.8" hidden="false" customHeight="false" outlineLevel="1" collapsed="false">
      <c r="A37" s="41" t="s">
        <v>52</v>
      </c>
      <c r="B37" s="2" t="s">
        <v>53</v>
      </c>
      <c r="C37" s="2" t="s">
        <v>54</v>
      </c>
    </row>
    <row r="38" s="2" customFormat="true" ht="12.8" hidden="false" customHeight="false" outlineLevel="1" collapsed="false">
      <c r="A38" s="41" t="s">
        <v>55</v>
      </c>
      <c r="B38" s="2" t="s">
        <v>56</v>
      </c>
      <c r="C38" s="2" t="s">
        <v>57</v>
      </c>
    </row>
    <row r="39" s="2" customFormat="true" ht="12.8" hidden="false" customHeight="false" outlineLevel="1" collapsed="false">
      <c r="A39" s="41" t="s">
        <v>58</v>
      </c>
      <c r="B39" s="2" t="s">
        <v>59</v>
      </c>
      <c r="C39" s="2" t="s">
        <v>60</v>
      </c>
    </row>
    <row r="40" s="2" customFormat="true" ht="12.8" hidden="false" customHeight="false" outlineLevel="1" collapsed="false">
      <c r="A40" s="41" t="s">
        <v>61</v>
      </c>
      <c r="B40" s="2" t="s">
        <v>62</v>
      </c>
      <c r="C40" s="2" t="s">
        <v>63</v>
      </c>
    </row>
    <row r="41" s="2" customFormat="true" ht="12.8" hidden="false" customHeight="false" outlineLevel="1" collapsed="false">
      <c r="A41" s="41" t="s">
        <v>64</v>
      </c>
      <c r="B41" s="2" t="s">
        <v>65</v>
      </c>
      <c r="C41" s="2" t="s">
        <v>66</v>
      </c>
    </row>
    <row r="42" s="2" customFormat="true" ht="12.8" hidden="false" customHeight="false" outlineLevel="1" collapsed="false">
      <c r="A42" s="41" t="s">
        <v>67</v>
      </c>
      <c r="B42" s="42" t="s">
        <v>68</v>
      </c>
      <c r="C42" s="2" t="s">
        <v>69</v>
      </c>
    </row>
    <row r="43" s="2" customFormat="true" ht="12.8" hidden="false" customHeight="false" outlineLevel="1" collapsed="false">
      <c r="A43" s="41" t="s">
        <v>70</v>
      </c>
      <c r="B43" s="42" t="s">
        <v>71</v>
      </c>
      <c r="C43" s="2" t="s">
        <v>72</v>
      </c>
    </row>
    <row r="44" s="2" customFormat="true" ht="12.8" hidden="false" customHeight="false" outlineLevel="1" collapsed="false">
      <c r="A44" s="41" t="s">
        <v>73</v>
      </c>
      <c r="B44" s="42" t="s">
        <v>74</v>
      </c>
      <c r="C44" s="2" t="s">
        <v>75</v>
      </c>
    </row>
    <row r="45" s="2" customFormat="true" ht="12.8" hidden="false" customHeight="false" outlineLevel="1" collapsed="false">
      <c r="A45" s="41" t="s">
        <v>76</v>
      </c>
      <c r="B45" s="42" t="s">
        <v>77</v>
      </c>
      <c r="C45" s="2" t="s">
        <v>78</v>
      </c>
    </row>
    <row r="46" s="2" customFormat="true" ht="12.8" hidden="false" customHeight="false" outlineLevel="1" collapsed="false">
      <c r="A46" s="41" t="s">
        <v>79</v>
      </c>
      <c r="B46" s="42" t="s">
        <v>80</v>
      </c>
      <c r="C46" s="2" t="s">
        <v>81</v>
      </c>
    </row>
    <row r="47" s="2" customFormat="true" ht="12.8" hidden="false" customHeight="false" outlineLevel="1" collapsed="false">
      <c r="A47" s="41" t="s">
        <v>82</v>
      </c>
      <c r="B47" s="42" t="s">
        <v>83</v>
      </c>
      <c r="C47" s="2" t="s">
        <v>84</v>
      </c>
    </row>
    <row r="48" s="2" customFormat="true" ht="12.8" hidden="false" customHeight="false" outlineLevel="1" collapsed="false">
      <c r="A48" s="41" t="s">
        <v>85</v>
      </c>
      <c r="B48" s="42" t="s">
        <v>86</v>
      </c>
      <c r="C48" s="2" t="s">
        <v>87</v>
      </c>
    </row>
    <row r="49" s="2" customFormat="true" ht="12.8" hidden="false" customHeight="false" outlineLevel="1" collapsed="false">
      <c r="A49" s="41" t="s">
        <v>88</v>
      </c>
      <c r="B49" s="42" t="s">
        <v>89</v>
      </c>
      <c r="C49" s="2" t="s">
        <v>90</v>
      </c>
    </row>
    <row r="50" s="2" customFormat="true" ht="12.8" hidden="false" customHeight="false" outlineLevel="1" collapsed="false">
      <c r="A50" s="41" t="s">
        <v>91</v>
      </c>
      <c r="B50" s="42" t="s">
        <v>92</v>
      </c>
      <c r="C50" s="2" t="s">
        <v>93</v>
      </c>
    </row>
    <row r="51" s="2" customFormat="true" ht="12.8" hidden="false" customHeight="false" outlineLevel="1" collapsed="false">
      <c r="A51" s="41" t="s">
        <v>94</v>
      </c>
      <c r="B51" s="42" t="s">
        <v>95</v>
      </c>
      <c r="C51" s="2" t="s">
        <v>96</v>
      </c>
    </row>
    <row r="52" s="2" customFormat="true" ht="12.8" hidden="false" customHeight="false" outlineLevel="1" collapsed="false">
      <c r="A52" s="41" t="s">
        <v>97</v>
      </c>
      <c r="B52" s="42" t="s">
        <v>98</v>
      </c>
      <c r="C52" s="2" t="s">
        <v>99</v>
      </c>
    </row>
    <row r="53" s="2" customFormat="true" ht="12.8" hidden="false" customHeight="false" outlineLevel="1" collapsed="false">
      <c r="A53" s="41" t="s">
        <v>100</v>
      </c>
      <c r="B53" s="2" t="s">
        <v>101</v>
      </c>
      <c r="C53" s="2" t="s">
        <v>102</v>
      </c>
    </row>
    <row r="54" s="2" customFormat="true" ht="12.8" hidden="false" customHeight="false" outlineLevel="1" collapsed="false">
      <c r="A54" s="41" t="s">
        <v>103</v>
      </c>
      <c r="B54" s="2" t="s">
        <v>104</v>
      </c>
      <c r="C54" s="2" t="s">
        <v>105</v>
      </c>
    </row>
    <row r="55" s="2" customFormat="true" ht="12.8" hidden="false" customHeight="false" outlineLevel="1" collapsed="false">
      <c r="A55" s="41" t="s">
        <v>106</v>
      </c>
      <c r="B55" s="2" t="s">
        <v>107</v>
      </c>
      <c r="C55" s="2" t="s">
        <v>108</v>
      </c>
    </row>
    <row r="56" s="2" customFormat="true" ht="12.8" hidden="false" customHeight="false" outlineLevel="1" collapsed="false">
      <c r="A56" s="41" t="s">
        <v>109</v>
      </c>
      <c r="B56" s="2" t="s">
        <v>110</v>
      </c>
      <c r="C56" s="2" t="s">
        <v>111</v>
      </c>
    </row>
    <row r="57" s="2" customFormat="true" ht="12.8" hidden="false" customHeight="false" outlineLevel="1" collapsed="false">
      <c r="A57" s="41" t="s">
        <v>112</v>
      </c>
      <c r="B57" s="2" t="s">
        <v>113</v>
      </c>
      <c r="C57" s="2" t="s">
        <v>114</v>
      </c>
    </row>
    <row r="58" s="2" customFormat="true" ht="12.8" hidden="false" customHeight="false" outlineLevel="0" collapsed="false">
      <c r="A58" s="1"/>
    </row>
    <row r="59" s="2" customFormat="true" ht="12.8" hidden="false" customHeight="false" outlineLevel="0" collapsed="false">
      <c r="A59" s="1"/>
    </row>
    <row r="60" s="2" customFormat="true" ht="12.8"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row>
    <row r="61" s="2" customFormat="true" ht="12.8"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row>
    <row r="62" s="2" customFormat="true" ht="12.8"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row>
    <row r="63" s="2" customFormat="true" ht="12.8"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row>
    <row r="64" s="2" customFormat="true" ht="12.8"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row>
    <row r="65" s="2" customFormat="true" ht="12.8"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row>
    <row r="66" s="2" customFormat="true" ht="12.8"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row>
    <row r="67" s="2" customFormat="true" ht="12.8"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row>
    <row r="68" s="2" customFormat="true" ht="12.8"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row>
    <row r="69" s="2" customFormat="true" ht="12.8"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row>
    <row r="70" s="2" customFormat="true" ht="12.8"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row>
    <row r="71" s="2" customFormat="true" ht="12.8"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row>
    <row r="72" s="2" customFormat="true" ht="12.8"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row>
    <row r="73" s="2" customFormat="true" ht="12.8"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row>
    <row r="74" s="2" customFormat="true" ht="12.8"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row>
    <row r="75" s="2" customFormat="true" ht="12.8"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row>
    <row r="76" s="2" customFormat="true" ht="12.8"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row>
    <row r="77" s="2" customFormat="true" ht="12.8"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row>
    <row r="78" s="2" customFormat="true" ht="12.8" hidden="false" customHeight="false" outlineLevel="0" collapsed="false">
      <c r="A78" s="1"/>
    </row>
    <row r="79" s="2" customFormat="true" ht="12.8" hidden="false" customHeight="false" outlineLevel="0" collapsed="false">
      <c r="A79" s="1"/>
    </row>
    <row r="80" s="2" customFormat="true" ht="12.8" hidden="false" customHeight="false" outlineLevel="0" collapsed="false">
      <c r="A80" s="1"/>
    </row>
    <row r="81" s="2" customFormat="true" ht="12.8" hidden="false" customHeight="false" outlineLevel="0" collapsed="false">
      <c r="A81" s="1"/>
    </row>
    <row r="82" s="2" customFormat="true" ht="12.8" hidden="false" customHeight="false" outlineLevel="0" collapsed="false">
      <c r="A82" s="1"/>
    </row>
    <row r="83" s="2" customFormat="true" ht="12.8" hidden="false" customHeight="false" outlineLevel="0" collapsed="false">
      <c r="A83" s="1"/>
    </row>
    <row r="84" s="2" customFormat="true" ht="12.8" hidden="false" customHeight="false" outlineLevel="0" collapsed="false">
      <c r="A84" s="1"/>
    </row>
    <row r="85" s="2" customFormat="true" ht="12.8" hidden="false" customHeight="false" outlineLevel="0" collapsed="false">
      <c r="A85" s="1"/>
    </row>
    <row r="86" s="2" customFormat="true" ht="12.8" hidden="false" customHeight="false" outlineLevel="0" collapsed="false">
      <c r="A86" s="1"/>
    </row>
    <row r="87" s="2" customFormat="true" ht="12.8" hidden="false" customHeight="false" outlineLevel="0" collapsed="false">
      <c r="A87" s="1"/>
    </row>
    <row r="88" s="2" customFormat="true" ht="12.8" hidden="false" customHeight="false" outlineLevel="0" collapsed="false">
      <c r="A88" s="1"/>
    </row>
    <row r="89" s="2" customFormat="true" ht="12.8" hidden="false" customHeight="false" outlineLevel="0" collapsed="false">
      <c r="A89" s="1"/>
    </row>
    <row r="90" s="2" customFormat="true" ht="12.8" hidden="false" customHeight="false" outlineLevel="0" collapsed="false">
      <c r="A90" s="1"/>
    </row>
    <row r="91" s="2" customFormat="true" ht="12.8" hidden="false" customHeight="false" outlineLevel="0" collapsed="false">
      <c r="A91" s="1"/>
    </row>
    <row r="92" s="2" customFormat="true" ht="12.8" hidden="false" customHeight="false" outlineLevel="0" collapsed="false">
      <c r="A92" s="1"/>
    </row>
    <row r="93" s="2" customFormat="true" ht="12.8" hidden="false" customHeight="false" outlineLevel="0" collapsed="false">
      <c r="A93" s="1"/>
    </row>
    <row r="94" s="2" customFormat="true" ht="12.8" hidden="false" customHeight="false" outlineLevel="0" collapsed="false">
      <c r="A94" s="1"/>
    </row>
    <row r="95" s="2" customFormat="true" ht="12.8" hidden="false" customHeight="false" outlineLevel="0" collapsed="false">
      <c r="A95" s="1"/>
    </row>
    <row r="96" s="2" customFormat="true" ht="12.8" hidden="false" customHeight="false" outlineLevel="0" collapsed="false">
      <c r="A96" s="1"/>
    </row>
    <row r="97" s="2" customFormat="true" ht="12.8" hidden="false" customHeight="false" outlineLevel="0" collapsed="false">
      <c r="A97" s="1"/>
    </row>
    <row r="98" s="2" customFormat="true" ht="12.8" hidden="false" customHeight="false" outlineLevel="0" collapsed="false">
      <c r="A98" s="1"/>
    </row>
    <row r="99" s="2" customFormat="true" ht="12.8" hidden="false" customHeight="false" outlineLevel="0" collapsed="false">
      <c r="A99" s="1"/>
    </row>
    <row r="100" s="2" customFormat="true" ht="12.8" hidden="false" customHeight="false" outlineLevel="0" collapsed="false">
      <c r="A100" s="1"/>
    </row>
    <row r="101" s="2" customFormat="true" ht="12.8" hidden="false" customHeight="false" outlineLevel="0" collapsed="false">
      <c r="A101" s="1"/>
    </row>
    <row r="102" s="2" customFormat="true" ht="12.8" hidden="false" customHeight="false" outlineLevel="0" collapsed="false">
      <c r="A102" s="1"/>
    </row>
    <row r="103" s="2" customFormat="true" ht="12.8" hidden="false" customHeight="false" outlineLevel="0" collapsed="false">
      <c r="A103" s="1"/>
    </row>
    <row r="104" s="2" customFormat="true" ht="12.8" hidden="false" customHeight="false" outlineLevel="0" collapsed="false">
      <c r="A104" s="1"/>
    </row>
    <row r="105" s="2" customFormat="true" ht="12.8" hidden="false" customHeight="false" outlineLevel="0" collapsed="false">
      <c r="A105" s="1"/>
    </row>
    <row r="106" s="2" customFormat="true" ht="12.8" hidden="false" customHeight="false" outlineLevel="0" collapsed="false">
      <c r="A106" s="1"/>
    </row>
    <row r="107" s="2" customFormat="true" ht="12.8" hidden="false" customHeight="false" outlineLevel="0" collapsed="false">
      <c r="A107" s="1"/>
    </row>
    <row r="108" s="2" customFormat="true" ht="12.8" hidden="false" customHeight="false" outlineLevel="0" collapsed="false">
      <c r="A108" s="1"/>
    </row>
    <row r="109" s="2" customFormat="true" ht="12.8" hidden="false" customHeight="false" outlineLevel="0" collapsed="false">
      <c r="A109" s="1"/>
    </row>
    <row r="110" s="2" customFormat="true" ht="12.8" hidden="false" customHeight="false" outlineLevel="0" collapsed="false">
      <c r="A110" s="1"/>
    </row>
    <row r="111" s="2" customFormat="true" ht="12.8" hidden="false" customHeight="false" outlineLevel="0" collapsed="false">
      <c r="A111" s="1"/>
    </row>
    <row r="112" s="2" customFormat="true" ht="12.8" hidden="false" customHeight="false" outlineLevel="0" collapsed="false">
      <c r="A112" s="1"/>
    </row>
    <row r="113" s="2" customFormat="true" ht="12.8" hidden="false" customHeight="false" outlineLevel="0" collapsed="false">
      <c r="A113" s="1"/>
    </row>
    <row r="114" s="2" customFormat="true" ht="12.8" hidden="false" customHeight="false" outlineLevel="0" collapsed="false">
      <c r="A114" s="1"/>
    </row>
    <row r="115" s="2" customFormat="true" ht="12.8" hidden="false" customHeight="false" outlineLevel="0" collapsed="false">
      <c r="A115" s="1"/>
    </row>
    <row r="116" s="2" customFormat="true" ht="12.8" hidden="false" customHeight="false" outlineLevel="0" collapsed="false">
      <c r="A116" s="1"/>
    </row>
    <row r="117" s="2" customFormat="true" ht="12.8" hidden="false" customHeight="false" outlineLevel="0" collapsed="false">
      <c r="A117" s="1"/>
    </row>
    <row r="118" s="2" customFormat="true" ht="12.8" hidden="false" customHeight="false" outlineLevel="0" collapsed="false">
      <c r="A118" s="1"/>
    </row>
    <row r="119" s="2" customFormat="true" ht="12.8" hidden="false" customHeight="false" outlineLevel="0" collapsed="false">
      <c r="A119" s="1"/>
    </row>
    <row r="120" s="2" customFormat="true" ht="12.8" hidden="false" customHeight="false" outlineLevel="0" collapsed="false">
      <c r="A120" s="1"/>
    </row>
    <row r="121" s="2" customFormat="true" ht="12.8" hidden="false" customHeight="false" outlineLevel="0" collapsed="false">
      <c r="A121" s="1"/>
    </row>
    <row r="122" s="2" customFormat="true" ht="12.8" hidden="false" customHeight="false" outlineLevel="0" collapsed="false">
      <c r="A122" s="1"/>
    </row>
    <row r="123" s="2" customFormat="true" ht="12.8" hidden="false" customHeight="false" outlineLevel="0" collapsed="false">
      <c r="A123" s="1"/>
    </row>
    <row r="124" s="2" customFormat="true" ht="12.8" hidden="false" customHeight="false" outlineLevel="0" collapsed="false">
      <c r="A124" s="1"/>
    </row>
    <row r="125" s="2" customFormat="true" ht="12.8" hidden="false" customHeight="false" outlineLevel="0" collapsed="false">
      <c r="A125" s="1"/>
    </row>
    <row r="126" s="2" customFormat="true" ht="12.8" hidden="false" customHeight="false" outlineLevel="0" collapsed="false">
      <c r="A126" s="1"/>
    </row>
    <row r="127" s="2" customFormat="true" ht="12.8" hidden="false" customHeight="false" outlineLevel="0" collapsed="false">
      <c r="A127" s="1"/>
    </row>
    <row r="128" s="2" customFormat="true" ht="12.8" hidden="false" customHeight="false" outlineLevel="0" collapsed="false">
      <c r="A128" s="1"/>
    </row>
    <row r="129" s="2" customFormat="true" ht="12.8" hidden="false" customHeight="false" outlineLevel="0" collapsed="false">
      <c r="A129" s="1"/>
    </row>
    <row r="130" s="2" customFormat="true" ht="12.8" hidden="false" customHeight="false" outlineLevel="0" collapsed="false">
      <c r="A130" s="1"/>
    </row>
    <row r="131" s="2" customFormat="true" ht="12.8" hidden="false" customHeight="false" outlineLevel="0" collapsed="false">
      <c r="A131" s="1"/>
    </row>
    <row r="132" s="2" customFormat="true" ht="12.8" hidden="false" customHeight="false" outlineLevel="0" collapsed="false">
      <c r="A132" s="1"/>
    </row>
    <row r="133" s="2" customFormat="true" ht="12.8" hidden="false" customHeight="false" outlineLevel="0" collapsed="false">
      <c r="A133" s="1"/>
    </row>
    <row r="134" s="2" customFormat="true" ht="12.8" hidden="false" customHeight="false" outlineLevel="0" collapsed="false">
      <c r="A134" s="1"/>
    </row>
    <row r="135" s="2" customFormat="true" ht="12.8" hidden="false" customHeight="false" outlineLevel="0" collapsed="false">
      <c r="A135" s="1"/>
    </row>
    <row r="136" s="2" customFormat="true" ht="12.8" hidden="false" customHeight="false" outlineLevel="0" collapsed="false">
      <c r="A136" s="1"/>
    </row>
    <row r="137" s="2" customFormat="true" ht="12.8" hidden="false" customHeight="false" outlineLevel="0" collapsed="false">
      <c r="A137" s="1"/>
    </row>
    <row r="138" s="2" customFormat="true" ht="12.8" hidden="false" customHeight="false" outlineLevel="0" collapsed="false">
      <c r="A138" s="1"/>
    </row>
    <row r="139" s="2" customFormat="true" ht="12.8" hidden="false" customHeight="false" outlineLevel="0" collapsed="false">
      <c r="A139" s="1"/>
    </row>
    <row r="140" s="2" customFormat="true" ht="12.8" hidden="false" customHeight="false" outlineLevel="0" collapsed="false">
      <c r="A140" s="1"/>
    </row>
    <row r="141" s="2" customFormat="true" ht="12.8" hidden="false" customHeight="false" outlineLevel="0" collapsed="false">
      <c r="A141" s="1"/>
    </row>
    <row r="142" s="2" customFormat="true" ht="12.8" hidden="false" customHeight="false" outlineLevel="0" collapsed="false">
      <c r="A142" s="1"/>
    </row>
    <row r="143" s="2" customFormat="true" ht="12.8" hidden="false" customHeight="false" outlineLevel="0" collapsed="false">
      <c r="A143" s="1"/>
    </row>
    <row r="144" s="2" customFormat="true" ht="12.8" hidden="false" customHeight="false" outlineLevel="0" collapsed="false">
      <c r="A144" s="1"/>
    </row>
    <row r="145" s="2" customFormat="true" ht="12.8" hidden="false" customHeight="false" outlineLevel="0" collapsed="false">
      <c r="A145" s="1"/>
    </row>
    <row r="146" s="2" customFormat="true" ht="12.8" hidden="false" customHeight="false" outlineLevel="0" collapsed="false">
      <c r="A146" s="1"/>
    </row>
    <row r="147" s="2" customFormat="true" ht="12.8" hidden="false" customHeight="false" outlineLevel="0" collapsed="false">
      <c r="A147" s="1"/>
    </row>
    <row r="148" s="2" customFormat="true" ht="12.8" hidden="false" customHeight="false" outlineLevel="0" collapsed="false">
      <c r="A148" s="1"/>
    </row>
    <row r="149" s="2" customFormat="true" ht="12.8" hidden="false" customHeight="false" outlineLevel="0" collapsed="false">
      <c r="A149" s="1"/>
    </row>
    <row r="150" s="2" customFormat="true" ht="12.8" hidden="false" customHeight="false" outlineLevel="0" collapsed="false">
      <c r="A150" s="1"/>
    </row>
    <row r="151" s="2" customFormat="true" ht="12.8" hidden="false" customHeight="false" outlineLevel="0" collapsed="false">
      <c r="A151" s="1"/>
    </row>
    <row r="152" s="2" customFormat="true" ht="12.8" hidden="false" customHeight="false" outlineLevel="0" collapsed="false">
      <c r="A152" s="1"/>
    </row>
    <row r="153" s="2" customFormat="true" ht="12.8" hidden="false" customHeight="false" outlineLevel="0" collapsed="false">
      <c r="A153" s="1"/>
    </row>
    <row r="154" s="2" customFormat="true" ht="12.8" hidden="false" customHeight="false" outlineLevel="0" collapsed="false">
      <c r="A154" s="1"/>
    </row>
    <row r="155" s="2" customFormat="true" ht="12.8" hidden="false" customHeight="false" outlineLevel="0" collapsed="false">
      <c r="A155" s="1"/>
    </row>
    <row r="156" s="2" customFormat="true" ht="12.8" hidden="false" customHeight="false" outlineLevel="0" collapsed="false">
      <c r="A156" s="1"/>
    </row>
    <row r="157" s="2" customFormat="true" ht="12.8" hidden="false" customHeight="false" outlineLevel="0" collapsed="false">
      <c r="A157" s="1"/>
    </row>
    <row r="158" s="2" customFormat="true" ht="12.8" hidden="false" customHeight="false" outlineLevel="0" collapsed="false">
      <c r="A158" s="1"/>
    </row>
    <row r="159" s="2" customFormat="true" ht="12.8" hidden="false" customHeight="false" outlineLevel="0" collapsed="false">
      <c r="A159" s="1"/>
    </row>
    <row r="160" s="2" customFormat="true" ht="12.8" hidden="false" customHeight="false" outlineLevel="0" collapsed="false">
      <c r="A160" s="1"/>
    </row>
    <row r="161" s="2" customFormat="true" ht="12.8" hidden="false" customHeight="false" outlineLevel="0" collapsed="false">
      <c r="A161" s="1"/>
    </row>
    <row r="162" s="2" customFormat="true" ht="12.8" hidden="false" customHeight="false" outlineLevel="0" collapsed="false">
      <c r="A162" s="1"/>
    </row>
    <row r="163" s="2" customFormat="true" ht="12.8" hidden="false" customHeight="false" outlineLevel="0" collapsed="false">
      <c r="A163" s="1"/>
    </row>
    <row r="164" s="2" customFormat="true" ht="12.8" hidden="false" customHeight="false" outlineLevel="0" collapsed="false">
      <c r="A164" s="1"/>
    </row>
    <row r="165" s="2" customFormat="true" ht="12.8" hidden="false" customHeight="false" outlineLevel="0" collapsed="false">
      <c r="A165" s="1"/>
    </row>
    <row r="166" s="2" customFormat="true" ht="12.8" hidden="false" customHeight="false" outlineLevel="0" collapsed="false">
      <c r="A166" s="1"/>
    </row>
    <row r="167" s="2" customFormat="true" ht="12.8" hidden="false" customHeight="false" outlineLevel="0" collapsed="false">
      <c r="A167" s="1"/>
    </row>
    <row r="168" s="2" customFormat="true" ht="12.8" hidden="false" customHeight="false" outlineLevel="0" collapsed="false">
      <c r="A168" s="1"/>
    </row>
    <row r="169" s="2" customFormat="true" ht="12.8" hidden="false" customHeight="false" outlineLevel="0" collapsed="false">
      <c r="A169" s="1"/>
    </row>
    <row r="170" s="2" customFormat="true" ht="12.8" hidden="false" customHeight="false" outlineLevel="0" collapsed="false">
      <c r="A170" s="1"/>
    </row>
    <row r="171" s="2" customFormat="true" ht="12.8" hidden="false" customHeight="false" outlineLevel="0" collapsed="false">
      <c r="A171" s="1"/>
    </row>
    <row r="172" s="2" customFormat="true" ht="12.8" hidden="false" customHeight="false" outlineLevel="0" collapsed="false">
      <c r="A172" s="1"/>
    </row>
    <row r="173" s="2" customFormat="true" ht="12.8" hidden="false" customHeight="false" outlineLevel="0" collapsed="false">
      <c r="A173" s="1"/>
    </row>
    <row r="174" s="2" customFormat="true" ht="12.8" hidden="false" customHeight="false" outlineLevel="0" collapsed="false">
      <c r="A174" s="1"/>
    </row>
    <row r="175" s="2" customFormat="true" ht="12.8" hidden="false" customHeight="false" outlineLevel="0" collapsed="false">
      <c r="A175" s="1"/>
    </row>
    <row r="176" s="2" customFormat="true" ht="12.8" hidden="false" customHeight="false" outlineLevel="0" collapsed="false">
      <c r="A176" s="1"/>
    </row>
    <row r="177" s="2" customFormat="true" ht="12.8" hidden="false" customHeight="false" outlineLevel="0" collapsed="false">
      <c r="A177" s="1"/>
    </row>
    <row r="178" s="2" customFormat="true" ht="12.8" hidden="false" customHeight="false" outlineLevel="0" collapsed="false">
      <c r="A178" s="1"/>
    </row>
    <row r="179" s="2" customFormat="true" ht="12.8" hidden="false" customHeight="false" outlineLevel="0" collapsed="false">
      <c r="A179" s="1"/>
    </row>
    <row r="180" s="2" customFormat="true" ht="12.8" hidden="false" customHeight="false" outlineLevel="0" collapsed="false">
      <c r="A180" s="1"/>
    </row>
    <row r="181" s="2" customFormat="true" ht="12.8" hidden="false" customHeight="false" outlineLevel="0" collapsed="false">
      <c r="A181" s="1"/>
    </row>
    <row r="182" s="2" customFormat="true" ht="12.8" hidden="false" customHeight="false" outlineLevel="0" collapsed="false">
      <c r="A182" s="1"/>
    </row>
    <row r="183" s="2" customFormat="true" ht="12.8" hidden="false" customHeight="false" outlineLevel="0" collapsed="false">
      <c r="A183" s="1"/>
    </row>
    <row r="184" s="2" customFormat="true" ht="12.8" hidden="false" customHeight="false" outlineLevel="0" collapsed="false">
      <c r="A184" s="1"/>
    </row>
    <row r="185" s="2" customFormat="true" ht="12.8" hidden="false" customHeight="false" outlineLevel="0" collapsed="false">
      <c r="A185" s="1"/>
    </row>
    <row r="186" s="2" customFormat="true" ht="12.8" hidden="false" customHeight="false" outlineLevel="0" collapsed="false">
      <c r="A186" s="1"/>
    </row>
    <row r="187" s="2" customFormat="true" ht="12.8" hidden="false" customHeight="false" outlineLevel="0" collapsed="false">
      <c r="A187" s="1"/>
    </row>
    <row r="188" s="2" customFormat="true" ht="12.8" hidden="false" customHeight="false" outlineLevel="0" collapsed="false">
      <c r="A188" s="1"/>
    </row>
    <row r="189" s="2" customFormat="true" ht="12.8" hidden="false" customHeight="false" outlineLevel="0" collapsed="false">
      <c r="A189" s="1"/>
    </row>
    <row r="190" s="2" customFormat="true" ht="12.8" hidden="false" customHeight="false" outlineLevel="0" collapsed="false">
      <c r="A190" s="1"/>
    </row>
    <row r="191" s="2" customFormat="true" ht="12.8" hidden="false" customHeight="false" outlineLevel="0" collapsed="false">
      <c r="A191" s="1"/>
    </row>
    <row r="192" s="2" customFormat="true" ht="12.8" hidden="false" customHeight="false" outlineLevel="0" collapsed="false">
      <c r="A192" s="1"/>
    </row>
    <row r="193" s="2" customFormat="true" ht="12.8" hidden="false" customHeight="false" outlineLevel="0" collapsed="false">
      <c r="A193" s="1"/>
    </row>
    <row r="194" s="2" customFormat="true" ht="12.8" hidden="false" customHeight="false" outlineLevel="0" collapsed="false">
      <c r="A194" s="1"/>
    </row>
    <row r="195" s="2" customFormat="true" ht="12.8" hidden="false" customHeight="false" outlineLevel="0" collapsed="false">
      <c r="A195" s="1"/>
    </row>
    <row r="196" s="2" customFormat="true" ht="12.8" hidden="false" customHeight="false" outlineLevel="0" collapsed="false">
      <c r="A196" s="1"/>
    </row>
    <row r="197" s="2" customFormat="true" ht="12.8" hidden="false" customHeight="false" outlineLevel="0" collapsed="false">
      <c r="A197" s="1"/>
    </row>
    <row r="198" s="2" customFormat="true" ht="12.8" hidden="false" customHeight="false" outlineLevel="0" collapsed="false">
      <c r="A198" s="1"/>
    </row>
    <row r="199" s="2" customFormat="true" ht="12.8" hidden="false" customHeight="false" outlineLevel="0" collapsed="false">
      <c r="A199" s="1"/>
    </row>
    <row r="200" s="2" customFormat="true" ht="12.8" hidden="false" customHeight="false" outlineLevel="0" collapsed="false">
      <c r="A200" s="1"/>
    </row>
    <row r="201" s="2" customFormat="true" ht="12.8" hidden="false" customHeight="false" outlineLevel="0" collapsed="false">
      <c r="A201" s="1"/>
    </row>
    <row r="202" s="2" customFormat="true" ht="12.8" hidden="false" customHeight="false" outlineLevel="0" collapsed="false">
      <c r="A202" s="1"/>
    </row>
    <row r="203" s="2" customFormat="true" ht="12.8" hidden="false" customHeight="false" outlineLevel="0" collapsed="false">
      <c r="A203" s="1"/>
    </row>
    <row r="204" s="2" customFormat="true" ht="12.8" hidden="false" customHeight="false" outlineLevel="0" collapsed="false">
      <c r="A204" s="1"/>
    </row>
    <row r="205" s="2" customFormat="true" ht="12.8" hidden="false" customHeight="false" outlineLevel="0" collapsed="false">
      <c r="A205" s="1"/>
    </row>
    <row r="206" s="2" customFormat="true" ht="12.8" hidden="false" customHeight="false" outlineLevel="0" collapsed="false">
      <c r="A206" s="1"/>
    </row>
    <row r="207" s="2" customFormat="true" ht="12.8" hidden="false" customHeight="false" outlineLevel="0" collapsed="false">
      <c r="A207" s="1"/>
    </row>
    <row r="208" s="2" customFormat="true" ht="12.8" hidden="false" customHeight="false" outlineLevel="0" collapsed="false">
      <c r="A208" s="1"/>
    </row>
    <row r="209" s="2" customFormat="true" ht="12.8" hidden="false" customHeight="false" outlineLevel="0" collapsed="false">
      <c r="A209" s="1"/>
    </row>
    <row r="210" s="2" customFormat="true" ht="12.8" hidden="false" customHeight="false" outlineLevel="0" collapsed="false">
      <c r="A210" s="1"/>
    </row>
    <row r="211" s="2" customFormat="true" ht="12.8" hidden="false" customHeight="false" outlineLevel="0" collapsed="false">
      <c r="A211" s="1"/>
    </row>
    <row r="212" s="2" customFormat="true" ht="12.8" hidden="false" customHeight="false" outlineLevel="0" collapsed="false">
      <c r="A212" s="1"/>
    </row>
    <row r="213" s="2" customFormat="true" ht="12.8" hidden="false" customHeight="false" outlineLevel="0" collapsed="false">
      <c r="A213" s="1"/>
    </row>
    <row r="214" s="2" customFormat="true" ht="12.8" hidden="false" customHeight="false" outlineLevel="0" collapsed="false">
      <c r="A214" s="1"/>
    </row>
    <row r="215" s="2" customFormat="true" ht="12.8" hidden="false" customHeight="false" outlineLevel="0" collapsed="false">
      <c r="A215" s="1"/>
    </row>
    <row r="216" s="2" customFormat="true" ht="12.8" hidden="false" customHeight="false" outlineLevel="0" collapsed="false">
      <c r="A216" s="1"/>
    </row>
    <row r="217" s="2" customFormat="true" ht="12.8" hidden="false" customHeight="false" outlineLevel="0" collapsed="false">
      <c r="A217" s="1"/>
    </row>
    <row r="218" s="2" customFormat="true" ht="12.8" hidden="false" customHeight="false" outlineLevel="0" collapsed="false">
      <c r="A218" s="1"/>
    </row>
    <row r="219" s="2" customFormat="true" ht="12.8" hidden="false" customHeight="false" outlineLevel="0" collapsed="false">
      <c r="A219" s="1"/>
    </row>
    <row r="220" s="2" customFormat="true" ht="12.8" hidden="false" customHeight="false" outlineLevel="0" collapsed="false">
      <c r="A220" s="1"/>
    </row>
    <row r="221" s="2" customFormat="true" ht="12.8" hidden="false" customHeight="false" outlineLevel="0" collapsed="false">
      <c r="A221" s="1"/>
    </row>
    <row r="222" s="2" customFormat="true" ht="12.8" hidden="false" customHeight="false" outlineLevel="0" collapsed="false">
      <c r="A222" s="1"/>
    </row>
    <row r="223" s="2" customFormat="true" ht="12.8" hidden="false" customHeight="false" outlineLevel="0" collapsed="false">
      <c r="A223" s="1"/>
    </row>
    <row r="224" s="2" customFormat="true" ht="12.8" hidden="false" customHeight="false" outlineLevel="0" collapsed="false">
      <c r="A224" s="1"/>
    </row>
    <row r="225" s="2" customFormat="true" ht="12.8" hidden="false" customHeight="false" outlineLevel="0" collapsed="false">
      <c r="A225" s="1"/>
    </row>
    <row r="226" s="2" customFormat="true" ht="12.8" hidden="false" customHeight="false" outlineLevel="0" collapsed="false">
      <c r="A226" s="1"/>
    </row>
    <row r="227" s="2" customFormat="true" ht="12.8" hidden="false" customHeight="false" outlineLevel="0" collapsed="false">
      <c r="A227" s="1"/>
    </row>
    <row r="228" s="2" customFormat="true" ht="12.8" hidden="false" customHeight="false" outlineLevel="0" collapsed="false">
      <c r="A228" s="1"/>
    </row>
    <row r="229" s="2" customFormat="true" ht="12.8" hidden="false" customHeight="false" outlineLevel="0" collapsed="false">
      <c r="A229" s="1"/>
    </row>
    <row r="230" s="2" customFormat="true" ht="12.8" hidden="false" customHeight="false" outlineLevel="0" collapsed="false">
      <c r="A230" s="1"/>
    </row>
    <row r="231" s="2" customFormat="true" ht="12.8" hidden="false" customHeight="false" outlineLevel="0" collapsed="false">
      <c r="A231" s="1"/>
    </row>
    <row r="232" s="2" customFormat="true" ht="12.8" hidden="false" customHeight="false" outlineLevel="0" collapsed="false">
      <c r="A232" s="1"/>
    </row>
    <row r="233" s="2" customFormat="true" ht="12.8" hidden="false" customHeight="false" outlineLevel="0" collapsed="false">
      <c r="A233" s="1"/>
    </row>
    <row r="234" s="2" customFormat="true" ht="12.8" hidden="false" customHeight="false" outlineLevel="0" collapsed="false">
      <c r="A234" s="1"/>
    </row>
    <row r="235" s="2" customFormat="true" ht="12.8" hidden="false" customHeight="false" outlineLevel="0" collapsed="false">
      <c r="A235" s="1"/>
    </row>
    <row r="236" s="2" customFormat="true" ht="12.8" hidden="false" customHeight="false" outlineLevel="0" collapsed="false">
      <c r="A236" s="1"/>
    </row>
    <row r="237" s="2" customFormat="true" ht="12.8" hidden="false" customHeight="false" outlineLevel="0" collapsed="false">
      <c r="A237" s="1"/>
    </row>
    <row r="238" s="2" customFormat="true" ht="12.8" hidden="false" customHeight="false" outlineLevel="0" collapsed="false">
      <c r="A238" s="1"/>
    </row>
    <row r="239" s="2" customFormat="true" ht="12.8" hidden="false" customHeight="false" outlineLevel="0" collapsed="false">
      <c r="A239" s="1"/>
    </row>
    <row r="240" s="2" customFormat="true" ht="12.8" hidden="false" customHeight="false" outlineLevel="0" collapsed="false">
      <c r="A240" s="1"/>
    </row>
    <row r="241" s="2" customFormat="true" ht="12.8" hidden="false" customHeight="false" outlineLevel="0" collapsed="false">
      <c r="A241" s="1"/>
    </row>
    <row r="242" s="2" customFormat="true" ht="12.8" hidden="false" customHeight="false" outlineLevel="0" collapsed="false">
      <c r="A242" s="1"/>
    </row>
    <row r="243" s="2" customFormat="true" ht="12.8" hidden="false" customHeight="false" outlineLevel="0" collapsed="false">
      <c r="A243" s="1"/>
    </row>
    <row r="244" s="2" customFormat="true" ht="12.8" hidden="false" customHeight="false" outlineLevel="0" collapsed="false">
      <c r="A244" s="1"/>
    </row>
    <row r="245" s="2" customFormat="true" ht="12.8" hidden="false" customHeight="false" outlineLevel="0" collapsed="false">
      <c r="A245" s="1"/>
    </row>
    <row r="246" s="2" customFormat="true" ht="12.8" hidden="false" customHeight="false" outlineLevel="0" collapsed="false">
      <c r="A246" s="1"/>
    </row>
    <row r="247" s="2" customFormat="true" ht="12.8" hidden="false" customHeight="false" outlineLevel="0" collapsed="false">
      <c r="A247" s="1"/>
    </row>
    <row r="248" s="2" customFormat="true" ht="12.8" hidden="false" customHeight="false" outlineLevel="0" collapsed="false">
      <c r="A248" s="1"/>
    </row>
    <row r="249" s="2" customFormat="true" ht="12.8" hidden="false" customHeight="false" outlineLevel="0" collapsed="false">
      <c r="A249" s="1"/>
    </row>
    <row r="250" s="2" customFormat="true" ht="12.8" hidden="false" customHeight="false" outlineLevel="0" collapsed="false">
      <c r="A250" s="1"/>
    </row>
    <row r="251" s="2" customFormat="true" ht="12.8" hidden="false" customHeight="false" outlineLevel="0" collapsed="false">
      <c r="A251" s="1"/>
    </row>
    <row r="252" s="2" customFormat="true" ht="12.8" hidden="false" customHeight="false" outlineLevel="0" collapsed="false">
      <c r="A252" s="1"/>
    </row>
    <row r="253" s="2" customFormat="true" ht="12.8" hidden="false" customHeight="false" outlineLevel="0" collapsed="false">
      <c r="A253" s="1"/>
    </row>
    <row r="254" s="2" customFormat="true" ht="12.8" hidden="false" customHeight="false" outlineLevel="0" collapsed="false">
      <c r="A254" s="1"/>
    </row>
    <row r="255" s="2" customFormat="true" ht="12.8" hidden="false" customHeight="false" outlineLevel="0" collapsed="false">
      <c r="A255" s="1"/>
    </row>
    <row r="256" s="2" customFormat="true" ht="12.8" hidden="false" customHeight="false" outlineLevel="0" collapsed="false">
      <c r="A256" s="1"/>
    </row>
    <row r="257" s="2" customFormat="true" ht="12.8" hidden="false" customHeight="false" outlineLevel="0" collapsed="false">
      <c r="A257" s="1"/>
    </row>
    <row r="258" s="2" customFormat="true" ht="12.8" hidden="false" customHeight="false" outlineLevel="0" collapsed="false">
      <c r="A258" s="1"/>
    </row>
    <row r="259" s="2" customFormat="true" ht="12.8" hidden="false" customHeight="false" outlineLevel="0" collapsed="false">
      <c r="A259" s="1"/>
    </row>
    <row r="260" s="2" customFormat="true" ht="12.8" hidden="false" customHeight="false" outlineLevel="0" collapsed="false">
      <c r="A260" s="1"/>
    </row>
    <row r="261" s="2" customFormat="true" ht="12.8" hidden="false" customHeight="false" outlineLevel="0" collapsed="false">
      <c r="A261" s="1"/>
    </row>
    <row r="262" s="2" customFormat="true" ht="12.8" hidden="false" customHeight="false" outlineLevel="0" collapsed="false">
      <c r="A262" s="1"/>
    </row>
    <row r="263" s="2" customFormat="true" ht="12.8" hidden="false" customHeight="false" outlineLevel="0" collapsed="false">
      <c r="A263" s="1"/>
    </row>
    <row r="264" s="2" customFormat="true" ht="12.8" hidden="false" customHeight="false" outlineLevel="0" collapsed="false">
      <c r="A264" s="1"/>
    </row>
    <row r="265" s="2" customFormat="true" ht="12.8" hidden="false" customHeight="false" outlineLevel="0" collapsed="false">
      <c r="A265" s="1"/>
    </row>
    <row r="266" s="2" customFormat="true" ht="12.8" hidden="false" customHeight="false" outlineLevel="0" collapsed="false">
      <c r="A266" s="1"/>
    </row>
    <row r="267" s="2" customFormat="true" ht="12.8" hidden="false" customHeight="false" outlineLevel="0" collapsed="false">
      <c r="A267" s="1"/>
    </row>
    <row r="268" s="2" customFormat="true" ht="12.8" hidden="false" customHeight="false" outlineLevel="0" collapsed="false">
      <c r="A268" s="1"/>
    </row>
    <row r="269" s="2" customFormat="true" ht="12.8" hidden="false" customHeight="false" outlineLevel="0" collapsed="false">
      <c r="A269" s="1"/>
    </row>
    <row r="270" s="2" customFormat="true" ht="12.8" hidden="false" customHeight="false" outlineLevel="0" collapsed="false">
      <c r="A270" s="1"/>
    </row>
    <row r="271" s="2" customFormat="true" ht="12.8" hidden="false" customHeight="false" outlineLevel="0" collapsed="false">
      <c r="A271" s="1"/>
    </row>
    <row r="272" s="2" customFormat="true" ht="12.8" hidden="false" customHeight="false" outlineLevel="0" collapsed="false">
      <c r="A272" s="1"/>
    </row>
    <row r="273" s="2" customFormat="true" ht="12.8" hidden="false" customHeight="false" outlineLevel="0" collapsed="false">
      <c r="A273" s="1"/>
    </row>
    <row r="274" s="2" customFormat="true" ht="12.8" hidden="false" customHeight="false" outlineLevel="0" collapsed="false">
      <c r="A274" s="1"/>
    </row>
    <row r="275" s="2" customFormat="true" ht="12.8" hidden="false" customHeight="false" outlineLevel="0" collapsed="false">
      <c r="A275" s="1"/>
    </row>
    <row r="276" s="2" customFormat="true" ht="12.8" hidden="false" customHeight="false" outlineLevel="0" collapsed="false">
      <c r="A276" s="1"/>
    </row>
    <row r="277" s="2" customFormat="true" ht="12.8" hidden="false" customHeight="false" outlineLevel="0" collapsed="false">
      <c r="A277" s="1"/>
    </row>
    <row r="278" s="2" customFormat="true" ht="12.8" hidden="false" customHeight="false" outlineLevel="0" collapsed="false">
      <c r="A278" s="1"/>
    </row>
    <row r="279" s="2" customFormat="true" ht="12.8" hidden="false" customHeight="false" outlineLevel="0" collapsed="false">
      <c r="A279" s="1"/>
    </row>
    <row r="280" s="2" customFormat="true" ht="12.8" hidden="false" customHeight="false" outlineLevel="0" collapsed="false">
      <c r="A280" s="1"/>
    </row>
    <row r="281" s="2" customFormat="true" ht="12.8" hidden="false" customHeight="false" outlineLevel="0" collapsed="false">
      <c r="A281" s="1"/>
    </row>
    <row r="282" s="2" customFormat="true" ht="12.8" hidden="false" customHeight="false" outlineLevel="0" collapsed="false">
      <c r="A282" s="1"/>
    </row>
    <row r="283" s="2" customFormat="true" ht="12.8" hidden="false" customHeight="false" outlineLevel="0" collapsed="false">
      <c r="A283" s="1"/>
    </row>
    <row r="284" s="2" customFormat="true" ht="12.8" hidden="false" customHeight="false" outlineLevel="0" collapsed="false">
      <c r="A284" s="1"/>
    </row>
    <row r="285" s="2" customFormat="true" ht="12.8" hidden="false" customHeight="false" outlineLevel="0" collapsed="false">
      <c r="A285" s="1"/>
    </row>
    <row r="286" s="2" customFormat="true" ht="12.8" hidden="false" customHeight="false" outlineLevel="0" collapsed="false">
      <c r="A286" s="1"/>
    </row>
    <row r="287" s="2" customFormat="true" ht="12.8" hidden="false" customHeight="false" outlineLevel="0" collapsed="false">
      <c r="A287" s="1"/>
    </row>
    <row r="288" s="2" customFormat="true" ht="12.8" hidden="false" customHeight="false" outlineLevel="0" collapsed="false">
      <c r="A288" s="1"/>
    </row>
    <row r="289" s="2" customFormat="true" ht="12.8" hidden="false" customHeight="false" outlineLevel="0" collapsed="false">
      <c r="A289" s="1"/>
    </row>
    <row r="290" s="2" customFormat="true" ht="12.8" hidden="false" customHeight="false" outlineLevel="0" collapsed="false">
      <c r="A290" s="1"/>
    </row>
    <row r="291" s="2" customFormat="true" ht="12.8" hidden="false" customHeight="false" outlineLevel="0" collapsed="false">
      <c r="A291" s="1"/>
    </row>
    <row r="292" s="2" customFormat="true" ht="12.8" hidden="false" customHeight="false" outlineLevel="0" collapsed="false">
      <c r="A292" s="1"/>
    </row>
    <row r="293" s="2" customFormat="true" ht="12.8" hidden="false" customHeight="false" outlineLevel="0" collapsed="false">
      <c r="A293" s="1"/>
    </row>
    <row r="294" s="2" customFormat="true" ht="12.8" hidden="false" customHeight="false" outlineLevel="0" collapsed="false">
      <c r="A294" s="1"/>
    </row>
    <row r="295" s="2" customFormat="true" ht="12.8" hidden="false" customHeight="false" outlineLevel="0" collapsed="false">
      <c r="A295" s="1"/>
    </row>
    <row r="296" s="2" customFormat="true" ht="12.8" hidden="false" customHeight="false" outlineLevel="0" collapsed="false">
      <c r="A296" s="1"/>
    </row>
    <row r="297" s="2" customFormat="true" ht="12.8" hidden="false" customHeight="false" outlineLevel="0" collapsed="false">
      <c r="A297" s="1"/>
    </row>
    <row r="298" s="2" customFormat="true" ht="12.8" hidden="false" customHeight="false" outlineLevel="0" collapsed="false">
      <c r="A298" s="1"/>
    </row>
    <row r="299" s="2" customFormat="true" ht="12.8" hidden="false" customHeight="false" outlineLevel="0" collapsed="false">
      <c r="A299" s="1"/>
    </row>
    <row r="300" s="2" customFormat="true" ht="12.8" hidden="false" customHeight="false" outlineLevel="0" collapsed="false">
      <c r="A300" s="1"/>
    </row>
    <row r="301" s="2" customFormat="true" ht="12.8" hidden="false" customHeight="false" outlineLevel="0" collapsed="false">
      <c r="A301" s="1"/>
    </row>
    <row r="302" s="2" customFormat="true" ht="12.8" hidden="false" customHeight="false" outlineLevel="0" collapsed="false">
      <c r="A302" s="1"/>
    </row>
    <row r="303" s="2" customFormat="true" ht="12.8" hidden="false" customHeight="false" outlineLevel="0" collapsed="false">
      <c r="A303" s="1"/>
    </row>
    <row r="304" s="2" customFormat="true" ht="12.8" hidden="false" customHeight="false" outlineLevel="0" collapsed="false">
      <c r="A304" s="1"/>
    </row>
    <row r="305" s="2" customFormat="true" ht="12.8" hidden="false" customHeight="false" outlineLevel="0" collapsed="false">
      <c r="A305" s="1"/>
    </row>
    <row r="306" s="2" customFormat="true" ht="12.8" hidden="false" customHeight="false" outlineLevel="0" collapsed="false">
      <c r="A306" s="1"/>
    </row>
    <row r="307" s="2" customFormat="true" ht="12.8" hidden="false" customHeight="false" outlineLevel="0" collapsed="false">
      <c r="A307" s="1"/>
    </row>
    <row r="308" s="2" customFormat="true" ht="12.8" hidden="false" customHeight="false" outlineLevel="0" collapsed="false">
      <c r="A308" s="1"/>
    </row>
    <row r="309" s="2" customFormat="true" ht="12.8" hidden="false" customHeight="false" outlineLevel="0" collapsed="false">
      <c r="A309" s="1"/>
    </row>
    <row r="310" s="2" customFormat="true" ht="12.8" hidden="false" customHeight="false" outlineLevel="0" collapsed="false">
      <c r="A310" s="1"/>
    </row>
    <row r="311" s="2" customFormat="true" ht="12.8" hidden="false" customHeight="false" outlineLevel="0" collapsed="false">
      <c r="A311" s="1"/>
    </row>
    <row r="312" s="2" customFormat="true" ht="12.8" hidden="false" customHeight="false" outlineLevel="0" collapsed="false">
      <c r="A312" s="1"/>
    </row>
    <row r="313" s="2" customFormat="true" ht="12.8" hidden="false" customHeight="false" outlineLevel="0" collapsed="false">
      <c r="A313" s="1"/>
    </row>
    <row r="314" s="2" customFormat="true" ht="12.8" hidden="false" customHeight="false" outlineLevel="0" collapsed="false">
      <c r="A314" s="1"/>
    </row>
    <row r="315" s="2" customFormat="true" ht="12.8" hidden="false" customHeight="false" outlineLevel="0" collapsed="false">
      <c r="A315" s="1"/>
    </row>
    <row r="316" s="2" customFormat="true" ht="12.8" hidden="false" customHeight="false" outlineLevel="0" collapsed="false">
      <c r="A316" s="1"/>
    </row>
    <row r="317" s="2" customFormat="true" ht="12.8" hidden="false" customHeight="false" outlineLevel="0" collapsed="false">
      <c r="A317" s="1"/>
    </row>
    <row r="318" s="2" customFormat="true" ht="12.8" hidden="false" customHeight="false" outlineLevel="0" collapsed="false">
      <c r="A318" s="1"/>
    </row>
    <row r="319" s="2" customFormat="true" ht="12.8" hidden="false" customHeight="false" outlineLevel="0" collapsed="false">
      <c r="A319"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E3" activeCellId="0" sqref="E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3" t="s">
        <v>115</v>
      </c>
      <c r="B1" s="44" t="s">
        <v>116</v>
      </c>
      <c r="C1" s="45"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13.4" hidden="false" customHeight="false" outlineLevel="0" collapsed="false">
      <c r="A3" s="4" t="n">
        <v>17</v>
      </c>
      <c r="B3" s="7" t="s">
        <v>7</v>
      </c>
      <c r="C3" s="46" t="s">
        <v>122</v>
      </c>
      <c r="D3" s="7" t="s">
        <v>123</v>
      </c>
      <c r="E3" s="41" t="s">
        <v>124</v>
      </c>
      <c r="F3" s="7"/>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180.55" hidden="false" customHeight="false" outlineLevel="0" collapsed="false">
      <c r="A4" s="4" t="n">
        <v>16</v>
      </c>
      <c r="B4" s="7" t="s">
        <v>125</v>
      </c>
      <c r="C4" s="46" t="s">
        <v>126</v>
      </c>
      <c r="D4" s="7" t="s">
        <v>127</v>
      </c>
      <c r="E4" s="41" t="s">
        <v>128</v>
      </c>
      <c r="F4" s="7"/>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58.2" hidden="false" customHeight="false" outlineLevel="0" collapsed="false">
      <c r="A5" s="4" t="n">
        <v>15</v>
      </c>
      <c r="B5" s="2" t="s">
        <v>129</v>
      </c>
      <c r="C5" s="46" t="s">
        <v>130</v>
      </c>
      <c r="D5" s="7" t="s">
        <v>131</v>
      </c>
      <c r="E5" s="7" t="s">
        <v>124</v>
      </c>
      <c r="F5" s="7"/>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2.8" hidden="false" customHeight="false" outlineLevel="0" collapsed="false">
      <c r="A6" s="4" t="n">
        <v>14</v>
      </c>
      <c r="B6" s="2" t="s">
        <v>129</v>
      </c>
      <c r="C6" s="7" t="s">
        <v>132</v>
      </c>
      <c r="D6" s="7" t="s">
        <v>133</v>
      </c>
      <c r="E6" s="7" t="s">
        <v>128</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2.8" hidden="false" customHeight="false" outlineLevel="0" collapsed="false">
      <c r="A7" s="4" t="n">
        <v>13</v>
      </c>
      <c r="B7" s="2" t="s">
        <v>129</v>
      </c>
      <c r="C7" s="7" t="s">
        <v>132</v>
      </c>
      <c r="D7" s="7" t="s">
        <v>134</v>
      </c>
      <c r="E7" s="7" t="s">
        <v>128</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58.2" hidden="false" customHeight="false" outlineLevel="0" collapsed="false">
      <c r="A8" s="4" t="n">
        <v>12</v>
      </c>
      <c r="B8" s="2" t="s">
        <v>129</v>
      </c>
      <c r="C8" s="47" t="s">
        <v>135</v>
      </c>
      <c r="D8" s="7" t="s">
        <v>136</v>
      </c>
      <c r="E8" s="48" t="s">
        <v>124</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020.1" hidden="false" customHeight="false" outlineLevel="0" collapsed="false">
      <c r="A9" s="1" t="n">
        <v>11</v>
      </c>
      <c r="B9" s="2" t="s">
        <v>129</v>
      </c>
      <c r="C9" s="47" t="s">
        <v>135</v>
      </c>
      <c r="D9" s="2" t="s">
        <v>137</v>
      </c>
      <c r="E9" s="2" t="s">
        <v>138</v>
      </c>
      <c r="F9" s="47" t="s">
        <v>139</v>
      </c>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1" t="s">
        <v>40</v>
      </c>
      <c r="B10" s="2" t="s">
        <v>140</v>
      </c>
      <c r="C10" s="2" t="s">
        <v>141</v>
      </c>
      <c r="D10" s="2" t="s">
        <v>142</v>
      </c>
      <c r="E10" s="2" t="s">
        <v>124</v>
      </c>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47" hidden="false" customHeight="false" outlineLevel="0" collapsed="false">
      <c r="A11" s="1" t="s">
        <v>37</v>
      </c>
      <c r="B11" s="2" t="s">
        <v>7</v>
      </c>
      <c r="C11" s="47" t="s">
        <v>143</v>
      </c>
      <c r="D11" s="2" t="s">
        <v>144</v>
      </c>
      <c r="E11" s="48" t="s">
        <v>138</v>
      </c>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69.4" hidden="false" customHeight="false" outlineLevel="0" collapsed="false">
      <c r="A12" s="1" t="n">
        <v>8</v>
      </c>
      <c r="B12" s="2" t="s">
        <v>7</v>
      </c>
      <c r="C12" s="47" t="s">
        <v>145</v>
      </c>
      <c r="D12" s="2"/>
      <c r="E12" s="48" t="s">
        <v>124</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69.4" hidden="false" customHeight="false" outlineLevel="0" collapsed="false">
      <c r="A13" s="1" t="n">
        <v>7</v>
      </c>
      <c r="B13" s="2" t="s">
        <v>7</v>
      </c>
      <c r="C13" s="47" t="s">
        <v>145</v>
      </c>
      <c r="D13" s="2" t="s">
        <v>144</v>
      </c>
      <c r="E13" s="48" t="s">
        <v>138</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35.8" hidden="false" customHeight="false" outlineLevel="0" collapsed="false">
      <c r="A14" s="1" t="n">
        <v>6</v>
      </c>
      <c r="B14" s="2" t="s">
        <v>146</v>
      </c>
      <c r="C14" s="47" t="s">
        <v>147</v>
      </c>
      <c r="D14" s="2" t="s">
        <v>148</v>
      </c>
      <c r="E14" s="2" t="s">
        <v>138</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69.4" hidden="false" customHeight="false" outlineLevel="0" collapsed="false">
      <c r="A15" s="1" t="n">
        <v>5</v>
      </c>
      <c r="B15" s="2" t="s">
        <v>149</v>
      </c>
      <c r="C15" s="49" t="s">
        <v>150</v>
      </c>
      <c r="D15" s="2" t="s">
        <v>151</v>
      </c>
      <c r="E15" s="48" t="s">
        <v>124</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2.8" hidden="false" customHeight="false" outlineLevel="0" collapsed="false">
      <c r="A16" s="1" t="s">
        <v>24</v>
      </c>
      <c r="B16" s="2" t="s">
        <v>152</v>
      </c>
      <c r="C16" s="2" t="s">
        <v>153</v>
      </c>
      <c r="D16" s="2" t="s">
        <v>154</v>
      </c>
      <c r="E16" s="2" t="s">
        <v>138</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2.8" hidden="false" customHeight="false" outlineLevel="0" collapsed="false">
      <c r="A17" s="1" t="s">
        <v>21</v>
      </c>
      <c r="B17" s="2" t="s">
        <v>155</v>
      </c>
      <c r="C17" s="2" t="s">
        <v>153</v>
      </c>
      <c r="D17" s="2" t="s">
        <v>156</v>
      </c>
      <c r="E17" s="2" t="s">
        <v>128</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02.2" hidden="false" customHeight="false" outlineLevel="0" collapsed="false">
      <c r="A18" s="1" t="s">
        <v>18</v>
      </c>
      <c r="B18" s="2" t="s">
        <v>157</v>
      </c>
      <c r="C18" s="47" t="s">
        <v>158</v>
      </c>
      <c r="D18" s="2" t="s">
        <v>159</v>
      </c>
      <c r="E18" s="2" t="s">
        <v>124</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13.4" hidden="false" customHeight="false" outlineLevel="0" collapsed="false">
      <c r="A19" s="1" t="s">
        <v>15</v>
      </c>
      <c r="B19" s="2" t="s">
        <v>160</v>
      </c>
      <c r="C19" s="47" t="s">
        <v>161</v>
      </c>
      <c r="D19" s="2" t="s">
        <v>162</v>
      </c>
      <c r="E19" s="2" t="s">
        <v>138</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13.4" hidden="false" customHeight="false" outlineLevel="0" collapsed="false">
      <c r="A20" s="1" t="s">
        <v>12</v>
      </c>
      <c r="B20" s="2" t="s">
        <v>163</v>
      </c>
      <c r="C20" s="47" t="s">
        <v>161</v>
      </c>
      <c r="D20" s="2" t="s">
        <v>164</v>
      </c>
      <c r="E20" s="2" t="s">
        <v>124</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H2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11.53515625" defaultRowHeight="12.8" customHeight="false" zeroHeight="false" outlineLevelRow="0" outlineLevelCol="0"/>
  <cols>
    <col collapsed="false" customWidth="true" hidden="false" outlineLevel="0" max="1" min="1" style="50" width="20.76"/>
    <col collapsed="false" customWidth="true" hidden="false" outlineLevel="0" max="2" min="2" style="41" width="6.92"/>
    <col collapsed="false" customWidth="true" hidden="false" outlineLevel="0" max="3" min="3" style="41" width="53.06"/>
  </cols>
  <sheetData>
    <row r="1" customFormat="false" ht="12.8" hidden="false" customHeight="false" outlineLevel="0" collapsed="false">
      <c r="A1" s="43" t="s">
        <v>165</v>
      </c>
      <c r="B1" s="44" t="s">
        <v>116</v>
      </c>
      <c r="C1" s="45" t="s">
        <v>2</v>
      </c>
      <c r="D1" s="3"/>
      <c r="E1" s="3"/>
      <c r="F1" s="3"/>
      <c r="G1" s="3"/>
      <c r="H1" s="3"/>
    </row>
    <row r="2" customFormat="false" ht="15" hidden="false" customHeight="false" outlineLevel="0" collapsed="false">
      <c r="A2" s="51" t="s">
        <v>166</v>
      </c>
      <c r="D2" s="3"/>
      <c r="E2" s="3"/>
      <c r="F2" s="3"/>
      <c r="G2" s="3"/>
      <c r="H2" s="3"/>
    </row>
    <row r="3" customFormat="false" ht="12.8" hidden="false" customHeight="false" outlineLevel="0" collapsed="false">
      <c r="A3" s="50" t="s">
        <v>167</v>
      </c>
      <c r="B3" s="41" t="s">
        <v>168</v>
      </c>
      <c r="C3" s="41" t="s">
        <v>169</v>
      </c>
      <c r="D3" s="3" t="s">
        <v>170</v>
      </c>
      <c r="E3" s="3" t="s">
        <v>171</v>
      </c>
      <c r="F3" s="3" t="s">
        <v>172</v>
      </c>
      <c r="G3" s="3"/>
      <c r="H3" s="3"/>
    </row>
    <row r="4" customFormat="false" ht="12.8" hidden="false" customHeight="false" outlineLevel="0" collapsed="false">
      <c r="A4" s="50" t="s">
        <v>173</v>
      </c>
      <c r="B4" s="41" t="s">
        <v>174</v>
      </c>
      <c r="C4" s="41" t="s">
        <v>175</v>
      </c>
      <c r="D4" s="3"/>
      <c r="E4" s="3"/>
      <c r="F4" s="3" t="s">
        <v>176</v>
      </c>
      <c r="G4" s="3" t="s">
        <v>176</v>
      </c>
      <c r="H4" s="3" t="s">
        <v>176</v>
      </c>
    </row>
    <row r="5" customFormat="false" ht="12.8" hidden="false" customHeight="false" outlineLevel="0" collapsed="false">
      <c r="A5" s="41" t="s">
        <v>177</v>
      </c>
      <c r="B5" s="41" t="s">
        <v>173</v>
      </c>
      <c r="C5" s="41" t="s">
        <v>178</v>
      </c>
      <c r="D5" s="41" t="s">
        <v>179</v>
      </c>
      <c r="E5" s="41" t="s">
        <v>180</v>
      </c>
      <c r="F5" s="41" t="s">
        <v>181</v>
      </c>
      <c r="G5" s="3"/>
      <c r="H5" s="3"/>
    </row>
    <row r="6" customFormat="false" ht="12.8" hidden="false" customHeight="false" outlineLevel="0" collapsed="false">
      <c r="A6" s="41" t="s">
        <v>182</v>
      </c>
      <c r="B6" s="41" t="s">
        <v>173</v>
      </c>
      <c r="C6" s="41" t="s">
        <v>183</v>
      </c>
      <c r="D6" s="41" t="s">
        <v>184</v>
      </c>
      <c r="E6" s="41" t="s">
        <v>185</v>
      </c>
      <c r="F6" s="41" t="s">
        <v>186</v>
      </c>
      <c r="G6" s="3"/>
      <c r="H6" s="3"/>
    </row>
    <row r="7" customFormat="false" ht="12.8" hidden="false" customHeight="false" outlineLevel="0" collapsed="false">
      <c r="A7" s="41" t="s">
        <v>187</v>
      </c>
      <c r="B7" s="41" t="s">
        <v>173</v>
      </c>
      <c r="C7" s="41" t="s">
        <v>188</v>
      </c>
      <c r="D7" s="41" t="s">
        <v>189</v>
      </c>
      <c r="E7" s="41" t="s">
        <v>190</v>
      </c>
      <c r="F7" s="41" t="s">
        <v>191</v>
      </c>
      <c r="G7" s="3"/>
      <c r="H7" s="3"/>
    </row>
    <row r="8" customFormat="false" ht="12.8" hidden="false" customHeight="false" outlineLevel="0" collapsed="false">
      <c r="A8" s="41" t="s">
        <v>192</v>
      </c>
      <c r="B8" s="41" t="s">
        <v>173</v>
      </c>
      <c r="C8" s="41" t="s">
        <v>193</v>
      </c>
      <c r="D8" s="41" t="s">
        <v>194</v>
      </c>
      <c r="E8" s="41" t="s">
        <v>195</v>
      </c>
      <c r="F8" s="41" t="s">
        <v>196</v>
      </c>
      <c r="G8" s="3"/>
      <c r="H8" s="3"/>
    </row>
    <row r="9" customFormat="false" ht="12.8" hidden="false" customHeight="false" outlineLevel="0" collapsed="false">
      <c r="A9" s="41" t="s">
        <v>197</v>
      </c>
      <c r="B9" s="41" t="s">
        <v>173</v>
      </c>
      <c r="C9" s="41" t="s">
        <v>198</v>
      </c>
      <c r="D9" s="41" t="s">
        <v>199</v>
      </c>
      <c r="E9" s="41" t="s">
        <v>200</v>
      </c>
      <c r="F9" s="41" t="s">
        <v>201</v>
      </c>
      <c r="G9" s="3"/>
      <c r="H9" s="3"/>
    </row>
    <row r="10" customFormat="false" ht="12.8" hidden="false" customHeight="false" outlineLevel="0" collapsed="false">
      <c r="A10" s="41" t="s">
        <v>202</v>
      </c>
      <c r="B10" s="41" t="s">
        <v>173</v>
      </c>
      <c r="C10" s="41" t="s">
        <v>203</v>
      </c>
      <c r="D10" s="41" t="s">
        <v>204</v>
      </c>
      <c r="E10" s="41" t="s">
        <v>205</v>
      </c>
      <c r="F10" s="41" t="s">
        <v>206</v>
      </c>
      <c r="G10" s="3"/>
      <c r="H10" s="3"/>
    </row>
    <row r="11" customFormat="false" ht="12.8" hidden="false" customHeight="false" outlineLevel="0" collapsed="false">
      <c r="A11" s="50" t="s">
        <v>207</v>
      </c>
      <c r="B11" s="41" t="s">
        <v>208</v>
      </c>
      <c r="C11" s="41" t="s">
        <v>209</v>
      </c>
      <c r="D11" s="3" t="s">
        <v>210</v>
      </c>
      <c r="E11" s="3" t="s">
        <v>211</v>
      </c>
      <c r="F11" s="3" t="s">
        <v>212</v>
      </c>
      <c r="G11" s="3"/>
      <c r="H11" s="3"/>
    </row>
    <row r="12" customFormat="false" ht="12.8" hidden="false" customHeight="false" outlineLevel="0" collapsed="false">
      <c r="A12" s="50" t="s">
        <v>213</v>
      </c>
      <c r="B12" s="41" t="s">
        <v>214</v>
      </c>
      <c r="C12" s="41" t="s">
        <v>215</v>
      </c>
      <c r="D12" s="3" t="s">
        <v>216</v>
      </c>
      <c r="E12" s="3" t="s">
        <v>217</v>
      </c>
      <c r="F12" s="3" t="s">
        <v>218</v>
      </c>
      <c r="G12" s="3"/>
      <c r="H12" s="3"/>
    </row>
    <row r="13" customFormat="false" ht="12.8" hidden="false" customHeight="false" outlineLevel="0" collapsed="false">
      <c r="A13" s="50" t="s">
        <v>213</v>
      </c>
      <c r="B13" s="41" t="s">
        <v>219</v>
      </c>
      <c r="C13" s="41" t="s">
        <v>220</v>
      </c>
      <c r="D13" s="3" t="s">
        <v>221</v>
      </c>
      <c r="E13" s="3" t="s">
        <v>222</v>
      </c>
      <c r="F13" s="3" t="s">
        <v>223</v>
      </c>
      <c r="G13" s="3"/>
      <c r="H13" s="3"/>
    </row>
    <row r="14" customFormat="false" ht="12.8" hidden="false" customHeight="false" outlineLevel="0" collapsed="false">
      <c r="A14" s="50" t="s">
        <v>213</v>
      </c>
      <c r="B14" s="41" t="s">
        <v>224</v>
      </c>
      <c r="C14" s="41" t="s">
        <v>225</v>
      </c>
      <c r="D14" s="3" t="s">
        <v>226</v>
      </c>
      <c r="E14" s="3" t="s">
        <v>227</v>
      </c>
      <c r="F14" s="3" t="s">
        <v>228</v>
      </c>
      <c r="G14" s="3"/>
      <c r="H14" s="3"/>
    </row>
    <row r="15" customFormat="false" ht="12.8" hidden="false" customHeight="false" outlineLevel="0" collapsed="false">
      <c r="A15" s="50" t="s">
        <v>213</v>
      </c>
      <c r="B15" s="41" t="s">
        <v>229</v>
      </c>
      <c r="C15" s="41" t="s">
        <v>230</v>
      </c>
      <c r="D15" s="3" t="s">
        <v>231</v>
      </c>
      <c r="E15" s="3" t="s">
        <v>232</v>
      </c>
      <c r="F15" s="3" t="s">
        <v>233</v>
      </c>
      <c r="G15" s="3"/>
      <c r="H15" s="3"/>
    </row>
    <row r="16" customFormat="false" ht="12.8" hidden="false" customHeight="false" outlineLevel="0" collapsed="false">
      <c r="A16" s="50" t="s">
        <v>234</v>
      </c>
      <c r="B16" s="41" t="n">
        <v>300</v>
      </c>
      <c r="C16" s="41" t="s">
        <v>235</v>
      </c>
      <c r="D16" s="3" t="s">
        <v>236</v>
      </c>
      <c r="E16" s="3" t="s">
        <v>237</v>
      </c>
      <c r="F16" s="3" t="s">
        <v>238</v>
      </c>
      <c r="G16" s="3"/>
      <c r="H16" s="3"/>
    </row>
    <row r="17" customFormat="false" ht="12.8" hidden="false" customHeight="false" outlineLevel="0" collapsed="false">
      <c r="A17" s="50" t="s">
        <v>234</v>
      </c>
      <c r="B17" s="41" t="n">
        <v>300</v>
      </c>
      <c r="C17" s="41" t="s">
        <v>239</v>
      </c>
      <c r="D17" s="3" t="s">
        <v>240</v>
      </c>
      <c r="E17" s="3" t="s">
        <v>241</v>
      </c>
      <c r="F17" s="3" t="n">
        <v>0</v>
      </c>
      <c r="G17" s="3"/>
      <c r="H17" s="3"/>
    </row>
    <row r="18" customFormat="false" ht="12.8" hidden="false" customHeight="false" outlineLevel="0" collapsed="false">
      <c r="A18" s="50" t="s">
        <v>234</v>
      </c>
      <c r="B18" s="41" t="n">
        <v>300.1</v>
      </c>
      <c r="C18" s="41" t="s">
        <v>242</v>
      </c>
      <c r="D18" s="3" t="s">
        <v>243</v>
      </c>
      <c r="E18" s="3" t="s">
        <v>244</v>
      </c>
      <c r="F18" s="3" t="s">
        <v>245</v>
      </c>
      <c r="G18" s="3"/>
      <c r="H18" s="3"/>
    </row>
    <row r="19" customFormat="false" ht="12.8" hidden="false" customHeight="false" outlineLevel="0" collapsed="false">
      <c r="A19" s="50" t="s">
        <v>234</v>
      </c>
      <c r="B19" s="41" t="n">
        <v>300.2</v>
      </c>
      <c r="C19" s="41" t="s">
        <v>246</v>
      </c>
      <c r="D19" s="3" t="s">
        <v>247</v>
      </c>
      <c r="E19" s="3" t="s">
        <v>248</v>
      </c>
      <c r="F19" s="3" t="s">
        <v>249</v>
      </c>
      <c r="G19" s="3"/>
      <c r="H19" s="3"/>
    </row>
    <row r="20" customFormat="false" ht="12.8" hidden="false" customHeight="false" outlineLevel="0" collapsed="false">
      <c r="A20" s="50" t="s">
        <v>234</v>
      </c>
      <c r="B20" s="41" t="n">
        <v>300.3</v>
      </c>
      <c r="C20" s="41" t="s">
        <v>250</v>
      </c>
      <c r="D20" s="3" t="s">
        <v>251</v>
      </c>
      <c r="E20" s="3" t="s">
        <v>252</v>
      </c>
      <c r="F20" s="3" t="s">
        <v>253</v>
      </c>
      <c r="G20" s="3"/>
      <c r="H20" s="3"/>
    </row>
    <row r="21" customFormat="false" ht="12.8" hidden="false" customHeight="false" outlineLevel="0" collapsed="false">
      <c r="A21" s="50" t="s">
        <v>234</v>
      </c>
      <c r="B21" s="41" t="n">
        <v>300.6</v>
      </c>
      <c r="C21" s="41" t="s">
        <v>254</v>
      </c>
      <c r="D21" s="3" t="s">
        <v>255</v>
      </c>
      <c r="E21" s="3" t="s">
        <v>256</v>
      </c>
      <c r="F21" s="3" t="n">
        <v>0</v>
      </c>
      <c r="G21" s="3"/>
      <c r="H21" s="3"/>
    </row>
    <row r="22" customFormat="false" ht="12.8" hidden="false" customHeight="false" outlineLevel="0" collapsed="false">
      <c r="A22" s="50" t="s">
        <v>234</v>
      </c>
      <c r="B22" s="41" t="n">
        <v>300.11</v>
      </c>
      <c r="C22" s="41" t="s">
        <v>257</v>
      </c>
      <c r="D22" s="3" t="s">
        <v>258</v>
      </c>
      <c r="E22" s="3" t="s">
        <v>259</v>
      </c>
      <c r="F22" s="3" t="n">
        <v>0</v>
      </c>
      <c r="G22" s="3"/>
      <c r="H22" s="3"/>
    </row>
    <row r="23" customFormat="false" ht="12.8" hidden="false" customHeight="false" outlineLevel="0" collapsed="false">
      <c r="A23" s="50" t="s">
        <v>234</v>
      </c>
      <c r="B23" s="41" t="n">
        <v>300.1</v>
      </c>
      <c r="C23" s="41" t="s">
        <v>260</v>
      </c>
      <c r="D23" s="3" t="s">
        <v>261</v>
      </c>
      <c r="E23" s="3" t="s">
        <v>262</v>
      </c>
      <c r="F23" s="3" t="s">
        <v>263</v>
      </c>
      <c r="G23" s="3"/>
      <c r="H23" s="3"/>
    </row>
    <row r="24" customFormat="false" ht="12.8" hidden="false" customHeight="false" outlineLevel="0" collapsed="false">
      <c r="A24" s="50" t="s">
        <v>234</v>
      </c>
      <c r="B24" s="41" t="n">
        <v>300.2</v>
      </c>
      <c r="C24" s="41" t="s">
        <v>264</v>
      </c>
      <c r="D24" s="3" t="s">
        <v>265</v>
      </c>
      <c r="E24" s="3" t="s">
        <v>266</v>
      </c>
      <c r="F24" s="3" t="s">
        <v>267</v>
      </c>
      <c r="G24" s="3"/>
      <c r="H24" s="3"/>
    </row>
    <row r="25" customFormat="false" ht="12.8" hidden="false" customHeight="false" outlineLevel="0" collapsed="false">
      <c r="A25" s="50" t="s">
        <v>234</v>
      </c>
      <c r="B25" s="41" t="n">
        <v>300.21</v>
      </c>
      <c r="C25" s="41" t="s">
        <v>268</v>
      </c>
      <c r="D25" s="3" t="s">
        <v>269</v>
      </c>
      <c r="E25" s="3" t="s">
        <v>270</v>
      </c>
      <c r="F25" s="3" t="s">
        <v>271</v>
      </c>
      <c r="G25" s="3"/>
      <c r="H25" s="3"/>
    </row>
    <row r="26" customFormat="false" ht="12.8" hidden="false" customHeight="false" outlineLevel="0" collapsed="false">
      <c r="A26" s="50" t="s">
        <v>272</v>
      </c>
      <c r="B26" s="41" t="n">
        <v>500</v>
      </c>
      <c r="C26" s="41" t="s">
        <v>273</v>
      </c>
      <c r="D26" s="3" t="s">
        <v>274</v>
      </c>
      <c r="E26" s="3" t="s">
        <v>275</v>
      </c>
      <c r="F26" s="3" t="s">
        <v>276</v>
      </c>
      <c r="G26" s="3"/>
      <c r="H26" s="3"/>
    </row>
    <row r="27" customFormat="false" ht="12.8" hidden="false" customHeight="false" outlineLevel="0" collapsed="false">
      <c r="A27" s="50" t="s">
        <v>272</v>
      </c>
      <c r="B27" s="41" t="n">
        <v>500.1</v>
      </c>
      <c r="C27" s="41" t="s">
        <v>277</v>
      </c>
      <c r="D27" s="3" t="s">
        <v>278</v>
      </c>
      <c r="E27" s="3" t="s">
        <v>279</v>
      </c>
      <c r="F27" s="3" t="s">
        <v>280</v>
      </c>
      <c r="G27" s="3"/>
      <c r="H27" s="3"/>
    </row>
    <row r="28" customFormat="false" ht="12.8" hidden="false" customHeight="false" outlineLevel="0" collapsed="false">
      <c r="A28" s="50" t="s">
        <v>272</v>
      </c>
      <c r="B28" s="41" t="n">
        <v>500.2</v>
      </c>
      <c r="C28" s="41" t="s">
        <v>281</v>
      </c>
      <c r="D28" s="3" t="s">
        <v>282</v>
      </c>
      <c r="E28" s="3" t="s">
        <v>283</v>
      </c>
      <c r="F28" s="3" t="s">
        <v>284</v>
      </c>
      <c r="G28" s="3"/>
      <c r="H28" s="3"/>
    </row>
    <row r="29" customFormat="false" ht="12.8" hidden="false" customHeight="false" outlineLevel="0" collapsed="false">
      <c r="A29" s="50" t="s">
        <v>272</v>
      </c>
      <c r="B29" s="41" t="n">
        <v>500.3</v>
      </c>
      <c r="C29" s="41" t="s">
        <v>285</v>
      </c>
      <c r="D29" s="3" t="s">
        <v>286</v>
      </c>
      <c r="E29" s="3" t="s">
        <v>287</v>
      </c>
      <c r="F29" s="3" t="s">
        <v>288</v>
      </c>
      <c r="G29" s="3"/>
      <c r="H29" s="3"/>
    </row>
    <row r="30" customFormat="false" ht="12.8" hidden="false" customHeight="false" outlineLevel="0" collapsed="false">
      <c r="A30" s="50" t="s">
        <v>289</v>
      </c>
      <c r="B30" s="41" t="s">
        <v>290</v>
      </c>
      <c r="C30" s="41" t="s">
        <v>291</v>
      </c>
      <c r="D30" s="3" t="s">
        <v>292</v>
      </c>
      <c r="E30" s="3" t="s">
        <v>293</v>
      </c>
      <c r="F30" s="3" t="s">
        <v>294</v>
      </c>
      <c r="G30" s="3"/>
      <c r="H30" s="3"/>
    </row>
    <row r="31" customFormat="false" ht="12.8" hidden="false" customHeight="false" outlineLevel="0" collapsed="false">
      <c r="A31" s="50" t="s">
        <v>295</v>
      </c>
      <c r="B31" s="41" t="s">
        <v>296</v>
      </c>
      <c r="C31" s="41" t="s">
        <v>297</v>
      </c>
      <c r="D31" s="3" t="s">
        <v>298</v>
      </c>
      <c r="E31" s="3" t="s">
        <v>299</v>
      </c>
      <c r="F31" s="3" t="s">
        <v>300</v>
      </c>
      <c r="G31" s="3"/>
      <c r="H31" s="3"/>
    </row>
    <row r="32" customFormat="false" ht="12.8" hidden="false" customHeight="false" outlineLevel="0" collapsed="false">
      <c r="A32" s="50" t="s">
        <v>301</v>
      </c>
      <c r="B32" s="41" t="s">
        <v>302</v>
      </c>
      <c r="C32" s="41" t="s">
        <v>303</v>
      </c>
      <c r="D32" s="3" t="s">
        <v>304</v>
      </c>
      <c r="E32" s="3" t="s">
        <v>305</v>
      </c>
      <c r="F32" s="3" t="s">
        <v>306</v>
      </c>
      <c r="G32" s="3"/>
      <c r="H32" s="3"/>
    </row>
    <row r="34" customFormat="false" ht="15" hidden="false" customHeight="false" outlineLevel="0" collapsed="false">
      <c r="A34" s="51" t="s">
        <v>307</v>
      </c>
    </row>
    <row r="35" customFormat="false" ht="12.8" hidden="false" customHeight="false" outlineLevel="0" collapsed="false">
      <c r="A35" s="50" t="s">
        <v>167</v>
      </c>
      <c r="B35" s="41" t="s">
        <v>168</v>
      </c>
      <c r="C35" s="41" t="s">
        <v>169</v>
      </c>
      <c r="D35" s="3" t="s">
        <v>170</v>
      </c>
      <c r="E35" s="3" t="s">
        <v>171</v>
      </c>
      <c r="F35" s="3" t="s">
        <v>172</v>
      </c>
    </row>
    <row r="36" customFormat="false" ht="12.8" hidden="false" customHeight="false" outlineLevel="0" collapsed="false">
      <c r="A36" s="50" t="s">
        <v>308</v>
      </c>
      <c r="B36" s="41" t="s">
        <v>309</v>
      </c>
      <c r="C36" s="41" t="s">
        <v>310</v>
      </c>
      <c r="D36" s="3" t="s">
        <v>311</v>
      </c>
      <c r="E36" s="3" t="s">
        <v>312</v>
      </c>
      <c r="F36" s="3" t="s">
        <v>313</v>
      </c>
    </row>
    <row r="37" customFormat="false" ht="12.8" hidden="false" customHeight="false" outlineLevel="0" collapsed="false">
      <c r="A37" s="50" t="s">
        <v>308</v>
      </c>
      <c r="B37" s="41" t="s">
        <v>314</v>
      </c>
      <c r="C37" s="41" t="s">
        <v>315</v>
      </c>
      <c r="D37" s="3" t="s">
        <v>316</v>
      </c>
      <c r="E37" s="3" t="s">
        <v>317</v>
      </c>
      <c r="F37" s="3" t="s">
        <v>318</v>
      </c>
    </row>
    <row r="38" customFormat="false" ht="12.8" hidden="false" customHeight="false" outlineLevel="0" collapsed="false">
      <c r="A38" s="50" t="s">
        <v>308</v>
      </c>
      <c r="B38" s="41" t="s">
        <v>319</v>
      </c>
      <c r="C38" s="41" t="s">
        <v>320</v>
      </c>
      <c r="D38" s="3" t="s">
        <v>321</v>
      </c>
      <c r="E38" s="3" t="s">
        <v>322</v>
      </c>
      <c r="F38" s="3" t="s">
        <v>323</v>
      </c>
    </row>
    <row r="39" customFormat="false" ht="12.8" hidden="false" customHeight="false" outlineLevel="0" collapsed="false">
      <c r="A39" s="50" t="s">
        <v>308</v>
      </c>
      <c r="B39" s="41" t="s">
        <v>324</v>
      </c>
      <c r="C39" s="41" t="s">
        <v>325</v>
      </c>
      <c r="D39" s="3" t="s">
        <v>326</v>
      </c>
      <c r="E39" s="3" t="s">
        <v>327</v>
      </c>
      <c r="F39" s="3" t="s">
        <v>328</v>
      </c>
    </row>
    <row r="40" customFormat="false" ht="12.8" hidden="false" customHeight="false" outlineLevel="0" collapsed="false">
      <c r="A40" s="50" t="s">
        <v>308</v>
      </c>
      <c r="B40" s="41" t="s">
        <v>329</v>
      </c>
      <c r="C40" s="41" t="s">
        <v>330</v>
      </c>
      <c r="D40" s="3" t="s">
        <v>331</v>
      </c>
      <c r="E40" s="3" t="s">
        <v>332</v>
      </c>
      <c r="F40" s="3" t="s">
        <v>333</v>
      </c>
    </row>
    <row r="42" customFormat="false" ht="15" hidden="false" customHeight="false" outlineLevel="0" collapsed="false">
      <c r="A42" s="51" t="s">
        <v>334</v>
      </c>
    </row>
    <row r="43" customFormat="false" ht="12.8" hidden="false" customHeight="false" outlineLevel="0" collapsed="false">
      <c r="A43" s="50" t="s">
        <v>167</v>
      </c>
      <c r="B43" s="41" t="s">
        <v>168</v>
      </c>
      <c r="C43" s="41" t="s">
        <v>169</v>
      </c>
      <c r="D43" s="3" t="s">
        <v>170</v>
      </c>
      <c r="E43" s="3" t="s">
        <v>171</v>
      </c>
      <c r="F43" s="3" t="s">
        <v>172</v>
      </c>
    </row>
    <row r="44" customFormat="false" ht="12.8" hidden="false" customHeight="false" outlineLevel="0" collapsed="false">
      <c r="A44" s="50" t="s">
        <v>335</v>
      </c>
      <c r="B44" s="41" t="s">
        <v>336</v>
      </c>
      <c r="C44" s="41" t="s">
        <v>337</v>
      </c>
      <c r="D44" s="3" t="s">
        <v>338</v>
      </c>
      <c r="E44" s="3" t="s">
        <v>339</v>
      </c>
      <c r="F44" s="3" t="s">
        <v>340</v>
      </c>
    </row>
    <row r="45" customFormat="false" ht="12.8" hidden="false" customHeight="false" outlineLevel="0" collapsed="false">
      <c r="A45" s="50" t="s">
        <v>335</v>
      </c>
      <c r="B45" s="41" t="s">
        <v>341</v>
      </c>
      <c r="C45" s="41" t="s">
        <v>342</v>
      </c>
      <c r="D45" s="3" t="s">
        <v>343</v>
      </c>
      <c r="E45" s="3" t="s">
        <v>317</v>
      </c>
      <c r="F45" s="3" t="s">
        <v>344</v>
      </c>
    </row>
    <row r="46" customFormat="false" ht="12.8" hidden="false" customHeight="false" outlineLevel="0" collapsed="false">
      <c r="A46" s="50" t="s">
        <v>335</v>
      </c>
      <c r="B46" s="41" t="s">
        <v>345</v>
      </c>
      <c r="C46" s="41" t="s">
        <v>346</v>
      </c>
      <c r="D46" s="3" t="s">
        <v>347</v>
      </c>
      <c r="E46" s="3" t="s">
        <v>348</v>
      </c>
      <c r="F46" s="3" t="s">
        <v>349</v>
      </c>
    </row>
    <row r="47" customFormat="false" ht="12.8" hidden="false" customHeight="false" outlineLevel="0" collapsed="false">
      <c r="A47" s="50" t="s">
        <v>335</v>
      </c>
      <c r="B47" s="41" t="s">
        <v>350</v>
      </c>
      <c r="C47" s="41" t="s">
        <v>351</v>
      </c>
      <c r="D47" s="3" t="s">
        <v>352</v>
      </c>
      <c r="E47" s="3" t="s">
        <v>327</v>
      </c>
      <c r="F47" s="3" t="s">
        <v>328</v>
      </c>
    </row>
    <row r="48" customFormat="false" ht="12.8" hidden="false" customHeight="false" outlineLevel="0" collapsed="false">
      <c r="A48" s="50" t="s">
        <v>335</v>
      </c>
      <c r="B48" s="41" t="s">
        <v>353</v>
      </c>
      <c r="C48" s="41" t="s">
        <v>354</v>
      </c>
      <c r="D48" s="3" t="s">
        <v>355</v>
      </c>
      <c r="E48" s="3" t="s">
        <v>356</v>
      </c>
      <c r="F48" s="3" t="s">
        <v>357</v>
      </c>
    </row>
    <row r="50" customFormat="false" ht="15" hidden="false" customHeight="false" outlineLevel="0" collapsed="false">
      <c r="A50" s="51" t="s">
        <v>358</v>
      </c>
    </row>
    <row r="51" customFormat="false" ht="12.8" hidden="false" customHeight="false" outlineLevel="0" collapsed="false">
      <c r="A51" s="50" t="s">
        <v>167</v>
      </c>
      <c r="B51" s="41" t="s">
        <v>168</v>
      </c>
      <c r="C51" s="41" t="s">
        <v>169</v>
      </c>
      <c r="D51" s="3" t="s">
        <v>170</v>
      </c>
      <c r="E51" s="3" t="s">
        <v>171</v>
      </c>
      <c r="F51" s="3" t="s">
        <v>172</v>
      </c>
    </row>
    <row r="52" customFormat="false" ht="12.8" hidden="false" customHeight="false" outlineLevel="0" collapsed="false">
      <c r="A52" s="50" t="s">
        <v>359</v>
      </c>
      <c r="B52" s="41" t="s">
        <v>360</v>
      </c>
      <c r="C52" s="41" t="s">
        <v>361</v>
      </c>
      <c r="D52" s="3" t="s">
        <v>362</v>
      </c>
      <c r="E52" s="3" t="s">
        <v>363</v>
      </c>
      <c r="F52" s="3" t="s">
        <v>364</v>
      </c>
    </row>
    <row r="53" customFormat="false" ht="12.8" hidden="false" customHeight="false" outlineLevel="0" collapsed="false">
      <c r="A53" s="50" t="s">
        <v>359</v>
      </c>
      <c r="B53" s="41" t="s">
        <v>365</v>
      </c>
      <c r="C53" s="41" t="s">
        <v>366</v>
      </c>
      <c r="D53" s="3" t="s">
        <v>367</v>
      </c>
      <c r="E53" s="3" t="s">
        <v>317</v>
      </c>
      <c r="F53" s="3" t="s">
        <v>368</v>
      </c>
    </row>
    <row r="54" customFormat="false" ht="12.8" hidden="false" customHeight="false" outlineLevel="0" collapsed="false">
      <c r="A54" s="50" t="s">
        <v>359</v>
      </c>
      <c r="B54" s="41" t="s">
        <v>369</v>
      </c>
      <c r="C54" s="41" t="s">
        <v>370</v>
      </c>
      <c r="D54" s="3" t="s">
        <v>371</v>
      </c>
      <c r="E54" s="3" t="s">
        <v>348</v>
      </c>
      <c r="F54" s="3" t="s">
        <v>372</v>
      </c>
    </row>
    <row r="55" customFormat="false" ht="12.8" hidden="false" customHeight="false" outlineLevel="0" collapsed="false">
      <c r="A55" s="50" t="s">
        <v>359</v>
      </c>
      <c r="B55" s="41" t="s">
        <v>373</v>
      </c>
      <c r="C55" s="41" t="s">
        <v>374</v>
      </c>
      <c r="D55" s="3" t="s">
        <v>375</v>
      </c>
      <c r="E55" s="3" t="s">
        <v>327</v>
      </c>
      <c r="F55" s="3" t="s">
        <v>328</v>
      </c>
    </row>
    <row r="56" customFormat="false" ht="12.8" hidden="false" customHeight="false" outlineLevel="0" collapsed="false">
      <c r="A56" s="50" t="s">
        <v>359</v>
      </c>
      <c r="B56" s="41" t="s">
        <v>376</v>
      </c>
      <c r="C56" s="41" t="s">
        <v>377</v>
      </c>
      <c r="D56" s="3" t="s">
        <v>378</v>
      </c>
      <c r="E56" s="3" t="s">
        <v>379</v>
      </c>
      <c r="F56" s="3" t="s">
        <v>380</v>
      </c>
    </row>
    <row r="58" customFormat="false" ht="12.8" hidden="false" customHeight="false" outlineLevel="0" collapsed="false">
      <c r="A58" s="52" t="s">
        <v>381</v>
      </c>
    </row>
    <row r="59" customFormat="false" ht="12.8" hidden="false" customHeight="false" outlineLevel="0" collapsed="false">
      <c r="A59" s="50" t="s">
        <v>167</v>
      </c>
      <c r="B59" s="41" t="s">
        <v>168</v>
      </c>
      <c r="C59" s="41" t="s">
        <v>169</v>
      </c>
      <c r="D59" s="3" t="s">
        <v>170</v>
      </c>
      <c r="E59" s="3" t="s">
        <v>171</v>
      </c>
      <c r="F59" s="3" t="s">
        <v>172</v>
      </c>
    </row>
    <row r="60" customFormat="false" ht="12.8" hidden="false" customHeight="false" outlineLevel="0" collapsed="false">
      <c r="A60" s="50" t="s">
        <v>382</v>
      </c>
      <c r="B60" s="41" t="s">
        <v>383</v>
      </c>
      <c r="C60" s="41" t="s">
        <v>384</v>
      </c>
      <c r="D60" s="3" t="s">
        <v>385</v>
      </c>
      <c r="E60" s="3" t="s">
        <v>386</v>
      </c>
      <c r="F60" s="3" t="s">
        <v>387</v>
      </c>
    </row>
    <row r="61" customFormat="false" ht="12.8" hidden="false" customHeight="false" outlineLevel="0" collapsed="false">
      <c r="A61" s="50" t="s">
        <v>382</v>
      </c>
      <c r="B61" s="41" t="s">
        <v>388</v>
      </c>
      <c r="C61" s="41" t="s">
        <v>389</v>
      </c>
      <c r="D61" s="3" t="s">
        <v>390</v>
      </c>
      <c r="E61" s="3" t="s">
        <v>391</v>
      </c>
      <c r="F61" s="3" t="s">
        <v>392</v>
      </c>
    </row>
    <row r="62" customFormat="false" ht="12.8" hidden="false" customHeight="false" outlineLevel="0" collapsed="false">
      <c r="A62" s="50" t="s">
        <v>382</v>
      </c>
      <c r="B62" s="41" t="s">
        <v>393</v>
      </c>
      <c r="C62" s="41" t="s">
        <v>394</v>
      </c>
      <c r="D62" s="3" t="s">
        <v>395</v>
      </c>
      <c r="E62" s="3" t="s">
        <v>396</v>
      </c>
      <c r="F62" s="3" t="s">
        <v>397</v>
      </c>
    </row>
    <row r="63" customFormat="false" ht="12.8" hidden="false" customHeight="false" outlineLevel="0" collapsed="false">
      <c r="A63" s="50" t="s">
        <v>382</v>
      </c>
      <c r="B63" s="41" t="s">
        <v>398</v>
      </c>
      <c r="C63" s="41" t="s">
        <v>399</v>
      </c>
      <c r="D63" s="3" t="s">
        <v>400</v>
      </c>
      <c r="E63" s="3" t="s">
        <v>327</v>
      </c>
      <c r="F63" s="3" t="s">
        <v>401</v>
      </c>
    </row>
    <row r="64" customFormat="false" ht="12.8" hidden="false" customHeight="false" outlineLevel="0" collapsed="false">
      <c r="A64" s="50" t="s">
        <v>382</v>
      </c>
      <c r="B64" s="41" t="s">
        <v>402</v>
      </c>
      <c r="C64" s="41" t="s">
        <v>403</v>
      </c>
      <c r="D64" s="3" t="s">
        <v>404</v>
      </c>
      <c r="E64" s="3" t="s">
        <v>405</v>
      </c>
      <c r="F64" s="3" t="s">
        <v>406</v>
      </c>
    </row>
    <row r="66" customFormat="false" ht="12.8" hidden="false" customHeight="false" outlineLevel="0" collapsed="false">
      <c r="A66" s="53" t="s">
        <v>407</v>
      </c>
    </row>
    <row r="67" customFormat="false" ht="12.8" hidden="false" customHeight="false" outlineLevel="0" collapsed="false">
      <c r="A67" s="50" t="s">
        <v>167</v>
      </c>
      <c r="B67" s="41" t="s">
        <v>168</v>
      </c>
      <c r="C67" s="41" t="s">
        <v>169</v>
      </c>
      <c r="D67" s="3" t="s">
        <v>170</v>
      </c>
      <c r="E67" s="3" t="s">
        <v>171</v>
      </c>
      <c r="F67" s="3" t="s">
        <v>172</v>
      </c>
    </row>
    <row r="68" customFormat="false" ht="12.8" hidden="false" customHeight="false" outlineLevel="0" collapsed="false">
      <c r="A68" s="50" t="s">
        <v>408</v>
      </c>
      <c r="B68" s="41" t="s">
        <v>409</v>
      </c>
      <c r="C68" s="41" t="s">
        <v>410</v>
      </c>
      <c r="D68" s="3" t="s">
        <v>411</v>
      </c>
      <c r="E68" s="3" t="s">
        <v>412</v>
      </c>
      <c r="F68" s="3" t="s">
        <v>413</v>
      </c>
    </row>
    <row r="69" customFormat="false" ht="12.8" hidden="false" customHeight="false" outlineLevel="0" collapsed="false">
      <c r="A69" s="50" t="s">
        <v>408</v>
      </c>
      <c r="B69" s="41" t="s">
        <v>414</v>
      </c>
      <c r="C69" s="41" t="s">
        <v>415</v>
      </c>
      <c r="D69" s="3" t="s">
        <v>416</v>
      </c>
      <c r="E69" s="3" t="s">
        <v>391</v>
      </c>
      <c r="F69" s="3" t="s">
        <v>417</v>
      </c>
    </row>
    <row r="70" customFormat="false" ht="12.8" hidden="false" customHeight="false" outlineLevel="0" collapsed="false">
      <c r="A70" s="50" t="s">
        <v>408</v>
      </c>
      <c r="B70" s="41" t="s">
        <v>418</v>
      </c>
      <c r="C70" s="41" t="s">
        <v>419</v>
      </c>
      <c r="D70" s="3" t="s">
        <v>420</v>
      </c>
      <c r="E70" s="3" t="s">
        <v>396</v>
      </c>
      <c r="F70" s="3" t="s">
        <v>421</v>
      </c>
    </row>
    <row r="71" customFormat="false" ht="12.8" hidden="false" customHeight="false" outlineLevel="0" collapsed="false">
      <c r="A71" s="50" t="s">
        <v>408</v>
      </c>
      <c r="B71" s="41" t="s">
        <v>422</v>
      </c>
      <c r="C71" s="41" t="s">
        <v>423</v>
      </c>
      <c r="D71" s="3" t="s">
        <v>424</v>
      </c>
      <c r="E71" s="3" t="s">
        <v>327</v>
      </c>
      <c r="F71" s="3" t="s">
        <v>401</v>
      </c>
    </row>
    <row r="72" customFormat="false" ht="12.8" hidden="false" customHeight="false" outlineLevel="0" collapsed="false">
      <c r="A72" s="50" t="s">
        <v>408</v>
      </c>
      <c r="B72" s="41" t="s">
        <v>425</v>
      </c>
      <c r="C72" s="41" t="s">
        <v>426</v>
      </c>
      <c r="D72" s="3" t="s">
        <v>427</v>
      </c>
      <c r="E72" s="3" t="s">
        <v>428</v>
      </c>
      <c r="F72" s="3" t="s">
        <v>429</v>
      </c>
    </row>
    <row r="74" customFormat="false" ht="12.8" hidden="false" customHeight="false" outlineLevel="0" collapsed="false">
      <c r="A74" s="53" t="s">
        <v>430</v>
      </c>
    </row>
    <row r="75" customFormat="false" ht="12.8" hidden="false" customHeight="false" outlineLevel="0" collapsed="false">
      <c r="A75" s="50" t="s">
        <v>167</v>
      </c>
      <c r="B75" s="41" t="s">
        <v>168</v>
      </c>
      <c r="C75" s="41" t="s">
        <v>169</v>
      </c>
      <c r="D75" s="3" t="s">
        <v>170</v>
      </c>
      <c r="E75" s="3" t="s">
        <v>171</v>
      </c>
      <c r="F75" s="3" t="s">
        <v>172</v>
      </c>
    </row>
    <row r="76" customFormat="false" ht="12.8" hidden="false" customHeight="false" outlineLevel="0" collapsed="false">
      <c r="A76" s="50" t="s">
        <v>431</v>
      </c>
      <c r="B76" s="41" t="s">
        <v>432</v>
      </c>
      <c r="C76" s="41" t="s">
        <v>433</v>
      </c>
      <c r="D76" s="3" t="s">
        <v>434</v>
      </c>
      <c r="E76" s="3" t="s">
        <v>435</v>
      </c>
      <c r="F76" s="3" t="s">
        <v>436</v>
      </c>
    </row>
    <row r="77" customFormat="false" ht="12.8" hidden="false" customHeight="false" outlineLevel="0" collapsed="false">
      <c r="A77" s="50" t="s">
        <v>431</v>
      </c>
      <c r="B77" s="41" t="s">
        <v>437</v>
      </c>
      <c r="C77" s="41" t="s">
        <v>438</v>
      </c>
      <c r="D77" s="3" t="s">
        <v>439</v>
      </c>
      <c r="E77" s="3" t="s">
        <v>391</v>
      </c>
      <c r="F77" s="3" t="s">
        <v>440</v>
      </c>
    </row>
    <row r="78" customFormat="false" ht="12.8" hidden="false" customHeight="false" outlineLevel="0" collapsed="false">
      <c r="A78" s="50" t="s">
        <v>431</v>
      </c>
      <c r="B78" s="41" t="s">
        <v>441</v>
      </c>
      <c r="C78" s="41" t="s">
        <v>442</v>
      </c>
      <c r="D78" s="3" t="s">
        <v>443</v>
      </c>
      <c r="E78" s="3" t="s">
        <v>396</v>
      </c>
      <c r="F78" s="3" t="s">
        <v>444</v>
      </c>
    </row>
    <row r="79" customFormat="false" ht="12.8" hidden="false" customHeight="false" outlineLevel="0" collapsed="false">
      <c r="A79" s="50" t="s">
        <v>431</v>
      </c>
      <c r="B79" s="41" t="s">
        <v>445</v>
      </c>
      <c r="C79" s="41" t="s">
        <v>446</v>
      </c>
      <c r="D79" s="3" t="s">
        <v>447</v>
      </c>
      <c r="E79" s="3" t="s">
        <v>327</v>
      </c>
      <c r="F79" s="3" t="s">
        <v>448</v>
      </c>
    </row>
    <row r="80" customFormat="false" ht="12.8" hidden="false" customHeight="false" outlineLevel="0" collapsed="false">
      <c r="A80" s="50" t="s">
        <v>431</v>
      </c>
      <c r="B80" s="41" t="s">
        <v>449</v>
      </c>
      <c r="C80" s="41" t="s">
        <v>450</v>
      </c>
      <c r="D80" s="3" t="s">
        <v>451</v>
      </c>
      <c r="E80" s="3" t="s">
        <v>452</v>
      </c>
      <c r="F80" s="3" t="s">
        <v>453</v>
      </c>
    </row>
    <row r="82" customFormat="false" ht="12.8" hidden="false" customHeight="false" outlineLevel="0" collapsed="false">
      <c r="A82" s="54" t="s">
        <v>454</v>
      </c>
      <c r="G82" s="41"/>
      <c r="H82" s="41"/>
    </row>
    <row r="83" customFormat="false" ht="12.8" hidden="false" customHeight="false" outlineLevel="0" collapsed="false">
      <c r="A83" s="55" t="s">
        <v>167</v>
      </c>
      <c r="B83" s="41" t="s">
        <v>168</v>
      </c>
      <c r="C83" s="41" t="s">
        <v>169</v>
      </c>
      <c r="D83" s="3" t="s">
        <v>170</v>
      </c>
      <c r="E83" s="3" t="s">
        <v>171</v>
      </c>
      <c r="F83" s="3" t="s">
        <v>172</v>
      </c>
      <c r="G83" s="41"/>
      <c r="H83" s="41"/>
    </row>
    <row r="84" customFormat="false" ht="12.8" hidden="false" customHeight="false" outlineLevel="0" collapsed="false">
      <c r="A84" s="55" t="s">
        <v>455</v>
      </c>
      <c r="B84" s="41" t="s">
        <v>456</v>
      </c>
      <c r="C84" s="41" t="s">
        <v>457</v>
      </c>
      <c r="D84" s="3" t="s">
        <v>458</v>
      </c>
      <c r="E84" s="3" t="s">
        <v>459</v>
      </c>
      <c r="F84" s="3" t="s">
        <v>460</v>
      </c>
      <c r="G84" s="41"/>
      <c r="H84" s="41"/>
    </row>
    <row r="85" customFormat="false" ht="12.8" hidden="false" customHeight="false" outlineLevel="0" collapsed="false">
      <c r="A85" s="55" t="s">
        <v>455</v>
      </c>
      <c r="B85" s="41" t="s">
        <v>461</v>
      </c>
      <c r="C85" s="41" t="s">
        <v>462</v>
      </c>
      <c r="D85" s="3" t="s">
        <v>463</v>
      </c>
      <c r="E85" s="3" t="s">
        <v>317</v>
      </c>
      <c r="F85" s="3" t="s">
        <v>464</v>
      </c>
      <c r="G85" s="41"/>
      <c r="H85" s="41"/>
    </row>
    <row r="86" customFormat="false" ht="12.8" hidden="false" customHeight="false" outlineLevel="0" collapsed="false">
      <c r="A86" s="55" t="s">
        <v>455</v>
      </c>
      <c r="B86" s="41" t="s">
        <v>465</v>
      </c>
      <c r="C86" s="41" t="s">
        <v>466</v>
      </c>
      <c r="D86" s="3" t="s">
        <v>467</v>
      </c>
      <c r="E86" s="3" t="s">
        <v>348</v>
      </c>
      <c r="F86" s="3" t="s">
        <v>468</v>
      </c>
      <c r="G86" s="41"/>
      <c r="H86" s="41"/>
    </row>
    <row r="87" customFormat="false" ht="12.8" hidden="false" customHeight="false" outlineLevel="0" collapsed="false">
      <c r="A87" s="55" t="s">
        <v>455</v>
      </c>
      <c r="B87" s="41" t="s">
        <v>469</v>
      </c>
      <c r="C87" s="41" t="s">
        <v>470</v>
      </c>
      <c r="D87" s="3" t="s">
        <v>471</v>
      </c>
      <c r="E87" s="3" t="s">
        <v>327</v>
      </c>
      <c r="F87" s="3" t="s">
        <v>448</v>
      </c>
      <c r="G87" s="41"/>
      <c r="H87" s="41"/>
    </row>
    <row r="88" customFormat="false" ht="12.8" hidden="false" customHeight="false" outlineLevel="0" collapsed="false">
      <c r="A88" s="55" t="s">
        <v>455</v>
      </c>
      <c r="B88" s="41" t="s">
        <v>472</v>
      </c>
      <c r="C88" s="41" t="s">
        <v>473</v>
      </c>
      <c r="D88" s="3" t="s">
        <v>474</v>
      </c>
      <c r="E88" s="3" t="s">
        <v>428</v>
      </c>
      <c r="F88" s="3" t="s">
        <v>475</v>
      </c>
      <c r="G88" s="41"/>
      <c r="H88" s="41"/>
    </row>
    <row r="90" customFormat="false" ht="12.8" hidden="false" customHeight="false" outlineLevel="0" collapsed="false">
      <c r="A90" s="52" t="s">
        <v>476</v>
      </c>
    </row>
    <row r="91" customFormat="false" ht="12.8" hidden="false" customHeight="false" outlineLevel="0" collapsed="false">
      <c r="A91" s="50" t="s">
        <v>167</v>
      </c>
      <c r="B91" s="41" t="s">
        <v>168</v>
      </c>
      <c r="C91" s="41" t="s">
        <v>169</v>
      </c>
      <c r="D91" s="3" t="s">
        <v>170</v>
      </c>
      <c r="E91" s="3" t="s">
        <v>171</v>
      </c>
      <c r="F91" s="3" t="s">
        <v>172</v>
      </c>
    </row>
    <row r="92" customFormat="false" ht="12.8" hidden="false" customHeight="false" outlineLevel="0" collapsed="false">
      <c r="A92" s="50" t="s">
        <v>477</v>
      </c>
      <c r="B92" s="41" t="s">
        <v>478</v>
      </c>
      <c r="C92" s="41" t="s">
        <v>479</v>
      </c>
      <c r="D92" s="3" t="s">
        <v>480</v>
      </c>
      <c r="E92" s="3" t="s">
        <v>481</v>
      </c>
      <c r="F92" s="3" t="s">
        <v>482</v>
      </c>
    </row>
    <row r="93" customFormat="false" ht="12.8" hidden="false" customHeight="false" outlineLevel="0" collapsed="false">
      <c r="A93" s="50" t="s">
        <v>477</v>
      </c>
      <c r="B93" s="41" t="s">
        <v>483</v>
      </c>
      <c r="C93" s="41" t="s">
        <v>484</v>
      </c>
      <c r="D93" s="3" t="s">
        <v>485</v>
      </c>
      <c r="E93" s="3" t="s">
        <v>486</v>
      </c>
      <c r="F93" s="3" t="s">
        <v>487</v>
      </c>
    </row>
    <row r="94" customFormat="false" ht="12.8" hidden="false" customHeight="false" outlineLevel="0" collapsed="false">
      <c r="A94" s="50" t="s">
        <v>477</v>
      </c>
      <c r="B94" s="41" t="s">
        <v>488</v>
      </c>
      <c r="C94" s="41" t="s">
        <v>489</v>
      </c>
      <c r="D94" s="3" t="s">
        <v>490</v>
      </c>
      <c r="E94" s="3" t="s">
        <v>491</v>
      </c>
      <c r="F94" s="3" t="s">
        <v>492</v>
      </c>
    </row>
    <row r="95" customFormat="false" ht="12.8" hidden="false" customHeight="false" outlineLevel="0" collapsed="false">
      <c r="A95" s="50" t="s">
        <v>477</v>
      </c>
      <c r="B95" s="41" t="s">
        <v>493</v>
      </c>
      <c r="C95" s="41" t="s">
        <v>494</v>
      </c>
      <c r="D95" s="3" t="s">
        <v>495</v>
      </c>
      <c r="E95" s="3" t="s">
        <v>327</v>
      </c>
      <c r="F95" s="3" t="s">
        <v>496</v>
      </c>
    </row>
    <row r="96" customFormat="false" ht="12.8" hidden="false" customHeight="false" outlineLevel="0" collapsed="false">
      <c r="A96" s="50" t="s">
        <v>477</v>
      </c>
      <c r="B96" s="41" t="s">
        <v>497</v>
      </c>
      <c r="C96" s="41" t="s">
        <v>498</v>
      </c>
      <c r="D96" s="3" t="s">
        <v>499</v>
      </c>
      <c r="E96" s="3" t="s">
        <v>500</v>
      </c>
      <c r="F96" s="3" t="s">
        <v>501</v>
      </c>
    </row>
    <row r="98" customFormat="false" ht="12.8" hidden="false" customHeight="false" outlineLevel="0" collapsed="false">
      <c r="A98" s="42" t="s">
        <v>502</v>
      </c>
    </row>
    <row r="99" customFormat="false" ht="12.8" hidden="false" customHeight="false" outlineLevel="0" collapsed="false">
      <c r="A99" s="50" t="s">
        <v>167</v>
      </c>
      <c r="B99" s="41" t="s">
        <v>168</v>
      </c>
      <c r="C99" s="41" t="s">
        <v>169</v>
      </c>
      <c r="D99" s="3" t="s">
        <v>170</v>
      </c>
      <c r="E99" s="3" t="s">
        <v>171</v>
      </c>
      <c r="F99" s="3" t="s">
        <v>172</v>
      </c>
    </row>
    <row r="100" customFormat="false" ht="12.8" hidden="false" customHeight="false" outlineLevel="0" collapsed="false">
      <c r="A100" s="50" t="s">
        <v>503</v>
      </c>
      <c r="B100" s="41" t="s">
        <v>504</v>
      </c>
      <c r="C100" s="41" t="s">
        <v>505</v>
      </c>
      <c r="D100" s="3" t="s">
        <v>506</v>
      </c>
      <c r="E100" s="3" t="s">
        <v>507</v>
      </c>
      <c r="F100" s="3" t="s">
        <v>508</v>
      </c>
    </row>
    <row r="101" customFormat="false" ht="12.8" hidden="false" customHeight="false" outlineLevel="0" collapsed="false">
      <c r="A101" s="50" t="s">
        <v>503</v>
      </c>
      <c r="B101" s="41" t="s">
        <v>509</v>
      </c>
      <c r="C101" s="41" t="s">
        <v>510</v>
      </c>
      <c r="D101" s="3" t="s">
        <v>511</v>
      </c>
      <c r="E101" s="3" t="s">
        <v>512</v>
      </c>
      <c r="F101" s="3" t="s">
        <v>513</v>
      </c>
    </row>
    <row r="102" customFormat="false" ht="12.8" hidden="false" customHeight="false" outlineLevel="0" collapsed="false">
      <c r="A102" s="50" t="s">
        <v>503</v>
      </c>
      <c r="B102" s="41" t="s">
        <v>514</v>
      </c>
      <c r="C102" s="41" t="s">
        <v>515</v>
      </c>
      <c r="D102" s="3" t="s">
        <v>516</v>
      </c>
      <c r="E102" s="3" t="s">
        <v>517</v>
      </c>
      <c r="F102" s="3" t="s">
        <v>518</v>
      </c>
    </row>
    <row r="103" customFormat="false" ht="12.8" hidden="false" customHeight="false" outlineLevel="0" collapsed="false">
      <c r="A103" s="50" t="s">
        <v>503</v>
      </c>
      <c r="B103" s="41" t="s">
        <v>519</v>
      </c>
      <c r="C103" s="41" t="s">
        <v>520</v>
      </c>
      <c r="D103" s="3" t="s">
        <v>521</v>
      </c>
      <c r="E103" s="3" t="s">
        <v>327</v>
      </c>
      <c r="F103" s="3" t="s">
        <v>496</v>
      </c>
    </row>
    <row r="104" customFormat="false" ht="12.8" hidden="false" customHeight="false" outlineLevel="0" collapsed="false">
      <c r="A104" s="50" t="s">
        <v>503</v>
      </c>
      <c r="B104" s="41" t="s">
        <v>522</v>
      </c>
      <c r="C104" s="41" t="s">
        <v>523</v>
      </c>
      <c r="D104" s="3" t="s">
        <v>524</v>
      </c>
      <c r="E104" s="3" t="s">
        <v>500</v>
      </c>
      <c r="F104" s="3" t="s">
        <v>525</v>
      </c>
    </row>
    <row r="106" customFormat="false" ht="12.8" hidden="false" customHeight="false" outlineLevel="0" collapsed="false">
      <c r="A106" s="42" t="s">
        <v>526</v>
      </c>
    </row>
    <row r="107" customFormat="false" ht="12.8" hidden="false" customHeight="false" outlineLevel="0" collapsed="false">
      <c r="A107" s="50" t="s">
        <v>167</v>
      </c>
      <c r="B107" s="41" t="s">
        <v>168</v>
      </c>
      <c r="C107" s="41" t="s">
        <v>169</v>
      </c>
      <c r="D107" s="3" t="s">
        <v>170</v>
      </c>
      <c r="E107" s="3" t="s">
        <v>171</v>
      </c>
      <c r="F107" s="3" t="s">
        <v>172</v>
      </c>
    </row>
    <row r="108" customFormat="false" ht="12.8" hidden="false" customHeight="false" outlineLevel="0" collapsed="false">
      <c r="A108" s="50" t="s">
        <v>527</v>
      </c>
      <c r="B108" s="41" t="s">
        <v>528</v>
      </c>
      <c r="C108" s="41" t="s">
        <v>529</v>
      </c>
      <c r="D108" s="3" t="s">
        <v>530</v>
      </c>
      <c r="E108" s="3" t="s">
        <v>531</v>
      </c>
      <c r="F108" s="3" t="s">
        <v>532</v>
      </c>
    </row>
    <row r="109" customFormat="false" ht="12.8" hidden="false" customHeight="false" outlineLevel="0" collapsed="false">
      <c r="A109" s="50" t="s">
        <v>527</v>
      </c>
      <c r="B109" s="41" t="s">
        <v>533</v>
      </c>
      <c r="C109" s="41" t="s">
        <v>534</v>
      </c>
      <c r="D109" s="3" t="s">
        <v>535</v>
      </c>
      <c r="E109" s="3" t="s">
        <v>536</v>
      </c>
      <c r="F109" s="3" t="s">
        <v>537</v>
      </c>
    </row>
    <row r="110" customFormat="false" ht="12.8" hidden="false" customHeight="false" outlineLevel="0" collapsed="false">
      <c r="A110" s="50" t="s">
        <v>527</v>
      </c>
      <c r="B110" s="41" t="s">
        <v>538</v>
      </c>
      <c r="C110" s="41" t="s">
        <v>539</v>
      </c>
      <c r="D110" s="3" t="s">
        <v>540</v>
      </c>
      <c r="E110" s="3" t="s">
        <v>541</v>
      </c>
      <c r="F110" s="3" t="s">
        <v>542</v>
      </c>
    </row>
    <row r="111" customFormat="false" ht="12.8" hidden="false" customHeight="false" outlineLevel="0" collapsed="false">
      <c r="A111" s="50" t="s">
        <v>527</v>
      </c>
      <c r="B111" s="41" t="s">
        <v>543</v>
      </c>
      <c r="C111" s="41" t="s">
        <v>544</v>
      </c>
      <c r="D111" s="3" t="s">
        <v>545</v>
      </c>
      <c r="E111" s="3" t="s">
        <v>327</v>
      </c>
      <c r="F111" s="3" t="s">
        <v>546</v>
      </c>
    </row>
    <row r="112" customFormat="false" ht="12.8" hidden="false" customHeight="false" outlineLevel="0" collapsed="false">
      <c r="A112" s="50" t="s">
        <v>527</v>
      </c>
      <c r="B112" s="41" t="s">
        <v>547</v>
      </c>
      <c r="C112" s="41" t="s">
        <v>548</v>
      </c>
      <c r="D112" s="3" t="s">
        <v>549</v>
      </c>
      <c r="E112" s="3" t="s">
        <v>500</v>
      </c>
      <c r="F112" s="3" t="s">
        <v>550</v>
      </c>
    </row>
    <row r="114" customFormat="false" ht="12.8" hidden="false" customHeight="false" outlineLevel="0" collapsed="false">
      <c r="A114" s="42" t="s">
        <v>551</v>
      </c>
    </row>
    <row r="115" customFormat="false" ht="12.8" hidden="false" customHeight="false" outlineLevel="0" collapsed="false">
      <c r="A115" s="50" t="s">
        <v>167</v>
      </c>
      <c r="B115" s="41" t="s">
        <v>168</v>
      </c>
      <c r="C115" s="41" t="s">
        <v>169</v>
      </c>
      <c r="D115" s="3" t="s">
        <v>170</v>
      </c>
      <c r="E115" s="3" t="s">
        <v>171</v>
      </c>
      <c r="F115" s="3" t="s">
        <v>172</v>
      </c>
    </row>
    <row r="116" customFormat="false" ht="12.8" hidden="false" customHeight="false" outlineLevel="0" collapsed="false">
      <c r="A116" s="50" t="s">
        <v>552</v>
      </c>
      <c r="B116" s="41" t="s">
        <v>553</v>
      </c>
      <c r="C116" s="41" t="s">
        <v>554</v>
      </c>
      <c r="D116" s="3" t="s">
        <v>555</v>
      </c>
      <c r="E116" s="3" t="s">
        <v>556</v>
      </c>
      <c r="F116" s="3" t="s">
        <v>557</v>
      </c>
    </row>
    <row r="117" customFormat="false" ht="12.8" hidden="false" customHeight="false" outlineLevel="0" collapsed="false">
      <c r="A117" s="50" t="s">
        <v>552</v>
      </c>
      <c r="B117" s="41" t="s">
        <v>558</v>
      </c>
      <c r="C117" s="41" t="s">
        <v>559</v>
      </c>
      <c r="D117" s="3" t="s">
        <v>560</v>
      </c>
      <c r="E117" s="3" t="s">
        <v>561</v>
      </c>
      <c r="F117" s="3" t="s">
        <v>562</v>
      </c>
    </row>
    <row r="118" customFormat="false" ht="12.8" hidden="false" customHeight="false" outlineLevel="0" collapsed="false">
      <c r="A118" s="50" t="s">
        <v>552</v>
      </c>
      <c r="B118" s="41" t="s">
        <v>563</v>
      </c>
      <c r="C118" s="41" t="s">
        <v>564</v>
      </c>
      <c r="D118" s="3" t="s">
        <v>565</v>
      </c>
      <c r="E118" s="3" t="s">
        <v>566</v>
      </c>
      <c r="F118" s="3" t="s">
        <v>567</v>
      </c>
    </row>
    <row r="119" customFormat="false" ht="12.8" hidden="false" customHeight="false" outlineLevel="0" collapsed="false">
      <c r="A119" s="50" t="s">
        <v>552</v>
      </c>
      <c r="B119" s="41" t="s">
        <v>568</v>
      </c>
      <c r="C119" s="41" t="s">
        <v>569</v>
      </c>
      <c r="D119" s="3" t="s">
        <v>570</v>
      </c>
      <c r="E119" s="3" t="s">
        <v>327</v>
      </c>
      <c r="F119" s="3" t="s">
        <v>546</v>
      </c>
    </row>
    <row r="120" customFormat="false" ht="12.8" hidden="false" customHeight="false" outlineLevel="0" collapsed="false">
      <c r="A120" s="50" t="s">
        <v>552</v>
      </c>
      <c r="B120" s="41" t="s">
        <v>571</v>
      </c>
      <c r="C120" s="41" t="s">
        <v>572</v>
      </c>
      <c r="D120" s="3" t="s">
        <v>573</v>
      </c>
      <c r="E120" s="3" t="s">
        <v>500</v>
      </c>
      <c r="F120" s="3" t="s">
        <v>574</v>
      </c>
    </row>
    <row r="122" customFormat="false" ht="12.8" hidden="false" customHeight="false" outlineLevel="0" collapsed="false">
      <c r="A122" s="42" t="s">
        <v>575</v>
      </c>
    </row>
    <row r="123" customFormat="false" ht="12.8" hidden="false" customHeight="false" outlineLevel="0" collapsed="false">
      <c r="A123" s="50" t="s">
        <v>167</v>
      </c>
      <c r="B123" s="41" t="s">
        <v>168</v>
      </c>
      <c r="C123" s="41" t="s">
        <v>169</v>
      </c>
      <c r="D123" s="3" t="s">
        <v>170</v>
      </c>
      <c r="E123" s="3" t="s">
        <v>171</v>
      </c>
      <c r="F123" s="3" t="s">
        <v>172</v>
      </c>
    </row>
    <row r="124" customFormat="false" ht="12.8" hidden="false" customHeight="false" outlineLevel="0" collapsed="false">
      <c r="A124" s="50" t="s">
        <v>576</v>
      </c>
      <c r="B124" s="41" t="s">
        <v>577</v>
      </c>
      <c r="C124" s="41" t="s">
        <v>578</v>
      </c>
      <c r="D124" s="3" t="s">
        <v>579</v>
      </c>
      <c r="E124" s="3" t="s">
        <v>580</v>
      </c>
      <c r="F124" s="3" t="s">
        <v>581</v>
      </c>
    </row>
    <row r="125" customFormat="false" ht="12.8" hidden="false" customHeight="false" outlineLevel="0" collapsed="false">
      <c r="A125" s="50" t="s">
        <v>576</v>
      </c>
      <c r="B125" s="41" t="s">
        <v>582</v>
      </c>
      <c r="C125" s="41" t="s">
        <v>583</v>
      </c>
      <c r="D125" s="3" t="s">
        <v>584</v>
      </c>
      <c r="E125" s="3" t="s">
        <v>585</v>
      </c>
      <c r="F125" s="3" t="s">
        <v>586</v>
      </c>
    </row>
    <row r="126" customFormat="false" ht="12.8" hidden="false" customHeight="false" outlineLevel="0" collapsed="false">
      <c r="A126" s="50" t="s">
        <v>576</v>
      </c>
      <c r="B126" s="41" t="s">
        <v>587</v>
      </c>
      <c r="C126" s="41" t="s">
        <v>588</v>
      </c>
      <c r="D126" s="3" t="s">
        <v>589</v>
      </c>
      <c r="E126" s="3" t="s">
        <v>590</v>
      </c>
      <c r="F126" s="3" t="s">
        <v>591</v>
      </c>
    </row>
    <row r="127" customFormat="false" ht="12.8" hidden="false" customHeight="false" outlineLevel="0" collapsed="false">
      <c r="A127" s="50" t="s">
        <v>576</v>
      </c>
      <c r="B127" s="41" t="s">
        <v>592</v>
      </c>
      <c r="C127" s="41" t="s">
        <v>593</v>
      </c>
      <c r="D127" s="3" t="s">
        <v>594</v>
      </c>
      <c r="E127" s="3" t="s">
        <v>327</v>
      </c>
      <c r="F127" s="3" t="s">
        <v>546</v>
      </c>
    </row>
    <row r="128" customFormat="false" ht="12.8" hidden="false" customHeight="false" outlineLevel="0" collapsed="false">
      <c r="A128" s="50" t="s">
        <v>576</v>
      </c>
      <c r="B128" s="41" t="s">
        <v>595</v>
      </c>
      <c r="C128" s="41" t="s">
        <v>596</v>
      </c>
      <c r="D128" s="3" t="s">
        <v>597</v>
      </c>
      <c r="E128" s="3" t="s">
        <v>500</v>
      </c>
      <c r="F128" s="3" t="s">
        <v>598</v>
      </c>
    </row>
    <row r="130" customFormat="false" ht="12.8" hidden="false" customHeight="false" outlineLevel="0" collapsed="false">
      <c r="A130" s="42" t="s">
        <v>599</v>
      </c>
    </row>
    <row r="131" customFormat="false" ht="12.8" hidden="false" customHeight="false" outlineLevel="0" collapsed="false">
      <c r="A131" s="50" t="s">
        <v>167</v>
      </c>
      <c r="B131" s="41" t="s">
        <v>168</v>
      </c>
      <c r="C131" s="41" t="s">
        <v>169</v>
      </c>
      <c r="D131" s="3" t="s">
        <v>170</v>
      </c>
      <c r="E131" s="3" t="s">
        <v>171</v>
      </c>
      <c r="F131" s="3" t="s">
        <v>172</v>
      </c>
    </row>
    <row r="132" customFormat="false" ht="12.8" hidden="false" customHeight="false" outlineLevel="0" collapsed="false">
      <c r="A132" s="50" t="s">
        <v>600</v>
      </c>
      <c r="B132" s="41" t="s">
        <v>601</v>
      </c>
      <c r="C132" s="41" t="s">
        <v>602</v>
      </c>
      <c r="D132" s="3" t="s">
        <v>603</v>
      </c>
      <c r="E132" s="3" t="s">
        <v>604</v>
      </c>
      <c r="F132" s="3" t="s">
        <v>605</v>
      </c>
    </row>
    <row r="133" customFormat="false" ht="12.8" hidden="false" customHeight="false" outlineLevel="0" collapsed="false">
      <c r="A133" s="50" t="s">
        <v>600</v>
      </c>
      <c r="B133" s="41" t="s">
        <v>606</v>
      </c>
      <c r="C133" s="41" t="s">
        <v>607</v>
      </c>
      <c r="D133" s="3" t="s">
        <v>608</v>
      </c>
      <c r="E133" s="3" t="s">
        <v>609</v>
      </c>
      <c r="F133" s="3" t="s">
        <v>610</v>
      </c>
    </row>
    <row r="134" customFormat="false" ht="12.8" hidden="false" customHeight="false" outlineLevel="0" collapsed="false">
      <c r="A134" s="50" t="s">
        <v>600</v>
      </c>
      <c r="B134" s="41" t="s">
        <v>611</v>
      </c>
      <c r="C134" s="41" t="s">
        <v>612</v>
      </c>
      <c r="D134" s="3" t="s">
        <v>613</v>
      </c>
      <c r="E134" s="3" t="s">
        <v>614</v>
      </c>
      <c r="F134" s="3" t="s">
        <v>615</v>
      </c>
    </row>
    <row r="135" customFormat="false" ht="12.8" hidden="false" customHeight="false" outlineLevel="0" collapsed="false">
      <c r="A135" s="50" t="s">
        <v>600</v>
      </c>
      <c r="B135" s="41" t="s">
        <v>616</v>
      </c>
      <c r="C135" s="41" t="s">
        <v>617</v>
      </c>
      <c r="D135" s="3" t="s">
        <v>618</v>
      </c>
      <c r="E135" s="3" t="s">
        <v>327</v>
      </c>
      <c r="F135" s="3" t="s">
        <v>619</v>
      </c>
    </row>
    <row r="136" customFormat="false" ht="12.8" hidden="false" customHeight="false" outlineLevel="0" collapsed="false">
      <c r="A136" s="50" t="s">
        <v>600</v>
      </c>
      <c r="B136" s="41" t="s">
        <v>620</v>
      </c>
      <c r="C136" s="41" t="s">
        <v>621</v>
      </c>
      <c r="D136" s="3" t="s">
        <v>622</v>
      </c>
      <c r="E136" s="3" t="s">
        <v>623</v>
      </c>
      <c r="F136" s="3" t="s">
        <v>624</v>
      </c>
    </row>
    <row r="138" customFormat="false" ht="12.8" hidden="false" customHeight="false" outlineLevel="0" collapsed="false">
      <c r="A138" s="42" t="s">
        <v>625</v>
      </c>
    </row>
    <row r="139" customFormat="false" ht="12.8" hidden="false" customHeight="false" outlineLevel="0" collapsed="false">
      <c r="A139" s="50" t="s">
        <v>167</v>
      </c>
      <c r="B139" s="41" t="s">
        <v>168</v>
      </c>
      <c r="C139" s="41" t="s">
        <v>169</v>
      </c>
      <c r="D139" s="3" t="s">
        <v>170</v>
      </c>
      <c r="E139" s="3" t="s">
        <v>171</v>
      </c>
      <c r="F139" s="3" t="s">
        <v>172</v>
      </c>
    </row>
    <row r="140" customFormat="false" ht="12.8" hidden="false" customHeight="false" outlineLevel="0" collapsed="false">
      <c r="A140" s="50" t="s">
        <v>626</v>
      </c>
      <c r="B140" s="41" t="s">
        <v>627</v>
      </c>
      <c r="C140" s="41" t="s">
        <v>628</v>
      </c>
      <c r="D140" s="3" t="s">
        <v>629</v>
      </c>
      <c r="E140" s="3" t="s">
        <v>630</v>
      </c>
      <c r="F140" s="3" t="s">
        <v>631</v>
      </c>
    </row>
    <row r="141" customFormat="false" ht="12.8" hidden="false" customHeight="false" outlineLevel="0" collapsed="false">
      <c r="A141" s="50" t="s">
        <v>626</v>
      </c>
      <c r="B141" s="41" t="s">
        <v>632</v>
      </c>
      <c r="C141" s="41" t="s">
        <v>633</v>
      </c>
      <c r="D141" s="3" t="s">
        <v>634</v>
      </c>
      <c r="E141" s="3" t="s">
        <v>391</v>
      </c>
      <c r="F141" s="3" t="s">
        <v>635</v>
      </c>
    </row>
    <row r="142" customFormat="false" ht="12.8" hidden="false" customHeight="false" outlineLevel="0" collapsed="false">
      <c r="A142" s="50" t="s">
        <v>626</v>
      </c>
      <c r="B142" s="41" t="s">
        <v>636</v>
      </c>
      <c r="C142" s="41" t="s">
        <v>637</v>
      </c>
      <c r="D142" s="3" t="s">
        <v>638</v>
      </c>
      <c r="E142" s="3" t="s">
        <v>396</v>
      </c>
      <c r="F142" s="3" t="s">
        <v>639</v>
      </c>
    </row>
    <row r="143" customFormat="false" ht="12.8" hidden="false" customHeight="false" outlineLevel="0" collapsed="false">
      <c r="A143" s="50" t="s">
        <v>626</v>
      </c>
      <c r="B143" s="41" t="s">
        <v>640</v>
      </c>
      <c r="C143" s="41" t="s">
        <v>641</v>
      </c>
      <c r="D143" s="3" t="s">
        <v>642</v>
      </c>
      <c r="E143" s="3" t="s">
        <v>327</v>
      </c>
      <c r="F143" s="3" t="s">
        <v>643</v>
      </c>
    </row>
    <row r="144" customFormat="false" ht="12.8" hidden="false" customHeight="false" outlineLevel="0" collapsed="false">
      <c r="A144" s="50" t="s">
        <v>626</v>
      </c>
      <c r="B144" s="41" t="s">
        <v>644</v>
      </c>
      <c r="C144" s="41" t="s">
        <v>645</v>
      </c>
      <c r="D144" s="3" t="s">
        <v>646</v>
      </c>
      <c r="E144" s="3" t="s">
        <v>428</v>
      </c>
      <c r="F144" s="3" t="s">
        <v>647</v>
      </c>
    </row>
    <row r="146" customFormat="false" ht="12.8" hidden="false" customHeight="false" outlineLevel="0" collapsed="false">
      <c r="A146" s="42" t="s">
        <v>648</v>
      </c>
    </row>
    <row r="147" customFormat="false" ht="12.8" hidden="false" customHeight="false" outlineLevel="0" collapsed="false">
      <c r="A147" s="50" t="s">
        <v>167</v>
      </c>
      <c r="B147" s="41" t="s">
        <v>168</v>
      </c>
      <c r="C147" s="41" t="s">
        <v>169</v>
      </c>
      <c r="D147" s="3" t="s">
        <v>170</v>
      </c>
      <c r="E147" s="3" t="s">
        <v>171</v>
      </c>
      <c r="F147" s="3" t="s">
        <v>172</v>
      </c>
    </row>
    <row r="148" customFormat="false" ht="12.8" hidden="false" customHeight="false" outlineLevel="0" collapsed="false">
      <c r="A148" s="50" t="s">
        <v>649</v>
      </c>
      <c r="B148" s="41" t="s">
        <v>650</v>
      </c>
      <c r="C148" s="41" t="s">
        <v>651</v>
      </c>
      <c r="D148" s="3" t="s">
        <v>652</v>
      </c>
      <c r="E148" s="3" t="s">
        <v>653</v>
      </c>
      <c r="F148" s="3" t="s">
        <v>654</v>
      </c>
    </row>
    <row r="149" customFormat="false" ht="12.8" hidden="false" customHeight="false" outlineLevel="0" collapsed="false">
      <c r="A149" s="50" t="s">
        <v>649</v>
      </c>
      <c r="B149" s="41" t="s">
        <v>655</v>
      </c>
      <c r="C149" s="41" t="s">
        <v>656</v>
      </c>
      <c r="D149" s="3" t="s">
        <v>657</v>
      </c>
      <c r="E149" s="3" t="s">
        <v>391</v>
      </c>
      <c r="F149" s="3" t="s">
        <v>658</v>
      </c>
    </row>
    <row r="150" customFormat="false" ht="12.8" hidden="false" customHeight="false" outlineLevel="0" collapsed="false">
      <c r="A150" s="50" t="s">
        <v>649</v>
      </c>
      <c r="B150" s="41" t="s">
        <v>659</v>
      </c>
      <c r="C150" s="41" t="s">
        <v>660</v>
      </c>
      <c r="D150" s="3" t="s">
        <v>661</v>
      </c>
      <c r="E150" s="3" t="s">
        <v>396</v>
      </c>
      <c r="F150" s="3" t="s">
        <v>662</v>
      </c>
    </row>
    <row r="151" customFormat="false" ht="12.8" hidden="false" customHeight="false" outlineLevel="0" collapsed="false">
      <c r="A151" s="50" t="s">
        <v>649</v>
      </c>
      <c r="B151" s="41" t="s">
        <v>663</v>
      </c>
      <c r="C151" s="41" t="s">
        <v>664</v>
      </c>
      <c r="D151" s="3" t="s">
        <v>665</v>
      </c>
      <c r="E151" s="3" t="s">
        <v>327</v>
      </c>
      <c r="F151" s="3" t="s">
        <v>666</v>
      </c>
    </row>
    <row r="152" customFormat="false" ht="12.8" hidden="false" customHeight="false" outlineLevel="0" collapsed="false">
      <c r="A152" s="50" t="s">
        <v>649</v>
      </c>
      <c r="B152" s="41" t="s">
        <v>667</v>
      </c>
      <c r="C152" s="41" t="s">
        <v>668</v>
      </c>
      <c r="D152" s="3" t="s">
        <v>669</v>
      </c>
      <c r="E152" s="3" t="s">
        <v>428</v>
      </c>
      <c r="F152" s="3" t="s">
        <v>670</v>
      </c>
    </row>
    <row r="154" customFormat="false" ht="12.8" hidden="false" customHeight="false" outlineLevel="0" collapsed="false">
      <c r="A154" s="42" t="s">
        <v>671</v>
      </c>
    </row>
    <row r="155" customFormat="false" ht="12.8" hidden="false" customHeight="false" outlineLevel="0" collapsed="false">
      <c r="A155" s="50" t="s">
        <v>167</v>
      </c>
      <c r="B155" s="41" t="s">
        <v>168</v>
      </c>
      <c r="C155" s="41" t="s">
        <v>169</v>
      </c>
      <c r="D155" s="3" t="s">
        <v>170</v>
      </c>
      <c r="E155" s="3" t="s">
        <v>171</v>
      </c>
      <c r="F155" s="3" t="s">
        <v>172</v>
      </c>
    </row>
    <row r="156" customFormat="false" ht="12.8" hidden="false" customHeight="false" outlineLevel="0" collapsed="false">
      <c r="A156" s="50" t="s">
        <v>672</v>
      </c>
      <c r="B156" s="41" t="s">
        <v>673</v>
      </c>
      <c r="C156" s="41" t="s">
        <v>674</v>
      </c>
      <c r="D156" s="3" t="s">
        <v>675</v>
      </c>
      <c r="E156" s="3" t="s">
        <v>676</v>
      </c>
      <c r="F156" s="3" t="s">
        <v>677</v>
      </c>
    </row>
    <row r="157" customFormat="false" ht="12.8" hidden="false" customHeight="false" outlineLevel="0" collapsed="false">
      <c r="A157" s="50" t="s">
        <v>672</v>
      </c>
      <c r="B157" s="41" t="s">
        <v>678</v>
      </c>
      <c r="C157" s="41" t="s">
        <v>679</v>
      </c>
      <c r="D157" s="3" t="s">
        <v>680</v>
      </c>
      <c r="E157" s="3" t="s">
        <v>681</v>
      </c>
      <c r="F157" s="3" t="s">
        <v>682</v>
      </c>
    </row>
    <row r="158" customFormat="false" ht="12.8" hidden="false" customHeight="false" outlineLevel="0" collapsed="false">
      <c r="A158" s="50" t="s">
        <v>672</v>
      </c>
      <c r="B158" s="41" t="s">
        <v>683</v>
      </c>
      <c r="C158" s="41" t="s">
        <v>684</v>
      </c>
      <c r="D158" s="3" t="s">
        <v>685</v>
      </c>
      <c r="E158" s="3" t="s">
        <v>686</v>
      </c>
      <c r="F158" s="3" t="s">
        <v>687</v>
      </c>
    </row>
    <row r="159" customFormat="false" ht="12.8" hidden="false" customHeight="false" outlineLevel="0" collapsed="false">
      <c r="A159" s="50" t="s">
        <v>672</v>
      </c>
      <c r="B159" s="41" t="s">
        <v>688</v>
      </c>
      <c r="C159" s="41" t="s">
        <v>689</v>
      </c>
      <c r="D159" s="3" t="s">
        <v>690</v>
      </c>
      <c r="E159" s="3" t="s">
        <v>691</v>
      </c>
      <c r="F159" s="3" t="s">
        <v>692</v>
      </c>
    </row>
    <row r="160" customFormat="false" ht="12.8" hidden="false" customHeight="false" outlineLevel="0" collapsed="false">
      <c r="A160" s="50" t="s">
        <v>672</v>
      </c>
      <c r="B160" s="41" t="s">
        <v>693</v>
      </c>
      <c r="C160" s="41" t="s">
        <v>694</v>
      </c>
      <c r="D160" s="3" t="s">
        <v>695</v>
      </c>
      <c r="E160" s="3" t="s">
        <v>428</v>
      </c>
      <c r="F160" s="3" t="s">
        <v>696</v>
      </c>
    </row>
    <row r="162" customFormat="false" ht="12.8" hidden="false" customHeight="false" outlineLevel="0" collapsed="false">
      <c r="A162" s="42" t="s">
        <v>697</v>
      </c>
    </row>
    <row r="163" customFormat="false" ht="12.8" hidden="false" customHeight="false" outlineLevel="0" collapsed="false">
      <c r="A163" s="50" t="s">
        <v>167</v>
      </c>
      <c r="B163" s="41" t="s">
        <v>168</v>
      </c>
      <c r="C163" s="41" t="s">
        <v>169</v>
      </c>
      <c r="D163" s="3" t="s">
        <v>170</v>
      </c>
      <c r="E163" s="3" t="s">
        <v>171</v>
      </c>
      <c r="F163" s="3" t="s">
        <v>172</v>
      </c>
    </row>
    <row r="164" customFormat="false" ht="12.8" hidden="false" customHeight="false" outlineLevel="0" collapsed="false">
      <c r="A164" s="50" t="s">
        <v>698</v>
      </c>
      <c r="B164" s="41" t="s">
        <v>699</v>
      </c>
      <c r="C164" s="41" t="s">
        <v>700</v>
      </c>
      <c r="D164" s="3" t="s">
        <v>701</v>
      </c>
      <c r="E164" s="3" t="s">
        <v>702</v>
      </c>
      <c r="F164" s="3" t="s">
        <v>703</v>
      </c>
    </row>
    <row r="165" customFormat="false" ht="12.8" hidden="false" customHeight="false" outlineLevel="0" collapsed="false">
      <c r="A165" s="50" t="s">
        <v>698</v>
      </c>
      <c r="B165" s="41" t="s">
        <v>704</v>
      </c>
      <c r="C165" s="41" t="s">
        <v>705</v>
      </c>
      <c r="D165" s="3" t="s">
        <v>706</v>
      </c>
      <c r="E165" s="3" t="s">
        <v>391</v>
      </c>
      <c r="F165" s="3" t="s">
        <v>707</v>
      </c>
    </row>
    <row r="166" customFormat="false" ht="12.8" hidden="false" customHeight="false" outlineLevel="0" collapsed="false">
      <c r="A166" s="50" t="s">
        <v>698</v>
      </c>
      <c r="B166" s="41" t="s">
        <v>708</v>
      </c>
      <c r="C166" s="41" t="s">
        <v>709</v>
      </c>
      <c r="D166" s="3" t="s">
        <v>710</v>
      </c>
      <c r="E166" s="3" t="s">
        <v>396</v>
      </c>
      <c r="F166" s="3" t="s">
        <v>711</v>
      </c>
    </row>
    <row r="167" customFormat="false" ht="12.8" hidden="false" customHeight="false" outlineLevel="0" collapsed="false">
      <c r="A167" s="50" t="s">
        <v>698</v>
      </c>
      <c r="B167" s="41" t="s">
        <v>712</v>
      </c>
      <c r="C167" s="41" t="s">
        <v>713</v>
      </c>
      <c r="D167" s="3" t="s">
        <v>714</v>
      </c>
      <c r="E167" s="3" t="s">
        <v>327</v>
      </c>
      <c r="F167" s="3" t="s">
        <v>715</v>
      </c>
    </row>
    <row r="168" customFormat="false" ht="12.8" hidden="false" customHeight="false" outlineLevel="0" collapsed="false">
      <c r="A168" s="50" t="s">
        <v>698</v>
      </c>
      <c r="B168" s="41" t="s">
        <v>716</v>
      </c>
      <c r="C168" s="41" t="s">
        <v>717</v>
      </c>
      <c r="D168" s="3" t="s">
        <v>718</v>
      </c>
      <c r="E168" s="3" t="s">
        <v>428</v>
      </c>
      <c r="F168" s="3" t="s">
        <v>719</v>
      </c>
    </row>
    <row r="170" customFormat="false" ht="12.8" hidden="false" customHeight="false" outlineLevel="0" collapsed="false">
      <c r="A170" s="42" t="s">
        <v>720</v>
      </c>
    </row>
    <row r="171" customFormat="false" ht="12.8" hidden="false" customHeight="false" outlineLevel="0" collapsed="false">
      <c r="A171" s="50" t="s">
        <v>167</v>
      </c>
      <c r="B171" s="41" t="s">
        <v>168</v>
      </c>
      <c r="C171" s="41" t="s">
        <v>169</v>
      </c>
      <c r="D171" s="3" t="s">
        <v>170</v>
      </c>
      <c r="E171" s="3" t="s">
        <v>171</v>
      </c>
      <c r="F171" s="3" t="s">
        <v>172</v>
      </c>
    </row>
    <row r="172" customFormat="false" ht="12.8" hidden="false" customHeight="false" outlineLevel="0" collapsed="false">
      <c r="A172" s="50" t="s">
        <v>721</v>
      </c>
      <c r="B172" s="41" t="s">
        <v>722</v>
      </c>
      <c r="C172" s="41" t="s">
        <v>723</v>
      </c>
      <c r="D172" s="3" t="s">
        <v>724</v>
      </c>
      <c r="E172" s="3" t="s">
        <v>725</v>
      </c>
      <c r="F172" s="3" t="s">
        <v>726</v>
      </c>
    </row>
    <row r="173" customFormat="false" ht="12.8" hidden="false" customHeight="false" outlineLevel="0" collapsed="false">
      <c r="A173" s="50" t="s">
        <v>721</v>
      </c>
      <c r="B173" s="41" t="s">
        <v>727</v>
      </c>
      <c r="C173" s="41" t="s">
        <v>728</v>
      </c>
      <c r="D173" s="3" t="s">
        <v>729</v>
      </c>
      <c r="E173" s="3" t="s">
        <v>391</v>
      </c>
      <c r="F173" s="3" t="s">
        <v>730</v>
      </c>
    </row>
    <row r="174" customFormat="false" ht="12.8" hidden="false" customHeight="false" outlineLevel="0" collapsed="false">
      <c r="A174" s="50" t="s">
        <v>721</v>
      </c>
      <c r="B174" s="41" t="s">
        <v>731</v>
      </c>
      <c r="C174" s="41" t="s">
        <v>732</v>
      </c>
      <c r="D174" s="3" t="s">
        <v>733</v>
      </c>
      <c r="E174" s="3" t="s">
        <v>396</v>
      </c>
      <c r="F174" s="3" t="s">
        <v>734</v>
      </c>
    </row>
    <row r="175" customFormat="false" ht="12.8" hidden="false" customHeight="false" outlineLevel="0" collapsed="false">
      <c r="A175" s="50" t="s">
        <v>721</v>
      </c>
      <c r="B175" s="41" t="s">
        <v>735</v>
      </c>
      <c r="C175" s="41" t="s">
        <v>736</v>
      </c>
      <c r="D175" s="3" t="s">
        <v>737</v>
      </c>
      <c r="E175" s="3" t="s">
        <v>327</v>
      </c>
      <c r="F175" s="3" t="s">
        <v>738</v>
      </c>
    </row>
    <row r="176" customFormat="false" ht="12.8" hidden="false" customHeight="false" outlineLevel="0" collapsed="false">
      <c r="A176" s="50" t="s">
        <v>721</v>
      </c>
      <c r="B176" s="41" t="s">
        <v>739</v>
      </c>
      <c r="C176" s="41" t="s">
        <v>740</v>
      </c>
      <c r="D176" s="3" t="s">
        <v>741</v>
      </c>
      <c r="E176" s="3" t="s">
        <v>428</v>
      </c>
      <c r="F176" s="3" t="s">
        <v>742</v>
      </c>
    </row>
    <row r="178" customFormat="false" ht="12.8" hidden="false" customHeight="false" outlineLevel="0" collapsed="false">
      <c r="A178" s="42" t="s">
        <v>743</v>
      </c>
    </row>
    <row r="179" customFormat="false" ht="12.8" hidden="false" customHeight="false" outlineLevel="0" collapsed="false">
      <c r="A179" s="50" t="s">
        <v>167</v>
      </c>
      <c r="B179" s="41" t="s">
        <v>168</v>
      </c>
      <c r="C179" s="41" t="s">
        <v>169</v>
      </c>
      <c r="D179" s="3" t="s">
        <v>170</v>
      </c>
      <c r="E179" s="3" t="s">
        <v>171</v>
      </c>
      <c r="F179" s="3" t="s">
        <v>172</v>
      </c>
    </row>
    <row r="180" customFormat="false" ht="12.8" hidden="false" customHeight="false" outlineLevel="0" collapsed="false">
      <c r="A180" s="50" t="s">
        <v>744</v>
      </c>
      <c r="B180" s="41" t="s">
        <v>745</v>
      </c>
      <c r="C180" s="41" t="s">
        <v>746</v>
      </c>
      <c r="D180" s="3" t="s">
        <v>747</v>
      </c>
      <c r="E180" s="3" t="s">
        <v>748</v>
      </c>
      <c r="F180" s="3" t="s">
        <v>749</v>
      </c>
    </row>
    <row r="181" customFormat="false" ht="12.8" hidden="false" customHeight="false" outlineLevel="0" collapsed="false">
      <c r="A181" s="50" t="s">
        <v>744</v>
      </c>
      <c r="B181" s="41" t="s">
        <v>750</v>
      </c>
      <c r="C181" s="41" t="s">
        <v>751</v>
      </c>
      <c r="D181" s="3" t="s">
        <v>752</v>
      </c>
      <c r="E181" s="3" t="s">
        <v>753</v>
      </c>
      <c r="F181" s="3" t="s">
        <v>754</v>
      </c>
    </row>
    <row r="182" customFormat="false" ht="12.8" hidden="false" customHeight="false" outlineLevel="0" collapsed="false">
      <c r="A182" s="50" t="s">
        <v>744</v>
      </c>
      <c r="B182" s="41" t="s">
        <v>755</v>
      </c>
      <c r="C182" s="41" t="s">
        <v>756</v>
      </c>
      <c r="D182" s="3" t="s">
        <v>757</v>
      </c>
      <c r="E182" s="3" t="s">
        <v>758</v>
      </c>
      <c r="F182" s="3" t="s">
        <v>759</v>
      </c>
    </row>
    <row r="183" customFormat="false" ht="12.8" hidden="false" customHeight="false" outlineLevel="0" collapsed="false">
      <c r="A183" s="50" t="s">
        <v>744</v>
      </c>
      <c r="B183" s="41" t="s">
        <v>760</v>
      </c>
      <c r="C183" s="41" t="s">
        <v>761</v>
      </c>
      <c r="D183" s="3" t="s">
        <v>762</v>
      </c>
      <c r="E183" s="3" t="s">
        <v>327</v>
      </c>
      <c r="F183" s="3" t="s">
        <v>763</v>
      </c>
    </row>
    <row r="184" customFormat="false" ht="12.8" hidden="false" customHeight="false" outlineLevel="0" collapsed="false">
      <c r="A184" s="50" t="s">
        <v>744</v>
      </c>
      <c r="B184" s="41" t="s">
        <v>764</v>
      </c>
      <c r="C184" s="41" t="s">
        <v>765</v>
      </c>
      <c r="D184" s="3" t="s">
        <v>766</v>
      </c>
      <c r="E184" s="3" t="s">
        <v>428</v>
      </c>
      <c r="F184" s="3" t="s">
        <v>767</v>
      </c>
    </row>
    <row r="186" customFormat="false" ht="12.8" hidden="false" customHeight="false" outlineLevel="0" collapsed="false">
      <c r="A186" s="42" t="s">
        <v>768</v>
      </c>
    </row>
    <row r="187" customFormat="false" ht="12.8" hidden="false" customHeight="false" outlineLevel="0" collapsed="false">
      <c r="A187" s="50" t="s">
        <v>167</v>
      </c>
      <c r="B187" s="41" t="s">
        <v>168</v>
      </c>
      <c r="C187" s="41" t="s">
        <v>169</v>
      </c>
      <c r="D187" s="3" t="s">
        <v>170</v>
      </c>
      <c r="E187" s="3" t="s">
        <v>171</v>
      </c>
      <c r="F187" s="3" t="s">
        <v>172</v>
      </c>
    </row>
    <row r="188" customFormat="false" ht="12.8" hidden="false" customHeight="false" outlineLevel="0" collapsed="false">
      <c r="A188" s="50" t="s">
        <v>769</v>
      </c>
      <c r="B188" s="41" t="s">
        <v>770</v>
      </c>
      <c r="C188" s="41" t="s">
        <v>771</v>
      </c>
      <c r="D188" s="3" t="s">
        <v>772</v>
      </c>
      <c r="E188" s="3" t="s">
        <v>773</v>
      </c>
      <c r="F188" s="3" t="s">
        <v>774</v>
      </c>
    </row>
    <row r="189" customFormat="false" ht="12.8" hidden="false" customHeight="false" outlineLevel="0" collapsed="false">
      <c r="A189" s="50" t="s">
        <v>769</v>
      </c>
      <c r="B189" s="41" t="s">
        <v>775</v>
      </c>
      <c r="C189" s="41" t="s">
        <v>776</v>
      </c>
      <c r="D189" s="3" t="s">
        <v>777</v>
      </c>
      <c r="E189" s="3" t="s">
        <v>391</v>
      </c>
      <c r="F189" s="3" t="s">
        <v>778</v>
      </c>
    </row>
    <row r="190" customFormat="false" ht="12.8" hidden="false" customHeight="false" outlineLevel="0" collapsed="false">
      <c r="A190" s="50" t="s">
        <v>769</v>
      </c>
      <c r="B190" s="41" t="s">
        <v>779</v>
      </c>
      <c r="C190" s="41" t="s">
        <v>780</v>
      </c>
      <c r="D190" s="3" t="s">
        <v>781</v>
      </c>
      <c r="E190" s="3" t="s">
        <v>396</v>
      </c>
      <c r="F190" s="3" t="s">
        <v>782</v>
      </c>
    </row>
    <row r="191" customFormat="false" ht="12.8" hidden="false" customHeight="false" outlineLevel="0" collapsed="false">
      <c r="A191" s="50" t="s">
        <v>769</v>
      </c>
      <c r="B191" s="41" t="s">
        <v>783</v>
      </c>
      <c r="C191" s="41" t="s">
        <v>784</v>
      </c>
      <c r="D191" s="3" t="s">
        <v>785</v>
      </c>
      <c r="E191" s="3" t="s">
        <v>327</v>
      </c>
      <c r="F191" s="3" t="s">
        <v>786</v>
      </c>
    </row>
    <row r="192" customFormat="false" ht="12.8" hidden="false" customHeight="false" outlineLevel="0" collapsed="false">
      <c r="A192" s="50" t="s">
        <v>769</v>
      </c>
      <c r="B192" s="41" t="s">
        <v>787</v>
      </c>
      <c r="C192" s="41" t="s">
        <v>788</v>
      </c>
      <c r="D192" s="3" t="s">
        <v>789</v>
      </c>
      <c r="E192" s="3" t="s">
        <v>790</v>
      </c>
      <c r="F192" s="3" t="s">
        <v>791</v>
      </c>
    </row>
    <row r="194" customFormat="false" ht="12.8" hidden="false" customHeight="false" outlineLevel="0" collapsed="false">
      <c r="A194" s="42" t="s">
        <v>792</v>
      </c>
    </row>
    <row r="195" customFormat="false" ht="12.8" hidden="false" customHeight="false" outlineLevel="0" collapsed="false">
      <c r="A195" s="50" t="s">
        <v>167</v>
      </c>
      <c r="B195" s="41" t="s">
        <v>168</v>
      </c>
      <c r="C195" s="41" t="s">
        <v>169</v>
      </c>
      <c r="D195" s="3" t="s">
        <v>170</v>
      </c>
      <c r="E195" s="3" t="s">
        <v>171</v>
      </c>
      <c r="F195" s="3" t="s">
        <v>172</v>
      </c>
    </row>
    <row r="196" customFormat="false" ht="12.8" hidden="false" customHeight="false" outlineLevel="0" collapsed="false">
      <c r="A196" s="50" t="s">
        <v>793</v>
      </c>
      <c r="B196" s="41" t="s">
        <v>794</v>
      </c>
      <c r="C196" s="41" t="s">
        <v>795</v>
      </c>
      <c r="D196" s="3" t="s">
        <v>796</v>
      </c>
      <c r="E196" s="3" t="s">
        <v>797</v>
      </c>
      <c r="F196" s="3" t="s">
        <v>798</v>
      </c>
    </row>
    <row r="197" customFormat="false" ht="12.8" hidden="false" customHeight="false" outlineLevel="0" collapsed="false">
      <c r="A197" s="50" t="s">
        <v>793</v>
      </c>
      <c r="B197" s="41" t="s">
        <v>799</v>
      </c>
      <c r="C197" s="41" t="s">
        <v>800</v>
      </c>
      <c r="D197" s="3" t="s">
        <v>801</v>
      </c>
      <c r="E197" s="3" t="s">
        <v>512</v>
      </c>
      <c r="F197" s="3" t="s">
        <v>802</v>
      </c>
    </row>
    <row r="198" customFormat="false" ht="12.8" hidden="false" customHeight="false" outlineLevel="0" collapsed="false">
      <c r="A198" s="50" t="s">
        <v>793</v>
      </c>
      <c r="B198" s="41" t="s">
        <v>803</v>
      </c>
      <c r="C198" s="41" t="s">
        <v>804</v>
      </c>
      <c r="D198" s="3" t="s">
        <v>805</v>
      </c>
      <c r="E198" s="3" t="s">
        <v>517</v>
      </c>
      <c r="F198" s="3" t="s">
        <v>806</v>
      </c>
    </row>
    <row r="199" customFormat="false" ht="12.8" hidden="false" customHeight="false" outlineLevel="0" collapsed="false">
      <c r="A199" s="50" t="s">
        <v>793</v>
      </c>
      <c r="B199" s="41" t="s">
        <v>807</v>
      </c>
      <c r="C199" s="41" t="s">
        <v>808</v>
      </c>
      <c r="D199" s="3" t="s">
        <v>809</v>
      </c>
      <c r="E199" s="3" t="s">
        <v>327</v>
      </c>
      <c r="F199" s="3" t="s">
        <v>810</v>
      </c>
    </row>
    <row r="200" customFormat="false" ht="12.8" hidden="false" customHeight="false" outlineLevel="0" collapsed="false">
      <c r="A200" s="50" t="s">
        <v>793</v>
      </c>
      <c r="B200" s="41" t="s">
        <v>811</v>
      </c>
      <c r="C200" s="41" t="s">
        <v>812</v>
      </c>
      <c r="D200" s="3" t="s">
        <v>813</v>
      </c>
      <c r="E200" s="3" t="s">
        <v>500</v>
      </c>
      <c r="F200" s="3" t="s">
        <v>814</v>
      </c>
    </row>
    <row r="202" customFormat="false" ht="12.8" hidden="false" customHeight="false" outlineLevel="0" collapsed="false">
      <c r="A202" s="42" t="s">
        <v>815</v>
      </c>
    </row>
    <row r="203" customFormat="false" ht="12.8" hidden="false" customHeight="false" outlineLevel="0" collapsed="false">
      <c r="A203" s="50" t="s">
        <v>167</v>
      </c>
      <c r="B203" s="41" t="s">
        <v>168</v>
      </c>
      <c r="C203" s="41" t="s">
        <v>169</v>
      </c>
      <c r="D203" s="3" t="s">
        <v>170</v>
      </c>
      <c r="E203" s="3" t="s">
        <v>171</v>
      </c>
      <c r="F203" s="3" t="s">
        <v>172</v>
      </c>
    </row>
    <row r="204" customFormat="false" ht="12.8" hidden="false" customHeight="false" outlineLevel="0" collapsed="false">
      <c r="A204" s="50" t="s">
        <v>816</v>
      </c>
      <c r="B204" s="41" t="s">
        <v>817</v>
      </c>
      <c r="C204" s="41" t="s">
        <v>818</v>
      </c>
      <c r="D204" s="3" t="s">
        <v>819</v>
      </c>
      <c r="E204" s="3" t="s">
        <v>820</v>
      </c>
      <c r="F204" s="3" t="s">
        <v>821</v>
      </c>
    </row>
    <row r="205" customFormat="false" ht="12.8" hidden="false" customHeight="false" outlineLevel="0" collapsed="false">
      <c r="A205" s="50" t="s">
        <v>816</v>
      </c>
      <c r="B205" s="41" t="s">
        <v>822</v>
      </c>
      <c r="C205" s="41" t="s">
        <v>823</v>
      </c>
      <c r="D205" s="3" t="s">
        <v>824</v>
      </c>
      <c r="E205" s="3" t="s">
        <v>512</v>
      </c>
      <c r="F205" s="3" t="s">
        <v>825</v>
      </c>
    </row>
    <row r="206" customFormat="false" ht="12.8" hidden="false" customHeight="false" outlineLevel="0" collapsed="false">
      <c r="A206" s="50" t="s">
        <v>816</v>
      </c>
      <c r="B206" s="41" t="s">
        <v>826</v>
      </c>
      <c r="C206" s="41" t="s">
        <v>827</v>
      </c>
      <c r="D206" s="3" t="s">
        <v>828</v>
      </c>
      <c r="E206" s="3" t="s">
        <v>517</v>
      </c>
      <c r="F206" s="3" t="s">
        <v>829</v>
      </c>
    </row>
    <row r="207" customFormat="false" ht="12.8" hidden="false" customHeight="false" outlineLevel="0" collapsed="false">
      <c r="A207" s="50" t="s">
        <v>816</v>
      </c>
      <c r="B207" s="41" t="s">
        <v>830</v>
      </c>
      <c r="C207" s="41" t="s">
        <v>831</v>
      </c>
      <c r="D207" s="3" t="s">
        <v>832</v>
      </c>
      <c r="E207" s="3" t="s">
        <v>327</v>
      </c>
      <c r="F207" s="3" t="s">
        <v>833</v>
      </c>
    </row>
    <row r="208" customFormat="false" ht="12.8" hidden="false" customHeight="false" outlineLevel="0" collapsed="false">
      <c r="A208" s="50" t="s">
        <v>816</v>
      </c>
      <c r="B208" s="41" t="s">
        <v>834</v>
      </c>
      <c r="C208" s="41" t="s">
        <v>835</v>
      </c>
      <c r="D208" s="3" t="s">
        <v>836</v>
      </c>
      <c r="E208" s="3" t="s">
        <v>500</v>
      </c>
      <c r="F208" s="3" t="s">
        <v>837</v>
      </c>
    </row>
    <row r="210" customFormat="false" ht="12.8" hidden="false" customHeight="false" outlineLevel="0" collapsed="false">
      <c r="A210" s="42" t="s">
        <v>838</v>
      </c>
    </row>
    <row r="211" customFormat="false" ht="12.8" hidden="false" customHeight="false" outlineLevel="0" collapsed="false">
      <c r="A211" s="50" t="s">
        <v>167</v>
      </c>
      <c r="B211" s="41" t="s">
        <v>168</v>
      </c>
      <c r="C211" s="41" t="s">
        <v>169</v>
      </c>
      <c r="D211" s="3" t="s">
        <v>170</v>
      </c>
      <c r="E211" s="3" t="s">
        <v>171</v>
      </c>
      <c r="F211" s="3" t="s">
        <v>172</v>
      </c>
    </row>
    <row r="212" customFormat="false" ht="12.8" hidden="false" customHeight="false" outlineLevel="0" collapsed="false">
      <c r="A212" s="50" t="s">
        <v>839</v>
      </c>
      <c r="B212" s="41" t="s">
        <v>840</v>
      </c>
      <c r="C212" s="41" t="s">
        <v>841</v>
      </c>
      <c r="D212" s="3" t="s">
        <v>842</v>
      </c>
      <c r="E212" s="3" t="s">
        <v>843</v>
      </c>
      <c r="F212" s="3" t="s">
        <v>844</v>
      </c>
    </row>
    <row r="213" customFormat="false" ht="12.8" hidden="false" customHeight="false" outlineLevel="0" collapsed="false">
      <c r="A213" s="50" t="s">
        <v>839</v>
      </c>
      <c r="B213" s="41" t="s">
        <v>845</v>
      </c>
      <c r="C213" s="41" t="s">
        <v>846</v>
      </c>
      <c r="D213" s="3" t="s">
        <v>847</v>
      </c>
      <c r="E213" s="3" t="s">
        <v>391</v>
      </c>
      <c r="F213" s="3" t="s">
        <v>848</v>
      </c>
    </row>
    <row r="214" customFormat="false" ht="12.8" hidden="false" customHeight="false" outlineLevel="0" collapsed="false">
      <c r="A214" s="50" t="s">
        <v>839</v>
      </c>
      <c r="B214" s="41" t="s">
        <v>849</v>
      </c>
      <c r="C214" s="41" t="s">
        <v>850</v>
      </c>
      <c r="D214" s="3" t="s">
        <v>851</v>
      </c>
      <c r="E214" s="3" t="s">
        <v>396</v>
      </c>
      <c r="F214" s="3" t="s">
        <v>852</v>
      </c>
    </row>
    <row r="215" customFormat="false" ht="12.8" hidden="false" customHeight="false" outlineLevel="0" collapsed="false">
      <c r="A215" s="50" t="s">
        <v>839</v>
      </c>
      <c r="B215" s="41" t="s">
        <v>853</v>
      </c>
      <c r="C215" s="41" t="s">
        <v>854</v>
      </c>
      <c r="D215" s="3" t="s">
        <v>855</v>
      </c>
      <c r="E215" s="3" t="s">
        <v>327</v>
      </c>
      <c r="F215" s="3" t="s">
        <v>856</v>
      </c>
    </row>
    <row r="216" customFormat="false" ht="12.8" hidden="false" customHeight="false" outlineLevel="0" collapsed="false">
      <c r="A216" s="50" t="s">
        <v>839</v>
      </c>
      <c r="B216" s="41" t="s">
        <v>857</v>
      </c>
      <c r="C216" s="41" t="s">
        <v>858</v>
      </c>
      <c r="D216" s="3" t="s">
        <v>859</v>
      </c>
      <c r="E216" s="3" t="s">
        <v>428</v>
      </c>
      <c r="F216" s="3" t="s">
        <v>860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false" hidden="false" outlineLevel="0" max="1" min="1" style="56" width="11.53"/>
  </cols>
  <sheetData>
    <row r="1" customFormat="false" ht="12.8" hidden="false" customHeight="false" outlineLevel="0" collapsed="false">
      <c r="A1" s="12" t="s">
        <v>165</v>
      </c>
      <c r="B1" s="41" t="s">
        <v>861</v>
      </c>
    </row>
    <row r="2" customFormat="false" ht="12.8" hidden="false" customHeight="false" outlineLevel="0" collapsed="false">
      <c r="A2" s="56" t="s">
        <v>862</v>
      </c>
      <c r="B2" s="3" t="s">
        <v>863</v>
      </c>
      <c r="C2" s="3" t="s">
        <v>864</v>
      </c>
      <c r="D2" s="3" t="s">
        <v>865</v>
      </c>
      <c r="E2" s="3" t="s">
        <v>866</v>
      </c>
      <c r="F2" s="3" t="s">
        <v>867</v>
      </c>
    </row>
    <row r="3" customFormat="false" ht="12.8" hidden="false" customHeight="false" outlineLevel="0" collapsed="false">
      <c r="A3" s="56" t="s">
        <v>868</v>
      </c>
      <c r="B3" s="3" t="s">
        <v>173</v>
      </c>
      <c r="C3" s="3" t="s">
        <v>178</v>
      </c>
      <c r="D3" s="3" t="s">
        <v>179</v>
      </c>
      <c r="E3" s="3" t="s">
        <v>180</v>
      </c>
      <c r="F3" s="3" t="s">
        <v>181</v>
      </c>
    </row>
    <row r="4" customFormat="false" ht="12.8" hidden="false" customHeight="false" outlineLevel="0" collapsed="false">
      <c r="A4" s="56" t="s">
        <v>869</v>
      </c>
      <c r="B4" s="3" t="s">
        <v>173</v>
      </c>
      <c r="C4" s="3" t="s">
        <v>183</v>
      </c>
      <c r="D4" s="3" t="s">
        <v>184</v>
      </c>
      <c r="E4" s="3" t="s">
        <v>870</v>
      </c>
      <c r="F4" s="3" t="s">
        <v>871</v>
      </c>
    </row>
    <row r="5" customFormat="false" ht="12.8" hidden="false" customHeight="false" outlineLevel="0" collapsed="false">
      <c r="A5" s="56" t="s">
        <v>872</v>
      </c>
      <c r="B5" s="3" t="s">
        <v>173</v>
      </c>
      <c r="C5" s="3" t="s">
        <v>188</v>
      </c>
      <c r="D5" s="3" t="s">
        <v>189</v>
      </c>
      <c r="E5" s="3" t="s">
        <v>873</v>
      </c>
      <c r="F5" s="3" t="s">
        <v>874</v>
      </c>
    </row>
    <row r="6" customFormat="false" ht="12.8" hidden="false" customHeight="false" outlineLevel="0" collapsed="false">
      <c r="A6" s="56" t="s">
        <v>875</v>
      </c>
      <c r="B6" s="3" t="s">
        <v>173</v>
      </c>
      <c r="C6" s="3" t="s">
        <v>193</v>
      </c>
      <c r="D6" s="3" t="s">
        <v>194</v>
      </c>
      <c r="E6" s="3" t="s">
        <v>195</v>
      </c>
      <c r="F6" s="3" t="s">
        <v>196</v>
      </c>
    </row>
    <row r="7" customFormat="false" ht="12.8" hidden="false" customHeight="false" outlineLevel="0" collapsed="false">
      <c r="A7" s="56" t="s">
        <v>876</v>
      </c>
      <c r="B7" s="3" t="s">
        <v>173</v>
      </c>
      <c r="C7" s="3" t="s">
        <v>198</v>
      </c>
      <c r="D7" s="3" t="s">
        <v>199</v>
      </c>
      <c r="E7" s="3" t="s">
        <v>200</v>
      </c>
      <c r="F7" s="3" t="s">
        <v>201</v>
      </c>
    </row>
    <row r="8" customFormat="false" ht="12.8" hidden="false" customHeight="false" outlineLevel="0" collapsed="false">
      <c r="A8" s="56" t="s">
        <v>877</v>
      </c>
      <c r="B8" s="3" t="s">
        <v>173</v>
      </c>
      <c r="C8" s="3" t="s">
        <v>203</v>
      </c>
      <c r="D8" s="3" t="s">
        <v>204</v>
      </c>
      <c r="E8" s="3" t="s">
        <v>205</v>
      </c>
      <c r="F8" s="3" t="s">
        <v>206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O34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H3" activePane="bottomRight" state="frozen"/>
      <selection pane="topLeft" activeCell="A1" activeCellId="0" sqref="A1"/>
      <selection pane="topRight" activeCell="H1" activeCellId="0" sqref="H1"/>
      <selection pane="bottomLeft" activeCell="A3" activeCellId="0" sqref="A3"/>
      <selection pane="bottomRight" activeCell="K125" activeCellId="0" sqref="K125"/>
    </sheetView>
  </sheetViews>
  <sheetFormatPr defaultColWidth="11.53515625" defaultRowHeight="12.8" customHeight="false" zeroHeight="false" outlineLevelRow="0" outlineLevelCol="0"/>
  <cols>
    <col collapsed="false" customWidth="true" hidden="false" outlineLevel="0" max="1" min="1" style="55" width="25.37"/>
    <col collapsed="false" customWidth="true" hidden="false" outlineLevel="0" max="2" min="2" style="41" width="41.51"/>
    <col collapsed="false" customWidth="true" hidden="false" outlineLevel="0" max="3" min="3" style="41" width="13.84"/>
    <col collapsed="false" customWidth="true" hidden="false" outlineLevel="0" max="7" min="7" style="41" width="27.68"/>
    <col collapsed="false" customWidth="true" hidden="false" outlineLevel="0" max="8" min="8" style="41" width="13.84"/>
  </cols>
  <sheetData>
    <row r="1" customFormat="false" ht="12.8" hidden="false" customHeight="false" outlineLevel="0" collapsed="false">
      <c r="A1" s="55" t="s">
        <v>878</v>
      </c>
      <c r="B1" s="41" t="s">
        <v>879</v>
      </c>
      <c r="C1" s="57" t="s">
        <v>2</v>
      </c>
      <c r="D1" s="41"/>
      <c r="E1" s="41"/>
      <c r="F1" s="41"/>
      <c r="I1" s="3"/>
      <c r="J1" s="3"/>
      <c r="K1" s="3"/>
      <c r="L1" s="3"/>
      <c r="M1" s="3"/>
      <c r="N1" s="3"/>
      <c r="O1" s="3"/>
    </row>
    <row r="2" customFormat="false" ht="12.8" hidden="true" customHeight="false" outlineLevel="0" collapsed="false">
      <c r="A2" s="41" t="s">
        <v>880</v>
      </c>
      <c r="B2" s="41" t="s">
        <v>881</v>
      </c>
      <c r="C2" s="41" t="n">
        <v>2211</v>
      </c>
      <c r="D2" s="41" t="s">
        <v>882</v>
      </c>
      <c r="E2" s="41" t="s">
        <v>883</v>
      </c>
      <c r="F2" s="41" t="s">
        <v>884</v>
      </c>
      <c r="G2" s="41" t="s">
        <v>885</v>
      </c>
      <c r="H2" s="57" t="s">
        <v>886</v>
      </c>
      <c r="I2" s="3"/>
      <c r="J2" s="3"/>
      <c r="K2" s="3"/>
      <c r="L2" s="3"/>
      <c r="M2" s="3"/>
      <c r="N2" s="3"/>
      <c r="O2" s="3"/>
    </row>
    <row r="3" customFormat="false" ht="12.8" hidden="true" customHeight="false" outlineLevel="0" collapsed="false">
      <c r="A3" s="41" t="s">
        <v>887</v>
      </c>
      <c r="B3" s="41" t="s">
        <v>888</v>
      </c>
      <c r="C3" s="41" t="n">
        <v>33</v>
      </c>
      <c r="D3" s="41" t="s">
        <v>889</v>
      </c>
      <c r="E3" s="41" t="s">
        <v>890</v>
      </c>
      <c r="F3" s="41" t="s">
        <v>891</v>
      </c>
      <c r="G3" s="41" t="s">
        <v>892</v>
      </c>
      <c r="H3" s="57" t="s">
        <v>886</v>
      </c>
      <c r="I3" s="3"/>
      <c r="J3" s="3"/>
      <c r="K3" s="3"/>
      <c r="L3" s="3"/>
      <c r="M3" s="3"/>
      <c r="N3" s="3"/>
      <c r="O3" s="3"/>
    </row>
    <row r="4" customFormat="false" ht="12.8" hidden="true" customHeight="false" outlineLevel="0" collapsed="false">
      <c r="A4" s="41" t="s">
        <v>893</v>
      </c>
      <c r="B4" s="41" t="s">
        <v>894</v>
      </c>
      <c r="C4" s="41" t="n">
        <v>112</v>
      </c>
      <c r="D4" s="41" t="s">
        <v>895</v>
      </c>
      <c r="E4" s="41" t="s">
        <v>896</v>
      </c>
      <c r="F4" s="41" t="s">
        <v>884</v>
      </c>
      <c r="G4" s="41" t="s">
        <v>897</v>
      </c>
      <c r="H4" s="57" t="s">
        <v>886</v>
      </c>
      <c r="I4" s="3"/>
      <c r="J4" s="3"/>
      <c r="K4" s="3"/>
      <c r="L4" s="3"/>
      <c r="M4" s="3"/>
      <c r="N4" s="3"/>
      <c r="O4" s="3"/>
    </row>
    <row r="5" customFormat="false" ht="12.8" hidden="true" customHeight="false" outlineLevel="0" collapsed="false">
      <c r="A5" s="41" t="s">
        <v>898</v>
      </c>
      <c r="B5" s="41" t="s">
        <v>899</v>
      </c>
      <c r="C5" s="41" t="n">
        <v>287</v>
      </c>
      <c r="D5" s="41" t="s">
        <v>900</v>
      </c>
      <c r="E5" s="41" t="s">
        <v>896</v>
      </c>
      <c r="F5" s="41" t="s">
        <v>884</v>
      </c>
      <c r="G5" s="41" t="s">
        <v>897</v>
      </c>
      <c r="H5" s="57" t="s">
        <v>886</v>
      </c>
      <c r="I5" s="3"/>
      <c r="J5" s="3"/>
      <c r="K5" s="3"/>
      <c r="L5" s="3"/>
      <c r="M5" s="3"/>
      <c r="N5" s="3"/>
      <c r="O5" s="3"/>
    </row>
    <row r="6" customFormat="false" ht="12.8" hidden="true" customHeight="false" outlineLevel="0" collapsed="false">
      <c r="A6" s="41" t="s">
        <v>901</v>
      </c>
      <c r="B6" s="41" t="s">
        <v>902</v>
      </c>
      <c r="C6" s="41" t="n">
        <v>408</v>
      </c>
      <c r="D6" s="41" t="s">
        <v>903</v>
      </c>
      <c r="E6" s="41" t="s">
        <v>896</v>
      </c>
      <c r="F6" s="41" t="s">
        <v>884</v>
      </c>
      <c r="G6" s="41" t="s">
        <v>897</v>
      </c>
      <c r="H6" s="57" t="s">
        <v>886</v>
      </c>
      <c r="I6" s="3"/>
      <c r="J6" s="3"/>
      <c r="K6" s="3"/>
      <c r="L6" s="3"/>
      <c r="M6" s="3"/>
      <c r="N6" s="3"/>
      <c r="O6" s="3"/>
    </row>
    <row r="7" customFormat="false" ht="12.8" hidden="true" customHeight="false" outlineLevel="0" collapsed="false">
      <c r="A7" s="41" t="s">
        <v>904</v>
      </c>
      <c r="B7" s="41" t="s">
        <v>905</v>
      </c>
      <c r="C7" s="41" t="n">
        <v>23</v>
      </c>
      <c r="D7" s="41" t="s">
        <v>906</v>
      </c>
      <c r="E7" s="41" t="s">
        <v>896</v>
      </c>
      <c r="F7" s="41" t="s">
        <v>884</v>
      </c>
      <c r="G7" s="41" t="s">
        <v>897</v>
      </c>
      <c r="H7" s="57" t="s">
        <v>886</v>
      </c>
      <c r="I7" s="3"/>
      <c r="J7" s="3"/>
      <c r="K7" s="3"/>
      <c r="L7" s="3"/>
      <c r="M7" s="3"/>
      <c r="N7" s="3"/>
      <c r="O7" s="3"/>
    </row>
    <row r="8" customFormat="false" ht="12.8" hidden="true" customHeight="false" outlineLevel="0" collapsed="false">
      <c r="A8" s="41" t="s">
        <v>907</v>
      </c>
      <c r="B8" s="41" t="s">
        <v>908</v>
      </c>
      <c r="C8" s="41" t="n">
        <v>101</v>
      </c>
      <c r="D8" s="41" t="s">
        <v>909</v>
      </c>
      <c r="E8" s="41" t="s">
        <v>896</v>
      </c>
      <c r="F8" s="41" t="s">
        <v>884</v>
      </c>
      <c r="G8" s="41" t="s">
        <v>897</v>
      </c>
      <c r="H8" s="57" t="s">
        <v>886</v>
      </c>
      <c r="I8" s="3"/>
      <c r="J8" s="3"/>
      <c r="K8" s="3"/>
      <c r="L8" s="3"/>
      <c r="M8" s="3"/>
      <c r="N8" s="3"/>
      <c r="O8" s="3"/>
    </row>
    <row r="9" customFormat="false" ht="12.8" hidden="true" customHeight="false" outlineLevel="0" collapsed="false">
      <c r="A9" s="41" t="s">
        <v>910</v>
      </c>
      <c r="B9" s="41" t="s">
        <v>911</v>
      </c>
      <c r="C9" s="41" t="n">
        <v>261</v>
      </c>
      <c r="D9" s="41" t="s">
        <v>912</v>
      </c>
      <c r="E9" s="41" t="s">
        <v>896</v>
      </c>
      <c r="F9" s="41" t="s">
        <v>884</v>
      </c>
      <c r="G9" s="41" t="s">
        <v>897</v>
      </c>
      <c r="H9" s="57" t="s">
        <v>886</v>
      </c>
      <c r="I9" s="3"/>
      <c r="J9" s="3"/>
      <c r="K9" s="3"/>
      <c r="L9" s="3"/>
      <c r="M9" s="3"/>
      <c r="N9" s="3"/>
      <c r="O9" s="3"/>
    </row>
    <row r="10" customFormat="false" ht="12.8" hidden="true" customHeight="false" outlineLevel="0" collapsed="false">
      <c r="A10" s="41" t="s">
        <v>913</v>
      </c>
      <c r="B10" s="41" t="s">
        <v>914</v>
      </c>
      <c r="C10" s="41" t="n">
        <v>273</v>
      </c>
      <c r="D10" s="41" t="s">
        <v>915</v>
      </c>
      <c r="E10" s="41" t="s">
        <v>896</v>
      </c>
      <c r="F10" s="41" t="s">
        <v>884</v>
      </c>
      <c r="G10" s="41" t="s">
        <v>897</v>
      </c>
      <c r="H10" s="57" t="s">
        <v>886</v>
      </c>
      <c r="I10" s="3"/>
      <c r="J10" s="3"/>
      <c r="K10" s="3"/>
      <c r="L10" s="3"/>
      <c r="M10" s="3"/>
      <c r="N10" s="3"/>
      <c r="O10" s="3"/>
    </row>
    <row r="11" customFormat="false" ht="12.8" hidden="true" customHeight="false" outlineLevel="0" collapsed="false">
      <c r="A11" s="41" t="s">
        <v>916</v>
      </c>
      <c r="B11" s="41" t="s">
        <v>917</v>
      </c>
      <c r="C11" s="41" t="n">
        <v>217</v>
      </c>
      <c r="D11" s="41" t="s">
        <v>918</v>
      </c>
      <c r="E11" s="41" t="s">
        <v>896</v>
      </c>
      <c r="F11" s="41" t="s">
        <v>884</v>
      </c>
      <c r="G11" s="41" t="s">
        <v>897</v>
      </c>
      <c r="H11" s="57" t="s">
        <v>886</v>
      </c>
      <c r="I11" s="3"/>
      <c r="J11" s="3"/>
      <c r="K11" s="3"/>
      <c r="L11" s="3"/>
      <c r="M11" s="3"/>
      <c r="N11" s="3"/>
      <c r="O11" s="3"/>
    </row>
    <row r="12" customFormat="false" ht="12.8" hidden="true" customHeight="false" outlineLevel="0" collapsed="false">
      <c r="A12" s="41" t="s">
        <v>919</v>
      </c>
      <c r="B12" s="41" t="s">
        <v>920</v>
      </c>
      <c r="C12" s="41" t="n">
        <v>99</v>
      </c>
      <c r="D12" s="41" t="s">
        <v>921</v>
      </c>
      <c r="E12" s="41" t="s">
        <v>896</v>
      </c>
      <c r="F12" s="41" t="s">
        <v>884</v>
      </c>
      <c r="G12" s="41" t="s">
        <v>897</v>
      </c>
      <c r="H12" s="57" t="s">
        <v>886</v>
      </c>
      <c r="I12" s="3"/>
      <c r="J12" s="3"/>
      <c r="K12" s="3"/>
      <c r="L12" s="3"/>
      <c r="M12" s="3"/>
      <c r="N12" s="3"/>
      <c r="O12" s="3"/>
    </row>
    <row r="13" customFormat="false" ht="12.8" hidden="true" customHeight="false" outlineLevel="0" collapsed="false">
      <c r="A13" s="41" t="s">
        <v>922</v>
      </c>
      <c r="B13" s="41" t="s">
        <v>923</v>
      </c>
      <c r="C13" s="41" t="n">
        <v>421</v>
      </c>
      <c r="D13" s="41" t="s">
        <v>924</v>
      </c>
      <c r="E13" s="41" t="s">
        <v>896</v>
      </c>
      <c r="F13" s="41" t="s">
        <v>884</v>
      </c>
      <c r="G13" s="41" t="s">
        <v>897</v>
      </c>
      <c r="H13" s="57" t="s">
        <v>886</v>
      </c>
      <c r="I13" s="3"/>
      <c r="J13" s="3"/>
      <c r="K13" s="3"/>
      <c r="L13" s="3"/>
      <c r="M13" s="3"/>
      <c r="N13" s="3"/>
      <c r="O13" s="3"/>
    </row>
    <row r="14" customFormat="false" ht="12.8" hidden="true" customHeight="false" outlineLevel="0" collapsed="false">
      <c r="A14" s="41" t="s">
        <v>925</v>
      </c>
      <c r="B14" s="41" t="s">
        <v>926</v>
      </c>
      <c r="C14" s="41" t="n">
        <v>2317</v>
      </c>
      <c r="D14" s="41" t="s">
        <v>927</v>
      </c>
      <c r="E14" s="41" t="s">
        <v>928</v>
      </c>
      <c r="F14" s="41" t="s">
        <v>884</v>
      </c>
      <c r="G14" s="41" t="s">
        <v>929</v>
      </c>
      <c r="H14" s="57" t="s">
        <v>886</v>
      </c>
      <c r="I14" s="3"/>
      <c r="J14" s="3"/>
      <c r="K14" s="3"/>
      <c r="L14" s="3"/>
      <c r="M14" s="3"/>
      <c r="N14" s="3"/>
      <c r="O14" s="3"/>
    </row>
    <row r="15" customFormat="false" ht="12.8" hidden="true" customHeight="false" outlineLevel="0" collapsed="false">
      <c r="A15" s="41" t="s">
        <v>930</v>
      </c>
      <c r="B15" s="41" t="s">
        <v>931</v>
      </c>
      <c r="C15" s="41" t="n">
        <v>9</v>
      </c>
      <c r="D15" s="41" t="s">
        <v>932</v>
      </c>
      <c r="E15" s="41" t="s">
        <v>896</v>
      </c>
      <c r="F15" s="41" t="s">
        <v>884</v>
      </c>
      <c r="G15" s="41" t="s">
        <v>897</v>
      </c>
      <c r="H15" s="57" t="s">
        <v>886</v>
      </c>
      <c r="I15" s="3"/>
      <c r="J15" s="3"/>
      <c r="K15" s="3"/>
      <c r="L15" s="3"/>
      <c r="M15" s="3"/>
      <c r="N15" s="3"/>
      <c r="O15" s="3"/>
    </row>
    <row r="16" customFormat="false" ht="12.8" hidden="true" customHeight="false" outlineLevel="0" collapsed="false">
      <c r="A16" s="41" t="s">
        <v>933</v>
      </c>
      <c r="B16" s="41" t="s">
        <v>934</v>
      </c>
      <c r="C16" s="41" t="n">
        <v>2211</v>
      </c>
      <c r="D16" s="41" t="s">
        <v>935</v>
      </c>
      <c r="E16" s="41" t="s">
        <v>896</v>
      </c>
      <c r="F16" s="41" t="s">
        <v>884</v>
      </c>
      <c r="G16" s="41" t="s">
        <v>936</v>
      </c>
      <c r="H16" s="57" t="s">
        <v>886</v>
      </c>
      <c r="I16" s="3"/>
      <c r="J16" s="3"/>
      <c r="K16" s="3"/>
      <c r="L16" s="3"/>
      <c r="M16" s="3"/>
      <c r="N16" s="3"/>
      <c r="O16" s="3"/>
    </row>
    <row r="17" customFormat="false" ht="12.8" hidden="true" customHeight="false" outlineLevel="0" collapsed="false">
      <c r="A17" s="41" t="s">
        <v>937</v>
      </c>
      <c r="B17" s="41" t="s">
        <v>938</v>
      </c>
      <c r="C17" s="41" t="n">
        <v>0.75</v>
      </c>
      <c r="D17" s="41" t="s">
        <v>939</v>
      </c>
      <c r="E17" s="41" t="s">
        <v>940</v>
      </c>
      <c r="F17" s="41" t="s">
        <v>891</v>
      </c>
      <c r="G17" s="41" t="s">
        <v>941</v>
      </c>
      <c r="H17" s="57" t="s">
        <v>886</v>
      </c>
      <c r="I17" s="3"/>
      <c r="J17" s="3"/>
      <c r="K17" s="3"/>
      <c r="L17" s="3"/>
      <c r="M17" s="3"/>
      <c r="N17" s="3"/>
      <c r="O17" s="3"/>
    </row>
    <row r="18" customFormat="false" ht="12.8" hidden="true" customHeight="false" outlineLevel="0" collapsed="false">
      <c r="A18" s="41" t="s">
        <v>942</v>
      </c>
      <c r="B18" s="41" t="s">
        <v>943</v>
      </c>
      <c r="C18" s="41" t="n">
        <v>0.82</v>
      </c>
      <c r="D18" s="41" t="s">
        <v>944</v>
      </c>
      <c r="E18" s="41" t="s">
        <v>945</v>
      </c>
      <c r="F18" s="41" t="s">
        <v>884</v>
      </c>
      <c r="G18" s="41" t="s">
        <v>946</v>
      </c>
      <c r="H18" s="57" t="s">
        <v>886</v>
      </c>
      <c r="I18" s="3"/>
      <c r="J18" s="3"/>
      <c r="K18" s="3"/>
      <c r="L18" s="3"/>
      <c r="M18" s="3"/>
      <c r="N18" s="3"/>
      <c r="O18" s="3"/>
    </row>
    <row r="19" customFormat="false" ht="12.8" hidden="true" customHeight="false" outlineLevel="0" collapsed="false">
      <c r="A19" s="41" t="s">
        <v>947</v>
      </c>
      <c r="B19" s="41" t="s">
        <v>948</v>
      </c>
      <c r="C19" s="41" t="n">
        <v>0.7</v>
      </c>
      <c r="D19" s="41" t="s">
        <v>949</v>
      </c>
      <c r="E19" s="41" t="s">
        <v>945</v>
      </c>
      <c r="F19" s="41" t="s">
        <v>884</v>
      </c>
      <c r="G19" s="41" t="s">
        <v>946</v>
      </c>
      <c r="H19" s="57" t="s">
        <v>886</v>
      </c>
      <c r="I19" s="3"/>
      <c r="J19" s="3"/>
      <c r="K19" s="3"/>
      <c r="L19" s="3"/>
      <c r="M19" s="3"/>
      <c r="N19" s="3"/>
      <c r="O19" s="3"/>
    </row>
    <row r="20" customFormat="false" ht="12.8" hidden="true" customHeight="false" outlineLevel="0" collapsed="false">
      <c r="A20" s="41" t="s">
        <v>950</v>
      </c>
      <c r="B20" s="41" t="s">
        <v>951</v>
      </c>
      <c r="C20" s="41" t="n">
        <v>0.68</v>
      </c>
      <c r="D20" s="41" t="s">
        <v>952</v>
      </c>
      <c r="E20" s="41" t="s">
        <v>945</v>
      </c>
      <c r="F20" s="41" t="s">
        <v>884</v>
      </c>
      <c r="G20" s="41" t="s">
        <v>946</v>
      </c>
      <c r="H20" s="57" t="s">
        <v>886</v>
      </c>
      <c r="I20" s="3"/>
      <c r="J20" s="3"/>
      <c r="K20" s="3"/>
      <c r="L20" s="3"/>
      <c r="M20" s="3"/>
      <c r="N20" s="3"/>
      <c r="O20" s="3"/>
    </row>
    <row r="21" customFormat="false" ht="12.8" hidden="true" customHeight="false" outlineLevel="0" collapsed="false">
      <c r="A21" s="41" t="s">
        <v>953</v>
      </c>
      <c r="B21" s="41" t="s">
        <v>954</v>
      </c>
      <c r="C21" s="41" t="n">
        <v>0.78</v>
      </c>
      <c r="D21" s="41" t="s">
        <v>955</v>
      </c>
      <c r="E21" s="41" t="s">
        <v>945</v>
      </c>
      <c r="F21" s="41" t="s">
        <v>891</v>
      </c>
      <c r="G21" s="41" t="s">
        <v>946</v>
      </c>
      <c r="H21" s="57" t="s">
        <v>886</v>
      </c>
      <c r="I21" s="3"/>
      <c r="J21" s="3"/>
      <c r="K21" s="3"/>
      <c r="L21" s="3"/>
      <c r="M21" s="3"/>
      <c r="N21" s="3"/>
      <c r="O21" s="3"/>
    </row>
    <row r="22" customFormat="false" ht="12.8" hidden="true" customHeight="false" outlineLevel="0" collapsed="false">
      <c r="A22" s="41" t="s">
        <v>956</v>
      </c>
      <c r="B22" s="41" t="s">
        <v>957</v>
      </c>
      <c r="C22" s="41" t="n">
        <v>0.65</v>
      </c>
      <c r="D22" s="41" t="s">
        <v>958</v>
      </c>
      <c r="E22" s="41" t="s">
        <v>945</v>
      </c>
      <c r="F22" s="41" t="s">
        <v>884</v>
      </c>
      <c r="G22" s="41" t="s">
        <v>946</v>
      </c>
      <c r="H22" s="57" t="s">
        <v>886</v>
      </c>
      <c r="I22" s="3"/>
      <c r="J22" s="3"/>
      <c r="K22" s="3"/>
      <c r="L22" s="3"/>
      <c r="M22" s="3"/>
      <c r="N22" s="3"/>
      <c r="O22" s="3"/>
    </row>
    <row r="23" customFormat="false" ht="12.8" hidden="true" customHeight="false" outlineLevel="0" collapsed="false">
      <c r="A23" s="41" t="s">
        <v>959</v>
      </c>
      <c r="B23" s="41" t="s">
        <v>960</v>
      </c>
      <c r="C23" s="41" t="n">
        <v>35.5</v>
      </c>
      <c r="D23" s="41" t="s">
        <v>961</v>
      </c>
      <c r="E23" s="41" t="s">
        <v>962</v>
      </c>
      <c r="F23" s="41" t="s">
        <v>884</v>
      </c>
      <c r="G23" s="41" t="s">
        <v>963</v>
      </c>
      <c r="H23" s="57" t="s">
        <v>886</v>
      </c>
      <c r="I23" s="3"/>
      <c r="J23" s="3"/>
      <c r="K23" s="3"/>
      <c r="L23" s="3"/>
      <c r="M23" s="3"/>
      <c r="N23" s="3"/>
      <c r="O23" s="3"/>
    </row>
    <row r="24" customFormat="false" ht="12.8" hidden="true" customHeight="false" outlineLevel="0" collapsed="false">
      <c r="A24" s="41" t="s">
        <v>964</v>
      </c>
      <c r="B24" s="41" t="s">
        <v>965</v>
      </c>
      <c r="C24" s="41" t="n">
        <v>40</v>
      </c>
      <c r="D24" s="41" t="s">
        <v>966</v>
      </c>
      <c r="E24" s="41" t="s">
        <v>967</v>
      </c>
      <c r="F24" s="41" t="s">
        <v>884</v>
      </c>
      <c r="G24" s="41" t="s">
        <v>968</v>
      </c>
      <c r="H24" s="57" t="s">
        <v>886</v>
      </c>
      <c r="I24" s="3"/>
      <c r="J24" s="3"/>
      <c r="K24" s="3"/>
      <c r="L24" s="3"/>
      <c r="M24" s="3"/>
      <c r="N24" s="3"/>
      <c r="O24" s="3"/>
    </row>
    <row r="25" customFormat="false" ht="12.8" hidden="true" customHeight="false" outlineLevel="0" collapsed="false">
      <c r="A25" s="41" t="s">
        <v>969</v>
      </c>
      <c r="B25" s="41" t="s">
        <v>970</v>
      </c>
      <c r="C25" s="41" t="n">
        <v>39.5</v>
      </c>
      <c r="D25" s="41" t="s">
        <v>971</v>
      </c>
      <c r="E25" s="41" t="s">
        <v>967</v>
      </c>
      <c r="F25" s="41" t="s">
        <v>884</v>
      </c>
      <c r="G25" s="41" t="s">
        <v>968</v>
      </c>
      <c r="H25" s="57" t="s">
        <v>886</v>
      </c>
      <c r="I25" s="3"/>
      <c r="J25" s="3"/>
      <c r="K25" s="3"/>
      <c r="L25" s="3"/>
      <c r="M25" s="3"/>
      <c r="N25" s="3"/>
      <c r="O25" s="3"/>
    </row>
    <row r="26" customFormat="false" ht="12.8" hidden="true" customHeight="false" outlineLevel="0" collapsed="false">
      <c r="A26" s="41" t="s">
        <v>972</v>
      </c>
      <c r="B26" s="41" t="s">
        <v>973</v>
      </c>
      <c r="C26" s="41" t="n">
        <v>-0.03</v>
      </c>
      <c r="D26" s="41" t="s">
        <v>974</v>
      </c>
      <c r="E26" s="41" t="s">
        <v>975</v>
      </c>
      <c r="F26" s="41" t="s">
        <v>891</v>
      </c>
      <c r="G26" s="41" t="s">
        <v>976</v>
      </c>
      <c r="H26" s="57" t="s">
        <v>886</v>
      </c>
      <c r="I26" s="3"/>
      <c r="J26" s="3"/>
      <c r="K26" s="3"/>
      <c r="L26" s="3"/>
      <c r="M26" s="3"/>
      <c r="N26" s="3"/>
      <c r="O26" s="3"/>
    </row>
    <row r="27" customFormat="false" ht="12.8" hidden="true" customHeight="false" outlineLevel="0" collapsed="false">
      <c r="A27" s="41" t="s">
        <v>977</v>
      </c>
      <c r="B27" s="41" t="s">
        <v>978</v>
      </c>
      <c r="C27" s="41" t="n">
        <v>2.5</v>
      </c>
      <c r="D27" s="41" t="s">
        <v>979</v>
      </c>
      <c r="E27" s="41" t="s">
        <v>980</v>
      </c>
      <c r="F27" s="41" t="s">
        <v>891</v>
      </c>
      <c r="G27" s="41" t="s">
        <v>968</v>
      </c>
      <c r="H27" s="57" t="s">
        <v>886</v>
      </c>
      <c r="I27" s="3"/>
      <c r="J27" s="3"/>
      <c r="K27" s="3"/>
      <c r="L27" s="3"/>
      <c r="M27" s="3"/>
      <c r="N27" s="3"/>
      <c r="O27" s="3"/>
    </row>
    <row r="28" customFormat="false" ht="12.8" hidden="true" customHeight="false" outlineLevel="0" collapsed="false">
      <c r="A28" s="41" t="s">
        <v>981</v>
      </c>
      <c r="B28" s="41" t="s">
        <v>982</v>
      </c>
      <c r="C28" s="41" t="n">
        <v>0.15</v>
      </c>
      <c r="D28" s="41" t="s">
        <v>983</v>
      </c>
      <c r="E28" s="41" t="s">
        <v>984</v>
      </c>
      <c r="F28" s="41" t="s">
        <v>891</v>
      </c>
      <c r="G28" s="41" t="s">
        <v>985</v>
      </c>
      <c r="H28" s="57" t="s">
        <v>886</v>
      </c>
      <c r="I28" s="3"/>
      <c r="J28" s="3"/>
      <c r="K28" s="3"/>
      <c r="L28" s="3"/>
      <c r="M28" s="3"/>
      <c r="N28" s="3"/>
      <c r="O28" s="3"/>
    </row>
    <row r="29" customFormat="false" ht="12.8" hidden="true" customHeight="false" outlineLevel="0" collapsed="false">
      <c r="A29" s="41" t="s">
        <v>986</v>
      </c>
      <c r="B29" s="41" t="s">
        <v>987</v>
      </c>
      <c r="C29" s="41" t="n">
        <v>0.12</v>
      </c>
      <c r="D29" s="41" t="s">
        <v>988</v>
      </c>
      <c r="E29" s="41" t="s">
        <v>984</v>
      </c>
      <c r="F29" s="41" t="s">
        <v>891</v>
      </c>
      <c r="G29" s="41" t="s">
        <v>985</v>
      </c>
      <c r="H29" s="57" t="s">
        <v>886</v>
      </c>
      <c r="I29" s="3"/>
      <c r="J29" s="3"/>
      <c r="K29" s="3"/>
      <c r="L29" s="3"/>
      <c r="M29" s="3"/>
      <c r="N29" s="3"/>
      <c r="O29" s="3"/>
    </row>
    <row r="30" customFormat="false" ht="12.8" hidden="true" customHeight="false" outlineLevel="0" collapsed="false">
      <c r="A30" s="41" t="s">
        <v>989</v>
      </c>
      <c r="B30" s="41" t="s">
        <v>990</v>
      </c>
      <c r="C30" s="41" t="n">
        <v>1.45</v>
      </c>
      <c r="D30" s="41" t="s">
        <v>991</v>
      </c>
      <c r="E30" s="41" t="s">
        <v>992</v>
      </c>
      <c r="F30" s="41" t="s">
        <v>884</v>
      </c>
      <c r="G30" s="41" t="s">
        <v>993</v>
      </c>
      <c r="H30" s="57" t="s">
        <v>886</v>
      </c>
      <c r="I30" s="3"/>
      <c r="J30" s="3"/>
      <c r="K30" s="3"/>
      <c r="L30" s="3"/>
      <c r="M30" s="3"/>
      <c r="N30" s="3"/>
      <c r="O30" s="3"/>
    </row>
    <row r="31" customFormat="false" ht="12.8" hidden="true" customHeight="false" outlineLevel="0" collapsed="false">
      <c r="A31" s="41" t="s">
        <v>994</v>
      </c>
      <c r="B31" s="41" t="s">
        <v>995</v>
      </c>
      <c r="C31" s="41" t="n">
        <v>8.33</v>
      </c>
      <c r="D31" s="41" t="s">
        <v>996</v>
      </c>
      <c r="E31" s="41" t="s">
        <v>997</v>
      </c>
      <c r="F31" s="41" t="s">
        <v>884</v>
      </c>
      <c r="G31" s="41" t="s">
        <v>998</v>
      </c>
      <c r="H31" s="57" t="s">
        <v>886</v>
      </c>
      <c r="I31" s="3"/>
      <c r="J31" s="3"/>
      <c r="K31" s="3"/>
      <c r="L31" s="3"/>
      <c r="M31" s="3"/>
      <c r="N31" s="3"/>
      <c r="O31" s="3"/>
    </row>
    <row r="32" customFormat="false" ht="12.8" hidden="true" customHeight="false" outlineLevel="0" collapsed="false">
      <c r="A32" s="41" t="s">
        <v>999</v>
      </c>
      <c r="B32" s="41" t="s">
        <v>1000</v>
      </c>
      <c r="C32" s="41" t="n">
        <v>0.75</v>
      </c>
      <c r="D32" s="41" t="s">
        <v>1001</v>
      </c>
      <c r="E32" s="41" t="s">
        <v>1002</v>
      </c>
      <c r="F32" s="41" t="s">
        <v>884</v>
      </c>
      <c r="G32" s="41" t="s">
        <v>1003</v>
      </c>
      <c r="H32" s="57" t="s">
        <v>886</v>
      </c>
      <c r="I32" s="3"/>
      <c r="J32" s="3"/>
      <c r="K32" s="3"/>
      <c r="L32" s="3"/>
      <c r="M32" s="3"/>
      <c r="N32" s="3"/>
      <c r="O32" s="3"/>
    </row>
    <row r="33" customFormat="false" ht="12.8" hidden="true" customHeight="false" outlineLevel="0" collapsed="false">
      <c r="A33" s="41" t="s">
        <v>1004</v>
      </c>
      <c r="B33" s="41" t="s">
        <v>1005</v>
      </c>
      <c r="C33" s="41" t="n">
        <v>0.85</v>
      </c>
      <c r="D33" s="41" t="s">
        <v>1006</v>
      </c>
      <c r="E33" s="41" t="s">
        <v>1007</v>
      </c>
      <c r="F33" s="41" t="s">
        <v>891</v>
      </c>
      <c r="G33" s="41" t="s">
        <v>1008</v>
      </c>
      <c r="H33" s="57" t="s">
        <v>886</v>
      </c>
      <c r="I33" s="3"/>
      <c r="J33" s="3"/>
      <c r="K33" s="3"/>
      <c r="L33" s="3"/>
      <c r="M33" s="3"/>
      <c r="N33" s="3"/>
      <c r="O33" s="3"/>
    </row>
    <row r="34" customFormat="false" ht="12.8" hidden="true" customHeight="false" outlineLevel="0" collapsed="false">
      <c r="A34" s="41" t="s">
        <v>1009</v>
      </c>
      <c r="B34" s="41" t="s">
        <v>1010</v>
      </c>
      <c r="C34" s="41" t="n">
        <v>1</v>
      </c>
      <c r="D34" s="41" t="s">
        <v>1011</v>
      </c>
      <c r="E34" s="41" t="s">
        <v>1012</v>
      </c>
      <c r="F34" s="41" t="s">
        <v>884</v>
      </c>
      <c r="G34" s="41" t="s">
        <v>1013</v>
      </c>
      <c r="H34" s="57" t="s">
        <v>886</v>
      </c>
      <c r="I34" s="3"/>
      <c r="J34" s="3"/>
      <c r="K34" s="3"/>
      <c r="L34" s="3"/>
      <c r="M34" s="3"/>
      <c r="N34" s="3"/>
      <c r="O34" s="3"/>
    </row>
    <row r="35" customFormat="false" ht="12.8" hidden="true" customHeight="false" outlineLevel="0" collapsed="false">
      <c r="A35" s="41" t="s">
        <v>1014</v>
      </c>
      <c r="B35" s="41" t="s">
        <v>1015</v>
      </c>
      <c r="C35" s="41" t="n">
        <v>0.8</v>
      </c>
      <c r="D35" s="41" t="s">
        <v>1016</v>
      </c>
      <c r="E35" s="41" t="s">
        <v>1017</v>
      </c>
      <c r="F35" s="41" t="s">
        <v>891</v>
      </c>
      <c r="G35" s="41" t="s">
        <v>1018</v>
      </c>
      <c r="H35" s="57" t="s">
        <v>886</v>
      </c>
      <c r="I35" s="3"/>
      <c r="J35" s="3"/>
      <c r="K35" s="3"/>
      <c r="L35" s="3"/>
      <c r="M35" s="3"/>
      <c r="N35" s="3"/>
      <c r="O35" s="3"/>
    </row>
    <row r="36" customFormat="false" ht="12.8" hidden="true" customHeight="false" outlineLevel="0" collapsed="false">
      <c r="A36" s="41" t="s">
        <v>1019</v>
      </c>
      <c r="B36" s="41" t="s">
        <v>1020</v>
      </c>
      <c r="C36" s="41" t="n">
        <v>0.5</v>
      </c>
      <c r="D36" s="41" t="s">
        <v>1021</v>
      </c>
      <c r="E36" s="41" t="s">
        <v>1017</v>
      </c>
      <c r="F36" s="41" t="s">
        <v>891</v>
      </c>
      <c r="G36" s="41" t="s">
        <v>1022</v>
      </c>
      <c r="H36" s="57" t="s">
        <v>886</v>
      </c>
      <c r="I36" s="3"/>
      <c r="J36" s="3"/>
      <c r="K36" s="3"/>
      <c r="L36" s="3"/>
      <c r="M36" s="3"/>
      <c r="N36" s="3"/>
      <c r="O36" s="3"/>
    </row>
    <row r="37" customFormat="false" ht="12.8" hidden="true" customHeight="false" outlineLevel="0" collapsed="false">
      <c r="A37" s="41" t="s">
        <v>1023</v>
      </c>
      <c r="B37" s="41" t="s">
        <v>1024</v>
      </c>
      <c r="C37" s="41" t="n">
        <v>1</v>
      </c>
      <c r="D37" s="41" t="s">
        <v>1025</v>
      </c>
      <c r="E37" s="41" t="s">
        <v>1012</v>
      </c>
      <c r="F37" s="41" t="s">
        <v>884</v>
      </c>
      <c r="G37" s="41" t="s">
        <v>1013</v>
      </c>
      <c r="H37" s="57" t="s">
        <v>886</v>
      </c>
      <c r="I37" s="3"/>
      <c r="J37" s="3"/>
      <c r="K37" s="3"/>
      <c r="L37" s="3"/>
      <c r="M37" s="3"/>
      <c r="N37" s="3"/>
      <c r="O37" s="3"/>
    </row>
    <row r="38" customFormat="false" ht="12.8" hidden="true" customHeight="false" outlineLevel="0" collapsed="false">
      <c r="A38" s="41" t="s">
        <v>1026</v>
      </c>
      <c r="B38" s="41" t="s">
        <v>1027</v>
      </c>
      <c r="C38" s="41" t="n">
        <v>0.5</v>
      </c>
      <c r="D38" s="41" t="s">
        <v>1028</v>
      </c>
      <c r="E38" s="41" t="s">
        <v>1029</v>
      </c>
      <c r="F38" s="41" t="s">
        <v>891</v>
      </c>
      <c r="G38" s="41" t="s">
        <v>1018</v>
      </c>
      <c r="H38" s="57" t="s">
        <v>886</v>
      </c>
      <c r="I38" s="3"/>
      <c r="J38" s="3"/>
      <c r="K38" s="3"/>
      <c r="L38" s="3"/>
      <c r="M38" s="3"/>
      <c r="N38" s="3"/>
      <c r="O38" s="3"/>
    </row>
    <row r="39" customFormat="false" ht="12.8" hidden="true" customHeight="false" outlineLevel="0" collapsed="false">
      <c r="A39" s="41" t="s">
        <v>1030</v>
      </c>
      <c r="B39" s="41" t="s">
        <v>1031</v>
      </c>
      <c r="C39" s="41" t="n">
        <v>0.3</v>
      </c>
      <c r="D39" s="41" t="s">
        <v>1032</v>
      </c>
      <c r="E39" s="41" t="s">
        <v>1033</v>
      </c>
      <c r="F39" s="41" t="s">
        <v>891</v>
      </c>
      <c r="G39" s="41" t="s">
        <v>1018</v>
      </c>
      <c r="H39" s="57" t="s">
        <v>886</v>
      </c>
      <c r="I39" s="3"/>
      <c r="J39" s="3"/>
      <c r="K39" s="3"/>
      <c r="L39" s="3"/>
      <c r="M39" s="3"/>
      <c r="N39" s="3"/>
      <c r="O39" s="3"/>
    </row>
    <row r="40" customFormat="false" ht="12.8" hidden="true" customHeight="false" outlineLevel="0" collapsed="false">
      <c r="A40" s="41" t="s">
        <v>1034</v>
      </c>
      <c r="B40" s="41" t="s">
        <v>1035</v>
      </c>
      <c r="C40" s="41" t="n">
        <v>0.09</v>
      </c>
      <c r="D40" s="41" t="s">
        <v>1036</v>
      </c>
      <c r="E40" s="41" t="s">
        <v>1037</v>
      </c>
      <c r="F40" s="41" t="s">
        <v>891</v>
      </c>
      <c r="G40" s="41" t="s">
        <v>1038</v>
      </c>
      <c r="H40" s="57" t="s">
        <v>886</v>
      </c>
      <c r="I40" s="3"/>
      <c r="J40" s="3"/>
      <c r="K40" s="3"/>
      <c r="L40" s="3"/>
      <c r="M40" s="3"/>
      <c r="N40" s="3"/>
      <c r="O40" s="3"/>
    </row>
    <row r="41" customFormat="false" ht="12.8" hidden="true" customHeight="false" outlineLevel="0" collapsed="false">
      <c r="A41" s="41" t="s">
        <v>1039</v>
      </c>
      <c r="B41" s="41" t="s">
        <v>1040</v>
      </c>
      <c r="C41" s="41" t="n">
        <v>0.07</v>
      </c>
      <c r="D41" s="41" t="s">
        <v>1041</v>
      </c>
      <c r="E41" s="41" t="s">
        <v>1042</v>
      </c>
      <c r="F41" s="41" t="s">
        <v>891</v>
      </c>
      <c r="G41" s="41" t="s">
        <v>1043</v>
      </c>
      <c r="H41" s="57" t="s">
        <v>886</v>
      </c>
      <c r="I41" s="3"/>
      <c r="J41" s="3"/>
      <c r="K41" s="3"/>
      <c r="L41" s="3"/>
      <c r="M41" s="3"/>
      <c r="N41" s="3"/>
      <c r="O41" s="3"/>
    </row>
    <row r="42" customFormat="false" ht="12.8" hidden="true" customHeight="false" outlineLevel="0" collapsed="false">
      <c r="A42" s="41" t="s">
        <v>1044</v>
      </c>
      <c r="B42" s="41" t="s">
        <v>1045</v>
      </c>
      <c r="C42" s="41" t="n">
        <v>5100000</v>
      </c>
      <c r="D42" s="41" t="s">
        <v>1046</v>
      </c>
      <c r="E42" s="41" t="s">
        <v>1047</v>
      </c>
      <c r="F42" s="41" t="s">
        <v>884</v>
      </c>
      <c r="G42" s="41" t="s">
        <v>1048</v>
      </c>
      <c r="H42" s="57" t="s">
        <v>886</v>
      </c>
      <c r="I42" s="3"/>
      <c r="J42" s="3"/>
      <c r="K42" s="3"/>
      <c r="L42" s="3"/>
      <c r="M42" s="3"/>
      <c r="N42" s="3"/>
      <c r="O42" s="3"/>
    </row>
    <row r="43" customFormat="false" ht="12.8" hidden="true" customHeight="false" outlineLevel="0" collapsed="false">
      <c r="A43" s="41" t="s">
        <v>1049</v>
      </c>
      <c r="B43" s="41" t="s">
        <v>1050</v>
      </c>
      <c r="C43" s="41" t="n">
        <v>50000</v>
      </c>
      <c r="D43" s="41" t="s">
        <v>1051</v>
      </c>
      <c r="E43" s="41" t="s">
        <v>1052</v>
      </c>
      <c r="F43" s="41" t="s">
        <v>884</v>
      </c>
      <c r="G43" s="41" t="s">
        <v>1053</v>
      </c>
      <c r="H43" s="57" t="s">
        <v>886</v>
      </c>
      <c r="I43" s="3"/>
      <c r="J43" s="3"/>
      <c r="K43" s="3"/>
      <c r="L43" s="3"/>
      <c r="M43" s="3"/>
      <c r="N43" s="3"/>
      <c r="O43" s="3"/>
    </row>
    <row r="44" customFormat="false" ht="12.8" hidden="true" customHeight="false" outlineLevel="0" collapsed="false">
      <c r="A44" s="41" t="s">
        <v>1054</v>
      </c>
      <c r="B44" s="41" t="s">
        <v>1055</v>
      </c>
      <c r="C44" s="41" t="n">
        <v>48988</v>
      </c>
      <c r="D44" s="41" t="s">
        <v>1056</v>
      </c>
      <c r="E44" s="41" t="s">
        <v>1057</v>
      </c>
      <c r="F44" s="41" t="s">
        <v>884</v>
      </c>
      <c r="G44" s="41" t="s">
        <v>1058</v>
      </c>
      <c r="H44" s="57" t="s">
        <v>886</v>
      </c>
      <c r="I44" s="3"/>
      <c r="J44" s="3"/>
      <c r="K44" s="3"/>
      <c r="L44" s="3"/>
      <c r="M44" s="3"/>
      <c r="N44" s="3"/>
      <c r="O44" s="3"/>
    </row>
    <row r="45" customFormat="false" ht="12.8" hidden="true" customHeight="false" outlineLevel="0" collapsed="false">
      <c r="A45" s="41" t="s">
        <v>1059</v>
      </c>
      <c r="B45" s="41" t="s">
        <v>1060</v>
      </c>
      <c r="C45" s="41" t="n">
        <v>0.022</v>
      </c>
      <c r="D45" s="41" t="s">
        <v>1061</v>
      </c>
      <c r="E45" s="41" t="s">
        <v>1062</v>
      </c>
      <c r="F45" s="41" t="s">
        <v>891</v>
      </c>
      <c r="G45" s="41" t="s">
        <v>1063</v>
      </c>
      <c r="H45" s="57" t="s">
        <v>886</v>
      </c>
      <c r="I45" s="3"/>
      <c r="J45" s="3"/>
      <c r="K45" s="3"/>
      <c r="L45" s="3"/>
      <c r="M45" s="3"/>
      <c r="N45" s="3"/>
      <c r="O45" s="3"/>
    </row>
    <row r="46" customFormat="false" ht="12.8" hidden="true" customHeight="false" outlineLevel="0" collapsed="false">
      <c r="A46" s="41" t="s">
        <v>1064</v>
      </c>
      <c r="B46" s="41" t="s">
        <v>1065</v>
      </c>
      <c r="C46" s="41" t="n">
        <v>0.025</v>
      </c>
      <c r="D46" s="41" t="s">
        <v>1066</v>
      </c>
      <c r="E46" s="41" t="s">
        <v>1067</v>
      </c>
      <c r="F46" s="41" t="s">
        <v>891</v>
      </c>
      <c r="G46" s="41" t="s">
        <v>1068</v>
      </c>
      <c r="H46" s="57" t="s">
        <v>886</v>
      </c>
      <c r="I46" s="3"/>
      <c r="J46" s="3"/>
      <c r="K46" s="3"/>
      <c r="L46" s="3"/>
      <c r="M46" s="3"/>
      <c r="N46" s="3"/>
      <c r="O46" s="3"/>
    </row>
    <row r="47" customFormat="false" ht="12.8" hidden="true" customHeight="false" outlineLevel="0" collapsed="false">
      <c r="A47" s="41" t="s">
        <v>1069</v>
      </c>
      <c r="B47" s="41" t="s">
        <v>1070</v>
      </c>
      <c r="C47" s="41" t="n">
        <v>0.75</v>
      </c>
      <c r="D47" s="41" t="s">
        <v>1071</v>
      </c>
      <c r="E47" s="41" t="s">
        <v>1072</v>
      </c>
      <c r="F47" s="41" t="s">
        <v>891</v>
      </c>
      <c r="G47" s="41" t="s">
        <v>1073</v>
      </c>
      <c r="H47" s="57" t="s">
        <v>886</v>
      </c>
      <c r="I47" s="3"/>
      <c r="J47" s="3"/>
      <c r="K47" s="3"/>
      <c r="L47" s="3"/>
      <c r="M47" s="3"/>
      <c r="N47" s="3"/>
      <c r="O47" s="3"/>
    </row>
    <row r="48" customFormat="false" ht="12.8" hidden="true" customHeight="false" outlineLevel="0" collapsed="false">
      <c r="A48" s="41" t="s">
        <v>1074</v>
      </c>
      <c r="B48" s="41" t="s">
        <v>1075</v>
      </c>
      <c r="C48" s="41" t="n">
        <v>0.2</v>
      </c>
      <c r="D48" s="41" t="s">
        <v>1076</v>
      </c>
      <c r="E48" s="41" t="s">
        <v>1077</v>
      </c>
      <c r="F48" s="41" t="s">
        <v>891</v>
      </c>
      <c r="G48" s="41" t="s">
        <v>1078</v>
      </c>
      <c r="H48" s="57" t="s">
        <v>886</v>
      </c>
      <c r="I48" s="3"/>
      <c r="J48" s="3"/>
      <c r="K48" s="3"/>
      <c r="L48" s="3"/>
      <c r="M48" s="3"/>
      <c r="N48" s="3"/>
      <c r="O48" s="3"/>
    </row>
    <row r="49" customFormat="false" ht="12.8" hidden="true" customHeight="false" outlineLevel="0" collapsed="false">
      <c r="A49" s="41" t="s">
        <v>1079</v>
      </c>
      <c r="B49" s="41" t="s">
        <v>1080</v>
      </c>
      <c r="C49" s="41" t="n">
        <v>0.95</v>
      </c>
      <c r="D49" s="41" t="s">
        <v>1081</v>
      </c>
      <c r="E49" s="41" t="s">
        <v>1082</v>
      </c>
      <c r="F49" s="41" t="s">
        <v>884</v>
      </c>
      <c r="G49" s="41" t="s">
        <v>1083</v>
      </c>
      <c r="H49" s="57" t="s">
        <v>886</v>
      </c>
      <c r="I49" s="3"/>
      <c r="J49" s="3"/>
      <c r="K49" s="3"/>
      <c r="L49" s="3"/>
      <c r="M49" s="3"/>
      <c r="N49" s="3"/>
      <c r="O49" s="3"/>
    </row>
    <row r="50" customFormat="false" ht="12.8" hidden="true" customHeight="false" outlineLevel="0" collapsed="false">
      <c r="A50" s="41" t="s">
        <v>1084</v>
      </c>
      <c r="B50" s="41" t="s">
        <v>1085</v>
      </c>
      <c r="C50" s="41" t="n">
        <v>0.6</v>
      </c>
      <c r="D50" s="41" t="s">
        <v>1086</v>
      </c>
      <c r="E50" s="41" t="s">
        <v>1087</v>
      </c>
      <c r="F50" s="41" t="s">
        <v>891</v>
      </c>
      <c r="G50" s="41" t="s">
        <v>1088</v>
      </c>
      <c r="H50" s="57" t="s">
        <v>886</v>
      </c>
      <c r="I50" s="3"/>
      <c r="J50" s="3"/>
      <c r="K50" s="3"/>
      <c r="L50" s="3"/>
      <c r="M50" s="3"/>
      <c r="N50" s="3"/>
      <c r="O50" s="3"/>
    </row>
    <row r="51" customFormat="false" ht="12.8" hidden="true" customHeight="false" outlineLevel="0" collapsed="false">
      <c r="A51" s="41" t="s">
        <v>1089</v>
      </c>
      <c r="B51" s="41" t="s">
        <v>1090</v>
      </c>
      <c r="C51" s="41" t="n">
        <v>0.5</v>
      </c>
      <c r="D51" s="41" t="s">
        <v>1091</v>
      </c>
      <c r="E51" s="41" t="s">
        <v>1092</v>
      </c>
      <c r="F51" s="41" t="s">
        <v>891</v>
      </c>
      <c r="G51" s="41" t="s">
        <v>1093</v>
      </c>
      <c r="H51" s="57" t="s">
        <v>886</v>
      </c>
      <c r="I51" s="3"/>
      <c r="J51" s="3"/>
      <c r="K51" s="3"/>
      <c r="L51" s="3"/>
      <c r="M51" s="3"/>
      <c r="N51" s="3"/>
      <c r="O51" s="3"/>
    </row>
    <row r="52" customFormat="false" ht="12.8" hidden="true" customHeight="false" outlineLevel="0" collapsed="false">
      <c r="A52" s="41" t="s">
        <v>1094</v>
      </c>
      <c r="B52" s="41" t="s">
        <v>1095</v>
      </c>
      <c r="C52" s="41" t="n">
        <v>1</v>
      </c>
      <c r="D52" s="41" t="s">
        <v>1096</v>
      </c>
      <c r="E52" s="41" t="s">
        <v>1097</v>
      </c>
      <c r="F52" s="41" t="s">
        <v>884</v>
      </c>
      <c r="G52" s="41" t="s">
        <v>1088</v>
      </c>
      <c r="H52" s="57" t="s">
        <v>886</v>
      </c>
      <c r="I52" s="3"/>
      <c r="J52" s="3"/>
      <c r="K52" s="3"/>
      <c r="L52" s="3"/>
      <c r="M52" s="3"/>
      <c r="N52" s="3"/>
      <c r="O52" s="3"/>
    </row>
    <row r="53" customFormat="false" ht="12.8" hidden="false" customHeight="false" outlineLevel="0" collapsed="false">
      <c r="A53" s="41" t="s">
        <v>1098</v>
      </c>
      <c r="D53" s="41"/>
      <c r="E53" s="41"/>
      <c r="F53" s="41"/>
      <c r="H53" s="57"/>
      <c r="I53" s="3"/>
      <c r="J53" s="3"/>
      <c r="K53" s="3"/>
      <c r="L53" s="3"/>
      <c r="M53" s="3"/>
      <c r="N53" s="3"/>
      <c r="O53" s="3"/>
    </row>
    <row r="54" customFormat="false" ht="12.8" hidden="false" customHeight="false" outlineLevel="0" collapsed="false">
      <c r="A54" s="55" t="s">
        <v>1099</v>
      </c>
      <c r="B54" s="41" t="s">
        <v>1100</v>
      </c>
      <c r="C54" s="41" t="s">
        <v>1101</v>
      </c>
      <c r="D54" s="3" t="s">
        <v>1102</v>
      </c>
      <c r="E54" s="3" t="s">
        <v>1103</v>
      </c>
      <c r="F54" s="3" t="s">
        <v>1104</v>
      </c>
      <c r="G54" s="41" t="s">
        <v>1105</v>
      </c>
      <c r="H54" s="41" t="s">
        <v>1106</v>
      </c>
      <c r="I54" s="58"/>
      <c r="J54" s="58"/>
      <c r="K54" s="58"/>
      <c r="L54" s="58"/>
      <c r="M54" s="58"/>
      <c r="N54" s="58"/>
      <c r="O54" s="58"/>
    </row>
    <row r="55" customFormat="false" ht="12.8" hidden="false" customHeight="false" outlineLevel="0" collapsed="false">
      <c r="A55" s="55" t="s">
        <v>1107</v>
      </c>
      <c r="B55" s="41" t="s">
        <v>881</v>
      </c>
      <c r="C55" s="41" t="n">
        <v>2211</v>
      </c>
      <c r="D55" s="3" t="s">
        <v>882</v>
      </c>
      <c r="E55" s="3" t="s">
        <v>883</v>
      </c>
      <c r="F55" s="3" t="s">
        <v>884</v>
      </c>
      <c r="G55" s="41" t="s">
        <v>885</v>
      </c>
      <c r="H55" s="57" t="s">
        <v>886</v>
      </c>
      <c r="I55" s="41"/>
      <c r="J55" s="41"/>
      <c r="K55" s="41"/>
      <c r="L55" s="41"/>
      <c r="M55" s="41"/>
      <c r="N55" s="41"/>
      <c r="O55" s="57"/>
    </row>
    <row r="56" customFormat="false" ht="12.8" hidden="false" customHeight="false" outlineLevel="0" collapsed="false">
      <c r="A56" s="55" t="s">
        <v>1108</v>
      </c>
      <c r="B56" s="41" t="s">
        <v>888</v>
      </c>
      <c r="C56" s="41" t="n">
        <v>33</v>
      </c>
      <c r="D56" s="3" t="s">
        <v>889</v>
      </c>
      <c r="E56" s="3" t="s">
        <v>890</v>
      </c>
      <c r="F56" s="3" t="s">
        <v>891</v>
      </c>
      <c r="G56" s="41" t="s">
        <v>892</v>
      </c>
      <c r="H56" s="57" t="s">
        <v>886</v>
      </c>
      <c r="I56" s="41"/>
      <c r="J56" s="41"/>
      <c r="K56" s="41"/>
      <c r="L56" s="41"/>
      <c r="M56" s="41"/>
      <c r="N56" s="41"/>
      <c r="O56" s="57"/>
    </row>
    <row r="57" customFormat="false" ht="12.8" hidden="false" customHeight="false" outlineLevel="0" collapsed="false">
      <c r="A57" s="55" t="s">
        <v>1109</v>
      </c>
      <c r="B57" s="41" t="s">
        <v>894</v>
      </c>
      <c r="C57" s="41" t="n">
        <v>112</v>
      </c>
      <c r="D57" s="3" t="s">
        <v>895</v>
      </c>
      <c r="E57" s="3" t="s">
        <v>896</v>
      </c>
      <c r="F57" s="3" t="s">
        <v>884</v>
      </c>
      <c r="G57" s="41" t="s">
        <v>897</v>
      </c>
      <c r="H57" s="57" t="s">
        <v>886</v>
      </c>
      <c r="I57" s="41"/>
      <c r="J57" s="41"/>
      <c r="K57" s="41"/>
      <c r="L57" s="41"/>
      <c r="M57" s="41"/>
      <c r="N57" s="41"/>
      <c r="O57" s="57"/>
    </row>
    <row r="58" customFormat="false" ht="12.8" hidden="false" customHeight="false" outlineLevel="0" collapsed="false">
      <c r="A58" s="55" t="s">
        <v>1110</v>
      </c>
      <c r="B58" s="41" t="s">
        <v>899</v>
      </c>
      <c r="C58" s="41" t="n">
        <v>287</v>
      </c>
      <c r="D58" s="3" t="s">
        <v>900</v>
      </c>
      <c r="E58" s="3" t="s">
        <v>896</v>
      </c>
      <c r="F58" s="3" t="s">
        <v>884</v>
      </c>
      <c r="G58" s="41" t="s">
        <v>897</v>
      </c>
      <c r="H58" s="57" t="s">
        <v>886</v>
      </c>
      <c r="I58" s="41"/>
      <c r="J58" s="41"/>
      <c r="K58" s="41"/>
      <c r="L58" s="41"/>
      <c r="M58" s="41"/>
      <c r="N58" s="41"/>
      <c r="O58" s="57"/>
    </row>
    <row r="59" customFormat="false" ht="12.8" hidden="false" customHeight="false" outlineLevel="0" collapsed="false">
      <c r="A59" s="55" t="s">
        <v>1111</v>
      </c>
      <c r="B59" s="41" t="s">
        <v>902</v>
      </c>
      <c r="C59" s="41" t="n">
        <v>408</v>
      </c>
      <c r="D59" s="3" t="s">
        <v>903</v>
      </c>
      <c r="E59" s="3" t="s">
        <v>896</v>
      </c>
      <c r="F59" s="3" t="s">
        <v>884</v>
      </c>
      <c r="G59" s="41" t="s">
        <v>897</v>
      </c>
      <c r="H59" s="57" t="s">
        <v>886</v>
      </c>
      <c r="I59" s="41"/>
      <c r="J59" s="41"/>
      <c r="K59" s="41"/>
      <c r="L59" s="41"/>
      <c r="M59" s="41"/>
      <c r="N59" s="41"/>
      <c r="O59" s="57"/>
    </row>
    <row r="60" customFormat="false" ht="12.8" hidden="false" customHeight="false" outlineLevel="0" collapsed="false">
      <c r="A60" s="55" t="s">
        <v>1112</v>
      </c>
      <c r="B60" s="41" t="s">
        <v>905</v>
      </c>
      <c r="C60" s="41" t="n">
        <v>23</v>
      </c>
      <c r="D60" s="3" t="s">
        <v>906</v>
      </c>
      <c r="E60" s="3" t="s">
        <v>896</v>
      </c>
      <c r="F60" s="3" t="s">
        <v>884</v>
      </c>
      <c r="G60" s="41" t="s">
        <v>897</v>
      </c>
      <c r="H60" s="57" t="s">
        <v>886</v>
      </c>
      <c r="I60" s="41"/>
      <c r="J60" s="41"/>
      <c r="K60" s="41"/>
      <c r="L60" s="41"/>
      <c r="M60" s="41"/>
      <c r="N60" s="41"/>
      <c r="O60" s="57"/>
    </row>
    <row r="61" customFormat="false" ht="12.8" hidden="false" customHeight="false" outlineLevel="0" collapsed="false">
      <c r="A61" s="55" t="s">
        <v>1113</v>
      </c>
      <c r="B61" s="41" t="s">
        <v>908</v>
      </c>
      <c r="C61" s="41" t="n">
        <v>101</v>
      </c>
      <c r="D61" s="3" t="s">
        <v>909</v>
      </c>
      <c r="E61" s="3" t="s">
        <v>896</v>
      </c>
      <c r="F61" s="3" t="s">
        <v>884</v>
      </c>
      <c r="G61" s="41" t="s">
        <v>897</v>
      </c>
      <c r="H61" s="57" t="s">
        <v>886</v>
      </c>
      <c r="I61" s="41"/>
      <c r="J61" s="41"/>
      <c r="K61" s="41"/>
      <c r="L61" s="41"/>
      <c r="M61" s="41"/>
      <c r="N61" s="41"/>
      <c r="O61" s="57"/>
    </row>
    <row r="62" customFormat="false" ht="12.8" hidden="false" customHeight="false" outlineLevel="0" collapsed="false">
      <c r="A62" s="55" t="s">
        <v>1114</v>
      </c>
      <c r="B62" s="41" t="s">
        <v>911</v>
      </c>
      <c r="C62" s="41" t="n">
        <v>261</v>
      </c>
      <c r="D62" s="3" t="s">
        <v>912</v>
      </c>
      <c r="E62" s="3" t="s">
        <v>896</v>
      </c>
      <c r="F62" s="3" t="s">
        <v>884</v>
      </c>
      <c r="G62" s="41" t="s">
        <v>897</v>
      </c>
      <c r="H62" s="57" t="s">
        <v>886</v>
      </c>
      <c r="I62" s="41"/>
      <c r="J62" s="41"/>
      <c r="K62" s="41"/>
      <c r="L62" s="41"/>
      <c r="M62" s="41"/>
      <c r="N62" s="41"/>
      <c r="O62" s="57"/>
    </row>
    <row r="63" customFormat="false" ht="12.8" hidden="false" customHeight="false" outlineLevel="0" collapsed="false">
      <c r="A63" s="55" t="s">
        <v>1115</v>
      </c>
      <c r="B63" s="41" t="s">
        <v>914</v>
      </c>
      <c r="C63" s="41" t="n">
        <v>273</v>
      </c>
      <c r="D63" s="3" t="s">
        <v>915</v>
      </c>
      <c r="E63" s="3" t="s">
        <v>896</v>
      </c>
      <c r="F63" s="3" t="s">
        <v>884</v>
      </c>
      <c r="G63" s="41" t="s">
        <v>897</v>
      </c>
      <c r="H63" s="57" t="s">
        <v>886</v>
      </c>
      <c r="I63" s="41"/>
      <c r="J63" s="41"/>
      <c r="K63" s="41"/>
      <c r="L63" s="41"/>
      <c r="M63" s="41"/>
      <c r="N63" s="41"/>
      <c r="O63" s="57"/>
    </row>
    <row r="64" customFormat="false" ht="12.8" hidden="false" customHeight="false" outlineLevel="0" collapsed="false">
      <c r="A64" s="55" t="s">
        <v>1116</v>
      </c>
      <c r="B64" s="41" t="s">
        <v>917</v>
      </c>
      <c r="C64" s="41" t="n">
        <v>217</v>
      </c>
      <c r="D64" s="3" t="s">
        <v>918</v>
      </c>
      <c r="E64" s="3" t="s">
        <v>896</v>
      </c>
      <c r="F64" s="3" t="s">
        <v>884</v>
      </c>
      <c r="G64" s="41" t="s">
        <v>897</v>
      </c>
      <c r="H64" s="57" t="s">
        <v>886</v>
      </c>
      <c r="I64" s="41"/>
      <c r="J64" s="41"/>
      <c r="K64" s="41"/>
      <c r="L64" s="41"/>
      <c r="M64" s="41"/>
      <c r="N64" s="41"/>
      <c r="O64" s="57"/>
    </row>
    <row r="65" customFormat="false" ht="12.8" hidden="false" customHeight="false" outlineLevel="0" collapsed="false">
      <c r="A65" s="55" t="s">
        <v>1117</v>
      </c>
      <c r="B65" s="41" t="s">
        <v>920</v>
      </c>
      <c r="C65" s="41" t="n">
        <v>99</v>
      </c>
      <c r="D65" s="3" t="s">
        <v>921</v>
      </c>
      <c r="E65" s="3" t="s">
        <v>896</v>
      </c>
      <c r="F65" s="3" t="s">
        <v>884</v>
      </c>
      <c r="G65" s="41" t="s">
        <v>897</v>
      </c>
      <c r="H65" s="57" t="s">
        <v>886</v>
      </c>
      <c r="I65" s="41"/>
      <c r="J65" s="41"/>
      <c r="K65" s="41"/>
      <c r="L65" s="41"/>
      <c r="M65" s="41"/>
      <c r="N65" s="41"/>
      <c r="O65" s="57"/>
    </row>
    <row r="66" customFormat="false" ht="12.8" hidden="false" customHeight="false" outlineLevel="0" collapsed="false">
      <c r="A66" s="55" t="s">
        <v>1118</v>
      </c>
      <c r="B66" s="41" t="s">
        <v>923</v>
      </c>
      <c r="C66" s="41" t="n">
        <v>421</v>
      </c>
      <c r="D66" s="3" t="s">
        <v>924</v>
      </c>
      <c r="E66" s="3" t="s">
        <v>896</v>
      </c>
      <c r="F66" s="3" t="s">
        <v>884</v>
      </c>
      <c r="G66" s="41" t="s">
        <v>897</v>
      </c>
      <c r="H66" s="57" t="s">
        <v>886</v>
      </c>
      <c r="I66" s="41"/>
      <c r="J66" s="41"/>
      <c r="K66" s="41"/>
      <c r="L66" s="41"/>
      <c r="M66" s="41"/>
      <c r="N66" s="41"/>
      <c r="O66" s="57"/>
    </row>
    <row r="67" customFormat="false" ht="12.8" hidden="false" customHeight="false" outlineLevel="0" collapsed="false">
      <c r="A67" s="55" t="s">
        <v>1119</v>
      </c>
      <c r="B67" s="41" t="s">
        <v>926</v>
      </c>
      <c r="C67" s="41" t="n">
        <v>2317</v>
      </c>
      <c r="D67" s="3" t="s">
        <v>927</v>
      </c>
      <c r="E67" s="3" t="s">
        <v>928</v>
      </c>
      <c r="F67" s="3" t="s">
        <v>884</v>
      </c>
      <c r="G67" s="41" t="s">
        <v>929</v>
      </c>
      <c r="H67" s="57" t="s">
        <v>886</v>
      </c>
      <c r="I67" s="41"/>
      <c r="J67" s="41"/>
      <c r="K67" s="41"/>
      <c r="L67" s="41"/>
      <c r="M67" s="41"/>
      <c r="N67" s="41"/>
      <c r="O67" s="57"/>
    </row>
    <row r="68" customFormat="false" ht="12.8" hidden="false" customHeight="false" outlineLevel="0" collapsed="false">
      <c r="A68" s="55" t="s">
        <v>1120</v>
      </c>
      <c r="B68" s="41" t="s">
        <v>931</v>
      </c>
      <c r="C68" s="41" t="n">
        <v>9</v>
      </c>
      <c r="D68" s="3" t="s">
        <v>932</v>
      </c>
      <c r="E68" s="3" t="s">
        <v>896</v>
      </c>
      <c r="F68" s="3" t="s">
        <v>884</v>
      </c>
      <c r="G68" s="41" t="s">
        <v>897</v>
      </c>
      <c r="H68" s="57" t="s">
        <v>886</v>
      </c>
      <c r="I68" s="41"/>
      <c r="J68" s="41"/>
      <c r="K68" s="41"/>
      <c r="L68" s="41"/>
      <c r="M68" s="41"/>
      <c r="N68" s="41"/>
      <c r="O68" s="57"/>
    </row>
    <row r="69" customFormat="false" ht="12.8" hidden="false" customHeight="false" outlineLevel="0" collapsed="false">
      <c r="A69" s="55" t="s">
        <v>1121</v>
      </c>
      <c r="B69" s="41" t="s">
        <v>934</v>
      </c>
      <c r="C69" s="41" t="n">
        <v>2211</v>
      </c>
      <c r="D69" s="3" t="s">
        <v>935</v>
      </c>
      <c r="E69" s="3" t="s">
        <v>896</v>
      </c>
      <c r="F69" s="3" t="s">
        <v>884</v>
      </c>
      <c r="G69" s="41" t="s">
        <v>936</v>
      </c>
      <c r="H69" s="57" t="s">
        <v>886</v>
      </c>
      <c r="I69" s="41"/>
      <c r="J69" s="41"/>
      <c r="K69" s="41"/>
      <c r="L69" s="41"/>
      <c r="M69" s="41"/>
      <c r="N69" s="41"/>
      <c r="O69" s="57"/>
    </row>
    <row r="70" customFormat="false" ht="12.8" hidden="false" customHeight="false" outlineLevel="0" collapsed="false">
      <c r="A70" s="55" t="s">
        <v>1122</v>
      </c>
      <c r="B70" s="41" t="s">
        <v>938</v>
      </c>
      <c r="C70" s="41" t="n">
        <v>0.75</v>
      </c>
      <c r="D70" s="3" t="s">
        <v>939</v>
      </c>
      <c r="E70" s="3" t="s">
        <v>940</v>
      </c>
      <c r="F70" s="3" t="s">
        <v>891</v>
      </c>
      <c r="G70" s="41" t="s">
        <v>941</v>
      </c>
      <c r="H70" s="57" t="s">
        <v>886</v>
      </c>
      <c r="I70" s="3"/>
      <c r="J70" s="3"/>
      <c r="K70" s="41"/>
      <c r="L70" s="3"/>
      <c r="M70" s="3"/>
      <c r="N70" s="3"/>
      <c r="O70" s="3"/>
    </row>
    <row r="71" customFormat="false" ht="12.8" hidden="false" customHeight="false" outlineLevel="0" collapsed="false">
      <c r="A71" s="55" t="s">
        <v>1123</v>
      </c>
      <c r="B71" s="41" t="s">
        <v>943</v>
      </c>
      <c r="C71" s="41" t="n">
        <v>0.82</v>
      </c>
      <c r="D71" s="3" t="s">
        <v>944</v>
      </c>
      <c r="E71" s="3" t="s">
        <v>945</v>
      </c>
      <c r="F71" s="3" t="s">
        <v>884</v>
      </c>
      <c r="G71" s="41" t="s">
        <v>946</v>
      </c>
      <c r="H71" s="57" t="s">
        <v>886</v>
      </c>
      <c r="I71" s="3"/>
      <c r="J71" s="3"/>
      <c r="K71" s="41"/>
      <c r="L71" s="3"/>
      <c r="M71" s="3"/>
      <c r="N71" s="3"/>
      <c r="O71" s="3"/>
    </row>
    <row r="72" customFormat="false" ht="12.8" hidden="false" customHeight="false" outlineLevel="0" collapsed="false">
      <c r="A72" s="55" t="s">
        <v>1124</v>
      </c>
      <c r="B72" s="41" t="s">
        <v>948</v>
      </c>
      <c r="C72" s="41" t="n">
        <v>0.7</v>
      </c>
      <c r="D72" s="3" t="s">
        <v>949</v>
      </c>
      <c r="E72" s="3" t="s">
        <v>945</v>
      </c>
      <c r="F72" s="3" t="s">
        <v>884</v>
      </c>
      <c r="G72" s="41" t="s">
        <v>946</v>
      </c>
      <c r="H72" s="57" t="s">
        <v>886</v>
      </c>
      <c r="I72" s="3"/>
      <c r="J72" s="3"/>
      <c r="K72" s="41"/>
      <c r="L72" s="3"/>
      <c r="M72" s="3"/>
      <c r="N72" s="3"/>
      <c r="O72" s="3"/>
    </row>
    <row r="73" customFormat="false" ht="12.8" hidden="false" customHeight="false" outlineLevel="0" collapsed="false">
      <c r="A73" s="55" t="s">
        <v>1125</v>
      </c>
      <c r="B73" s="41" t="s">
        <v>951</v>
      </c>
      <c r="C73" s="41" t="n">
        <v>0.68</v>
      </c>
      <c r="D73" s="3" t="s">
        <v>952</v>
      </c>
      <c r="E73" s="3" t="s">
        <v>945</v>
      </c>
      <c r="F73" s="3" t="s">
        <v>884</v>
      </c>
      <c r="G73" s="41" t="s">
        <v>946</v>
      </c>
      <c r="H73" s="57" t="s">
        <v>886</v>
      </c>
      <c r="I73" s="3"/>
      <c r="J73" s="3"/>
      <c r="K73" s="41"/>
      <c r="L73" s="3"/>
      <c r="M73" s="3"/>
      <c r="N73" s="3"/>
      <c r="O73" s="3"/>
    </row>
    <row r="74" customFormat="false" ht="12.8" hidden="false" customHeight="false" outlineLevel="0" collapsed="false">
      <c r="A74" s="55" t="s">
        <v>1126</v>
      </c>
      <c r="B74" s="41" t="s">
        <v>954</v>
      </c>
      <c r="C74" s="41" t="n">
        <v>0.78</v>
      </c>
      <c r="D74" s="3" t="s">
        <v>955</v>
      </c>
      <c r="E74" s="3" t="s">
        <v>945</v>
      </c>
      <c r="F74" s="3" t="s">
        <v>891</v>
      </c>
      <c r="G74" s="41" t="s">
        <v>946</v>
      </c>
      <c r="H74" s="57" t="s">
        <v>886</v>
      </c>
      <c r="I74" s="3"/>
      <c r="J74" s="3"/>
      <c r="K74" s="41"/>
      <c r="L74" s="3"/>
      <c r="M74" s="3"/>
      <c r="N74" s="3"/>
      <c r="O74" s="3"/>
    </row>
    <row r="75" customFormat="false" ht="12.8" hidden="false" customHeight="false" outlineLevel="0" collapsed="false">
      <c r="A75" s="55" t="s">
        <v>1127</v>
      </c>
      <c r="B75" s="41" t="s">
        <v>957</v>
      </c>
      <c r="C75" s="41" t="n">
        <v>0.65</v>
      </c>
      <c r="D75" s="3" t="s">
        <v>958</v>
      </c>
      <c r="E75" s="3" t="s">
        <v>945</v>
      </c>
      <c r="F75" s="3" t="s">
        <v>884</v>
      </c>
      <c r="G75" s="41" t="s">
        <v>946</v>
      </c>
      <c r="H75" s="57" t="s">
        <v>886</v>
      </c>
      <c r="I75" s="3"/>
      <c r="J75" s="3"/>
      <c r="K75" s="41"/>
      <c r="L75" s="3"/>
      <c r="M75" s="3"/>
      <c r="N75" s="3"/>
      <c r="O75" s="3"/>
    </row>
    <row r="76" customFormat="false" ht="12.8" hidden="false" customHeight="false" outlineLevel="0" collapsed="false">
      <c r="A76" s="55" t="s">
        <v>1128</v>
      </c>
      <c r="B76" s="41" t="s">
        <v>960</v>
      </c>
      <c r="C76" s="41" t="n">
        <v>35.5</v>
      </c>
      <c r="D76" s="3" t="s">
        <v>961</v>
      </c>
      <c r="E76" s="3" t="s">
        <v>962</v>
      </c>
      <c r="F76" s="3" t="s">
        <v>884</v>
      </c>
      <c r="G76" s="41" t="s">
        <v>963</v>
      </c>
      <c r="H76" s="57" t="s">
        <v>886</v>
      </c>
      <c r="I76" s="3"/>
      <c r="J76" s="3"/>
      <c r="K76" s="41"/>
      <c r="L76" s="3"/>
      <c r="M76" s="3"/>
      <c r="N76" s="3"/>
      <c r="O76" s="3"/>
    </row>
    <row r="77" customFormat="false" ht="12.8" hidden="false" customHeight="false" outlineLevel="0" collapsed="false">
      <c r="A77" s="55" t="s">
        <v>1129</v>
      </c>
      <c r="B77" s="41" t="s">
        <v>965</v>
      </c>
      <c r="C77" s="41" t="n">
        <v>40</v>
      </c>
      <c r="D77" s="3" t="s">
        <v>966</v>
      </c>
      <c r="E77" s="3" t="s">
        <v>967</v>
      </c>
      <c r="F77" s="3" t="s">
        <v>884</v>
      </c>
      <c r="G77" s="41" t="s">
        <v>968</v>
      </c>
      <c r="H77" s="57" t="s">
        <v>886</v>
      </c>
      <c r="I77" s="3"/>
      <c r="J77" s="3"/>
      <c r="K77" s="41"/>
      <c r="L77" s="3"/>
      <c r="M77" s="3"/>
      <c r="N77" s="3"/>
      <c r="O77" s="3"/>
    </row>
    <row r="78" customFormat="false" ht="12.8" hidden="false" customHeight="false" outlineLevel="0" collapsed="false">
      <c r="A78" s="55" t="s">
        <v>1130</v>
      </c>
      <c r="B78" s="41" t="s">
        <v>970</v>
      </c>
      <c r="C78" s="41" t="n">
        <v>39.5</v>
      </c>
      <c r="D78" s="3" t="s">
        <v>971</v>
      </c>
      <c r="E78" s="3" t="s">
        <v>967</v>
      </c>
      <c r="F78" s="3" t="s">
        <v>884</v>
      </c>
      <c r="G78" s="41" t="s">
        <v>968</v>
      </c>
      <c r="H78" s="57" t="s">
        <v>886</v>
      </c>
      <c r="I78" s="3"/>
      <c r="J78" s="3"/>
      <c r="K78" s="41"/>
      <c r="L78" s="3"/>
      <c r="M78" s="3"/>
      <c r="N78" s="3"/>
      <c r="O78" s="3"/>
    </row>
    <row r="79" customFormat="false" ht="12.8" hidden="false" customHeight="false" outlineLevel="0" collapsed="false">
      <c r="A79" s="55" t="s">
        <v>1131</v>
      </c>
      <c r="B79" s="41" t="s">
        <v>973</v>
      </c>
      <c r="C79" s="41" t="n">
        <v>-0.03</v>
      </c>
      <c r="D79" s="3" t="s">
        <v>974</v>
      </c>
      <c r="E79" s="3" t="s">
        <v>975</v>
      </c>
      <c r="F79" s="3" t="s">
        <v>891</v>
      </c>
      <c r="G79" s="41" t="s">
        <v>976</v>
      </c>
      <c r="H79" s="57" t="s">
        <v>886</v>
      </c>
      <c r="I79" s="3"/>
      <c r="J79" s="3"/>
      <c r="K79" s="41"/>
      <c r="L79" s="3"/>
      <c r="M79" s="3"/>
      <c r="N79" s="3"/>
      <c r="O79" s="3"/>
    </row>
    <row r="80" customFormat="false" ht="12.8" hidden="false" customHeight="false" outlineLevel="0" collapsed="false">
      <c r="A80" s="55" t="s">
        <v>1132</v>
      </c>
      <c r="B80" s="41" t="s">
        <v>978</v>
      </c>
      <c r="C80" s="41" t="n">
        <v>2.5</v>
      </c>
      <c r="D80" s="3" t="s">
        <v>979</v>
      </c>
      <c r="E80" s="3" t="s">
        <v>980</v>
      </c>
      <c r="F80" s="3" t="s">
        <v>891</v>
      </c>
      <c r="G80" s="41" t="s">
        <v>968</v>
      </c>
      <c r="H80" s="57" t="s">
        <v>886</v>
      </c>
      <c r="I80" s="3"/>
      <c r="J80" s="3"/>
      <c r="K80" s="41"/>
      <c r="L80" s="3"/>
      <c r="M80" s="3"/>
      <c r="N80" s="3"/>
      <c r="O80" s="3"/>
    </row>
    <row r="81" customFormat="false" ht="12.8" hidden="false" customHeight="false" outlineLevel="0" collapsed="false">
      <c r="A81" s="55" t="s">
        <v>1133</v>
      </c>
      <c r="B81" s="41" t="s">
        <v>982</v>
      </c>
      <c r="C81" s="41" t="n">
        <v>0.15</v>
      </c>
      <c r="D81" s="3" t="s">
        <v>983</v>
      </c>
      <c r="E81" s="3" t="s">
        <v>984</v>
      </c>
      <c r="F81" s="3" t="s">
        <v>891</v>
      </c>
      <c r="G81" s="41" t="s">
        <v>985</v>
      </c>
      <c r="H81" s="57" t="s">
        <v>886</v>
      </c>
      <c r="I81" s="3"/>
      <c r="J81" s="3"/>
      <c r="K81" s="41"/>
      <c r="L81" s="3"/>
      <c r="M81" s="3"/>
      <c r="N81" s="3"/>
      <c r="O81" s="3"/>
    </row>
    <row r="82" customFormat="false" ht="12.8" hidden="false" customHeight="false" outlineLevel="0" collapsed="false">
      <c r="A82" s="55" t="s">
        <v>1134</v>
      </c>
      <c r="B82" s="41" t="s">
        <v>987</v>
      </c>
      <c r="C82" s="41" t="n">
        <v>0.12</v>
      </c>
      <c r="D82" s="3" t="s">
        <v>988</v>
      </c>
      <c r="E82" s="3" t="s">
        <v>984</v>
      </c>
      <c r="F82" s="3" t="s">
        <v>891</v>
      </c>
      <c r="G82" s="41" t="s">
        <v>985</v>
      </c>
      <c r="H82" s="57" t="s">
        <v>886</v>
      </c>
      <c r="I82" s="3"/>
      <c r="J82" s="3"/>
      <c r="K82" s="41"/>
      <c r="L82" s="3"/>
      <c r="M82" s="3"/>
      <c r="N82" s="3"/>
      <c r="O82" s="3"/>
    </row>
    <row r="83" customFormat="false" ht="12.8" hidden="false" customHeight="false" outlineLevel="0" collapsed="false">
      <c r="A83" s="55" t="s">
        <v>1135</v>
      </c>
      <c r="B83" s="41" t="s">
        <v>990</v>
      </c>
      <c r="C83" s="41" t="n">
        <v>1.45</v>
      </c>
      <c r="D83" s="3" t="s">
        <v>991</v>
      </c>
      <c r="E83" s="3" t="s">
        <v>992</v>
      </c>
      <c r="F83" s="3" t="s">
        <v>884</v>
      </c>
      <c r="G83" s="41" t="s">
        <v>993</v>
      </c>
      <c r="H83" s="57" t="s">
        <v>886</v>
      </c>
      <c r="I83" s="3"/>
      <c r="J83" s="3"/>
      <c r="K83" s="41"/>
      <c r="L83" s="3"/>
      <c r="M83" s="3"/>
      <c r="N83" s="3"/>
      <c r="O83" s="3"/>
    </row>
    <row r="84" customFormat="false" ht="12.8" hidden="false" customHeight="false" outlineLevel="0" collapsed="false">
      <c r="A84" s="55" t="s">
        <v>1136</v>
      </c>
      <c r="B84" s="41" t="s">
        <v>995</v>
      </c>
      <c r="C84" s="41" t="n">
        <v>8.33</v>
      </c>
      <c r="D84" s="3" t="s">
        <v>996</v>
      </c>
      <c r="E84" s="3" t="s">
        <v>997</v>
      </c>
      <c r="F84" s="3" t="s">
        <v>884</v>
      </c>
      <c r="G84" s="41" t="s">
        <v>998</v>
      </c>
      <c r="H84" s="57" t="s">
        <v>886</v>
      </c>
      <c r="I84" s="3"/>
      <c r="J84" s="3"/>
      <c r="K84" s="41"/>
      <c r="L84" s="3"/>
      <c r="M84" s="3"/>
      <c r="N84" s="3"/>
      <c r="O84" s="3"/>
    </row>
    <row r="85" customFormat="false" ht="12.8" hidden="false" customHeight="false" outlineLevel="0" collapsed="false">
      <c r="A85" s="55" t="s">
        <v>1137</v>
      </c>
      <c r="B85" s="41" t="s">
        <v>1000</v>
      </c>
      <c r="C85" s="41" t="n">
        <v>0.75</v>
      </c>
      <c r="D85" s="3" t="s">
        <v>1001</v>
      </c>
      <c r="E85" s="3" t="s">
        <v>1002</v>
      </c>
      <c r="F85" s="3" t="s">
        <v>884</v>
      </c>
      <c r="G85" s="41" t="s">
        <v>1003</v>
      </c>
      <c r="H85" s="57" t="s">
        <v>886</v>
      </c>
      <c r="I85" s="3"/>
      <c r="J85" s="3"/>
      <c r="K85" s="41"/>
      <c r="L85" s="3"/>
      <c r="M85" s="3"/>
      <c r="N85" s="3"/>
      <c r="O85" s="3"/>
    </row>
    <row r="86" customFormat="false" ht="12.8" hidden="false" customHeight="false" outlineLevel="0" collapsed="false">
      <c r="A86" s="55" t="s">
        <v>1138</v>
      </c>
      <c r="B86" s="41" t="s">
        <v>1005</v>
      </c>
      <c r="C86" s="41" t="n">
        <v>0.85</v>
      </c>
      <c r="D86" s="3" t="s">
        <v>1006</v>
      </c>
      <c r="E86" s="3" t="s">
        <v>1007</v>
      </c>
      <c r="F86" s="3" t="s">
        <v>891</v>
      </c>
      <c r="G86" s="41" t="s">
        <v>1008</v>
      </c>
      <c r="H86" s="57" t="s">
        <v>886</v>
      </c>
      <c r="I86" s="3"/>
      <c r="J86" s="3"/>
      <c r="K86" s="41"/>
      <c r="L86" s="3"/>
      <c r="M86" s="3"/>
      <c r="N86" s="3"/>
      <c r="O86" s="3"/>
    </row>
    <row r="87" customFormat="false" ht="12.8" hidden="false" customHeight="false" outlineLevel="0" collapsed="false">
      <c r="A87" s="55" t="s">
        <v>1139</v>
      </c>
      <c r="B87" s="41" t="s">
        <v>1010</v>
      </c>
      <c r="C87" s="41" t="n">
        <v>1</v>
      </c>
      <c r="D87" s="3" t="s">
        <v>1011</v>
      </c>
      <c r="E87" s="3" t="s">
        <v>1012</v>
      </c>
      <c r="F87" s="3" t="s">
        <v>884</v>
      </c>
      <c r="G87" s="41" t="s">
        <v>1013</v>
      </c>
      <c r="H87" s="57" t="s">
        <v>886</v>
      </c>
      <c r="I87" s="3"/>
      <c r="J87" s="3"/>
      <c r="K87" s="41"/>
      <c r="L87" s="3"/>
      <c r="M87" s="3"/>
      <c r="N87" s="3"/>
      <c r="O87" s="3"/>
    </row>
    <row r="88" customFormat="false" ht="12.8" hidden="false" customHeight="false" outlineLevel="0" collapsed="false">
      <c r="A88" s="55" t="s">
        <v>1140</v>
      </c>
      <c r="B88" s="41" t="s">
        <v>1015</v>
      </c>
      <c r="C88" s="41" t="n">
        <v>0.8</v>
      </c>
      <c r="D88" s="3" t="s">
        <v>1016</v>
      </c>
      <c r="E88" s="3" t="s">
        <v>1017</v>
      </c>
      <c r="F88" s="3" t="s">
        <v>891</v>
      </c>
      <c r="G88" s="41" t="s">
        <v>1018</v>
      </c>
      <c r="H88" s="57" t="s">
        <v>886</v>
      </c>
      <c r="I88" s="3"/>
      <c r="J88" s="3"/>
      <c r="K88" s="41"/>
      <c r="L88" s="3"/>
      <c r="M88" s="3"/>
      <c r="N88" s="3"/>
      <c r="O88" s="3"/>
    </row>
    <row r="89" customFormat="false" ht="12.8" hidden="false" customHeight="false" outlineLevel="0" collapsed="false">
      <c r="A89" s="55" t="s">
        <v>1141</v>
      </c>
      <c r="B89" s="41" t="s">
        <v>1020</v>
      </c>
      <c r="C89" s="41" t="n">
        <v>0.5</v>
      </c>
      <c r="D89" s="3" t="s">
        <v>1021</v>
      </c>
      <c r="E89" s="3" t="s">
        <v>1142</v>
      </c>
      <c r="F89" s="3" t="s">
        <v>891</v>
      </c>
      <c r="G89" s="41" t="s">
        <v>1143</v>
      </c>
      <c r="H89" s="57" t="s">
        <v>886</v>
      </c>
      <c r="I89" s="3"/>
      <c r="J89" s="3"/>
      <c r="K89" s="41"/>
      <c r="L89" s="3"/>
      <c r="M89" s="3"/>
      <c r="N89" s="3"/>
      <c r="O89" s="3"/>
    </row>
    <row r="90" customFormat="false" ht="12.8" hidden="false" customHeight="false" outlineLevel="0" collapsed="false">
      <c r="A90" s="55" t="s">
        <v>1144</v>
      </c>
      <c r="B90" s="41" t="s">
        <v>1024</v>
      </c>
      <c r="C90" s="41" t="n">
        <v>1</v>
      </c>
      <c r="D90" s="3" t="s">
        <v>1025</v>
      </c>
      <c r="E90" s="3" t="s">
        <v>1012</v>
      </c>
      <c r="F90" s="3" t="s">
        <v>884</v>
      </c>
      <c r="G90" s="41" t="s">
        <v>1013</v>
      </c>
      <c r="H90" s="57" t="s">
        <v>886</v>
      </c>
      <c r="I90" s="3"/>
      <c r="J90" s="3"/>
      <c r="K90" s="41"/>
      <c r="L90" s="3"/>
      <c r="M90" s="3"/>
      <c r="N90" s="3"/>
      <c r="O90" s="3"/>
    </row>
    <row r="91" customFormat="false" ht="12.8" hidden="false" customHeight="false" outlineLevel="0" collapsed="false">
      <c r="A91" s="55" t="s">
        <v>1145</v>
      </c>
      <c r="B91" s="41" t="s">
        <v>1027</v>
      </c>
      <c r="C91" s="41" t="n">
        <v>0.5</v>
      </c>
      <c r="D91" s="3" t="s">
        <v>1028</v>
      </c>
      <c r="E91" s="3" t="s">
        <v>1029</v>
      </c>
      <c r="F91" s="3" t="s">
        <v>891</v>
      </c>
      <c r="G91" s="41" t="s">
        <v>1018</v>
      </c>
      <c r="H91" s="57" t="s">
        <v>886</v>
      </c>
      <c r="I91" s="3"/>
      <c r="J91" s="3"/>
      <c r="K91" s="41"/>
      <c r="L91" s="3"/>
      <c r="M91" s="3"/>
      <c r="N91" s="3"/>
      <c r="O91" s="3"/>
    </row>
    <row r="92" customFormat="false" ht="12.8" hidden="false" customHeight="false" outlineLevel="0" collapsed="false">
      <c r="A92" s="55" t="s">
        <v>1146</v>
      </c>
      <c r="B92" s="41" t="s">
        <v>1031</v>
      </c>
      <c r="C92" s="41" t="n">
        <v>0.3</v>
      </c>
      <c r="D92" s="3" t="s">
        <v>1032</v>
      </c>
      <c r="E92" s="3" t="s">
        <v>1033</v>
      </c>
      <c r="F92" s="3" t="s">
        <v>891</v>
      </c>
      <c r="G92" s="41" t="s">
        <v>1018</v>
      </c>
      <c r="H92" s="57" t="s">
        <v>886</v>
      </c>
      <c r="I92" s="3"/>
      <c r="J92" s="3"/>
      <c r="K92" s="41"/>
      <c r="L92" s="3"/>
      <c r="M92" s="3"/>
      <c r="N92" s="3"/>
      <c r="O92" s="3"/>
    </row>
    <row r="93" customFormat="false" ht="12.8" hidden="false" customHeight="false" outlineLevel="0" collapsed="false">
      <c r="A93" s="55" t="s">
        <v>1147</v>
      </c>
      <c r="B93" s="41" t="s">
        <v>1035</v>
      </c>
      <c r="C93" s="41" t="n">
        <v>0.09</v>
      </c>
      <c r="D93" s="3" t="s">
        <v>1036</v>
      </c>
      <c r="E93" s="3" t="s">
        <v>1037</v>
      </c>
      <c r="F93" s="3" t="s">
        <v>891</v>
      </c>
      <c r="G93" s="41" t="s">
        <v>1038</v>
      </c>
      <c r="H93" s="57" t="s">
        <v>886</v>
      </c>
      <c r="I93" s="3"/>
      <c r="J93" s="3"/>
      <c r="K93" s="41"/>
      <c r="L93" s="3"/>
      <c r="M93" s="3"/>
      <c r="N93" s="3"/>
      <c r="O93" s="3"/>
    </row>
    <row r="94" customFormat="false" ht="12.8" hidden="false" customHeight="false" outlineLevel="0" collapsed="false">
      <c r="A94" s="55" t="s">
        <v>1148</v>
      </c>
      <c r="B94" s="41" t="s">
        <v>1040</v>
      </c>
      <c r="C94" s="41" t="n">
        <v>0.07</v>
      </c>
      <c r="D94" s="3" t="s">
        <v>1041</v>
      </c>
      <c r="E94" s="3" t="s">
        <v>1042</v>
      </c>
      <c r="F94" s="3" t="s">
        <v>891</v>
      </c>
      <c r="G94" s="41" t="s">
        <v>1043</v>
      </c>
      <c r="H94" s="57" t="s">
        <v>886</v>
      </c>
      <c r="I94" s="3"/>
      <c r="J94" s="3"/>
      <c r="K94" s="41"/>
      <c r="L94" s="3"/>
      <c r="M94" s="3"/>
      <c r="N94" s="3"/>
      <c r="O94" s="3"/>
    </row>
    <row r="95" customFormat="false" ht="12.8" hidden="false" customHeight="false" outlineLevel="0" collapsed="false">
      <c r="A95" s="55" t="s">
        <v>1149</v>
      </c>
      <c r="B95" s="41" t="s">
        <v>1045</v>
      </c>
      <c r="C95" s="41" t="n">
        <v>5100000</v>
      </c>
      <c r="D95" s="3" t="s">
        <v>1046</v>
      </c>
      <c r="E95" s="3" t="s">
        <v>1047</v>
      </c>
      <c r="F95" s="3" t="s">
        <v>884</v>
      </c>
      <c r="G95" s="41" t="s">
        <v>1048</v>
      </c>
      <c r="H95" s="57" t="s">
        <v>886</v>
      </c>
      <c r="I95" s="3"/>
      <c r="J95" s="3"/>
      <c r="K95" s="41"/>
      <c r="L95" s="3"/>
      <c r="M95" s="3"/>
      <c r="N95" s="3"/>
      <c r="O95" s="3"/>
    </row>
    <row r="96" customFormat="false" ht="12.8" hidden="false" customHeight="false" outlineLevel="0" collapsed="false">
      <c r="A96" s="55" t="s">
        <v>1150</v>
      </c>
      <c r="B96" s="41" t="s">
        <v>1050</v>
      </c>
      <c r="C96" s="41" t="n">
        <v>50000</v>
      </c>
      <c r="D96" s="3" t="s">
        <v>1051</v>
      </c>
      <c r="E96" s="3" t="s">
        <v>1052</v>
      </c>
      <c r="F96" s="3" t="s">
        <v>884</v>
      </c>
      <c r="G96" s="41" t="s">
        <v>1053</v>
      </c>
      <c r="H96" s="57" t="s">
        <v>886</v>
      </c>
      <c r="I96" s="3"/>
      <c r="J96" s="3"/>
      <c r="K96" s="41"/>
      <c r="L96" s="3"/>
      <c r="M96" s="3"/>
      <c r="N96" s="3"/>
      <c r="O96" s="3"/>
    </row>
    <row r="97" customFormat="false" ht="12.8" hidden="false" customHeight="false" outlineLevel="0" collapsed="false">
      <c r="A97" s="55" t="s">
        <v>1151</v>
      </c>
      <c r="B97" s="41" t="s">
        <v>1055</v>
      </c>
      <c r="C97" s="41" t="n">
        <v>48988</v>
      </c>
      <c r="D97" s="3" t="s">
        <v>1056</v>
      </c>
      <c r="E97" s="3" t="s">
        <v>1057</v>
      </c>
      <c r="F97" s="3" t="s">
        <v>884</v>
      </c>
      <c r="G97" s="41" t="s">
        <v>1058</v>
      </c>
      <c r="H97" s="57" t="s">
        <v>886</v>
      </c>
      <c r="I97" s="3"/>
      <c r="J97" s="3"/>
      <c r="K97" s="41"/>
      <c r="L97" s="3"/>
      <c r="M97" s="3"/>
      <c r="N97" s="3"/>
      <c r="O97" s="3"/>
    </row>
    <row r="98" customFormat="false" ht="12.8" hidden="false" customHeight="false" outlineLevel="0" collapsed="false">
      <c r="A98" s="55" t="s">
        <v>1152</v>
      </c>
      <c r="B98" s="41" t="s">
        <v>1060</v>
      </c>
      <c r="C98" s="41" t="n">
        <v>0.022</v>
      </c>
      <c r="D98" s="3" t="s">
        <v>1061</v>
      </c>
      <c r="E98" s="3" t="s">
        <v>1062</v>
      </c>
      <c r="F98" s="3" t="s">
        <v>891</v>
      </c>
      <c r="G98" s="41" t="s">
        <v>1063</v>
      </c>
      <c r="H98" s="57" t="s">
        <v>886</v>
      </c>
      <c r="I98" s="3"/>
      <c r="J98" s="3"/>
      <c r="K98" s="41"/>
      <c r="L98" s="3"/>
      <c r="M98" s="3"/>
      <c r="N98" s="3"/>
      <c r="O98" s="3"/>
    </row>
    <row r="99" customFormat="false" ht="12.8" hidden="false" customHeight="false" outlineLevel="0" collapsed="false">
      <c r="A99" s="55" t="s">
        <v>1153</v>
      </c>
      <c r="B99" s="41" t="s">
        <v>1065</v>
      </c>
      <c r="C99" s="41" t="n">
        <v>0.025</v>
      </c>
      <c r="D99" s="3" t="s">
        <v>1066</v>
      </c>
      <c r="E99" s="3" t="s">
        <v>1067</v>
      </c>
      <c r="F99" s="3" t="s">
        <v>891</v>
      </c>
      <c r="G99" s="41" t="s">
        <v>1068</v>
      </c>
      <c r="H99" s="57" t="s">
        <v>886</v>
      </c>
      <c r="I99" s="3"/>
      <c r="J99" s="3"/>
      <c r="K99" s="41"/>
      <c r="L99" s="3"/>
      <c r="M99" s="3"/>
      <c r="N99" s="3"/>
      <c r="O99" s="3"/>
    </row>
    <row r="100" customFormat="false" ht="12.8" hidden="false" customHeight="false" outlineLevel="0" collapsed="false">
      <c r="A100" s="55" t="s">
        <v>1154</v>
      </c>
      <c r="B100" s="41" t="s">
        <v>1070</v>
      </c>
      <c r="C100" s="41" t="n">
        <v>0.75</v>
      </c>
      <c r="D100" s="3" t="s">
        <v>1071</v>
      </c>
      <c r="E100" s="3" t="s">
        <v>1072</v>
      </c>
      <c r="F100" s="3" t="s">
        <v>891</v>
      </c>
      <c r="G100" s="41" t="s">
        <v>1073</v>
      </c>
      <c r="H100" s="57" t="s">
        <v>886</v>
      </c>
      <c r="I100" s="3"/>
      <c r="J100" s="3"/>
      <c r="K100" s="41"/>
      <c r="L100" s="3"/>
      <c r="M100" s="3"/>
      <c r="N100" s="3"/>
      <c r="O100" s="3"/>
    </row>
    <row r="101" customFormat="false" ht="12.8" hidden="false" customHeight="false" outlineLevel="0" collapsed="false">
      <c r="A101" s="55" t="s">
        <v>1155</v>
      </c>
      <c r="B101" s="41" t="s">
        <v>1075</v>
      </c>
      <c r="C101" s="41" t="n">
        <v>0.2</v>
      </c>
      <c r="D101" s="3" t="s">
        <v>1076</v>
      </c>
      <c r="E101" s="3" t="s">
        <v>1077</v>
      </c>
      <c r="F101" s="3" t="s">
        <v>891</v>
      </c>
      <c r="G101" s="41" t="s">
        <v>1078</v>
      </c>
      <c r="H101" s="57" t="s">
        <v>886</v>
      </c>
      <c r="I101" s="3"/>
      <c r="J101" s="3"/>
      <c r="K101" s="41"/>
      <c r="L101" s="3"/>
      <c r="M101" s="3"/>
      <c r="N101" s="3"/>
      <c r="O101" s="3"/>
    </row>
    <row r="102" customFormat="false" ht="12.8" hidden="false" customHeight="false" outlineLevel="0" collapsed="false">
      <c r="A102" s="55" t="s">
        <v>1156</v>
      </c>
      <c r="B102" s="41" t="s">
        <v>1080</v>
      </c>
      <c r="C102" s="41" t="n">
        <v>0.95</v>
      </c>
      <c r="D102" s="3" t="s">
        <v>1081</v>
      </c>
      <c r="E102" s="3" t="s">
        <v>1082</v>
      </c>
      <c r="F102" s="3" t="s">
        <v>884</v>
      </c>
      <c r="G102" s="41" t="s">
        <v>1083</v>
      </c>
      <c r="H102" s="57" t="s">
        <v>886</v>
      </c>
      <c r="I102" s="3"/>
      <c r="J102" s="3"/>
      <c r="K102" s="41"/>
      <c r="L102" s="3"/>
      <c r="M102" s="3"/>
      <c r="N102" s="3"/>
      <c r="O102" s="3"/>
    </row>
    <row r="103" customFormat="false" ht="12.8" hidden="false" customHeight="false" outlineLevel="0" collapsed="false">
      <c r="A103" s="55" t="s">
        <v>1157</v>
      </c>
      <c r="B103" s="41" t="s">
        <v>1085</v>
      </c>
      <c r="C103" s="41" t="n">
        <v>0.6</v>
      </c>
      <c r="D103" s="3" t="s">
        <v>1086</v>
      </c>
      <c r="E103" s="3" t="s">
        <v>1087</v>
      </c>
      <c r="F103" s="3" t="s">
        <v>891</v>
      </c>
      <c r="G103" s="41" t="s">
        <v>1088</v>
      </c>
      <c r="H103" s="57" t="s">
        <v>886</v>
      </c>
      <c r="I103" s="3"/>
      <c r="J103" s="3"/>
      <c r="K103" s="41"/>
      <c r="L103" s="3"/>
      <c r="M103" s="3"/>
      <c r="N103" s="3"/>
      <c r="O103" s="3"/>
    </row>
    <row r="104" customFormat="false" ht="12.8" hidden="false" customHeight="false" outlineLevel="0" collapsed="false">
      <c r="A104" s="55" t="s">
        <v>1158</v>
      </c>
      <c r="B104" s="41" t="s">
        <v>1090</v>
      </c>
      <c r="C104" s="41" t="n">
        <v>0.5</v>
      </c>
      <c r="D104" s="3" t="s">
        <v>1091</v>
      </c>
      <c r="E104" s="3" t="s">
        <v>1092</v>
      </c>
      <c r="F104" s="3" t="s">
        <v>891</v>
      </c>
      <c r="G104" s="41" t="s">
        <v>1093</v>
      </c>
      <c r="H104" s="57" t="s">
        <v>886</v>
      </c>
      <c r="I104" s="3"/>
      <c r="J104" s="3"/>
      <c r="K104" s="41"/>
      <c r="L104" s="3"/>
      <c r="M104" s="3"/>
      <c r="N104" s="3"/>
      <c r="O104" s="3"/>
    </row>
    <row r="105" customFormat="false" ht="12.8" hidden="false" customHeight="false" outlineLevel="0" collapsed="false">
      <c r="A105" s="55" t="s">
        <v>1159</v>
      </c>
      <c r="B105" s="41" t="s">
        <v>1095</v>
      </c>
      <c r="C105" s="41" t="n">
        <v>1</v>
      </c>
      <c r="D105" s="3" t="s">
        <v>1096</v>
      </c>
      <c r="E105" s="3" t="s">
        <v>1097</v>
      </c>
      <c r="F105" s="3" t="s">
        <v>884</v>
      </c>
      <c r="G105" s="41" t="s">
        <v>1088</v>
      </c>
      <c r="H105" s="57" t="s">
        <v>886</v>
      </c>
      <c r="I105" s="3"/>
      <c r="J105" s="3"/>
      <c r="K105" s="41"/>
      <c r="L105" s="3"/>
      <c r="M105" s="3"/>
      <c r="N105" s="3"/>
      <c r="O105" s="3"/>
    </row>
    <row r="106" customFormat="false" ht="12.8" hidden="false" customHeight="false" outlineLevel="0" collapsed="false">
      <c r="A106" s="55" t="s">
        <v>1160</v>
      </c>
      <c r="B106" s="41" t="s">
        <v>1161</v>
      </c>
      <c r="C106" s="41" t="n">
        <v>1420000000</v>
      </c>
      <c r="D106" s="3" t="s">
        <v>1162</v>
      </c>
      <c r="E106" s="3" t="s">
        <v>1163</v>
      </c>
      <c r="F106" s="3" t="s">
        <v>884</v>
      </c>
      <c r="G106" s="41" t="s">
        <v>1164</v>
      </c>
      <c r="H106" s="57" t="s">
        <v>886</v>
      </c>
      <c r="I106" s="3"/>
      <c r="J106" s="3"/>
      <c r="K106" s="41"/>
      <c r="L106" s="3"/>
      <c r="M106" s="3"/>
      <c r="N106" s="3"/>
      <c r="O106" s="3"/>
    </row>
    <row r="107" customFormat="false" ht="12.8" hidden="false" customHeight="false" outlineLevel="0" collapsed="false">
      <c r="A107" s="55" t="s">
        <v>1165</v>
      </c>
      <c r="B107" s="41" t="s">
        <v>1166</v>
      </c>
      <c r="C107" s="41" t="n">
        <v>856000000</v>
      </c>
      <c r="D107" s="3" t="s">
        <v>1167</v>
      </c>
      <c r="E107" s="3" t="s">
        <v>1168</v>
      </c>
      <c r="F107" s="3" t="s">
        <v>891</v>
      </c>
      <c r="G107" s="41" t="s">
        <v>1169</v>
      </c>
      <c r="H107" s="57" t="s">
        <v>886</v>
      </c>
      <c r="I107" s="3"/>
      <c r="J107" s="3"/>
      <c r="K107" s="41"/>
      <c r="L107" s="3"/>
      <c r="M107" s="3"/>
      <c r="N107" s="3"/>
      <c r="O107" s="3"/>
    </row>
    <row r="108" customFormat="false" ht="12.8" hidden="false" customHeight="false" outlineLevel="0" collapsed="false">
      <c r="A108" s="55" t="s">
        <v>1170</v>
      </c>
      <c r="B108" s="41" t="s">
        <v>1171</v>
      </c>
      <c r="C108" s="41" t="n">
        <v>30000000</v>
      </c>
      <c r="D108" s="3" t="s">
        <v>1172</v>
      </c>
      <c r="E108" s="3" t="s">
        <v>1173</v>
      </c>
      <c r="F108" s="3" t="s">
        <v>891</v>
      </c>
      <c r="G108" s="41" t="s">
        <v>1174</v>
      </c>
      <c r="H108" s="57" t="s">
        <v>886</v>
      </c>
      <c r="I108" s="3"/>
      <c r="J108" s="3"/>
      <c r="K108" s="41"/>
      <c r="L108" s="3"/>
      <c r="M108" s="3"/>
      <c r="N108" s="3"/>
      <c r="O108" s="3"/>
    </row>
    <row r="109" customFormat="false" ht="12.8" hidden="false" customHeight="false" outlineLevel="0" collapsed="false">
      <c r="A109" s="55" t="s">
        <v>1175</v>
      </c>
      <c r="B109" s="41" t="s">
        <v>1176</v>
      </c>
      <c r="C109" s="41" t="n">
        <v>0.102</v>
      </c>
      <c r="D109" s="3" t="s">
        <v>1177</v>
      </c>
      <c r="E109" s="3" t="s">
        <v>1178</v>
      </c>
      <c r="F109" s="3" t="s">
        <v>891</v>
      </c>
      <c r="G109" s="41" t="s">
        <v>1179</v>
      </c>
      <c r="H109" s="57" t="s">
        <v>886</v>
      </c>
      <c r="I109" s="3"/>
      <c r="J109" s="3"/>
      <c r="K109" s="41"/>
      <c r="L109" s="3"/>
      <c r="M109" s="3"/>
      <c r="N109" s="3"/>
      <c r="O109" s="3"/>
    </row>
    <row r="110" customFormat="false" ht="12.8" hidden="false" customHeight="false" outlineLevel="0" collapsed="false">
      <c r="A110" s="55" t="s">
        <v>1180</v>
      </c>
      <c r="B110" s="41" t="s">
        <v>1181</v>
      </c>
      <c r="C110" s="41" t="n">
        <v>0.102</v>
      </c>
      <c r="D110" s="3" t="s">
        <v>1182</v>
      </c>
      <c r="E110" s="3" t="s">
        <v>1183</v>
      </c>
      <c r="F110" s="3" t="s">
        <v>891</v>
      </c>
      <c r="G110" s="41" t="s">
        <v>1179</v>
      </c>
      <c r="H110" s="57" t="s">
        <v>886</v>
      </c>
      <c r="I110" s="3"/>
      <c r="J110" s="3"/>
      <c r="K110" s="41"/>
      <c r="L110" s="3"/>
      <c r="M110" s="3"/>
      <c r="N110" s="3"/>
      <c r="O110" s="3"/>
    </row>
    <row r="111" customFormat="false" ht="12.8" hidden="false" customHeight="false" outlineLevel="0" collapsed="false">
      <c r="A111" s="55" t="s">
        <v>1184</v>
      </c>
      <c r="B111" s="41" t="s">
        <v>1185</v>
      </c>
      <c r="C111" s="41" t="n">
        <v>0.08</v>
      </c>
      <c r="D111" s="3" t="s">
        <v>1186</v>
      </c>
      <c r="E111" s="3" t="s">
        <v>1187</v>
      </c>
      <c r="F111" s="3" t="s">
        <v>891</v>
      </c>
      <c r="G111" s="41" t="s">
        <v>1188</v>
      </c>
      <c r="H111" s="57" t="s">
        <v>886</v>
      </c>
      <c r="I111" s="3"/>
      <c r="J111" s="3"/>
      <c r="K111" s="41"/>
      <c r="L111" s="3"/>
      <c r="M111" s="3"/>
      <c r="N111" s="3"/>
      <c r="O111" s="3"/>
    </row>
    <row r="112" customFormat="false" ht="12.8" hidden="false" customHeight="false" outlineLevel="0" collapsed="false">
      <c r="A112" s="55" t="s">
        <v>1189</v>
      </c>
      <c r="B112" s="41" t="s">
        <v>1190</v>
      </c>
      <c r="C112" s="41" t="n">
        <v>0.6</v>
      </c>
      <c r="D112" s="3" t="s">
        <v>1191</v>
      </c>
      <c r="E112" s="3" t="s">
        <v>1192</v>
      </c>
      <c r="F112" s="3" t="s">
        <v>891</v>
      </c>
      <c r="G112" s="41" t="s">
        <v>1193</v>
      </c>
      <c r="H112" s="57" t="s">
        <v>886</v>
      </c>
      <c r="I112" s="3"/>
      <c r="J112" s="3"/>
      <c r="K112" s="41"/>
      <c r="L112" s="3"/>
      <c r="M112" s="3"/>
      <c r="N112" s="3"/>
      <c r="O112" s="3"/>
    </row>
    <row r="113" customFormat="false" ht="12.8" hidden="false" customHeight="false" outlineLevel="0" collapsed="false">
      <c r="A113" s="55" t="s">
        <v>1194</v>
      </c>
      <c r="B113" s="41" t="s">
        <v>1195</v>
      </c>
      <c r="C113" s="41" t="n">
        <v>0.0765</v>
      </c>
      <c r="D113" s="3" t="s">
        <v>1196</v>
      </c>
      <c r="E113" s="3" t="s">
        <v>1197</v>
      </c>
      <c r="F113" s="3" t="s">
        <v>884</v>
      </c>
      <c r="G113" s="41" t="s">
        <v>1013</v>
      </c>
      <c r="H113" s="57" t="s">
        <v>886</v>
      </c>
      <c r="I113" s="3"/>
      <c r="J113" s="3"/>
      <c r="K113" s="41"/>
      <c r="L113" s="3"/>
      <c r="M113" s="3"/>
      <c r="N113" s="3"/>
      <c r="O113" s="3"/>
    </row>
    <row r="114" customFormat="false" ht="12.8" hidden="false" customHeight="false" outlineLevel="0" collapsed="false">
      <c r="A114" s="55" t="s">
        <v>1198</v>
      </c>
      <c r="B114" s="41" t="s">
        <v>1199</v>
      </c>
      <c r="C114" s="41" t="n">
        <v>0.05</v>
      </c>
      <c r="D114" s="3" t="s">
        <v>1200</v>
      </c>
      <c r="E114" s="3" t="s">
        <v>1201</v>
      </c>
      <c r="F114" s="3" t="s">
        <v>891</v>
      </c>
      <c r="G114" s="41" t="s">
        <v>1193</v>
      </c>
      <c r="H114" s="57" t="s">
        <v>886</v>
      </c>
      <c r="I114" s="3"/>
      <c r="J114" s="3"/>
      <c r="K114" s="41"/>
      <c r="L114" s="3"/>
      <c r="M114" s="3"/>
      <c r="N114" s="3"/>
      <c r="O114" s="3"/>
    </row>
    <row r="115" customFormat="false" ht="12.8" hidden="false" customHeight="false" outlineLevel="0" collapsed="false">
      <c r="A115" s="55" t="s">
        <v>1202</v>
      </c>
      <c r="B115" s="41" t="s">
        <v>1203</v>
      </c>
      <c r="C115" s="41" t="n">
        <v>0.153</v>
      </c>
      <c r="D115" s="3" t="s">
        <v>1204</v>
      </c>
      <c r="E115" s="3" t="s">
        <v>1205</v>
      </c>
      <c r="F115" s="3" t="s">
        <v>884</v>
      </c>
      <c r="G115" s="41" t="s">
        <v>1013</v>
      </c>
      <c r="H115" s="57" t="s">
        <v>886</v>
      </c>
      <c r="I115" s="3"/>
      <c r="J115" s="3"/>
      <c r="K115" s="41"/>
      <c r="L115" s="3"/>
      <c r="M115" s="3"/>
      <c r="N115" s="3"/>
      <c r="O115" s="3"/>
    </row>
    <row r="116" customFormat="false" ht="12.8" hidden="false" customHeight="false" outlineLevel="0" collapsed="false">
      <c r="A116" s="55" t="s">
        <v>1206</v>
      </c>
      <c r="B116" s="41" t="s">
        <v>1207</v>
      </c>
      <c r="C116" s="41" t="n">
        <v>0.1</v>
      </c>
      <c r="D116" s="3" t="s">
        <v>1208</v>
      </c>
      <c r="E116" s="3" t="s">
        <v>1017</v>
      </c>
      <c r="F116" s="3" t="s">
        <v>891</v>
      </c>
      <c r="G116" s="41" t="s">
        <v>1193</v>
      </c>
      <c r="H116" s="57" t="s">
        <v>886</v>
      </c>
      <c r="I116" s="3"/>
      <c r="J116" s="3"/>
      <c r="K116" s="41"/>
      <c r="L116" s="3"/>
      <c r="M116" s="3"/>
      <c r="N116" s="3"/>
      <c r="O116" s="3"/>
    </row>
    <row r="117" customFormat="false" ht="12.8" hidden="false" customHeight="false" outlineLevel="0" collapsed="false">
      <c r="A117" s="55" t="s">
        <v>1209</v>
      </c>
      <c r="B117" s="41" t="s">
        <v>1210</v>
      </c>
      <c r="C117" s="41" t="n">
        <v>0.025</v>
      </c>
      <c r="D117" s="3" t="s">
        <v>1211</v>
      </c>
      <c r="E117" s="3" t="s">
        <v>1212</v>
      </c>
      <c r="F117" s="3" t="s">
        <v>891</v>
      </c>
      <c r="G117" s="41" t="s">
        <v>1213</v>
      </c>
      <c r="H117" s="57" t="s">
        <v>886</v>
      </c>
      <c r="I117" s="3"/>
      <c r="J117" s="3"/>
      <c r="K117" s="41"/>
      <c r="L117" s="3"/>
      <c r="M117" s="3"/>
      <c r="N117" s="3"/>
      <c r="O117" s="3"/>
    </row>
    <row r="118" customFormat="false" ht="12.8" hidden="false" customHeight="false" outlineLevel="0" collapsed="false">
      <c r="A118" s="55" t="s">
        <v>1214</v>
      </c>
      <c r="B118" s="41" t="s">
        <v>1215</v>
      </c>
      <c r="C118" s="41" t="n">
        <v>0.2</v>
      </c>
      <c r="D118" s="3" t="s">
        <v>1216</v>
      </c>
      <c r="E118" s="3" t="s">
        <v>1217</v>
      </c>
      <c r="F118" s="3" t="s">
        <v>891</v>
      </c>
      <c r="G118" s="41" t="s">
        <v>1218</v>
      </c>
      <c r="H118" s="57" t="s">
        <v>886</v>
      </c>
      <c r="I118" s="3"/>
      <c r="J118" s="3"/>
      <c r="K118" s="41"/>
      <c r="L118" s="3"/>
      <c r="M118" s="3"/>
      <c r="N118" s="3"/>
      <c r="O118" s="3"/>
    </row>
    <row r="119" customFormat="false" ht="12.8" hidden="false" customHeight="false" outlineLevel="0" collapsed="false">
      <c r="A119" s="55" t="s">
        <v>1219</v>
      </c>
      <c r="B119" s="41" t="s">
        <v>1220</v>
      </c>
      <c r="C119" s="41" t="n">
        <v>-0.05</v>
      </c>
      <c r="D119" s="3" t="s">
        <v>1221</v>
      </c>
      <c r="E119" s="3" t="s">
        <v>1222</v>
      </c>
      <c r="F119" s="3" t="s">
        <v>891</v>
      </c>
      <c r="G119" s="41" t="s">
        <v>1218</v>
      </c>
      <c r="H119" s="57" t="s">
        <v>886</v>
      </c>
      <c r="I119" s="3"/>
      <c r="J119" s="3"/>
      <c r="K119" s="41"/>
      <c r="L119" s="3"/>
      <c r="M119" s="3"/>
      <c r="N119" s="3"/>
      <c r="O119" s="3"/>
    </row>
    <row r="120" customFormat="false" ht="12.8" hidden="false" customHeight="false" outlineLevel="0" collapsed="false">
      <c r="A120" s="55" t="s">
        <v>1223</v>
      </c>
      <c r="B120" s="41" t="s">
        <v>1224</v>
      </c>
      <c r="C120" s="41" t="n">
        <v>0.3</v>
      </c>
      <c r="D120" s="3" t="s">
        <v>1225</v>
      </c>
      <c r="E120" s="3" t="s">
        <v>1226</v>
      </c>
      <c r="F120" s="3" t="s">
        <v>891</v>
      </c>
      <c r="G120" s="41" t="s">
        <v>1227</v>
      </c>
      <c r="H120" s="57" t="s">
        <v>886</v>
      </c>
      <c r="I120" s="3"/>
      <c r="J120" s="3"/>
      <c r="K120" s="41"/>
      <c r="L120" s="3"/>
      <c r="M120" s="3"/>
      <c r="N120" s="3"/>
      <c r="O120" s="3"/>
    </row>
    <row r="121" customFormat="false" ht="12.8" hidden="false" customHeight="false" outlineLevel="0" collapsed="false">
      <c r="A121" s="55" t="s">
        <v>1228</v>
      </c>
      <c r="B121" s="41" t="s">
        <v>1229</v>
      </c>
      <c r="C121" s="41" t="n">
        <v>0.1</v>
      </c>
      <c r="D121" s="3" t="s">
        <v>1230</v>
      </c>
      <c r="E121" s="3" t="s">
        <v>1231</v>
      </c>
      <c r="F121" s="3" t="s">
        <v>891</v>
      </c>
      <c r="G121" s="41" t="s">
        <v>968</v>
      </c>
      <c r="H121" s="57" t="s">
        <v>886</v>
      </c>
      <c r="I121" s="3"/>
      <c r="J121" s="3"/>
      <c r="K121" s="41"/>
      <c r="L121" s="3"/>
      <c r="M121" s="3"/>
      <c r="N121" s="3"/>
      <c r="O121" s="3"/>
    </row>
    <row r="122" customFormat="false" ht="12.8" hidden="false" customHeight="false" outlineLevel="0" collapsed="false">
      <c r="A122" s="55" t="s">
        <v>1232</v>
      </c>
      <c r="B122" s="41" t="s">
        <v>1233</v>
      </c>
      <c r="C122" s="41" t="n">
        <v>1.02</v>
      </c>
      <c r="D122" s="3" t="s">
        <v>1234</v>
      </c>
      <c r="E122" s="3" t="s">
        <v>1235</v>
      </c>
      <c r="F122" s="3" t="s">
        <v>884</v>
      </c>
      <c r="G122" s="41" t="s">
        <v>1236</v>
      </c>
      <c r="H122" s="57" t="s">
        <v>886</v>
      </c>
      <c r="I122" s="3"/>
      <c r="J122" s="3"/>
      <c r="K122" s="41"/>
      <c r="L122" s="3"/>
      <c r="M122" s="3"/>
      <c r="N122" s="3"/>
      <c r="O122" s="3"/>
    </row>
    <row r="123" customFormat="false" ht="12.8" hidden="false" customHeight="false" outlineLevel="0" collapsed="false">
      <c r="A123" s="55" t="s">
        <v>1237</v>
      </c>
      <c r="B123" s="41" t="s">
        <v>1238</v>
      </c>
      <c r="C123" s="41" t="n">
        <v>0.1</v>
      </c>
      <c r="D123" s="3" t="s">
        <v>1239</v>
      </c>
      <c r="E123" s="3" t="s">
        <v>1240</v>
      </c>
      <c r="F123" s="3" t="s">
        <v>891</v>
      </c>
      <c r="G123" s="41" t="s">
        <v>1241</v>
      </c>
      <c r="H123" s="57" t="s">
        <v>886</v>
      </c>
      <c r="I123" s="3"/>
      <c r="J123" s="3"/>
      <c r="K123" s="41"/>
      <c r="L123" s="3"/>
      <c r="M123" s="3"/>
      <c r="N123" s="3"/>
      <c r="O123" s="3"/>
    </row>
    <row r="124" customFormat="false" ht="12.8" hidden="false" customHeight="false" outlineLevel="0" collapsed="false">
      <c r="A124" s="55" t="s">
        <v>1242</v>
      </c>
      <c r="B124" s="41" t="s">
        <v>1243</v>
      </c>
      <c r="C124" s="41" t="n">
        <v>0.05</v>
      </c>
      <c r="D124" s="3" t="s">
        <v>1244</v>
      </c>
      <c r="E124" s="3" t="s">
        <v>1245</v>
      </c>
      <c r="F124" s="3" t="s">
        <v>891</v>
      </c>
      <c r="G124" s="41" t="s">
        <v>941</v>
      </c>
      <c r="H124" s="57" t="s">
        <v>886</v>
      </c>
      <c r="I124" s="3"/>
      <c r="J124" s="3"/>
      <c r="K124" s="41"/>
      <c r="L124" s="3"/>
      <c r="M124" s="3"/>
      <c r="N124" s="3"/>
      <c r="O124" s="3"/>
    </row>
    <row r="125" customFormat="false" ht="12.8" hidden="false" customHeight="false" outlineLevel="0" collapsed="false">
      <c r="K125" s="41"/>
    </row>
    <row r="126" customFormat="false" ht="12.8" hidden="false" customHeight="false" outlineLevel="0" collapsed="false">
      <c r="A126" s="59" t="s">
        <v>1246</v>
      </c>
    </row>
    <row r="127" customFormat="false" ht="12.8" hidden="false" customHeight="false" outlineLevel="0" collapsed="false">
      <c r="A127" s="55" t="s">
        <v>1099</v>
      </c>
      <c r="B127" s="41" t="s">
        <v>1100</v>
      </c>
      <c r="C127" s="41" t="s">
        <v>1101</v>
      </c>
      <c r="D127" s="3" t="s">
        <v>1102</v>
      </c>
      <c r="E127" s="3" t="s">
        <v>1103</v>
      </c>
      <c r="F127" s="3" t="s">
        <v>1104</v>
      </c>
      <c r="G127" s="41" t="s">
        <v>1105</v>
      </c>
      <c r="H127" s="41" t="s">
        <v>1106</v>
      </c>
    </row>
    <row r="128" customFormat="false" ht="12.8" hidden="false" customHeight="false" outlineLevel="0" collapsed="false">
      <c r="A128" s="55" t="s">
        <v>309</v>
      </c>
      <c r="B128" s="41" t="s">
        <v>1247</v>
      </c>
      <c r="C128" s="41" t="n">
        <v>2384</v>
      </c>
      <c r="D128" s="3" t="s">
        <v>1248</v>
      </c>
      <c r="E128" s="3" t="s">
        <v>1249</v>
      </c>
      <c r="F128" s="3" t="s">
        <v>884</v>
      </c>
      <c r="G128" s="41" t="s">
        <v>1250</v>
      </c>
      <c r="H128" s="57" t="s">
        <v>886</v>
      </c>
    </row>
    <row r="129" customFormat="false" ht="12.8" hidden="false" customHeight="false" outlineLevel="0" collapsed="false">
      <c r="A129" s="55" t="s">
        <v>314</v>
      </c>
      <c r="B129" s="41" t="s">
        <v>1251</v>
      </c>
      <c r="C129" s="41" t="n">
        <v>1.05</v>
      </c>
      <c r="D129" s="3" t="s">
        <v>1252</v>
      </c>
      <c r="E129" s="3" t="s">
        <v>1253</v>
      </c>
      <c r="F129" s="3" t="s">
        <v>891</v>
      </c>
      <c r="G129" s="41" t="s">
        <v>1254</v>
      </c>
      <c r="H129" s="57" t="s">
        <v>886</v>
      </c>
    </row>
    <row r="130" customFormat="false" ht="12.8" hidden="false" customHeight="false" outlineLevel="0" collapsed="false">
      <c r="A130" s="55" t="s">
        <v>319</v>
      </c>
      <c r="B130" s="41" t="s">
        <v>1255</v>
      </c>
      <c r="C130" s="41" t="n">
        <v>1.1</v>
      </c>
      <c r="D130" s="3" t="s">
        <v>1256</v>
      </c>
      <c r="E130" s="3" t="s">
        <v>1257</v>
      </c>
      <c r="F130" s="3" t="s">
        <v>891</v>
      </c>
      <c r="G130" s="41" t="s">
        <v>1258</v>
      </c>
      <c r="H130" s="57" t="s">
        <v>886</v>
      </c>
    </row>
    <row r="131" customFormat="false" ht="12.8" hidden="false" customHeight="false" outlineLevel="0" collapsed="false">
      <c r="A131" s="55" t="s">
        <v>324</v>
      </c>
      <c r="B131" s="41" t="s">
        <v>1259</v>
      </c>
      <c r="C131" s="41" t="n">
        <v>1.03</v>
      </c>
      <c r="D131" s="3" t="s">
        <v>1260</v>
      </c>
      <c r="E131" s="3" t="s">
        <v>1261</v>
      </c>
      <c r="F131" s="3" t="s">
        <v>891</v>
      </c>
      <c r="G131" s="41" t="s">
        <v>985</v>
      </c>
      <c r="H131" s="57" t="s">
        <v>886</v>
      </c>
    </row>
    <row r="132" customFormat="false" ht="12.8" hidden="false" customHeight="false" outlineLevel="0" collapsed="false">
      <c r="A132" s="55" t="s">
        <v>329</v>
      </c>
      <c r="B132" s="41" t="s">
        <v>1262</v>
      </c>
      <c r="C132" s="41" t="n">
        <v>1.02</v>
      </c>
      <c r="D132" s="3" t="s">
        <v>1263</v>
      </c>
      <c r="E132" s="3" t="s">
        <v>1264</v>
      </c>
      <c r="F132" s="3" t="s">
        <v>884</v>
      </c>
      <c r="G132" s="41" t="s">
        <v>1265</v>
      </c>
      <c r="H132" s="57" t="s">
        <v>886</v>
      </c>
    </row>
    <row r="133" customFormat="false" ht="12.8" hidden="false" customHeight="false" outlineLevel="0" collapsed="false">
      <c r="A133" s="55" t="s">
        <v>1266</v>
      </c>
      <c r="B133" s="41" t="s">
        <v>1267</v>
      </c>
      <c r="C133" s="41" t="n">
        <v>0.98</v>
      </c>
      <c r="D133" s="3" t="s">
        <v>1268</v>
      </c>
      <c r="E133" s="3" t="s">
        <v>1269</v>
      </c>
      <c r="F133" s="3" t="s">
        <v>884</v>
      </c>
      <c r="G133" s="41" t="s">
        <v>1265</v>
      </c>
      <c r="H133" s="57" t="s">
        <v>886</v>
      </c>
    </row>
    <row r="135" customFormat="false" ht="12.8" hidden="false" customHeight="false" outlineLevel="0" collapsed="false">
      <c r="A135" s="59" t="s">
        <v>1270</v>
      </c>
    </row>
    <row r="136" customFormat="false" ht="12.8" hidden="false" customHeight="false" outlineLevel="0" collapsed="false">
      <c r="A136" s="55" t="s">
        <v>1099</v>
      </c>
      <c r="B136" s="41" t="s">
        <v>1100</v>
      </c>
      <c r="C136" s="41" t="s">
        <v>1101</v>
      </c>
      <c r="D136" s="3" t="s">
        <v>1102</v>
      </c>
      <c r="E136" s="3" t="s">
        <v>1103</v>
      </c>
      <c r="F136" s="3" t="s">
        <v>1104</v>
      </c>
      <c r="G136" s="41" t="s">
        <v>1105</v>
      </c>
      <c r="H136" s="41" t="s">
        <v>1106</v>
      </c>
    </row>
    <row r="137" customFormat="false" ht="12.8" hidden="false" customHeight="false" outlineLevel="0" collapsed="false">
      <c r="A137" s="55" t="s">
        <v>360</v>
      </c>
      <c r="B137" s="41" t="s">
        <v>1271</v>
      </c>
      <c r="C137" s="41" t="n">
        <v>0.577</v>
      </c>
      <c r="D137" s="3" t="s">
        <v>1272</v>
      </c>
      <c r="E137" s="3" t="s">
        <v>1273</v>
      </c>
      <c r="F137" s="3" t="s">
        <v>884</v>
      </c>
      <c r="G137" s="41" t="s">
        <v>1274</v>
      </c>
      <c r="H137" s="57" t="s">
        <v>886</v>
      </c>
    </row>
    <row r="138" customFormat="false" ht="12.8" hidden="false" customHeight="false" outlineLevel="0" collapsed="false">
      <c r="A138" s="55" t="s">
        <v>365</v>
      </c>
      <c r="B138" s="41" t="s">
        <v>1275</v>
      </c>
      <c r="C138" s="41" t="n">
        <v>0.96</v>
      </c>
      <c r="D138" s="3" t="s">
        <v>1276</v>
      </c>
      <c r="E138" s="3" t="s">
        <v>1277</v>
      </c>
      <c r="F138" s="3" t="s">
        <v>891</v>
      </c>
      <c r="G138" s="41" t="s">
        <v>1278</v>
      </c>
      <c r="H138" s="57" t="s">
        <v>886</v>
      </c>
    </row>
    <row r="139" customFormat="false" ht="12.8" hidden="false" customHeight="false" outlineLevel="0" collapsed="false">
      <c r="A139" s="55" t="s">
        <v>369</v>
      </c>
      <c r="B139" s="41" t="s">
        <v>1279</v>
      </c>
      <c r="C139" s="41" t="n">
        <v>1.08</v>
      </c>
      <c r="D139" s="3" t="s">
        <v>1280</v>
      </c>
      <c r="E139" s="3" t="s">
        <v>1281</v>
      </c>
      <c r="F139" s="3" t="s">
        <v>891</v>
      </c>
      <c r="G139" s="41" t="s">
        <v>1258</v>
      </c>
      <c r="H139" s="57" t="s">
        <v>886</v>
      </c>
    </row>
    <row r="140" customFormat="false" ht="12.8" hidden="false" customHeight="false" outlineLevel="0" collapsed="false">
      <c r="A140" s="55" t="s">
        <v>373</v>
      </c>
      <c r="B140" s="41" t="s">
        <v>1282</v>
      </c>
      <c r="C140" s="41" t="n">
        <v>1.04</v>
      </c>
      <c r="D140" s="3" t="s">
        <v>1283</v>
      </c>
      <c r="E140" s="3" t="s">
        <v>1284</v>
      </c>
      <c r="F140" s="3" t="s">
        <v>891</v>
      </c>
      <c r="G140" s="41" t="s">
        <v>985</v>
      </c>
      <c r="H140" s="57" t="s">
        <v>886</v>
      </c>
    </row>
    <row r="141" customFormat="false" ht="12.8" hidden="false" customHeight="false" outlineLevel="0" collapsed="false">
      <c r="A141" s="55" t="s">
        <v>376</v>
      </c>
      <c r="B141" s="41" t="s">
        <v>1285</v>
      </c>
      <c r="C141" s="41" t="n">
        <v>0.35</v>
      </c>
      <c r="D141" s="3" t="s">
        <v>1286</v>
      </c>
      <c r="E141" s="3" t="s">
        <v>1287</v>
      </c>
      <c r="F141" s="3" t="s">
        <v>891</v>
      </c>
      <c r="G141" s="41" t="s">
        <v>1288</v>
      </c>
      <c r="H141" s="57" t="s">
        <v>886</v>
      </c>
    </row>
    <row r="142" customFormat="false" ht="12.8" hidden="false" customHeight="false" outlineLevel="0" collapsed="false">
      <c r="A142" s="55" t="s">
        <v>1289</v>
      </c>
      <c r="B142" s="41" t="s">
        <v>1290</v>
      </c>
      <c r="C142" s="41" t="n">
        <v>0.45</v>
      </c>
      <c r="D142" s="3" t="s">
        <v>1291</v>
      </c>
      <c r="E142" s="3" t="s">
        <v>1292</v>
      </c>
      <c r="F142" s="3" t="s">
        <v>884</v>
      </c>
      <c r="G142" s="41" t="s">
        <v>985</v>
      </c>
      <c r="H142" s="57" t="s">
        <v>886</v>
      </c>
    </row>
    <row r="144" customFormat="false" ht="12.8" hidden="false" customHeight="false" outlineLevel="0" collapsed="false">
      <c r="A144" s="59" t="s">
        <v>1293</v>
      </c>
    </row>
    <row r="145" customFormat="false" ht="12.8" hidden="false" customHeight="false" outlineLevel="0" collapsed="false">
      <c r="A145" s="55" t="s">
        <v>1099</v>
      </c>
      <c r="B145" s="41" t="s">
        <v>1100</v>
      </c>
      <c r="C145" s="41" t="s">
        <v>1101</v>
      </c>
      <c r="D145" s="3" t="s">
        <v>1102</v>
      </c>
      <c r="E145" s="3" t="s">
        <v>1103</v>
      </c>
      <c r="F145" s="3" t="s">
        <v>1104</v>
      </c>
      <c r="G145" s="41" t="s">
        <v>1105</v>
      </c>
      <c r="H145" s="41" t="s">
        <v>1106</v>
      </c>
    </row>
    <row r="146" customFormat="false" ht="12.8" hidden="false" customHeight="false" outlineLevel="0" collapsed="false">
      <c r="A146" s="55" t="s">
        <v>336</v>
      </c>
      <c r="B146" s="41" t="s">
        <v>1294</v>
      </c>
      <c r="C146" s="41" t="n">
        <v>0.561</v>
      </c>
      <c r="D146" s="3" t="s">
        <v>1295</v>
      </c>
      <c r="E146" s="3" t="s">
        <v>1296</v>
      </c>
      <c r="F146" s="3" t="s">
        <v>884</v>
      </c>
      <c r="G146" s="41" t="s">
        <v>1297</v>
      </c>
      <c r="H146" s="57" t="s">
        <v>886</v>
      </c>
    </row>
    <row r="147" customFormat="false" ht="12.8" hidden="false" customHeight="false" outlineLevel="0" collapsed="false">
      <c r="A147" s="55" t="s">
        <v>341</v>
      </c>
      <c r="B147" s="41" t="s">
        <v>1298</v>
      </c>
      <c r="C147" s="41" t="n">
        <v>0.95</v>
      </c>
      <c r="D147" s="3" t="s">
        <v>1299</v>
      </c>
      <c r="E147" s="3" t="s">
        <v>1300</v>
      </c>
      <c r="F147" s="3" t="s">
        <v>891</v>
      </c>
      <c r="G147" s="41" t="s">
        <v>1301</v>
      </c>
      <c r="H147" s="57" t="s">
        <v>886</v>
      </c>
    </row>
    <row r="148" customFormat="false" ht="12.8" hidden="false" customHeight="false" outlineLevel="0" collapsed="false">
      <c r="A148" s="55" t="s">
        <v>345</v>
      </c>
      <c r="B148" s="41" t="s">
        <v>1302</v>
      </c>
      <c r="C148" s="41" t="n">
        <v>0.92</v>
      </c>
      <c r="D148" s="3" t="s">
        <v>1303</v>
      </c>
      <c r="E148" s="3" t="s">
        <v>1304</v>
      </c>
      <c r="F148" s="3" t="s">
        <v>891</v>
      </c>
      <c r="G148" s="41" t="s">
        <v>1258</v>
      </c>
      <c r="H148" s="57" t="s">
        <v>886</v>
      </c>
    </row>
    <row r="149" customFormat="false" ht="12.8" hidden="false" customHeight="false" outlineLevel="0" collapsed="false">
      <c r="A149" s="55" t="s">
        <v>350</v>
      </c>
      <c r="B149" s="41" t="s">
        <v>1305</v>
      </c>
      <c r="C149" s="41" t="n">
        <v>1.02</v>
      </c>
      <c r="D149" s="3" t="s">
        <v>1306</v>
      </c>
      <c r="E149" s="3" t="s">
        <v>1307</v>
      </c>
      <c r="F149" s="3" t="s">
        <v>891</v>
      </c>
      <c r="G149" s="41" t="s">
        <v>985</v>
      </c>
      <c r="H149" s="57" t="s">
        <v>886</v>
      </c>
    </row>
    <row r="150" customFormat="false" ht="12.8" hidden="false" customHeight="false" outlineLevel="0" collapsed="false">
      <c r="A150" s="55" t="s">
        <v>353</v>
      </c>
      <c r="B150" s="41" t="s">
        <v>1308</v>
      </c>
      <c r="C150" s="41" t="n">
        <v>1.05</v>
      </c>
      <c r="D150" s="3" t="s">
        <v>1309</v>
      </c>
      <c r="E150" s="3" t="s">
        <v>1310</v>
      </c>
      <c r="F150" s="3" t="s">
        <v>884</v>
      </c>
      <c r="G150" s="41" t="s">
        <v>1311</v>
      </c>
      <c r="H150" s="57" t="s">
        <v>886</v>
      </c>
    </row>
    <row r="151" customFormat="false" ht="12.8" hidden="false" customHeight="false" outlineLevel="0" collapsed="false">
      <c r="A151" s="55" t="s">
        <v>1312</v>
      </c>
      <c r="B151" s="41" t="s">
        <v>1313</v>
      </c>
      <c r="C151" s="41" t="n">
        <v>0.023</v>
      </c>
      <c r="D151" s="3" t="s">
        <v>1314</v>
      </c>
      <c r="E151" s="3" t="s">
        <v>1315</v>
      </c>
      <c r="F151" s="3" t="s">
        <v>884</v>
      </c>
      <c r="G151" s="41" t="s">
        <v>1316</v>
      </c>
      <c r="H151" s="57" t="s">
        <v>886</v>
      </c>
    </row>
    <row r="152" customFormat="false" ht="12.8" hidden="false" customHeight="false" outlineLevel="0" collapsed="false">
      <c r="A152" s="55" t="s">
        <v>1317</v>
      </c>
      <c r="B152" s="41" t="s">
        <v>1318</v>
      </c>
      <c r="C152" s="41" t="n">
        <v>0.01</v>
      </c>
      <c r="D152" s="3" t="s">
        <v>1319</v>
      </c>
      <c r="E152" s="3" t="s">
        <v>1320</v>
      </c>
      <c r="F152" s="3" t="s">
        <v>891</v>
      </c>
      <c r="G152" s="41" t="s">
        <v>1321</v>
      </c>
      <c r="H152" s="57" t="s">
        <v>886</v>
      </c>
    </row>
    <row r="154" customFormat="false" ht="12.8" hidden="false" customHeight="false" outlineLevel="0" collapsed="false">
      <c r="A154" s="41" t="s">
        <v>1322</v>
      </c>
    </row>
    <row r="155" customFormat="false" ht="12.8" hidden="false" customHeight="false" outlineLevel="0" collapsed="false">
      <c r="A155" s="55" t="s">
        <v>1099</v>
      </c>
      <c r="B155" s="41" t="s">
        <v>1100</v>
      </c>
      <c r="C155" s="41" t="s">
        <v>1101</v>
      </c>
      <c r="D155" s="3" t="s">
        <v>1102</v>
      </c>
      <c r="E155" s="3" t="s">
        <v>1103</v>
      </c>
      <c r="F155" s="3" t="s">
        <v>1104</v>
      </c>
      <c r="G155" s="41" t="s">
        <v>1105</v>
      </c>
      <c r="H155" s="41" t="s">
        <v>1106</v>
      </c>
    </row>
    <row r="156" customFormat="false" ht="12.8" hidden="false" customHeight="false" outlineLevel="0" collapsed="false">
      <c r="A156" s="55" t="s">
        <v>383</v>
      </c>
      <c r="B156" s="41" t="s">
        <v>1323</v>
      </c>
      <c r="C156" s="41" t="n">
        <v>0.027</v>
      </c>
      <c r="D156" s="3" t="s">
        <v>1324</v>
      </c>
      <c r="E156" s="3" t="s">
        <v>1325</v>
      </c>
      <c r="F156" s="3" t="s">
        <v>884</v>
      </c>
      <c r="G156" s="41" t="s">
        <v>1326</v>
      </c>
      <c r="H156" s="57" t="s">
        <v>886</v>
      </c>
    </row>
    <row r="157" customFormat="false" ht="12.8" hidden="false" customHeight="false" outlineLevel="0" collapsed="false">
      <c r="A157" s="55" t="s">
        <v>388</v>
      </c>
      <c r="B157" s="41" t="s">
        <v>1327</v>
      </c>
      <c r="C157" s="41" t="n">
        <v>1.15</v>
      </c>
      <c r="D157" s="3" t="s">
        <v>1328</v>
      </c>
      <c r="E157" s="3" t="s">
        <v>1329</v>
      </c>
      <c r="F157" s="3" t="s">
        <v>891</v>
      </c>
      <c r="G157" s="41" t="s">
        <v>1330</v>
      </c>
      <c r="H157" s="57" t="s">
        <v>886</v>
      </c>
    </row>
    <row r="158" customFormat="false" ht="12.8" hidden="false" customHeight="false" outlineLevel="0" collapsed="false">
      <c r="A158" s="55" t="s">
        <v>393</v>
      </c>
      <c r="B158" s="41" t="s">
        <v>1331</v>
      </c>
      <c r="C158" s="41" t="n">
        <v>1.7</v>
      </c>
      <c r="D158" s="3" t="s">
        <v>1332</v>
      </c>
      <c r="E158" s="3" t="s">
        <v>1333</v>
      </c>
      <c r="F158" s="3" t="s">
        <v>891</v>
      </c>
      <c r="G158" s="41" t="s">
        <v>1334</v>
      </c>
      <c r="H158" s="57" t="s">
        <v>886</v>
      </c>
    </row>
    <row r="159" customFormat="false" ht="12.8" hidden="false" customHeight="false" outlineLevel="0" collapsed="false">
      <c r="A159" s="55" t="s">
        <v>398</v>
      </c>
      <c r="B159" s="41" t="s">
        <v>1335</v>
      </c>
      <c r="C159" s="41" t="n">
        <v>0.95</v>
      </c>
      <c r="D159" s="3" t="s">
        <v>1336</v>
      </c>
      <c r="E159" s="3" t="s">
        <v>1337</v>
      </c>
      <c r="F159" s="3" t="s">
        <v>891</v>
      </c>
      <c r="G159" s="41" t="s">
        <v>1338</v>
      </c>
      <c r="H159" s="57" t="s">
        <v>886</v>
      </c>
    </row>
    <row r="160" customFormat="false" ht="12.8" hidden="false" customHeight="false" outlineLevel="0" collapsed="false">
      <c r="A160" s="55" t="s">
        <v>402</v>
      </c>
      <c r="B160" s="41" t="s">
        <v>1339</v>
      </c>
      <c r="C160" s="41" t="n">
        <v>0.055</v>
      </c>
      <c r="D160" s="3" t="s">
        <v>1340</v>
      </c>
      <c r="E160" s="3" t="s">
        <v>1341</v>
      </c>
      <c r="F160" s="3" t="s">
        <v>884</v>
      </c>
      <c r="G160" s="41" t="s">
        <v>1342</v>
      </c>
      <c r="H160" s="57" t="s">
        <v>886</v>
      </c>
    </row>
    <row r="161" customFormat="false" ht="12.8" hidden="false" customHeight="false" outlineLevel="0" collapsed="false">
      <c r="A161" s="55" t="s">
        <v>1343</v>
      </c>
      <c r="B161" s="41" t="s">
        <v>1344</v>
      </c>
      <c r="C161" s="41" t="n">
        <v>0.029</v>
      </c>
      <c r="D161" s="3" t="s">
        <v>1345</v>
      </c>
      <c r="E161" s="3" t="s">
        <v>1346</v>
      </c>
      <c r="F161" s="3" t="s">
        <v>884</v>
      </c>
      <c r="G161" s="41" t="s">
        <v>1347</v>
      </c>
      <c r="H161" s="57" t="s">
        <v>886</v>
      </c>
    </row>
    <row r="163" customFormat="false" ht="12.8" hidden="false" customHeight="false" outlineLevel="0" collapsed="false">
      <c r="A163" s="41" t="s">
        <v>1348</v>
      </c>
    </row>
    <row r="164" customFormat="false" ht="12.8" hidden="false" customHeight="false" outlineLevel="0" collapsed="false">
      <c r="A164" s="55" t="s">
        <v>1099</v>
      </c>
      <c r="B164" s="41" t="s">
        <v>1100</v>
      </c>
      <c r="C164" s="41" t="s">
        <v>1101</v>
      </c>
      <c r="D164" s="3" t="s">
        <v>1102</v>
      </c>
      <c r="E164" s="3" t="s">
        <v>1103</v>
      </c>
      <c r="F164" s="3" t="s">
        <v>1104</v>
      </c>
      <c r="G164" s="41" t="s">
        <v>1105</v>
      </c>
      <c r="H164" s="41" t="s">
        <v>1106</v>
      </c>
    </row>
    <row r="165" customFormat="false" ht="12.8" hidden="false" customHeight="false" outlineLevel="0" collapsed="false">
      <c r="A165" s="55" t="s">
        <v>409</v>
      </c>
      <c r="B165" s="41" t="s">
        <v>1349</v>
      </c>
      <c r="C165" s="41" t="n">
        <v>0.0675</v>
      </c>
      <c r="D165" s="3" t="s">
        <v>1350</v>
      </c>
      <c r="E165" s="3" t="s">
        <v>1351</v>
      </c>
      <c r="F165" s="3" t="s">
        <v>891</v>
      </c>
      <c r="G165" s="41" t="s">
        <v>1352</v>
      </c>
      <c r="H165" s="57" t="s">
        <v>886</v>
      </c>
    </row>
    <row r="166" customFormat="false" ht="12.8" hidden="false" customHeight="false" outlineLevel="0" collapsed="false">
      <c r="A166" s="55" t="s">
        <v>414</v>
      </c>
      <c r="B166" s="41" t="s">
        <v>1353</v>
      </c>
      <c r="C166" s="41" t="n">
        <v>2.5</v>
      </c>
      <c r="D166" s="3" t="s">
        <v>1354</v>
      </c>
      <c r="E166" s="3" t="s">
        <v>1355</v>
      </c>
      <c r="F166" s="3" t="s">
        <v>891</v>
      </c>
      <c r="G166" s="41" t="s">
        <v>1356</v>
      </c>
      <c r="H166" s="57" t="s">
        <v>886</v>
      </c>
    </row>
    <row r="167" customFormat="false" ht="12.8" hidden="false" customHeight="false" outlineLevel="0" collapsed="false">
      <c r="A167" s="55" t="s">
        <v>418</v>
      </c>
      <c r="B167" s="41" t="s">
        <v>1357</v>
      </c>
      <c r="C167" s="41" t="n">
        <v>2.5</v>
      </c>
      <c r="D167" s="3" t="s">
        <v>1358</v>
      </c>
      <c r="E167" s="3" t="s">
        <v>1359</v>
      </c>
      <c r="F167" s="3" t="s">
        <v>891</v>
      </c>
      <c r="G167" s="41" t="s">
        <v>1360</v>
      </c>
      <c r="H167" s="57" t="s">
        <v>886</v>
      </c>
    </row>
    <row r="168" customFormat="false" ht="12.8" hidden="false" customHeight="false" outlineLevel="0" collapsed="false">
      <c r="A168" s="55" t="s">
        <v>422</v>
      </c>
      <c r="B168" s="41" t="s">
        <v>1361</v>
      </c>
      <c r="C168" s="41" t="n">
        <v>2.5</v>
      </c>
      <c r="D168" s="3" t="s">
        <v>1362</v>
      </c>
      <c r="E168" s="3" t="s">
        <v>1363</v>
      </c>
      <c r="F168" s="3" t="s">
        <v>891</v>
      </c>
      <c r="G168" s="41" t="s">
        <v>1364</v>
      </c>
      <c r="H168" s="57" t="s">
        <v>886</v>
      </c>
    </row>
    <row r="169" customFormat="false" ht="12.8" hidden="false" customHeight="false" outlineLevel="0" collapsed="false">
      <c r="A169" s="55" t="s">
        <v>425</v>
      </c>
      <c r="B169" s="41" t="s">
        <v>1365</v>
      </c>
      <c r="C169" s="41" t="n">
        <v>1.67</v>
      </c>
      <c r="D169" s="3" t="s">
        <v>1366</v>
      </c>
      <c r="E169" s="3" t="s">
        <v>1367</v>
      </c>
      <c r="F169" s="3" t="s">
        <v>891</v>
      </c>
      <c r="G169" s="41" t="s">
        <v>1368</v>
      </c>
      <c r="H169" s="57" t="s">
        <v>886</v>
      </c>
    </row>
    <row r="170" customFormat="false" ht="12.8" hidden="false" customHeight="false" outlineLevel="0" collapsed="false">
      <c r="A170" s="55" t="s">
        <v>1369</v>
      </c>
      <c r="B170" s="41" t="s">
        <v>1370</v>
      </c>
      <c r="C170" s="41" t="n">
        <v>1</v>
      </c>
      <c r="D170" s="3" t="s">
        <v>1371</v>
      </c>
      <c r="E170" s="3" t="s">
        <v>1372</v>
      </c>
      <c r="F170" s="3" t="s">
        <v>891</v>
      </c>
      <c r="G170" s="41" t="s">
        <v>1373</v>
      </c>
      <c r="H170" s="57" t="s">
        <v>886</v>
      </c>
    </row>
    <row r="171" customFormat="false" ht="12.8" hidden="false" customHeight="false" outlineLevel="0" collapsed="false">
      <c r="A171" s="55" t="s">
        <v>1374</v>
      </c>
      <c r="B171" s="41" t="s">
        <v>1375</v>
      </c>
      <c r="C171" s="41" t="n">
        <v>0.9</v>
      </c>
      <c r="D171" s="3" t="s">
        <v>1376</v>
      </c>
      <c r="E171" s="3" t="s">
        <v>1377</v>
      </c>
      <c r="F171" s="3" t="s">
        <v>884</v>
      </c>
      <c r="G171" s="41" t="s">
        <v>1378</v>
      </c>
      <c r="H171" s="57" t="s">
        <v>886</v>
      </c>
    </row>
    <row r="173" customFormat="false" ht="12.8" hidden="false" customHeight="false" outlineLevel="0" collapsed="false">
      <c r="A173" s="44" t="s">
        <v>1379</v>
      </c>
    </row>
    <row r="174" customFormat="false" ht="12.8" hidden="false" customHeight="false" outlineLevel="0" collapsed="false">
      <c r="A174" s="55" t="s">
        <v>1099</v>
      </c>
      <c r="B174" s="41" t="s">
        <v>1100</v>
      </c>
      <c r="C174" s="41" t="s">
        <v>1101</v>
      </c>
      <c r="D174" s="3" t="s">
        <v>1102</v>
      </c>
      <c r="E174" s="3" t="s">
        <v>1103</v>
      </c>
      <c r="F174" s="3" t="s">
        <v>1104</v>
      </c>
      <c r="G174" s="41" t="s">
        <v>1105</v>
      </c>
      <c r="H174" s="41" t="s">
        <v>1106</v>
      </c>
    </row>
    <row r="175" customFormat="false" ht="12.8" hidden="false" customHeight="false" outlineLevel="0" collapsed="false">
      <c r="A175" s="55" t="s">
        <v>432</v>
      </c>
      <c r="B175" s="41" t="s">
        <v>1380</v>
      </c>
      <c r="C175" s="41" t="n">
        <v>31.96</v>
      </c>
      <c r="D175" s="3" t="s">
        <v>1381</v>
      </c>
      <c r="E175" s="3" t="s">
        <v>1382</v>
      </c>
      <c r="F175" s="3" t="s">
        <v>884</v>
      </c>
      <c r="G175" s="41" t="s">
        <v>1383</v>
      </c>
      <c r="H175" s="57" t="s">
        <v>886</v>
      </c>
    </row>
    <row r="176" customFormat="false" ht="12.8" hidden="false" customHeight="false" outlineLevel="0" collapsed="false">
      <c r="A176" s="55" t="s">
        <v>437</v>
      </c>
      <c r="B176" s="41" t="s">
        <v>1384</v>
      </c>
      <c r="C176" s="41" t="n">
        <v>1.05</v>
      </c>
      <c r="D176" s="3" t="s">
        <v>1385</v>
      </c>
      <c r="E176" s="3" t="s">
        <v>1386</v>
      </c>
      <c r="F176" s="3" t="s">
        <v>884</v>
      </c>
      <c r="G176" s="41" t="s">
        <v>1387</v>
      </c>
      <c r="H176" s="57" t="s">
        <v>886</v>
      </c>
    </row>
    <row r="177" customFormat="false" ht="12.8" hidden="false" customHeight="false" outlineLevel="0" collapsed="false">
      <c r="A177" s="55" t="s">
        <v>441</v>
      </c>
      <c r="B177" s="41" t="s">
        <v>1388</v>
      </c>
      <c r="C177" s="41" t="n">
        <v>0.85</v>
      </c>
      <c r="D177" s="3" t="s">
        <v>1389</v>
      </c>
      <c r="E177" s="3" t="s">
        <v>1390</v>
      </c>
      <c r="F177" s="3" t="s">
        <v>891</v>
      </c>
      <c r="G177" s="41" t="s">
        <v>1391</v>
      </c>
      <c r="H177" s="57" t="s">
        <v>886</v>
      </c>
    </row>
    <row r="178" customFormat="false" ht="12.8" hidden="false" customHeight="false" outlineLevel="0" collapsed="false">
      <c r="A178" s="55" t="s">
        <v>445</v>
      </c>
      <c r="B178" s="41" t="s">
        <v>1392</v>
      </c>
      <c r="C178" s="41" t="n">
        <v>1.01</v>
      </c>
      <c r="D178" s="3" t="s">
        <v>1393</v>
      </c>
      <c r="E178" s="3" t="s">
        <v>1394</v>
      </c>
      <c r="F178" s="3" t="s">
        <v>891</v>
      </c>
      <c r="G178" s="41" t="s">
        <v>1395</v>
      </c>
      <c r="H178" s="57" t="s">
        <v>886</v>
      </c>
    </row>
    <row r="179" customFormat="false" ht="12.8" hidden="false" customHeight="false" outlineLevel="0" collapsed="false">
      <c r="A179" s="55" t="s">
        <v>449</v>
      </c>
      <c r="B179" s="41" t="s">
        <v>1396</v>
      </c>
      <c r="C179" s="41" t="n">
        <v>15.2</v>
      </c>
      <c r="D179" s="3" t="s">
        <v>1397</v>
      </c>
      <c r="E179" s="3" t="s">
        <v>1398</v>
      </c>
      <c r="F179" s="3" t="s">
        <v>884</v>
      </c>
      <c r="G179" s="41" t="s">
        <v>1399</v>
      </c>
      <c r="H179" s="57" t="s">
        <v>886</v>
      </c>
    </row>
    <row r="180" customFormat="false" ht="12.8" hidden="false" customHeight="false" outlineLevel="0" collapsed="false">
      <c r="A180" s="55" t="s">
        <v>1400</v>
      </c>
      <c r="B180" s="41" t="s">
        <v>1401</v>
      </c>
      <c r="C180" s="41" t="n">
        <v>24.7</v>
      </c>
      <c r="D180" s="3" t="s">
        <v>1402</v>
      </c>
      <c r="E180" s="3" t="s">
        <v>1403</v>
      </c>
      <c r="F180" s="3" t="s">
        <v>884</v>
      </c>
      <c r="G180" s="41" t="s">
        <v>1347</v>
      </c>
      <c r="H180" s="57" t="s">
        <v>886</v>
      </c>
    </row>
    <row r="181" customFormat="false" ht="12.8" hidden="false" customHeight="false" outlineLevel="0" collapsed="false">
      <c r="A181" s="55" t="s">
        <v>1404</v>
      </c>
      <c r="B181" s="41" t="s">
        <v>1405</v>
      </c>
      <c r="C181" s="41" t="n">
        <v>0.9</v>
      </c>
      <c r="D181" s="3" t="s">
        <v>1406</v>
      </c>
      <c r="E181" s="3" t="s">
        <v>1407</v>
      </c>
      <c r="F181" s="3" t="s">
        <v>891</v>
      </c>
      <c r="G181" s="41" t="s">
        <v>1408</v>
      </c>
      <c r="H181" s="57" t="s">
        <v>886</v>
      </c>
    </row>
    <row r="183" customFormat="false" ht="12.8" hidden="false" customHeight="false" outlineLevel="0" collapsed="false">
      <c r="A183" s="3" t="s">
        <v>1409</v>
      </c>
      <c r="B183" s="3"/>
      <c r="C183" s="3"/>
      <c r="G183" s="3"/>
      <c r="H183" s="3"/>
    </row>
    <row r="184" customFormat="false" ht="12.8" hidden="false" customHeight="false" outlineLevel="0" collapsed="false">
      <c r="A184" s="3" t="s">
        <v>1099</v>
      </c>
      <c r="B184" s="3" t="s">
        <v>1100</v>
      </c>
      <c r="C184" s="3" t="s">
        <v>1101</v>
      </c>
      <c r="D184" s="3" t="s">
        <v>1102</v>
      </c>
      <c r="E184" s="3" t="s">
        <v>1103</v>
      </c>
      <c r="F184" s="3" t="s">
        <v>1104</v>
      </c>
      <c r="G184" s="3" t="s">
        <v>1105</v>
      </c>
      <c r="H184" s="3" t="s">
        <v>1106</v>
      </c>
    </row>
    <row r="185" customFormat="false" ht="12.8" hidden="false" customHeight="false" outlineLevel="0" collapsed="false">
      <c r="A185" s="3" t="s">
        <v>456</v>
      </c>
      <c r="B185" s="3" t="s">
        <v>1410</v>
      </c>
      <c r="C185" s="3" t="n">
        <v>66400</v>
      </c>
      <c r="D185" s="3" t="s">
        <v>1411</v>
      </c>
      <c r="E185" s="3" t="s">
        <v>1412</v>
      </c>
      <c r="F185" s="3" t="s">
        <v>884</v>
      </c>
      <c r="G185" s="3" t="s">
        <v>1413</v>
      </c>
      <c r="H185" s="57" t="s">
        <v>886</v>
      </c>
    </row>
    <row r="186" customFormat="false" ht="12.8" hidden="false" customHeight="false" outlineLevel="0" collapsed="false">
      <c r="A186" s="3" t="s">
        <v>461</v>
      </c>
      <c r="B186" s="3" t="s">
        <v>1414</v>
      </c>
      <c r="C186" s="3" t="n">
        <v>1.05</v>
      </c>
      <c r="D186" s="3" t="s">
        <v>1415</v>
      </c>
      <c r="E186" s="3" t="s">
        <v>1416</v>
      </c>
      <c r="F186" s="3" t="s">
        <v>884</v>
      </c>
      <c r="G186" s="3" t="s">
        <v>1399</v>
      </c>
      <c r="H186" s="57" t="s">
        <v>886</v>
      </c>
    </row>
    <row r="187" customFormat="false" ht="12.8" hidden="false" customHeight="false" outlineLevel="0" collapsed="false">
      <c r="A187" s="3" t="s">
        <v>465</v>
      </c>
      <c r="B187" s="3" t="s">
        <v>1417</v>
      </c>
      <c r="C187" s="3" t="n">
        <v>0.87</v>
      </c>
      <c r="D187" s="3" t="s">
        <v>1418</v>
      </c>
      <c r="E187" s="3" t="s">
        <v>1419</v>
      </c>
      <c r="F187" s="3" t="s">
        <v>891</v>
      </c>
      <c r="G187" s="3" t="s">
        <v>1420</v>
      </c>
      <c r="H187" s="57" t="s">
        <v>886</v>
      </c>
    </row>
    <row r="188" customFormat="false" ht="12.8" hidden="false" customHeight="false" outlineLevel="0" collapsed="false">
      <c r="A188" s="3" t="s">
        <v>469</v>
      </c>
      <c r="B188" s="3" t="s">
        <v>1421</v>
      </c>
      <c r="C188" s="3" t="n">
        <v>1.01</v>
      </c>
      <c r="D188" s="3" t="s">
        <v>1422</v>
      </c>
      <c r="E188" s="3" t="s">
        <v>1423</v>
      </c>
      <c r="F188" s="3" t="s">
        <v>891</v>
      </c>
      <c r="G188" s="3" t="s">
        <v>1395</v>
      </c>
      <c r="H188" s="57" t="s">
        <v>886</v>
      </c>
    </row>
    <row r="189" customFormat="false" ht="12.8" hidden="false" customHeight="false" outlineLevel="0" collapsed="false">
      <c r="A189" s="3" t="s">
        <v>472</v>
      </c>
      <c r="B189" s="3" t="s">
        <v>1424</v>
      </c>
      <c r="C189" s="3" t="n">
        <v>40</v>
      </c>
      <c r="D189" s="3" t="s">
        <v>1425</v>
      </c>
      <c r="E189" s="3" t="s">
        <v>1426</v>
      </c>
      <c r="F189" s="3" t="s">
        <v>884</v>
      </c>
      <c r="G189" s="3" t="s">
        <v>1427</v>
      </c>
      <c r="H189" s="57" t="s">
        <v>886</v>
      </c>
    </row>
    <row r="190" customFormat="false" ht="12.8" hidden="false" customHeight="false" outlineLevel="0" collapsed="false">
      <c r="A190" s="55" t="s">
        <v>1428</v>
      </c>
      <c r="B190" s="41" t="s">
        <v>1429</v>
      </c>
      <c r="C190" s="41" t="n">
        <v>0.92</v>
      </c>
      <c r="D190" s="3" t="s">
        <v>1406</v>
      </c>
      <c r="E190" s="3" t="s">
        <v>1430</v>
      </c>
      <c r="F190" s="3" t="s">
        <v>891</v>
      </c>
      <c r="G190" s="41" t="s">
        <v>1431</v>
      </c>
      <c r="H190" s="57" t="s">
        <v>886</v>
      </c>
    </row>
    <row r="192" customFormat="false" ht="12.8" hidden="false" customHeight="false" outlineLevel="0" collapsed="false">
      <c r="A192" s="59" t="s">
        <v>1432</v>
      </c>
    </row>
    <row r="193" customFormat="false" ht="12.8" hidden="false" customHeight="false" outlineLevel="0" collapsed="false">
      <c r="A193" s="55" t="s">
        <v>1099</v>
      </c>
      <c r="B193" s="41" t="s">
        <v>1100</v>
      </c>
      <c r="C193" s="41" t="s">
        <v>1101</v>
      </c>
      <c r="D193" s="3" t="s">
        <v>1102</v>
      </c>
      <c r="E193" s="3" t="s">
        <v>1103</v>
      </c>
      <c r="F193" s="3" t="s">
        <v>1104</v>
      </c>
      <c r="G193" s="41" t="s">
        <v>1105</v>
      </c>
      <c r="H193" s="41" t="s">
        <v>1106</v>
      </c>
    </row>
    <row r="194" customFormat="false" ht="12.8" hidden="false" customHeight="false" outlineLevel="0" collapsed="false">
      <c r="A194" s="55" t="s">
        <v>478</v>
      </c>
      <c r="B194" s="41" t="s">
        <v>1433</v>
      </c>
      <c r="C194" s="41" t="n">
        <v>1858000000</v>
      </c>
      <c r="D194" s="3" t="s">
        <v>1434</v>
      </c>
      <c r="E194" s="3" t="s">
        <v>1435</v>
      </c>
      <c r="F194" s="3" t="s">
        <v>884</v>
      </c>
      <c r="G194" s="41" t="s">
        <v>1436</v>
      </c>
      <c r="H194" s="57" t="s">
        <v>886</v>
      </c>
    </row>
    <row r="195" customFormat="false" ht="12.8" hidden="false" customHeight="false" outlineLevel="0" collapsed="false">
      <c r="A195" s="55" t="s">
        <v>483</v>
      </c>
      <c r="B195" s="41" t="s">
        <v>1176</v>
      </c>
      <c r="C195" s="41" t="n">
        <v>0.102</v>
      </c>
      <c r="D195" s="3" t="s">
        <v>1437</v>
      </c>
      <c r="E195" s="3" t="s">
        <v>1438</v>
      </c>
      <c r="F195" s="3" t="s">
        <v>891</v>
      </c>
      <c r="G195" s="41" t="s">
        <v>1439</v>
      </c>
      <c r="H195" s="57" t="s">
        <v>886</v>
      </c>
    </row>
    <row r="196" customFormat="false" ht="12.8" hidden="false" customHeight="false" outlineLevel="0" collapsed="false">
      <c r="A196" s="55" t="s">
        <v>488</v>
      </c>
      <c r="B196" s="41" t="s">
        <v>1181</v>
      </c>
      <c r="C196" s="41" t="n">
        <v>0.102</v>
      </c>
      <c r="D196" s="3" t="s">
        <v>1440</v>
      </c>
      <c r="E196" s="3" t="s">
        <v>1441</v>
      </c>
      <c r="F196" s="3" t="s">
        <v>891</v>
      </c>
      <c r="G196" s="41" t="s">
        <v>1179</v>
      </c>
      <c r="H196" s="57" t="s">
        <v>886</v>
      </c>
    </row>
    <row r="197" customFormat="false" ht="12.8" hidden="false" customHeight="false" outlineLevel="0" collapsed="false">
      <c r="A197" s="55" t="s">
        <v>493</v>
      </c>
      <c r="B197" s="41" t="s">
        <v>1185</v>
      </c>
      <c r="C197" s="41" t="n">
        <v>0.08</v>
      </c>
      <c r="D197" s="3" t="s">
        <v>1442</v>
      </c>
      <c r="E197" s="3" t="s">
        <v>1443</v>
      </c>
      <c r="F197" s="3" t="s">
        <v>891</v>
      </c>
      <c r="G197" s="41" t="s">
        <v>1444</v>
      </c>
      <c r="H197" s="57" t="s">
        <v>886</v>
      </c>
    </row>
    <row r="198" customFormat="false" ht="12.8" hidden="false" customHeight="false" outlineLevel="0" collapsed="false">
      <c r="A198" s="55" t="s">
        <v>497</v>
      </c>
      <c r="B198" s="41" t="s">
        <v>1445</v>
      </c>
      <c r="C198" s="41" t="n">
        <v>0.98</v>
      </c>
      <c r="D198" s="3" t="s">
        <v>1446</v>
      </c>
      <c r="E198" s="3" t="s">
        <v>1447</v>
      </c>
      <c r="F198" s="3" t="s">
        <v>884</v>
      </c>
      <c r="G198" s="41" t="s">
        <v>1448</v>
      </c>
      <c r="H198" s="57" t="s">
        <v>886</v>
      </c>
    </row>
    <row r="199" customFormat="false" ht="12.8" hidden="false" customHeight="false" outlineLevel="0" collapsed="false">
      <c r="A199" s="55" t="s">
        <v>1449</v>
      </c>
      <c r="B199" s="41" t="s">
        <v>1450</v>
      </c>
      <c r="C199" s="41" t="n">
        <v>0.6</v>
      </c>
      <c r="D199" s="3" t="s">
        <v>1451</v>
      </c>
      <c r="E199" s="3" t="s">
        <v>1452</v>
      </c>
      <c r="F199" s="3" t="s">
        <v>891</v>
      </c>
      <c r="G199" s="41" t="s">
        <v>1453</v>
      </c>
      <c r="H199" s="57" t="s">
        <v>886</v>
      </c>
    </row>
    <row r="200" customFormat="false" ht="12.8" hidden="false" customHeight="false" outlineLevel="0" collapsed="false">
      <c r="A200" s="55" t="s">
        <v>1454</v>
      </c>
      <c r="B200" s="41" t="s">
        <v>1455</v>
      </c>
      <c r="C200" s="41" t="n">
        <v>0.95</v>
      </c>
      <c r="D200" s="3" t="s">
        <v>1456</v>
      </c>
      <c r="E200" s="3" t="s">
        <v>1457</v>
      </c>
      <c r="F200" s="3" t="s">
        <v>891</v>
      </c>
      <c r="G200" s="41" t="s">
        <v>1458</v>
      </c>
      <c r="H200" s="57" t="s">
        <v>886</v>
      </c>
    </row>
    <row r="202" customFormat="false" ht="12.8" hidden="false" customHeight="false" outlineLevel="0" collapsed="false">
      <c r="A202" s="41" t="s">
        <v>1459</v>
      </c>
    </row>
    <row r="203" customFormat="false" ht="12.8" hidden="false" customHeight="false" outlineLevel="0" collapsed="false">
      <c r="A203" s="55" t="s">
        <v>1099</v>
      </c>
      <c r="B203" s="41" t="s">
        <v>1100</v>
      </c>
      <c r="C203" s="41" t="s">
        <v>1101</v>
      </c>
      <c r="D203" s="3" t="s">
        <v>1102</v>
      </c>
      <c r="E203" s="3" t="s">
        <v>1103</v>
      </c>
      <c r="F203" s="3" t="s">
        <v>1104</v>
      </c>
      <c r="G203" s="41" t="s">
        <v>1105</v>
      </c>
      <c r="H203" s="41" t="s">
        <v>1106</v>
      </c>
    </row>
    <row r="204" customFormat="false" ht="12.8" hidden="false" customHeight="false" outlineLevel="0" collapsed="false">
      <c r="A204" s="55" t="s">
        <v>504</v>
      </c>
      <c r="B204" s="41" t="s">
        <v>1460</v>
      </c>
      <c r="C204" s="41" t="n">
        <v>1858000000</v>
      </c>
      <c r="D204" s="3" t="s">
        <v>1461</v>
      </c>
      <c r="E204" s="3" t="s">
        <v>1462</v>
      </c>
      <c r="F204" s="3" t="s">
        <v>884</v>
      </c>
      <c r="G204" s="41" t="s">
        <v>1463</v>
      </c>
      <c r="H204" s="57" t="s">
        <v>886</v>
      </c>
    </row>
    <row r="205" customFormat="false" ht="12.8" hidden="false" customHeight="false" outlineLevel="0" collapsed="false">
      <c r="A205" s="55" t="s">
        <v>509</v>
      </c>
      <c r="B205" s="41" t="s">
        <v>1195</v>
      </c>
      <c r="C205" s="41" t="n">
        <v>0.0765</v>
      </c>
      <c r="D205" s="3" t="s">
        <v>1464</v>
      </c>
      <c r="E205" s="3" t="s">
        <v>1465</v>
      </c>
      <c r="F205" s="3" t="s">
        <v>884</v>
      </c>
      <c r="G205" s="41" t="s">
        <v>1466</v>
      </c>
      <c r="H205" s="57" t="s">
        <v>886</v>
      </c>
    </row>
    <row r="206" customFormat="false" ht="12.8" hidden="false" customHeight="false" outlineLevel="0" collapsed="false">
      <c r="A206" s="55" t="s">
        <v>514</v>
      </c>
      <c r="B206" s="41" t="s">
        <v>1467</v>
      </c>
      <c r="C206" s="41" t="n">
        <v>0.0765</v>
      </c>
      <c r="D206" s="3" t="s">
        <v>1468</v>
      </c>
      <c r="E206" s="3" t="s">
        <v>1469</v>
      </c>
      <c r="F206" s="3" t="s">
        <v>884</v>
      </c>
      <c r="G206" s="41" t="s">
        <v>1013</v>
      </c>
      <c r="H206" s="57" t="s">
        <v>886</v>
      </c>
    </row>
    <row r="207" customFormat="false" ht="12.8" hidden="false" customHeight="false" outlineLevel="0" collapsed="false">
      <c r="A207" s="55" t="s">
        <v>519</v>
      </c>
      <c r="B207" s="41" t="s">
        <v>1199</v>
      </c>
      <c r="C207" s="41" t="n">
        <v>0.05</v>
      </c>
      <c r="D207" s="3" t="s">
        <v>1470</v>
      </c>
      <c r="E207" s="3" t="s">
        <v>1471</v>
      </c>
      <c r="F207" s="3" t="s">
        <v>891</v>
      </c>
      <c r="G207" s="41" t="s">
        <v>1444</v>
      </c>
      <c r="H207" s="57" t="s">
        <v>886</v>
      </c>
    </row>
    <row r="208" customFormat="false" ht="12.8" hidden="false" customHeight="false" outlineLevel="0" collapsed="false">
      <c r="A208" s="55" t="s">
        <v>522</v>
      </c>
      <c r="B208" s="41" t="s">
        <v>1472</v>
      </c>
      <c r="C208" s="41" t="n">
        <v>1</v>
      </c>
      <c r="D208" s="3" t="s">
        <v>1376</v>
      </c>
      <c r="E208" s="3" t="s">
        <v>1473</v>
      </c>
      <c r="F208" s="3" t="s">
        <v>884</v>
      </c>
      <c r="G208" s="41" t="s">
        <v>1474</v>
      </c>
      <c r="H208" s="57" t="s">
        <v>886</v>
      </c>
    </row>
    <row r="209" customFormat="false" ht="12.8" hidden="false" customHeight="false" outlineLevel="0" collapsed="false">
      <c r="A209" s="55" t="s">
        <v>1475</v>
      </c>
      <c r="B209" s="41" t="s">
        <v>1476</v>
      </c>
      <c r="C209" s="41" t="n">
        <v>0.9</v>
      </c>
      <c r="D209" s="3" t="s">
        <v>1406</v>
      </c>
      <c r="E209" s="3" t="s">
        <v>1477</v>
      </c>
      <c r="F209" s="3" t="s">
        <v>891</v>
      </c>
      <c r="G209" s="41" t="s">
        <v>1478</v>
      </c>
      <c r="H209" s="57" t="s">
        <v>886</v>
      </c>
    </row>
    <row r="211" customFormat="false" ht="12.8" hidden="false" customHeight="false" outlineLevel="0" collapsed="false">
      <c r="A211" s="41" t="s">
        <v>1479</v>
      </c>
    </row>
    <row r="212" customFormat="false" ht="12.8" hidden="false" customHeight="false" outlineLevel="0" collapsed="false">
      <c r="A212" s="55" t="s">
        <v>1099</v>
      </c>
      <c r="B212" s="41" t="s">
        <v>1100</v>
      </c>
      <c r="C212" s="41" t="s">
        <v>1101</v>
      </c>
      <c r="D212" s="3" t="s">
        <v>1102</v>
      </c>
      <c r="E212" s="3" t="s">
        <v>1103</v>
      </c>
      <c r="F212" s="3" t="s">
        <v>1104</v>
      </c>
      <c r="G212" s="41" t="s">
        <v>1105</v>
      </c>
      <c r="H212" s="41" t="s">
        <v>1106</v>
      </c>
    </row>
    <row r="213" customFormat="false" ht="12.8" hidden="false" customHeight="false" outlineLevel="0" collapsed="false">
      <c r="A213" s="55" t="s">
        <v>528</v>
      </c>
      <c r="B213" s="41" t="s">
        <v>1480</v>
      </c>
      <c r="C213" s="41" t="n">
        <v>142000000</v>
      </c>
      <c r="D213" s="3" t="s">
        <v>1481</v>
      </c>
      <c r="E213" s="3" t="s">
        <v>1482</v>
      </c>
      <c r="F213" s="3" t="s">
        <v>884</v>
      </c>
      <c r="G213" s="41" t="s">
        <v>1436</v>
      </c>
      <c r="H213" s="57" t="s">
        <v>886</v>
      </c>
    </row>
    <row r="214" customFormat="false" ht="12.8" hidden="false" customHeight="false" outlineLevel="0" collapsed="false">
      <c r="A214" s="55" t="s">
        <v>533</v>
      </c>
      <c r="B214" s="41" t="s">
        <v>1483</v>
      </c>
      <c r="C214" s="41" t="n">
        <v>2800</v>
      </c>
      <c r="D214" s="3" t="s">
        <v>1484</v>
      </c>
      <c r="E214" s="3" t="s">
        <v>1485</v>
      </c>
      <c r="F214" s="3" t="s">
        <v>891</v>
      </c>
      <c r="G214" s="41" t="s">
        <v>1486</v>
      </c>
      <c r="H214" s="57" t="s">
        <v>886</v>
      </c>
    </row>
    <row r="215" customFormat="false" ht="12.8" hidden="false" customHeight="false" outlineLevel="0" collapsed="false">
      <c r="A215" s="55" t="s">
        <v>538</v>
      </c>
      <c r="B215" s="41" t="s">
        <v>1487</v>
      </c>
      <c r="C215" s="41" t="n">
        <v>0.18</v>
      </c>
      <c r="D215" s="3" t="s">
        <v>1488</v>
      </c>
      <c r="E215" s="3" t="s">
        <v>1489</v>
      </c>
      <c r="F215" s="3" t="s">
        <v>891</v>
      </c>
      <c r="G215" s="41" t="s">
        <v>1490</v>
      </c>
      <c r="H215" s="57" t="s">
        <v>886</v>
      </c>
    </row>
    <row r="216" customFormat="false" ht="12.8" hidden="false" customHeight="false" outlineLevel="0" collapsed="false">
      <c r="A216" s="55" t="s">
        <v>543</v>
      </c>
      <c r="B216" s="41" t="s">
        <v>1491</v>
      </c>
      <c r="C216" s="41" t="n">
        <v>0.22</v>
      </c>
      <c r="D216" s="3" t="s">
        <v>1492</v>
      </c>
      <c r="E216" s="3" t="s">
        <v>1493</v>
      </c>
      <c r="F216" s="3" t="s">
        <v>891</v>
      </c>
      <c r="G216" s="41" t="s">
        <v>1494</v>
      </c>
      <c r="H216" s="57" t="s">
        <v>886</v>
      </c>
    </row>
    <row r="217" customFormat="false" ht="12.8" hidden="false" customHeight="false" outlineLevel="0" collapsed="false">
      <c r="A217" s="55" t="s">
        <v>547</v>
      </c>
      <c r="B217" s="41" t="s">
        <v>1495</v>
      </c>
      <c r="C217" s="41" t="n">
        <v>0.12</v>
      </c>
      <c r="D217" s="3" t="s">
        <v>1496</v>
      </c>
      <c r="E217" s="3" t="s">
        <v>1497</v>
      </c>
      <c r="F217" s="3" t="s">
        <v>891</v>
      </c>
      <c r="G217" s="41" t="s">
        <v>1498</v>
      </c>
      <c r="H217" s="57" t="s">
        <v>886</v>
      </c>
    </row>
    <row r="218" customFormat="false" ht="12.8" hidden="false" customHeight="false" outlineLevel="0" collapsed="false">
      <c r="A218" s="55" t="s">
        <v>1499</v>
      </c>
      <c r="B218" s="41" t="s">
        <v>1500</v>
      </c>
      <c r="C218" s="41" t="n">
        <v>0.92</v>
      </c>
      <c r="D218" s="3" t="s">
        <v>1501</v>
      </c>
      <c r="E218" s="3" t="s">
        <v>1502</v>
      </c>
      <c r="F218" s="3" t="s">
        <v>891</v>
      </c>
      <c r="G218" s="41" t="s">
        <v>1503</v>
      </c>
      <c r="H218" s="57" t="s">
        <v>886</v>
      </c>
    </row>
    <row r="219" customFormat="false" ht="12.8" hidden="false" customHeight="false" outlineLevel="0" collapsed="false">
      <c r="A219" s="55" t="s">
        <v>1504</v>
      </c>
      <c r="B219" s="41" t="s">
        <v>1505</v>
      </c>
      <c r="C219" s="41" t="n">
        <v>0</v>
      </c>
      <c r="D219" s="3" t="s">
        <v>1506</v>
      </c>
      <c r="E219" s="3" t="s">
        <v>1507</v>
      </c>
      <c r="F219" s="3" t="s">
        <v>884</v>
      </c>
      <c r="G219" s="41" t="s">
        <v>1508</v>
      </c>
      <c r="H219" s="57" t="s">
        <v>886</v>
      </c>
    </row>
    <row r="221" customFormat="false" ht="12.8" hidden="false" customHeight="false" outlineLevel="0" collapsed="false">
      <c r="A221" s="41" t="s">
        <v>1509</v>
      </c>
    </row>
    <row r="222" customFormat="false" ht="12.8" hidden="false" customHeight="false" outlineLevel="0" collapsed="false">
      <c r="A222" s="55" t="s">
        <v>1099</v>
      </c>
      <c r="B222" s="41" t="s">
        <v>1100</v>
      </c>
      <c r="C222" s="41" t="s">
        <v>1101</v>
      </c>
      <c r="D222" s="3" t="s">
        <v>1102</v>
      </c>
      <c r="E222" s="3" t="s">
        <v>1103</v>
      </c>
      <c r="F222" s="3" t="s">
        <v>1104</v>
      </c>
      <c r="G222" s="41" t="s">
        <v>1105</v>
      </c>
      <c r="H222" s="41" t="s">
        <v>1106</v>
      </c>
    </row>
    <row r="223" customFormat="false" ht="12.8" hidden="false" customHeight="false" outlineLevel="0" collapsed="false">
      <c r="A223" s="55" t="s">
        <v>553</v>
      </c>
      <c r="B223" s="41" t="s">
        <v>1510</v>
      </c>
      <c r="C223" s="41" t="n">
        <v>856000000</v>
      </c>
      <c r="D223" s="3" t="s">
        <v>1511</v>
      </c>
      <c r="E223" s="3" t="s">
        <v>1512</v>
      </c>
      <c r="F223" s="3" t="s">
        <v>884</v>
      </c>
      <c r="G223" s="41" t="s">
        <v>1513</v>
      </c>
      <c r="H223" s="57" t="s">
        <v>886</v>
      </c>
    </row>
    <row r="224" customFormat="false" ht="12.8" hidden="false" customHeight="false" outlineLevel="0" collapsed="false">
      <c r="A224" s="55" t="s">
        <v>558</v>
      </c>
      <c r="B224" s="41" t="s">
        <v>1514</v>
      </c>
      <c r="C224" s="41" t="n">
        <v>1700</v>
      </c>
      <c r="D224" s="3" t="s">
        <v>1515</v>
      </c>
      <c r="E224" s="3" t="s">
        <v>1516</v>
      </c>
      <c r="F224" s="3" t="s">
        <v>884</v>
      </c>
      <c r="G224" s="41" t="s">
        <v>1517</v>
      </c>
      <c r="H224" s="57" t="s">
        <v>886</v>
      </c>
    </row>
    <row r="225" customFormat="false" ht="12.8" hidden="false" customHeight="false" outlineLevel="0" collapsed="false">
      <c r="A225" s="55" t="s">
        <v>563</v>
      </c>
      <c r="B225" s="41" t="s">
        <v>1518</v>
      </c>
      <c r="C225" s="41" t="n">
        <v>15000</v>
      </c>
      <c r="D225" s="3" t="s">
        <v>1519</v>
      </c>
      <c r="E225" s="3" t="s">
        <v>1520</v>
      </c>
      <c r="F225" s="3" t="s">
        <v>891</v>
      </c>
      <c r="G225" s="41" t="s">
        <v>1521</v>
      </c>
      <c r="H225" s="57" t="s">
        <v>886</v>
      </c>
    </row>
    <row r="226" customFormat="false" ht="12.8" hidden="false" customHeight="false" outlineLevel="0" collapsed="false">
      <c r="A226" s="55" t="s">
        <v>568</v>
      </c>
      <c r="B226" s="41" t="s">
        <v>1522</v>
      </c>
      <c r="C226" s="41" t="n">
        <v>8000</v>
      </c>
      <c r="D226" s="3" t="s">
        <v>1523</v>
      </c>
      <c r="E226" s="3" t="s">
        <v>1524</v>
      </c>
      <c r="F226" s="3" t="s">
        <v>891</v>
      </c>
      <c r="G226" s="41" t="s">
        <v>1525</v>
      </c>
      <c r="H226" s="57" t="s">
        <v>886</v>
      </c>
    </row>
    <row r="227" customFormat="false" ht="12.8" hidden="false" customHeight="false" outlineLevel="0" collapsed="false">
      <c r="A227" s="55" t="s">
        <v>571</v>
      </c>
      <c r="B227" s="41" t="s">
        <v>1526</v>
      </c>
      <c r="C227" s="41" t="n">
        <v>1.1</v>
      </c>
      <c r="D227" s="3" t="s">
        <v>1406</v>
      </c>
      <c r="E227" s="3" t="s">
        <v>1527</v>
      </c>
      <c r="F227" s="3" t="s">
        <v>891</v>
      </c>
      <c r="G227" s="41" t="s">
        <v>1528</v>
      </c>
      <c r="H227" s="57" t="s">
        <v>886</v>
      </c>
    </row>
    <row r="228" customFormat="false" ht="12.8" hidden="false" customHeight="false" outlineLevel="0" collapsed="false">
      <c r="A228" s="55" t="s">
        <v>1529</v>
      </c>
      <c r="B228" s="41" t="s">
        <v>1530</v>
      </c>
      <c r="C228" s="41" t="n">
        <v>0.6</v>
      </c>
      <c r="D228" s="3" t="s">
        <v>1531</v>
      </c>
      <c r="E228" s="3" t="s">
        <v>1532</v>
      </c>
      <c r="F228" s="3" t="s">
        <v>891</v>
      </c>
      <c r="G228" s="41" t="s">
        <v>1498</v>
      </c>
      <c r="H228" s="57" t="s">
        <v>886</v>
      </c>
    </row>
    <row r="229" customFormat="false" ht="12.8" hidden="false" customHeight="false" outlineLevel="0" collapsed="false">
      <c r="A229" s="55" t="s">
        <v>1533</v>
      </c>
      <c r="B229" s="41" t="s">
        <v>1534</v>
      </c>
      <c r="C229" s="41" t="n">
        <v>0</v>
      </c>
      <c r="D229" s="3" t="s">
        <v>1535</v>
      </c>
      <c r="E229" s="3" t="s">
        <v>1536</v>
      </c>
      <c r="F229" s="3" t="s">
        <v>884</v>
      </c>
      <c r="G229" s="41" t="s">
        <v>1537</v>
      </c>
      <c r="H229" s="57" t="s">
        <v>886</v>
      </c>
    </row>
    <row r="231" customFormat="false" ht="12.8" hidden="false" customHeight="false" outlineLevel="0" collapsed="false">
      <c r="A231" s="41" t="s">
        <v>1538</v>
      </c>
    </row>
    <row r="232" customFormat="false" ht="12.8" hidden="false" customHeight="false" outlineLevel="0" collapsed="false">
      <c r="A232" s="55" t="s">
        <v>1099</v>
      </c>
      <c r="B232" s="41" t="s">
        <v>1100</v>
      </c>
      <c r="C232" s="41" t="s">
        <v>1101</v>
      </c>
      <c r="D232" s="3" t="s">
        <v>1102</v>
      </c>
      <c r="E232" s="3" t="s">
        <v>1103</v>
      </c>
      <c r="F232" s="3" t="s">
        <v>1104</v>
      </c>
      <c r="G232" s="41" t="s">
        <v>1105</v>
      </c>
      <c r="H232" s="41" t="s">
        <v>1106</v>
      </c>
    </row>
    <row r="233" customFormat="false" ht="12.8" hidden="false" customHeight="false" outlineLevel="0" collapsed="false">
      <c r="A233" s="55" t="s">
        <v>577</v>
      </c>
      <c r="B233" s="41" t="s">
        <v>1539</v>
      </c>
      <c r="C233" s="41" t="n">
        <v>30000000</v>
      </c>
      <c r="D233" s="3" t="s">
        <v>1540</v>
      </c>
      <c r="E233" s="3" t="s">
        <v>1541</v>
      </c>
      <c r="F233" s="3" t="s">
        <v>891</v>
      </c>
      <c r="G233" s="41" t="s">
        <v>1542</v>
      </c>
      <c r="H233" s="57" t="s">
        <v>886</v>
      </c>
    </row>
    <row r="234" customFormat="false" ht="12.8" hidden="false" customHeight="false" outlineLevel="0" collapsed="false">
      <c r="A234" s="55" t="s">
        <v>582</v>
      </c>
      <c r="B234" s="41" t="s">
        <v>1543</v>
      </c>
      <c r="C234" s="41" t="n">
        <v>2500</v>
      </c>
      <c r="D234" s="3" t="s">
        <v>1544</v>
      </c>
      <c r="E234" s="3" t="s">
        <v>1545</v>
      </c>
      <c r="F234" s="3" t="s">
        <v>884</v>
      </c>
      <c r="G234" s="41" t="s">
        <v>1546</v>
      </c>
      <c r="H234" s="57" t="s">
        <v>886</v>
      </c>
    </row>
    <row r="235" customFormat="false" ht="12.8" hidden="false" customHeight="false" outlineLevel="0" collapsed="false">
      <c r="A235" s="55" t="s">
        <v>587</v>
      </c>
      <c r="B235" s="41" t="s">
        <v>1547</v>
      </c>
      <c r="C235" s="41" t="n">
        <v>12000</v>
      </c>
      <c r="D235" s="3" t="s">
        <v>1548</v>
      </c>
      <c r="E235" s="3" t="s">
        <v>1549</v>
      </c>
      <c r="F235" s="3" t="s">
        <v>891</v>
      </c>
      <c r="G235" s="41" t="s">
        <v>1550</v>
      </c>
      <c r="H235" s="57" t="s">
        <v>886</v>
      </c>
    </row>
    <row r="236" customFormat="false" ht="12.8" hidden="false" customHeight="false" outlineLevel="0" collapsed="false">
      <c r="A236" s="55" t="s">
        <v>592</v>
      </c>
      <c r="B236" s="41" t="s">
        <v>1551</v>
      </c>
      <c r="C236" s="41" t="n">
        <v>4000</v>
      </c>
      <c r="D236" s="3" t="s">
        <v>1552</v>
      </c>
      <c r="E236" s="3" t="s">
        <v>1553</v>
      </c>
      <c r="F236" s="3" t="s">
        <v>891</v>
      </c>
      <c r="G236" s="41" t="s">
        <v>1525</v>
      </c>
      <c r="H236" s="57" t="s">
        <v>886</v>
      </c>
    </row>
    <row r="237" customFormat="false" ht="12.8" hidden="false" customHeight="false" outlineLevel="0" collapsed="false">
      <c r="A237" s="55" t="s">
        <v>595</v>
      </c>
      <c r="B237" s="41" t="s">
        <v>1554</v>
      </c>
      <c r="C237" s="41" t="n">
        <v>0.85</v>
      </c>
      <c r="D237" s="3" t="s">
        <v>1456</v>
      </c>
      <c r="E237" s="3" t="s">
        <v>1555</v>
      </c>
      <c r="F237" s="3" t="s">
        <v>891</v>
      </c>
      <c r="G237" s="41" t="s">
        <v>1528</v>
      </c>
      <c r="H237" s="57" t="s">
        <v>886</v>
      </c>
    </row>
    <row r="238" customFormat="false" ht="12.8" hidden="false" customHeight="false" outlineLevel="0" collapsed="false">
      <c r="A238" s="55" t="s">
        <v>1556</v>
      </c>
      <c r="B238" s="41" t="s">
        <v>1557</v>
      </c>
      <c r="C238" s="41" t="n">
        <v>0.4</v>
      </c>
      <c r="D238" s="3" t="s">
        <v>1558</v>
      </c>
      <c r="E238" s="3" t="s">
        <v>1559</v>
      </c>
      <c r="F238" s="3" t="s">
        <v>891</v>
      </c>
      <c r="G238" s="41" t="s">
        <v>1498</v>
      </c>
      <c r="H238" s="57" t="s">
        <v>886</v>
      </c>
    </row>
    <row r="239" customFormat="false" ht="12.8" hidden="false" customHeight="false" outlineLevel="0" collapsed="false">
      <c r="A239" s="55" t="s">
        <v>1560</v>
      </c>
      <c r="B239" s="41" t="s">
        <v>1561</v>
      </c>
      <c r="C239" s="41" t="n">
        <v>0</v>
      </c>
      <c r="D239" s="3" t="s">
        <v>1562</v>
      </c>
      <c r="E239" s="3" t="s">
        <v>1563</v>
      </c>
      <c r="F239" s="3" t="s">
        <v>884</v>
      </c>
      <c r="G239" s="41" t="s">
        <v>1564</v>
      </c>
      <c r="H239" s="57" t="s">
        <v>886</v>
      </c>
    </row>
    <row r="241" customFormat="false" ht="12.8" hidden="false" customHeight="false" outlineLevel="0" collapsed="false">
      <c r="A241" s="41" t="s">
        <v>1565</v>
      </c>
    </row>
    <row r="242" customFormat="false" ht="12.8" hidden="false" customHeight="false" outlineLevel="0" collapsed="false">
      <c r="A242" s="55" t="s">
        <v>1099</v>
      </c>
      <c r="B242" s="41" t="s">
        <v>1100</v>
      </c>
      <c r="C242" s="41" t="s">
        <v>1101</v>
      </c>
      <c r="D242" s="3" t="s">
        <v>1102</v>
      </c>
      <c r="E242" s="3" t="s">
        <v>1103</v>
      </c>
      <c r="F242" s="3" t="s">
        <v>1104</v>
      </c>
      <c r="G242" s="41" t="s">
        <v>1105</v>
      </c>
      <c r="H242" s="41" t="s">
        <v>1106</v>
      </c>
    </row>
    <row r="243" customFormat="false" ht="12.8" hidden="false" customHeight="false" outlineLevel="0" collapsed="false">
      <c r="A243" s="55" t="s">
        <v>601</v>
      </c>
      <c r="B243" s="41" t="s">
        <v>1566</v>
      </c>
      <c r="C243" s="41" t="n">
        <v>2317206</v>
      </c>
      <c r="D243" s="3" t="s">
        <v>1567</v>
      </c>
      <c r="E243" s="3" t="s">
        <v>1568</v>
      </c>
      <c r="F243" s="3" t="s">
        <v>884</v>
      </c>
      <c r="G243" s="41" t="s">
        <v>1569</v>
      </c>
      <c r="H243" s="57" t="s">
        <v>886</v>
      </c>
    </row>
    <row r="244" customFormat="false" ht="12.8" hidden="false" customHeight="false" outlineLevel="0" collapsed="false">
      <c r="A244" s="55" t="s">
        <v>606</v>
      </c>
      <c r="B244" s="41" t="s">
        <v>1570</v>
      </c>
      <c r="C244" s="41" t="n">
        <v>1.02</v>
      </c>
      <c r="D244" s="3" t="s">
        <v>1571</v>
      </c>
      <c r="E244" s="3" t="s">
        <v>1572</v>
      </c>
      <c r="F244" s="3" t="s">
        <v>884</v>
      </c>
      <c r="G244" s="41" t="s">
        <v>1573</v>
      </c>
      <c r="H244" s="57" t="s">
        <v>886</v>
      </c>
    </row>
    <row r="245" customFormat="false" ht="12.8" hidden="false" customHeight="false" outlineLevel="0" collapsed="false">
      <c r="A245" s="55" t="s">
        <v>611</v>
      </c>
      <c r="B245" s="41" t="s">
        <v>1574</v>
      </c>
      <c r="C245" s="41" t="n">
        <v>0.11</v>
      </c>
      <c r="D245" s="3" t="s">
        <v>1575</v>
      </c>
      <c r="E245" s="3" t="s">
        <v>1576</v>
      </c>
      <c r="F245" s="3" t="s">
        <v>891</v>
      </c>
      <c r="G245" s="41" t="s">
        <v>1258</v>
      </c>
      <c r="H245" s="57" t="s">
        <v>886</v>
      </c>
    </row>
    <row r="246" customFormat="false" ht="12.8" hidden="false" customHeight="false" outlineLevel="0" collapsed="false">
      <c r="A246" s="55" t="s">
        <v>616</v>
      </c>
      <c r="B246" s="41" t="s">
        <v>1577</v>
      </c>
      <c r="C246" s="41" t="n">
        <v>0.04</v>
      </c>
      <c r="D246" s="3" t="s">
        <v>1578</v>
      </c>
      <c r="E246" s="3" t="s">
        <v>1579</v>
      </c>
      <c r="F246" s="3" t="s">
        <v>891</v>
      </c>
      <c r="G246" s="41" t="s">
        <v>985</v>
      </c>
      <c r="H246" s="57" t="s">
        <v>886</v>
      </c>
    </row>
    <row r="247" customFormat="false" ht="12.8" hidden="false" customHeight="false" outlineLevel="0" collapsed="false">
      <c r="A247" s="55" t="s">
        <v>620</v>
      </c>
      <c r="B247" s="41" t="s">
        <v>1580</v>
      </c>
      <c r="C247" s="41" t="n">
        <v>0.98</v>
      </c>
      <c r="D247" s="3" t="s">
        <v>1456</v>
      </c>
      <c r="E247" s="3" t="s">
        <v>1581</v>
      </c>
      <c r="F247" s="3" t="s">
        <v>891</v>
      </c>
      <c r="G247" s="41" t="s">
        <v>1582</v>
      </c>
      <c r="H247" s="57" t="s">
        <v>886</v>
      </c>
    </row>
    <row r="248" customFormat="false" ht="12.8" hidden="false" customHeight="false" outlineLevel="0" collapsed="false">
      <c r="A248" s="55" t="s">
        <v>1583</v>
      </c>
      <c r="B248" s="41" t="s">
        <v>1302</v>
      </c>
      <c r="C248" s="41" t="n">
        <v>0.92</v>
      </c>
      <c r="D248" s="3" t="s">
        <v>1584</v>
      </c>
      <c r="E248" s="3" t="s">
        <v>1585</v>
      </c>
      <c r="F248" s="3" t="s">
        <v>891</v>
      </c>
      <c r="G248" s="41" t="s">
        <v>1586</v>
      </c>
      <c r="H248" s="57" t="s">
        <v>886</v>
      </c>
    </row>
    <row r="250" customFormat="false" ht="12.8" hidden="false" customHeight="false" outlineLevel="0" collapsed="false">
      <c r="A250" s="41" t="s">
        <v>1587</v>
      </c>
    </row>
    <row r="251" customFormat="false" ht="12.8" hidden="false" customHeight="false" outlineLevel="0" collapsed="false">
      <c r="A251" s="55" t="s">
        <v>1099</v>
      </c>
      <c r="B251" s="41" t="s">
        <v>1100</v>
      </c>
      <c r="C251" s="41" t="s">
        <v>1101</v>
      </c>
      <c r="D251" s="3" t="s">
        <v>1102</v>
      </c>
      <c r="E251" s="3" t="s">
        <v>1103</v>
      </c>
      <c r="F251" s="3" t="s">
        <v>1104</v>
      </c>
      <c r="G251" s="41" t="s">
        <v>1105</v>
      </c>
      <c r="H251" s="41" t="s">
        <v>1106</v>
      </c>
    </row>
    <row r="252" customFormat="false" ht="12.8" hidden="false" customHeight="false" outlineLevel="0" collapsed="false">
      <c r="A252" s="55" t="s">
        <v>627</v>
      </c>
      <c r="B252" s="41" t="s">
        <v>1588</v>
      </c>
      <c r="C252" s="41" t="n">
        <v>35.8</v>
      </c>
      <c r="D252" s="3" t="s">
        <v>1589</v>
      </c>
      <c r="E252" s="3" t="s">
        <v>1590</v>
      </c>
      <c r="F252" s="3" t="s">
        <v>884</v>
      </c>
      <c r="G252" s="41" t="s">
        <v>1591</v>
      </c>
      <c r="H252" s="57" t="s">
        <v>886</v>
      </c>
    </row>
    <row r="253" customFormat="false" ht="12.8" hidden="false" customHeight="false" outlineLevel="0" collapsed="false">
      <c r="A253" s="55" t="s">
        <v>632</v>
      </c>
      <c r="B253" s="41" t="s">
        <v>970</v>
      </c>
      <c r="C253" s="41" t="n">
        <v>40.5</v>
      </c>
      <c r="D253" s="3" t="s">
        <v>971</v>
      </c>
      <c r="E253" s="3" t="s">
        <v>1592</v>
      </c>
      <c r="F253" s="3" t="s">
        <v>884</v>
      </c>
      <c r="G253" s="41" t="s">
        <v>1593</v>
      </c>
      <c r="H253" s="57" t="s">
        <v>886</v>
      </c>
    </row>
    <row r="254" customFormat="false" ht="12.8" hidden="false" customHeight="false" outlineLevel="0" collapsed="false">
      <c r="A254" s="55" t="s">
        <v>636</v>
      </c>
      <c r="B254" s="41" t="s">
        <v>965</v>
      </c>
      <c r="C254" s="41" t="n">
        <v>40</v>
      </c>
      <c r="D254" s="3" t="s">
        <v>966</v>
      </c>
      <c r="E254" s="3" t="s">
        <v>1594</v>
      </c>
      <c r="F254" s="3" t="s">
        <v>884</v>
      </c>
      <c r="G254" s="41" t="s">
        <v>1427</v>
      </c>
      <c r="H254" s="57" t="s">
        <v>886</v>
      </c>
    </row>
    <row r="255" customFormat="false" ht="12.8" hidden="false" customHeight="false" outlineLevel="0" collapsed="false">
      <c r="A255" s="55" t="s">
        <v>640</v>
      </c>
      <c r="B255" s="41" t="s">
        <v>973</v>
      </c>
      <c r="C255" s="41" t="n">
        <v>-0.03</v>
      </c>
      <c r="D255" s="3" t="s">
        <v>1595</v>
      </c>
      <c r="E255" s="3" t="s">
        <v>1596</v>
      </c>
      <c r="F255" s="3" t="s">
        <v>891</v>
      </c>
      <c r="G255" s="41" t="s">
        <v>1597</v>
      </c>
      <c r="H255" s="57" t="s">
        <v>886</v>
      </c>
    </row>
    <row r="256" customFormat="false" ht="12.8" hidden="false" customHeight="false" outlineLevel="0" collapsed="false">
      <c r="A256" s="55" t="s">
        <v>644</v>
      </c>
      <c r="B256" s="41" t="s">
        <v>1598</v>
      </c>
      <c r="C256" s="41" t="n">
        <v>1.08</v>
      </c>
      <c r="D256" s="3" t="s">
        <v>1599</v>
      </c>
      <c r="E256" s="3" t="s">
        <v>1600</v>
      </c>
      <c r="F256" s="3" t="s">
        <v>891</v>
      </c>
      <c r="G256" s="41" t="s">
        <v>1258</v>
      </c>
      <c r="H256" s="57" t="s">
        <v>886</v>
      </c>
    </row>
    <row r="257" customFormat="false" ht="12.8" hidden="false" customHeight="false" outlineLevel="0" collapsed="false">
      <c r="A257" s="55" t="s">
        <v>1601</v>
      </c>
      <c r="B257" s="41" t="s">
        <v>1602</v>
      </c>
      <c r="C257" s="41" t="n">
        <v>1.03</v>
      </c>
      <c r="D257" s="3" t="s">
        <v>1603</v>
      </c>
      <c r="E257" s="3" t="s">
        <v>1604</v>
      </c>
      <c r="F257" s="3" t="s">
        <v>891</v>
      </c>
      <c r="G257" s="41" t="s">
        <v>985</v>
      </c>
      <c r="H257" s="57" t="s">
        <v>886</v>
      </c>
    </row>
    <row r="258" customFormat="false" ht="12.8" hidden="false" customHeight="false" outlineLevel="0" collapsed="false">
      <c r="A258" s="55" t="s">
        <v>1605</v>
      </c>
      <c r="B258" s="41" t="s">
        <v>1606</v>
      </c>
      <c r="C258" s="41" t="n">
        <v>1</v>
      </c>
      <c r="D258" s="3" t="s">
        <v>1376</v>
      </c>
      <c r="E258" s="3" t="s">
        <v>1607</v>
      </c>
      <c r="F258" s="3" t="s">
        <v>884</v>
      </c>
      <c r="G258" s="41" t="s">
        <v>1378</v>
      </c>
      <c r="H258" s="57" t="s">
        <v>886</v>
      </c>
    </row>
    <row r="260" customFormat="false" ht="12.8" hidden="false" customHeight="false" outlineLevel="0" collapsed="false">
      <c r="A260" s="41" t="s">
        <v>1608</v>
      </c>
    </row>
    <row r="261" customFormat="false" ht="12.8" hidden="false" customHeight="false" outlineLevel="0" collapsed="false">
      <c r="A261" s="55" t="s">
        <v>1099</v>
      </c>
      <c r="B261" s="41" t="s">
        <v>1100</v>
      </c>
      <c r="C261" s="41" t="s">
        <v>1101</v>
      </c>
      <c r="D261" s="3" t="s">
        <v>1102</v>
      </c>
      <c r="E261" s="3" t="s">
        <v>1103</v>
      </c>
      <c r="F261" s="3" t="s">
        <v>1104</v>
      </c>
      <c r="G261" s="41" t="s">
        <v>1105</v>
      </c>
      <c r="H261" s="41" t="s">
        <v>1106</v>
      </c>
    </row>
    <row r="262" customFormat="false" ht="12.8" hidden="false" customHeight="false" outlineLevel="0" collapsed="false">
      <c r="A262" s="55" t="s">
        <v>650</v>
      </c>
      <c r="B262" s="41" t="s">
        <v>1609</v>
      </c>
      <c r="C262" s="41" t="n">
        <v>0.825</v>
      </c>
      <c r="D262" s="3" t="s">
        <v>1610</v>
      </c>
      <c r="E262" s="3" t="s">
        <v>1611</v>
      </c>
      <c r="F262" s="3" t="s">
        <v>884</v>
      </c>
      <c r="G262" s="41" t="s">
        <v>1612</v>
      </c>
      <c r="H262" s="57" t="s">
        <v>886</v>
      </c>
    </row>
    <row r="263" customFormat="false" ht="12.8" hidden="false" customHeight="false" outlineLevel="0" collapsed="false">
      <c r="A263" s="55" t="s">
        <v>655</v>
      </c>
      <c r="B263" s="41" t="s">
        <v>1613</v>
      </c>
      <c r="C263" s="41" t="n">
        <v>3</v>
      </c>
      <c r="D263" s="3" t="s">
        <v>1614</v>
      </c>
      <c r="E263" s="3" t="s">
        <v>1615</v>
      </c>
      <c r="F263" s="3" t="s">
        <v>884</v>
      </c>
      <c r="G263" s="41" t="s">
        <v>1616</v>
      </c>
      <c r="H263" s="57" t="s">
        <v>886</v>
      </c>
    </row>
    <row r="264" customFormat="false" ht="12.8" hidden="false" customHeight="false" outlineLevel="0" collapsed="false">
      <c r="A264" s="55" t="s">
        <v>659</v>
      </c>
      <c r="B264" s="41" t="s">
        <v>1617</v>
      </c>
      <c r="C264" s="41" t="n">
        <v>0.8</v>
      </c>
      <c r="D264" s="3" t="s">
        <v>1618</v>
      </c>
      <c r="E264" s="3" t="s">
        <v>1619</v>
      </c>
      <c r="F264" s="3" t="s">
        <v>891</v>
      </c>
      <c r="G264" s="41" t="s">
        <v>1620</v>
      </c>
      <c r="H264" s="57" t="s">
        <v>886</v>
      </c>
    </row>
    <row r="265" customFormat="false" ht="12.8" hidden="false" customHeight="false" outlineLevel="0" collapsed="false">
      <c r="A265" s="55" t="s">
        <v>663</v>
      </c>
      <c r="B265" s="41" t="s">
        <v>1621</v>
      </c>
      <c r="C265" s="41" t="n">
        <v>0.25</v>
      </c>
      <c r="D265" s="3" t="s">
        <v>1622</v>
      </c>
      <c r="E265" s="3" t="s">
        <v>1623</v>
      </c>
      <c r="F265" s="3" t="s">
        <v>891</v>
      </c>
      <c r="G265" s="41" t="s">
        <v>1624</v>
      </c>
      <c r="H265" s="57" t="s">
        <v>886</v>
      </c>
    </row>
    <row r="266" customFormat="false" ht="12.8" hidden="false" customHeight="false" outlineLevel="0" collapsed="false">
      <c r="A266" s="55" t="s">
        <v>667</v>
      </c>
      <c r="B266" s="41" t="s">
        <v>1625</v>
      </c>
      <c r="C266" s="41" t="n">
        <v>1.1</v>
      </c>
      <c r="D266" s="3" t="s">
        <v>1626</v>
      </c>
      <c r="E266" s="3" t="s">
        <v>1627</v>
      </c>
      <c r="F266" s="3" t="s">
        <v>891</v>
      </c>
      <c r="G266" s="41" t="s">
        <v>1258</v>
      </c>
      <c r="H266" s="57" t="s">
        <v>886</v>
      </c>
    </row>
    <row r="267" customFormat="false" ht="12.8" hidden="false" customHeight="false" outlineLevel="0" collapsed="false">
      <c r="A267" s="55" t="s">
        <v>1628</v>
      </c>
      <c r="B267" s="41" t="s">
        <v>1629</v>
      </c>
      <c r="C267" s="41" t="n">
        <v>1.03</v>
      </c>
      <c r="D267" s="3" t="s">
        <v>1630</v>
      </c>
      <c r="E267" s="3" t="s">
        <v>1631</v>
      </c>
      <c r="F267" s="3" t="s">
        <v>891</v>
      </c>
      <c r="G267" s="41" t="s">
        <v>985</v>
      </c>
      <c r="H267" s="57" t="s">
        <v>886</v>
      </c>
    </row>
    <row r="268" customFormat="false" ht="12.8" hidden="false" customHeight="false" outlineLevel="0" collapsed="false">
      <c r="A268" s="55" t="s">
        <v>1632</v>
      </c>
      <c r="B268" s="41" t="s">
        <v>1633</v>
      </c>
      <c r="C268" s="41" t="n">
        <v>1.05</v>
      </c>
      <c r="D268" s="3" t="s">
        <v>1376</v>
      </c>
      <c r="E268" s="3" t="s">
        <v>1634</v>
      </c>
      <c r="F268" s="3" t="s">
        <v>884</v>
      </c>
      <c r="G268" s="41" t="s">
        <v>1378</v>
      </c>
      <c r="H268" s="57" t="s">
        <v>886</v>
      </c>
    </row>
    <row r="270" customFormat="false" ht="12.8" hidden="false" customHeight="false" outlineLevel="0" collapsed="false">
      <c r="A270" s="41" t="s">
        <v>1635</v>
      </c>
    </row>
    <row r="271" customFormat="false" ht="12.8" hidden="false" customHeight="false" outlineLevel="0" collapsed="false">
      <c r="A271" s="55" t="s">
        <v>1099</v>
      </c>
      <c r="B271" s="41" t="s">
        <v>1100</v>
      </c>
      <c r="C271" s="41" t="s">
        <v>1101</v>
      </c>
      <c r="D271" s="3" t="s">
        <v>1102</v>
      </c>
      <c r="E271" s="3" t="s">
        <v>1103</v>
      </c>
      <c r="F271" s="3" t="s">
        <v>1104</v>
      </c>
      <c r="G271" s="41" t="s">
        <v>1105</v>
      </c>
      <c r="H271" s="41" t="s">
        <v>1106</v>
      </c>
    </row>
    <row r="272" customFormat="false" ht="12.8" hidden="false" customHeight="false" outlineLevel="0" collapsed="false">
      <c r="A272" s="55" t="s">
        <v>673</v>
      </c>
      <c r="B272" s="41" t="s">
        <v>1636</v>
      </c>
      <c r="C272" s="41" t="n">
        <v>0.175</v>
      </c>
      <c r="D272" s="3" t="s">
        <v>1637</v>
      </c>
      <c r="E272" s="3" t="s">
        <v>1638</v>
      </c>
      <c r="F272" s="3" t="s">
        <v>884</v>
      </c>
      <c r="G272" s="41" t="s">
        <v>1612</v>
      </c>
      <c r="H272" s="57" t="s">
        <v>886</v>
      </c>
    </row>
    <row r="273" customFormat="false" ht="12.8" hidden="false" customHeight="false" outlineLevel="0" collapsed="false">
      <c r="A273" s="55" t="s">
        <v>678</v>
      </c>
      <c r="B273" s="41" t="s">
        <v>1639</v>
      </c>
      <c r="C273" s="41" t="n">
        <v>1.1</v>
      </c>
      <c r="D273" s="3" t="s">
        <v>1640</v>
      </c>
      <c r="E273" s="3" t="s">
        <v>1641</v>
      </c>
      <c r="F273" s="3" t="s">
        <v>891</v>
      </c>
      <c r="G273" s="41" t="s">
        <v>1642</v>
      </c>
      <c r="H273" s="57" t="s">
        <v>886</v>
      </c>
    </row>
    <row r="274" customFormat="false" ht="12.8" hidden="false" customHeight="false" outlineLevel="0" collapsed="false">
      <c r="A274" s="55" t="s">
        <v>683</v>
      </c>
      <c r="B274" s="41" t="s">
        <v>1643</v>
      </c>
      <c r="C274" s="41" t="n">
        <v>0.9</v>
      </c>
      <c r="D274" s="3" t="s">
        <v>1644</v>
      </c>
      <c r="E274" s="3" t="s">
        <v>1645</v>
      </c>
      <c r="F274" s="3" t="s">
        <v>891</v>
      </c>
      <c r="G274" s="41" t="s">
        <v>1258</v>
      </c>
      <c r="H274" s="57" t="s">
        <v>886</v>
      </c>
    </row>
    <row r="275" customFormat="false" ht="12.8" hidden="false" customHeight="false" outlineLevel="0" collapsed="false">
      <c r="A275" s="55" t="s">
        <v>688</v>
      </c>
      <c r="B275" s="41" t="s">
        <v>1646</v>
      </c>
      <c r="C275" s="41" t="n">
        <v>0.97</v>
      </c>
      <c r="D275" s="3" t="s">
        <v>1647</v>
      </c>
      <c r="E275" s="3" t="s">
        <v>1648</v>
      </c>
      <c r="F275" s="3" t="s">
        <v>891</v>
      </c>
      <c r="G275" s="41" t="s">
        <v>985</v>
      </c>
      <c r="H275" s="57" t="s">
        <v>886</v>
      </c>
    </row>
    <row r="276" customFormat="false" ht="12.8" hidden="false" customHeight="false" outlineLevel="0" collapsed="false">
      <c r="A276" s="55" t="s">
        <v>693</v>
      </c>
      <c r="B276" s="41" t="s">
        <v>1649</v>
      </c>
      <c r="C276" s="41" t="n">
        <v>0.92</v>
      </c>
      <c r="D276" s="3" t="s">
        <v>1501</v>
      </c>
      <c r="E276" s="3" t="s">
        <v>1650</v>
      </c>
      <c r="F276" s="3" t="s">
        <v>884</v>
      </c>
      <c r="G276" s="41" t="s">
        <v>1378</v>
      </c>
      <c r="H276" s="57" t="s">
        <v>886</v>
      </c>
    </row>
    <row r="278" customFormat="false" ht="12.8" hidden="false" customHeight="false" outlineLevel="0" collapsed="false">
      <c r="A278" s="41" t="s">
        <v>1651</v>
      </c>
    </row>
    <row r="279" customFormat="false" ht="12.8" hidden="false" customHeight="false" outlineLevel="0" collapsed="false">
      <c r="A279" s="55" t="s">
        <v>1099</v>
      </c>
      <c r="B279" s="41" t="s">
        <v>1100</v>
      </c>
      <c r="C279" s="41" t="s">
        <v>1101</v>
      </c>
      <c r="D279" s="3" t="s">
        <v>1102</v>
      </c>
      <c r="E279" s="3" t="s">
        <v>1103</v>
      </c>
      <c r="F279" s="3" t="s">
        <v>1104</v>
      </c>
      <c r="G279" s="41" t="s">
        <v>1105</v>
      </c>
      <c r="H279" s="41" t="s">
        <v>1106</v>
      </c>
    </row>
    <row r="280" customFormat="false" ht="12.8" hidden="false" customHeight="false" outlineLevel="0" collapsed="false">
      <c r="A280" s="55" t="s">
        <v>699</v>
      </c>
      <c r="B280" s="41" t="s">
        <v>1652</v>
      </c>
      <c r="C280" s="41" t="n">
        <v>4.1</v>
      </c>
      <c r="D280" s="3" t="s">
        <v>1653</v>
      </c>
      <c r="E280" s="3" t="s">
        <v>1654</v>
      </c>
      <c r="F280" s="3" t="s">
        <v>884</v>
      </c>
      <c r="G280" s="41" t="s">
        <v>1655</v>
      </c>
      <c r="H280" s="57" t="s">
        <v>886</v>
      </c>
    </row>
    <row r="281" customFormat="false" ht="12.8" hidden="false" customHeight="false" outlineLevel="0" collapsed="false">
      <c r="A281" s="55" t="s">
        <v>704</v>
      </c>
      <c r="B281" s="41" t="s">
        <v>1656</v>
      </c>
      <c r="C281" s="41" t="n">
        <v>8</v>
      </c>
      <c r="D281" s="3" t="s">
        <v>1657</v>
      </c>
      <c r="E281" s="3" t="s">
        <v>1658</v>
      </c>
      <c r="F281" s="3" t="s">
        <v>884</v>
      </c>
      <c r="G281" s="41" t="s">
        <v>1659</v>
      </c>
      <c r="H281" s="57" t="s">
        <v>886</v>
      </c>
    </row>
    <row r="282" customFormat="false" ht="12.8" hidden="false" customHeight="false" outlineLevel="0" collapsed="false">
      <c r="A282" s="55" t="s">
        <v>708</v>
      </c>
      <c r="B282" s="41" t="s">
        <v>1660</v>
      </c>
      <c r="C282" s="41" t="n">
        <v>2.2</v>
      </c>
      <c r="D282" s="3" t="s">
        <v>1661</v>
      </c>
      <c r="E282" s="3" t="s">
        <v>1662</v>
      </c>
      <c r="F282" s="3" t="s">
        <v>891</v>
      </c>
      <c r="G282" s="41" t="s">
        <v>1663</v>
      </c>
      <c r="H282" s="57" t="s">
        <v>886</v>
      </c>
    </row>
    <row r="283" customFormat="false" ht="12.8" hidden="false" customHeight="false" outlineLevel="0" collapsed="false">
      <c r="A283" s="55" t="s">
        <v>712</v>
      </c>
      <c r="B283" s="41" t="s">
        <v>1664</v>
      </c>
      <c r="C283" s="41" t="n">
        <v>0.75</v>
      </c>
      <c r="D283" s="3" t="s">
        <v>1665</v>
      </c>
      <c r="E283" s="3" t="s">
        <v>1666</v>
      </c>
      <c r="F283" s="3" t="s">
        <v>891</v>
      </c>
      <c r="G283" s="41" t="s">
        <v>1258</v>
      </c>
      <c r="H283" s="57" t="s">
        <v>886</v>
      </c>
    </row>
    <row r="284" customFormat="false" ht="12.8" hidden="false" customHeight="false" outlineLevel="0" collapsed="false">
      <c r="A284" s="55" t="s">
        <v>716</v>
      </c>
      <c r="B284" s="41" t="s">
        <v>1667</v>
      </c>
      <c r="C284" s="41" t="n">
        <v>1.05</v>
      </c>
      <c r="D284" s="3" t="s">
        <v>1668</v>
      </c>
      <c r="E284" s="3" t="s">
        <v>1669</v>
      </c>
      <c r="F284" s="3" t="s">
        <v>891</v>
      </c>
      <c r="G284" s="41" t="s">
        <v>985</v>
      </c>
      <c r="H284" s="57" t="s">
        <v>886</v>
      </c>
    </row>
    <row r="285" customFormat="false" ht="12.8" hidden="false" customHeight="false" outlineLevel="0" collapsed="false">
      <c r="A285" s="55" t="s">
        <v>1670</v>
      </c>
      <c r="B285" s="41" t="s">
        <v>1671</v>
      </c>
      <c r="C285" s="41" t="n">
        <v>1.1</v>
      </c>
      <c r="D285" s="3" t="s">
        <v>1501</v>
      </c>
      <c r="E285" s="3" t="s">
        <v>1672</v>
      </c>
      <c r="F285" s="3" t="s">
        <v>884</v>
      </c>
      <c r="G285" s="41" t="s">
        <v>1378</v>
      </c>
      <c r="H285" s="57" t="s">
        <v>886</v>
      </c>
    </row>
    <row r="286" customFormat="false" ht="12.8" hidden="false" customHeight="false" outlineLevel="0" collapsed="false">
      <c r="A286" s="55" t="s">
        <v>1673</v>
      </c>
      <c r="B286" s="41" t="s">
        <v>1000</v>
      </c>
      <c r="C286" s="41" t="n">
        <v>0.85</v>
      </c>
      <c r="D286" s="3" t="s">
        <v>1674</v>
      </c>
      <c r="E286" s="3" t="s">
        <v>1675</v>
      </c>
      <c r="F286" s="3" t="s">
        <v>884</v>
      </c>
      <c r="G286" s="41" t="s">
        <v>1676</v>
      </c>
      <c r="H286" s="57" t="s">
        <v>886</v>
      </c>
    </row>
    <row r="288" customFormat="false" ht="12.8" hidden="false" customHeight="false" outlineLevel="0" collapsed="false">
      <c r="A288" s="41" t="s">
        <v>1677</v>
      </c>
    </row>
    <row r="289" customFormat="false" ht="12.8" hidden="false" customHeight="false" outlineLevel="0" collapsed="false">
      <c r="A289" s="55" t="s">
        <v>1099</v>
      </c>
      <c r="B289" s="41" t="s">
        <v>1100</v>
      </c>
      <c r="C289" s="41" t="s">
        <v>1101</v>
      </c>
      <c r="D289" s="3" t="s">
        <v>1102</v>
      </c>
      <c r="E289" s="3" t="s">
        <v>1103</v>
      </c>
      <c r="F289" s="3" t="s">
        <v>1104</v>
      </c>
      <c r="G289" s="41" t="s">
        <v>1105</v>
      </c>
      <c r="H289" s="41" t="s">
        <v>1106</v>
      </c>
    </row>
    <row r="290" customFormat="false" ht="12.8" hidden="false" customHeight="false" outlineLevel="0" collapsed="false">
      <c r="A290" s="55" t="s">
        <v>722</v>
      </c>
      <c r="B290" s="41" t="s">
        <v>1678</v>
      </c>
      <c r="C290" s="41" t="n">
        <v>0.034</v>
      </c>
      <c r="D290" s="3" t="s">
        <v>1679</v>
      </c>
      <c r="E290" s="3" t="s">
        <v>1680</v>
      </c>
      <c r="F290" s="3" t="s">
        <v>884</v>
      </c>
      <c r="G290" s="41" t="s">
        <v>1681</v>
      </c>
      <c r="H290" s="57" t="s">
        <v>886</v>
      </c>
    </row>
    <row r="291" customFormat="false" ht="12.8" hidden="false" customHeight="false" outlineLevel="0" collapsed="false">
      <c r="A291" s="55" t="s">
        <v>727</v>
      </c>
      <c r="B291" s="41" t="s">
        <v>1682</v>
      </c>
      <c r="C291" s="41" t="n">
        <v>0.055</v>
      </c>
      <c r="D291" s="3" t="s">
        <v>1683</v>
      </c>
      <c r="E291" s="3" t="s">
        <v>1684</v>
      </c>
      <c r="F291" s="3" t="s">
        <v>891</v>
      </c>
      <c r="G291" s="41" t="s">
        <v>1685</v>
      </c>
      <c r="H291" s="57" t="s">
        <v>886</v>
      </c>
    </row>
    <row r="292" customFormat="false" ht="12.8" hidden="false" customHeight="false" outlineLevel="0" collapsed="false">
      <c r="A292" s="55" t="s">
        <v>731</v>
      </c>
      <c r="B292" s="41" t="s">
        <v>1686</v>
      </c>
      <c r="C292" s="41" t="n">
        <v>0.015</v>
      </c>
      <c r="D292" s="3" t="s">
        <v>1687</v>
      </c>
      <c r="E292" s="3" t="s">
        <v>1688</v>
      </c>
      <c r="F292" s="3" t="s">
        <v>884</v>
      </c>
      <c r="G292" s="41" t="s">
        <v>1689</v>
      </c>
      <c r="H292" s="57" t="s">
        <v>886</v>
      </c>
    </row>
    <row r="293" customFormat="false" ht="12.8" hidden="false" customHeight="false" outlineLevel="0" collapsed="false">
      <c r="A293" s="55" t="s">
        <v>735</v>
      </c>
      <c r="B293" s="41" t="s">
        <v>1690</v>
      </c>
      <c r="C293" s="41" t="n">
        <v>1.3</v>
      </c>
      <c r="D293" s="3" t="s">
        <v>1691</v>
      </c>
      <c r="E293" s="3" t="s">
        <v>1692</v>
      </c>
      <c r="F293" s="3" t="s">
        <v>891</v>
      </c>
      <c r="G293" s="41" t="s">
        <v>1258</v>
      </c>
      <c r="H293" s="57" t="s">
        <v>886</v>
      </c>
    </row>
    <row r="294" customFormat="false" ht="12.8" hidden="false" customHeight="false" outlineLevel="0" collapsed="false">
      <c r="A294" s="55" t="s">
        <v>739</v>
      </c>
      <c r="B294" s="41" t="s">
        <v>1693</v>
      </c>
      <c r="C294" s="41" t="n">
        <v>0.9</v>
      </c>
      <c r="D294" s="3" t="s">
        <v>1694</v>
      </c>
      <c r="E294" s="3" t="s">
        <v>1695</v>
      </c>
      <c r="F294" s="3" t="s">
        <v>891</v>
      </c>
      <c r="G294" s="41" t="s">
        <v>985</v>
      </c>
      <c r="H294" s="57" t="s">
        <v>886</v>
      </c>
    </row>
    <row r="295" customFormat="false" ht="12.8" hidden="false" customHeight="false" outlineLevel="0" collapsed="false">
      <c r="A295" s="55" t="s">
        <v>1696</v>
      </c>
      <c r="B295" s="41" t="s">
        <v>1697</v>
      </c>
      <c r="C295" s="41" t="n">
        <v>0.95</v>
      </c>
      <c r="D295" s="3" t="s">
        <v>1501</v>
      </c>
      <c r="E295" s="3" t="s">
        <v>1698</v>
      </c>
      <c r="F295" s="3" t="s">
        <v>884</v>
      </c>
      <c r="G295" s="41" t="s">
        <v>1378</v>
      </c>
      <c r="H295" s="57" t="s">
        <v>886</v>
      </c>
    </row>
    <row r="296" customFormat="false" ht="12.8" hidden="false" customHeight="false" outlineLevel="0" collapsed="false">
      <c r="A296" s="55" t="s">
        <v>1699</v>
      </c>
      <c r="B296" s="41" t="s">
        <v>1000</v>
      </c>
      <c r="C296" s="41" t="n">
        <v>0.75</v>
      </c>
      <c r="D296" s="3" t="s">
        <v>1700</v>
      </c>
      <c r="E296" s="3" t="s">
        <v>1701</v>
      </c>
      <c r="F296" s="3" t="s">
        <v>884</v>
      </c>
      <c r="G296" s="41" t="s">
        <v>1702</v>
      </c>
      <c r="H296" s="57" t="s">
        <v>886</v>
      </c>
    </row>
    <row r="298" customFormat="false" ht="12.8" hidden="false" customHeight="false" outlineLevel="0" collapsed="false">
      <c r="A298" s="41" t="s">
        <v>1703</v>
      </c>
    </row>
    <row r="299" customFormat="false" ht="12.8" hidden="false" customHeight="false" outlineLevel="0" collapsed="false">
      <c r="A299" s="55" t="s">
        <v>1099</v>
      </c>
      <c r="B299" s="41" t="s">
        <v>1100</v>
      </c>
      <c r="C299" s="41" t="s">
        <v>1101</v>
      </c>
      <c r="D299" s="3" t="s">
        <v>1102</v>
      </c>
      <c r="E299" s="3" t="s">
        <v>1103</v>
      </c>
      <c r="F299" s="3" t="s">
        <v>1104</v>
      </c>
      <c r="G299" s="41" t="s">
        <v>1105</v>
      </c>
      <c r="H299" s="41" t="s">
        <v>1106</v>
      </c>
    </row>
    <row r="300" customFormat="false" ht="12.8" hidden="false" customHeight="false" outlineLevel="0" collapsed="false">
      <c r="A300" s="55" t="s">
        <v>745</v>
      </c>
      <c r="B300" s="41" t="s">
        <v>1704</v>
      </c>
      <c r="C300" s="41" t="n">
        <v>72</v>
      </c>
      <c r="D300" s="3" t="s">
        <v>1705</v>
      </c>
      <c r="E300" s="3" t="s">
        <v>1706</v>
      </c>
      <c r="F300" s="3" t="s">
        <v>891</v>
      </c>
      <c r="G300" s="41" t="s">
        <v>1707</v>
      </c>
      <c r="H300" s="57" t="s">
        <v>886</v>
      </c>
    </row>
    <row r="301" customFormat="false" ht="12.8" hidden="false" customHeight="false" outlineLevel="0" collapsed="false">
      <c r="A301" s="55" t="s">
        <v>750</v>
      </c>
      <c r="B301" s="41" t="s">
        <v>1708</v>
      </c>
      <c r="C301" s="41" t="n">
        <v>1.08</v>
      </c>
      <c r="D301" s="3" t="s">
        <v>1709</v>
      </c>
      <c r="E301" s="3" t="s">
        <v>1710</v>
      </c>
      <c r="F301" s="3" t="s">
        <v>884</v>
      </c>
      <c r="G301" s="41" t="s">
        <v>1711</v>
      </c>
      <c r="H301" s="57" t="s">
        <v>886</v>
      </c>
    </row>
    <row r="302" customFormat="false" ht="12.8" hidden="false" customHeight="false" outlineLevel="0" collapsed="false">
      <c r="A302" s="55" t="s">
        <v>755</v>
      </c>
      <c r="B302" s="41" t="s">
        <v>1712</v>
      </c>
      <c r="C302" s="41" t="n">
        <v>0.85</v>
      </c>
      <c r="D302" s="3" t="s">
        <v>1713</v>
      </c>
      <c r="E302" s="3" t="s">
        <v>1714</v>
      </c>
      <c r="F302" s="3" t="s">
        <v>891</v>
      </c>
      <c r="G302" s="41" t="s">
        <v>1258</v>
      </c>
      <c r="H302" s="57" t="s">
        <v>886</v>
      </c>
    </row>
    <row r="303" customFormat="false" ht="12.8" hidden="false" customHeight="false" outlineLevel="0" collapsed="false">
      <c r="A303" s="55" t="s">
        <v>760</v>
      </c>
      <c r="B303" s="41" t="s">
        <v>1715</v>
      </c>
      <c r="C303" s="41" t="n">
        <v>1.02</v>
      </c>
      <c r="D303" s="3" t="s">
        <v>1716</v>
      </c>
      <c r="E303" s="3" t="s">
        <v>1717</v>
      </c>
      <c r="F303" s="3" t="s">
        <v>891</v>
      </c>
      <c r="G303" s="41" t="s">
        <v>985</v>
      </c>
      <c r="H303" s="57" t="s">
        <v>886</v>
      </c>
    </row>
    <row r="304" customFormat="false" ht="12.8" hidden="false" customHeight="false" outlineLevel="0" collapsed="false">
      <c r="A304" s="55" t="s">
        <v>764</v>
      </c>
      <c r="B304" s="41" t="s">
        <v>1718</v>
      </c>
      <c r="C304" s="41" t="n">
        <v>15000000000</v>
      </c>
      <c r="D304" s="3" t="s">
        <v>1719</v>
      </c>
      <c r="E304" s="3" t="s">
        <v>1720</v>
      </c>
      <c r="F304" s="3" t="s">
        <v>891</v>
      </c>
      <c r="G304" s="41" t="s">
        <v>1721</v>
      </c>
      <c r="H304" s="57" t="s">
        <v>886</v>
      </c>
    </row>
    <row r="305" customFormat="false" ht="12.8" hidden="false" customHeight="false" outlineLevel="0" collapsed="false">
      <c r="A305" s="55" t="s">
        <v>1722</v>
      </c>
      <c r="B305" s="41" t="s">
        <v>1723</v>
      </c>
      <c r="C305" s="41" t="n">
        <v>1.05</v>
      </c>
      <c r="D305" s="3" t="s">
        <v>1376</v>
      </c>
      <c r="E305" s="3" t="s">
        <v>1724</v>
      </c>
      <c r="F305" s="3" t="s">
        <v>884</v>
      </c>
      <c r="G305" s="41" t="s">
        <v>1725</v>
      </c>
      <c r="H305" s="57" t="s">
        <v>886</v>
      </c>
    </row>
    <row r="307" customFormat="false" ht="12.8" hidden="false" customHeight="false" outlineLevel="0" collapsed="false">
      <c r="A307" s="41" t="s">
        <v>1726</v>
      </c>
    </row>
    <row r="308" customFormat="false" ht="12.8" hidden="false" customHeight="false" outlineLevel="0" collapsed="false">
      <c r="A308" s="55" t="s">
        <v>1099</v>
      </c>
      <c r="B308" s="41" t="s">
        <v>1100</v>
      </c>
      <c r="C308" s="41" t="s">
        <v>1101</v>
      </c>
      <c r="D308" s="3" t="s">
        <v>1102</v>
      </c>
      <c r="E308" s="3" t="s">
        <v>1103</v>
      </c>
      <c r="F308" s="3" t="s">
        <v>1104</v>
      </c>
      <c r="G308" s="41" t="s">
        <v>1105</v>
      </c>
      <c r="H308" s="41" t="s">
        <v>1106</v>
      </c>
    </row>
    <row r="309" customFormat="false" ht="12.8" hidden="false" customHeight="false" outlineLevel="0" collapsed="false">
      <c r="A309" s="55" t="s">
        <v>770</v>
      </c>
      <c r="B309" s="41" t="s">
        <v>1727</v>
      </c>
      <c r="C309" s="41" t="n">
        <v>3.2</v>
      </c>
      <c r="D309" s="3" t="s">
        <v>1728</v>
      </c>
      <c r="E309" s="3" t="s">
        <v>1729</v>
      </c>
      <c r="F309" s="3" t="s">
        <v>891</v>
      </c>
      <c r="G309" s="41" t="s">
        <v>1730</v>
      </c>
      <c r="H309" s="57" t="s">
        <v>886</v>
      </c>
    </row>
    <row r="310" customFormat="false" ht="12.8" hidden="false" customHeight="false" outlineLevel="0" collapsed="false">
      <c r="A310" s="55" t="s">
        <v>775</v>
      </c>
      <c r="B310" s="41" t="s">
        <v>1731</v>
      </c>
      <c r="C310" s="41" t="n">
        <v>2.5</v>
      </c>
      <c r="D310" s="3" t="s">
        <v>1732</v>
      </c>
      <c r="E310" s="3" t="s">
        <v>1733</v>
      </c>
      <c r="F310" s="3" t="s">
        <v>884</v>
      </c>
      <c r="G310" s="41" t="s">
        <v>1734</v>
      </c>
      <c r="H310" s="57" t="s">
        <v>886</v>
      </c>
    </row>
    <row r="311" customFormat="false" ht="12.8" hidden="false" customHeight="false" outlineLevel="0" collapsed="false">
      <c r="A311" s="55" t="s">
        <v>779</v>
      </c>
      <c r="B311" s="41" t="s">
        <v>1735</v>
      </c>
      <c r="C311" s="41" t="n">
        <v>4</v>
      </c>
      <c r="D311" s="3" t="s">
        <v>1736</v>
      </c>
      <c r="E311" s="3" t="s">
        <v>1737</v>
      </c>
      <c r="F311" s="3" t="s">
        <v>884</v>
      </c>
      <c r="G311" s="41" t="s">
        <v>1738</v>
      </c>
      <c r="H311" s="57" t="s">
        <v>886</v>
      </c>
    </row>
    <row r="312" customFormat="false" ht="12.8" hidden="false" customHeight="false" outlineLevel="0" collapsed="false">
      <c r="A312" s="55" t="s">
        <v>783</v>
      </c>
      <c r="B312" s="41" t="s">
        <v>1739</v>
      </c>
      <c r="C312" s="41" t="n">
        <v>0.8</v>
      </c>
      <c r="D312" s="3" t="s">
        <v>1740</v>
      </c>
      <c r="E312" s="3" t="s">
        <v>1741</v>
      </c>
      <c r="F312" s="3" t="s">
        <v>891</v>
      </c>
      <c r="G312" s="41" t="s">
        <v>1258</v>
      </c>
      <c r="H312" s="57" t="s">
        <v>886</v>
      </c>
    </row>
    <row r="313" customFormat="false" ht="12.8" hidden="false" customHeight="false" outlineLevel="0" collapsed="false">
      <c r="A313" s="55" t="s">
        <v>787</v>
      </c>
      <c r="B313" s="41" t="s">
        <v>1742</v>
      </c>
      <c r="C313" s="41" t="n">
        <v>1.1</v>
      </c>
      <c r="D313" s="3" t="s">
        <v>1743</v>
      </c>
      <c r="E313" s="3" t="s">
        <v>1744</v>
      </c>
      <c r="F313" s="3" t="s">
        <v>891</v>
      </c>
      <c r="G313" s="41" t="s">
        <v>985</v>
      </c>
      <c r="H313" s="57" t="s">
        <v>886</v>
      </c>
    </row>
    <row r="314" customFormat="false" ht="12.8" hidden="false" customHeight="false" outlineLevel="0" collapsed="false">
      <c r="A314" s="55" t="s">
        <v>1745</v>
      </c>
      <c r="B314" s="41" t="s">
        <v>1746</v>
      </c>
      <c r="C314" s="41" t="n">
        <v>4.2</v>
      </c>
      <c r="D314" s="3" t="s">
        <v>1376</v>
      </c>
      <c r="E314" s="3" t="s">
        <v>1747</v>
      </c>
      <c r="F314" s="3" t="s">
        <v>884</v>
      </c>
      <c r="G314" s="41" t="s">
        <v>1748</v>
      </c>
      <c r="H314" s="57" t="s">
        <v>886</v>
      </c>
    </row>
    <row r="315" customFormat="false" ht="12.8" hidden="false" customHeight="false" outlineLevel="0" collapsed="false">
      <c r="A315" s="55" t="s">
        <v>1749</v>
      </c>
      <c r="B315" s="41" t="s">
        <v>1750</v>
      </c>
      <c r="C315" s="41" t="n">
        <v>2</v>
      </c>
      <c r="D315" s="3" t="s">
        <v>1456</v>
      </c>
      <c r="E315" s="3" t="s">
        <v>1751</v>
      </c>
      <c r="F315" s="3" t="s">
        <v>891</v>
      </c>
      <c r="G315" s="41" t="s">
        <v>1378</v>
      </c>
      <c r="H315" s="57" t="s">
        <v>886</v>
      </c>
    </row>
    <row r="317" customFormat="false" ht="12.8" hidden="false" customHeight="false" outlineLevel="0" collapsed="false">
      <c r="A317" s="41" t="s">
        <v>1752</v>
      </c>
    </row>
    <row r="318" customFormat="false" ht="12.8" hidden="false" customHeight="false" outlineLevel="0" collapsed="false">
      <c r="A318" s="55" t="s">
        <v>1099</v>
      </c>
      <c r="B318" s="41" t="s">
        <v>1100</v>
      </c>
      <c r="C318" s="41" t="s">
        <v>1101</v>
      </c>
      <c r="D318" s="3" t="s">
        <v>1102</v>
      </c>
      <c r="E318" s="3" t="s">
        <v>1103</v>
      </c>
      <c r="F318" s="3" t="s">
        <v>1104</v>
      </c>
      <c r="G318" s="41" t="s">
        <v>1105</v>
      </c>
      <c r="H318" s="41" t="s">
        <v>1106</v>
      </c>
    </row>
    <row r="319" customFormat="false" ht="12.8" hidden="false" customHeight="false" outlineLevel="0" collapsed="false">
      <c r="A319" s="55" t="s">
        <v>794</v>
      </c>
      <c r="B319" s="41" t="s">
        <v>1753</v>
      </c>
      <c r="C319" s="41" t="n">
        <v>7500000000</v>
      </c>
      <c r="D319" s="3" t="s">
        <v>1754</v>
      </c>
      <c r="E319" s="3" t="s">
        <v>1755</v>
      </c>
      <c r="F319" s="3" t="s">
        <v>884</v>
      </c>
      <c r="G319" s="41" t="s">
        <v>1756</v>
      </c>
      <c r="H319" s="57" t="s">
        <v>886</v>
      </c>
    </row>
    <row r="320" customFormat="false" ht="12.8" hidden="false" customHeight="false" outlineLevel="0" collapsed="false">
      <c r="A320" s="55" t="s">
        <v>799</v>
      </c>
      <c r="B320" s="41" t="s">
        <v>1035</v>
      </c>
      <c r="C320" s="41" t="n">
        <v>0.09</v>
      </c>
      <c r="D320" s="3" t="s">
        <v>1757</v>
      </c>
      <c r="E320" s="3" t="s">
        <v>1758</v>
      </c>
      <c r="F320" s="3" t="s">
        <v>891</v>
      </c>
      <c r="G320" s="41" t="s">
        <v>1759</v>
      </c>
      <c r="H320" s="57" t="s">
        <v>886</v>
      </c>
    </row>
    <row r="321" customFormat="false" ht="12.8" hidden="false" customHeight="false" outlineLevel="0" collapsed="false">
      <c r="A321" s="55" t="s">
        <v>803</v>
      </c>
      <c r="B321" s="41" t="s">
        <v>1040</v>
      </c>
      <c r="C321" s="41" t="n">
        <v>0.07</v>
      </c>
      <c r="D321" s="3" t="s">
        <v>1760</v>
      </c>
      <c r="E321" s="3" t="s">
        <v>1761</v>
      </c>
      <c r="F321" s="3" t="s">
        <v>891</v>
      </c>
      <c r="G321" s="41" t="s">
        <v>1762</v>
      </c>
      <c r="H321" s="57" t="s">
        <v>886</v>
      </c>
    </row>
    <row r="322" customFormat="false" ht="12.8" hidden="false" customHeight="false" outlineLevel="0" collapsed="false">
      <c r="A322" s="55" t="s">
        <v>807</v>
      </c>
      <c r="B322" s="41" t="s">
        <v>1763</v>
      </c>
      <c r="C322" s="41" t="n">
        <v>0.09</v>
      </c>
      <c r="D322" s="3" t="s">
        <v>1764</v>
      </c>
      <c r="E322" s="3" t="s">
        <v>1765</v>
      </c>
      <c r="F322" s="3" t="s">
        <v>891</v>
      </c>
      <c r="G322" s="41" t="s">
        <v>1766</v>
      </c>
      <c r="H322" s="57" t="s">
        <v>886</v>
      </c>
    </row>
    <row r="323" customFormat="false" ht="12.8" hidden="false" customHeight="false" outlineLevel="0" collapsed="false">
      <c r="A323" s="55" t="s">
        <v>811</v>
      </c>
      <c r="B323" s="41" t="s">
        <v>995</v>
      </c>
      <c r="C323" s="41" t="n">
        <v>8.33</v>
      </c>
      <c r="D323" s="3" t="s">
        <v>1767</v>
      </c>
      <c r="E323" s="3" t="s">
        <v>1768</v>
      </c>
      <c r="F323" s="3" t="s">
        <v>884</v>
      </c>
      <c r="G323" s="41" t="s">
        <v>1769</v>
      </c>
      <c r="H323" s="57" t="s">
        <v>886</v>
      </c>
    </row>
    <row r="324" customFormat="false" ht="12.8" hidden="false" customHeight="false" outlineLevel="0" collapsed="false">
      <c r="A324" s="55" t="s">
        <v>1770</v>
      </c>
      <c r="B324" s="41" t="s">
        <v>1771</v>
      </c>
      <c r="C324" s="41" t="n">
        <v>0.95</v>
      </c>
      <c r="D324" s="3" t="s">
        <v>1456</v>
      </c>
      <c r="E324" s="3" t="s">
        <v>1772</v>
      </c>
      <c r="F324" s="3" t="s">
        <v>891</v>
      </c>
      <c r="G324" s="41" t="s">
        <v>1478</v>
      </c>
      <c r="H324" s="57" t="s">
        <v>886</v>
      </c>
    </row>
    <row r="325" customFormat="false" ht="12.8" hidden="false" customHeight="false" outlineLevel="0" collapsed="false">
      <c r="A325" s="55" t="s">
        <v>1773</v>
      </c>
      <c r="B325" s="41" t="s">
        <v>1774</v>
      </c>
      <c r="C325" s="41" t="n">
        <v>1.05</v>
      </c>
      <c r="D325" s="3" t="s">
        <v>1376</v>
      </c>
      <c r="E325" s="3" t="s">
        <v>1775</v>
      </c>
      <c r="F325" s="3" t="s">
        <v>884</v>
      </c>
      <c r="G325" s="41" t="s">
        <v>1776</v>
      </c>
      <c r="H325" s="57" t="s">
        <v>886</v>
      </c>
    </row>
    <row r="327" customFormat="false" ht="12.8" hidden="false" customHeight="false" outlineLevel="0" collapsed="false">
      <c r="A327" s="41" t="s">
        <v>1777</v>
      </c>
    </row>
    <row r="328" customFormat="false" ht="12.8" hidden="false" customHeight="false" outlineLevel="0" collapsed="false">
      <c r="A328" s="55" t="s">
        <v>1099</v>
      </c>
      <c r="B328" s="41" t="s">
        <v>1100</v>
      </c>
      <c r="C328" s="41" t="s">
        <v>1101</v>
      </c>
      <c r="D328" s="3" t="s">
        <v>1102</v>
      </c>
      <c r="E328" s="3" t="s">
        <v>1103</v>
      </c>
      <c r="F328" s="3" t="s">
        <v>1104</v>
      </c>
      <c r="G328" s="41" t="s">
        <v>1105</v>
      </c>
      <c r="H328" s="41" t="s">
        <v>1106</v>
      </c>
    </row>
    <row r="329" customFormat="false" ht="12.8" hidden="false" customHeight="false" outlineLevel="0" collapsed="false">
      <c r="A329" s="55" t="s">
        <v>817</v>
      </c>
      <c r="B329" s="41" t="s">
        <v>1778</v>
      </c>
      <c r="C329" s="41" t="n">
        <v>11500000000</v>
      </c>
      <c r="D329" s="3" t="s">
        <v>1779</v>
      </c>
      <c r="E329" s="3" t="s">
        <v>1780</v>
      </c>
      <c r="F329" s="3" t="s">
        <v>891</v>
      </c>
      <c r="G329" s="41" t="s">
        <v>1781</v>
      </c>
      <c r="H329" s="57" t="s">
        <v>886</v>
      </c>
    </row>
    <row r="330" customFormat="false" ht="12.8" hidden="false" customHeight="false" outlineLevel="0" collapsed="false">
      <c r="A330" s="55" t="s">
        <v>822</v>
      </c>
      <c r="B330" s="41" t="s">
        <v>1203</v>
      </c>
      <c r="C330" s="41" t="n">
        <v>0.153</v>
      </c>
      <c r="D330" s="3" t="s">
        <v>1782</v>
      </c>
      <c r="E330" s="3" t="s">
        <v>1783</v>
      </c>
      <c r="F330" s="3" t="s">
        <v>884</v>
      </c>
      <c r="G330" s="41" t="s">
        <v>1784</v>
      </c>
      <c r="H330" s="57" t="s">
        <v>886</v>
      </c>
    </row>
    <row r="331" customFormat="false" ht="12.8" hidden="false" customHeight="false" outlineLevel="0" collapsed="false">
      <c r="A331" s="55" t="s">
        <v>826</v>
      </c>
      <c r="B331" s="41" t="s">
        <v>1785</v>
      </c>
      <c r="C331" s="41" t="n">
        <v>0.153</v>
      </c>
      <c r="D331" s="3" t="s">
        <v>1786</v>
      </c>
      <c r="E331" s="3" t="s">
        <v>1787</v>
      </c>
      <c r="F331" s="3" t="s">
        <v>884</v>
      </c>
      <c r="G331" s="41" t="s">
        <v>1788</v>
      </c>
      <c r="H331" s="57" t="s">
        <v>886</v>
      </c>
    </row>
    <row r="332" customFormat="false" ht="12.8" hidden="false" customHeight="false" outlineLevel="0" collapsed="false">
      <c r="A332" s="55" t="s">
        <v>830</v>
      </c>
      <c r="B332" s="41" t="s">
        <v>1207</v>
      </c>
      <c r="C332" s="41" t="n">
        <v>0.1</v>
      </c>
      <c r="D332" s="3" t="s">
        <v>1789</v>
      </c>
      <c r="E332" s="3" t="s">
        <v>1790</v>
      </c>
      <c r="F332" s="3" t="s">
        <v>891</v>
      </c>
      <c r="G332" s="41" t="s">
        <v>1444</v>
      </c>
      <c r="H332" s="57" t="s">
        <v>886</v>
      </c>
    </row>
    <row r="333" customFormat="false" ht="12.8" hidden="false" customHeight="false" outlineLevel="0" collapsed="false">
      <c r="A333" s="55" t="s">
        <v>834</v>
      </c>
      <c r="B333" s="41" t="s">
        <v>1791</v>
      </c>
      <c r="C333" s="41" t="n">
        <v>1</v>
      </c>
      <c r="D333" s="3" t="s">
        <v>1376</v>
      </c>
      <c r="E333" s="3" t="s">
        <v>1792</v>
      </c>
      <c r="F333" s="3" t="s">
        <v>884</v>
      </c>
      <c r="G333" s="41" t="s">
        <v>1474</v>
      </c>
      <c r="H333" s="57" t="s">
        <v>886</v>
      </c>
    </row>
    <row r="334" customFormat="false" ht="12.8" hidden="false" customHeight="false" outlineLevel="0" collapsed="false">
      <c r="A334" s="55" t="s">
        <v>1793</v>
      </c>
      <c r="B334" s="41" t="s">
        <v>1794</v>
      </c>
      <c r="C334" s="41" t="n">
        <v>0.9</v>
      </c>
      <c r="D334" s="3" t="s">
        <v>1406</v>
      </c>
      <c r="E334" s="3" t="s">
        <v>1795</v>
      </c>
      <c r="F334" s="3" t="s">
        <v>891</v>
      </c>
      <c r="G334" s="41" t="s">
        <v>1478</v>
      </c>
      <c r="H334" s="57" t="s">
        <v>886</v>
      </c>
    </row>
    <row r="336" customFormat="false" ht="12.8" hidden="false" customHeight="false" outlineLevel="0" collapsed="false">
      <c r="A336" s="41" t="s">
        <v>1796</v>
      </c>
    </row>
    <row r="337" customFormat="false" ht="12.8" hidden="false" customHeight="false" outlineLevel="0" collapsed="false">
      <c r="A337" s="55" t="s">
        <v>1099</v>
      </c>
      <c r="B337" s="41" t="s">
        <v>1100</v>
      </c>
      <c r="C337" s="41" t="s">
        <v>1101</v>
      </c>
      <c r="D337" s="3" t="s">
        <v>1102</v>
      </c>
      <c r="E337" s="3" t="s">
        <v>1103</v>
      </c>
      <c r="F337" s="3" t="s">
        <v>1104</v>
      </c>
      <c r="G337" s="41" t="s">
        <v>1105</v>
      </c>
      <c r="H337" s="41" t="s">
        <v>1106</v>
      </c>
    </row>
    <row r="338" customFormat="false" ht="12.8" hidden="false" customHeight="false" outlineLevel="0" collapsed="false">
      <c r="A338" s="55" t="s">
        <v>840</v>
      </c>
      <c r="B338" s="41" t="s">
        <v>1797</v>
      </c>
      <c r="C338" s="41" t="n">
        <v>0.145</v>
      </c>
      <c r="D338" s="3" t="s">
        <v>1798</v>
      </c>
      <c r="E338" s="3" t="s">
        <v>1799</v>
      </c>
      <c r="F338" s="3" t="s">
        <v>884</v>
      </c>
      <c r="G338" s="41" t="s">
        <v>1800</v>
      </c>
      <c r="H338" s="57" t="s">
        <v>886</v>
      </c>
    </row>
    <row r="339" customFormat="false" ht="12.8" hidden="false" customHeight="false" outlineLevel="0" collapsed="false">
      <c r="A339" s="55" t="s">
        <v>845</v>
      </c>
      <c r="B339" s="41" t="s">
        <v>990</v>
      </c>
      <c r="C339" s="41" t="n">
        <v>1.45</v>
      </c>
      <c r="D339" s="3" t="s">
        <v>1801</v>
      </c>
      <c r="E339" s="3" t="s">
        <v>1802</v>
      </c>
      <c r="F339" s="3" t="s">
        <v>884</v>
      </c>
      <c r="G339" s="41" t="s">
        <v>993</v>
      </c>
      <c r="H339" s="57" t="s">
        <v>886</v>
      </c>
    </row>
    <row r="340" customFormat="false" ht="12.8" hidden="false" customHeight="false" outlineLevel="0" collapsed="false">
      <c r="A340" s="55" t="s">
        <v>849</v>
      </c>
      <c r="B340" s="41" t="s">
        <v>982</v>
      </c>
      <c r="C340" s="41" t="n">
        <v>0.2</v>
      </c>
      <c r="D340" s="3" t="s">
        <v>1803</v>
      </c>
      <c r="E340" s="3" t="s">
        <v>1804</v>
      </c>
      <c r="F340" s="3" t="s">
        <v>891</v>
      </c>
      <c r="G340" s="41" t="s">
        <v>1805</v>
      </c>
      <c r="H340" s="57" t="s">
        <v>886</v>
      </c>
    </row>
    <row r="341" customFormat="false" ht="12.8" hidden="false" customHeight="false" outlineLevel="0" collapsed="false">
      <c r="A341" s="55" t="s">
        <v>853</v>
      </c>
      <c r="B341" s="41" t="s">
        <v>1806</v>
      </c>
      <c r="C341" s="41" t="n">
        <v>0.18</v>
      </c>
      <c r="D341" s="3" t="s">
        <v>1807</v>
      </c>
      <c r="E341" s="3" t="s">
        <v>1808</v>
      </c>
      <c r="F341" s="3" t="s">
        <v>891</v>
      </c>
      <c r="G341" s="41" t="s">
        <v>1809</v>
      </c>
      <c r="H341" s="57" t="s">
        <v>886</v>
      </c>
    </row>
    <row r="342" customFormat="false" ht="12.8" hidden="false" customHeight="false" outlineLevel="0" collapsed="false">
      <c r="A342" s="55" t="s">
        <v>857</v>
      </c>
      <c r="B342" s="41" t="s">
        <v>1810</v>
      </c>
      <c r="C342" s="41" t="n">
        <v>0.6</v>
      </c>
      <c r="D342" s="3" t="s">
        <v>1811</v>
      </c>
      <c r="E342" s="3" t="s">
        <v>1812</v>
      </c>
      <c r="F342" s="3" t="s">
        <v>891</v>
      </c>
      <c r="G342" s="41" t="s">
        <v>1813</v>
      </c>
      <c r="H342" s="57" t="s">
        <v>886</v>
      </c>
    </row>
    <row r="343" customFormat="false" ht="12.8" hidden="false" customHeight="false" outlineLevel="0" collapsed="false">
      <c r="A343" s="55" t="s">
        <v>1814</v>
      </c>
      <c r="B343" s="41" t="s">
        <v>1815</v>
      </c>
      <c r="C343" s="41" t="n">
        <v>1.05</v>
      </c>
      <c r="D343" s="3" t="s">
        <v>1816</v>
      </c>
      <c r="E343" s="3" t="s">
        <v>1817</v>
      </c>
      <c r="F343" s="3" t="s">
        <v>891</v>
      </c>
      <c r="G343" s="41" t="s">
        <v>1818</v>
      </c>
      <c r="H343" s="57" t="s">
        <v>886</v>
      </c>
    </row>
    <row r="344" customFormat="false" ht="12.8" hidden="false" customHeight="false" outlineLevel="0" collapsed="false">
      <c r="A344" s="55" t="s">
        <v>1819</v>
      </c>
      <c r="B344" s="41" t="s">
        <v>1820</v>
      </c>
      <c r="C344" s="41" t="n">
        <v>0.08</v>
      </c>
      <c r="D344" s="3" t="s">
        <v>1376</v>
      </c>
      <c r="E344" s="3" t="s">
        <v>1821</v>
      </c>
      <c r="F344" s="3" t="s">
        <v>884</v>
      </c>
      <c r="G344" s="41" t="s">
        <v>1525</v>
      </c>
      <c r="H344" s="57" t="s">
        <v>886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false" hidden="false" outlineLevel="0" max="1" min="1" style="56" width="11.53"/>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5" t="s">
        <v>878</v>
      </c>
      <c r="B1" s="41" t="s">
        <v>1822</v>
      </c>
    </row>
    <row r="2" customFormat="false" ht="12.8" hidden="false" customHeight="false" outlineLevel="0" collapsed="false">
      <c r="A2" s="56" t="s">
        <v>862</v>
      </c>
      <c r="B2" s="3" t="s">
        <v>864</v>
      </c>
      <c r="C2" s="3" t="s">
        <v>1101</v>
      </c>
      <c r="D2" s="3" t="s">
        <v>866</v>
      </c>
      <c r="E2" s="3" t="s">
        <v>1823</v>
      </c>
      <c r="F2" s="3" t="s">
        <v>1824</v>
      </c>
      <c r="G2" s="3" t="s">
        <v>1825</v>
      </c>
    </row>
    <row r="3" customFormat="false" ht="12.8" hidden="false" customHeight="false" outlineLevel="0" collapsed="false">
      <c r="A3" s="56" t="s">
        <v>1107</v>
      </c>
      <c r="B3" s="3" t="s">
        <v>881</v>
      </c>
      <c r="C3" s="3" t="n">
        <v>2211200</v>
      </c>
      <c r="D3" s="3" t="s">
        <v>1826</v>
      </c>
      <c r="E3" s="3" t="s">
        <v>884</v>
      </c>
      <c r="F3" s="3" t="s">
        <v>967</v>
      </c>
      <c r="G3" s="57" t="s">
        <v>886</v>
      </c>
    </row>
    <row r="4" customFormat="false" ht="12.8" hidden="false" customHeight="false" outlineLevel="0" collapsed="false">
      <c r="A4" s="56" t="s">
        <v>1108</v>
      </c>
      <c r="B4" s="3" t="s">
        <v>888</v>
      </c>
      <c r="C4" s="3" t="n">
        <v>33000</v>
      </c>
      <c r="D4" s="3" t="s">
        <v>1827</v>
      </c>
      <c r="E4" s="3" t="s">
        <v>891</v>
      </c>
      <c r="F4" s="3" t="s">
        <v>1828</v>
      </c>
      <c r="G4" s="57" t="s">
        <v>886</v>
      </c>
    </row>
    <row r="5" customFormat="false" ht="12.8" hidden="false" customHeight="false" outlineLevel="0" collapsed="false">
      <c r="A5" s="56" t="s">
        <v>1109</v>
      </c>
      <c r="B5" s="3" t="s">
        <v>894</v>
      </c>
      <c r="C5" s="3" t="n">
        <v>115300</v>
      </c>
      <c r="D5" s="3" t="s">
        <v>1829</v>
      </c>
      <c r="E5" s="3" t="s">
        <v>884</v>
      </c>
      <c r="F5" s="3" t="s">
        <v>1830</v>
      </c>
      <c r="G5" s="57" t="s">
        <v>886</v>
      </c>
    </row>
    <row r="6" customFormat="false" ht="12.8" hidden="false" customHeight="false" outlineLevel="0" collapsed="false">
      <c r="A6" s="56" t="s">
        <v>1110</v>
      </c>
      <c r="B6" s="3" t="s">
        <v>899</v>
      </c>
      <c r="C6" s="3" t="n">
        <v>289200</v>
      </c>
      <c r="D6" s="3" t="s">
        <v>1831</v>
      </c>
      <c r="E6" s="3" t="s">
        <v>884</v>
      </c>
      <c r="F6" s="3" t="s">
        <v>1830</v>
      </c>
      <c r="G6" s="57" t="s">
        <v>886</v>
      </c>
    </row>
    <row r="7" customFormat="false" ht="12.8" hidden="false" customHeight="false" outlineLevel="0" collapsed="false">
      <c r="A7" s="56" t="s">
        <v>1111</v>
      </c>
      <c r="B7" s="3" t="s">
        <v>902</v>
      </c>
      <c r="C7" s="3" t="n">
        <v>409900</v>
      </c>
      <c r="D7" s="3" t="s">
        <v>1832</v>
      </c>
      <c r="E7" s="3" t="s">
        <v>884</v>
      </c>
      <c r="F7" s="3" t="s">
        <v>1830</v>
      </c>
      <c r="G7" s="57" t="s">
        <v>886</v>
      </c>
    </row>
    <row r="8" customFormat="false" ht="12.8" hidden="false" customHeight="false" outlineLevel="0" collapsed="false">
      <c r="A8" s="56" t="s">
        <v>1112</v>
      </c>
      <c r="B8" s="3" t="s">
        <v>905</v>
      </c>
      <c r="C8" s="3" t="n">
        <v>23200</v>
      </c>
      <c r="D8" s="3" t="s">
        <v>1833</v>
      </c>
      <c r="E8" s="3" t="s">
        <v>884</v>
      </c>
      <c r="F8" s="3" t="s">
        <v>1830</v>
      </c>
      <c r="G8" s="57" t="s">
        <v>886</v>
      </c>
    </row>
    <row r="9" customFormat="false" ht="12.8" hidden="false" customHeight="false" outlineLevel="0" collapsed="false">
      <c r="A9" s="56" t="s">
        <v>1113</v>
      </c>
      <c r="B9" s="3" t="s">
        <v>908</v>
      </c>
      <c r="C9" s="3" t="n">
        <v>101800</v>
      </c>
      <c r="D9" s="3" t="s">
        <v>1834</v>
      </c>
      <c r="E9" s="3" t="s">
        <v>884</v>
      </c>
      <c r="F9" s="3" t="s">
        <v>1830</v>
      </c>
      <c r="G9" s="57" t="s">
        <v>886</v>
      </c>
    </row>
    <row r="10" customFormat="false" ht="12.8" hidden="false" customHeight="false" outlineLevel="0" collapsed="false">
      <c r="A10" s="56" t="s">
        <v>1114</v>
      </c>
      <c r="B10" s="3" t="s">
        <v>911</v>
      </c>
      <c r="C10" s="3" t="n">
        <v>261400</v>
      </c>
      <c r="D10" s="3" t="s">
        <v>1835</v>
      </c>
      <c r="E10" s="3" t="s">
        <v>884</v>
      </c>
      <c r="F10" s="3" t="s">
        <v>1830</v>
      </c>
      <c r="G10" s="57" t="s">
        <v>886</v>
      </c>
    </row>
    <row r="11" customFormat="false" ht="12.8" hidden="false" customHeight="false" outlineLevel="0" collapsed="false">
      <c r="A11" s="56" t="s">
        <v>1115</v>
      </c>
      <c r="B11" s="3" t="s">
        <v>914</v>
      </c>
      <c r="C11" s="3" t="n">
        <v>275700</v>
      </c>
      <c r="D11" s="3" t="s">
        <v>1836</v>
      </c>
      <c r="E11" s="3" t="s">
        <v>884</v>
      </c>
      <c r="F11" s="3" t="s">
        <v>1830</v>
      </c>
      <c r="G11" s="57" t="s">
        <v>886</v>
      </c>
    </row>
    <row r="12" customFormat="false" ht="12.8" hidden="false" customHeight="false" outlineLevel="0" collapsed="false">
      <c r="A12" s="56" t="s">
        <v>1116</v>
      </c>
      <c r="B12" s="3" t="s">
        <v>917</v>
      </c>
      <c r="C12" s="3" t="n">
        <v>218500</v>
      </c>
      <c r="D12" s="3" t="s">
        <v>1837</v>
      </c>
      <c r="E12" s="3" t="s">
        <v>884</v>
      </c>
      <c r="F12" s="3" t="s">
        <v>1830</v>
      </c>
      <c r="G12" s="57" t="s">
        <v>886</v>
      </c>
    </row>
    <row r="13" customFormat="false" ht="12.8" hidden="false" customHeight="false" outlineLevel="0" collapsed="false">
      <c r="A13" s="56" t="s">
        <v>1117</v>
      </c>
      <c r="B13" s="3" t="s">
        <v>1838</v>
      </c>
      <c r="C13" s="3" t="n">
        <v>48000</v>
      </c>
      <c r="D13" s="3" t="s">
        <v>1839</v>
      </c>
      <c r="E13" s="3" t="s">
        <v>891</v>
      </c>
      <c r="F13" s="3" t="s">
        <v>1840</v>
      </c>
      <c r="G13" s="57" t="s">
        <v>886</v>
      </c>
    </row>
    <row r="14" customFormat="false" ht="12.8" hidden="false" customHeight="false" outlineLevel="0" collapsed="false">
      <c r="A14" s="56" t="s">
        <v>1118</v>
      </c>
      <c r="B14" s="3" t="s">
        <v>1841</v>
      </c>
      <c r="C14" s="3" t="n">
        <v>5000</v>
      </c>
      <c r="D14" s="3" t="s">
        <v>1842</v>
      </c>
      <c r="E14" s="3" t="s">
        <v>884</v>
      </c>
      <c r="F14" s="3" t="s">
        <v>1843</v>
      </c>
      <c r="G14" s="57" t="s">
        <v>886</v>
      </c>
    </row>
    <row r="15" customFormat="false" ht="12.8" hidden="false" customHeight="false" outlineLevel="0" collapsed="false">
      <c r="A15" s="56" t="s">
        <v>1119</v>
      </c>
      <c r="B15" s="3" t="s">
        <v>1844</v>
      </c>
      <c r="C15" s="3" t="n">
        <v>1</v>
      </c>
      <c r="D15" s="3" t="s">
        <v>1845</v>
      </c>
      <c r="E15" s="3" t="s">
        <v>884</v>
      </c>
      <c r="F15" s="3" t="s">
        <v>1846</v>
      </c>
      <c r="G15" s="57" t="s">
        <v>886</v>
      </c>
    </row>
    <row r="16" customFormat="false" ht="12.8" hidden="false" customHeight="false" outlineLevel="0" collapsed="false">
      <c r="A16" s="56" t="s">
        <v>1120</v>
      </c>
      <c r="B16" s="3" t="s">
        <v>1847</v>
      </c>
      <c r="C16" s="3" t="n">
        <v>4126524</v>
      </c>
      <c r="D16" s="3" t="s">
        <v>1848</v>
      </c>
      <c r="E16" s="3" t="s">
        <v>884</v>
      </c>
      <c r="F16" s="3" t="s">
        <v>1849</v>
      </c>
      <c r="G16" s="57" t="s">
        <v>886</v>
      </c>
    </row>
    <row r="17" customFormat="false" ht="12.8" hidden="false" customHeight="false" outlineLevel="0" collapsed="false">
      <c r="A17" s="56" t="s">
        <v>1121</v>
      </c>
      <c r="B17" s="3" t="s">
        <v>1850</v>
      </c>
      <c r="C17" s="3" t="n">
        <v>150000</v>
      </c>
      <c r="D17" s="3" t="s">
        <v>1851</v>
      </c>
      <c r="E17" s="3" t="s">
        <v>891</v>
      </c>
      <c r="F17" s="3" t="s">
        <v>1852</v>
      </c>
      <c r="G17" s="57" t="s">
        <v>886</v>
      </c>
    </row>
    <row r="18" customFormat="false" ht="12.8" hidden="false" customHeight="false" outlineLevel="0" collapsed="false">
      <c r="A18" s="56" t="s">
        <v>1122</v>
      </c>
      <c r="B18" s="3" t="s">
        <v>1853</v>
      </c>
      <c r="C18" s="3" t="n">
        <v>80000</v>
      </c>
      <c r="D18" s="3" t="s">
        <v>1854</v>
      </c>
      <c r="E18" s="3" t="s">
        <v>891</v>
      </c>
      <c r="F18" s="3" t="s">
        <v>1855</v>
      </c>
      <c r="G18" s="57" t="s">
        <v>886</v>
      </c>
    </row>
    <row r="19" customFormat="false" ht="12.8" hidden="false" customHeight="false" outlineLevel="0" collapsed="false">
      <c r="A19" s="56" t="s">
        <v>1123</v>
      </c>
      <c r="B19" s="3" t="s">
        <v>1856</v>
      </c>
      <c r="C19" s="3" t="n">
        <v>3896524</v>
      </c>
      <c r="D19" s="3" t="s">
        <v>1857</v>
      </c>
      <c r="E19" s="3" t="s">
        <v>884</v>
      </c>
      <c r="F19" s="3" t="s">
        <v>1858</v>
      </c>
      <c r="G19" s="57" t="s">
        <v>886</v>
      </c>
    </row>
    <row r="20" customFormat="false" ht="12.8" hidden="false" customHeight="false" outlineLevel="0" collapsed="false">
      <c r="A20" s="56" t="s">
        <v>1124</v>
      </c>
      <c r="B20" s="3" t="s">
        <v>1859</v>
      </c>
      <c r="C20" s="3" t="n">
        <v>0.56152</v>
      </c>
      <c r="D20" s="3" t="s">
        <v>1860</v>
      </c>
      <c r="E20" s="3" t="s">
        <v>884</v>
      </c>
      <c r="F20" s="3" t="s">
        <v>1861</v>
      </c>
      <c r="G20" s="57" t="s">
        <v>886</v>
      </c>
    </row>
    <row r="21" customFormat="false" ht="12.8" hidden="false" customHeight="false" outlineLevel="0" collapsed="false">
      <c r="A21" s="56" t="s">
        <v>1125</v>
      </c>
      <c r="B21" s="3" t="s">
        <v>1305</v>
      </c>
      <c r="C21" s="3" t="n">
        <v>0.915</v>
      </c>
      <c r="D21" s="3" t="s">
        <v>1862</v>
      </c>
      <c r="E21" s="3" t="s">
        <v>891</v>
      </c>
      <c r="F21" s="3" t="s">
        <v>1863</v>
      </c>
      <c r="G21" s="57" t="s">
        <v>886</v>
      </c>
    </row>
    <row r="22" customFormat="false" ht="12.8" hidden="false" customHeight="false" outlineLevel="0" collapsed="false">
      <c r="A22" s="56" t="s">
        <v>1126</v>
      </c>
      <c r="B22" s="3" t="s">
        <v>1302</v>
      </c>
      <c r="C22" s="3" t="n">
        <v>1.044</v>
      </c>
      <c r="D22" s="3" t="s">
        <v>1864</v>
      </c>
      <c r="E22" s="3" t="s">
        <v>891</v>
      </c>
      <c r="F22" s="3" t="s">
        <v>1865</v>
      </c>
      <c r="G22" s="57" t="s">
        <v>886</v>
      </c>
    </row>
    <row r="23" customFormat="false" ht="12.8" hidden="false" customHeight="false" outlineLevel="0" collapsed="false">
      <c r="A23" s="56" t="s">
        <v>1127</v>
      </c>
      <c r="B23" s="3" t="s">
        <v>1866</v>
      </c>
      <c r="C23" s="3" t="n">
        <v>0.56152</v>
      </c>
      <c r="D23" s="3" t="s">
        <v>1867</v>
      </c>
      <c r="E23" s="3" t="s">
        <v>884</v>
      </c>
      <c r="F23" s="3" t="s">
        <v>1868</v>
      </c>
      <c r="G23" s="57" t="s">
        <v>886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N2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3" activeCellId="0" sqref="B3"/>
    </sheetView>
  </sheetViews>
  <sheetFormatPr defaultColWidth="11.53515625" defaultRowHeight="12.8" customHeight="false" zeroHeight="false" outlineLevelRow="0" outlineLevelCol="0"/>
  <cols>
    <col collapsed="false" customWidth="false" hidden="false" outlineLevel="0" max="1" min="1" style="55" width="11.53"/>
    <col collapsed="false" customWidth="true" hidden="false" outlineLevel="0" max="2" min="2" style="41" width="43.82"/>
    <col collapsed="false" customWidth="true" hidden="false" outlineLevel="0" max="3" min="3" style="41" width="14.55"/>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1869</v>
      </c>
      <c r="B1" s="53" t="s">
        <v>7</v>
      </c>
      <c r="C1" s="6" t="s">
        <v>2</v>
      </c>
      <c r="D1" s="44"/>
      <c r="E1" s="44"/>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row>
    <row r="2" customFormat="false" ht="12.8" hidden="false" customHeight="false" outlineLevel="0" collapsed="false">
      <c r="A2" s="5" t="s">
        <v>1870</v>
      </c>
      <c r="B2" s="5"/>
      <c r="C2" s="5" t="s">
        <v>1871</v>
      </c>
      <c r="D2" s="5"/>
      <c r="E2" s="5"/>
      <c r="F2" s="5"/>
      <c r="G2" s="5" t="s">
        <v>1872</v>
      </c>
      <c r="H2" s="5"/>
      <c r="I2" s="5"/>
      <c r="J2" s="5"/>
      <c r="K2" s="5" t="s">
        <v>1873</v>
      </c>
      <c r="L2" s="5"/>
      <c r="M2" s="5"/>
      <c r="N2" s="5"/>
      <c r="O2" s="5" t="s">
        <v>1874</v>
      </c>
      <c r="P2" s="5"/>
      <c r="Q2" s="5"/>
      <c r="R2" s="5"/>
      <c r="S2" s="5" t="s">
        <v>1875</v>
      </c>
      <c r="T2" s="5"/>
      <c r="U2" s="5"/>
      <c r="V2" s="5"/>
      <c r="W2" s="5" t="s">
        <v>1876</v>
      </c>
      <c r="X2" s="5"/>
      <c r="Y2" s="5"/>
      <c r="Z2" s="5" t="s">
        <v>1877</v>
      </c>
      <c r="AA2" s="5"/>
      <c r="AB2" s="5"/>
      <c r="AC2" s="5" t="s">
        <v>1878</v>
      </c>
      <c r="AD2" s="5"/>
      <c r="AE2" s="5"/>
      <c r="AF2" s="5" t="s">
        <v>1879</v>
      </c>
      <c r="AG2" s="5"/>
      <c r="AH2" s="5"/>
      <c r="AI2" s="5" t="s">
        <v>1880</v>
      </c>
      <c r="AJ2" s="5"/>
      <c r="AK2" s="5"/>
      <c r="AL2" s="5" t="s">
        <v>1881</v>
      </c>
      <c r="AM2" s="5"/>
      <c r="AN2" s="5"/>
      <c r="AO2" s="5" t="s">
        <v>1882</v>
      </c>
      <c r="AP2" s="5"/>
      <c r="AQ2" s="5"/>
      <c r="AR2" s="5" t="s">
        <v>1883</v>
      </c>
      <c r="AS2" s="5"/>
      <c r="AT2" s="5"/>
      <c r="AU2" s="5" t="s">
        <v>1884</v>
      </c>
      <c r="AV2" s="5"/>
      <c r="AW2" s="5"/>
      <c r="AX2" s="5"/>
      <c r="AY2" s="5" t="s">
        <v>1885</v>
      </c>
      <c r="AZ2" s="5"/>
      <c r="BA2" s="5"/>
      <c r="BB2" s="5"/>
      <c r="BC2" s="5" t="s">
        <v>1886</v>
      </c>
      <c r="BD2" s="5"/>
      <c r="BE2" s="5"/>
      <c r="BF2" s="5"/>
      <c r="BG2" s="5" t="s">
        <v>1887</v>
      </c>
      <c r="BH2" s="5"/>
      <c r="BI2" s="5"/>
      <c r="BJ2" s="5"/>
      <c r="BK2" s="5" t="s">
        <v>1888</v>
      </c>
      <c r="BL2" s="5"/>
      <c r="BM2" s="5"/>
      <c r="BN2" s="5"/>
      <c r="BO2" s="60" t="s">
        <v>1889</v>
      </c>
      <c r="BP2" s="60"/>
      <c r="BQ2" s="60"/>
      <c r="BR2" s="60"/>
      <c r="BS2" s="60" t="s">
        <v>1890</v>
      </c>
      <c r="BT2" s="60"/>
      <c r="BU2" s="60"/>
      <c r="BV2" s="60"/>
      <c r="BW2" s="60"/>
      <c r="BX2" s="60"/>
      <c r="BY2" s="60" t="s">
        <v>1891</v>
      </c>
      <c r="BZ2" s="60"/>
      <c r="CA2" s="60"/>
      <c r="CB2" s="60"/>
      <c r="CC2" s="60" t="s">
        <v>1892</v>
      </c>
      <c r="CD2" s="60"/>
      <c r="CE2" s="60"/>
      <c r="CF2" s="60"/>
      <c r="CG2" s="60" t="s">
        <v>1893</v>
      </c>
      <c r="CH2" s="60"/>
      <c r="CI2" s="60"/>
      <c r="CJ2" s="60"/>
      <c r="CK2" s="60"/>
      <c r="CL2" s="60"/>
      <c r="CM2" s="60" t="s">
        <v>1894</v>
      </c>
      <c r="CN2" s="60"/>
      <c r="CO2" s="60"/>
      <c r="CP2" s="60"/>
      <c r="CQ2" s="60" t="s">
        <v>1895</v>
      </c>
      <c r="CR2" s="60"/>
      <c r="CS2" s="60"/>
      <c r="CT2" s="60"/>
      <c r="CU2" s="60" t="s">
        <v>1896</v>
      </c>
      <c r="CV2" s="60"/>
      <c r="CW2" s="60"/>
      <c r="CX2" s="60"/>
      <c r="CY2" s="60" t="s">
        <v>1897</v>
      </c>
      <c r="CZ2" s="60"/>
      <c r="DA2" s="60"/>
      <c r="DB2" s="60"/>
      <c r="DC2" s="60" t="s">
        <v>1898</v>
      </c>
      <c r="DD2" s="60"/>
      <c r="DE2" s="60"/>
      <c r="DF2" s="60"/>
      <c r="DG2" s="60" t="s">
        <v>1899</v>
      </c>
      <c r="DH2" s="60"/>
      <c r="DI2" s="60"/>
      <c r="DJ2" s="60"/>
      <c r="DK2" s="60"/>
      <c r="DL2" s="60"/>
      <c r="DM2" s="60"/>
      <c r="DN2" s="60"/>
    </row>
    <row r="3" customFormat="false" ht="12.8" hidden="false" customHeight="false" outlineLevel="0" collapsed="false">
      <c r="A3" s="55" t="s">
        <v>1900</v>
      </c>
      <c r="B3" s="41" t="s">
        <v>1901</v>
      </c>
      <c r="C3" s="41" t="s">
        <v>33</v>
      </c>
      <c r="D3" s="41" t="s">
        <v>1902</v>
      </c>
      <c r="E3" s="41" t="s">
        <v>1903</v>
      </c>
      <c r="F3" s="41" t="s">
        <v>325</v>
      </c>
      <c r="G3" s="41" t="s">
        <v>36</v>
      </c>
      <c r="H3" s="41" t="s">
        <v>342</v>
      </c>
      <c r="I3" s="41" t="s">
        <v>346</v>
      </c>
      <c r="J3" s="41" t="s">
        <v>351</v>
      </c>
      <c r="K3" s="41" t="s">
        <v>1873</v>
      </c>
      <c r="L3" s="41" t="s">
        <v>1904</v>
      </c>
      <c r="M3" s="41" t="s">
        <v>1905</v>
      </c>
      <c r="N3" s="41" t="s">
        <v>1906</v>
      </c>
      <c r="O3" s="41" t="s">
        <v>42</v>
      </c>
      <c r="P3" s="41" t="s">
        <v>389</v>
      </c>
      <c r="Q3" s="41" t="s">
        <v>394</v>
      </c>
      <c r="R3" s="41" t="s">
        <v>399</v>
      </c>
      <c r="S3" s="41" t="s">
        <v>45</v>
      </c>
      <c r="T3" s="41" t="s">
        <v>415</v>
      </c>
      <c r="U3" s="41" t="s">
        <v>419</v>
      </c>
      <c r="V3" s="41" t="s">
        <v>423</v>
      </c>
      <c r="W3" s="41" t="s">
        <v>1907</v>
      </c>
      <c r="X3" s="41" t="s">
        <v>1908</v>
      </c>
      <c r="Y3" s="41" t="s">
        <v>1909</v>
      </c>
      <c r="Z3" s="41" t="s">
        <v>1910</v>
      </c>
      <c r="AA3" s="41" t="s">
        <v>1911</v>
      </c>
      <c r="AB3" s="41" t="s">
        <v>1912</v>
      </c>
      <c r="AC3" s="41" t="s">
        <v>1913</v>
      </c>
      <c r="AD3" s="41" t="s">
        <v>1914</v>
      </c>
      <c r="AE3" s="41" t="s">
        <v>1915</v>
      </c>
      <c r="AF3" s="41" t="s">
        <v>1916</v>
      </c>
      <c r="AG3" s="41" t="s">
        <v>1917</v>
      </c>
      <c r="AH3" s="41" t="s">
        <v>1918</v>
      </c>
      <c r="AI3" s="41" t="s">
        <v>1919</v>
      </c>
      <c r="AJ3" s="41" t="s">
        <v>1920</v>
      </c>
      <c r="AK3" s="41" t="s">
        <v>1921</v>
      </c>
      <c r="AL3" s="41" t="s">
        <v>1922</v>
      </c>
      <c r="AM3" s="41" t="s">
        <v>1923</v>
      </c>
      <c r="AN3" s="41" t="s">
        <v>1924</v>
      </c>
      <c r="AO3" s="41" t="s">
        <v>1925</v>
      </c>
      <c r="AP3" s="41" t="s">
        <v>1926</v>
      </c>
      <c r="AQ3" s="41" t="s">
        <v>1927</v>
      </c>
      <c r="AR3" s="41" t="s">
        <v>1928</v>
      </c>
      <c r="AS3" s="41" t="s">
        <v>1929</v>
      </c>
      <c r="AT3" s="41" t="s">
        <v>1930</v>
      </c>
      <c r="AU3" s="41" t="s">
        <v>1931</v>
      </c>
      <c r="AV3" s="41" t="s">
        <v>1932</v>
      </c>
      <c r="AW3" s="41" t="s">
        <v>1933</v>
      </c>
      <c r="AX3" s="41" t="s">
        <v>1934</v>
      </c>
      <c r="AY3" s="41" t="s">
        <v>1935</v>
      </c>
      <c r="AZ3" s="41" t="s">
        <v>1936</v>
      </c>
      <c r="BA3" s="41" t="s">
        <v>1937</v>
      </c>
      <c r="BB3" s="41" t="s">
        <v>1938</v>
      </c>
      <c r="BC3" s="41" t="s">
        <v>1939</v>
      </c>
      <c r="BD3" s="41" t="s">
        <v>1940</v>
      </c>
      <c r="BE3" s="41" t="s">
        <v>1941</v>
      </c>
      <c r="BF3" s="41" t="s">
        <v>544</v>
      </c>
      <c r="BG3" s="41" t="s">
        <v>1942</v>
      </c>
      <c r="BH3" s="41" t="s">
        <v>559</v>
      </c>
      <c r="BI3" s="41" t="s">
        <v>564</v>
      </c>
      <c r="BJ3" s="41" t="s">
        <v>1943</v>
      </c>
      <c r="BK3" s="41" t="s">
        <v>1944</v>
      </c>
      <c r="BL3" s="41" t="s">
        <v>583</v>
      </c>
      <c r="BM3" s="41" t="s">
        <v>588</v>
      </c>
      <c r="BN3" s="41" t="s">
        <v>1945</v>
      </c>
      <c r="BO3" s="41" t="s">
        <v>69</v>
      </c>
      <c r="BP3" s="41" t="s">
        <v>607</v>
      </c>
      <c r="BQ3" s="41" t="s">
        <v>612</v>
      </c>
      <c r="BR3" s="41" t="s">
        <v>617</v>
      </c>
      <c r="BS3" s="41" t="s">
        <v>72</v>
      </c>
      <c r="BT3" s="41" t="s">
        <v>1946</v>
      </c>
      <c r="BU3" s="41" t="s">
        <v>1947</v>
      </c>
      <c r="BV3" s="41" t="s">
        <v>1948</v>
      </c>
      <c r="BW3" s="41" t="s">
        <v>1949</v>
      </c>
      <c r="BX3" s="41" t="s">
        <v>1950</v>
      </c>
      <c r="BY3" s="41" t="s">
        <v>75</v>
      </c>
      <c r="BZ3" s="41" t="s">
        <v>656</v>
      </c>
      <c r="CA3" s="41" t="s">
        <v>660</v>
      </c>
      <c r="CB3" s="41" t="s">
        <v>664</v>
      </c>
      <c r="CC3" s="41" t="s">
        <v>78</v>
      </c>
      <c r="CD3" s="41" t="s">
        <v>679</v>
      </c>
      <c r="CE3" s="41" t="s">
        <v>684</v>
      </c>
      <c r="CF3" s="41" t="s">
        <v>689</v>
      </c>
      <c r="CG3" s="41" t="s">
        <v>1951</v>
      </c>
      <c r="CH3" s="41" t="s">
        <v>705</v>
      </c>
      <c r="CI3" s="41" t="s">
        <v>709</v>
      </c>
      <c r="CJ3" s="41" t="s">
        <v>713</v>
      </c>
      <c r="CK3" s="41" t="s">
        <v>1952</v>
      </c>
      <c r="CL3" s="41" t="s">
        <v>1953</v>
      </c>
      <c r="CM3" s="41" t="s">
        <v>84</v>
      </c>
      <c r="CN3" s="41" t="s">
        <v>728</v>
      </c>
      <c r="CO3" s="41" t="s">
        <v>732</v>
      </c>
      <c r="CP3" s="41" t="s">
        <v>736</v>
      </c>
      <c r="CQ3" s="41" t="s">
        <v>1954</v>
      </c>
      <c r="CR3" s="41" t="s">
        <v>751</v>
      </c>
      <c r="CS3" s="41" t="s">
        <v>756</v>
      </c>
      <c r="CT3" s="41" t="s">
        <v>761</v>
      </c>
      <c r="CU3" s="41" t="s">
        <v>1955</v>
      </c>
      <c r="CV3" s="41" t="s">
        <v>1956</v>
      </c>
      <c r="CW3" s="41" t="s">
        <v>1957</v>
      </c>
      <c r="CX3" s="41" t="s">
        <v>1958</v>
      </c>
      <c r="CY3" s="41" t="s">
        <v>1959</v>
      </c>
      <c r="CZ3" s="41" t="s">
        <v>800</v>
      </c>
      <c r="DA3" s="41" t="s">
        <v>804</v>
      </c>
      <c r="DB3" s="41" t="s">
        <v>808</v>
      </c>
      <c r="DC3" s="41" t="s">
        <v>1960</v>
      </c>
      <c r="DD3" s="41" t="s">
        <v>823</v>
      </c>
      <c r="DE3" s="41" t="s">
        <v>827</v>
      </c>
      <c r="DF3" s="41" t="s">
        <v>831</v>
      </c>
      <c r="DG3" s="41" t="s">
        <v>99</v>
      </c>
      <c r="DH3" s="41" t="s">
        <v>846</v>
      </c>
      <c r="DI3" s="41" t="s">
        <v>850</v>
      </c>
      <c r="DJ3" s="41" t="s">
        <v>854</v>
      </c>
    </row>
    <row r="4" customFormat="false" ht="12.8" hidden="false" customHeight="false" outlineLevel="0" collapsed="false">
      <c r="A4" s="55" t="s">
        <v>1900</v>
      </c>
      <c r="B4" s="41" t="s">
        <v>1901</v>
      </c>
    </row>
    <row r="5" customFormat="false" ht="12.8" hidden="false" customHeight="false" outlineLevel="0" collapsed="false">
      <c r="A5" s="55" t="n">
        <v>0</v>
      </c>
      <c r="B5" s="41" t="s">
        <v>1961</v>
      </c>
    </row>
    <row r="6" customFormat="false" ht="12.8" hidden="false" customHeight="false" outlineLevel="0" collapsed="false">
      <c r="A6" s="55" t="n">
        <v>1</v>
      </c>
      <c r="B6" s="41" t="s">
        <v>1962</v>
      </c>
    </row>
    <row r="7" customFormat="false" ht="12.8" hidden="false" customHeight="false" outlineLevel="0" collapsed="false">
      <c r="A7" s="55" t="n">
        <v>2</v>
      </c>
      <c r="B7" s="41" t="s">
        <v>1963</v>
      </c>
    </row>
    <row r="8" customFormat="false" ht="12.8" hidden="false" customHeight="false" outlineLevel="0" collapsed="false">
      <c r="A8" s="3" t="n">
        <v>3</v>
      </c>
      <c r="B8" s="3" t="s">
        <v>1964</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BD8" s="3"/>
      <c r="BE8" s="3"/>
      <c r="BF8" s="3"/>
      <c r="BG8" s="3"/>
      <c r="BH8" s="3"/>
      <c r="BI8" s="3"/>
      <c r="BJ8" s="3"/>
      <c r="BK8" s="3"/>
      <c r="BL8" s="3"/>
      <c r="BM8" s="3"/>
      <c r="BN8" s="3"/>
      <c r="BO8" s="3"/>
    </row>
    <row r="9" customFormat="false" ht="12.8" hidden="false" customHeight="false" outlineLevel="0" collapsed="false">
      <c r="A9" s="3" t="n">
        <v>4</v>
      </c>
      <c r="B9" s="3" t="s">
        <v>1965</v>
      </c>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BD9" s="3"/>
      <c r="BE9" s="3"/>
      <c r="BF9" s="3"/>
      <c r="BG9" s="3"/>
      <c r="BH9" s="3"/>
      <c r="BI9" s="3"/>
      <c r="BJ9" s="3"/>
      <c r="BK9" s="3"/>
      <c r="BL9" s="3"/>
      <c r="BM9" s="3"/>
      <c r="BN9" s="3"/>
      <c r="BO9" s="3"/>
    </row>
    <row r="10" customFormat="false" ht="12.8" hidden="false" customHeight="false" outlineLevel="0" collapsed="false">
      <c r="A10" s="3" t="n">
        <v>5</v>
      </c>
      <c r="B10" s="3" t="s">
        <v>1966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BD10" s="3"/>
      <c r="BE10" s="3"/>
      <c r="BF10" s="3"/>
      <c r="BG10" s="3"/>
      <c r="BH10" s="3"/>
      <c r="BI10" s="3"/>
      <c r="BJ10" s="3"/>
      <c r="BK10" s="3"/>
      <c r="BL10" s="3"/>
      <c r="BM10" s="3"/>
      <c r="BN10" s="3"/>
      <c r="BO10" s="3"/>
    </row>
    <row r="11" customFormat="false" ht="12.8" hidden="false" customHeight="false" outlineLevel="0" collapsed="false">
      <c r="A11" s="3" t="n">
        <v>6</v>
      </c>
      <c r="B11" s="3" t="s">
        <v>1967</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3" t="n">
        <v>7</v>
      </c>
      <c r="B12" s="3" t="s">
        <v>1968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BD12" s="3"/>
      <c r="BE12" s="3"/>
      <c r="BF12" s="3"/>
      <c r="BG12" s="3"/>
      <c r="BH12" s="3"/>
      <c r="BI12" s="3"/>
      <c r="BJ12" s="3"/>
      <c r="BK12" s="3"/>
      <c r="BL12" s="3"/>
      <c r="BM12" s="3"/>
      <c r="BN12" s="3"/>
      <c r="BO12" s="3"/>
    </row>
    <row r="13" customFormat="false" ht="12.8" hidden="false" customHeight="false" outlineLevel="0" collapsed="false">
      <c r="A13" s="3" t="n">
        <v>8</v>
      </c>
      <c r="B13" s="3" t="s">
        <v>1969</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BD13" s="3"/>
      <c r="BE13" s="3"/>
      <c r="BF13" s="3"/>
      <c r="BG13" s="3"/>
      <c r="BH13" s="3"/>
      <c r="BI13" s="3"/>
      <c r="BJ13" s="3"/>
      <c r="BK13" s="3"/>
      <c r="BL13" s="3"/>
      <c r="BM13" s="3"/>
      <c r="BN13" s="3"/>
      <c r="BO13" s="3"/>
    </row>
    <row r="14" customFormat="false" ht="12.8" hidden="false" customHeight="false" outlineLevel="0" collapsed="false">
      <c r="A14" s="3" t="n">
        <v>9</v>
      </c>
      <c r="B14" s="3" t="s">
        <v>1970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3" t="n">
        <v>10</v>
      </c>
      <c r="B15" s="3" t="s">
        <v>1971</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3" t="n">
        <v>11</v>
      </c>
      <c r="B16" s="3" t="s">
        <v>1972</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3" t="n">
        <v>12</v>
      </c>
      <c r="B17" s="3" t="s">
        <v>1973</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3" t="n">
        <v>13</v>
      </c>
      <c r="B18" s="3" t="s">
        <v>1974</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BD18" s="3"/>
      <c r="BE18" s="3"/>
      <c r="BF18" s="3"/>
      <c r="BG18" s="3"/>
      <c r="BH18" s="3"/>
      <c r="BI18" s="3"/>
      <c r="BJ18" s="3"/>
      <c r="BK18" s="3"/>
      <c r="BL18" s="3"/>
      <c r="BM18" s="3"/>
      <c r="BN18" s="3"/>
      <c r="BO18" s="3"/>
    </row>
    <row r="19" customFormat="false" ht="12.8" hidden="false" customHeight="false" outlineLevel="0" collapsed="false">
      <c r="A19" s="55" t="n">
        <v>14</v>
      </c>
      <c r="B19" s="41" t="s">
        <v>1975</v>
      </c>
    </row>
    <row r="20" customFormat="false" ht="12.8" hidden="false" customHeight="false" outlineLevel="0" collapsed="false">
      <c r="A20" s="55" t="n">
        <v>15</v>
      </c>
      <c r="B20" s="41" t="s">
        <v>1976</v>
      </c>
    </row>
    <row r="21" customFormat="false" ht="12.8" hidden="false" customHeight="false" outlineLevel="0" collapsed="false">
      <c r="A21" s="55" t="n">
        <v>16</v>
      </c>
      <c r="B21" s="41" t="s">
        <v>1977</v>
      </c>
    </row>
    <row r="22" customFormat="false" ht="12.8" hidden="false" customHeight="false" outlineLevel="0" collapsed="false">
      <c r="A22" s="55" t="n">
        <v>17</v>
      </c>
      <c r="B22" s="41" t="s">
        <v>1978</v>
      </c>
    </row>
    <row r="23" customFormat="false" ht="12.8" hidden="false" customHeight="false" outlineLevel="0" collapsed="false">
      <c r="A23" s="55" t="n">
        <v>18</v>
      </c>
      <c r="B23" s="41" t="s">
        <v>1979</v>
      </c>
    </row>
    <row r="24" customFormat="false" ht="12.8" hidden="false" customHeight="false" outlineLevel="0" collapsed="false">
      <c r="A24" s="55" t="n">
        <v>19</v>
      </c>
      <c r="B24" s="41" t="s">
        <v>1980</v>
      </c>
    </row>
    <row r="25" customFormat="false" ht="12.8" hidden="false" customHeight="false" outlineLevel="0" collapsed="false">
      <c r="A25" s="55" t="n">
        <v>20</v>
      </c>
      <c r="B25" s="41" t="s">
        <v>1981</v>
      </c>
    </row>
    <row r="26" customFormat="false" ht="12.8" hidden="false" customHeight="false" outlineLevel="0" collapsed="false">
      <c r="A26" s="55" t="n">
        <v>21</v>
      </c>
      <c r="B26" s="41" t="s">
        <v>1982</v>
      </c>
    </row>
    <row r="27" customFormat="false" ht="12.8" hidden="false" customHeight="false" outlineLevel="0" collapsed="false">
      <c r="A27" s="55" t="n">
        <v>22</v>
      </c>
      <c r="B27" s="41" t="s">
        <v>1983</v>
      </c>
    </row>
  </sheetData>
  <mergeCells count="30">
    <mergeCell ref="A2:B2"/>
    <mergeCell ref="C2:F2"/>
    <mergeCell ref="G2:J2"/>
    <mergeCell ref="K2:N2"/>
    <mergeCell ref="O2:R2"/>
    <mergeCell ref="S2:V2"/>
    <mergeCell ref="W2:Y2"/>
    <mergeCell ref="Z2:AB2"/>
    <mergeCell ref="AC2:AE2"/>
    <mergeCell ref="AF2:AH2"/>
    <mergeCell ref="AI2:AK2"/>
    <mergeCell ref="AL2:AN2"/>
    <mergeCell ref="AO2:AQ2"/>
    <mergeCell ref="AR2:AT2"/>
    <mergeCell ref="AU2:AX2"/>
    <mergeCell ref="AY2:BB2"/>
    <mergeCell ref="BC2:BF2"/>
    <mergeCell ref="BG2:BJ2"/>
    <mergeCell ref="BK2:BN2"/>
    <mergeCell ref="BO2:BR2"/>
    <mergeCell ref="BS2:BX2"/>
    <mergeCell ref="BY2:CB2"/>
    <mergeCell ref="CC2:CF2"/>
    <mergeCell ref="CG2:CL2"/>
    <mergeCell ref="CM2:CP2"/>
    <mergeCell ref="CQ2:CT2"/>
    <mergeCell ref="CU2:CX2"/>
    <mergeCell ref="CY2:DB2"/>
    <mergeCell ref="DC2:DF2"/>
    <mergeCell ref="DG2:DJ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11.53515625" defaultRowHeight="12.8" customHeight="false" zeroHeight="false" outlineLevelRow="0" outlineLevelCol="0"/>
  <cols>
    <col collapsed="false" customWidth="true" hidden="false" outlineLevel="0" max="1" min="1" style="3" width="13.84"/>
    <col collapsed="false" customWidth="true" hidden="false" outlineLevel="0" max="2" min="2" style="3" width="34.59"/>
    <col collapsed="false" customWidth="true" hidden="false" outlineLevel="0" max="4" min="4" style="3" width="32.29"/>
    <col collapsed="false" customWidth="true" hidden="false" outlineLevel="0" max="6" min="6" style="3" width="25.37"/>
  </cols>
  <sheetData>
    <row r="1" customFormat="false" ht="12.8" hidden="false" customHeight="false" outlineLevel="0" collapsed="false">
      <c r="A1" s="4" t="s">
        <v>1984</v>
      </c>
      <c r="B1" s="43" t="s">
        <v>1985</v>
      </c>
      <c r="C1" s="61" t="s">
        <v>2</v>
      </c>
      <c r="E1" s="3"/>
      <c r="G1" s="3"/>
    </row>
    <row r="2" customFormat="false" ht="12.8" hidden="false" customHeight="false" outlineLevel="0" collapsed="false">
      <c r="A2" s="3" t="s">
        <v>113</v>
      </c>
      <c r="B2" s="3" t="s">
        <v>1986</v>
      </c>
      <c r="C2" s="3" t="s">
        <v>1987</v>
      </c>
      <c r="D2" s="3" t="s">
        <v>1988</v>
      </c>
      <c r="E2" s="3" t="s">
        <v>1824</v>
      </c>
      <c r="F2" s="3" t="s">
        <v>1989</v>
      </c>
      <c r="G2" s="3" t="s">
        <v>1990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G28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selection pane="topLeft" activeCell="B27" activeCellId="0" sqref="B27"/>
    </sheetView>
  </sheetViews>
  <sheetFormatPr defaultColWidth="11.53515625" defaultRowHeight="12.8" customHeight="false" zeroHeight="false" outlineLevelRow="1" outlineLevelCol="0"/>
  <cols>
    <col collapsed="false" customWidth="true" hidden="false" outlineLevel="0" max="1" min="1" style="62" width="13.85"/>
    <col collapsed="false" customWidth="true" hidden="false" outlineLevel="0" max="2" min="2" style="63" width="48.42"/>
    <col collapsed="false" customWidth="true" hidden="false" outlineLevel="0" max="3" min="3" style="64" width="21.47"/>
    <col collapsed="false" customWidth="true" hidden="false" outlineLevel="0" max="34" min="4" style="64" width="16.84"/>
    <col collapsed="false" customWidth="true" hidden="false" outlineLevel="0" max="48" min="35" style="64" width="17.78"/>
    <col collapsed="false" customWidth="true" hidden="false" outlineLevel="0" max="51" min="49" style="64" width="15.48"/>
    <col collapsed="false" customWidth="false" hidden="false" outlineLevel="0" max="55" min="52" style="64" width="11.53"/>
    <col collapsed="false" customWidth="true" hidden="false" outlineLevel="0" max="56" min="56" style="64" width="18.45"/>
    <col collapsed="false" customWidth="true" hidden="false" outlineLevel="0" max="59" min="57" style="64" width="16.14"/>
    <col collapsed="false" customWidth="true" hidden="false" outlineLevel="0" max="67" min="60" style="64" width="13.84"/>
    <col collapsed="false" customWidth="false" hidden="false" outlineLevel="0" max="68" min="68" style="64" width="11.53"/>
    <col collapsed="false" customWidth="false" hidden="false" outlineLevel="0" max="16384" min="71" style="64" width="11.53"/>
  </cols>
  <sheetData>
    <row r="1" customFormat="false" ht="12.8" hidden="false" customHeight="false" outlineLevel="0" collapsed="false">
      <c r="A1" s="65" t="s">
        <v>1991</v>
      </c>
      <c r="B1" s="66" t="s">
        <v>1992</v>
      </c>
      <c r="C1" s="67" t="s">
        <v>2</v>
      </c>
      <c r="D1" s="68" t="s">
        <v>1993</v>
      </c>
    </row>
    <row r="2" customFormat="false" ht="12.8" hidden="false" customHeight="false" outlineLevel="0" collapsed="false">
      <c r="A2" s="65" t="str">
        <f aca="false">_xlfn.CONCAT($A$1, ".", "CALC")</f>
        <v>LSD.RID.0.AL.LFP.CALC</v>
      </c>
      <c r="B2" s="66" t="str">
        <f aca="false">_xlfn.CONCAT($B$1, " ", "Calculations")</f>
        <v>Alabama Labor Force Population Calculations</v>
      </c>
      <c r="C2" s="67" t="s">
        <v>1871</v>
      </c>
      <c r="D2" s="67"/>
      <c r="E2" s="67"/>
      <c r="F2" s="67"/>
    </row>
    <row r="3" customFormat="false" ht="12.8" hidden="false" customHeight="false" outlineLevel="0" collapsed="false">
      <c r="A3" s="65" t="s">
        <v>1994</v>
      </c>
      <c r="B3" s="66" t="s">
        <v>1995</v>
      </c>
      <c r="C3" s="69" t="s">
        <v>1996</v>
      </c>
      <c r="D3" s="69" t="s">
        <v>1997</v>
      </c>
      <c r="E3" s="69" t="s">
        <v>1998</v>
      </c>
      <c r="F3" s="69" t="s">
        <v>1999</v>
      </c>
    </row>
    <row r="4" customFormat="false" ht="12.8" hidden="false" customHeight="false" outlineLevel="0" collapsed="false">
      <c r="A4" s="65" t="s">
        <v>2000</v>
      </c>
      <c r="B4" s="66" t="s">
        <v>2001</v>
      </c>
      <c r="C4" s="69" t="n">
        <v>2381356</v>
      </c>
      <c r="D4" s="69" t="n">
        <v>79000</v>
      </c>
      <c r="E4" s="69" t="n">
        <v>48000</v>
      </c>
      <c r="F4" s="69" t="n">
        <v>2253356</v>
      </c>
    </row>
    <row r="5" customFormat="false" ht="12.8" hidden="false" customHeight="false" outlineLevel="0" collapsed="false">
      <c r="A5" s="62" t="s">
        <v>2002</v>
      </c>
      <c r="B5" s="63" t="s">
        <v>2003</v>
      </c>
      <c r="C5" s="64" t="n">
        <v>7000</v>
      </c>
      <c r="D5" s="64" t="n">
        <v>0</v>
      </c>
      <c r="E5" s="64" t="n">
        <v>1000</v>
      </c>
      <c r="F5" s="64" t="n">
        <v>6000</v>
      </c>
    </row>
    <row r="6" customFormat="false" ht="12.8" hidden="false" customHeight="false" outlineLevel="0" collapsed="false">
      <c r="A6" s="62" t="s">
        <v>2004</v>
      </c>
      <c r="B6" s="63" t="s">
        <v>2005</v>
      </c>
      <c r="C6" s="64" t="n">
        <v>29000</v>
      </c>
      <c r="D6" s="64" t="n">
        <v>2000</v>
      </c>
      <c r="E6" s="64" t="n">
        <v>3000</v>
      </c>
      <c r="F6" s="64" t="n">
        <v>24000</v>
      </c>
    </row>
    <row r="7" customFormat="false" ht="12.8" hidden="false" customHeight="false" outlineLevel="0" collapsed="false">
      <c r="A7" s="62" t="s">
        <v>2006</v>
      </c>
      <c r="B7" s="63" t="s">
        <v>2007</v>
      </c>
      <c r="C7" s="64" t="n">
        <v>25000</v>
      </c>
      <c r="D7" s="64" t="n">
        <v>1000</v>
      </c>
      <c r="E7" s="64" t="n">
        <v>2000</v>
      </c>
      <c r="F7" s="64" t="n">
        <v>22000</v>
      </c>
    </row>
    <row r="8" customFormat="false" ht="12.8" hidden="false" customHeight="false" outlineLevel="0" collapsed="false">
      <c r="A8" s="62" t="s">
        <v>2008</v>
      </c>
      <c r="B8" s="63" t="s">
        <v>2009</v>
      </c>
      <c r="C8" s="64" t="n">
        <v>100000</v>
      </c>
      <c r="D8" s="64" t="n">
        <v>5000</v>
      </c>
      <c r="E8" s="64" t="n">
        <v>8000</v>
      </c>
      <c r="F8" s="64" t="n">
        <v>87000</v>
      </c>
    </row>
    <row r="9" customFormat="false" ht="12.8" hidden="false" customHeight="false" outlineLevel="0" collapsed="false">
      <c r="A9" s="62" t="s">
        <v>2010</v>
      </c>
      <c r="B9" s="63" t="s">
        <v>2011</v>
      </c>
      <c r="C9" s="64" t="n">
        <v>22000</v>
      </c>
      <c r="D9" s="64" t="n">
        <v>1000</v>
      </c>
      <c r="E9" s="64" t="n">
        <v>1000</v>
      </c>
      <c r="F9" s="64" t="n">
        <v>20000</v>
      </c>
    </row>
    <row r="10" customFormat="false" ht="12.8" hidden="false" customHeight="false" outlineLevel="0" collapsed="false">
      <c r="A10" s="62" t="s">
        <v>2012</v>
      </c>
      <c r="B10" s="63" t="s">
        <v>2013</v>
      </c>
      <c r="C10" s="64" t="n">
        <v>33000</v>
      </c>
      <c r="D10" s="64" t="n">
        <v>2000</v>
      </c>
      <c r="E10" s="64" t="n">
        <v>1000</v>
      </c>
      <c r="F10" s="64" t="n">
        <v>30000</v>
      </c>
    </row>
    <row r="11" customFormat="false" ht="12.8" hidden="false" customHeight="false" outlineLevel="0" collapsed="false">
      <c r="A11" s="62" t="s">
        <v>2014</v>
      </c>
      <c r="B11" s="63" t="s">
        <v>2015</v>
      </c>
      <c r="C11" s="64" t="n">
        <v>7000</v>
      </c>
      <c r="D11" s="64" t="n">
        <v>0</v>
      </c>
      <c r="E11" s="64" t="n">
        <v>0</v>
      </c>
      <c r="F11" s="64" t="n">
        <v>7000</v>
      </c>
    </row>
    <row r="12" customFormat="false" ht="12.8" hidden="false" customHeight="false" outlineLevel="0" collapsed="false">
      <c r="A12" s="62" t="s">
        <v>2016</v>
      </c>
      <c r="B12" s="63" t="s">
        <v>2017</v>
      </c>
      <c r="C12" s="64" t="n">
        <v>15000</v>
      </c>
      <c r="D12" s="64" t="n">
        <v>1000</v>
      </c>
      <c r="E12" s="64" t="n">
        <v>1000</v>
      </c>
      <c r="F12" s="64" t="n">
        <v>13000</v>
      </c>
    </row>
    <row r="13" customFormat="false" ht="12.8" hidden="false" customHeight="false" outlineLevel="0" collapsed="false">
      <c r="A13" s="62" t="s">
        <v>2018</v>
      </c>
      <c r="B13" s="63" t="s">
        <v>2019</v>
      </c>
      <c r="C13" s="64" t="n">
        <v>64000</v>
      </c>
      <c r="D13" s="64" t="n">
        <v>3000</v>
      </c>
      <c r="E13" s="64" t="n">
        <v>1000</v>
      </c>
      <c r="F13" s="64" t="n">
        <v>60000</v>
      </c>
    </row>
    <row r="14" customFormat="false" ht="12.8" hidden="false" customHeight="false" outlineLevel="0" collapsed="false">
      <c r="A14" s="62" t="s">
        <v>2020</v>
      </c>
      <c r="B14" s="63" t="s">
        <v>2021</v>
      </c>
      <c r="C14" s="64" t="n">
        <v>256000</v>
      </c>
      <c r="D14" s="64" t="n">
        <v>10000</v>
      </c>
      <c r="E14" s="64" t="n">
        <v>4000</v>
      </c>
      <c r="F14" s="64" t="n">
        <v>242000</v>
      </c>
    </row>
    <row r="15" customFormat="false" ht="12.8" hidden="false" customHeight="false" outlineLevel="0" collapsed="false">
      <c r="A15" s="62" t="s">
        <v>2022</v>
      </c>
      <c r="B15" s="63" t="s">
        <v>2023</v>
      </c>
      <c r="C15" s="64" t="n">
        <v>41000</v>
      </c>
      <c r="D15" s="64" t="n">
        <v>1000</v>
      </c>
      <c r="E15" s="64" t="n">
        <v>1000</v>
      </c>
      <c r="F15" s="64" t="n">
        <v>39000</v>
      </c>
    </row>
    <row r="16" customFormat="false" ht="12.8" hidden="false" customHeight="false" outlineLevel="0" collapsed="false">
      <c r="A16" s="62" t="s">
        <v>2024</v>
      </c>
      <c r="B16" s="63" t="s">
        <v>2025</v>
      </c>
      <c r="C16" s="64" t="n">
        <v>95000</v>
      </c>
      <c r="D16" s="64" t="n">
        <v>3000</v>
      </c>
      <c r="E16" s="64" t="n">
        <v>3000</v>
      </c>
      <c r="F16" s="64" t="n">
        <v>89000</v>
      </c>
    </row>
    <row r="17" customFormat="false" ht="12.8" hidden="false" customHeight="false" outlineLevel="0" collapsed="false">
      <c r="A17" s="62" t="s">
        <v>2026</v>
      </c>
      <c r="B17" s="63" t="s">
        <v>2027</v>
      </c>
      <c r="C17" s="64" t="n">
        <v>91000</v>
      </c>
      <c r="D17" s="64" t="n">
        <v>3000</v>
      </c>
      <c r="E17" s="64" t="n">
        <v>1000</v>
      </c>
      <c r="F17" s="64" t="n">
        <v>87000</v>
      </c>
    </row>
    <row r="18" customFormat="false" ht="12.8" hidden="false" customHeight="false" outlineLevel="0" collapsed="false">
      <c r="A18" s="62" t="s">
        <v>2028</v>
      </c>
      <c r="B18" s="63" t="s">
        <v>2029</v>
      </c>
      <c r="C18" s="64" t="n">
        <v>136000</v>
      </c>
      <c r="D18" s="64" t="n">
        <v>4000</v>
      </c>
      <c r="E18" s="64" t="n">
        <v>2000</v>
      </c>
      <c r="F18" s="64" t="n">
        <v>130000</v>
      </c>
    </row>
    <row r="19" customFormat="false" ht="12.8" hidden="false" customHeight="false" outlineLevel="0" collapsed="false">
      <c r="A19" s="62" t="s">
        <v>2030</v>
      </c>
      <c r="B19" s="63" t="s">
        <v>2031</v>
      </c>
      <c r="C19" s="64" t="n">
        <v>3000</v>
      </c>
      <c r="D19" s="64" t="n">
        <v>0</v>
      </c>
      <c r="E19" s="64" t="n">
        <v>0</v>
      </c>
      <c r="F19" s="64" t="n">
        <v>3000</v>
      </c>
    </row>
    <row r="20" customFormat="false" ht="12.8" hidden="false" customHeight="false" outlineLevel="0" collapsed="false">
      <c r="A20" s="62" t="s">
        <v>2032</v>
      </c>
      <c r="B20" s="63" t="s">
        <v>2033</v>
      </c>
      <c r="C20" s="64" t="n">
        <v>8000</v>
      </c>
      <c r="D20" s="64" t="n">
        <v>1000</v>
      </c>
      <c r="E20" s="64" t="n">
        <v>1000</v>
      </c>
      <c r="F20" s="64" t="n">
        <v>6000</v>
      </c>
    </row>
    <row r="21" customFormat="false" ht="12.8" hidden="false" customHeight="false" outlineLevel="0" collapsed="false">
      <c r="A21" s="62" t="s">
        <v>2034</v>
      </c>
      <c r="B21" s="63" t="s">
        <v>2035</v>
      </c>
      <c r="C21" s="64" t="n">
        <v>7000</v>
      </c>
      <c r="D21" s="64" t="n">
        <v>0</v>
      </c>
      <c r="E21" s="64" t="n">
        <v>0</v>
      </c>
      <c r="F21" s="64" t="n">
        <v>7000</v>
      </c>
    </row>
    <row r="22" customFormat="false" ht="12.8" hidden="false" customHeight="false" outlineLevel="0" collapsed="false">
      <c r="A22" s="62" t="s">
        <v>2036</v>
      </c>
      <c r="B22" s="63" t="s">
        <v>2037</v>
      </c>
      <c r="C22" s="64" t="n">
        <v>15000</v>
      </c>
      <c r="D22" s="64" t="n">
        <v>1000</v>
      </c>
      <c r="E22" s="64" t="n">
        <v>0</v>
      </c>
      <c r="F22" s="64" t="n">
        <v>14000</v>
      </c>
    </row>
    <row r="23" customFormat="false" ht="12.8" hidden="false" customHeight="false" outlineLevel="0" collapsed="false">
      <c r="A23" s="62" t="s">
        <v>2038</v>
      </c>
      <c r="B23" s="63" t="s">
        <v>2039</v>
      </c>
      <c r="C23" s="64" t="n">
        <v>85000</v>
      </c>
      <c r="D23" s="64" t="n">
        <v>3000</v>
      </c>
      <c r="E23" s="64" t="n">
        <v>1000</v>
      </c>
      <c r="F23" s="64" t="n">
        <v>81000</v>
      </c>
    </row>
    <row r="24" customFormat="false" ht="12.8" hidden="false" customHeight="false" outlineLevel="0" collapsed="false">
      <c r="A24" s="62" t="s">
        <v>2040</v>
      </c>
      <c r="B24" s="63" t="s">
        <v>2041</v>
      </c>
      <c r="C24" s="64" t="n">
        <v>128000</v>
      </c>
      <c r="D24" s="64" t="n">
        <v>4000</v>
      </c>
      <c r="E24" s="64" t="n">
        <v>1000</v>
      </c>
      <c r="F24" s="64" t="n">
        <v>123000</v>
      </c>
    </row>
    <row r="25" customFormat="false" ht="12.8" hidden="false" customHeight="false" outlineLevel="0" collapsed="false">
      <c r="A25" s="62" t="s">
        <v>2042</v>
      </c>
      <c r="B25" s="63" t="s">
        <v>2043</v>
      </c>
      <c r="C25" s="64" t="n">
        <v>57000</v>
      </c>
      <c r="D25" s="64" t="n">
        <v>2000</v>
      </c>
      <c r="E25" s="64" t="n">
        <v>1000</v>
      </c>
      <c r="F25" s="64" t="n">
        <v>54000</v>
      </c>
    </row>
    <row r="26" customFormat="false" ht="12.8" hidden="false" customHeight="false" outlineLevel="0" collapsed="false">
      <c r="A26" s="62" t="s">
        <v>2044</v>
      </c>
      <c r="B26" s="63" t="s">
        <v>2045</v>
      </c>
      <c r="C26" s="64" t="n">
        <v>57000</v>
      </c>
      <c r="D26" s="64" t="n">
        <v>2000</v>
      </c>
      <c r="E26" s="64" t="n">
        <v>1000</v>
      </c>
      <c r="F26" s="64" t="n">
        <v>54000</v>
      </c>
    </row>
    <row r="27" customFormat="false" ht="12.8" hidden="false" customHeight="false" outlineLevel="0" collapsed="false">
      <c r="A27" s="62" t="s">
        <v>2046</v>
      </c>
      <c r="B27" s="63" t="s">
        <v>2047</v>
      </c>
      <c r="C27" s="64" t="n">
        <v>36000</v>
      </c>
      <c r="D27" s="64" t="n">
        <v>1000</v>
      </c>
      <c r="E27" s="64" t="n">
        <v>0</v>
      </c>
      <c r="F27" s="64" t="n">
        <v>35000</v>
      </c>
    </row>
    <row r="28" customFormat="false" ht="12.8" hidden="false" customHeight="false" outlineLevel="0" collapsed="false">
      <c r="A28" s="62" t="s">
        <v>2048</v>
      </c>
      <c r="B28" s="63" t="s">
        <v>2049</v>
      </c>
      <c r="C28" s="64" t="n">
        <v>55000</v>
      </c>
      <c r="D28" s="64" t="n">
        <v>1000</v>
      </c>
      <c r="E28" s="64" t="n">
        <v>0</v>
      </c>
      <c r="F28" s="64" t="n">
        <v>54000</v>
      </c>
    </row>
    <row r="29" customFormat="false" ht="12.8" hidden="false" customHeight="false" outlineLevel="0" collapsed="false">
      <c r="A29" s="62" t="s">
        <v>2050</v>
      </c>
      <c r="B29" s="63" t="s">
        <v>2051</v>
      </c>
      <c r="C29" s="64" t="n">
        <v>45000</v>
      </c>
      <c r="D29" s="64" t="n">
        <v>1000</v>
      </c>
      <c r="E29" s="64" t="n">
        <v>0</v>
      </c>
      <c r="F29" s="64" t="n">
        <v>44000</v>
      </c>
    </row>
    <row r="30" customFormat="false" ht="12.8" hidden="false" customHeight="false" outlineLevel="0" collapsed="false">
      <c r="A30" s="62" t="s">
        <v>2052</v>
      </c>
      <c r="B30" s="63" t="s">
        <v>2053</v>
      </c>
      <c r="C30" s="64" t="n">
        <v>45000</v>
      </c>
      <c r="D30" s="64" t="n">
        <v>1000</v>
      </c>
      <c r="E30" s="64" t="n">
        <v>0</v>
      </c>
      <c r="F30" s="64" t="n">
        <v>44000</v>
      </c>
    </row>
    <row r="31" customFormat="false" ht="12.8" hidden="false" customHeight="false" outlineLevel="0" collapsed="false">
      <c r="A31" s="62" t="s">
        <v>2054</v>
      </c>
      <c r="B31" s="63" t="s">
        <v>2055</v>
      </c>
      <c r="C31" s="64" t="n">
        <v>13000</v>
      </c>
      <c r="D31" s="64" t="n">
        <v>0</v>
      </c>
      <c r="E31" s="64" t="n">
        <v>0</v>
      </c>
      <c r="F31" s="64" t="n">
        <v>13000</v>
      </c>
    </row>
    <row r="32" customFormat="false" ht="12.8" hidden="false" customHeight="false" outlineLevel="0" collapsed="false">
      <c r="A32" s="62" t="s">
        <v>2056</v>
      </c>
      <c r="B32" s="63" t="s">
        <v>2057</v>
      </c>
      <c r="C32" s="64" t="n">
        <v>13000</v>
      </c>
      <c r="D32" s="64" t="n">
        <v>0</v>
      </c>
      <c r="E32" s="64" t="n">
        <v>0</v>
      </c>
      <c r="F32" s="64" t="n">
        <v>13000</v>
      </c>
    </row>
    <row r="33" customFormat="false" ht="12.8" hidden="false" customHeight="false" outlineLevel="0" collapsed="false">
      <c r="A33" s="62" t="s">
        <v>2058</v>
      </c>
      <c r="B33" s="63" t="s">
        <v>2059</v>
      </c>
      <c r="C33" s="64" t="n">
        <v>47000</v>
      </c>
      <c r="D33" s="64" t="n">
        <v>1000</v>
      </c>
      <c r="E33" s="64" t="n">
        <v>0</v>
      </c>
      <c r="F33" s="64" t="n">
        <v>46000</v>
      </c>
    </row>
    <row r="34" customFormat="false" ht="12.8" hidden="false" customHeight="false" outlineLevel="0" collapsed="false">
      <c r="A34" s="62" t="s">
        <v>2060</v>
      </c>
      <c r="B34" s="63" t="s">
        <v>2061</v>
      </c>
      <c r="C34" s="64" t="n">
        <v>47000</v>
      </c>
      <c r="D34" s="64" t="n">
        <v>1000</v>
      </c>
      <c r="E34" s="64" t="n">
        <v>0</v>
      </c>
      <c r="F34" s="64" t="n">
        <v>46000</v>
      </c>
    </row>
    <row r="35" customFormat="false" ht="12.8" hidden="false" customHeight="false" outlineLevel="0" collapsed="false">
      <c r="A35" s="62" t="s">
        <v>2062</v>
      </c>
      <c r="B35" s="63" t="s">
        <v>2063</v>
      </c>
      <c r="C35" s="64" t="n">
        <v>25000</v>
      </c>
      <c r="D35" s="64" t="n">
        <v>1000</v>
      </c>
      <c r="E35" s="64" t="n">
        <v>1000</v>
      </c>
      <c r="F35" s="64" t="n">
        <v>23000</v>
      </c>
    </row>
    <row r="36" customFormat="false" ht="12.8" hidden="false" customHeight="false" outlineLevel="0" collapsed="false">
      <c r="A36" s="62" t="s">
        <v>2064</v>
      </c>
      <c r="B36" s="63" t="s">
        <v>2065</v>
      </c>
      <c r="C36" s="64" t="n">
        <v>58000</v>
      </c>
      <c r="D36" s="64" t="n">
        <v>2000</v>
      </c>
      <c r="E36" s="64" t="n">
        <v>2000</v>
      </c>
      <c r="F36" s="64" t="n">
        <v>54000</v>
      </c>
    </row>
    <row r="37" customFormat="false" ht="12.8" hidden="false" customHeight="false" outlineLevel="0" collapsed="false">
      <c r="A37" s="62" t="s">
        <v>2066</v>
      </c>
      <c r="B37" s="63" t="s">
        <v>2067</v>
      </c>
      <c r="C37" s="64" t="n">
        <v>7000</v>
      </c>
      <c r="D37" s="64" t="n">
        <v>0</v>
      </c>
      <c r="E37" s="64" t="n">
        <v>0</v>
      </c>
      <c r="F37" s="64" t="n">
        <v>7000</v>
      </c>
    </row>
    <row r="38" customFormat="false" ht="12.8" hidden="false" customHeight="false" outlineLevel="0" collapsed="false">
      <c r="A38" s="62" t="s">
        <v>2068</v>
      </c>
      <c r="B38" s="63" t="s">
        <v>2069</v>
      </c>
      <c r="C38" s="64" t="n">
        <v>15000</v>
      </c>
      <c r="D38" s="64" t="n">
        <v>1000</v>
      </c>
      <c r="E38" s="64" t="n">
        <v>0</v>
      </c>
      <c r="F38" s="64" t="n">
        <v>14000</v>
      </c>
    </row>
    <row r="39" customFormat="false" ht="12.8" hidden="false" customHeight="false" outlineLevel="0" collapsed="false">
      <c r="A39" s="62" t="s">
        <v>2070</v>
      </c>
      <c r="B39" s="63" t="s">
        <v>2071</v>
      </c>
      <c r="C39" s="64" t="n">
        <v>2000</v>
      </c>
      <c r="D39" s="64" t="n">
        <v>0</v>
      </c>
      <c r="E39" s="64" t="n">
        <v>0</v>
      </c>
      <c r="F39" s="64" t="n">
        <v>2000</v>
      </c>
    </row>
    <row r="40" customFormat="false" ht="12.8" hidden="false" customHeight="false" outlineLevel="0" collapsed="false">
      <c r="A40" s="62" t="s">
        <v>2072</v>
      </c>
      <c r="B40" s="63" t="s">
        <v>2073</v>
      </c>
      <c r="C40" s="64" t="n">
        <v>8000</v>
      </c>
      <c r="D40" s="64" t="n">
        <v>0</v>
      </c>
      <c r="E40" s="64" t="n">
        <v>0</v>
      </c>
      <c r="F40" s="64" t="n">
        <v>8000</v>
      </c>
    </row>
    <row r="41" customFormat="false" ht="12.8" hidden="false" customHeight="false" outlineLevel="0" collapsed="false">
      <c r="A41" s="62" t="s">
        <v>2074</v>
      </c>
      <c r="B41" s="63" t="s">
        <v>2075</v>
      </c>
      <c r="C41" s="64" t="n">
        <v>5000</v>
      </c>
      <c r="D41" s="64" t="n">
        <v>0</v>
      </c>
      <c r="E41" s="64" t="n">
        <v>0</v>
      </c>
      <c r="F41" s="64" t="n">
        <v>5000</v>
      </c>
    </row>
    <row r="42" customFormat="false" ht="12.8" hidden="false" customHeight="false" outlineLevel="0" collapsed="false">
      <c r="A42" s="62" t="s">
        <v>2076</v>
      </c>
      <c r="B42" s="63" t="s">
        <v>2077</v>
      </c>
      <c r="C42" s="64" t="n">
        <v>18000</v>
      </c>
      <c r="D42" s="64" t="n">
        <v>0</v>
      </c>
      <c r="E42" s="64" t="n">
        <v>0</v>
      </c>
      <c r="F42" s="64" t="n">
        <v>18000</v>
      </c>
    </row>
    <row r="43" customFormat="false" ht="12.8" hidden="false" customHeight="false" outlineLevel="0" collapsed="false">
      <c r="A43" s="62" t="s">
        <v>2078</v>
      </c>
      <c r="B43" s="63" t="s">
        <v>2079</v>
      </c>
      <c r="C43" s="64" t="n">
        <v>20000</v>
      </c>
      <c r="D43" s="64" t="n">
        <v>1000</v>
      </c>
      <c r="E43" s="64" t="n">
        <v>0</v>
      </c>
      <c r="F43" s="64" t="n">
        <v>19000</v>
      </c>
    </row>
    <row r="44" customFormat="false" ht="12.8" hidden="false" customHeight="false" outlineLevel="0" collapsed="false">
      <c r="A44" s="62" t="s">
        <v>2080</v>
      </c>
      <c r="B44" s="63" t="s">
        <v>2081</v>
      </c>
      <c r="C44" s="64" t="n">
        <v>48000</v>
      </c>
      <c r="D44" s="64" t="n">
        <v>1000</v>
      </c>
      <c r="E44" s="64" t="n">
        <v>1000</v>
      </c>
      <c r="F44" s="64" t="n">
        <v>46000</v>
      </c>
    </row>
    <row r="45" customFormat="false" ht="12.8" hidden="false" customHeight="false" outlineLevel="0" collapsed="false">
      <c r="A45" s="62" t="s">
        <v>2082</v>
      </c>
      <c r="B45" s="63" t="s">
        <v>2083</v>
      </c>
      <c r="C45" s="64" t="n">
        <v>0</v>
      </c>
      <c r="D45" s="64" t="n">
        <v>0</v>
      </c>
      <c r="E45" s="64" t="n">
        <v>0</v>
      </c>
      <c r="F45" s="64" t="n">
        <v>0</v>
      </c>
    </row>
    <row r="46" customFormat="false" ht="12.8" hidden="false" customHeight="false" outlineLevel="0" collapsed="false">
      <c r="A46" s="62" t="s">
        <v>2084</v>
      </c>
      <c r="B46" s="63" t="s">
        <v>2085</v>
      </c>
      <c r="C46" s="64" t="n">
        <v>0</v>
      </c>
      <c r="D46" s="64" t="n">
        <v>0</v>
      </c>
      <c r="E46" s="64" t="n">
        <v>0</v>
      </c>
      <c r="F46" s="64" t="n">
        <v>0</v>
      </c>
    </row>
    <row r="47" customFormat="false" ht="12.8" hidden="false" customHeight="false" outlineLevel="0" collapsed="false">
      <c r="A47" s="62" t="s">
        <v>2086</v>
      </c>
      <c r="B47" s="63" t="s">
        <v>2087</v>
      </c>
      <c r="C47" s="64" t="n">
        <v>11000</v>
      </c>
      <c r="D47" s="64" t="n">
        <v>0</v>
      </c>
      <c r="E47" s="64" t="n">
        <v>0</v>
      </c>
      <c r="F47" s="64" t="n">
        <v>11000</v>
      </c>
    </row>
    <row r="48" customFormat="false" ht="12.8" hidden="false" customHeight="false" outlineLevel="0" collapsed="false">
      <c r="A48" s="62" t="s">
        <v>2088</v>
      </c>
      <c r="B48" s="63" t="s">
        <v>2089</v>
      </c>
      <c r="C48" s="64" t="n">
        <v>11000</v>
      </c>
      <c r="D48" s="64" t="n">
        <v>0</v>
      </c>
      <c r="E48" s="64" t="n">
        <v>0</v>
      </c>
      <c r="F48" s="64" t="n">
        <v>11000</v>
      </c>
    </row>
    <row r="49" customFormat="false" ht="12.8" hidden="false" customHeight="false" outlineLevel="0" collapsed="false">
      <c r="A49" s="62" t="s">
        <v>2090</v>
      </c>
      <c r="B49" s="63" t="s">
        <v>2091</v>
      </c>
      <c r="C49" s="64" t="n">
        <v>3000</v>
      </c>
      <c r="D49" s="64" t="n">
        <v>0</v>
      </c>
      <c r="E49" s="64" t="n">
        <v>0</v>
      </c>
      <c r="F49" s="64" t="n">
        <v>3000</v>
      </c>
    </row>
    <row r="50" customFormat="false" ht="12.8" hidden="false" customHeight="false" outlineLevel="0" collapsed="false">
      <c r="A50" s="62" t="s">
        <v>2092</v>
      </c>
      <c r="B50" s="63" t="s">
        <v>2093</v>
      </c>
      <c r="C50" s="64" t="n">
        <v>8000</v>
      </c>
      <c r="D50" s="64" t="n">
        <v>0</v>
      </c>
      <c r="E50" s="64" t="n">
        <v>0</v>
      </c>
      <c r="F50" s="64" t="n">
        <v>8000</v>
      </c>
    </row>
    <row r="51" customFormat="false" ht="12.8" hidden="false" customHeight="false" outlineLevel="0" collapsed="false">
      <c r="A51" s="62" t="s">
        <v>2094</v>
      </c>
      <c r="B51" s="63" t="s">
        <v>2095</v>
      </c>
      <c r="C51" s="64" t="n">
        <v>19000</v>
      </c>
      <c r="D51" s="64" t="n">
        <v>1000</v>
      </c>
      <c r="E51" s="64" t="n">
        <v>0</v>
      </c>
      <c r="F51" s="64" t="n">
        <v>18000</v>
      </c>
    </row>
    <row r="52" customFormat="false" ht="12.8" hidden="false" customHeight="false" outlineLevel="0" collapsed="false">
      <c r="A52" s="62" t="s">
        <v>2096</v>
      </c>
      <c r="B52" s="63" t="s">
        <v>2097</v>
      </c>
      <c r="C52" s="64" t="n">
        <v>29000</v>
      </c>
      <c r="D52" s="64" t="n">
        <v>1000</v>
      </c>
      <c r="E52" s="64" t="n">
        <v>1000</v>
      </c>
      <c r="F52" s="64" t="n">
        <v>27000</v>
      </c>
    </row>
    <row r="53" customFormat="false" ht="12.8" hidden="false" customHeight="false" outlineLevel="0" collapsed="false">
      <c r="A53" s="62" t="s">
        <v>2098</v>
      </c>
      <c r="B53" s="63" t="s">
        <v>2099</v>
      </c>
      <c r="C53" s="64" t="n">
        <v>55000</v>
      </c>
      <c r="D53" s="64" t="n">
        <v>3000</v>
      </c>
      <c r="E53" s="64" t="n">
        <v>2000</v>
      </c>
      <c r="F53" s="64" t="n">
        <v>50000</v>
      </c>
    </row>
    <row r="54" customFormat="false" ht="12.8" hidden="false" customHeight="false" outlineLevel="0" collapsed="false">
      <c r="A54" s="62" t="s">
        <v>2100</v>
      </c>
      <c r="B54" s="63" t="s">
        <v>2101</v>
      </c>
      <c r="C54" s="64" t="n">
        <v>82000</v>
      </c>
      <c r="D54" s="64" t="n">
        <v>4000</v>
      </c>
      <c r="E54" s="64" t="n">
        <v>2000</v>
      </c>
      <c r="F54" s="64" t="n">
        <v>76000</v>
      </c>
    </row>
    <row r="55" customFormat="false" ht="12.8" hidden="false" customHeight="false" outlineLevel="0" collapsed="false">
      <c r="A55" s="62" t="s">
        <v>2102</v>
      </c>
      <c r="B55" s="63" t="s">
        <v>2103</v>
      </c>
      <c r="C55" s="64" t="n">
        <v>187000</v>
      </c>
      <c r="D55" s="64" t="n">
        <v>4000</v>
      </c>
      <c r="E55" s="64" t="n">
        <v>1000</v>
      </c>
      <c r="F55" s="64" t="n">
        <v>182000</v>
      </c>
    </row>
    <row r="56" customFormat="false" ht="12.8" hidden="false" customHeight="false" outlineLevel="0" collapsed="false">
      <c r="A56" s="62" t="s">
        <v>2104</v>
      </c>
      <c r="B56" s="63" t="s">
        <v>2105</v>
      </c>
      <c r="C56" s="64" t="n">
        <v>187000</v>
      </c>
      <c r="D56" s="64" t="n">
        <v>4000</v>
      </c>
      <c r="E56" s="64" t="n">
        <v>1000</v>
      </c>
      <c r="F56" s="64" t="n">
        <v>182000</v>
      </c>
    </row>
    <row r="60" customFormat="false" ht="12.8" hidden="false" customHeight="false" outlineLevel="1" collapsed="false">
      <c r="C60" s="70"/>
      <c r="D60" s="70"/>
      <c r="E60" s="70"/>
      <c r="F60" s="70"/>
    </row>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row r="250" customFormat="false" ht="12.8" hidden="false" customHeight="false" outlineLevel="1" collapsed="false"/>
    <row r="251" customFormat="false" ht="12.8" hidden="false" customHeight="false" outlineLevel="1" collapsed="false"/>
    <row r="252" customFormat="false" ht="12.8" hidden="false" customHeight="false" outlineLevel="1" collapsed="false"/>
    <row r="253" customFormat="false" ht="12.8" hidden="false" customHeight="false" outlineLevel="1" collapsed="false"/>
    <row r="260" customFormat="false" ht="12.8" hidden="false" customHeight="false" outlineLevel="0" collapsed="false">
      <c r="A260" s="65" t="str">
        <f aca="false">_xlfn.CONCAT($A$1, ".", "FORM")</f>
        <v>LSD.RID.0.AL.LFP.FORM</v>
      </c>
      <c r="B260" s="66" t="str">
        <f aca="false">_xlfn.CONCAT($B$1, " ", "Formulae")</f>
        <v>Alabama Labor Force Population Formulae</v>
      </c>
    </row>
    <row r="261" customFormat="false" ht="12.8" hidden="false" customHeight="false" outlineLevel="0" collapsed="false">
      <c r="A261" s="12" t="s">
        <v>168</v>
      </c>
      <c r="B261" s="43" t="s">
        <v>863</v>
      </c>
      <c r="C261" s="58" t="s">
        <v>864</v>
      </c>
      <c r="D261" s="58" t="s">
        <v>865</v>
      </c>
      <c r="E261" s="58" t="s">
        <v>866</v>
      </c>
      <c r="F261" s="58" t="s">
        <v>867</v>
      </c>
    </row>
    <row r="262" customFormat="false" ht="12.8" hidden="false" customHeight="false" outlineLevel="0" collapsed="false">
      <c r="A262" s="55" t="str">
        <f aca="false">_xlfn.CONCAT($A$260, ".", "0")</f>
        <v>LSD.RID.0.AL.LFP.FORM.0</v>
      </c>
      <c r="B262" s="71" t="s">
        <v>308</v>
      </c>
      <c r="C262" s="41" t="s">
        <v>2106</v>
      </c>
      <c r="D262" s="41" t="s">
        <v>2107</v>
      </c>
      <c r="E262" s="41" t="s">
        <v>2108</v>
      </c>
      <c r="F262" s="41" t="s">
        <v>2109</v>
      </c>
    </row>
    <row r="263" customFormat="false" ht="12.8" hidden="false" customHeight="false" outlineLevel="0" collapsed="false">
      <c r="A263" s="55" t="str">
        <f aca="false">_xlfn.CONCAT($A$260, ".", "1")</f>
        <v>LSD.RID.0.AL.LFP.FORM.1</v>
      </c>
      <c r="B263" s="71" t="s">
        <v>308</v>
      </c>
      <c r="C263" s="41" t="s">
        <v>2110</v>
      </c>
      <c r="D263" s="41" t="s">
        <v>2111</v>
      </c>
      <c r="E263" s="41" t="s">
        <v>2112</v>
      </c>
      <c r="F263" s="41" t="s">
        <v>2113</v>
      </c>
    </row>
    <row r="264" customFormat="false" ht="12.8" hidden="false" customHeight="false" outlineLevel="0" collapsed="false">
      <c r="A264" s="55" t="str">
        <f aca="false">_xlfn.CONCAT($A$260, ".", "2")</f>
        <v>LSD.RID.0.AL.LFP.FORM.2</v>
      </c>
      <c r="B264" s="71" t="s">
        <v>308</v>
      </c>
      <c r="C264" s="41" t="s">
        <v>2114</v>
      </c>
      <c r="D264" s="41" t="s">
        <v>2115</v>
      </c>
      <c r="E264" s="41" t="s">
        <v>2116</v>
      </c>
      <c r="F264" s="41" t="s">
        <v>2117</v>
      </c>
    </row>
    <row r="265" customFormat="false" ht="12.8" hidden="false" customHeight="false" outlineLevel="0" collapsed="false">
      <c r="A265" s="55" t="str">
        <f aca="false">_xlfn.CONCAT($A$260, ".", "3")</f>
        <v>LSD.RID.0.AL.LFP.FORM.3</v>
      </c>
      <c r="B265" s="71" t="s">
        <v>308</v>
      </c>
      <c r="C265" s="41" t="s">
        <v>1999</v>
      </c>
      <c r="D265" s="41" t="s">
        <v>2118</v>
      </c>
      <c r="E265" s="41" t="s">
        <v>2119</v>
      </c>
      <c r="F265" s="41" t="s">
        <v>2120</v>
      </c>
    </row>
    <row r="266" customFormat="false" ht="12.8" hidden="false" customHeight="false" outlineLevel="0" collapsed="false">
      <c r="A266" s="55" t="str">
        <f aca="false">_xlfn.CONCAT($A$260, ".", "4")</f>
        <v>LSD.RID.0.AL.LFP.FORM.4</v>
      </c>
      <c r="B266" s="71" t="s">
        <v>308</v>
      </c>
      <c r="C266" s="41" t="s">
        <v>2121</v>
      </c>
      <c r="D266" s="41" t="s">
        <v>2122</v>
      </c>
      <c r="E266" s="41" t="s">
        <v>2123</v>
      </c>
      <c r="F266" s="41" t="s">
        <v>2124</v>
      </c>
    </row>
    <row r="268" customFormat="false" ht="12.8" hidden="false" customHeight="false" outlineLevel="0" collapsed="false">
      <c r="A268" s="65" t="str">
        <f aca="false">_xlfn.CONCAT($A$1, ".", "PARAM")</f>
        <v>LSD.RID.0.AL.LFP.PARAM</v>
      </c>
      <c r="B268" s="66" t="str">
        <f aca="false">_xlfn.CONCAT($B$1, " ", "Parameters")</f>
        <v>Alabama Labor Force Population Parameters</v>
      </c>
    </row>
    <row r="269" customFormat="false" ht="12.8" hidden="false" customHeight="false" outlineLevel="0" collapsed="false">
      <c r="A269" s="12" t="s">
        <v>1099</v>
      </c>
      <c r="B269" s="43" t="s">
        <v>864</v>
      </c>
      <c r="C269" s="58" t="s">
        <v>1101</v>
      </c>
      <c r="D269" s="58" t="s">
        <v>866</v>
      </c>
      <c r="E269" s="58" t="s">
        <v>1823</v>
      </c>
      <c r="F269" s="58" t="s">
        <v>1824</v>
      </c>
      <c r="G269" s="58" t="s">
        <v>1825</v>
      </c>
    </row>
    <row r="270" customFormat="false" ht="12.8" hidden="false" customHeight="false" outlineLevel="0" collapsed="false">
      <c r="A270" s="55" t="str">
        <f aca="false">_xlfn.CONCAT($A$268, ".", "0")</f>
        <v>LSD.RID.0.AL.LFP.PARAM.0</v>
      </c>
      <c r="B270" s="71" t="s">
        <v>2125</v>
      </c>
      <c r="C270" s="41" t="n">
        <v>4126516</v>
      </c>
      <c r="D270" s="41" t="s">
        <v>1848</v>
      </c>
      <c r="E270" s="41" t="s">
        <v>884</v>
      </c>
      <c r="F270" s="41" t="s">
        <v>2126</v>
      </c>
      <c r="G270" s="57" t="s">
        <v>886</v>
      </c>
    </row>
    <row r="271" customFormat="false" ht="12.8" hidden="false" customHeight="false" outlineLevel="0" collapsed="false">
      <c r="A271" s="55" t="str">
        <f aca="false">_xlfn.CONCAT($A$268, ".", "1")</f>
        <v>LSD.RID.0.AL.LFP.PARAM.1</v>
      </c>
      <c r="B271" s="71" t="s">
        <v>2127</v>
      </c>
      <c r="C271" s="41" t="n">
        <v>0.577</v>
      </c>
      <c r="D271" s="41" t="s">
        <v>2128</v>
      </c>
      <c r="E271" s="41" t="s">
        <v>884</v>
      </c>
      <c r="F271" s="41" t="s">
        <v>2129</v>
      </c>
      <c r="G271" s="57" t="s">
        <v>886</v>
      </c>
    </row>
    <row r="272" customFormat="false" ht="12.8" hidden="false" customHeight="false" outlineLevel="0" collapsed="false">
      <c r="A272" s="55" t="str">
        <f aca="false">_xlfn.CONCAT($A$268, ".", "2")</f>
        <v>LSD.RID.0.AL.LFP.PARAM.2</v>
      </c>
      <c r="B272" s="71" t="s">
        <v>2130</v>
      </c>
      <c r="C272" s="41" t="n">
        <v>2381356</v>
      </c>
      <c r="D272" s="41" t="s">
        <v>2131</v>
      </c>
      <c r="E272" s="41" t="s">
        <v>884</v>
      </c>
      <c r="F272" s="41" t="s">
        <v>2132</v>
      </c>
      <c r="G272" s="57" t="s">
        <v>886</v>
      </c>
    </row>
    <row r="273" customFormat="false" ht="12.8" hidden="false" customHeight="false" outlineLevel="0" collapsed="false">
      <c r="A273" s="55" t="str">
        <f aca="false">_xlfn.CONCAT($A$268, ".", "3")</f>
        <v>LSD.RID.0.AL.LFP.PARAM.3</v>
      </c>
      <c r="B273" s="71" t="s">
        <v>1259</v>
      </c>
      <c r="C273" s="41" t="n">
        <v>1.02</v>
      </c>
      <c r="D273" s="41" t="s">
        <v>2133</v>
      </c>
      <c r="E273" s="41" t="s">
        <v>891</v>
      </c>
      <c r="F273" s="41" t="s">
        <v>2134</v>
      </c>
      <c r="G273" s="57" t="s">
        <v>886</v>
      </c>
    </row>
    <row r="274" customFormat="false" ht="12.8" hidden="false" customHeight="false" outlineLevel="0" collapsed="false">
      <c r="A274" s="55" t="str">
        <f aca="false">_xlfn.CONCAT($A$268, ".", "4")</f>
        <v>LSD.RID.0.AL.LFP.PARAM.4</v>
      </c>
      <c r="B274" s="71" t="s">
        <v>1255</v>
      </c>
      <c r="C274" s="41" t="n">
        <v>0.98</v>
      </c>
      <c r="D274" s="41" t="s">
        <v>2135</v>
      </c>
      <c r="E274" s="41" t="s">
        <v>891</v>
      </c>
      <c r="F274" s="41" t="s">
        <v>2136</v>
      </c>
      <c r="G274" s="57" t="s">
        <v>886</v>
      </c>
    </row>
    <row r="275" customFormat="false" ht="12.8" hidden="false" customHeight="false" outlineLevel="0" collapsed="false">
      <c r="A275" s="55" t="str">
        <f aca="false">_xlfn.CONCAT($A$268, ".", "5")</f>
        <v>LSD.RID.0.AL.LFP.PARAM.5</v>
      </c>
      <c r="B275" s="71" t="s">
        <v>2137</v>
      </c>
      <c r="C275" s="41" t="n">
        <v>1</v>
      </c>
      <c r="D275" s="41" t="s">
        <v>2138</v>
      </c>
      <c r="E275" s="41" t="s">
        <v>884</v>
      </c>
      <c r="F275" s="41" t="s">
        <v>1846</v>
      </c>
      <c r="G275" s="57" t="s">
        <v>886</v>
      </c>
    </row>
    <row r="277" customFormat="false" ht="12.8" hidden="false" customHeight="false" outlineLevel="0" collapsed="false">
      <c r="A277" s="65" t="str">
        <f aca="false">_xlfn.CONCAT($A$1, ".", "VALID")</f>
        <v>LSD.RID.0.AL.LFP.VALID</v>
      </c>
      <c r="B277" s="66" t="str">
        <f aca="false">_xlfn.CONCAT($B$1, " ", "Validation")</f>
        <v>Alabama Labor Force Population Validation</v>
      </c>
    </row>
    <row r="278" customFormat="false" ht="12.8" hidden="false" customHeight="false" outlineLevel="0" collapsed="false">
      <c r="A278" s="12" t="s">
        <v>113</v>
      </c>
      <c r="B278" s="43" t="s">
        <v>1986</v>
      </c>
      <c r="C278" s="58" t="s">
        <v>1987</v>
      </c>
      <c r="D278" s="58" t="s">
        <v>1988</v>
      </c>
      <c r="E278" s="58" t="s">
        <v>1824</v>
      </c>
      <c r="F278" s="58" t="s">
        <v>1989</v>
      </c>
      <c r="G278" s="58" t="s">
        <v>1990</v>
      </c>
    </row>
    <row r="279" customFormat="false" ht="12.8" hidden="false" customHeight="false" outlineLevel="0" collapsed="false">
      <c r="A279" s="55" t="str">
        <f aca="false">_xlfn.CONCAT($A$277, ".", "0")</f>
        <v>LSD.RID.0.AL.LFP.VALID.0</v>
      </c>
      <c r="B279" s="71" t="s">
        <v>2139</v>
      </c>
      <c r="C279" s="41" t="n">
        <v>2381356</v>
      </c>
      <c r="D279" s="41" t="n">
        <v>2381356</v>
      </c>
      <c r="E279" s="41" t="s">
        <v>2140</v>
      </c>
      <c r="F279" s="41" t="s">
        <v>884</v>
      </c>
      <c r="G279" s="41" t="s">
        <v>2141</v>
      </c>
    </row>
    <row r="280" customFormat="false" ht="12.8" hidden="false" customHeight="false" outlineLevel="0" collapsed="false">
      <c r="A280" s="55" t="str">
        <f aca="false">_xlfn.CONCAT($A$277, ".", "1")</f>
        <v>LSD.RID.0.AL.LFP.VALID.1</v>
      </c>
      <c r="B280" s="71" t="s">
        <v>2142</v>
      </c>
      <c r="C280" s="41" t="n">
        <v>0.577</v>
      </c>
      <c r="D280" s="41" t="n">
        <v>0.577</v>
      </c>
      <c r="E280" s="41" t="s">
        <v>2143</v>
      </c>
      <c r="F280" s="41" t="s">
        <v>884</v>
      </c>
      <c r="G280" s="41" t="s">
        <v>2144</v>
      </c>
    </row>
    <row r="281" customFormat="false" ht="12.8" hidden="false" customHeight="false" outlineLevel="0" collapsed="false">
      <c r="A281" s="55" t="str">
        <f aca="false">_xlfn.CONCAT($A$277, ".", "2")</f>
        <v>LSD.RID.0.AL.LFP.VALID.2</v>
      </c>
      <c r="B281" s="71" t="s">
        <v>2145</v>
      </c>
      <c r="C281" s="41" t="n">
        <v>48000</v>
      </c>
      <c r="D281" s="41" t="s">
        <v>2146</v>
      </c>
      <c r="E281" s="41" t="s">
        <v>2147</v>
      </c>
      <c r="F281" s="41" t="s">
        <v>891</v>
      </c>
      <c r="G281" s="41" t="s">
        <v>2148</v>
      </c>
    </row>
    <row r="282" customFormat="false" ht="12.8" hidden="false" customHeight="false" outlineLevel="0" collapsed="false">
      <c r="A282" s="55" t="str">
        <f aca="false">_xlfn.CONCAT($A$277, ".", "3")</f>
        <v>LSD.RID.0.AL.LFP.VALID.3</v>
      </c>
      <c r="B282" s="71" t="s">
        <v>2149</v>
      </c>
      <c r="C282" s="41" t="n">
        <v>79000</v>
      </c>
      <c r="D282" s="41" t="s">
        <v>2150</v>
      </c>
      <c r="E282" s="41" t="s">
        <v>2151</v>
      </c>
      <c r="F282" s="41" t="s">
        <v>891</v>
      </c>
      <c r="G282" s="41" t="s">
        <v>2152</v>
      </c>
    </row>
    <row r="283" customFormat="false" ht="12.8" hidden="false" customHeight="false" outlineLevel="0" collapsed="false">
      <c r="A283" s="55" t="str">
        <f aca="false">_xlfn.CONCAT($A$277, ".", "4")</f>
        <v>LSD.RID.0.AL.LFP.VALID.4</v>
      </c>
      <c r="B283" s="71" t="s">
        <v>2153</v>
      </c>
      <c r="C283" s="41" t="s">
        <v>2154</v>
      </c>
      <c r="D283" s="41" t="s">
        <v>2155</v>
      </c>
      <c r="E283" s="41" t="s">
        <v>2156</v>
      </c>
      <c r="F283" s="41" t="s">
        <v>884</v>
      </c>
      <c r="G283" s="41" t="s">
        <v>2157</v>
      </c>
    </row>
    <row r="284" customFormat="false" ht="12.8" hidden="false" customHeight="false" outlineLevel="0" collapsed="false">
      <c r="A284" s="55" t="str">
        <f aca="false">_xlfn.CONCAT($A$277, ".", "5")</f>
        <v>LSD.RID.0.AL.LFP.VALID.5</v>
      </c>
      <c r="B284" s="71" t="s">
        <v>2158</v>
      </c>
      <c r="C284" s="41" t="s">
        <v>2159</v>
      </c>
      <c r="D284" s="41" t="s">
        <v>2160</v>
      </c>
      <c r="E284" s="41" t="s">
        <v>2161</v>
      </c>
      <c r="F284" s="41" t="s">
        <v>2162</v>
      </c>
      <c r="G284" s="41" t="s">
        <v>2163</v>
      </c>
    </row>
    <row r="285" customFormat="false" ht="12.8" hidden="false" customHeight="false" outlineLevel="0" collapsed="false">
      <c r="A285" s="55" t="str">
        <f aca="false">_xlfn.CONCAT($A$277, ".", "6")</f>
        <v>LSD.RID.0.AL.LFP.VALID.6</v>
      </c>
      <c r="B285" s="71" t="s">
        <v>2164</v>
      </c>
      <c r="C285" s="41" t="n">
        <v>0</v>
      </c>
      <c r="D285" s="41" t="s">
        <v>2165</v>
      </c>
      <c r="E285" s="41" t="s">
        <v>2166</v>
      </c>
      <c r="F285" s="41" t="s">
        <v>2162</v>
      </c>
      <c r="G285" s="41" t="s">
        <v>2167</v>
      </c>
    </row>
    <row r="286" customFormat="false" ht="12.8" hidden="false" customHeight="false" outlineLevel="0" collapsed="false">
      <c r="A286" s="55" t="str">
        <f aca="false">_xlfn.CONCAT($A$277, ".", "7")</f>
        <v>LSD.RID.0.AL.LFP.VALID.7</v>
      </c>
      <c r="B286" s="71" t="s">
        <v>2168</v>
      </c>
      <c r="C286" s="41" t="s">
        <v>2169</v>
      </c>
      <c r="D286" s="41" t="n">
        <v>2381356</v>
      </c>
      <c r="E286" s="41" t="s">
        <v>1236</v>
      </c>
      <c r="F286" s="41" t="s">
        <v>884</v>
      </c>
      <c r="G286" s="41" t="s">
        <v>2170</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287"/>
  <sheetViews>
    <sheetView showFormulas="false" showGridLines="true" showRowColHeaders="true" showZeros="true" rightToLeft="false" tabSelected="false" showOutlineSymbols="true" defaultGridColor="true" view="normal" topLeftCell="A181" colorId="64" zoomScale="75" zoomScaleNormal="75" zoomScalePageLayoutView="100" workbookViewId="0">
      <selection pane="topLeft" activeCell="B280" activeCellId="0" sqref="B280"/>
    </sheetView>
  </sheetViews>
  <sheetFormatPr defaultColWidth="11.53515625" defaultRowHeight="12.8" customHeight="false" zeroHeight="false" outlineLevelRow="1" outlineLevelCol="0"/>
  <cols>
    <col collapsed="false" customWidth="true" hidden="false" outlineLevel="0" max="1" min="1" style="55" width="27.68"/>
    <col collapsed="false" customWidth="true" hidden="false" outlineLevel="0" max="2" min="2" style="41" width="41.51"/>
    <col collapsed="false" customWidth="true" hidden="false" outlineLevel="0" max="3" min="3" style="41" width="21.47"/>
    <col collapsed="false" customWidth="true" hidden="false" outlineLevel="0" max="6" min="4" style="41" width="19.14"/>
    <col collapsed="false" customWidth="true" hidden="false" outlineLevel="0" max="34" min="7"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2171</v>
      </c>
      <c r="B1" s="44" t="s">
        <v>2172</v>
      </c>
      <c r="C1" s="6" t="s">
        <v>2</v>
      </c>
      <c r="D1" s="68" t="s">
        <v>2173</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customFormat="false" ht="12.8" hidden="false" customHeight="false" outlineLevel="0" collapsed="false">
      <c r="A2" s="65" t="str">
        <f aca="false">_xlfn.CONCAT($A$1, ".", "CALC")</f>
        <v>LSD.RID.0.AL.ETPR.CALC</v>
      </c>
      <c r="B2" s="66" t="str">
        <f aca="false">_xlfn.CONCAT($B$1, " ", "Calculations")</f>
        <v>Alabama Employment-to-Population Ratio (ETPR) Calculations</v>
      </c>
      <c r="C2" s="67" t="s">
        <v>1872</v>
      </c>
      <c r="D2" s="67"/>
      <c r="E2" s="67"/>
      <c r="F2" s="67"/>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row>
    <row r="3" customFormat="false" ht="12.8" hidden="false" customHeight="false" outlineLevel="0" collapsed="false">
      <c r="A3" s="72" t="s">
        <v>1994</v>
      </c>
      <c r="B3" s="53" t="s">
        <v>1995</v>
      </c>
      <c r="C3" s="73" t="s">
        <v>35</v>
      </c>
      <c r="D3" s="73" t="s">
        <v>2174</v>
      </c>
      <c r="E3" s="73" t="s">
        <v>2175</v>
      </c>
      <c r="F3" s="73" t="s">
        <v>2176</v>
      </c>
    </row>
    <row r="4" customFormat="false" ht="12.8" hidden="false" customHeight="false" outlineLevel="0" collapsed="false">
      <c r="A4" s="4" t="s">
        <v>2177</v>
      </c>
      <c r="B4" s="43" t="s">
        <v>2001</v>
      </c>
      <c r="C4" s="73" t="n">
        <v>0.562</v>
      </c>
      <c r="D4" s="73" t="n">
        <v>0.514</v>
      </c>
      <c r="E4" s="73" t="n">
        <v>0.586</v>
      </c>
      <c r="F4" s="73" t="n">
        <v>0.563</v>
      </c>
    </row>
    <row r="5" customFormat="false" ht="12.8" hidden="false" customHeight="false" outlineLevel="0" collapsed="false">
      <c r="A5" s="55" t="s">
        <v>2178</v>
      </c>
      <c r="B5" s="71" t="s">
        <v>2003</v>
      </c>
      <c r="C5" s="74" t="n">
        <v>0.002</v>
      </c>
      <c r="D5" s="74" t="n">
        <v>0</v>
      </c>
      <c r="E5" s="74" t="n">
        <v>0.013</v>
      </c>
      <c r="F5" s="74" t="n">
        <v>0.002</v>
      </c>
    </row>
    <row r="6" customFormat="false" ht="12.8" hidden="false" customHeight="false" outlineLevel="0" collapsed="false">
      <c r="A6" s="55" t="s">
        <v>2179</v>
      </c>
      <c r="B6" s="71" t="s">
        <v>2005</v>
      </c>
      <c r="C6" s="74" t="n">
        <v>0.007</v>
      </c>
      <c r="D6" s="74" t="n">
        <v>0.013</v>
      </c>
      <c r="E6" s="74" t="n">
        <v>0.038</v>
      </c>
      <c r="F6" s="74" t="n">
        <v>0.006</v>
      </c>
    </row>
    <row r="7" customFormat="false" ht="12.8" hidden="false" customHeight="false" outlineLevel="0" collapsed="false">
      <c r="A7" s="55" t="s">
        <v>2180</v>
      </c>
      <c r="B7" s="71" t="s">
        <v>2007</v>
      </c>
      <c r="C7" s="74" t="n">
        <v>0.006</v>
      </c>
      <c r="D7" s="74" t="n">
        <v>0.007</v>
      </c>
      <c r="E7" s="74" t="n">
        <v>0.025</v>
      </c>
      <c r="F7" s="74" t="n">
        <v>0.006</v>
      </c>
    </row>
    <row r="8" customFormat="false" ht="12.8" hidden="false" customHeight="false" outlineLevel="0" collapsed="false">
      <c r="A8" s="55" t="s">
        <v>2181</v>
      </c>
      <c r="B8" s="71" t="s">
        <v>2009</v>
      </c>
      <c r="C8" s="74" t="n">
        <v>0.024</v>
      </c>
      <c r="D8" s="74" t="n">
        <v>0.033</v>
      </c>
      <c r="E8" s="74" t="n">
        <v>0.1</v>
      </c>
      <c r="F8" s="74" t="n">
        <v>0.022</v>
      </c>
    </row>
    <row r="9" customFormat="false" ht="12.8" hidden="false" customHeight="false" outlineLevel="0" collapsed="false">
      <c r="A9" s="55" t="s">
        <v>2182</v>
      </c>
      <c r="B9" s="71" t="s">
        <v>2011</v>
      </c>
      <c r="C9" s="74" t="n">
        <v>0.005</v>
      </c>
      <c r="D9" s="74" t="n">
        <v>0.007</v>
      </c>
      <c r="E9" s="74" t="n">
        <v>0.013</v>
      </c>
      <c r="F9" s="74" t="n">
        <v>0.005</v>
      </c>
    </row>
    <row r="10" customFormat="false" ht="12.8" hidden="false" customHeight="false" outlineLevel="0" collapsed="false">
      <c r="A10" s="55" t="s">
        <v>2183</v>
      </c>
      <c r="B10" s="71" t="s">
        <v>2013</v>
      </c>
      <c r="C10" s="74" t="n">
        <v>0.008</v>
      </c>
      <c r="D10" s="74" t="n">
        <v>0.013</v>
      </c>
      <c r="E10" s="74" t="n">
        <v>0.013</v>
      </c>
      <c r="F10" s="74" t="n">
        <v>0.008</v>
      </c>
    </row>
    <row r="11" customFormat="false" ht="12.8" hidden="false" customHeight="false" outlineLevel="0" collapsed="false">
      <c r="A11" s="55" t="s">
        <v>2184</v>
      </c>
      <c r="B11" s="71" t="s">
        <v>2015</v>
      </c>
      <c r="C11" s="74" t="n">
        <v>0.002</v>
      </c>
      <c r="D11" s="74" t="n">
        <v>0</v>
      </c>
      <c r="E11" s="74" t="n">
        <v>0</v>
      </c>
      <c r="F11" s="74" t="n">
        <v>0.002</v>
      </c>
    </row>
    <row r="12" customFormat="false" ht="12.8" hidden="false" customHeight="false" outlineLevel="0" collapsed="false">
      <c r="A12" s="55" t="s">
        <v>2185</v>
      </c>
      <c r="B12" s="71" t="s">
        <v>2017</v>
      </c>
      <c r="C12" s="74" t="n">
        <v>0.004</v>
      </c>
      <c r="D12" s="74" t="n">
        <v>0.007</v>
      </c>
      <c r="E12" s="74" t="n">
        <v>0.013</v>
      </c>
      <c r="F12" s="74" t="n">
        <v>0.003</v>
      </c>
    </row>
    <row r="13" customFormat="false" ht="12.8" hidden="false" customHeight="false" outlineLevel="0" collapsed="false">
      <c r="A13" s="55" t="s">
        <v>2186</v>
      </c>
      <c r="B13" s="71" t="s">
        <v>2019</v>
      </c>
      <c r="C13" s="74" t="n">
        <v>0.016</v>
      </c>
      <c r="D13" s="74" t="n">
        <v>0.02</v>
      </c>
      <c r="E13" s="74" t="n">
        <v>0.013</v>
      </c>
      <c r="F13" s="74" t="n">
        <v>0.015</v>
      </c>
    </row>
    <row r="14" customFormat="false" ht="12.8" hidden="false" customHeight="false" outlineLevel="0" collapsed="false">
      <c r="A14" s="55" t="s">
        <v>2187</v>
      </c>
      <c r="B14" s="71" t="s">
        <v>2021</v>
      </c>
      <c r="C14" s="74" t="n">
        <v>0.062</v>
      </c>
      <c r="D14" s="74" t="n">
        <v>0.067</v>
      </c>
      <c r="E14" s="74" t="n">
        <v>0.05</v>
      </c>
      <c r="F14" s="74" t="n">
        <v>0.062</v>
      </c>
    </row>
    <row r="15" customFormat="false" ht="12.8" hidden="false" customHeight="false" outlineLevel="0" collapsed="false">
      <c r="A15" s="55" t="s">
        <v>2188</v>
      </c>
      <c r="B15" s="71" t="s">
        <v>2023</v>
      </c>
      <c r="C15" s="74" t="n">
        <v>0.01</v>
      </c>
      <c r="D15" s="74" t="n">
        <v>0.007</v>
      </c>
      <c r="E15" s="74" t="n">
        <v>0.013</v>
      </c>
      <c r="F15" s="74" t="n">
        <v>0.01</v>
      </c>
    </row>
    <row r="16" customFormat="false" ht="12.8" hidden="false" customHeight="false" outlineLevel="0" collapsed="false">
      <c r="A16" s="55" t="s">
        <v>2189</v>
      </c>
      <c r="B16" s="71" t="s">
        <v>2025</v>
      </c>
      <c r="C16" s="74" t="n">
        <v>0.023</v>
      </c>
      <c r="D16" s="74" t="n">
        <v>0.02</v>
      </c>
      <c r="E16" s="74" t="n">
        <v>0.038</v>
      </c>
      <c r="F16" s="74" t="n">
        <v>0.023</v>
      </c>
    </row>
    <row r="17" customFormat="false" ht="12.8" hidden="false" customHeight="false" outlineLevel="0" collapsed="false">
      <c r="A17" s="55" t="s">
        <v>2190</v>
      </c>
      <c r="B17" s="71" t="s">
        <v>2027</v>
      </c>
      <c r="C17" s="74" t="n">
        <v>0.022</v>
      </c>
      <c r="D17" s="74" t="n">
        <v>0.02</v>
      </c>
      <c r="E17" s="74" t="n">
        <v>0.013</v>
      </c>
      <c r="F17" s="74" t="n">
        <v>0.022</v>
      </c>
    </row>
    <row r="18" customFormat="false" ht="12.8" hidden="false" customHeight="false" outlineLevel="0" collapsed="false">
      <c r="A18" s="55" t="s">
        <v>2191</v>
      </c>
      <c r="B18" s="71" t="s">
        <v>2029</v>
      </c>
      <c r="C18" s="74" t="n">
        <v>0.033</v>
      </c>
      <c r="D18" s="74" t="n">
        <v>0.027</v>
      </c>
      <c r="E18" s="74" t="n">
        <v>0.025</v>
      </c>
      <c r="F18" s="74" t="n">
        <v>0.033</v>
      </c>
    </row>
    <row r="19" customFormat="false" ht="12.8" hidden="false" customHeight="false" outlineLevel="0" collapsed="false">
      <c r="A19" s="55" t="s">
        <v>2192</v>
      </c>
      <c r="B19" s="71" t="s">
        <v>2031</v>
      </c>
      <c r="C19" s="74" t="n">
        <v>0.001</v>
      </c>
      <c r="D19" s="74" t="n">
        <v>0</v>
      </c>
      <c r="E19" s="74" t="n">
        <v>0</v>
      </c>
      <c r="F19" s="74" t="n">
        <v>0.001</v>
      </c>
    </row>
    <row r="20" customFormat="false" ht="12.8" hidden="false" customHeight="false" outlineLevel="0" collapsed="false">
      <c r="A20" s="55" t="s">
        <v>2193</v>
      </c>
      <c r="B20" s="71" t="s">
        <v>2033</v>
      </c>
      <c r="C20" s="74" t="n">
        <v>0.002</v>
      </c>
      <c r="D20" s="74" t="n">
        <v>0.007</v>
      </c>
      <c r="E20" s="74" t="n">
        <v>0.013</v>
      </c>
      <c r="F20" s="74" t="n">
        <v>0.002</v>
      </c>
    </row>
    <row r="21" customFormat="false" ht="12.8" hidden="false" customHeight="false" outlineLevel="0" collapsed="false">
      <c r="A21" s="55" t="s">
        <v>2194</v>
      </c>
      <c r="B21" s="71" t="s">
        <v>2035</v>
      </c>
      <c r="C21" s="74" t="n">
        <v>0.002</v>
      </c>
      <c r="D21" s="74" t="n">
        <v>0</v>
      </c>
      <c r="E21" s="74" t="n">
        <v>0</v>
      </c>
      <c r="F21" s="74" t="n">
        <v>0.002</v>
      </c>
    </row>
    <row r="22" customFormat="false" ht="12.8" hidden="false" customHeight="false" outlineLevel="0" collapsed="false">
      <c r="A22" s="55" t="s">
        <v>2195</v>
      </c>
      <c r="B22" s="71" t="s">
        <v>2037</v>
      </c>
      <c r="C22" s="74" t="n">
        <v>0.004</v>
      </c>
      <c r="D22" s="74" t="n">
        <v>0.007</v>
      </c>
      <c r="E22" s="74" t="n">
        <v>0</v>
      </c>
      <c r="F22" s="74" t="n">
        <v>0.004</v>
      </c>
    </row>
    <row r="23" customFormat="false" ht="12.8" hidden="false" customHeight="false" outlineLevel="0" collapsed="false">
      <c r="A23" s="55" t="s">
        <v>2196</v>
      </c>
      <c r="B23" s="71" t="s">
        <v>2039</v>
      </c>
      <c r="C23" s="74" t="n">
        <v>0.021</v>
      </c>
      <c r="D23" s="74" t="n">
        <v>0.02</v>
      </c>
      <c r="E23" s="74" t="n">
        <v>0.013</v>
      </c>
      <c r="F23" s="74" t="n">
        <v>0.021</v>
      </c>
    </row>
    <row r="24" customFormat="false" ht="12.8" hidden="false" customHeight="false" outlineLevel="0" collapsed="false">
      <c r="A24" s="55" t="s">
        <v>2197</v>
      </c>
      <c r="B24" s="71" t="s">
        <v>2041</v>
      </c>
      <c r="C24" s="74" t="n">
        <v>0.031</v>
      </c>
      <c r="D24" s="74" t="n">
        <v>0.027</v>
      </c>
      <c r="E24" s="74" t="n">
        <v>0.013</v>
      </c>
      <c r="F24" s="74" t="n">
        <v>0.032</v>
      </c>
    </row>
    <row r="25" customFormat="false" ht="12.8" hidden="false" customHeight="false" outlineLevel="0" collapsed="false">
      <c r="A25" s="55" t="s">
        <v>2198</v>
      </c>
      <c r="B25" s="71" t="s">
        <v>2043</v>
      </c>
      <c r="C25" s="74" t="n">
        <v>0.014</v>
      </c>
      <c r="D25" s="74" t="n">
        <v>0.013</v>
      </c>
      <c r="E25" s="74" t="n">
        <v>0.013</v>
      </c>
      <c r="F25" s="74" t="n">
        <v>0.014</v>
      </c>
    </row>
    <row r="26" customFormat="false" ht="12.8" hidden="false" customHeight="false" outlineLevel="0" collapsed="false">
      <c r="A26" s="55" t="s">
        <v>2199</v>
      </c>
      <c r="B26" s="71" t="s">
        <v>2045</v>
      </c>
      <c r="C26" s="74" t="n">
        <v>0.014</v>
      </c>
      <c r="D26" s="74" t="n">
        <v>0.013</v>
      </c>
      <c r="E26" s="74" t="n">
        <v>0.013</v>
      </c>
      <c r="F26" s="74" t="n">
        <v>0.014</v>
      </c>
    </row>
    <row r="27" customFormat="false" ht="12.8" hidden="false" customHeight="false" outlineLevel="0" collapsed="false">
      <c r="A27" s="55" t="s">
        <v>2200</v>
      </c>
      <c r="B27" s="71" t="s">
        <v>2047</v>
      </c>
      <c r="C27" s="74" t="n">
        <v>0.009</v>
      </c>
      <c r="D27" s="74" t="n">
        <v>0.007</v>
      </c>
      <c r="E27" s="74" t="n">
        <v>0</v>
      </c>
      <c r="F27" s="74" t="n">
        <v>0.009</v>
      </c>
    </row>
    <row r="28" customFormat="false" ht="12.8" hidden="false" customHeight="false" outlineLevel="0" collapsed="false">
      <c r="A28" s="55" t="s">
        <v>2201</v>
      </c>
      <c r="B28" s="71" t="s">
        <v>2049</v>
      </c>
      <c r="C28" s="74" t="n">
        <v>0.013</v>
      </c>
      <c r="D28" s="74" t="n">
        <v>0.007</v>
      </c>
      <c r="E28" s="74" t="n">
        <v>0</v>
      </c>
      <c r="F28" s="74" t="n">
        <v>0.014</v>
      </c>
    </row>
    <row r="29" customFormat="false" ht="12.8" hidden="false" customHeight="false" outlineLevel="0" collapsed="false">
      <c r="A29" s="55" t="s">
        <v>2202</v>
      </c>
      <c r="B29" s="71" t="s">
        <v>2051</v>
      </c>
      <c r="C29" s="74" t="n">
        <v>0.011</v>
      </c>
      <c r="D29" s="74" t="n">
        <v>0.007</v>
      </c>
      <c r="E29" s="74" t="n">
        <v>0</v>
      </c>
      <c r="F29" s="74" t="n">
        <v>0.011</v>
      </c>
    </row>
    <row r="30" customFormat="false" ht="12.8" hidden="false" customHeight="false" outlineLevel="0" collapsed="false">
      <c r="A30" s="55" t="s">
        <v>2203</v>
      </c>
      <c r="B30" s="71" t="s">
        <v>2053</v>
      </c>
      <c r="C30" s="74" t="n">
        <v>0.011</v>
      </c>
      <c r="D30" s="74" t="n">
        <v>0.007</v>
      </c>
      <c r="E30" s="74" t="n">
        <v>0</v>
      </c>
      <c r="F30" s="74" t="n">
        <v>0.011</v>
      </c>
    </row>
    <row r="31" customFormat="false" ht="12.8" hidden="false" customHeight="false" outlineLevel="0" collapsed="false">
      <c r="A31" s="55" t="s">
        <v>2204</v>
      </c>
      <c r="B31" s="71" t="s">
        <v>2055</v>
      </c>
      <c r="C31" s="74" t="n">
        <v>0.003</v>
      </c>
      <c r="D31" s="74" t="n">
        <v>0</v>
      </c>
      <c r="E31" s="74" t="n">
        <v>0</v>
      </c>
      <c r="F31" s="74" t="n">
        <v>0.003</v>
      </c>
    </row>
    <row r="32" customFormat="false" ht="12.8" hidden="false" customHeight="false" outlineLevel="0" collapsed="false">
      <c r="A32" s="55" t="s">
        <v>2205</v>
      </c>
      <c r="B32" s="71" t="s">
        <v>2057</v>
      </c>
      <c r="C32" s="74" t="n">
        <v>0.003</v>
      </c>
      <c r="D32" s="74" t="n">
        <v>0</v>
      </c>
      <c r="E32" s="74" t="n">
        <v>0</v>
      </c>
      <c r="F32" s="74" t="n">
        <v>0.003</v>
      </c>
    </row>
    <row r="33" customFormat="false" ht="12.8" hidden="false" customHeight="false" outlineLevel="0" collapsed="false">
      <c r="A33" s="55" t="s">
        <v>2206</v>
      </c>
      <c r="B33" s="71" t="s">
        <v>2059</v>
      </c>
      <c r="C33" s="74" t="n">
        <v>0.011</v>
      </c>
      <c r="D33" s="74" t="n">
        <v>0.007</v>
      </c>
      <c r="E33" s="74" t="n">
        <v>0</v>
      </c>
      <c r="F33" s="74" t="n">
        <v>0.012</v>
      </c>
    </row>
    <row r="34" customFormat="false" ht="12.8" hidden="false" customHeight="false" outlineLevel="0" collapsed="false">
      <c r="A34" s="55" t="s">
        <v>2207</v>
      </c>
      <c r="B34" s="71" t="s">
        <v>2061</v>
      </c>
      <c r="C34" s="74" t="n">
        <v>0.011</v>
      </c>
      <c r="D34" s="74" t="n">
        <v>0.007</v>
      </c>
      <c r="E34" s="74" t="n">
        <v>0</v>
      </c>
      <c r="F34" s="74" t="n">
        <v>0.012</v>
      </c>
    </row>
    <row r="35" customFormat="false" ht="12.8" hidden="false" customHeight="false" outlineLevel="0" collapsed="false">
      <c r="A35" s="55" t="s">
        <v>2208</v>
      </c>
      <c r="B35" s="71" t="s">
        <v>2063</v>
      </c>
      <c r="C35" s="74" t="n">
        <v>0.006</v>
      </c>
      <c r="D35" s="74" t="n">
        <v>0.007</v>
      </c>
      <c r="E35" s="74" t="n">
        <v>0.013</v>
      </c>
      <c r="F35" s="74" t="n">
        <v>0.006</v>
      </c>
    </row>
    <row r="36" customFormat="false" ht="12.8" hidden="false" customHeight="false" outlineLevel="0" collapsed="false">
      <c r="A36" s="55" t="s">
        <v>2209</v>
      </c>
      <c r="B36" s="71" t="s">
        <v>2065</v>
      </c>
      <c r="C36" s="74" t="n">
        <v>0.014</v>
      </c>
      <c r="D36" s="74" t="n">
        <v>0.013</v>
      </c>
      <c r="E36" s="74" t="n">
        <v>0.025</v>
      </c>
      <c r="F36" s="74" t="n">
        <v>0.014</v>
      </c>
    </row>
    <row r="37" customFormat="false" ht="12.8" hidden="false" customHeight="false" outlineLevel="0" collapsed="false">
      <c r="A37" s="55" t="s">
        <v>2210</v>
      </c>
      <c r="B37" s="71" t="s">
        <v>2067</v>
      </c>
      <c r="C37" s="74" t="n">
        <v>0.002</v>
      </c>
      <c r="D37" s="74" t="n">
        <v>0</v>
      </c>
      <c r="E37" s="74" t="n">
        <v>0</v>
      </c>
      <c r="F37" s="74" t="n">
        <v>0.002</v>
      </c>
    </row>
    <row r="38" customFormat="false" ht="12.8" hidden="false" customHeight="false" outlineLevel="0" collapsed="false">
      <c r="A38" s="55" t="s">
        <v>2211</v>
      </c>
      <c r="B38" s="71" t="s">
        <v>2069</v>
      </c>
      <c r="C38" s="74" t="n">
        <v>0.004</v>
      </c>
      <c r="D38" s="74" t="n">
        <v>0.007</v>
      </c>
      <c r="E38" s="74" t="n">
        <v>0</v>
      </c>
      <c r="F38" s="74" t="n">
        <v>0.004</v>
      </c>
    </row>
    <row r="39" customFormat="false" ht="12.8" hidden="false" customHeight="false" outlineLevel="0" collapsed="false">
      <c r="A39" s="55" t="s">
        <v>2212</v>
      </c>
      <c r="B39" s="71" t="s">
        <v>2071</v>
      </c>
      <c r="C39" s="74" t="n">
        <v>0</v>
      </c>
      <c r="D39" s="74" t="n">
        <v>0</v>
      </c>
      <c r="E39" s="74" t="n">
        <v>0</v>
      </c>
      <c r="F39" s="74" t="n">
        <v>0.001</v>
      </c>
    </row>
    <row r="40" customFormat="false" ht="12.8" hidden="false" customHeight="false" outlineLevel="0" collapsed="false">
      <c r="A40" s="55" t="s">
        <v>2213</v>
      </c>
      <c r="B40" s="71" t="s">
        <v>2073</v>
      </c>
      <c r="C40" s="74" t="n">
        <v>0.002</v>
      </c>
      <c r="D40" s="74" t="n">
        <v>0</v>
      </c>
      <c r="E40" s="74" t="n">
        <v>0</v>
      </c>
      <c r="F40" s="74" t="n">
        <v>0.002</v>
      </c>
    </row>
    <row r="41" customFormat="false" ht="12.8" hidden="false" customHeight="false" outlineLevel="0" collapsed="false">
      <c r="A41" s="55" t="s">
        <v>2214</v>
      </c>
      <c r="B41" s="71" t="s">
        <v>2075</v>
      </c>
      <c r="C41" s="74" t="n">
        <v>0.001</v>
      </c>
      <c r="D41" s="74" t="n">
        <v>0</v>
      </c>
      <c r="E41" s="74" t="n">
        <v>0</v>
      </c>
      <c r="F41" s="74" t="n">
        <v>0.001</v>
      </c>
    </row>
    <row r="42" customFormat="false" ht="12.8" hidden="false" customHeight="false" outlineLevel="0" collapsed="false">
      <c r="A42" s="55" t="s">
        <v>2215</v>
      </c>
      <c r="B42" s="71" t="s">
        <v>2077</v>
      </c>
      <c r="C42" s="74" t="n">
        <v>0.004</v>
      </c>
      <c r="D42" s="74" t="n">
        <v>0</v>
      </c>
      <c r="E42" s="74" t="n">
        <v>0</v>
      </c>
      <c r="F42" s="74" t="n">
        <v>0.005</v>
      </c>
    </row>
    <row r="43" customFormat="false" ht="12.8" hidden="false" customHeight="false" outlineLevel="0" collapsed="false">
      <c r="A43" s="55" t="s">
        <v>2216</v>
      </c>
      <c r="B43" s="71" t="s">
        <v>2079</v>
      </c>
      <c r="C43" s="74" t="n">
        <v>0.005</v>
      </c>
      <c r="D43" s="74" t="n">
        <v>0.007</v>
      </c>
      <c r="E43" s="74" t="n">
        <v>0</v>
      </c>
      <c r="F43" s="74" t="n">
        <v>0.005</v>
      </c>
    </row>
    <row r="44" customFormat="false" ht="12.8" hidden="false" customHeight="false" outlineLevel="0" collapsed="false">
      <c r="A44" s="55" t="s">
        <v>2217</v>
      </c>
      <c r="B44" s="71" t="s">
        <v>2081</v>
      </c>
      <c r="C44" s="74" t="n">
        <v>0.012</v>
      </c>
      <c r="D44" s="74" t="n">
        <v>0.007</v>
      </c>
      <c r="E44" s="74" t="n">
        <v>0.013</v>
      </c>
      <c r="F44" s="74" t="n">
        <v>0.012</v>
      </c>
    </row>
    <row r="45" customFormat="false" ht="12.8" hidden="false" customHeight="false" outlineLevel="0" collapsed="false">
      <c r="A45" s="55" t="s">
        <v>2218</v>
      </c>
      <c r="B45" s="71" t="s">
        <v>2083</v>
      </c>
      <c r="C45" s="74" t="n">
        <v>0</v>
      </c>
      <c r="D45" s="74" t="n">
        <v>0</v>
      </c>
      <c r="E45" s="74" t="n">
        <v>0</v>
      </c>
      <c r="F45" s="74" t="n">
        <v>0</v>
      </c>
    </row>
    <row r="46" customFormat="false" ht="12.8" hidden="false" customHeight="false" outlineLevel="0" collapsed="false">
      <c r="A46" s="55" t="s">
        <v>2219</v>
      </c>
      <c r="B46" s="71" t="s">
        <v>2085</v>
      </c>
      <c r="C46" s="74" t="n">
        <v>0</v>
      </c>
      <c r="D46" s="74" t="n">
        <v>0</v>
      </c>
      <c r="E46" s="74" t="n">
        <v>0</v>
      </c>
      <c r="F46" s="74" t="n">
        <v>0</v>
      </c>
    </row>
    <row r="47" customFormat="false" ht="12.8" hidden="false" customHeight="false" outlineLevel="0" collapsed="false">
      <c r="A47" s="55" t="s">
        <v>2220</v>
      </c>
      <c r="B47" s="71" t="s">
        <v>2087</v>
      </c>
      <c r="C47" s="74" t="n">
        <v>0.003</v>
      </c>
      <c r="D47" s="74" t="n">
        <v>0</v>
      </c>
      <c r="E47" s="74" t="n">
        <v>0</v>
      </c>
      <c r="F47" s="74" t="n">
        <v>0.003</v>
      </c>
    </row>
    <row r="48" customFormat="false" ht="12.8" hidden="false" customHeight="false" outlineLevel="0" collapsed="false">
      <c r="A48" s="55" t="s">
        <v>2221</v>
      </c>
      <c r="B48" s="71" t="s">
        <v>2089</v>
      </c>
      <c r="C48" s="74" t="n">
        <v>0.003</v>
      </c>
      <c r="D48" s="74" t="n">
        <v>0</v>
      </c>
      <c r="E48" s="74" t="n">
        <v>0</v>
      </c>
      <c r="F48" s="74" t="n">
        <v>0.003</v>
      </c>
    </row>
    <row r="49" customFormat="false" ht="12.8" hidden="false" customHeight="false" outlineLevel="0" collapsed="false">
      <c r="A49" s="55" t="s">
        <v>2222</v>
      </c>
      <c r="B49" s="71" t="s">
        <v>2091</v>
      </c>
      <c r="C49" s="74" t="n">
        <v>0.001</v>
      </c>
      <c r="D49" s="74" t="n">
        <v>0</v>
      </c>
      <c r="E49" s="74" t="n">
        <v>0</v>
      </c>
      <c r="F49" s="74" t="n">
        <v>0.001</v>
      </c>
    </row>
    <row r="50" customFormat="false" ht="12.8" hidden="false" customHeight="false" outlineLevel="0" collapsed="false">
      <c r="A50" s="55" t="s">
        <v>2223</v>
      </c>
      <c r="B50" s="71" t="s">
        <v>2093</v>
      </c>
      <c r="C50" s="74" t="n">
        <v>0.002</v>
      </c>
      <c r="D50" s="74" t="n">
        <v>0</v>
      </c>
      <c r="E50" s="74" t="n">
        <v>0</v>
      </c>
      <c r="F50" s="74" t="n">
        <v>0.002</v>
      </c>
    </row>
    <row r="51" customFormat="false" ht="12.8" hidden="false" customHeight="false" outlineLevel="0" collapsed="false">
      <c r="A51" s="55" t="s">
        <v>2224</v>
      </c>
      <c r="B51" s="71" t="s">
        <v>2095</v>
      </c>
      <c r="C51" s="74" t="n">
        <v>0.005</v>
      </c>
      <c r="D51" s="74" t="n">
        <v>0.007</v>
      </c>
      <c r="E51" s="74" t="n">
        <v>0</v>
      </c>
      <c r="F51" s="74" t="n">
        <v>0.005</v>
      </c>
    </row>
    <row r="52" customFormat="false" ht="12.8" hidden="false" customHeight="false" outlineLevel="0" collapsed="false">
      <c r="A52" s="55" t="s">
        <v>2225</v>
      </c>
      <c r="B52" s="71" t="s">
        <v>2097</v>
      </c>
      <c r="C52" s="74" t="n">
        <v>0.007</v>
      </c>
      <c r="D52" s="74" t="n">
        <v>0.007</v>
      </c>
      <c r="E52" s="74" t="n">
        <v>0.013</v>
      </c>
      <c r="F52" s="74" t="n">
        <v>0.007</v>
      </c>
    </row>
    <row r="53" customFormat="false" ht="12.8" hidden="false" customHeight="false" outlineLevel="0" collapsed="false">
      <c r="A53" s="55" t="s">
        <v>2226</v>
      </c>
      <c r="B53" s="71" t="s">
        <v>2099</v>
      </c>
      <c r="C53" s="74" t="n">
        <v>0.013</v>
      </c>
      <c r="D53" s="74" t="n">
        <v>0.02</v>
      </c>
      <c r="E53" s="74" t="n">
        <v>0.025</v>
      </c>
      <c r="F53" s="74" t="n">
        <v>0.013</v>
      </c>
    </row>
    <row r="54" customFormat="false" ht="12.8" hidden="false" customHeight="false" outlineLevel="0" collapsed="false">
      <c r="A54" s="55" t="s">
        <v>2227</v>
      </c>
      <c r="B54" s="71" t="s">
        <v>2101</v>
      </c>
      <c r="C54" s="74" t="n">
        <v>0.02</v>
      </c>
      <c r="D54" s="74" t="n">
        <v>0.027</v>
      </c>
      <c r="E54" s="74" t="n">
        <v>0.025</v>
      </c>
      <c r="F54" s="74" t="n">
        <v>0.019</v>
      </c>
    </row>
    <row r="55" customFormat="false" ht="12.8" hidden="false" customHeight="false" outlineLevel="0" collapsed="false">
      <c r="A55" s="55" t="s">
        <v>2228</v>
      </c>
      <c r="B55" s="71" t="s">
        <v>2103</v>
      </c>
      <c r="C55" s="74" t="n">
        <v>0.045</v>
      </c>
      <c r="D55" s="74" t="n">
        <v>0.027</v>
      </c>
      <c r="E55" s="74" t="n">
        <v>0.013</v>
      </c>
      <c r="F55" s="74" t="n">
        <v>0.047</v>
      </c>
    </row>
    <row r="56" customFormat="false" ht="12.8" hidden="false" customHeight="false" outlineLevel="0" collapsed="false">
      <c r="A56" s="55" t="s">
        <v>2229</v>
      </c>
      <c r="B56" s="71" t="s">
        <v>2105</v>
      </c>
      <c r="C56" s="74" t="n">
        <v>0.045</v>
      </c>
      <c r="D56" s="74" t="n">
        <v>0.027</v>
      </c>
      <c r="E56" s="74" t="n">
        <v>0.013</v>
      </c>
      <c r="F56" s="74" t="n">
        <v>0.047</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row r="250" customFormat="false" ht="12.8" hidden="false" customHeight="false" outlineLevel="1" collapsed="false"/>
    <row r="251" customFormat="false" ht="12.8" hidden="false" customHeight="false" outlineLevel="1" collapsed="false"/>
    <row r="252" customFormat="false" ht="12.8" hidden="false" customHeight="false" outlineLevel="1" collapsed="false"/>
    <row r="260" customFormat="false" ht="12.8" hidden="false" customHeight="false" outlineLevel="0" collapsed="false">
      <c r="A260" s="65" t="str">
        <f aca="false">_xlfn.CONCAT($A$1, ".", "FORM")</f>
        <v>LSD.RID.0.AL.ETPR.FORM</v>
      </c>
      <c r="B260" s="66" t="str">
        <f aca="false">_xlfn.CONCAT($B$1, " ", "Formulae")</f>
        <v>Alabama Employment-to-Population Ratio (ETPR) Formulae</v>
      </c>
    </row>
    <row r="261" customFormat="false" ht="12.8" hidden="false" customHeight="false" outlineLevel="0" collapsed="false">
      <c r="A261" s="55" t="s">
        <v>168</v>
      </c>
      <c r="B261" s="41" t="s">
        <v>863</v>
      </c>
      <c r="C261" s="41" t="s">
        <v>864</v>
      </c>
      <c r="D261" s="41" t="s">
        <v>865</v>
      </c>
      <c r="E261" s="41" t="s">
        <v>866</v>
      </c>
      <c r="F261" s="41" t="s">
        <v>867</v>
      </c>
    </row>
    <row r="262" customFormat="false" ht="12.8" hidden="false" customHeight="false" outlineLevel="0" collapsed="false">
      <c r="A262" s="55" t="s">
        <v>2230</v>
      </c>
      <c r="B262" s="41" t="s">
        <v>335</v>
      </c>
      <c r="C262" s="41" t="s">
        <v>2231</v>
      </c>
      <c r="D262" s="41" t="s">
        <v>2232</v>
      </c>
      <c r="E262" s="41" t="s">
        <v>2233</v>
      </c>
      <c r="F262" s="41" t="s">
        <v>2234</v>
      </c>
    </row>
    <row r="263" customFormat="false" ht="12.8" hidden="false" customHeight="false" outlineLevel="0" collapsed="false">
      <c r="A263" s="55" t="s">
        <v>2235</v>
      </c>
      <c r="B263" s="41" t="s">
        <v>335</v>
      </c>
      <c r="C263" s="41" t="s">
        <v>2236</v>
      </c>
      <c r="D263" s="41" t="s">
        <v>2237</v>
      </c>
      <c r="E263" s="41" t="s">
        <v>391</v>
      </c>
      <c r="F263" s="41" t="s">
        <v>2238</v>
      </c>
    </row>
    <row r="264" customFormat="false" ht="12.8" hidden="false" customHeight="false" outlineLevel="0" collapsed="false">
      <c r="A264" s="55" t="s">
        <v>2239</v>
      </c>
      <c r="B264" s="41" t="s">
        <v>335</v>
      </c>
      <c r="C264" s="41" t="s">
        <v>2240</v>
      </c>
      <c r="D264" s="41" t="s">
        <v>2241</v>
      </c>
      <c r="E264" s="41" t="s">
        <v>396</v>
      </c>
      <c r="F264" s="41" t="s">
        <v>2242</v>
      </c>
    </row>
    <row r="265" customFormat="false" ht="12.8" hidden="false" customHeight="false" outlineLevel="0" collapsed="false">
      <c r="A265" s="55" t="s">
        <v>2243</v>
      </c>
      <c r="B265" s="41" t="s">
        <v>335</v>
      </c>
      <c r="C265" s="41" t="s">
        <v>2176</v>
      </c>
      <c r="D265" s="41" t="s">
        <v>2244</v>
      </c>
      <c r="E265" s="41" t="s">
        <v>327</v>
      </c>
      <c r="F265" s="41" t="s">
        <v>2245</v>
      </c>
    </row>
    <row r="266" customFormat="false" ht="12.8" hidden="false" customHeight="false" outlineLevel="0" collapsed="false">
      <c r="A266" s="55" t="s">
        <v>2246</v>
      </c>
      <c r="B266" s="41" t="s">
        <v>335</v>
      </c>
      <c r="C266" s="41" t="s">
        <v>2247</v>
      </c>
      <c r="D266" s="41" t="s">
        <v>2248</v>
      </c>
      <c r="E266" s="41" t="s">
        <v>2249</v>
      </c>
      <c r="F266" s="41" t="s">
        <v>2250</v>
      </c>
    </row>
    <row r="269" customFormat="false" ht="12.8" hidden="false" customHeight="false" outlineLevel="0" collapsed="false">
      <c r="A269" s="65" t="str">
        <f aca="false">_xlfn.CONCAT($A$1, ".", "PARAM")</f>
        <v>LSD.RID.0.AL.ETPR.PARAM</v>
      </c>
      <c r="B269" s="66" t="str">
        <f aca="false">_xlfn.CONCAT($B$1, " ", "Parameters")</f>
        <v>Alabama Employment-to-Population Ratio (ETPR) Parameters</v>
      </c>
    </row>
    <row r="270" customFormat="false" ht="12.8" hidden="false" customHeight="false" outlineLevel="0" collapsed="false">
      <c r="A270" s="55" t="s">
        <v>1099</v>
      </c>
      <c r="B270" s="41" t="s">
        <v>864</v>
      </c>
      <c r="C270" s="41" t="s">
        <v>1101</v>
      </c>
      <c r="D270" s="41" t="s">
        <v>866</v>
      </c>
      <c r="E270" s="41" t="s">
        <v>1823</v>
      </c>
      <c r="F270" s="41" t="s">
        <v>1824</v>
      </c>
      <c r="G270" s="41" t="s">
        <v>1825</v>
      </c>
    </row>
    <row r="271" customFormat="false" ht="12.8" hidden="false" customHeight="false" outlineLevel="0" collapsed="false">
      <c r="A271" s="55" t="s">
        <v>2251</v>
      </c>
      <c r="B271" s="41" t="s">
        <v>1847</v>
      </c>
      <c r="C271" s="41" t="n">
        <v>4126524</v>
      </c>
      <c r="D271" s="41" t="s">
        <v>1848</v>
      </c>
      <c r="E271" s="41" t="s">
        <v>884</v>
      </c>
      <c r="F271" s="41" t="s">
        <v>2252</v>
      </c>
      <c r="G271" s="57" t="s">
        <v>886</v>
      </c>
    </row>
    <row r="272" customFormat="false" ht="12.8" hidden="false" customHeight="false" outlineLevel="0" collapsed="false">
      <c r="A272" s="55" t="s">
        <v>2253</v>
      </c>
      <c r="B272" s="41" t="s">
        <v>1850</v>
      </c>
      <c r="C272" s="41" t="n">
        <v>150000</v>
      </c>
      <c r="D272" s="41" t="s">
        <v>1851</v>
      </c>
      <c r="E272" s="41" t="s">
        <v>891</v>
      </c>
      <c r="F272" s="41" t="s">
        <v>2254</v>
      </c>
      <c r="G272" s="57" t="s">
        <v>886</v>
      </c>
    </row>
    <row r="273" customFormat="false" ht="12.8" hidden="false" customHeight="false" outlineLevel="0" collapsed="false">
      <c r="A273" s="55" t="s">
        <v>2255</v>
      </c>
      <c r="B273" s="41" t="s">
        <v>1853</v>
      </c>
      <c r="C273" s="41" t="n">
        <v>80000</v>
      </c>
      <c r="D273" s="41" t="s">
        <v>1854</v>
      </c>
      <c r="E273" s="41" t="s">
        <v>891</v>
      </c>
      <c r="F273" s="41" t="s">
        <v>2256</v>
      </c>
      <c r="G273" s="57" t="s">
        <v>886</v>
      </c>
    </row>
    <row r="274" customFormat="false" ht="12.8" hidden="false" customHeight="false" outlineLevel="0" collapsed="false">
      <c r="A274" s="55" t="s">
        <v>2257</v>
      </c>
      <c r="B274" s="41" t="s">
        <v>1856</v>
      </c>
      <c r="C274" s="41" t="n">
        <v>3896524</v>
      </c>
      <c r="D274" s="41" t="s">
        <v>1857</v>
      </c>
      <c r="E274" s="41" t="s">
        <v>884</v>
      </c>
      <c r="F274" s="41" t="s">
        <v>1858</v>
      </c>
      <c r="G274" s="57" t="s">
        <v>886</v>
      </c>
    </row>
    <row r="275" customFormat="false" ht="12.8" hidden="false" customHeight="false" outlineLevel="0" collapsed="false">
      <c r="A275" s="55" t="s">
        <v>2258</v>
      </c>
      <c r="B275" s="41" t="s">
        <v>1859</v>
      </c>
      <c r="C275" s="41" t="n">
        <v>0.56152</v>
      </c>
      <c r="D275" s="41" t="s">
        <v>1860</v>
      </c>
      <c r="E275" s="41" t="s">
        <v>884</v>
      </c>
      <c r="F275" s="41" t="s">
        <v>1861</v>
      </c>
      <c r="G275" s="57" t="s">
        <v>886</v>
      </c>
    </row>
    <row r="276" customFormat="false" ht="12.8" hidden="false" customHeight="false" outlineLevel="0" collapsed="false">
      <c r="A276" s="55" t="s">
        <v>2259</v>
      </c>
      <c r="B276" s="41" t="s">
        <v>1305</v>
      </c>
      <c r="C276" s="41" t="n">
        <v>0.915</v>
      </c>
      <c r="D276" s="41" t="s">
        <v>1862</v>
      </c>
      <c r="E276" s="41" t="s">
        <v>891</v>
      </c>
      <c r="F276" s="41" t="s">
        <v>1863</v>
      </c>
      <c r="G276" s="57" t="s">
        <v>886</v>
      </c>
    </row>
    <row r="277" customFormat="false" ht="12.8" hidden="false" customHeight="false" outlineLevel="0" collapsed="false">
      <c r="A277" s="55" t="s">
        <v>2260</v>
      </c>
      <c r="B277" s="41" t="s">
        <v>1302</v>
      </c>
      <c r="C277" s="41" t="n">
        <v>1.044</v>
      </c>
      <c r="D277" s="41" t="s">
        <v>1864</v>
      </c>
      <c r="E277" s="41" t="s">
        <v>891</v>
      </c>
      <c r="F277" s="41" t="s">
        <v>1865</v>
      </c>
      <c r="G277" s="57" t="s">
        <v>886</v>
      </c>
    </row>
    <row r="278" customFormat="false" ht="12.8" hidden="false" customHeight="false" outlineLevel="0" collapsed="false">
      <c r="A278" s="55" t="s">
        <v>2261</v>
      </c>
      <c r="B278" s="41" t="s">
        <v>1866</v>
      </c>
      <c r="C278" s="41" t="n">
        <v>0.56152</v>
      </c>
      <c r="D278" s="41" t="s">
        <v>1867</v>
      </c>
      <c r="E278" s="41" t="s">
        <v>884</v>
      </c>
      <c r="F278" s="41" t="s">
        <v>1868</v>
      </c>
      <c r="G278" s="57" t="s">
        <v>886</v>
      </c>
    </row>
    <row r="280" customFormat="false" ht="12.8" hidden="false" customHeight="false" outlineLevel="0" collapsed="false">
      <c r="A280" s="65" t="str">
        <f aca="false">_xlfn.CONCAT($A$1, ".", "VALID")</f>
        <v>LSD.RID.0.AL.ETPR.VALID</v>
      </c>
      <c r="B280" s="66" t="str">
        <f aca="false">_xlfn.CONCAT($B$1, " ", "Validation")</f>
        <v>Alabama Employment-to-Population Ratio (ETPR) Validation</v>
      </c>
    </row>
    <row r="281" customFormat="false" ht="12.8" hidden="false" customHeight="false" outlineLevel="0" collapsed="false">
      <c r="A281" s="55" t="s">
        <v>113</v>
      </c>
      <c r="B281" s="41" t="s">
        <v>1986</v>
      </c>
      <c r="C281" s="41" t="s">
        <v>1987</v>
      </c>
      <c r="D281" s="41" t="s">
        <v>1988</v>
      </c>
      <c r="E281" s="41" t="s">
        <v>1824</v>
      </c>
      <c r="F281" s="41" t="s">
        <v>1989</v>
      </c>
      <c r="G281" s="41" t="s">
        <v>1990</v>
      </c>
    </row>
    <row r="282" customFormat="false" ht="12.8" hidden="false" customHeight="false" outlineLevel="0" collapsed="false">
      <c r="A282" s="55" t="s">
        <v>2262</v>
      </c>
      <c r="B282" s="41" t="s">
        <v>2263</v>
      </c>
      <c r="C282" s="41" t="n">
        <v>0.562</v>
      </c>
      <c r="D282" s="41" t="n">
        <v>0.562</v>
      </c>
      <c r="E282" s="41" t="s">
        <v>2264</v>
      </c>
      <c r="F282" s="41" t="s">
        <v>884</v>
      </c>
      <c r="G282" s="41" t="s">
        <v>2265</v>
      </c>
    </row>
    <row r="283" customFormat="false" ht="12.8" hidden="false" customHeight="false" outlineLevel="0" collapsed="false">
      <c r="A283" s="55" t="s">
        <v>2266</v>
      </c>
      <c r="B283" s="41" t="s">
        <v>2267</v>
      </c>
      <c r="C283" s="41" t="n">
        <v>0.586</v>
      </c>
      <c r="D283" s="41" t="s">
        <v>2268</v>
      </c>
      <c r="E283" s="41" t="s">
        <v>2269</v>
      </c>
      <c r="F283" s="41" t="s">
        <v>891</v>
      </c>
      <c r="G283" s="41" t="s">
        <v>2270</v>
      </c>
    </row>
    <row r="284" customFormat="false" ht="12.8" hidden="false" customHeight="false" outlineLevel="0" collapsed="false">
      <c r="A284" s="55" t="s">
        <v>2271</v>
      </c>
      <c r="B284" s="41" t="s">
        <v>2272</v>
      </c>
      <c r="C284" s="41" t="n">
        <v>0.514</v>
      </c>
      <c r="D284" s="41" t="s">
        <v>2273</v>
      </c>
      <c r="E284" s="41" t="s">
        <v>2274</v>
      </c>
      <c r="F284" s="41" t="s">
        <v>891</v>
      </c>
      <c r="G284" s="41" t="s">
        <v>2275</v>
      </c>
    </row>
    <row r="285" customFormat="false" ht="12.8" hidden="false" customHeight="false" outlineLevel="0" collapsed="false">
      <c r="A285" s="55" t="s">
        <v>2276</v>
      </c>
      <c r="B285" s="41" t="s">
        <v>2277</v>
      </c>
      <c r="C285" s="41" t="n">
        <v>0.563</v>
      </c>
      <c r="D285" s="41" t="s">
        <v>2278</v>
      </c>
      <c r="E285" s="41" t="s">
        <v>2279</v>
      </c>
      <c r="F285" s="41" t="s">
        <v>884</v>
      </c>
      <c r="G285" s="41" t="s">
        <v>2280</v>
      </c>
    </row>
    <row r="286" customFormat="false" ht="12.8" hidden="false" customHeight="false" outlineLevel="0" collapsed="false">
      <c r="A286" s="55" t="s">
        <v>2281</v>
      </c>
      <c r="B286" s="41" t="s">
        <v>2282</v>
      </c>
      <c r="C286" s="41" t="s">
        <v>2283</v>
      </c>
      <c r="D286" s="41" t="s">
        <v>2284</v>
      </c>
      <c r="E286" s="41" t="s">
        <v>2285</v>
      </c>
      <c r="F286" s="41" t="s">
        <v>891</v>
      </c>
      <c r="G286" s="41" t="s">
        <v>2286</v>
      </c>
    </row>
    <row r="287" customFormat="false" ht="12.8" hidden="false" customHeight="false" outlineLevel="0" collapsed="false">
      <c r="A287" s="55" t="s">
        <v>2287</v>
      </c>
      <c r="B287" s="41" t="s">
        <v>2288</v>
      </c>
      <c r="C287" s="41" t="s">
        <v>2289</v>
      </c>
      <c r="D287" s="41" t="n">
        <v>0.562</v>
      </c>
      <c r="E287" s="41" t="s">
        <v>1236</v>
      </c>
      <c r="F287" s="41" t="s">
        <v>884</v>
      </c>
      <c r="G287" s="41" t="s">
        <v>2290</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247"/>
  <sheetViews>
    <sheetView showFormulas="false" showGridLines="true" showRowColHeaders="true" showZeros="true" rightToLeft="false" tabSelected="false" showOutlineSymbols="true" defaultGridColor="true" view="normal" topLeftCell="A84"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12" t="s">
        <v>2291</v>
      </c>
      <c r="B1" s="44" t="s">
        <v>2292</v>
      </c>
      <c r="C1" s="6" t="s">
        <v>2</v>
      </c>
      <c r="D1" s="44" t="s">
        <v>2293</v>
      </c>
      <c r="E1" s="68" t="s">
        <v>2294</v>
      </c>
      <c r="AZ1" s="41"/>
      <c r="BA1" s="41"/>
      <c r="BB1" s="41"/>
      <c r="BC1" s="41"/>
    </row>
    <row r="2" customFormat="false" ht="46.25" hidden="false" customHeight="false" outlineLevel="0" collapsed="false">
      <c r="A2" s="72" t="s">
        <v>1994</v>
      </c>
      <c r="B2" s="53" t="s">
        <v>1995</v>
      </c>
      <c r="C2" s="75" t="str">
        <f aca="false">CALC!K3</f>
        <v>Labor Force Participation Rate (LFPR)</v>
      </c>
      <c r="D2" s="75" t="str">
        <f aca="false">CALC!L3</f>
        <v>Authorized Immigrant Labor Force Participation Rate (LFPR)</v>
      </c>
      <c r="E2" s="75" t="str">
        <f aca="false">CALC!M3</f>
        <v>Unauthorized Immigrant Labor Force Participation Rate (LFPR)</v>
      </c>
      <c r="F2" s="75" t="str">
        <f aca="false">CALC!N3</f>
        <v>American Labor Force Participation Rate (LFPR)</v>
      </c>
    </row>
    <row r="3" customFormat="false" ht="12.8" hidden="false" customHeight="false" outlineLevel="0" collapsed="false">
      <c r="A3" s="4" t="e">
        <f aca="false">_xlfn.CONCAT($A$1, ".", #REF!)</f>
        <v>#REF!</v>
      </c>
      <c r="B3" s="58"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4" t="e">
        <f aca="false">_xlfn.CONCAT($A$1, ".", #REF!)</f>
        <v>#REF!</v>
      </c>
      <c r="B4" s="58"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4" t="e">
        <f aca="false">_xlfn.CONCAT($A$1, ".", #REF!)</f>
        <v>#REF!</v>
      </c>
      <c r="B5" s="58"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4" t="e">
        <f aca="false">_xlfn.CONCAT($A$1, ".", #REF!)</f>
        <v>#REF!</v>
      </c>
      <c r="B6" s="58"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4" t="e">
        <f aca="false">_xlfn.CONCAT($A$1, ".", #REF!)</f>
        <v>#REF!</v>
      </c>
      <c r="B7" s="58"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4" t="e">
        <f aca="false">_xlfn.CONCAT($A$1, ".", #REF!)</f>
        <v>#REF!</v>
      </c>
      <c r="B8" s="58"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4" t="e">
        <f aca="false">_xlfn.CONCAT($A$1, ".", #REF!)</f>
        <v>#REF!</v>
      </c>
      <c r="B9" s="58"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4" t="e">
        <f aca="false">_xlfn.CONCAT($A$1, ".", #REF!)</f>
        <v>#REF!</v>
      </c>
      <c r="B10" s="58"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4" t="e">
        <f aca="false">_xlfn.CONCAT($A$1, ".", #REF!)</f>
        <v>#REF!</v>
      </c>
      <c r="B11" s="58"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4" t="e">
        <f aca="false">_xlfn.CONCAT($A$1, ".", #REF!)</f>
        <v>#REF!</v>
      </c>
      <c r="B12" s="58"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4" t="e">
        <f aca="false">_xlfn.CONCAT($A$1, ".", #REF!)</f>
        <v>#REF!</v>
      </c>
      <c r="B13" s="58"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4" t="e">
        <f aca="false">_xlfn.CONCAT($A$1, ".", #REF!)</f>
        <v>#REF!</v>
      </c>
      <c r="B14" s="58"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4" t="e">
        <f aca="false">_xlfn.CONCAT($A$1, ".", #REF!)</f>
        <v>#REF!</v>
      </c>
      <c r="B15" s="58"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4" t="e">
        <f aca="false">_xlfn.CONCAT($A$1, ".", #REF!)</f>
        <v>#REF!</v>
      </c>
      <c r="B16" s="58"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4" t="e">
        <f aca="false">_xlfn.CONCAT($A$1, ".", #REF!)</f>
        <v>#REF!</v>
      </c>
      <c r="B17" s="58"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4" t="e">
        <f aca="false">_xlfn.CONCAT($A$1, ".", #REF!)</f>
        <v>#REF!</v>
      </c>
      <c r="B18" s="58"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4" t="e">
        <f aca="false">_xlfn.CONCAT($A$1, ".", #REF!)</f>
        <v>#REF!</v>
      </c>
      <c r="B19" s="58"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4" t="e">
        <f aca="false">_xlfn.CONCAT($A$1, ".", #REF!)</f>
        <v>#REF!</v>
      </c>
      <c r="B20" s="58"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4" t="e">
        <f aca="false">_xlfn.CONCAT($A$1, ".", #REF!)</f>
        <v>#REF!</v>
      </c>
      <c r="B21" s="58"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4" t="e">
        <f aca="false">_xlfn.CONCAT($A$1, ".", #REF!)</f>
        <v>#REF!</v>
      </c>
      <c r="B22" s="58"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4" t="e">
        <f aca="false">_xlfn.CONCAT($A$1, ".", #REF!)</f>
        <v>#REF!</v>
      </c>
      <c r="B23" s="58"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4" t="e">
        <f aca="false">_xlfn.CONCAT($A$1, ".", #REF!)</f>
        <v>#REF!</v>
      </c>
      <c r="B24" s="58"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4" t="e">
        <f aca="false">_xlfn.CONCAT($A$1, ".", #REF!)</f>
        <v>#REF!</v>
      </c>
      <c r="B25" s="58"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4" t="e">
        <f aca="false">_xlfn.CONCAT($A$1, ".", #REF!)</f>
        <v>#REF!</v>
      </c>
      <c r="B26" s="58"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4" t="e">
        <f aca="false">_xlfn.CONCAT($A$1, ".", #REF!)</f>
        <v>#REF!</v>
      </c>
      <c r="B27" s="58"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4" t="e">
        <f aca="false">_xlfn.CONCAT($A$1, ".", #REF!)</f>
        <v>#REF!</v>
      </c>
      <c r="B28" s="58"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4" t="e">
        <f aca="false">_xlfn.CONCAT($A$1, ".", #REF!)</f>
        <v>#REF!</v>
      </c>
      <c r="B29" s="58"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4" t="e">
        <f aca="false">_xlfn.CONCAT($A$1, ".", #REF!)</f>
        <v>#REF!</v>
      </c>
      <c r="B30" s="58"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4" t="e">
        <f aca="false">_xlfn.CONCAT($A$1, ".", #REF!)</f>
        <v>#REF!</v>
      </c>
      <c r="B31" s="58"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4" t="e">
        <f aca="false">_xlfn.CONCAT($A$1, ".", #REF!)</f>
        <v>#REF!</v>
      </c>
      <c r="B32" s="58"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4" t="e">
        <f aca="false">_xlfn.CONCAT($A$1, ".", #REF!)</f>
        <v>#REF!</v>
      </c>
      <c r="B33" s="58"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4" t="e">
        <f aca="false">_xlfn.CONCAT($A$1, ".", #REF!)</f>
        <v>#REF!</v>
      </c>
      <c r="B34" s="58"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4" t="e">
        <f aca="false">_xlfn.CONCAT($A$1, ".", #REF!)</f>
        <v>#REF!</v>
      </c>
      <c r="B35" s="58"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4" t="e">
        <f aca="false">_xlfn.CONCAT($A$1, ".", #REF!)</f>
        <v>#REF!</v>
      </c>
      <c r="B36" s="58"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4" t="e">
        <f aca="false">_xlfn.CONCAT($A$1, ".", #REF!)</f>
        <v>#REF!</v>
      </c>
      <c r="B37" s="58"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4" t="e">
        <f aca="false">_xlfn.CONCAT($A$1, ".", #REF!)</f>
        <v>#REF!</v>
      </c>
      <c r="B38" s="58"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4" t="e">
        <f aca="false">_xlfn.CONCAT($A$1, ".", #REF!)</f>
        <v>#REF!</v>
      </c>
      <c r="B39" s="58"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4" t="e">
        <f aca="false">_xlfn.CONCAT($A$1, ".", #REF!)</f>
        <v>#REF!</v>
      </c>
      <c r="B40" s="58"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4" t="e">
        <f aca="false">_xlfn.CONCAT($A$1, ".", #REF!)</f>
        <v>#REF!</v>
      </c>
      <c r="B41" s="58"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4" t="e">
        <f aca="false">_xlfn.CONCAT($A$1, ".", #REF!)</f>
        <v>#REF!</v>
      </c>
      <c r="B42" s="58"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4" t="e">
        <f aca="false">_xlfn.CONCAT($A$1, ".", #REF!)</f>
        <v>#REF!</v>
      </c>
      <c r="B43" s="58"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4" t="e">
        <f aca="false">_xlfn.CONCAT($A$1, ".", #REF!)</f>
        <v>#REF!</v>
      </c>
      <c r="B44" s="58"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4" t="e">
        <f aca="false">_xlfn.CONCAT($A$1, ".", #REF!)</f>
        <v>#REF!</v>
      </c>
      <c r="B45" s="58"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4" t="e">
        <f aca="false">_xlfn.CONCAT($A$1, ".", #REF!)</f>
        <v>#REF!</v>
      </c>
      <c r="B46" s="58"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4" t="e">
        <f aca="false">_xlfn.CONCAT($A$1, ".", #REF!)</f>
        <v>#REF!</v>
      </c>
      <c r="B47" s="58"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4" t="e">
        <f aca="false">_xlfn.CONCAT($A$1, ".", #REF!)</f>
        <v>#REF!</v>
      </c>
      <c r="B48" s="58"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4" t="e">
        <f aca="false">_xlfn.CONCAT($A$1, ".", #REF!)</f>
        <v>#REF!</v>
      </c>
      <c r="B49" s="58"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4" t="e">
        <f aca="false">_xlfn.CONCAT($A$1, ".", #REF!)</f>
        <v>#REF!</v>
      </c>
      <c r="B50" s="58"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4" t="e">
        <f aca="false">_xlfn.CONCAT($A$1, ".", #REF!)</f>
        <v>#REF!</v>
      </c>
      <c r="B51" s="58"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4" t="e">
        <f aca="false">_xlfn.CONCAT($A$1, ".", #REF!)</f>
        <v>#REF!</v>
      </c>
      <c r="B52" s="58"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4" t="e">
        <f aca="false">_xlfn.CONCAT($A$1, ".", #REF!)</f>
        <v>#REF!</v>
      </c>
      <c r="B53" s="58"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4" t="e">
        <f aca="false">_xlfn.CONCAT($A$1, ".", #REF!)</f>
        <v>#REF!</v>
      </c>
      <c r="B54" s="58"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4" t="e">
        <f aca="false">_xlfn.CONCAT($A$1, ".", #REF!)</f>
        <v>#REF!</v>
      </c>
      <c r="B55" s="58" t="e">
        <f aca="false">_xlfn.CONCAT(#REF!, ":", #REF!)</f>
        <v>#REF!</v>
      </c>
      <c r="C55" s="75" t="e">
        <f aca="false">#REF!</f>
        <v>#REF!</v>
      </c>
      <c r="D55" s="75" t="e">
        <f aca="false">#REF!</f>
        <v>#REF!</v>
      </c>
      <c r="E55" s="75" t="e">
        <f aca="false">#REF!</f>
        <v>#REF!</v>
      </c>
      <c r="F55" s="75" t="e">
        <f aca="false">#REF!</f>
        <v>#REF!</v>
      </c>
    </row>
    <row r="56" customFormat="false" ht="12.8" hidden="false" customHeight="false" outlineLevel="0" collapsed="false">
      <c r="A56" s="4"/>
      <c r="B56" s="58"/>
      <c r="C56" s="75"/>
      <c r="D56" s="75"/>
      <c r="E56" s="75"/>
      <c r="F56" s="75"/>
    </row>
    <row r="57" customFormat="false" ht="12.8" hidden="false" customHeight="false" outlineLevel="0" collapsed="false">
      <c r="A57" s="4"/>
      <c r="B57" s="58"/>
      <c r="C57" s="75"/>
      <c r="D57" s="75"/>
      <c r="E57" s="75"/>
      <c r="F57" s="75"/>
    </row>
    <row r="58" customFormat="false" ht="12.8" hidden="false" customHeight="false" outlineLevel="0" collapsed="false">
      <c r="A58" s="4"/>
      <c r="B58" s="58"/>
      <c r="C58" s="75"/>
      <c r="D58" s="75"/>
      <c r="E58" s="75"/>
      <c r="F58" s="75"/>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247"/>
  <sheetViews>
    <sheetView showFormulas="false" showGridLines="true" showRowColHeaders="true" showZeros="true" rightToLeft="false" tabSelected="false" showOutlineSymbols="true" defaultGridColor="true" view="normal" topLeftCell="A100"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12" t="s">
        <v>2295</v>
      </c>
      <c r="B1" s="53" t="s">
        <v>2296</v>
      </c>
      <c r="C1" s="6" t="s">
        <v>2</v>
      </c>
      <c r="D1" s="68" t="s">
        <v>2297</v>
      </c>
      <c r="AZ1" s="41"/>
      <c r="BP1" s="41"/>
    </row>
    <row r="2" customFormat="false" ht="46.25" hidden="false" customHeight="false" outlineLevel="0" collapsed="false">
      <c r="A2" s="72" t="s">
        <v>1994</v>
      </c>
      <c r="B2" s="53" t="s">
        <v>1995</v>
      </c>
      <c r="C2" s="75" t="str">
        <f aca="false">CALC!O3</f>
        <v>Unemployment Rate</v>
      </c>
      <c r="D2" s="75" t="str">
        <f aca="false">CALC!P3</f>
        <v>Authorized Immigrant Unemployment Rate</v>
      </c>
      <c r="E2" s="75" t="str">
        <f aca="false">CALC!Q3</f>
        <v>Unauthorized Immigrant Unemployment Rate</v>
      </c>
      <c r="F2" s="75" t="str">
        <f aca="false">CALC!R3</f>
        <v>American Unemployment Rate</v>
      </c>
    </row>
    <row r="3" customFormat="false" ht="12.8" hidden="false" customHeight="false" outlineLevel="0" collapsed="false">
      <c r="A3" s="4" t="e">
        <f aca="false">_xlfn.CONCAT($A$1, ".", #REF!)</f>
        <v>#REF!</v>
      </c>
      <c r="B3" s="58"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5" t="e">
        <f aca="false">_xlfn.CONCAT($A$1, ".", #REF!)</f>
        <v>#REF!</v>
      </c>
      <c r="B4" s="76" t="e">
        <f aca="false">_xlfn.CONCAT(#REF!, ":", #REF!)</f>
        <v>#REF!</v>
      </c>
      <c r="C4" s="77" t="e">
        <f aca="false">#REF!</f>
        <v>#REF!</v>
      </c>
      <c r="D4" s="77" t="e">
        <f aca="false">#REF!</f>
        <v>#REF!</v>
      </c>
      <c r="E4" s="77" t="e">
        <f aca="false">#REF!</f>
        <v>#REF!</v>
      </c>
      <c r="F4" s="77" t="e">
        <f aca="false">#REF!</f>
        <v>#REF!</v>
      </c>
    </row>
    <row r="5" customFormat="false" ht="12.8" hidden="false" customHeight="false" outlineLevel="0" collapsed="false">
      <c r="A5" s="55" t="e">
        <f aca="false">_xlfn.CONCAT($A$1, ".", #REF!)</f>
        <v>#REF!</v>
      </c>
      <c r="B5" s="76" t="e">
        <f aca="false">_xlfn.CONCAT(#REF!, ":", #REF!)</f>
        <v>#REF!</v>
      </c>
      <c r="C5" s="77" t="e">
        <f aca="false">#REF!</f>
        <v>#REF!</v>
      </c>
      <c r="D5" s="77" t="e">
        <f aca="false">#REF!</f>
        <v>#REF!</v>
      </c>
      <c r="E5" s="77" t="e">
        <f aca="false">#REF!</f>
        <v>#REF!</v>
      </c>
      <c r="F5" s="77" t="e">
        <f aca="false">#REF!</f>
        <v>#REF!</v>
      </c>
    </row>
    <row r="6" customFormat="false" ht="12.8" hidden="false" customHeight="false" outlineLevel="0" collapsed="false">
      <c r="A6" s="55" t="e">
        <f aca="false">_xlfn.CONCAT($A$1, ".", #REF!)</f>
        <v>#REF!</v>
      </c>
      <c r="B6" s="76" t="e">
        <f aca="false">_xlfn.CONCAT(#REF!, ":", #REF!)</f>
        <v>#REF!</v>
      </c>
      <c r="C6" s="77" t="e">
        <f aca="false">#REF!</f>
        <v>#REF!</v>
      </c>
      <c r="D6" s="77" t="e">
        <f aca="false">#REF!</f>
        <v>#REF!</v>
      </c>
      <c r="E6" s="77" t="e">
        <f aca="false">#REF!</f>
        <v>#REF!</v>
      </c>
      <c r="F6" s="77" t="e">
        <f aca="false">#REF!</f>
        <v>#REF!</v>
      </c>
    </row>
    <row r="7" customFormat="false" ht="12.8" hidden="false" customHeight="false" outlineLevel="0" collapsed="false">
      <c r="A7" s="55" t="e">
        <f aca="false">_xlfn.CONCAT($A$1, ".", #REF!)</f>
        <v>#REF!</v>
      </c>
      <c r="B7" s="76" t="e">
        <f aca="false">_xlfn.CONCAT(#REF!, ":", #REF!)</f>
        <v>#REF!</v>
      </c>
      <c r="C7" s="77" t="e">
        <f aca="false">#REF!</f>
        <v>#REF!</v>
      </c>
      <c r="D7" s="77" t="e">
        <f aca="false">#REF!</f>
        <v>#REF!</v>
      </c>
      <c r="E7" s="77" t="e">
        <f aca="false">#REF!</f>
        <v>#REF!</v>
      </c>
      <c r="F7" s="77" t="e">
        <f aca="false">#REF!</f>
        <v>#REF!</v>
      </c>
    </row>
    <row r="8" customFormat="false" ht="12.8" hidden="false" customHeight="false" outlineLevel="0" collapsed="false">
      <c r="A8" s="55" t="e">
        <f aca="false">_xlfn.CONCAT($A$1, ".", #REF!)</f>
        <v>#REF!</v>
      </c>
      <c r="B8" s="76" t="e">
        <f aca="false">_xlfn.CONCAT(#REF!, ":", #REF!)</f>
        <v>#REF!</v>
      </c>
      <c r="C8" s="77" t="e">
        <f aca="false">#REF!</f>
        <v>#REF!</v>
      </c>
      <c r="D8" s="77" t="e">
        <f aca="false">#REF!</f>
        <v>#REF!</v>
      </c>
      <c r="E8" s="77" t="e">
        <f aca="false">#REF!</f>
        <v>#REF!</v>
      </c>
      <c r="F8" s="77" t="e">
        <f aca="false">#REF!</f>
        <v>#REF!</v>
      </c>
    </row>
    <row r="9" customFormat="false" ht="12.8" hidden="false" customHeight="false" outlineLevel="0" collapsed="false">
      <c r="A9" s="55" t="e">
        <f aca="false">_xlfn.CONCAT($A$1, ".", #REF!)</f>
        <v>#REF!</v>
      </c>
      <c r="B9" s="76" t="e">
        <f aca="false">_xlfn.CONCAT(#REF!, ":", #REF!)</f>
        <v>#REF!</v>
      </c>
      <c r="C9" s="77" t="e">
        <f aca="false">#REF!</f>
        <v>#REF!</v>
      </c>
      <c r="D9" s="77" t="e">
        <f aca="false">#REF!</f>
        <v>#REF!</v>
      </c>
      <c r="E9" s="77" t="e">
        <f aca="false">#REF!</f>
        <v>#REF!</v>
      </c>
      <c r="F9" s="77" t="e">
        <f aca="false">#REF!</f>
        <v>#REF!</v>
      </c>
    </row>
    <row r="10" customFormat="false" ht="12.8" hidden="false" customHeight="false" outlineLevel="0" collapsed="false">
      <c r="A10" s="55" t="e">
        <f aca="false">_xlfn.CONCAT($A$1, ".", #REF!)</f>
        <v>#REF!</v>
      </c>
      <c r="B10" s="76" t="e">
        <f aca="false">_xlfn.CONCAT(#REF!, ":", #REF!)</f>
        <v>#REF!</v>
      </c>
      <c r="C10" s="77" t="e">
        <f aca="false">#REF!</f>
        <v>#REF!</v>
      </c>
      <c r="D10" s="77" t="e">
        <f aca="false">#REF!</f>
        <v>#REF!</v>
      </c>
      <c r="E10" s="77" t="e">
        <f aca="false">#REF!</f>
        <v>#REF!</v>
      </c>
      <c r="F10" s="77" t="e">
        <f aca="false">#REF!</f>
        <v>#REF!</v>
      </c>
    </row>
    <row r="11" customFormat="false" ht="12.8" hidden="false" customHeight="false" outlineLevel="0" collapsed="false">
      <c r="A11" s="55" t="e">
        <f aca="false">_xlfn.CONCAT($A$1, ".", #REF!)</f>
        <v>#REF!</v>
      </c>
      <c r="B11" s="76" t="e">
        <f aca="false">_xlfn.CONCAT(#REF!, ":", #REF!)</f>
        <v>#REF!</v>
      </c>
      <c r="C11" s="77" t="e">
        <f aca="false">#REF!</f>
        <v>#REF!</v>
      </c>
      <c r="D11" s="77" t="e">
        <f aca="false">#REF!</f>
        <v>#REF!</v>
      </c>
      <c r="E11" s="77" t="e">
        <f aca="false">#REF!</f>
        <v>#REF!</v>
      </c>
      <c r="F11" s="77" t="e">
        <f aca="false">#REF!</f>
        <v>#REF!</v>
      </c>
    </row>
    <row r="12" customFormat="false" ht="12.8" hidden="false" customHeight="false" outlineLevel="0" collapsed="false">
      <c r="A12" s="55" t="e">
        <f aca="false">_xlfn.CONCAT($A$1, ".", #REF!)</f>
        <v>#REF!</v>
      </c>
      <c r="B12" s="76" t="e">
        <f aca="false">_xlfn.CONCAT(#REF!, ":", #REF!)</f>
        <v>#REF!</v>
      </c>
      <c r="C12" s="77" t="e">
        <f aca="false">#REF!</f>
        <v>#REF!</v>
      </c>
      <c r="D12" s="77" t="e">
        <f aca="false">#REF!</f>
        <v>#REF!</v>
      </c>
      <c r="E12" s="77" t="e">
        <f aca="false">#REF!</f>
        <v>#REF!</v>
      </c>
      <c r="F12" s="77" t="e">
        <f aca="false">#REF!</f>
        <v>#REF!</v>
      </c>
    </row>
    <row r="13" customFormat="false" ht="12.8" hidden="false" customHeight="false" outlineLevel="0" collapsed="false">
      <c r="A13" s="55" t="e">
        <f aca="false">_xlfn.CONCAT($A$1, ".", #REF!)</f>
        <v>#REF!</v>
      </c>
      <c r="B13" s="76" t="e">
        <f aca="false">_xlfn.CONCAT(#REF!, ":", #REF!)</f>
        <v>#REF!</v>
      </c>
      <c r="C13" s="77" t="e">
        <f aca="false">#REF!</f>
        <v>#REF!</v>
      </c>
      <c r="D13" s="77" t="e">
        <f aca="false">#REF!</f>
        <v>#REF!</v>
      </c>
      <c r="E13" s="77" t="e">
        <f aca="false">#REF!</f>
        <v>#REF!</v>
      </c>
      <c r="F13" s="77" t="e">
        <f aca="false">#REF!</f>
        <v>#REF!</v>
      </c>
    </row>
    <row r="14" customFormat="false" ht="12.8" hidden="false" customHeight="false" outlineLevel="0" collapsed="false">
      <c r="A14" s="55" t="e">
        <f aca="false">_xlfn.CONCAT($A$1, ".", #REF!)</f>
        <v>#REF!</v>
      </c>
      <c r="B14" s="76" t="e">
        <f aca="false">_xlfn.CONCAT(#REF!, ":", #REF!)</f>
        <v>#REF!</v>
      </c>
      <c r="C14" s="77" t="e">
        <f aca="false">#REF!</f>
        <v>#REF!</v>
      </c>
      <c r="D14" s="77" t="e">
        <f aca="false">#REF!</f>
        <v>#REF!</v>
      </c>
      <c r="E14" s="77" t="e">
        <f aca="false">#REF!</f>
        <v>#REF!</v>
      </c>
      <c r="F14" s="77" t="e">
        <f aca="false">#REF!</f>
        <v>#REF!</v>
      </c>
    </row>
    <row r="15" customFormat="false" ht="12.8" hidden="false" customHeight="false" outlineLevel="0" collapsed="false">
      <c r="A15" s="55" t="e">
        <f aca="false">_xlfn.CONCAT($A$1, ".", #REF!)</f>
        <v>#REF!</v>
      </c>
      <c r="B15" s="76" t="e">
        <f aca="false">_xlfn.CONCAT(#REF!, ":", #REF!)</f>
        <v>#REF!</v>
      </c>
      <c r="C15" s="77" t="e">
        <f aca="false">#REF!</f>
        <v>#REF!</v>
      </c>
      <c r="D15" s="77" t="e">
        <f aca="false">#REF!</f>
        <v>#REF!</v>
      </c>
      <c r="E15" s="77" t="e">
        <f aca="false">#REF!</f>
        <v>#REF!</v>
      </c>
      <c r="F15" s="77" t="e">
        <f aca="false">#REF!</f>
        <v>#REF!</v>
      </c>
    </row>
    <row r="16" customFormat="false" ht="12.8" hidden="false" customHeight="false" outlineLevel="0" collapsed="false">
      <c r="A16" s="55" t="e">
        <f aca="false">_xlfn.CONCAT($A$1, ".", #REF!)</f>
        <v>#REF!</v>
      </c>
      <c r="B16" s="76" t="e">
        <f aca="false">_xlfn.CONCAT(#REF!, ":", #REF!)</f>
        <v>#REF!</v>
      </c>
      <c r="C16" s="77" t="e">
        <f aca="false">#REF!</f>
        <v>#REF!</v>
      </c>
      <c r="D16" s="77" t="e">
        <f aca="false">#REF!</f>
        <v>#REF!</v>
      </c>
      <c r="E16" s="77" t="e">
        <f aca="false">#REF!</f>
        <v>#REF!</v>
      </c>
      <c r="F16" s="77" t="e">
        <f aca="false">#REF!</f>
        <v>#REF!</v>
      </c>
    </row>
    <row r="17" customFormat="false" ht="12.8" hidden="false" customHeight="false" outlineLevel="0" collapsed="false">
      <c r="A17" s="55" t="e">
        <f aca="false">_xlfn.CONCAT($A$1, ".", #REF!)</f>
        <v>#REF!</v>
      </c>
      <c r="B17" s="76" t="e">
        <f aca="false">_xlfn.CONCAT(#REF!, ":", #REF!)</f>
        <v>#REF!</v>
      </c>
      <c r="C17" s="77" t="e">
        <f aca="false">#REF!</f>
        <v>#REF!</v>
      </c>
      <c r="D17" s="77" t="e">
        <f aca="false">#REF!</f>
        <v>#REF!</v>
      </c>
      <c r="E17" s="77" t="e">
        <f aca="false">#REF!</f>
        <v>#REF!</v>
      </c>
      <c r="F17" s="77" t="e">
        <f aca="false">#REF!</f>
        <v>#REF!</v>
      </c>
    </row>
    <row r="18" customFormat="false" ht="12.8" hidden="false" customHeight="false" outlineLevel="0" collapsed="false">
      <c r="A18" s="55" t="e">
        <f aca="false">_xlfn.CONCAT($A$1, ".", #REF!)</f>
        <v>#REF!</v>
      </c>
      <c r="B18" s="76" t="e">
        <f aca="false">_xlfn.CONCAT(#REF!, ":", #REF!)</f>
        <v>#REF!</v>
      </c>
      <c r="C18" s="77" t="e">
        <f aca="false">#REF!</f>
        <v>#REF!</v>
      </c>
      <c r="D18" s="77" t="e">
        <f aca="false">#REF!</f>
        <v>#REF!</v>
      </c>
      <c r="E18" s="77" t="e">
        <f aca="false">#REF!</f>
        <v>#REF!</v>
      </c>
      <c r="F18" s="77" t="e">
        <f aca="false">#REF!</f>
        <v>#REF!</v>
      </c>
    </row>
    <row r="19" customFormat="false" ht="12.8" hidden="false" customHeight="false" outlineLevel="0" collapsed="false">
      <c r="A19" s="55" t="e">
        <f aca="false">_xlfn.CONCAT($A$1, ".", #REF!)</f>
        <v>#REF!</v>
      </c>
      <c r="B19" s="76" t="e">
        <f aca="false">_xlfn.CONCAT(#REF!, ":", #REF!)</f>
        <v>#REF!</v>
      </c>
      <c r="C19" s="77" t="e">
        <f aca="false">#REF!</f>
        <v>#REF!</v>
      </c>
      <c r="D19" s="77" t="e">
        <f aca="false">#REF!</f>
        <v>#REF!</v>
      </c>
      <c r="E19" s="77" t="e">
        <f aca="false">#REF!</f>
        <v>#REF!</v>
      </c>
      <c r="F19" s="77" t="e">
        <f aca="false">#REF!</f>
        <v>#REF!</v>
      </c>
    </row>
    <row r="20" customFormat="false" ht="12.8" hidden="false" customHeight="false" outlineLevel="0" collapsed="false">
      <c r="A20" s="55" t="e">
        <f aca="false">_xlfn.CONCAT($A$1, ".", #REF!)</f>
        <v>#REF!</v>
      </c>
      <c r="B20" s="76" t="e">
        <f aca="false">_xlfn.CONCAT(#REF!, ":", #REF!)</f>
        <v>#REF!</v>
      </c>
      <c r="C20" s="77" t="e">
        <f aca="false">#REF!</f>
        <v>#REF!</v>
      </c>
      <c r="D20" s="77" t="e">
        <f aca="false">#REF!</f>
        <v>#REF!</v>
      </c>
      <c r="E20" s="77" t="e">
        <f aca="false">#REF!</f>
        <v>#REF!</v>
      </c>
      <c r="F20" s="77" t="e">
        <f aca="false">#REF!</f>
        <v>#REF!</v>
      </c>
    </row>
    <row r="21" customFormat="false" ht="12.8" hidden="false" customHeight="false" outlineLevel="0" collapsed="false">
      <c r="A21" s="55" t="e">
        <f aca="false">_xlfn.CONCAT($A$1, ".", #REF!)</f>
        <v>#REF!</v>
      </c>
      <c r="B21" s="76" t="e">
        <f aca="false">_xlfn.CONCAT(#REF!, ":", #REF!)</f>
        <v>#REF!</v>
      </c>
      <c r="C21" s="77" t="e">
        <f aca="false">#REF!</f>
        <v>#REF!</v>
      </c>
      <c r="D21" s="77" t="e">
        <f aca="false">#REF!</f>
        <v>#REF!</v>
      </c>
      <c r="E21" s="77" t="e">
        <f aca="false">#REF!</f>
        <v>#REF!</v>
      </c>
      <c r="F21" s="77" t="e">
        <f aca="false">#REF!</f>
        <v>#REF!</v>
      </c>
    </row>
    <row r="22" customFormat="false" ht="12.8" hidden="false" customHeight="false" outlineLevel="0" collapsed="false">
      <c r="A22" s="55" t="e">
        <f aca="false">_xlfn.CONCAT($A$1, ".", #REF!)</f>
        <v>#REF!</v>
      </c>
      <c r="B22" s="76" t="e">
        <f aca="false">_xlfn.CONCAT(#REF!, ":", #REF!)</f>
        <v>#REF!</v>
      </c>
      <c r="C22" s="77" t="e">
        <f aca="false">#REF!</f>
        <v>#REF!</v>
      </c>
      <c r="D22" s="77" t="e">
        <f aca="false">#REF!</f>
        <v>#REF!</v>
      </c>
      <c r="E22" s="77" t="e">
        <f aca="false">#REF!</f>
        <v>#REF!</v>
      </c>
      <c r="F22" s="77" t="e">
        <f aca="false">#REF!</f>
        <v>#REF!</v>
      </c>
    </row>
    <row r="23" customFormat="false" ht="12.8" hidden="false" customHeight="false" outlineLevel="0" collapsed="false">
      <c r="A23" s="55" t="e">
        <f aca="false">_xlfn.CONCAT($A$1, ".", #REF!)</f>
        <v>#REF!</v>
      </c>
      <c r="B23" s="76" t="e">
        <f aca="false">_xlfn.CONCAT(#REF!, ":", #REF!)</f>
        <v>#REF!</v>
      </c>
      <c r="C23" s="77" t="e">
        <f aca="false">#REF!</f>
        <v>#REF!</v>
      </c>
      <c r="D23" s="77" t="e">
        <f aca="false">#REF!</f>
        <v>#REF!</v>
      </c>
      <c r="E23" s="77" t="e">
        <f aca="false">#REF!</f>
        <v>#REF!</v>
      </c>
      <c r="F23" s="77" t="e">
        <f aca="false">#REF!</f>
        <v>#REF!</v>
      </c>
    </row>
    <row r="24" customFormat="false" ht="12.8" hidden="false" customHeight="false" outlineLevel="0" collapsed="false">
      <c r="A24" s="55" t="e">
        <f aca="false">_xlfn.CONCAT($A$1, ".", #REF!)</f>
        <v>#REF!</v>
      </c>
      <c r="B24" s="76" t="e">
        <f aca="false">_xlfn.CONCAT(#REF!, ":", #REF!)</f>
        <v>#REF!</v>
      </c>
      <c r="C24" s="77" t="e">
        <f aca="false">#REF!</f>
        <v>#REF!</v>
      </c>
      <c r="D24" s="77" t="e">
        <f aca="false">#REF!</f>
        <v>#REF!</v>
      </c>
      <c r="E24" s="77" t="e">
        <f aca="false">#REF!</f>
        <v>#REF!</v>
      </c>
      <c r="F24" s="77" t="e">
        <f aca="false">#REF!</f>
        <v>#REF!</v>
      </c>
    </row>
    <row r="25" customFormat="false" ht="12.8" hidden="false" customHeight="false" outlineLevel="0" collapsed="false">
      <c r="A25" s="55" t="e">
        <f aca="false">_xlfn.CONCAT($A$1, ".", #REF!)</f>
        <v>#REF!</v>
      </c>
      <c r="B25" s="76" t="e">
        <f aca="false">_xlfn.CONCAT(#REF!, ":", #REF!)</f>
        <v>#REF!</v>
      </c>
      <c r="C25" s="77" t="e">
        <f aca="false">#REF!</f>
        <v>#REF!</v>
      </c>
      <c r="D25" s="77" t="e">
        <f aca="false">#REF!</f>
        <v>#REF!</v>
      </c>
      <c r="E25" s="77" t="e">
        <f aca="false">#REF!</f>
        <v>#REF!</v>
      </c>
      <c r="F25" s="77" t="e">
        <f aca="false">#REF!</f>
        <v>#REF!</v>
      </c>
    </row>
    <row r="26" customFormat="false" ht="12.8" hidden="false" customHeight="false" outlineLevel="0" collapsed="false">
      <c r="A26" s="55" t="e">
        <f aca="false">_xlfn.CONCAT($A$1, ".", #REF!)</f>
        <v>#REF!</v>
      </c>
      <c r="B26" s="76" t="e">
        <f aca="false">_xlfn.CONCAT(#REF!, ":", #REF!)</f>
        <v>#REF!</v>
      </c>
      <c r="C26" s="77" t="e">
        <f aca="false">#REF!</f>
        <v>#REF!</v>
      </c>
      <c r="D26" s="77" t="e">
        <f aca="false">#REF!</f>
        <v>#REF!</v>
      </c>
      <c r="E26" s="77" t="e">
        <f aca="false">#REF!</f>
        <v>#REF!</v>
      </c>
      <c r="F26" s="77" t="e">
        <f aca="false">#REF!</f>
        <v>#REF!</v>
      </c>
    </row>
    <row r="27" customFormat="false" ht="12.8" hidden="false" customHeight="false" outlineLevel="0" collapsed="false">
      <c r="A27" s="55" t="e">
        <f aca="false">_xlfn.CONCAT($A$1, ".", #REF!)</f>
        <v>#REF!</v>
      </c>
      <c r="B27" s="76" t="e">
        <f aca="false">_xlfn.CONCAT(#REF!, ":", #REF!)</f>
        <v>#REF!</v>
      </c>
      <c r="C27" s="77" t="e">
        <f aca="false">#REF!</f>
        <v>#REF!</v>
      </c>
      <c r="D27" s="77" t="e">
        <f aca="false">#REF!</f>
        <v>#REF!</v>
      </c>
      <c r="E27" s="77" t="e">
        <f aca="false">#REF!</f>
        <v>#REF!</v>
      </c>
      <c r="F27" s="77" t="e">
        <f aca="false">#REF!</f>
        <v>#REF!</v>
      </c>
    </row>
    <row r="28" customFormat="false" ht="12.8" hidden="false" customHeight="false" outlineLevel="0" collapsed="false">
      <c r="A28" s="55" t="e">
        <f aca="false">_xlfn.CONCAT($A$1, ".", #REF!)</f>
        <v>#REF!</v>
      </c>
      <c r="B28" s="76" t="e">
        <f aca="false">_xlfn.CONCAT(#REF!, ":", #REF!)</f>
        <v>#REF!</v>
      </c>
      <c r="C28" s="77" t="e">
        <f aca="false">#REF!</f>
        <v>#REF!</v>
      </c>
      <c r="D28" s="77" t="e">
        <f aca="false">#REF!</f>
        <v>#REF!</v>
      </c>
      <c r="E28" s="77" t="e">
        <f aca="false">#REF!</f>
        <v>#REF!</v>
      </c>
      <c r="F28" s="77" t="e">
        <f aca="false">#REF!</f>
        <v>#REF!</v>
      </c>
    </row>
    <row r="29" customFormat="false" ht="12.8" hidden="false" customHeight="false" outlineLevel="0" collapsed="false">
      <c r="A29" s="55" t="e">
        <f aca="false">_xlfn.CONCAT($A$1, ".", #REF!)</f>
        <v>#REF!</v>
      </c>
      <c r="B29" s="76" t="e">
        <f aca="false">_xlfn.CONCAT(#REF!, ":", #REF!)</f>
        <v>#REF!</v>
      </c>
      <c r="C29" s="77" t="e">
        <f aca="false">#REF!</f>
        <v>#REF!</v>
      </c>
      <c r="D29" s="77" t="e">
        <f aca="false">#REF!</f>
        <v>#REF!</v>
      </c>
      <c r="E29" s="77" t="e">
        <f aca="false">#REF!</f>
        <v>#REF!</v>
      </c>
      <c r="F29" s="77" t="e">
        <f aca="false">#REF!</f>
        <v>#REF!</v>
      </c>
    </row>
    <row r="30" customFormat="false" ht="12.8" hidden="false" customHeight="false" outlineLevel="0" collapsed="false">
      <c r="A30" s="55" t="e">
        <f aca="false">_xlfn.CONCAT($A$1, ".", #REF!)</f>
        <v>#REF!</v>
      </c>
      <c r="B30" s="76" t="e">
        <f aca="false">_xlfn.CONCAT(#REF!, ":", #REF!)</f>
        <v>#REF!</v>
      </c>
      <c r="C30" s="77" t="e">
        <f aca="false">#REF!</f>
        <v>#REF!</v>
      </c>
      <c r="D30" s="77" t="e">
        <f aca="false">#REF!</f>
        <v>#REF!</v>
      </c>
      <c r="E30" s="77" t="e">
        <f aca="false">#REF!</f>
        <v>#REF!</v>
      </c>
      <c r="F30" s="77" t="e">
        <f aca="false">#REF!</f>
        <v>#REF!</v>
      </c>
    </row>
    <row r="31" customFormat="false" ht="12.8" hidden="false" customHeight="false" outlineLevel="0" collapsed="false">
      <c r="A31" s="55" t="e">
        <f aca="false">_xlfn.CONCAT($A$1, ".", #REF!)</f>
        <v>#REF!</v>
      </c>
      <c r="B31" s="76" t="e">
        <f aca="false">_xlfn.CONCAT(#REF!, ":", #REF!)</f>
        <v>#REF!</v>
      </c>
      <c r="C31" s="77" t="e">
        <f aca="false">#REF!</f>
        <v>#REF!</v>
      </c>
      <c r="D31" s="77" t="e">
        <f aca="false">#REF!</f>
        <v>#REF!</v>
      </c>
      <c r="E31" s="77" t="e">
        <f aca="false">#REF!</f>
        <v>#REF!</v>
      </c>
      <c r="F31" s="77" t="e">
        <f aca="false">#REF!</f>
        <v>#REF!</v>
      </c>
    </row>
    <row r="32" customFormat="false" ht="12.8" hidden="false" customHeight="false" outlineLevel="0" collapsed="false">
      <c r="A32" s="55" t="e">
        <f aca="false">_xlfn.CONCAT($A$1, ".", #REF!)</f>
        <v>#REF!</v>
      </c>
      <c r="B32" s="76" t="e">
        <f aca="false">_xlfn.CONCAT(#REF!, ":", #REF!)</f>
        <v>#REF!</v>
      </c>
      <c r="C32" s="77" t="e">
        <f aca="false">#REF!</f>
        <v>#REF!</v>
      </c>
      <c r="D32" s="77" t="e">
        <f aca="false">#REF!</f>
        <v>#REF!</v>
      </c>
      <c r="E32" s="77" t="e">
        <f aca="false">#REF!</f>
        <v>#REF!</v>
      </c>
      <c r="F32" s="77" t="e">
        <f aca="false">#REF!</f>
        <v>#REF!</v>
      </c>
    </row>
    <row r="33" customFormat="false" ht="12.8" hidden="false" customHeight="false" outlineLevel="0" collapsed="false">
      <c r="A33" s="55" t="e">
        <f aca="false">_xlfn.CONCAT($A$1, ".", #REF!)</f>
        <v>#REF!</v>
      </c>
      <c r="B33" s="76" t="e">
        <f aca="false">_xlfn.CONCAT(#REF!, ":", #REF!)</f>
        <v>#REF!</v>
      </c>
      <c r="C33" s="77" t="e">
        <f aca="false">#REF!</f>
        <v>#REF!</v>
      </c>
      <c r="D33" s="77" t="e">
        <f aca="false">#REF!</f>
        <v>#REF!</v>
      </c>
      <c r="E33" s="77" t="e">
        <f aca="false">#REF!</f>
        <v>#REF!</v>
      </c>
      <c r="F33" s="77" t="e">
        <f aca="false">#REF!</f>
        <v>#REF!</v>
      </c>
    </row>
    <row r="34" customFormat="false" ht="12.8" hidden="false" customHeight="false" outlineLevel="0" collapsed="false">
      <c r="A34" s="55" t="e">
        <f aca="false">_xlfn.CONCAT($A$1, ".", #REF!)</f>
        <v>#REF!</v>
      </c>
      <c r="B34" s="76" t="e">
        <f aca="false">_xlfn.CONCAT(#REF!, ":", #REF!)</f>
        <v>#REF!</v>
      </c>
      <c r="C34" s="77" t="e">
        <f aca="false">#REF!</f>
        <v>#REF!</v>
      </c>
      <c r="D34" s="77" t="e">
        <f aca="false">#REF!</f>
        <v>#REF!</v>
      </c>
      <c r="E34" s="77" t="e">
        <f aca="false">#REF!</f>
        <v>#REF!</v>
      </c>
      <c r="F34" s="77" t="e">
        <f aca="false">#REF!</f>
        <v>#REF!</v>
      </c>
    </row>
    <row r="35" customFormat="false" ht="12.8" hidden="false" customHeight="false" outlineLevel="0" collapsed="false">
      <c r="A35" s="55" t="e">
        <f aca="false">_xlfn.CONCAT($A$1, ".", #REF!)</f>
        <v>#REF!</v>
      </c>
      <c r="B35" s="76" t="e">
        <f aca="false">_xlfn.CONCAT(#REF!, ":", #REF!)</f>
        <v>#REF!</v>
      </c>
      <c r="C35" s="77" t="e">
        <f aca="false">#REF!</f>
        <v>#REF!</v>
      </c>
      <c r="D35" s="77" t="e">
        <f aca="false">#REF!</f>
        <v>#REF!</v>
      </c>
      <c r="E35" s="77" t="e">
        <f aca="false">#REF!</f>
        <v>#REF!</v>
      </c>
      <c r="F35" s="77" t="e">
        <f aca="false">#REF!</f>
        <v>#REF!</v>
      </c>
    </row>
    <row r="36" customFormat="false" ht="12.8" hidden="false" customHeight="false" outlineLevel="0" collapsed="false">
      <c r="A36" s="55" t="e">
        <f aca="false">_xlfn.CONCAT($A$1, ".", #REF!)</f>
        <v>#REF!</v>
      </c>
      <c r="B36" s="76" t="e">
        <f aca="false">_xlfn.CONCAT(#REF!, ":", #REF!)</f>
        <v>#REF!</v>
      </c>
      <c r="C36" s="77" t="e">
        <f aca="false">#REF!</f>
        <v>#REF!</v>
      </c>
      <c r="D36" s="77" t="e">
        <f aca="false">#REF!</f>
        <v>#REF!</v>
      </c>
      <c r="E36" s="77" t="e">
        <f aca="false">#REF!</f>
        <v>#REF!</v>
      </c>
      <c r="F36" s="77" t="e">
        <f aca="false">#REF!</f>
        <v>#REF!</v>
      </c>
    </row>
    <row r="37" customFormat="false" ht="12.8" hidden="false" customHeight="false" outlineLevel="0" collapsed="false">
      <c r="A37" s="55" t="e">
        <f aca="false">_xlfn.CONCAT($A$1, ".", #REF!)</f>
        <v>#REF!</v>
      </c>
      <c r="B37" s="76" t="e">
        <f aca="false">_xlfn.CONCAT(#REF!, ":", #REF!)</f>
        <v>#REF!</v>
      </c>
      <c r="C37" s="77" t="e">
        <f aca="false">#REF!</f>
        <v>#REF!</v>
      </c>
      <c r="D37" s="77" t="e">
        <f aca="false">#REF!</f>
        <v>#REF!</v>
      </c>
      <c r="E37" s="77" t="e">
        <f aca="false">#REF!</f>
        <v>#REF!</v>
      </c>
      <c r="F37" s="77" t="e">
        <f aca="false">#REF!</f>
        <v>#REF!</v>
      </c>
    </row>
    <row r="38" customFormat="false" ht="12.8" hidden="false" customHeight="false" outlineLevel="0" collapsed="false">
      <c r="A38" s="55" t="e">
        <f aca="false">_xlfn.CONCAT($A$1, ".", #REF!)</f>
        <v>#REF!</v>
      </c>
      <c r="B38" s="76" t="e">
        <f aca="false">_xlfn.CONCAT(#REF!, ":", #REF!)</f>
        <v>#REF!</v>
      </c>
      <c r="C38" s="77" t="e">
        <f aca="false">#REF!</f>
        <v>#REF!</v>
      </c>
      <c r="D38" s="77" t="e">
        <f aca="false">#REF!</f>
        <v>#REF!</v>
      </c>
      <c r="E38" s="77" t="e">
        <f aca="false">#REF!</f>
        <v>#REF!</v>
      </c>
      <c r="F38" s="77" t="e">
        <f aca="false">#REF!</f>
        <v>#REF!</v>
      </c>
    </row>
    <row r="39" customFormat="false" ht="12.8" hidden="false" customHeight="false" outlineLevel="0" collapsed="false">
      <c r="A39" s="55" t="e">
        <f aca="false">_xlfn.CONCAT($A$1, ".", #REF!)</f>
        <v>#REF!</v>
      </c>
      <c r="B39" s="76" t="e">
        <f aca="false">_xlfn.CONCAT(#REF!, ":", #REF!)</f>
        <v>#REF!</v>
      </c>
      <c r="C39" s="77" t="e">
        <f aca="false">#REF!</f>
        <v>#REF!</v>
      </c>
      <c r="D39" s="77" t="e">
        <f aca="false">#REF!</f>
        <v>#REF!</v>
      </c>
      <c r="E39" s="77" t="e">
        <f aca="false">#REF!</f>
        <v>#REF!</v>
      </c>
      <c r="F39" s="77" t="e">
        <f aca="false">#REF!</f>
        <v>#REF!</v>
      </c>
    </row>
    <row r="40" customFormat="false" ht="12.8" hidden="false" customHeight="false" outlineLevel="0" collapsed="false">
      <c r="A40" s="55" t="e">
        <f aca="false">_xlfn.CONCAT($A$1, ".", #REF!)</f>
        <v>#REF!</v>
      </c>
      <c r="B40" s="76" t="e">
        <f aca="false">_xlfn.CONCAT(#REF!, ":", #REF!)</f>
        <v>#REF!</v>
      </c>
      <c r="C40" s="77" t="e">
        <f aca="false">#REF!</f>
        <v>#REF!</v>
      </c>
      <c r="D40" s="77" t="e">
        <f aca="false">#REF!</f>
        <v>#REF!</v>
      </c>
      <c r="E40" s="77" t="e">
        <f aca="false">#REF!</f>
        <v>#REF!</v>
      </c>
      <c r="F40" s="77" t="e">
        <f aca="false">#REF!</f>
        <v>#REF!</v>
      </c>
    </row>
    <row r="41" customFormat="false" ht="12.8" hidden="false" customHeight="false" outlineLevel="0" collapsed="false">
      <c r="A41" s="55" t="e">
        <f aca="false">_xlfn.CONCAT($A$1, ".", #REF!)</f>
        <v>#REF!</v>
      </c>
      <c r="B41" s="76" t="e">
        <f aca="false">_xlfn.CONCAT(#REF!, ":", #REF!)</f>
        <v>#REF!</v>
      </c>
      <c r="C41" s="77" t="e">
        <f aca="false">#REF!</f>
        <v>#REF!</v>
      </c>
      <c r="D41" s="77" t="e">
        <f aca="false">#REF!</f>
        <v>#REF!</v>
      </c>
      <c r="E41" s="77" t="e">
        <f aca="false">#REF!</f>
        <v>#REF!</v>
      </c>
      <c r="F41" s="77" t="e">
        <f aca="false">#REF!</f>
        <v>#REF!</v>
      </c>
    </row>
    <row r="42" customFormat="false" ht="12.8" hidden="false" customHeight="false" outlineLevel="0" collapsed="false">
      <c r="A42" s="55" t="e">
        <f aca="false">_xlfn.CONCAT($A$1, ".", #REF!)</f>
        <v>#REF!</v>
      </c>
      <c r="B42" s="76" t="e">
        <f aca="false">_xlfn.CONCAT(#REF!, ":", #REF!)</f>
        <v>#REF!</v>
      </c>
      <c r="C42" s="77" t="e">
        <f aca="false">#REF!</f>
        <v>#REF!</v>
      </c>
      <c r="D42" s="77" t="e">
        <f aca="false">#REF!</f>
        <v>#REF!</v>
      </c>
      <c r="E42" s="77" t="e">
        <f aca="false">#REF!</f>
        <v>#REF!</v>
      </c>
      <c r="F42" s="77" t="e">
        <f aca="false">#REF!</f>
        <v>#REF!</v>
      </c>
    </row>
    <row r="43" customFormat="false" ht="12.8" hidden="false" customHeight="false" outlineLevel="0" collapsed="false">
      <c r="A43" s="55" t="e">
        <f aca="false">_xlfn.CONCAT($A$1, ".", #REF!)</f>
        <v>#REF!</v>
      </c>
      <c r="B43" s="76" t="e">
        <f aca="false">_xlfn.CONCAT(#REF!, ":", #REF!)</f>
        <v>#REF!</v>
      </c>
      <c r="C43" s="77" t="e">
        <f aca="false">#REF!</f>
        <v>#REF!</v>
      </c>
      <c r="D43" s="77" t="e">
        <f aca="false">#REF!</f>
        <v>#REF!</v>
      </c>
      <c r="E43" s="77" t="e">
        <f aca="false">#REF!</f>
        <v>#REF!</v>
      </c>
      <c r="F43" s="77" t="e">
        <f aca="false">#REF!</f>
        <v>#REF!</v>
      </c>
    </row>
    <row r="44" customFormat="false" ht="12.8" hidden="false" customHeight="false" outlineLevel="0" collapsed="false">
      <c r="A44" s="55" t="e">
        <f aca="false">_xlfn.CONCAT($A$1, ".", #REF!)</f>
        <v>#REF!</v>
      </c>
      <c r="B44" s="76" t="e">
        <f aca="false">_xlfn.CONCAT(#REF!, ":", #REF!)</f>
        <v>#REF!</v>
      </c>
      <c r="C44" s="77" t="e">
        <f aca="false">#REF!</f>
        <v>#REF!</v>
      </c>
      <c r="D44" s="77" t="e">
        <f aca="false">#REF!</f>
        <v>#REF!</v>
      </c>
      <c r="E44" s="77" t="e">
        <f aca="false">#REF!</f>
        <v>#REF!</v>
      </c>
      <c r="F44" s="77" t="e">
        <f aca="false">#REF!</f>
        <v>#REF!</v>
      </c>
    </row>
    <row r="45" customFormat="false" ht="12.8" hidden="false" customHeight="false" outlineLevel="0" collapsed="false">
      <c r="A45" s="55" t="e">
        <f aca="false">_xlfn.CONCAT($A$1, ".", #REF!)</f>
        <v>#REF!</v>
      </c>
      <c r="B45" s="76" t="e">
        <f aca="false">_xlfn.CONCAT(#REF!, ":", #REF!)</f>
        <v>#REF!</v>
      </c>
      <c r="C45" s="77" t="e">
        <f aca="false">#REF!</f>
        <v>#REF!</v>
      </c>
      <c r="D45" s="77" t="e">
        <f aca="false">#REF!</f>
        <v>#REF!</v>
      </c>
      <c r="E45" s="77" t="e">
        <f aca="false">#REF!</f>
        <v>#REF!</v>
      </c>
      <c r="F45" s="77" t="e">
        <f aca="false">#REF!</f>
        <v>#REF!</v>
      </c>
    </row>
    <row r="46" customFormat="false" ht="12.8" hidden="false" customHeight="false" outlineLevel="0" collapsed="false">
      <c r="A46" s="55" t="e">
        <f aca="false">_xlfn.CONCAT($A$1, ".", #REF!)</f>
        <v>#REF!</v>
      </c>
      <c r="B46" s="76" t="e">
        <f aca="false">_xlfn.CONCAT(#REF!, ":", #REF!)</f>
        <v>#REF!</v>
      </c>
      <c r="C46" s="77" t="e">
        <f aca="false">#REF!</f>
        <v>#REF!</v>
      </c>
      <c r="D46" s="77" t="e">
        <f aca="false">#REF!</f>
        <v>#REF!</v>
      </c>
      <c r="E46" s="77" t="e">
        <f aca="false">#REF!</f>
        <v>#REF!</v>
      </c>
      <c r="F46" s="77" t="e">
        <f aca="false">#REF!</f>
        <v>#REF!</v>
      </c>
    </row>
    <row r="47" customFormat="false" ht="12.8" hidden="false" customHeight="false" outlineLevel="0" collapsed="false">
      <c r="A47" s="55" t="e">
        <f aca="false">_xlfn.CONCAT($A$1, ".", #REF!)</f>
        <v>#REF!</v>
      </c>
      <c r="B47" s="76" t="e">
        <f aca="false">_xlfn.CONCAT(#REF!, ":", #REF!)</f>
        <v>#REF!</v>
      </c>
      <c r="C47" s="77" t="e">
        <f aca="false">#REF!</f>
        <v>#REF!</v>
      </c>
      <c r="D47" s="77" t="e">
        <f aca="false">#REF!</f>
        <v>#REF!</v>
      </c>
      <c r="E47" s="77" t="e">
        <f aca="false">#REF!</f>
        <v>#REF!</v>
      </c>
      <c r="F47" s="77" t="e">
        <f aca="false">#REF!</f>
        <v>#REF!</v>
      </c>
    </row>
    <row r="48" customFormat="false" ht="12.8" hidden="false" customHeight="false" outlineLevel="0" collapsed="false">
      <c r="A48" s="55" t="e">
        <f aca="false">_xlfn.CONCAT($A$1, ".", #REF!)</f>
        <v>#REF!</v>
      </c>
      <c r="B48" s="76" t="e">
        <f aca="false">_xlfn.CONCAT(#REF!, ":", #REF!)</f>
        <v>#REF!</v>
      </c>
      <c r="C48" s="77" t="e">
        <f aca="false">#REF!</f>
        <v>#REF!</v>
      </c>
      <c r="D48" s="77" t="e">
        <f aca="false">#REF!</f>
        <v>#REF!</v>
      </c>
      <c r="E48" s="77" t="e">
        <f aca="false">#REF!</f>
        <v>#REF!</v>
      </c>
      <c r="F48" s="77" t="e">
        <f aca="false">#REF!</f>
        <v>#REF!</v>
      </c>
    </row>
    <row r="49" customFormat="false" ht="12.8" hidden="false" customHeight="false" outlineLevel="0" collapsed="false">
      <c r="A49" s="55" t="e">
        <f aca="false">_xlfn.CONCAT($A$1, ".", #REF!)</f>
        <v>#REF!</v>
      </c>
      <c r="B49" s="76" t="e">
        <f aca="false">_xlfn.CONCAT(#REF!, ":", #REF!)</f>
        <v>#REF!</v>
      </c>
      <c r="C49" s="77" t="e">
        <f aca="false">#REF!</f>
        <v>#REF!</v>
      </c>
      <c r="D49" s="77" t="e">
        <f aca="false">#REF!</f>
        <v>#REF!</v>
      </c>
      <c r="E49" s="77" t="e">
        <f aca="false">#REF!</f>
        <v>#REF!</v>
      </c>
      <c r="F49" s="77" t="e">
        <f aca="false">#REF!</f>
        <v>#REF!</v>
      </c>
    </row>
    <row r="50" customFormat="false" ht="12.8" hidden="false" customHeight="false" outlineLevel="0" collapsed="false">
      <c r="A50" s="55" t="e">
        <f aca="false">_xlfn.CONCAT($A$1, ".", #REF!)</f>
        <v>#REF!</v>
      </c>
      <c r="B50" s="76" t="e">
        <f aca="false">_xlfn.CONCAT(#REF!, ":", #REF!)</f>
        <v>#REF!</v>
      </c>
      <c r="C50" s="77" t="e">
        <f aca="false">#REF!</f>
        <v>#REF!</v>
      </c>
      <c r="D50" s="77" t="e">
        <f aca="false">#REF!</f>
        <v>#REF!</v>
      </c>
      <c r="E50" s="77" t="e">
        <f aca="false">#REF!</f>
        <v>#REF!</v>
      </c>
      <c r="F50" s="77" t="e">
        <f aca="false">#REF!</f>
        <v>#REF!</v>
      </c>
    </row>
    <row r="51" customFormat="false" ht="12.8" hidden="false" customHeight="false" outlineLevel="0" collapsed="false">
      <c r="A51" s="55" t="e">
        <f aca="false">_xlfn.CONCAT($A$1, ".", #REF!)</f>
        <v>#REF!</v>
      </c>
      <c r="B51" s="76" t="e">
        <f aca="false">_xlfn.CONCAT(#REF!, ":", #REF!)</f>
        <v>#REF!</v>
      </c>
      <c r="C51" s="77" t="e">
        <f aca="false">#REF!</f>
        <v>#REF!</v>
      </c>
      <c r="D51" s="77" t="e">
        <f aca="false">#REF!</f>
        <v>#REF!</v>
      </c>
      <c r="E51" s="77" t="e">
        <f aca="false">#REF!</f>
        <v>#REF!</v>
      </c>
      <c r="F51" s="77" t="e">
        <f aca="false">#REF!</f>
        <v>#REF!</v>
      </c>
    </row>
    <row r="52" customFormat="false" ht="12.8" hidden="false" customHeight="false" outlineLevel="0" collapsed="false">
      <c r="A52" s="55" t="e">
        <f aca="false">_xlfn.CONCAT($A$1, ".", #REF!)</f>
        <v>#REF!</v>
      </c>
      <c r="B52" s="76" t="e">
        <f aca="false">_xlfn.CONCAT(#REF!, ":", #REF!)</f>
        <v>#REF!</v>
      </c>
      <c r="C52" s="77" t="e">
        <f aca="false">#REF!</f>
        <v>#REF!</v>
      </c>
      <c r="D52" s="77" t="e">
        <f aca="false">#REF!</f>
        <v>#REF!</v>
      </c>
      <c r="E52" s="77" t="e">
        <f aca="false">#REF!</f>
        <v>#REF!</v>
      </c>
      <c r="F52" s="77" t="e">
        <f aca="false">#REF!</f>
        <v>#REF!</v>
      </c>
    </row>
    <row r="53" customFormat="false" ht="12.8" hidden="false" customHeight="false" outlineLevel="0" collapsed="false">
      <c r="A53" s="55" t="e">
        <f aca="false">_xlfn.CONCAT($A$1, ".", #REF!)</f>
        <v>#REF!</v>
      </c>
      <c r="B53" s="76" t="e">
        <f aca="false">_xlfn.CONCAT(#REF!, ":", #REF!)</f>
        <v>#REF!</v>
      </c>
      <c r="C53" s="77" t="e">
        <f aca="false">#REF!</f>
        <v>#REF!</v>
      </c>
      <c r="D53" s="77" t="e">
        <f aca="false">#REF!</f>
        <v>#REF!</v>
      </c>
      <c r="E53" s="77" t="e">
        <f aca="false">#REF!</f>
        <v>#REF!</v>
      </c>
      <c r="F53" s="77" t="e">
        <f aca="false">#REF!</f>
        <v>#REF!</v>
      </c>
    </row>
    <row r="54" customFormat="false" ht="12.8" hidden="false" customHeight="false" outlineLevel="0" collapsed="false">
      <c r="A54" s="55" t="e">
        <f aca="false">_xlfn.CONCAT($A$1, ".", #REF!)</f>
        <v>#REF!</v>
      </c>
      <c r="B54" s="76" t="e">
        <f aca="false">_xlfn.CONCAT(#REF!, ":", #REF!)</f>
        <v>#REF!</v>
      </c>
      <c r="C54" s="77" t="e">
        <f aca="false">#REF!</f>
        <v>#REF!</v>
      </c>
      <c r="D54" s="77" t="e">
        <f aca="false">#REF!</f>
        <v>#REF!</v>
      </c>
      <c r="E54" s="77" t="e">
        <f aca="false">#REF!</f>
        <v>#REF!</v>
      </c>
      <c r="F54" s="77" t="e">
        <f aca="false">#REF!</f>
        <v>#REF!</v>
      </c>
    </row>
    <row r="55" customFormat="false" ht="12.8" hidden="false" customHeight="false" outlineLevel="0" collapsed="false">
      <c r="A55" s="55" t="e">
        <f aca="false">_xlfn.CONCAT($A$1, ".", #REF!)</f>
        <v>#REF!</v>
      </c>
      <c r="B55" s="76" t="e">
        <f aca="false">_xlfn.CONCAT(#REF!, ":", #REF!)</f>
        <v>#REF!</v>
      </c>
      <c r="C55" s="77" t="e">
        <f aca="false">#REF!</f>
        <v>#REF!</v>
      </c>
      <c r="D55" s="77" t="e">
        <f aca="false">#REF!</f>
        <v>#REF!</v>
      </c>
      <c r="E55" s="77" t="e">
        <f aca="false">#REF!</f>
        <v>#REF!</v>
      </c>
      <c r="F55" s="7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247"/>
  <sheetViews>
    <sheetView showFormulas="false" showGridLines="true" showRowColHeaders="true" showZeros="true" rightToLeft="false" tabSelected="false" showOutlineSymbols="true" defaultGridColor="true" view="normal" topLeftCell="A53"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2298</v>
      </c>
      <c r="B1" s="53" t="s">
        <v>2299</v>
      </c>
      <c r="C1" s="6" t="s">
        <v>2</v>
      </c>
      <c r="D1" s="68" t="s">
        <v>2300</v>
      </c>
      <c r="AZ1" s="41"/>
      <c r="BP1" s="41"/>
    </row>
    <row r="2" customFormat="false" ht="46.25" hidden="false" customHeight="false" outlineLevel="0" collapsed="false">
      <c r="A2" s="72" t="s">
        <v>1994</v>
      </c>
      <c r="B2" s="53" t="s">
        <v>1995</v>
      </c>
      <c r="C2" s="75" t="str">
        <f aca="false">CALC!S3</f>
        <v>Underemployment Rate</v>
      </c>
      <c r="D2" s="75" t="str">
        <f aca="false">CALC!T3</f>
        <v>Authorized Immigrant Underemployment Rate</v>
      </c>
      <c r="E2" s="75" t="str">
        <f aca="false">CALC!U3</f>
        <v>Unauthorized Immigrant Underemployment Rate</v>
      </c>
      <c r="F2" s="75" t="str">
        <f aca="false">CALC!V3</f>
        <v>American Underemployment Rate</v>
      </c>
    </row>
    <row r="3" customFormat="false" ht="12.8" hidden="false" customHeight="false" outlineLevel="0" collapsed="false">
      <c r="A3" s="4" t="e">
        <f aca="false">_xlfn.CONCAT($A$1, ".", #REF!)</f>
        <v>#REF!</v>
      </c>
      <c r="B3" s="58"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5" t="e">
        <f aca="false">_xlfn.CONCAT($A$1, ".", #REF!)</f>
        <v>#REF!</v>
      </c>
      <c r="B4" s="76" t="e">
        <f aca="false">_xlfn.CONCAT(#REF!, ":", #REF!)</f>
        <v>#REF!</v>
      </c>
      <c r="C4" s="77" t="e">
        <f aca="false">#REF!</f>
        <v>#REF!</v>
      </c>
      <c r="D4" s="77" t="e">
        <f aca="false">#REF!</f>
        <v>#REF!</v>
      </c>
      <c r="E4" s="77" t="e">
        <f aca="false">#REF!</f>
        <v>#REF!</v>
      </c>
      <c r="F4" s="77" t="e">
        <f aca="false">#REF!</f>
        <v>#REF!</v>
      </c>
    </row>
    <row r="5" customFormat="false" ht="12.8" hidden="false" customHeight="false" outlineLevel="0" collapsed="false">
      <c r="A5" s="55" t="e">
        <f aca="false">_xlfn.CONCAT($A$1, ".", #REF!)</f>
        <v>#REF!</v>
      </c>
      <c r="B5" s="76" t="e">
        <f aca="false">_xlfn.CONCAT(#REF!, ":", #REF!)</f>
        <v>#REF!</v>
      </c>
      <c r="C5" s="77" t="e">
        <f aca="false">#REF!</f>
        <v>#REF!</v>
      </c>
      <c r="D5" s="77" t="e">
        <f aca="false">#REF!</f>
        <v>#REF!</v>
      </c>
      <c r="E5" s="77" t="e">
        <f aca="false">#REF!</f>
        <v>#REF!</v>
      </c>
      <c r="F5" s="77" t="e">
        <f aca="false">#REF!</f>
        <v>#REF!</v>
      </c>
    </row>
    <row r="6" customFormat="false" ht="12.8" hidden="false" customHeight="false" outlineLevel="0" collapsed="false">
      <c r="A6" s="55" t="e">
        <f aca="false">_xlfn.CONCAT($A$1, ".", #REF!)</f>
        <v>#REF!</v>
      </c>
      <c r="B6" s="76" t="e">
        <f aca="false">_xlfn.CONCAT(#REF!, ":", #REF!)</f>
        <v>#REF!</v>
      </c>
      <c r="C6" s="77" t="e">
        <f aca="false">#REF!</f>
        <v>#REF!</v>
      </c>
      <c r="D6" s="77" t="e">
        <f aca="false">#REF!</f>
        <v>#REF!</v>
      </c>
      <c r="E6" s="77" t="e">
        <f aca="false">#REF!</f>
        <v>#REF!</v>
      </c>
      <c r="F6" s="77" t="e">
        <f aca="false">#REF!</f>
        <v>#REF!</v>
      </c>
    </row>
    <row r="7" customFormat="false" ht="12.8" hidden="false" customHeight="false" outlineLevel="0" collapsed="false">
      <c r="A7" s="55" t="e">
        <f aca="false">_xlfn.CONCAT($A$1, ".", #REF!)</f>
        <v>#REF!</v>
      </c>
      <c r="B7" s="76" t="e">
        <f aca="false">_xlfn.CONCAT(#REF!, ":", #REF!)</f>
        <v>#REF!</v>
      </c>
      <c r="C7" s="77" t="e">
        <f aca="false">#REF!</f>
        <v>#REF!</v>
      </c>
      <c r="D7" s="77" t="e">
        <f aca="false">#REF!</f>
        <v>#REF!</v>
      </c>
      <c r="E7" s="77" t="e">
        <f aca="false">#REF!</f>
        <v>#REF!</v>
      </c>
      <c r="F7" s="77" t="e">
        <f aca="false">#REF!</f>
        <v>#REF!</v>
      </c>
    </row>
    <row r="8" customFormat="false" ht="12.8" hidden="false" customHeight="false" outlineLevel="0" collapsed="false">
      <c r="A8" s="55" t="e">
        <f aca="false">_xlfn.CONCAT($A$1, ".", #REF!)</f>
        <v>#REF!</v>
      </c>
      <c r="B8" s="76" t="e">
        <f aca="false">_xlfn.CONCAT(#REF!, ":", #REF!)</f>
        <v>#REF!</v>
      </c>
      <c r="C8" s="77" t="e">
        <f aca="false">#REF!</f>
        <v>#REF!</v>
      </c>
      <c r="D8" s="77" t="e">
        <f aca="false">#REF!</f>
        <v>#REF!</v>
      </c>
      <c r="E8" s="77" t="e">
        <f aca="false">#REF!</f>
        <v>#REF!</v>
      </c>
      <c r="F8" s="77" t="e">
        <f aca="false">#REF!</f>
        <v>#REF!</v>
      </c>
    </row>
    <row r="9" customFormat="false" ht="12.8" hidden="false" customHeight="false" outlineLevel="0" collapsed="false">
      <c r="A9" s="55" t="e">
        <f aca="false">_xlfn.CONCAT($A$1, ".", #REF!)</f>
        <v>#REF!</v>
      </c>
      <c r="B9" s="76" t="e">
        <f aca="false">_xlfn.CONCAT(#REF!, ":", #REF!)</f>
        <v>#REF!</v>
      </c>
      <c r="C9" s="77" t="e">
        <f aca="false">#REF!</f>
        <v>#REF!</v>
      </c>
      <c r="D9" s="77" t="e">
        <f aca="false">#REF!</f>
        <v>#REF!</v>
      </c>
      <c r="E9" s="77" t="e">
        <f aca="false">#REF!</f>
        <v>#REF!</v>
      </c>
      <c r="F9" s="77" t="e">
        <f aca="false">#REF!</f>
        <v>#REF!</v>
      </c>
    </row>
    <row r="10" customFormat="false" ht="12.8" hidden="false" customHeight="false" outlineLevel="0" collapsed="false">
      <c r="A10" s="55" t="e">
        <f aca="false">_xlfn.CONCAT($A$1, ".", #REF!)</f>
        <v>#REF!</v>
      </c>
      <c r="B10" s="76" t="e">
        <f aca="false">_xlfn.CONCAT(#REF!, ":", #REF!)</f>
        <v>#REF!</v>
      </c>
      <c r="C10" s="77" t="e">
        <f aca="false">#REF!</f>
        <v>#REF!</v>
      </c>
      <c r="D10" s="77" t="e">
        <f aca="false">#REF!</f>
        <v>#REF!</v>
      </c>
      <c r="E10" s="77" t="e">
        <f aca="false">#REF!</f>
        <v>#REF!</v>
      </c>
      <c r="F10" s="77" t="e">
        <f aca="false">#REF!</f>
        <v>#REF!</v>
      </c>
    </row>
    <row r="11" customFormat="false" ht="12.8" hidden="false" customHeight="false" outlineLevel="0" collapsed="false">
      <c r="A11" s="55" t="e">
        <f aca="false">_xlfn.CONCAT($A$1, ".", #REF!)</f>
        <v>#REF!</v>
      </c>
      <c r="B11" s="76" t="e">
        <f aca="false">_xlfn.CONCAT(#REF!, ":", #REF!)</f>
        <v>#REF!</v>
      </c>
      <c r="C11" s="77" t="e">
        <f aca="false">#REF!</f>
        <v>#REF!</v>
      </c>
      <c r="D11" s="77" t="e">
        <f aca="false">#REF!</f>
        <v>#REF!</v>
      </c>
      <c r="E11" s="77" t="e">
        <f aca="false">#REF!</f>
        <v>#REF!</v>
      </c>
      <c r="F11" s="77" t="e">
        <f aca="false">#REF!</f>
        <v>#REF!</v>
      </c>
    </row>
    <row r="12" customFormat="false" ht="12.8" hidden="false" customHeight="false" outlineLevel="0" collapsed="false">
      <c r="A12" s="55" t="e">
        <f aca="false">_xlfn.CONCAT($A$1, ".", #REF!)</f>
        <v>#REF!</v>
      </c>
      <c r="B12" s="76" t="e">
        <f aca="false">_xlfn.CONCAT(#REF!, ":", #REF!)</f>
        <v>#REF!</v>
      </c>
      <c r="C12" s="77" t="e">
        <f aca="false">#REF!</f>
        <v>#REF!</v>
      </c>
      <c r="D12" s="77" t="e">
        <f aca="false">#REF!</f>
        <v>#REF!</v>
      </c>
      <c r="E12" s="77" t="e">
        <f aca="false">#REF!</f>
        <v>#REF!</v>
      </c>
      <c r="F12" s="77" t="e">
        <f aca="false">#REF!</f>
        <v>#REF!</v>
      </c>
    </row>
    <row r="13" customFormat="false" ht="12.8" hidden="false" customHeight="false" outlineLevel="0" collapsed="false">
      <c r="A13" s="55" t="e">
        <f aca="false">_xlfn.CONCAT($A$1, ".", #REF!)</f>
        <v>#REF!</v>
      </c>
      <c r="B13" s="76" t="e">
        <f aca="false">_xlfn.CONCAT(#REF!, ":", #REF!)</f>
        <v>#REF!</v>
      </c>
      <c r="C13" s="77" t="e">
        <f aca="false">#REF!</f>
        <v>#REF!</v>
      </c>
      <c r="D13" s="77" t="e">
        <f aca="false">#REF!</f>
        <v>#REF!</v>
      </c>
      <c r="E13" s="77" t="e">
        <f aca="false">#REF!</f>
        <v>#REF!</v>
      </c>
      <c r="F13" s="77" t="e">
        <f aca="false">#REF!</f>
        <v>#REF!</v>
      </c>
    </row>
    <row r="14" customFormat="false" ht="12.8" hidden="false" customHeight="false" outlineLevel="0" collapsed="false">
      <c r="A14" s="55" t="e">
        <f aca="false">_xlfn.CONCAT($A$1, ".", #REF!)</f>
        <v>#REF!</v>
      </c>
      <c r="B14" s="76" t="e">
        <f aca="false">_xlfn.CONCAT(#REF!, ":", #REF!)</f>
        <v>#REF!</v>
      </c>
      <c r="C14" s="77" t="e">
        <f aca="false">#REF!</f>
        <v>#REF!</v>
      </c>
      <c r="D14" s="77" t="e">
        <f aca="false">#REF!</f>
        <v>#REF!</v>
      </c>
      <c r="E14" s="77" t="e">
        <f aca="false">#REF!</f>
        <v>#REF!</v>
      </c>
      <c r="F14" s="77" t="e">
        <f aca="false">#REF!</f>
        <v>#REF!</v>
      </c>
    </row>
    <row r="15" customFormat="false" ht="12.8" hidden="false" customHeight="false" outlineLevel="0" collapsed="false">
      <c r="A15" s="55" t="e">
        <f aca="false">_xlfn.CONCAT($A$1, ".", #REF!)</f>
        <v>#REF!</v>
      </c>
      <c r="B15" s="76" t="e">
        <f aca="false">_xlfn.CONCAT(#REF!, ":", #REF!)</f>
        <v>#REF!</v>
      </c>
      <c r="C15" s="77" t="e">
        <f aca="false">#REF!</f>
        <v>#REF!</v>
      </c>
      <c r="D15" s="77" t="e">
        <f aca="false">#REF!</f>
        <v>#REF!</v>
      </c>
      <c r="E15" s="77" t="e">
        <f aca="false">#REF!</f>
        <v>#REF!</v>
      </c>
      <c r="F15" s="77" t="e">
        <f aca="false">#REF!</f>
        <v>#REF!</v>
      </c>
    </row>
    <row r="16" customFormat="false" ht="12.8" hidden="false" customHeight="false" outlineLevel="0" collapsed="false">
      <c r="A16" s="55" t="e">
        <f aca="false">_xlfn.CONCAT($A$1, ".", #REF!)</f>
        <v>#REF!</v>
      </c>
      <c r="B16" s="76" t="e">
        <f aca="false">_xlfn.CONCAT(#REF!, ":", #REF!)</f>
        <v>#REF!</v>
      </c>
      <c r="C16" s="77" t="e">
        <f aca="false">#REF!</f>
        <v>#REF!</v>
      </c>
      <c r="D16" s="77" t="e">
        <f aca="false">#REF!</f>
        <v>#REF!</v>
      </c>
      <c r="E16" s="77" t="e">
        <f aca="false">#REF!</f>
        <v>#REF!</v>
      </c>
      <c r="F16" s="77" t="e">
        <f aca="false">#REF!</f>
        <v>#REF!</v>
      </c>
    </row>
    <row r="17" customFormat="false" ht="12.8" hidden="false" customHeight="false" outlineLevel="0" collapsed="false">
      <c r="A17" s="55" t="e">
        <f aca="false">_xlfn.CONCAT($A$1, ".", #REF!)</f>
        <v>#REF!</v>
      </c>
      <c r="B17" s="76" t="e">
        <f aca="false">_xlfn.CONCAT(#REF!, ":", #REF!)</f>
        <v>#REF!</v>
      </c>
      <c r="C17" s="77" t="e">
        <f aca="false">#REF!</f>
        <v>#REF!</v>
      </c>
      <c r="D17" s="77" t="e">
        <f aca="false">#REF!</f>
        <v>#REF!</v>
      </c>
      <c r="E17" s="77" t="e">
        <f aca="false">#REF!</f>
        <v>#REF!</v>
      </c>
      <c r="F17" s="77" t="e">
        <f aca="false">#REF!</f>
        <v>#REF!</v>
      </c>
    </row>
    <row r="18" customFormat="false" ht="12.8" hidden="false" customHeight="false" outlineLevel="0" collapsed="false">
      <c r="A18" s="55" t="e">
        <f aca="false">_xlfn.CONCAT($A$1, ".", #REF!)</f>
        <v>#REF!</v>
      </c>
      <c r="B18" s="76" t="e">
        <f aca="false">_xlfn.CONCAT(#REF!, ":", #REF!)</f>
        <v>#REF!</v>
      </c>
      <c r="C18" s="77" t="e">
        <f aca="false">#REF!</f>
        <v>#REF!</v>
      </c>
      <c r="D18" s="77" t="e">
        <f aca="false">#REF!</f>
        <v>#REF!</v>
      </c>
      <c r="E18" s="77" t="e">
        <f aca="false">#REF!</f>
        <v>#REF!</v>
      </c>
      <c r="F18" s="77" t="e">
        <f aca="false">#REF!</f>
        <v>#REF!</v>
      </c>
    </row>
    <row r="19" customFormat="false" ht="12.8" hidden="false" customHeight="false" outlineLevel="0" collapsed="false">
      <c r="A19" s="55" t="e">
        <f aca="false">_xlfn.CONCAT($A$1, ".", #REF!)</f>
        <v>#REF!</v>
      </c>
      <c r="B19" s="76" t="e">
        <f aca="false">_xlfn.CONCAT(#REF!, ":", #REF!)</f>
        <v>#REF!</v>
      </c>
      <c r="C19" s="77" t="e">
        <f aca="false">#REF!</f>
        <v>#REF!</v>
      </c>
      <c r="D19" s="77" t="e">
        <f aca="false">#REF!</f>
        <v>#REF!</v>
      </c>
      <c r="E19" s="77" t="e">
        <f aca="false">#REF!</f>
        <v>#REF!</v>
      </c>
      <c r="F19" s="77" t="e">
        <f aca="false">#REF!</f>
        <v>#REF!</v>
      </c>
    </row>
    <row r="20" customFormat="false" ht="12.8" hidden="false" customHeight="false" outlineLevel="0" collapsed="false">
      <c r="A20" s="55" t="e">
        <f aca="false">_xlfn.CONCAT($A$1, ".", #REF!)</f>
        <v>#REF!</v>
      </c>
      <c r="B20" s="76" t="e">
        <f aca="false">_xlfn.CONCAT(#REF!, ":", #REF!)</f>
        <v>#REF!</v>
      </c>
      <c r="C20" s="77" t="e">
        <f aca="false">#REF!</f>
        <v>#REF!</v>
      </c>
      <c r="D20" s="77" t="e">
        <f aca="false">#REF!</f>
        <v>#REF!</v>
      </c>
      <c r="E20" s="77" t="e">
        <f aca="false">#REF!</f>
        <v>#REF!</v>
      </c>
      <c r="F20" s="77" t="e">
        <f aca="false">#REF!</f>
        <v>#REF!</v>
      </c>
    </row>
    <row r="21" customFormat="false" ht="12.8" hidden="false" customHeight="false" outlineLevel="0" collapsed="false">
      <c r="A21" s="55" t="e">
        <f aca="false">_xlfn.CONCAT($A$1, ".", #REF!)</f>
        <v>#REF!</v>
      </c>
      <c r="B21" s="76" t="e">
        <f aca="false">_xlfn.CONCAT(#REF!, ":", #REF!)</f>
        <v>#REF!</v>
      </c>
      <c r="C21" s="77" t="e">
        <f aca="false">#REF!</f>
        <v>#REF!</v>
      </c>
      <c r="D21" s="77" t="e">
        <f aca="false">#REF!</f>
        <v>#REF!</v>
      </c>
      <c r="E21" s="77" t="e">
        <f aca="false">#REF!</f>
        <v>#REF!</v>
      </c>
      <c r="F21" s="77" t="e">
        <f aca="false">#REF!</f>
        <v>#REF!</v>
      </c>
    </row>
    <row r="22" customFormat="false" ht="12.8" hidden="false" customHeight="false" outlineLevel="0" collapsed="false">
      <c r="A22" s="55" t="e">
        <f aca="false">_xlfn.CONCAT($A$1, ".", #REF!)</f>
        <v>#REF!</v>
      </c>
      <c r="B22" s="76" t="e">
        <f aca="false">_xlfn.CONCAT(#REF!, ":", #REF!)</f>
        <v>#REF!</v>
      </c>
      <c r="C22" s="77" t="e">
        <f aca="false">#REF!</f>
        <v>#REF!</v>
      </c>
      <c r="D22" s="77" t="e">
        <f aca="false">#REF!</f>
        <v>#REF!</v>
      </c>
      <c r="E22" s="77" t="e">
        <f aca="false">#REF!</f>
        <v>#REF!</v>
      </c>
      <c r="F22" s="77" t="e">
        <f aca="false">#REF!</f>
        <v>#REF!</v>
      </c>
    </row>
    <row r="23" customFormat="false" ht="12.8" hidden="false" customHeight="false" outlineLevel="0" collapsed="false">
      <c r="A23" s="55" t="e">
        <f aca="false">_xlfn.CONCAT($A$1, ".", #REF!)</f>
        <v>#REF!</v>
      </c>
      <c r="B23" s="76" t="e">
        <f aca="false">_xlfn.CONCAT(#REF!, ":", #REF!)</f>
        <v>#REF!</v>
      </c>
      <c r="C23" s="77" t="e">
        <f aca="false">#REF!</f>
        <v>#REF!</v>
      </c>
      <c r="D23" s="77" t="e">
        <f aca="false">#REF!</f>
        <v>#REF!</v>
      </c>
      <c r="E23" s="77" t="e">
        <f aca="false">#REF!</f>
        <v>#REF!</v>
      </c>
      <c r="F23" s="77" t="e">
        <f aca="false">#REF!</f>
        <v>#REF!</v>
      </c>
    </row>
    <row r="24" customFormat="false" ht="12.8" hidden="false" customHeight="false" outlineLevel="0" collapsed="false">
      <c r="A24" s="55" t="e">
        <f aca="false">_xlfn.CONCAT($A$1, ".", #REF!)</f>
        <v>#REF!</v>
      </c>
      <c r="B24" s="76" t="e">
        <f aca="false">_xlfn.CONCAT(#REF!, ":", #REF!)</f>
        <v>#REF!</v>
      </c>
      <c r="C24" s="77" t="e">
        <f aca="false">#REF!</f>
        <v>#REF!</v>
      </c>
      <c r="D24" s="77" t="e">
        <f aca="false">#REF!</f>
        <v>#REF!</v>
      </c>
      <c r="E24" s="77" t="e">
        <f aca="false">#REF!</f>
        <v>#REF!</v>
      </c>
      <c r="F24" s="77" t="e">
        <f aca="false">#REF!</f>
        <v>#REF!</v>
      </c>
    </row>
    <row r="25" customFormat="false" ht="12.8" hidden="false" customHeight="false" outlineLevel="0" collapsed="false">
      <c r="A25" s="55" t="e">
        <f aca="false">_xlfn.CONCAT($A$1, ".", #REF!)</f>
        <v>#REF!</v>
      </c>
      <c r="B25" s="76" t="e">
        <f aca="false">_xlfn.CONCAT(#REF!, ":", #REF!)</f>
        <v>#REF!</v>
      </c>
      <c r="C25" s="77" t="e">
        <f aca="false">#REF!</f>
        <v>#REF!</v>
      </c>
      <c r="D25" s="77" t="e">
        <f aca="false">#REF!</f>
        <v>#REF!</v>
      </c>
      <c r="E25" s="77" t="e">
        <f aca="false">#REF!</f>
        <v>#REF!</v>
      </c>
      <c r="F25" s="77" t="e">
        <f aca="false">#REF!</f>
        <v>#REF!</v>
      </c>
    </row>
    <row r="26" customFormat="false" ht="12.8" hidden="false" customHeight="false" outlineLevel="0" collapsed="false">
      <c r="A26" s="55" t="e">
        <f aca="false">_xlfn.CONCAT($A$1, ".", #REF!)</f>
        <v>#REF!</v>
      </c>
      <c r="B26" s="76" t="e">
        <f aca="false">_xlfn.CONCAT(#REF!, ":", #REF!)</f>
        <v>#REF!</v>
      </c>
      <c r="C26" s="77" t="e">
        <f aca="false">#REF!</f>
        <v>#REF!</v>
      </c>
      <c r="D26" s="77" t="e">
        <f aca="false">#REF!</f>
        <v>#REF!</v>
      </c>
      <c r="E26" s="77" t="e">
        <f aca="false">#REF!</f>
        <v>#REF!</v>
      </c>
      <c r="F26" s="77" t="e">
        <f aca="false">#REF!</f>
        <v>#REF!</v>
      </c>
    </row>
    <row r="27" customFormat="false" ht="12.8" hidden="false" customHeight="false" outlineLevel="0" collapsed="false">
      <c r="A27" s="55" t="e">
        <f aca="false">_xlfn.CONCAT($A$1, ".", #REF!)</f>
        <v>#REF!</v>
      </c>
      <c r="B27" s="76" t="e">
        <f aca="false">_xlfn.CONCAT(#REF!, ":", #REF!)</f>
        <v>#REF!</v>
      </c>
      <c r="C27" s="77" t="e">
        <f aca="false">#REF!</f>
        <v>#REF!</v>
      </c>
      <c r="D27" s="77" t="e">
        <f aca="false">#REF!</f>
        <v>#REF!</v>
      </c>
      <c r="E27" s="77" t="e">
        <f aca="false">#REF!</f>
        <v>#REF!</v>
      </c>
      <c r="F27" s="77" t="e">
        <f aca="false">#REF!</f>
        <v>#REF!</v>
      </c>
    </row>
    <row r="28" customFormat="false" ht="12.8" hidden="false" customHeight="false" outlineLevel="0" collapsed="false">
      <c r="A28" s="55" t="e">
        <f aca="false">_xlfn.CONCAT($A$1, ".", #REF!)</f>
        <v>#REF!</v>
      </c>
      <c r="B28" s="76" t="e">
        <f aca="false">_xlfn.CONCAT(#REF!, ":", #REF!)</f>
        <v>#REF!</v>
      </c>
      <c r="C28" s="77" t="e">
        <f aca="false">#REF!</f>
        <v>#REF!</v>
      </c>
      <c r="D28" s="77" t="e">
        <f aca="false">#REF!</f>
        <v>#REF!</v>
      </c>
      <c r="E28" s="77" t="e">
        <f aca="false">#REF!</f>
        <v>#REF!</v>
      </c>
      <c r="F28" s="77" t="e">
        <f aca="false">#REF!</f>
        <v>#REF!</v>
      </c>
    </row>
    <row r="29" customFormat="false" ht="12.8" hidden="false" customHeight="false" outlineLevel="0" collapsed="false">
      <c r="A29" s="55" t="e">
        <f aca="false">_xlfn.CONCAT($A$1, ".", #REF!)</f>
        <v>#REF!</v>
      </c>
      <c r="B29" s="76" t="e">
        <f aca="false">_xlfn.CONCAT(#REF!, ":", #REF!)</f>
        <v>#REF!</v>
      </c>
      <c r="C29" s="77" t="e">
        <f aca="false">#REF!</f>
        <v>#REF!</v>
      </c>
      <c r="D29" s="77" t="e">
        <f aca="false">#REF!</f>
        <v>#REF!</v>
      </c>
      <c r="E29" s="77" t="e">
        <f aca="false">#REF!</f>
        <v>#REF!</v>
      </c>
      <c r="F29" s="77" t="e">
        <f aca="false">#REF!</f>
        <v>#REF!</v>
      </c>
    </row>
    <row r="30" customFormat="false" ht="12.8" hidden="false" customHeight="false" outlineLevel="0" collapsed="false">
      <c r="A30" s="55" t="e">
        <f aca="false">_xlfn.CONCAT($A$1, ".", #REF!)</f>
        <v>#REF!</v>
      </c>
      <c r="B30" s="76" t="e">
        <f aca="false">_xlfn.CONCAT(#REF!, ":", #REF!)</f>
        <v>#REF!</v>
      </c>
      <c r="C30" s="77" t="e">
        <f aca="false">#REF!</f>
        <v>#REF!</v>
      </c>
      <c r="D30" s="77" t="e">
        <f aca="false">#REF!</f>
        <v>#REF!</v>
      </c>
      <c r="E30" s="77" t="e">
        <f aca="false">#REF!</f>
        <v>#REF!</v>
      </c>
      <c r="F30" s="77" t="e">
        <f aca="false">#REF!</f>
        <v>#REF!</v>
      </c>
    </row>
    <row r="31" customFormat="false" ht="12.8" hidden="false" customHeight="false" outlineLevel="0" collapsed="false">
      <c r="A31" s="55" t="e">
        <f aca="false">_xlfn.CONCAT($A$1, ".", #REF!)</f>
        <v>#REF!</v>
      </c>
      <c r="B31" s="76" t="e">
        <f aca="false">_xlfn.CONCAT(#REF!, ":", #REF!)</f>
        <v>#REF!</v>
      </c>
      <c r="C31" s="77" t="e">
        <f aca="false">#REF!</f>
        <v>#REF!</v>
      </c>
      <c r="D31" s="77" t="e">
        <f aca="false">#REF!</f>
        <v>#REF!</v>
      </c>
      <c r="E31" s="77" t="e">
        <f aca="false">#REF!</f>
        <v>#REF!</v>
      </c>
      <c r="F31" s="77" t="e">
        <f aca="false">#REF!</f>
        <v>#REF!</v>
      </c>
    </row>
    <row r="32" customFormat="false" ht="12.8" hidden="false" customHeight="false" outlineLevel="0" collapsed="false">
      <c r="A32" s="55" t="e">
        <f aca="false">_xlfn.CONCAT($A$1, ".", #REF!)</f>
        <v>#REF!</v>
      </c>
      <c r="B32" s="76" t="e">
        <f aca="false">_xlfn.CONCAT(#REF!, ":", #REF!)</f>
        <v>#REF!</v>
      </c>
      <c r="C32" s="77" t="e">
        <f aca="false">#REF!</f>
        <v>#REF!</v>
      </c>
      <c r="D32" s="77" t="e">
        <f aca="false">#REF!</f>
        <v>#REF!</v>
      </c>
      <c r="E32" s="77" t="e">
        <f aca="false">#REF!</f>
        <v>#REF!</v>
      </c>
      <c r="F32" s="77" t="e">
        <f aca="false">#REF!</f>
        <v>#REF!</v>
      </c>
    </row>
    <row r="33" customFormat="false" ht="12.8" hidden="false" customHeight="false" outlineLevel="0" collapsed="false">
      <c r="A33" s="55" t="e">
        <f aca="false">_xlfn.CONCAT($A$1, ".", #REF!)</f>
        <v>#REF!</v>
      </c>
      <c r="B33" s="76" t="e">
        <f aca="false">_xlfn.CONCAT(#REF!, ":", #REF!)</f>
        <v>#REF!</v>
      </c>
      <c r="C33" s="77" t="e">
        <f aca="false">#REF!</f>
        <v>#REF!</v>
      </c>
      <c r="D33" s="77" t="e">
        <f aca="false">#REF!</f>
        <v>#REF!</v>
      </c>
      <c r="E33" s="77" t="e">
        <f aca="false">#REF!</f>
        <v>#REF!</v>
      </c>
      <c r="F33" s="77" t="e">
        <f aca="false">#REF!</f>
        <v>#REF!</v>
      </c>
    </row>
    <row r="34" customFormat="false" ht="12.8" hidden="false" customHeight="false" outlineLevel="0" collapsed="false">
      <c r="A34" s="55" t="e">
        <f aca="false">_xlfn.CONCAT($A$1, ".", #REF!)</f>
        <v>#REF!</v>
      </c>
      <c r="B34" s="76" t="e">
        <f aca="false">_xlfn.CONCAT(#REF!, ":", #REF!)</f>
        <v>#REF!</v>
      </c>
      <c r="C34" s="77" t="e">
        <f aca="false">#REF!</f>
        <v>#REF!</v>
      </c>
      <c r="D34" s="77" t="e">
        <f aca="false">#REF!</f>
        <v>#REF!</v>
      </c>
      <c r="E34" s="77" t="e">
        <f aca="false">#REF!</f>
        <v>#REF!</v>
      </c>
      <c r="F34" s="77" t="e">
        <f aca="false">#REF!</f>
        <v>#REF!</v>
      </c>
    </row>
    <row r="35" customFormat="false" ht="12.8" hidden="false" customHeight="false" outlineLevel="0" collapsed="false">
      <c r="A35" s="55" t="e">
        <f aca="false">_xlfn.CONCAT($A$1, ".", #REF!)</f>
        <v>#REF!</v>
      </c>
      <c r="B35" s="76" t="e">
        <f aca="false">_xlfn.CONCAT(#REF!, ":", #REF!)</f>
        <v>#REF!</v>
      </c>
      <c r="C35" s="77" t="e">
        <f aca="false">#REF!</f>
        <v>#REF!</v>
      </c>
      <c r="D35" s="77" t="e">
        <f aca="false">#REF!</f>
        <v>#REF!</v>
      </c>
      <c r="E35" s="77" t="e">
        <f aca="false">#REF!</f>
        <v>#REF!</v>
      </c>
      <c r="F35" s="77" t="e">
        <f aca="false">#REF!</f>
        <v>#REF!</v>
      </c>
    </row>
    <row r="36" customFormat="false" ht="12.8" hidden="false" customHeight="false" outlineLevel="0" collapsed="false">
      <c r="A36" s="55" t="e">
        <f aca="false">_xlfn.CONCAT($A$1, ".", #REF!)</f>
        <v>#REF!</v>
      </c>
      <c r="B36" s="76" t="e">
        <f aca="false">_xlfn.CONCAT(#REF!, ":", #REF!)</f>
        <v>#REF!</v>
      </c>
      <c r="C36" s="77" t="e">
        <f aca="false">#REF!</f>
        <v>#REF!</v>
      </c>
      <c r="D36" s="77" t="e">
        <f aca="false">#REF!</f>
        <v>#REF!</v>
      </c>
      <c r="E36" s="77" t="e">
        <f aca="false">#REF!</f>
        <v>#REF!</v>
      </c>
      <c r="F36" s="77" t="e">
        <f aca="false">#REF!</f>
        <v>#REF!</v>
      </c>
    </row>
    <row r="37" customFormat="false" ht="12.8" hidden="false" customHeight="false" outlineLevel="0" collapsed="false">
      <c r="A37" s="55" t="e">
        <f aca="false">_xlfn.CONCAT($A$1, ".", #REF!)</f>
        <v>#REF!</v>
      </c>
      <c r="B37" s="76" t="e">
        <f aca="false">_xlfn.CONCAT(#REF!, ":", #REF!)</f>
        <v>#REF!</v>
      </c>
      <c r="C37" s="77" t="e">
        <f aca="false">#REF!</f>
        <v>#REF!</v>
      </c>
      <c r="D37" s="77" t="e">
        <f aca="false">#REF!</f>
        <v>#REF!</v>
      </c>
      <c r="E37" s="77" t="e">
        <f aca="false">#REF!</f>
        <v>#REF!</v>
      </c>
      <c r="F37" s="77" t="e">
        <f aca="false">#REF!</f>
        <v>#REF!</v>
      </c>
    </row>
    <row r="38" customFormat="false" ht="12.8" hidden="false" customHeight="false" outlineLevel="0" collapsed="false">
      <c r="A38" s="55" t="e">
        <f aca="false">_xlfn.CONCAT($A$1, ".", #REF!)</f>
        <v>#REF!</v>
      </c>
      <c r="B38" s="76" t="e">
        <f aca="false">_xlfn.CONCAT(#REF!, ":", #REF!)</f>
        <v>#REF!</v>
      </c>
      <c r="C38" s="77" t="e">
        <f aca="false">#REF!</f>
        <v>#REF!</v>
      </c>
      <c r="D38" s="77" t="e">
        <f aca="false">#REF!</f>
        <v>#REF!</v>
      </c>
      <c r="E38" s="77" t="e">
        <f aca="false">#REF!</f>
        <v>#REF!</v>
      </c>
      <c r="F38" s="77" t="e">
        <f aca="false">#REF!</f>
        <v>#REF!</v>
      </c>
    </row>
    <row r="39" customFormat="false" ht="12.8" hidden="false" customHeight="false" outlineLevel="0" collapsed="false">
      <c r="A39" s="55" t="e">
        <f aca="false">_xlfn.CONCAT($A$1, ".", #REF!)</f>
        <v>#REF!</v>
      </c>
      <c r="B39" s="76" t="e">
        <f aca="false">_xlfn.CONCAT(#REF!, ":", #REF!)</f>
        <v>#REF!</v>
      </c>
      <c r="C39" s="77" t="e">
        <f aca="false">#REF!</f>
        <v>#REF!</v>
      </c>
      <c r="D39" s="77" t="e">
        <f aca="false">#REF!</f>
        <v>#REF!</v>
      </c>
      <c r="E39" s="77" t="e">
        <f aca="false">#REF!</f>
        <v>#REF!</v>
      </c>
      <c r="F39" s="77" t="e">
        <f aca="false">#REF!</f>
        <v>#REF!</v>
      </c>
    </row>
    <row r="40" customFormat="false" ht="12.8" hidden="false" customHeight="false" outlineLevel="0" collapsed="false">
      <c r="A40" s="55" t="e">
        <f aca="false">_xlfn.CONCAT($A$1, ".", #REF!)</f>
        <v>#REF!</v>
      </c>
      <c r="B40" s="76" t="e">
        <f aca="false">_xlfn.CONCAT(#REF!, ":", #REF!)</f>
        <v>#REF!</v>
      </c>
      <c r="C40" s="77" t="e">
        <f aca="false">#REF!</f>
        <v>#REF!</v>
      </c>
      <c r="D40" s="77" t="e">
        <f aca="false">#REF!</f>
        <v>#REF!</v>
      </c>
      <c r="E40" s="77" t="e">
        <f aca="false">#REF!</f>
        <v>#REF!</v>
      </c>
      <c r="F40" s="77" t="e">
        <f aca="false">#REF!</f>
        <v>#REF!</v>
      </c>
    </row>
    <row r="41" customFormat="false" ht="12.8" hidden="false" customHeight="false" outlineLevel="0" collapsed="false">
      <c r="A41" s="55" t="e">
        <f aca="false">_xlfn.CONCAT($A$1, ".", #REF!)</f>
        <v>#REF!</v>
      </c>
      <c r="B41" s="76" t="e">
        <f aca="false">_xlfn.CONCAT(#REF!, ":", #REF!)</f>
        <v>#REF!</v>
      </c>
      <c r="C41" s="77" t="e">
        <f aca="false">#REF!</f>
        <v>#REF!</v>
      </c>
      <c r="D41" s="77" t="e">
        <f aca="false">#REF!</f>
        <v>#REF!</v>
      </c>
      <c r="E41" s="77" t="e">
        <f aca="false">#REF!</f>
        <v>#REF!</v>
      </c>
      <c r="F41" s="77" t="e">
        <f aca="false">#REF!</f>
        <v>#REF!</v>
      </c>
    </row>
    <row r="42" customFormat="false" ht="12.8" hidden="false" customHeight="false" outlineLevel="0" collapsed="false">
      <c r="A42" s="55" t="e">
        <f aca="false">_xlfn.CONCAT($A$1, ".", #REF!)</f>
        <v>#REF!</v>
      </c>
      <c r="B42" s="76" t="e">
        <f aca="false">_xlfn.CONCAT(#REF!, ":", #REF!)</f>
        <v>#REF!</v>
      </c>
      <c r="C42" s="77" t="e">
        <f aca="false">#REF!</f>
        <v>#REF!</v>
      </c>
      <c r="D42" s="77" t="e">
        <f aca="false">#REF!</f>
        <v>#REF!</v>
      </c>
      <c r="E42" s="77" t="e">
        <f aca="false">#REF!</f>
        <v>#REF!</v>
      </c>
      <c r="F42" s="77" t="e">
        <f aca="false">#REF!</f>
        <v>#REF!</v>
      </c>
    </row>
    <row r="43" customFormat="false" ht="12.8" hidden="false" customHeight="false" outlineLevel="0" collapsed="false">
      <c r="A43" s="55" t="e">
        <f aca="false">_xlfn.CONCAT($A$1, ".", #REF!)</f>
        <v>#REF!</v>
      </c>
      <c r="B43" s="76" t="e">
        <f aca="false">_xlfn.CONCAT(#REF!, ":", #REF!)</f>
        <v>#REF!</v>
      </c>
      <c r="C43" s="77" t="e">
        <f aca="false">#REF!</f>
        <v>#REF!</v>
      </c>
      <c r="D43" s="77" t="e">
        <f aca="false">#REF!</f>
        <v>#REF!</v>
      </c>
      <c r="E43" s="77" t="e">
        <f aca="false">#REF!</f>
        <v>#REF!</v>
      </c>
      <c r="F43" s="77" t="e">
        <f aca="false">#REF!</f>
        <v>#REF!</v>
      </c>
    </row>
    <row r="44" customFormat="false" ht="12.8" hidden="false" customHeight="false" outlineLevel="0" collapsed="false">
      <c r="A44" s="55" t="e">
        <f aca="false">_xlfn.CONCAT($A$1, ".", #REF!)</f>
        <v>#REF!</v>
      </c>
      <c r="B44" s="76" t="e">
        <f aca="false">_xlfn.CONCAT(#REF!, ":", #REF!)</f>
        <v>#REF!</v>
      </c>
      <c r="C44" s="77" t="e">
        <f aca="false">#REF!</f>
        <v>#REF!</v>
      </c>
      <c r="D44" s="77" t="e">
        <f aca="false">#REF!</f>
        <v>#REF!</v>
      </c>
      <c r="E44" s="77" t="e">
        <f aca="false">#REF!</f>
        <v>#REF!</v>
      </c>
      <c r="F44" s="77" t="e">
        <f aca="false">#REF!</f>
        <v>#REF!</v>
      </c>
    </row>
    <row r="45" customFormat="false" ht="12.8" hidden="false" customHeight="false" outlineLevel="0" collapsed="false">
      <c r="A45" s="55" t="e">
        <f aca="false">_xlfn.CONCAT($A$1, ".", #REF!)</f>
        <v>#REF!</v>
      </c>
      <c r="B45" s="76" t="e">
        <f aca="false">_xlfn.CONCAT(#REF!, ":", #REF!)</f>
        <v>#REF!</v>
      </c>
      <c r="C45" s="77" t="e">
        <f aca="false">#REF!</f>
        <v>#REF!</v>
      </c>
      <c r="D45" s="77" t="e">
        <f aca="false">#REF!</f>
        <v>#REF!</v>
      </c>
      <c r="E45" s="77" t="e">
        <f aca="false">#REF!</f>
        <v>#REF!</v>
      </c>
      <c r="F45" s="77" t="e">
        <f aca="false">#REF!</f>
        <v>#REF!</v>
      </c>
    </row>
    <row r="46" customFormat="false" ht="12.8" hidden="false" customHeight="false" outlineLevel="0" collapsed="false">
      <c r="A46" s="55" t="e">
        <f aca="false">_xlfn.CONCAT($A$1, ".", #REF!)</f>
        <v>#REF!</v>
      </c>
      <c r="B46" s="76" t="e">
        <f aca="false">_xlfn.CONCAT(#REF!, ":", #REF!)</f>
        <v>#REF!</v>
      </c>
      <c r="C46" s="77" t="e">
        <f aca="false">#REF!</f>
        <v>#REF!</v>
      </c>
      <c r="D46" s="77" t="e">
        <f aca="false">#REF!</f>
        <v>#REF!</v>
      </c>
      <c r="E46" s="77" t="e">
        <f aca="false">#REF!</f>
        <v>#REF!</v>
      </c>
      <c r="F46" s="77" t="e">
        <f aca="false">#REF!</f>
        <v>#REF!</v>
      </c>
    </row>
    <row r="47" customFormat="false" ht="12.8" hidden="false" customHeight="false" outlineLevel="0" collapsed="false">
      <c r="A47" s="55" t="e">
        <f aca="false">_xlfn.CONCAT($A$1, ".", #REF!)</f>
        <v>#REF!</v>
      </c>
      <c r="B47" s="76" t="e">
        <f aca="false">_xlfn.CONCAT(#REF!, ":", #REF!)</f>
        <v>#REF!</v>
      </c>
      <c r="C47" s="77" t="e">
        <f aca="false">#REF!</f>
        <v>#REF!</v>
      </c>
      <c r="D47" s="77" t="e">
        <f aca="false">#REF!</f>
        <v>#REF!</v>
      </c>
      <c r="E47" s="77" t="e">
        <f aca="false">#REF!</f>
        <v>#REF!</v>
      </c>
      <c r="F47" s="77" t="e">
        <f aca="false">#REF!</f>
        <v>#REF!</v>
      </c>
    </row>
    <row r="48" customFormat="false" ht="12.8" hidden="false" customHeight="false" outlineLevel="0" collapsed="false">
      <c r="A48" s="55" t="e">
        <f aca="false">_xlfn.CONCAT($A$1, ".", #REF!)</f>
        <v>#REF!</v>
      </c>
      <c r="B48" s="76" t="e">
        <f aca="false">_xlfn.CONCAT(#REF!, ":", #REF!)</f>
        <v>#REF!</v>
      </c>
      <c r="C48" s="77" t="e">
        <f aca="false">#REF!</f>
        <v>#REF!</v>
      </c>
      <c r="D48" s="77" t="e">
        <f aca="false">#REF!</f>
        <v>#REF!</v>
      </c>
      <c r="E48" s="77" t="e">
        <f aca="false">#REF!</f>
        <v>#REF!</v>
      </c>
      <c r="F48" s="77" t="e">
        <f aca="false">#REF!</f>
        <v>#REF!</v>
      </c>
    </row>
    <row r="49" customFormat="false" ht="12.8" hidden="false" customHeight="false" outlineLevel="0" collapsed="false">
      <c r="A49" s="55" t="e">
        <f aca="false">_xlfn.CONCAT($A$1, ".", #REF!)</f>
        <v>#REF!</v>
      </c>
      <c r="B49" s="76" t="e">
        <f aca="false">_xlfn.CONCAT(#REF!, ":", #REF!)</f>
        <v>#REF!</v>
      </c>
      <c r="C49" s="77" t="e">
        <f aca="false">#REF!</f>
        <v>#REF!</v>
      </c>
      <c r="D49" s="77" t="e">
        <f aca="false">#REF!</f>
        <v>#REF!</v>
      </c>
      <c r="E49" s="77" t="e">
        <f aca="false">#REF!</f>
        <v>#REF!</v>
      </c>
      <c r="F49" s="77" t="e">
        <f aca="false">#REF!</f>
        <v>#REF!</v>
      </c>
    </row>
    <row r="50" customFormat="false" ht="12.8" hidden="false" customHeight="false" outlineLevel="0" collapsed="false">
      <c r="A50" s="55" t="e">
        <f aca="false">_xlfn.CONCAT($A$1, ".", #REF!)</f>
        <v>#REF!</v>
      </c>
      <c r="B50" s="76" t="e">
        <f aca="false">_xlfn.CONCAT(#REF!, ":", #REF!)</f>
        <v>#REF!</v>
      </c>
      <c r="C50" s="77" t="e">
        <f aca="false">#REF!</f>
        <v>#REF!</v>
      </c>
      <c r="D50" s="77" t="e">
        <f aca="false">#REF!</f>
        <v>#REF!</v>
      </c>
      <c r="E50" s="77" t="e">
        <f aca="false">#REF!</f>
        <v>#REF!</v>
      </c>
      <c r="F50" s="77" t="e">
        <f aca="false">#REF!</f>
        <v>#REF!</v>
      </c>
    </row>
    <row r="51" customFormat="false" ht="12.8" hidden="false" customHeight="false" outlineLevel="0" collapsed="false">
      <c r="A51" s="55" t="e">
        <f aca="false">_xlfn.CONCAT($A$1, ".", #REF!)</f>
        <v>#REF!</v>
      </c>
      <c r="B51" s="76" t="e">
        <f aca="false">_xlfn.CONCAT(#REF!, ":", #REF!)</f>
        <v>#REF!</v>
      </c>
      <c r="C51" s="77" t="e">
        <f aca="false">#REF!</f>
        <v>#REF!</v>
      </c>
      <c r="D51" s="77" t="e">
        <f aca="false">#REF!</f>
        <v>#REF!</v>
      </c>
      <c r="E51" s="77" t="e">
        <f aca="false">#REF!</f>
        <v>#REF!</v>
      </c>
      <c r="F51" s="77" t="e">
        <f aca="false">#REF!</f>
        <v>#REF!</v>
      </c>
    </row>
    <row r="52" customFormat="false" ht="12.8" hidden="false" customHeight="false" outlineLevel="0" collapsed="false">
      <c r="A52" s="55" t="e">
        <f aca="false">_xlfn.CONCAT($A$1, ".", #REF!)</f>
        <v>#REF!</v>
      </c>
      <c r="B52" s="76" t="e">
        <f aca="false">_xlfn.CONCAT(#REF!, ":", #REF!)</f>
        <v>#REF!</v>
      </c>
      <c r="C52" s="77" t="e">
        <f aca="false">#REF!</f>
        <v>#REF!</v>
      </c>
      <c r="D52" s="77" t="e">
        <f aca="false">#REF!</f>
        <v>#REF!</v>
      </c>
      <c r="E52" s="77" t="e">
        <f aca="false">#REF!</f>
        <v>#REF!</v>
      </c>
      <c r="F52" s="77" t="e">
        <f aca="false">#REF!</f>
        <v>#REF!</v>
      </c>
    </row>
    <row r="53" customFormat="false" ht="12.8" hidden="false" customHeight="false" outlineLevel="0" collapsed="false">
      <c r="A53" s="55" t="e">
        <f aca="false">_xlfn.CONCAT($A$1, ".", #REF!)</f>
        <v>#REF!</v>
      </c>
      <c r="B53" s="76" t="e">
        <f aca="false">_xlfn.CONCAT(#REF!, ":", #REF!)</f>
        <v>#REF!</v>
      </c>
      <c r="C53" s="77" t="e">
        <f aca="false">#REF!</f>
        <v>#REF!</v>
      </c>
      <c r="D53" s="77" t="e">
        <f aca="false">#REF!</f>
        <v>#REF!</v>
      </c>
      <c r="E53" s="77" t="e">
        <f aca="false">#REF!</f>
        <v>#REF!</v>
      </c>
      <c r="F53" s="77" t="e">
        <f aca="false">#REF!</f>
        <v>#REF!</v>
      </c>
    </row>
    <row r="54" customFormat="false" ht="12.8" hidden="false" customHeight="false" outlineLevel="0" collapsed="false">
      <c r="A54" s="55" t="e">
        <f aca="false">_xlfn.CONCAT($A$1, ".", #REF!)</f>
        <v>#REF!</v>
      </c>
      <c r="B54" s="76" t="e">
        <f aca="false">_xlfn.CONCAT(#REF!, ":", #REF!)</f>
        <v>#REF!</v>
      </c>
      <c r="C54" s="77" t="e">
        <f aca="false">#REF!</f>
        <v>#REF!</v>
      </c>
      <c r="D54" s="77" t="e">
        <f aca="false">#REF!</f>
        <v>#REF!</v>
      </c>
      <c r="E54" s="77" t="e">
        <f aca="false">#REF!</f>
        <v>#REF!</v>
      </c>
      <c r="F54" s="77" t="e">
        <f aca="false">#REF!</f>
        <v>#REF!</v>
      </c>
    </row>
    <row r="55" customFormat="false" ht="12.8" hidden="false" customHeight="false" outlineLevel="0" collapsed="false">
      <c r="A55" s="55" t="e">
        <f aca="false">_xlfn.CONCAT($A$1, ".", #REF!)</f>
        <v>#REF!</v>
      </c>
      <c r="B55" s="76" t="e">
        <f aca="false">_xlfn.CONCAT(#REF!, ":", #REF!)</f>
        <v>#REF!</v>
      </c>
      <c r="C55" s="77" t="e">
        <f aca="false">#REF!</f>
        <v>#REF!</v>
      </c>
      <c r="D55" s="77" t="e">
        <f aca="false">#REF!</f>
        <v>#REF!</v>
      </c>
      <c r="E55" s="77" t="e">
        <f aca="false">#REF!</f>
        <v>#REF!</v>
      </c>
      <c r="F55" s="7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247"/>
  <sheetViews>
    <sheetView showFormulas="false" showGridLines="true" showRowColHeaders="true" showZeros="true" rightToLeft="false" tabSelected="false" showOutlineSymbols="true" defaultGridColor="true" view="normal" topLeftCell="A92"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2301</v>
      </c>
      <c r="B1" s="53" t="s">
        <v>2302</v>
      </c>
      <c r="C1" s="6" t="s">
        <v>2</v>
      </c>
      <c r="D1" s="68" t="s">
        <v>2303</v>
      </c>
      <c r="AZ1" s="41"/>
      <c r="BP1" s="41"/>
    </row>
    <row r="2" customFormat="false" ht="35.05" hidden="false" customHeight="false" outlineLevel="0" collapsed="false">
      <c r="A2" s="72" t="s">
        <v>1994</v>
      </c>
      <c r="B2" s="53" t="s">
        <v>1995</v>
      </c>
      <c r="C2" s="78" t="str">
        <f aca="false">CALC!W3</f>
        <v>Wage Average ($ /hr)</v>
      </c>
      <c r="D2" s="78" t="str">
        <f aca="false">CALC!AC3</f>
        <v>Authorized Immigrant Wage Average ($ /hr)</v>
      </c>
      <c r="E2" s="78" t="str">
        <f aca="false">CALC!AI3</f>
        <v>Unauthorized Immigrant Wage Average ($ /hr)</v>
      </c>
      <c r="F2" s="78" t="str">
        <f aca="false">CALC!AO3</f>
        <v>American Wage Average ($ /hr)</v>
      </c>
    </row>
    <row r="3" customFormat="false" ht="12.8" hidden="false" customHeight="false" outlineLevel="0" collapsed="false">
      <c r="A3" s="4" t="e">
        <f aca="false">_xlfn.CONCAT($A$1, ".", #REF!)</f>
        <v>#REF!</v>
      </c>
      <c r="B3" s="58" t="e">
        <f aca="false">_xlfn.CONCAT(#REF!, ":", #REF!)</f>
        <v>#REF!</v>
      </c>
      <c r="C3" s="78" t="e">
        <f aca="false">#REF!</f>
        <v>#REF!</v>
      </c>
      <c r="D3" s="78" t="e">
        <f aca="false">#REF!</f>
        <v>#REF!</v>
      </c>
      <c r="E3" s="78" t="e">
        <f aca="false">#REF!</f>
        <v>#REF!</v>
      </c>
      <c r="F3" s="78" t="e">
        <f aca="false">#REF!</f>
        <v>#REF!</v>
      </c>
    </row>
    <row r="4" customFormat="false" ht="12.8" hidden="false" customHeight="false" outlineLevel="0" collapsed="false">
      <c r="A4" s="55" t="e">
        <f aca="false">_xlfn.CONCAT($A$1, ".", #REF!)</f>
        <v>#REF!</v>
      </c>
      <c r="B4" s="76" t="e">
        <f aca="false">_xlfn.CONCAT(#REF!, ":", #REF!)</f>
        <v>#REF!</v>
      </c>
      <c r="C4" s="79" t="e">
        <f aca="false">#REF!</f>
        <v>#REF!</v>
      </c>
      <c r="D4" s="79" t="e">
        <f aca="false">#REF!</f>
        <v>#REF!</v>
      </c>
      <c r="E4" s="79" t="e">
        <f aca="false">#REF!</f>
        <v>#REF!</v>
      </c>
      <c r="F4" s="79" t="e">
        <f aca="false">#REF!</f>
        <v>#REF!</v>
      </c>
    </row>
    <row r="5" customFormat="false" ht="12.8" hidden="false" customHeight="false" outlineLevel="0" collapsed="false">
      <c r="A5" s="55" t="e">
        <f aca="false">_xlfn.CONCAT($A$1, ".", #REF!)</f>
        <v>#REF!</v>
      </c>
      <c r="B5" s="76" t="e">
        <f aca="false">_xlfn.CONCAT(#REF!, ":", #REF!)</f>
        <v>#REF!</v>
      </c>
      <c r="C5" s="79" t="e">
        <f aca="false">#REF!</f>
        <v>#REF!</v>
      </c>
      <c r="D5" s="79" t="e">
        <f aca="false">#REF!</f>
        <v>#REF!</v>
      </c>
      <c r="E5" s="79" t="e">
        <f aca="false">#REF!</f>
        <v>#REF!</v>
      </c>
      <c r="F5" s="79" t="e">
        <f aca="false">#REF!</f>
        <v>#REF!</v>
      </c>
    </row>
    <row r="6" customFormat="false" ht="12.8" hidden="false" customHeight="false" outlineLevel="0" collapsed="false">
      <c r="A6" s="55" t="e">
        <f aca="false">_xlfn.CONCAT($A$1, ".", #REF!)</f>
        <v>#REF!</v>
      </c>
      <c r="B6" s="76" t="e">
        <f aca="false">_xlfn.CONCAT(#REF!, ":", #REF!)</f>
        <v>#REF!</v>
      </c>
      <c r="C6" s="79" t="e">
        <f aca="false">#REF!</f>
        <v>#REF!</v>
      </c>
      <c r="D6" s="79" t="e">
        <f aca="false">#REF!</f>
        <v>#REF!</v>
      </c>
      <c r="E6" s="79" t="e">
        <f aca="false">#REF!</f>
        <v>#REF!</v>
      </c>
      <c r="F6" s="79" t="e">
        <f aca="false">#REF!</f>
        <v>#REF!</v>
      </c>
    </row>
    <row r="7" customFormat="false" ht="12.8" hidden="false" customHeight="false" outlineLevel="0" collapsed="false">
      <c r="A7" s="55" t="e">
        <f aca="false">_xlfn.CONCAT($A$1, ".", #REF!)</f>
        <v>#REF!</v>
      </c>
      <c r="B7" s="76" t="e">
        <f aca="false">_xlfn.CONCAT(#REF!, ":", #REF!)</f>
        <v>#REF!</v>
      </c>
      <c r="C7" s="79" t="e">
        <f aca="false">#REF!</f>
        <v>#REF!</v>
      </c>
      <c r="D7" s="79" t="e">
        <f aca="false">#REF!</f>
        <v>#REF!</v>
      </c>
      <c r="E7" s="79" t="e">
        <f aca="false">#REF!</f>
        <v>#REF!</v>
      </c>
      <c r="F7" s="79" t="e">
        <f aca="false">#REF!</f>
        <v>#REF!</v>
      </c>
    </row>
    <row r="8" customFormat="false" ht="12.8" hidden="false" customHeight="false" outlineLevel="0" collapsed="false">
      <c r="A8" s="55" t="e">
        <f aca="false">_xlfn.CONCAT($A$1, ".", #REF!)</f>
        <v>#REF!</v>
      </c>
      <c r="B8" s="76" t="e">
        <f aca="false">_xlfn.CONCAT(#REF!, ":", #REF!)</f>
        <v>#REF!</v>
      </c>
      <c r="C8" s="79" t="e">
        <f aca="false">#REF!</f>
        <v>#REF!</v>
      </c>
      <c r="D8" s="79" t="e">
        <f aca="false">#REF!</f>
        <v>#REF!</v>
      </c>
      <c r="E8" s="79" t="e">
        <f aca="false">#REF!</f>
        <v>#REF!</v>
      </c>
      <c r="F8" s="79" t="e">
        <f aca="false">#REF!</f>
        <v>#REF!</v>
      </c>
    </row>
    <row r="9" customFormat="false" ht="12.8" hidden="false" customHeight="false" outlineLevel="0" collapsed="false">
      <c r="A9" s="55" t="e">
        <f aca="false">_xlfn.CONCAT($A$1, ".", #REF!)</f>
        <v>#REF!</v>
      </c>
      <c r="B9" s="76" t="e">
        <f aca="false">_xlfn.CONCAT(#REF!, ":", #REF!)</f>
        <v>#REF!</v>
      </c>
      <c r="C9" s="79" t="e">
        <f aca="false">#REF!</f>
        <v>#REF!</v>
      </c>
      <c r="D9" s="79" t="e">
        <f aca="false">#REF!</f>
        <v>#REF!</v>
      </c>
      <c r="E9" s="79" t="e">
        <f aca="false">#REF!</f>
        <v>#REF!</v>
      </c>
      <c r="F9" s="79" t="e">
        <f aca="false">#REF!</f>
        <v>#REF!</v>
      </c>
    </row>
    <row r="10" customFormat="false" ht="12.8" hidden="false" customHeight="false" outlineLevel="0" collapsed="false">
      <c r="A10" s="55" t="e">
        <f aca="false">_xlfn.CONCAT($A$1, ".", #REF!)</f>
        <v>#REF!</v>
      </c>
      <c r="B10" s="76" t="e">
        <f aca="false">_xlfn.CONCAT(#REF!, ":", #REF!)</f>
        <v>#REF!</v>
      </c>
      <c r="C10" s="79" t="e">
        <f aca="false">#REF!</f>
        <v>#REF!</v>
      </c>
      <c r="D10" s="79" t="e">
        <f aca="false">#REF!</f>
        <v>#REF!</v>
      </c>
      <c r="E10" s="79" t="e">
        <f aca="false">#REF!</f>
        <v>#REF!</v>
      </c>
      <c r="F10" s="79" t="e">
        <f aca="false">#REF!</f>
        <v>#REF!</v>
      </c>
    </row>
    <row r="11" customFormat="false" ht="12.8" hidden="false" customHeight="false" outlineLevel="0" collapsed="false">
      <c r="A11" s="55" t="e">
        <f aca="false">_xlfn.CONCAT($A$1, ".", #REF!)</f>
        <v>#REF!</v>
      </c>
      <c r="B11" s="76" t="e">
        <f aca="false">_xlfn.CONCAT(#REF!, ":", #REF!)</f>
        <v>#REF!</v>
      </c>
      <c r="C11" s="79" t="e">
        <f aca="false">#REF!</f>
        <v>#REF!</v>
      </c>
      <c r="D11" s="79" t="e">
        <f aca="false">#REF!</f>
        <v>#REF!</v>
      </c>
      <c r="E11" s="79" t="e">
        <f aca="false">#REF!</f>
        <v>#REF!</v>
      </c>
      <c r="F11" s="79" t="e">
        <f aca="false">#REF!</f>
        <v>#REF!</v>
      </c>
    </row>
    <row r="12" customFormat="false" ht="12.8" hidden="false" customHeight="false" outlineLevel="0" collapsed="false">
      <c r="A12" s="55" t="e">
        <f aca="false">_xlfn.CONCAT($A$1, ".", #REF!)</f>
        <v>#REF!</v>
      </c>
      <c r="B12" s="76" t="e">
        <f aca="false">_xlfn.CONCAT(#REF!, ":", #REF!)</f>
        <v>#REF!</v>
      </c>
      <c r="C12" s="79" t="e">
        <f aca="false">#REF!</f>
        <v>#REF!</v>
      </c>
      <c r="D12" s="79" t="e">
        <f aca="false">#REF!</f>
        <v>#REF!</v>
      </c>
      <c r="E12" s="79" t="e">
        <f aca="false">#REF!</f>
        <v>#REF!</v>
      </c>
      <c r="F12" s="79" t="e">
        <f aca="false">#REF!</f>
        <v>#REF!</v>
      </c>
    </row>
    <row r="13" customFormat="false" ht="12.8" hidden="false" customHeight="false" outlineLevel="0" collapsed="false">
      <c r="A13" s="55" t="e">
        <f aca="false">_xlfn.CONCAT($A$1, ".", #REF!)</f>
        <v>#REF!</v>
      </c>
      <c r="B13" s="76" t="e">
        <f aca="false">_xlfn.CONCAT(#REF!, ":", #REF!)</f>
        <v>#REF!</v>
      </c>
      <c r="C13" s="79" t="e">
        <f aca="false">#REF!</f>
        <v>#REF!</v>
      </c>
      <c r="D13" s="79" t="e">
        <f aca="false">#REF!</f>
        <v>#REF!</v>
      </c>
      <c r="E13" s="79" t="e">
        <f aca="false">#REF!</f>
        <v>#REF!</v>
      </c>
      <c r="F13" s="79" t="e">
        <f aca="false">#REF!</f>
        <v>#REF!</v>
      </c>
    </row>
    <row r="14" customFormat="false" ht="12.8" hidden="false" customHeight="false" outlineLevel="0" collapsed="false">
      <c r="A14" s="55" t="e">
        <f aca="false">_xlfn.CONCAT($A$1, ".", #REF!)</f>
        <v>#REF!</v>
      </c>
      <c r="B14" s="76" t="e">
        <f aca="false">_xlfn.CONCAT(#REF!, ":", #REF!)</f>
        <v>#REF!</v>
      </c>
      <c r="C14" s="79" t="e">
        <f aca="false">#REF!</f>
        <v>#REF!</v>
      </c>
      <c r="D14" s="79" t="e">
        <f aca="false">#REF!</f>
        <v>#REF!</v>
      </c>
      <c r="E14" s="79" t="e">
        <f aca="false">#REF!</f>
        <v>#REF!</v>
      </c>
      <c r="F14" s="79" t="e">
        <f aca="false">#REF!</f>
        <v>#REF!</v>
      </c>
    </row>
    <row r="15" customFormat="false" ht="12.8" hidden="false" customHeight="false" outlineLevel="0" collapsed="false">
      <c r="A15" s="55" t="e">
        <f aca="false">_xlfn.CONCAT($A$1, ".", #REF!)</f>
        <v>#REF!</v>
      </c>
      <c r="B15" s="76" t="e">
        <f aca="false">_xlfn.CONCAT(#REF!, ":", #REF!)</f>
        <v>#REF!</v>
      </c>
      <c r="C15" s="79" t="e">
        <f aca="false">#REF!</f>
        <v>#REF!</v>
      </c>
      <c r="D15" s="79" t="e">
        <f aca="false">#REF!</f>
        <v>#REF!</v>
      </c>
      <c r="E15" s="79" t="e">
        <f aca="false">#REF!</f>
        <v>#REF!</v>
      </c>
      <c r="F15" s="79" t="e">
        <f aca="false">#REF!</f>
        <v>#REF!</v>
      </c>
    </row>
    <row r="16" customFormat="false" ht="12.8" hidden="false" customHeight="false" outlineLevel="0" collapsed="false">
      <c r="A16" s="55" t="e">
        <f aca="false">_xlfn.CONCAT($A$1, ".", #REF!)</f>
        <v>#REF!</v>
      </c>
      <c r="B16" s="76" t="e">
        <f aca="false">_xlfn.CONCAT(#REF!, ":", #REF!)</f>
        <v>#REF!</v>
      </c>
      <c r="C16" s="79" t="e">
        <f aca="false">#REF!</f>
        <v>#REF!</v>
      </c>
      <c r="D16" s="79" t="e">
        <f aca="false">#REF!</f>
        <v>#REF!</v>
      </c>
      <c r="E16" s="79" t="e">
        <f aca="false">#REF!</f>
        <v>#REF!</v>
      </c>
      <c r="F16" s="79" t="e">
        <f aca="false">#REF!</f>
        <v>#REF!</v>
      </c>
    </row>
    <row r="17" customFormat="false" ht="12.8" hidden="false" customHeight="false" outlineLevel="0" collapsed="false">
      <c r="A17" s="55" t="e">
        <f aca="false">_xlfn.CONCAT($A$1, ".", #REF!)</f>
        <v>#REF!</v>
      </c>
      <c r="B17" s="76" t="e">
        <f aca="false">_xlfn.CONCAT(#REF!, ":", #REF!)</f>
        <v>#REF!</v>
      </c>
      <c r="C17" s="79" t="e">
        <f aca="false">#REF!</f>
        <v>#REF!</v>
      </c>
      <c r="D17" s="79" t="e">
        <f aca="false">#REF!</f>
        <v>#REF!</v>
      </c>
      <c r="E17" s="79" t="e">
        <f aca="false">#REF!</f>
        <v>#REF!</v>
      </c>
      <c r="F17" s="79" t="e">
        <f aca="false">#REF!</f>
        <v>#REF!</v>
      </c>
    </row>
    <row r="18" customFormat="false" ht="12.8" hidden="false" customHeight="false" outlineLevel="0" collapsed="false">
      <c r="A18" s="55" t="e">
        <f aca="false">_xlfn.CONCAT($A$1, ".", #REF!)</f>
        <v>#REF!</v>
      </c>
      <c r="B18" s="76" t="e">
        <f aca="false">_xlfn.CONCAT(#REF!, ":", #REF!)</f>
        <v>#REF!</v>
      </c>
      <c r="C18" s="79" t="e">
        <f aca="false">#REF!</f>
        <v>#REF!</v>
      </c>
      <c r="D18" s="79" t="e">
        <f aca="false">#REF!</f>
        <v>#REF!</v>
      </c>
      <c r="E18" s="79" t="e">
        <f aca="false">#REF!</f>
        <v>#REF!</v>
      </c>
      <c r="F18" s="79" t="e">
        <f aca="false">#REF!</f>
        <v>#REF!</v>
      </c>
    </row>
    <row r="19" customFormat="false" ht="12.8" hidden="false" customHeight="false" outlineLevel="0" collapsed="false">
      <c r="A19" s="55" t="e">
        <f aca="false">_xlfn.CONCAT($A$1, ".", #REF!)</f>
        <v>#REF!</v>
      </c>
      <c r="B19" s="76" t="e">
        <f aca="false">_xlfn.CONCAT(#REF!, ":", #REF!)</f>
        <v>#REF!</v>
      </c>
      <c r="C19" s="79" t="e">
        <f aca="false">#REF!</f>
        <v>#REF!</v>
      </c>
      <c r="D19" s="79" t="e">
        <f aca="false">#REF!</f>
        <v>#REF!</v>
      </c>
      <c r="E19" s="79" t="e">
        <f aca="false">#REF!</f>
        <v>#REF!</v>
      </c>
      <c r="F19" s="79" t="e">
        <f aca="false">#REF!</f>
        <v>#REF!</v>
      </c>
    </row>
    <row r="20" customFormat="false" ht="12.8" hidden="false" customHeight="false" outlineLevel="0" collapsed="false">
      <c r="A20" s="55" t="e">
        <f aca="false">_xlfn.CONCAT($A$1, ".", #REF!)</f>
        <v>#REF!</v>
      </c>
      <c r="B20" s="76" t="e">
        <f aca="false">_xlfn.CONCAT(#REF!, ":", #REF!)</f>
        <v>#REF!</v>
      </c>
      <c r="C20" s="79" t="e">
        <f aca="false">#REF!</f>
        <v>#REF!</v>
      </c>
      <c r="D20" s="79" t="e">
        <f aca="false">#REF!</f>
        <v>#REF!</v>
      </c>
      <c r="E20" s="79" t="e">
        <f aca="false">#REF!</f>
        <v>#REF!</v>
      </c>
      <c r="F20" s="79" t="e">
        <f aca="false">#REF!</f>
        <v>#REF!</v>
      </c>
    </row>
    <row r="21" customFormat="false" ht="12.8" hidden="false" customHeight="false" outlineLevel="0" collapsed="false">
      <c r="A21" s="55" t="e">
        <f aca="false">_xlfn.CONCAT($A$1, ".", #REF!)</f>
        <v>#REF!</v>
      </c>
      <c r="B21" s="76" t="e">
        <f aca="false">_xlfn.CONCAT(#REF!, ":", #REF!)</f>
        <v>#REF!</v>
      </c>
      <c r="C21" s="79" t="e">
        <f aca="false">#REF!</f>
        <v>#REF!</v>
      </c>
      <c r="D21" s="79" t="e">
        <f aca="false">#REF!</f>
        <v>#REF!</v>
      </c>
      <c r="E21" s="79" t="e">
        <f aca="false">#REF!</f>
        <v>#REF!</v>
      </c>
      <c r="F21" s="79" t="e">
        <f aca="false">#REF!</f>
        <v>#REF!</v>
      </c>
    </row>
    <row r="22" customFormat="false" ht="12.8" hidden="false" customHeight="false" outlineLevel="0" collapsed="false">
      <c r="A22" s="55" t="e">
        <f aca="false">_xlfn.CONCAT($A$1, ".", #REF!)</f>
        <v>#REF!</v>
      </c>
      <c r="B22" s="76" t="e">
        <f aca="false">_xlfn.CONCAT(#REF!, ":", #REF!)</f>
        <v>#REF!</v>
      </c>
      <c r="C22" s="79" t="e">
        <f aca="false">#REF!</f>
        <v>#REF!</v>
      </c>
      <c r="D22" s="79" t="e">
        <f aca="false">#REF!</f>
        <v>#REF!</v>
      </c>
      <c r="E22" s="79" t="e">
        <f aca="false">#REF!</f>
        <v>#REF!</v>
      </c>
      <c r="F22" s="79" t="e">
        <f aca="false">#REF!</f>
        <v>#REF!</v>
      </c>
    </row>
    <row r="23" customFormat="false" ht="12.8" hidden="false" customHeight="false" outlineLevel="0" collapsed="false">
      <c r="A23" s="55" t="e">
        <f aca="false">_xlfn.CONCAT($A$1, ".", #REF!)</f>
        <v>#REF!</v>
      </c>
      <c r="B23" s="76" t="e">
        <f aca="false">_xlfn.CONCAT(#REF!, ":", #REF!)</f>
        <v>#REF!</v>
      </c>
      <c r="C23" s="79" t="e">
        <f aca="false">#REF!</f>
        <v>#REF!</v>
      </c>
      <c r="D23" s="79" t="e">
        <f aca="false">#REF!</f>
        <v>#REF!</v>
      </c>
      <c r="E23" s="79" t="e">
        <f aca="false">#REF!</f>
        <v>#REF!</v>
      </c>
      <c r="F23" s="79" t="e">
        <f aca="false">#REF!</f>
        <v>#REF!</v>
      </c>
    </row>
    <row r="24" customFormat="false" ht="12.8" hidden="false" customHeight="false" outlineLevel="0" collapsed="false">
      <c r="A24" s="55" t="e">
        <f aca="false">_xlfn.CONCAT($A$1, ".", #REF!)</f>
        <v>#REF!</v>
      </c>
      <c r="B24" s="76" t="e">
        <f aca="false">_xlfn.CONCAT(#REF!, ":", #REF!)</f>
        <v>#REF!</v>
      </c>
      <c r="C24" s="79" t="e">
        <f aca="false">#REF!</f>
        <v>#REF!</v>
      </c>
      <c r="D24" s="79" t="e">
        <f aca="false">#REF!</f>
        <v>#REF!</v>
      </c>
      <c r="E24" s="79" t="e">
        <f aca="false">#REF!</f>
        <v>#REF!</v>
      </c>
      <c r="F24" s="79" t="e">
        <f aca="false">#REF!</f>
        <v>#REF!</v>
      </c>
    </row>
    <row r="25" customFormat="false" ht="12.8" hidden="false" customHeight="false" outlineLevel="0" collapsed="false">
      <c r="A25" s="55" t="e">
        <f aca="false">_xlfn.CONCAT($A$1, ".", #REF!)</f>
        <v>#REF!</v>
      </c>
      <c r="B25" s="76" t="e">
        <f aca="false">_xlfn.CONCAT(#REF!, ":", #REF!)</f>
        <v>#REF!</v>
      </c>
      <c r="C25" s="79" t="e">
        <f aca="false">#REF!</f>
        <v>#REF!</v>
      </c>
      <c r="D25" s="79" t="e">
        <f aca="false">#REF!</f>
        <v>#REF!</v>
      </c>
      <c r="E25" s="79" t="e">
        <f aca="false">#REF!</f>
        <v>#REF!</v>
      </c>
      <c r="F25" s="79" t="e">
        <f aca="false">#REF!</f>
        <v>#REF!</v>
      </c>
    </row>
    <row r="26" customFormat="false" ht="12.8" hidden="false" customHeight="false" outlineLevel="0" collapsed="false">
      <c r="A26" s="55" t="e">
        <f aca="false">_xlfn.CONCAT($A$1, ".", #REF!)</f>
        <v>#REF!</v>
      </c>
      <c r="B26" s="76" t="e">
        <f aca="false">_xlfn.CONCAT(#REF!, ":", #REF!)</f>
        <v>#REF!</v>
      </c>
      <c r="C26" s="79" t="e">
        <f aca="false">#REF!</f>
        <v>#REF!</v>
      </c>
      <c r="D26" s="79" t="e">
        <f aca="false">#REF!</f>
        <v>#REF!</v>
      </c>
      <c r="E26" s="79" t="e">
        <f aca="false">#REF!</f>
        <v>#REF!</v>
      </c>
      <c r="F26" s="79" t="e">
        <f aca="false">#REF!</f>
        <v>#REF!</v>
      </c>
    </row>
    <row r="27" customFormat="false" ht="12.8" hidden="false" customHeight="false" outlineLevel="0" collapsed="false">
      <c r="A27" s="55" t="e">
        <f aca="false">_xlfn.CONCAT($A$1, ".", #REF!)</f>
        <v>#REF!</v>
      </c>
      <c r="B27" s="76" t="e">
        <f aca="false">_xlfn.CONCAT(#REF!, ":", #REF!)</f>
        <v>#REF!</v>
      </c>
      <c r="C27" s="79" t="e">
        <f aca="false">#REF!</f>
        <v>#REF!</v>
      </c>
      <c r="D27" s="79" t="e">
        <f aca="false">#REF!</f>
        <v>#REF!</v>
      </c>
      <c r="E27" s="79" t="e">
        <f aca="false">#REF!</f>
        <v>#REF!</v>
      </c>
      <c r="F27" s="79" t="e">
        <f aca="false">#REF!</f>
        <v>#REF!</v>
      </c>
    </row>
    <row r="28" customFormat="false" ht="12.8" hidden="false" customHeight="false" outlineLevel="0" collapsed="false">
      <c r="A28" s="55" t="e">
        <f aca="false">_xlfn.CONCAT($A$1, ".", #REF!)</f>
        <v>#REF!</v>
      </c>
      <c r="B28" s="76" t="e">
        <f aca="false">_xlfn.CONCAT(#REF!, ":", #REF!)</f>
        <v>#REF!</v>
      </c>
      <c r="C28" s="79" t="e">
        <f aca="false">#REF!</f>
        <v>#REF!</v>
      </c>
      <c r="D28" s="79" t="e">
        <f aca="false">#REF!</f>
        <v>#REF!</v>
      </c>
      <c r="E28" s="79" t="e">
        <f aca="false">#REF!</f>
        <v>#REF!</v>
      </c>
      <c r="F28" s="79" t="e">
        <f aca="false">#REF!</f>
        <v>#REF!</v>
      </c>
    </row>
    <row r="29" customFormat="false" ht="12.8" hidden="false" customHeight="false" outlineLevel="0" collapsed="false">
      <c r="A29" s="55" t="e">
        <f aca="false">_xlfn.CONCAT($A$1, ".", #REF!)</f>
        <v>#REF!</v>
      </c>
      <c r="B29" s="76" t="e">
        <f aca="false">_xlfn.CONCAT(#REF!, ":", #REF!)</f>
        <v>#REF!</v>
      </c>
      <c r="C29" s="79" t="e">
        <f aca="false">#REF!</f>
        <v>#REF!</v>
      </c>
      <c r="D29" s="79" t="e">
        <f aca="false">#REF!</f>
        <v>#REF!</v>
      </c>
      <c r="E29" s="79" t="e">
        <f aca="false">#REF!</f>
        <v>#REF!</v>
      </c>
      <c r="F29" s="79" t="e">
        <f aca="false">#REF!</f>
        <v>#REF!</v>
      </c>
    </row>
    <row r="30" customFormat="false" ht="12.8" hidden="false" customHeight="false" outlineLevel="0" collapsed="false">
      <c r="A30" s="55" t="e">
        <f aca="false">_xlfn.CONCAT($A$1, ".", #REF!)</f>
        <v>#REF!</v>
      </c>
      <c r="B30" s="76" t="e">
        <f aca="false">_xlfn.CONCAT(#REF!, ":", #REF!)</f>
        <v>#REF!</v>
      </c>
      <c r="C30" s="79" t="e">
        <f aca="false">#REF!</f>
        <v>#REF!</v>
      </c>
      <c r="D30" s="79" t="e">
        <f aca="false">#REF!</f>
        <v>#REF!</v>
      </c>
      <c r="E30" s="79" t="e">
        <f aca="false">#REF!</f>
        <v>#REF!</v>
      </c>
      <c r="F30" s="79" t="e">
        <f aca="false">#REF!</f>
        <v>#REF!</v>
      </c>
    </row>
    <row r="31" customFormat="false" ht="12.8" hidden="false" customHeight="false" outlineLevel="0" collapsed="false">
      <c r="A31" s="55" t="e">
        <f aca="false">_xlfn.CONCAT($A$1, ".", #REF!)</f>
        <v>#REF!</v>
      </c>
      <c r="B31" s="76" t="e">
        <f aca="false">_xlfn.CONCAT(#REF!, ":", #REF!)</f>
        <v>#REF!</v>
      </c>
      <c r="C31" s="79" t="e">
        <f aca="false">#REF!</f>
        <v>#REF!</v>
      </c>
      <c r="D31" s="79" t="e">
        <f aca="false">#REF!</f>
        <v>#REF!</v>
      </c>
      <c r="E31" s="79" t="e">
        <f aca="false">#REF!</f>
        <v>#REF!</v>
      </c>
      <c r="F31" s="79" t="e">
        <f aca="false">#REF!</f>
        <v>#REF!</v>
      </c>
    </row>
    <row r="32" customFormat="false" ht="12.8" hidden="false" customHeight="false" outlineLevel="0" collapsed="false">
      <c r="A32" s="55" t="e">
        <f aca="false">_xlfn.CONCAT($A$1, ".", #REF!)</f>
        <v>#REF!</v>
      </c>
      <c r="B32" s="76" t="e">
        <f aca="false">_xlfn.CONCAT(#REF!, ":", #REF!)</f>
        <v>#REF!</v>
      </c>
      <c r="C32" s="79" t="e">
        <f aca="false">#REF!</f>
        <v>#REF!</v>
      </c>
      <c r="D32" s="79" t="e">
        <f aca="false">#REF!</f>
        <v>#REF!</v>
      </c>
      <c r="E32" s="79" t="e">
        <f aca="false">#REF!</f>
        <v>#REF!</v>
      </c>
      <c r="F32" s="79" t="e">
        <f aca="false">#REF!</f>
        <v>#REF!</v>
      </c>
    </row>
    <row r="33" customFormat="false" ht="12.8" hidden="false" customHeight="false" outlineLevel="0" collapsed="false">
      <c r="A33" s="55" t="e">
        <f aca="false">_xlfn.CONCAT($A$1, ".", #REF!)</f>
        <v>#REF!</v>
      </c>
      <c r="B33" s="76" t="e">
        <f aca="false">_xlfn.CONCAT(#REF!, ":", #REF!)</f>
        <v>#REF!</v>
      </c>
      <c r="C33" s="79" t="e">
        <f aca="false">#REF!</f>
        <v>#REF!</v>
      </c>
      <c r="D33" s="79" t="e">
        <f aca="false">#REF!</f>
        <v>#REF!</v>
      </c>
      <c r="E33" s="79" t="e">
        <f aca="false">#REF!</f>
        <v>#REF!</v>
      </c>
      <c r="F33" s="79" t="e">
        <f aca="false">#REF!</f>
        <v>#REF!</v>
      </c>
    </row>
    <row r="34" customFormat="false" ht="12.8" hidden="false" customHeight="false" outlineLevel="0" collapsed="false">
      <c r="A34" s="55" t="e">
        <f aca="false">_xlfn.CONCAT($A$1, ".", #REF!)</f>
        <v>#REF!</v>
      </c>
      <c r="B34" s="76" t="e">
        <f aca="false">_xlfn.CONCAT(#REF!, ":", #REF!)</f>
        <v>#REF!</v>
      </c>
      <c r="C34" s="79" t="e">
        <f aca="false">#REF!</f>
        <v>#REF!</v>
      </c>
      <c r="D34" s="79" t="e">
        <f aca="false">#REF!</f>
        <v>#REF!</v>
      </c>
      <c r="E34" s="79" t="e">
        <f aca="false">#REF!</f>
        <v>#REF!</v>
      </c>
      <c r="F34" s="79" t="e">
        <f aca="false">#REF!</f>
        <v>#REF!</v>
      </c>
    </row>
    <row r="35" customFormat="false" ht="12.8" hidden="false" customHeight="false" outlineLevel="0" collapsed="false">
      <c r="A35" s="55" t="e">
        <f aca="false">_xlfn.CONCAT($A$1, ".", #REF!)</f>
        <v>#REF!</v>
      </c>
      <c r="B35" s="76" t="e">
        <f aca="false">_xlfn.CONCAT(#REF!, ":", #REF!)</f>
        <v>#REF!</v>
      </c>
      <c r="C35" s="79" t="e">
        <f aca="false">#REF!</f>
        <v>#REF!</v>
      </c>
      <c r="D35" s="79" t="e">
        <f aca="false">#REF!</f>
        <v>#REF!</v>
      </c>
      <c r="E35" s="79" t="e">
        <f aca="false">#REF!</f>
        <v>#REF!</v>
      </c>
      <c r="F35" s="79" t="e">
        <f aca="false">#REF!</f>
        <v>#REF!</v>
      </c>
    </row>
    <row r="36" customFormat="false" ht="12.8" hidden="false" customHeight="false" outlineLevel="0" collapsed="false">
      <c r="A36" s="55" t="e">
        <f aca="false">_xlfn.CONCAT($A$1, ".", #REF!)</f>
        <v>#REF!</v>
      </c>
      <c r="B36" s="76" t="e">
        <f aca="false">_xlfn.CONCAT(#REF!, ":", #REF!)</f>
        <v>#REF!</v>
      </c>
      <c r="C36" s="79" t="e">
        <f aca="false">#REF!</f>
        <v>#REF!</v>
      </c>
      <c r="D36" s="79" t="e">
        <f aca="false">#REF!</f>
        <v>#REF!</v>
      </c>
      <c r="E36" s="79" t="e">
        <f aca="false">#REF!</f>
        <v>#REF!</v>
      </c>
      <c r="F36" s="79" t="e">
        <f aca="false">#REF!</f>
        <v>#REF!</v>
      </c>
    </row>
    <row r="37" customFormat="false" ht="12.8" hidden="false" customHeight="false" outlineLevel="0" collapsed="false">
      <c r="A37" s="55" t="e">
        <f aca="false">_xlfn.CONCAT($A$1, ".", #REF!)</f>
        <v>#REF!</v>
      </c>
      <c r="B37" s="76" t="e">
        <f aca="false">_xlfn.CONCAT(#REF!, ":", #REF!)</f>
        <v>#REF!</v>
      </c>
      <c r="C37" s="79" t="e">
        <f aca="false">#REF!</f>
        <v>#REF!</v>
      </c>
      <c r="D37" s="79" t="e">
        <f aca="false">#REF!</f>
        <v>#REF!</v>
      </c>
      <c r="E37" s="79" t="e">
        <f aca="false">#REF!</f>
        <v>#REF!</v>
      </c>
      <c r="F37" s="79" t="e">
        <f aca="false">#REF!</f>
        <v>#REF!</v>
      </c>
    </row>
    <row r="38" customFormat="false" ht="12.8" hidden="false" customHeight="false" outlineLevel="0" collapsed="false">
      <c r="A38" s="55" t="e">
        <f aca="false">_xlfn.CONCAT($A$1, ".", #REF!)</f>
        <v>#REF!</v>
      </c>
      <c r="B38" s="76" t="e">
        <f aca="false">_xlfn.CONCAT(#REF!, ":", #REF!)</f>
        <v>#REF!</v>
      </c>
      <c r="C38" s="79" t="e">
        <f aca="false">#REF!</f>
        <v>#REF!</v>
      </c>
      <c r="D38" s="79" t="e">
        <f aca="false">#REF!</f>
        <v>#REF!</v>
      </c>
      <c r="E38" s="79" t="e">
        <f aca="false">#REF!</f>
        <v>#REF!</v>
      </c>
      <c r="F38" s="79" t="e">
        <f aca="false">#REF!</f>
        <v>#REF!</v>
      </c>
    </row>
    <row r="39" customFormat="false" ht="12.8" hidden="false" customHeight="false" outlineLevel="0" collapsed="false">
      <c r="A39" s="55" t="e">
        <f aca="false">_xlfn.CONCAT($A$1, ".", #REF!)</f>
        <v>#REF!</v>
      </c>
      <c r="B39" s="76" t="e">
        <f aca="false">_xlfn.CONCAT(#REF!, ":", #REF!)</f>
        <v>#REF!</v>
      </c>
      <c r="C39" s="79" t="e">
        <f aca="false">#REF!</f>
        <v>#REF!</v>
      </c>
      <c r="D39" s="79" t="e">
        <f aca="false">#REF!</f>
        <v>#REF!</v>
      </c>
      <c r="E39" s="79" t="e">
        <f aca="false">#REF!</f>
        <v>#REF!</v>
      </c>
      <c r="F39" s="79" t="e">
        <f aca="false">#REF!</f>
        <v>#REF!</v>
      </c>
    </row>
    <row r="40" customFormat="false" ht="12.8" hidden="false" customHeight="false" outlineLevel="0" collapsed="false">
      <c r="A40" s="55" t="e">
        <f aca="false">_xlfn.CONCAT($A$1, ".", #REF!)</f>
        <v>#REF!</v>
      </c>
      <c r="B40" s="76" t="e">
        <f aca="false">_xlfn.CONCAT(#REF!, ":", #REF!)</f>
        <v>#REF!</v>
      </c>
      <c r="C40" s="79" t="e">
        <f aca="false">#REF!</f>
        <v>#REF!</v>
      </c>
      <c r="D40" s="79" t="e">
        <f aca="false">#REF!</f>
        <v>#REF!</v>
      </c>
      <c r="E40" s="79" t="e">
        <f aca="false">#REF!</f>
        <v>#REF!</v>
      </c>
      <c r="F40" s="79" t="e">
        <f aca="false">#REF!</f>
        <v>#REF!</v>
      </c>
    </row>
    <row r="41" customFormat="false" ht="12.8" hidden="false" customHeight="false" outlineLevel="0" collapsed="false">
      <c r="A41" s="55" t="e">
        <f aca="false">_xlfn.CONCAT($A$1, ".", #REF!)</f>
        <v>#REF!</v>
      </c>
      <c r="B41" s="76" t="e">
        <f aca="false">_xlfn.CONCAT(#REF!, ":", #REF!)</f>
        <v>#REF!</v>
      </c>
      <c r="C41" s="79" t="e">
        <f aca="false">#REF!</f>
        <v>#REF!</v>
      </c>
      <c r="D41" s="79" t="e">
        <f aca="false">#REF!</f>
        <v>#REF!</v>
      </c>
      <c r="E41" s="79" t="e">
        <f aca="false">#REF!</f>
        <v>#REF!</v>
      </c>
      <c r="F41" s="79" t="e">
        <f aca="false">#REF!</f>
        <v>#REF!</v>
      </c>
    </row>
    <row r="42" customFormat="false" ht="12.8" hidden="false" customHeight="false" outlineLevel="0" collapsed="false">
      <c r="A42" s="55" t="e">
        <f aca="false">_xlfn.CONCAT($A$1, ".", #REF!)</f>
        <v>#REF!</v>
      </c>
      <c r="B42" s="76" t="e">
        <f aca="false">_xlfn.CONCAT(#REF!, ":", #REF!)</f>
        <v>#REF!</v>
      </c>
      <c r="C42" s="79" t="e">
        <f aca="false">#REF!</f>
        <v>#REF!</v>
      </c>
      <c r="D42" s="79" t="e">
        <f aca="false">#REF!</f>
        <v>#REF!</v>
      </c>
      <c r="E42" s="79" t="e">
        <f aca="false">#REF!</f>
        <v>#REF!</v>
      </c>
      <c r="F42" s="79" t="e">
        <f aca="false">#REF!</f>
        <v>#REF!</v>
      </c>
    </row>
    <row r="43" customFormat="false" ht="12.8" hidden="false" customHeight="false" outlineLevel="0" collapsed="false">
      <c r="A43" s="55" t="e">
        <f aca="false">_xlfn.CONCAT($A$1, ".", #REF!)</f>
        <v>#REF!</v>
      </c>
      <c r="B43" s="76" t="e">
        <f aca="false">_xlfn.CONCAT(#REF!, ":", #REF!)</f>
        <v>#REF!</v>
      </c>
      <c r="C43" s="79" t="e">
        <f aca="false">#REF!</f>
        <v>#REF!</v>
      </c>
      <c r="D43" s="79" t="e">
        <f aca="false">#REF!</f>
        <v>#REF!</v>
      </c>
      <c r="E43" s="79" t="e">
        <f aca="false">#REF!</f>
        <v>#REF!</v>
      </c>
      <c r="F43" s="79" t="e">
        <f aca="false">#REF!</f>
        <v>#REF!</v>
      </c>
    </row>
    <row r="44" customFormat="false" ht="12.8" hidden="false" customHeight="false" outlineLevel="0" collapsed="false">
      <c r="A44" s="55" t="e">
        <f aca="false">_xlfn.CONCAT($A$1, ".", #REF!)</f>
        <v>#REF!</v>
      </c>
      <c r="B44" s="76" t="e">
        <f aca="false">_xlfn.CONCAT(#REF!, ":", #REF!)</f>
        <v>#REF!</v>
      </c>
      <c r="C44" s="79" t="e">
        <f aca="false">#REF!</f>
        <v>#REF!</v>
      </c>
      <c r="D44" s="79" t="e">
        <f aca="false">#REF!</f>
        <v>#REF!</v>
      </c>
      <c r="E44" s="79" t="e">
        <f aca="false">#REF!</f>
        <v>#REF!</v>
      </c>
      <c r="F44" s="79" t="e">
        <f aca="false">#REF!</f>
        <v>#REF!</v>
      </c>
    </row>
    <row r="45" customFormat="false" ht="12.8" hidden="false" customHeight="false" outlineLevel="0" collapsed="false">
      <c r="A45" s="55" t="e">
        <f aca="false">_xlfn.CONCAT($A$1, ".", #REF!)</f>
        <v>#REF!</v>
      </c>
      <c r="B45" s="76" t="e">
        <f aca="false">_xlfn.CONCAT(#REF!, ":", #REF!)</f>
        <v>#REF!</v>
      </c>
      <c r="C45" s="79" t="e">
        <f aca="false">#REF!</f>
        <v>#REF!</v>
      </c>
      <c r="D45" s="79" t="e">
        <f aca="false">#REF!</f>
        <v>#REF!</v>
      </c>
      <c r="E45" s="79" t="e">
        <f aca="false">#REF!</f>
        <v>#REF!</v>
      </c>
      <c r="F45" s="79" t="e">
        <f aca="false">#REF!</f>
        <v>#REF!</v>
      </c>
    </row>
    <row r="46" customFormat="false" ht="12.8" hidden="false" customHeight="false" outlineLevel="0" collapsed="false">
      <c r="A46" s="55" t="e">
        <f aca="false">_xlfn.CONCAT($A$1, ".", #REF!)</f>
        <v>#REF!</v>
      </c>
      <c r="B46" s="76" t="e">
        <f aca="false">_xlfn.CONCAT(#REF!, ":", #REF!)</f>
        <v>#REF!</v>
      </c>
      <c r="C46" s="79" t="e">
        <f aca="false">#REF!</f>
        <v>#REF!</v>
      </c>
      <c r="D46" s="79" t="e">
        <f aca="false">#REF!</f>
        <v>#REF!</v>
      </c>
      <c r="E46" s="79" t="e">
        <f aca="false">#REF!</f>
        <v>#REF!</v>
      </c>
      <c r="F46" s="79" t="e">
        <f aca="false">#REF!</f>
        <v>#REF!</v>
      </c>
    </row>
    <row r="47" customFormat="false" ht="12.8" hidden="false" customHeight="false" outlineLevel="0" collapsed="false">
      <c r="A47" s="55" t="e">
        <f aca="false">_xlfn.CONCAT($A$1, ".", #REF!)</f>
        <v>#REF!</v>
      </c>
      <c r="B47" s="76" t="e">
        <f aca="false">_xlfn.CONCAT(#REF!, ":", #REF!)</f>
        <v>#REF!</v>
      </c>
      <c r="C47" s="79" t="e">
        <f aca="false">#REF!</f>
        <v>#REF!</v>
      </c>
      <c r="D47" s="79" t="e">
        <f aca="false">#REF!</f>
        <v>#REF!</v>
      </c>
      <c r="E47" s="79" t="e">
        <f aca="false">#REF!</f>
        <v>#REF!</v>
      </c>
      <c r="F47" s="79" t="e">
        <f aca="false">#REF!</f>
        <v>#REF!</v>
      </c>
    </row>
    <row r="48" customFormat="false" ht="12.8" hidden="false" customHeight="false" outlineLevel="0" collapsed="false">
      <c r="A48" s="55" t="e">
        <f aca="false">_xlfn.CONCAT($A$1, ".", #REF!)</f>
        <v>#REF!</v>
      </c>
      <c r="B48" s="76" t="e">
        <f aca="false">_xlfn.CONCAT(#REF!, ":", #REF!)</f>
        <v>#REF!</v>
      </c>
      <c r="C48" s="79" t="e">
        <f aca="false">#REF!</f>
        <v>#REF!</v>
      </c>
      <c r="D48" s="79" t="e">
        <f aca="false">#REF!</f>
        <v>#REF!</v>
      </c>
      <c r="E48" s="79" t="e">
        <f aca="false">#REF!</f>
        <v>#REF!</v>
      </c>
      <c r="F48" s="79" t="e">
        <f aca="false">#REF!</f>
        <v>#REF!</v>
      </c>
    </row>
    <row r="49" customFormat="false" ht="12.8" hidden="false" customHeight="false" outlineLevel="0" collapsed="false">
      <c r="A49" s="55" t="e">
        <f aca="false">_xlfn.CONCAT($A$1, ".", #REF!)</f>
        <v>#REF!</v>
      </c>
      <c r="B49" s="76" t="e">
        <f aca="false">_xlfn.CONCAT(#REF!, ":", #REF!)</f>
        <v>#REF!</v>
      </c>
      <c r="C49" s="79" t="e">
        <f aca="false">#REF!</f>
        <v>#REF!</v>
      </c>
      <c r="D49" s="79" t="e">
        <f aca="false">#REF!</f>
        <v>#REF!</v>
      </c>
      <c r="E49" s="79" t="e">
        <f aca="false">#REF!</f>
        <v>#REF!</v>
      </c>
      <c r="F49" s="79" t="e">
        <f aca="false">#REF!</f>
        <v>#REF!</v>
      </c>
    </row>
    <row r="50" customFormat="false" ht="12.8" hidden="false" customHeight="false" outlineLevel="0" collapsed="false">
      <c r="A50" s="55" t="e">
        <f aca="false">_xlfn.CONCAT($A$1, ".", #REF!)</f>
        <v>#REF!</v>
      </c>
      <c r="B50" s="76" t="e">
        <f aca="false">_xlfn.CONCAT(#REF!, ":", #REF!)</f>
        <v>#REF!</v>
      </c>
      <c r="C50" s="79" t="e">
        <f aca="false">#REF!</f>
        <v>#REF!</v>
      </c>
      <c r="D50" s="79" t="e">
        <f aca="false">#REF!</f>
        <v>#REF!</v>
      </c>
      <c r="E50" s="79" t="e">
        <f aca="false">#REF!</f>
        <v>#REF!</v>
      </c>
      <c r="F50" s="79" t="e">
        <f aca="false">#REF!</f>
        <v>#REF!</v>
      </c>
    </row>
    <row r="51" customFormat="false" ht="12.8" hidden="false" customHeight="false" outlineLevel="0" collapsed="false">
      <c r="A51" s="55" t="e">
        <f aca="false">_xlfn.CONCAT($A$1, ".", #REF!)</f>
        <v>#REF!</v>
      </c>
      <c r="B51" s="76" t="e">
        <f aca="false">_xlfn.CONCAT(#REF!, ":", #REF!)</f>
        <v>#REF!</v>
      </c>
      <c r="C51" s="79" t="e">
        <f aca="false">#REF!</f>
        <v>#REF!</v>
      </c>
      <c r="D51" s="79" t="e">
        <f aca="false">#REF!</f>
        <v>#REF!</v>
      </c>
      <c r="E51" s="79" t="e">
        <f aca="false">#REF!</f>
        <v>#REF!</v>
      </c>
      <c r="F51" s="79" t="e">
        <f aca="false">#REF!</f>
        <v>#REF!</v>
      </c>
    </row>
    <row r="52" customFormat="false" ht="12.8" hidden="false" customHeight="false" outlineLevel="0" collapsed="false">
      <c r="A52" s="55" t="e">
        <f aca="false">_xlfn.CONCAT($A$1, ".", #REF!)</f>
        <v>#REF!</v>
      </c>
      <c r="B52" s="76" t="e">
        <f aca="false">_xlfn.CONCAT(#REF!, ":", #REF!)</f>
        <v>#REF!</v>
      </c>
      <c r="C52" s="79" t="e">
        <f aca="false">#REF!</f>
        <v>#REF!</v>
      </c>
      <c r="D52" s="79" t="e">
        <f aca="false">#REF!</f>
        <v>#REF!</v>
      </c>
      <c r="E52" s="79" t="e">
        <f aca="false">#REF!</f>
        <v>#REF!</v>
      </c>
      <c r="F52" s="79" t="e">
        <f aca="false">#REF!</f>
        <v>#REF!</v>
      </c>
    </row>
    <row r="53" customFormat="false" ht="12.8" hidden="false" customHeight="false" outlineLevel="0" collapsed="false">
      <c r="A53" s="55" t="e">
        <f aca="false">_xlfn.CONCAT($A$1, ".", #REF!)</f>
        <v>#REF!</v>
      </c>
      <c r="B53" s="76" t="e">
        <f aca="false">_xlfn.CONCAT(#REF!, ":", #REF!)</f>
        <v>#REF!</v>
      </c>
      <c r="C53" s="79" t="e">
        <f aca="false">#REF!</f>
        <v>#REF!</v>
      </c>
      <c r="D53" s="79" t="e">
        <f aca="false">#REF!</f>
        <v>#REF!</v>
      </c>
      <c r="E53" s="79" t="e">
        <f aca="false">#REF!</f>
        <v>#REF!</v>
      </c>
      <c r="F53" s="79" t="e">
        <f aca="false">#REF!</f>
        <v>#REF!</v>
      </c>
    </row>
    <row r="54" customFormat="false" ht="12.8" hidden="false" customHeight="false" outlineLevel="0" collapsed="false">
      <c r="A54" s="55" t="e">
        <f aca="false">_xlfn.CONCAT($A$1, ".", #REF!)</f>
        <v>#REF!</v>
      </c>
      <c r="B54" s="76" t="e">
        <f aca="false">_xlfn.CONCAT(#REF!, ":", #REF!)</f>
        <v>#REF!</v>
      </c>
      <c r="C54" s="79" t="e">
        <f aca="false">#REF!</f>
        <v>#REF!</v>
      </c>
      <c r="D54" s="79" t="e">
        <f aca="false">#REF!</f>
        <v>#REF!</v>
      </c>
      <c r="E54" s="79" t="e">
        <f aca="false">#REF!</f>
        <v>#REF!</v>
      </c>
      <c r="F54" s="79" t="e">
        <f aca="false">#REF!</f>
        <v>#REF!</v>
      </c>
    </row>
    <row r="55" customFormat="false" ht="12.8" hidden="false" customHeight="false" outlineLevel="0" collapsed="false">
      <c r="A55" s="55" t="e">
        <f aca="false">_xlfn.CONCAT($A$1, ".", #REF!)</f>
        <v>#REF!</v>
      </c>
      <c r="B55" s="76" t="e">
        <f aca="false">_xlfn.CONCAT(#REF!, ":", #REF!)</f>
        <v>#REF!</v>
      </c>
      <c r="C55" s="79" t="e">
        <f aca="false">#REF!</f>
        <v>#REF!</v>
      </c>
      <c r="D55" s="79" t="e">
        <f aca="false">#REF!</f>
        <v>#REF!</v>
      </c>
      <c r="E55" s="79" t="e">
        <f aca="false">#REF!</f>
        <v>#REF!</v>
      </c>
      <c r="F55" s="7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247"/>
  <sheetViews>
    <sheetView showFormulas="false" showGridLines="true" showRowColHeaders="true" showZeros="true" rightToLeft="false" tabSelected="false" showOutlineSymbols="true" defaultGridColor="true" view="normal" topLeftCell="A58"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2304</v>
      </c>
      <c r="B1" s="53" t="s">
        <v>2305</v>
      </c>
      <c r="C1" s="6" t="s">
        <v>2</v>
      </c>
      <c r="D1" s="68" t="s">
        <v>2306</v>
      </c>
      <c r="AZ1" s="41"/>
      <c r="BP1" s="41"/>
    </row>
    <row r="2" customFormat="false" ht="46.25" hidden="false" customHeight="false" outlineLevel="0" collapsed="false">
      <c r="A2" s="72" t="s">
        <v>1994</v>
      </c>
      <c r="B2" s="53" t="s">
        <v>1995</v>
      </c>
      <c r="C2" s="80" t="str">
        <f aca="false">CALC!Z3</f>
        <v>Annual Income Average ($)</v>
      </c>
      <c r="D2" s="80" t="str">
        <f aca="false">CALC!AF3</f>
        <v>Authorized Immigrant Annual Income Average ($)</v>
      </c>
      <c r="E2" s="80" t="str">
        <f aca="false">CALC!AL3</f>
        <v>Unauthorized Immigrant Annual Income Average ($)</v>
      </c>
      <c r="F2" s="80" t="str">
        <f aca="false">CALC!AR3</f>
        <v>American Annual Income Average ($)</v>
      </c>
    </row>
    <row r="3" customFormat="false" ht="12.8" hidden="false" customHeight="false" outlineLevel="0" collapsed="false">
      <c r="A3" s="4" t="e">
        <f aca="false">_xlfn.CONCAT($A$1, ".", #REF!)</f>
        <v>#REF!</v>
      </c>
      <c r="B3" s="58" t="e">
        <f aca="false">_xlfn.CONCAT(#REF!, ":", #REF!)</f>
        <v>#REF!</v>
      </c>
      <c r="C3" s="80" t="e">
        <f aca="false">#REF!</f>
        <v>#REF!</v>
      </c>
      <c r="D3" s="80" t="e">
        <f aca="false">#REF!</f>
        <v>#REF!</v>
      </c>
      <c r="E3" s="80" t="e">
        <f aca="false">#REF!</f>
        <v>#REF!</v>
      </c>
      <c r="F3" s="80" t="e">
        <f aca="false">#REF!</f>
        <v>#REF!</v>
      </c>
    </row>
    <row r="4" customFormat="false" ht="12.8" hidden="false" customHeight="false" outlineLevel="0" collapsed="false">
      <c r="A4" s="55" t="e">
        <f aca="false">_xlfn.CONCAT($A$1, ".", #REF!)</f>
        <v>#REF!</v>
      </c>
      <c r="B4" s="76" t="e">
        <f aca="false">_xlfn.CONCAT(#REF!, ":", #REF!)</f>
        <v>#REF!</v>
      </c>
      <c r="C4" s="81" t="e">
        <f aca="false">#REF!</f>
        <v>#REF!</v>
      </c>
      <c r="D4" s="81" t="e">
        <f aca="false">#REF!</f>
        <v>#REF!</v>
      </c>
      <c r="E4" s="81" t="e">
        <f aca="false">#REF!</f>
        <v>#REF!</v>
      </c>
      <c r="F4" s="81" t="e">
        <f aca="false">#REF!</f>
        <v>#REF!</v>
      </c>
    </row>
    <row r="5" customFormat="false" ht="12.8" hidden="false" customHeight="false" outlineLevel="0" collapsed="false">
      <c r="A5" s="55" t="e">
        <f aca="false">_xlfn.CONCAT($A$1, ".", #REF!)</f>
        <v>#REF!</v>
      </c>
      <c r="B5" s="76" t="e">
        <f aca="false">_xlfn.CONCAT(#REF!, ":", #REF!)</f>
        <v>#REF!</v>
      </c>
      <c r="C5" s="81" t="e">
        <f aca="false">#REF!</f>
        <v>#REF!</v>
      </c>
      <c r="D5" s="81" t="e">
        <f aca="false">#REF!</f>
        <v>#REF!</v>
      </c>
      <c r="E5" s="81" t="e">
        <f aca="false">#REF!</f>
        <v>#REF!</v>
      </c>
      <c r="F5" s="81" t="e">
        <f aca="false">#REF!</f>
        <v>#REF!</v>
      </c>
    </row>
    <row r="6" customFormat="false" ht="12.8" hidden="false" customHeight="false" outlineLevel="0" collapsed="false">
      <c r="A6" s="55" t="e">
        <f aca="false">_xlfn.CONCAT($A$1, ".", #REF!)</f>
        <v>#REF!</v>
      </c>
      <c r="B6" s="76" t="e">
        <f aca="false">_xlfn.CONCAT(#REF!, ":", #REF!)</f>
        <v>#REF!</v>
      </c>
      <c r="C6" s="81" t="e">
        <f aca="false">#REF!</f>
        <v>#REF!</v>
      </c>
      <c r="D6" s="81" t="e">
        <f aca="false">#REF!</f>
        <v>#REF!</v>
      </c>
      <c r="E6" s="81" t="e">
        <f aca="false">#REF!</f>
        <v>#REF!</v>
      </c>
      <c r="F6" s="81" t="e">
        <f aca="false">#REF!</f>
        <v>#REF!</v>
      </c>
    </row>
    <row r="7" customFormat="false" ht="12.8" hidden="false" customHeight="false" outlineLevel="0" collapsed="false">
      <c r="A7" s="55" t="e">
        <f aca="false">_xlfn.CONCAT($A$1, ".", #REF!)</f>
        <v>#REF!</v>
      </c>
      <c r="B7" s="76" t="e">
        <f aca="false">_xlfn.CONCAT(#REF!, ":", #REF!)</f>
        <v>#REF!</v>
      </c>
      <c r="C7" s="81" t="e">
        <f aca="false">#REF!</f>
        <v>#REF!</v>
      </c>
      <c r="D7" s="81" t="e">
        <f aca="false">#REF!</f>
        <v>#REF!</v>
      </c>
      <c r="E7" s="81" t="e">
        <f aca="false">#REF!</f>
        <v>#REF!</v>
      </c>
      <c r="F7" s="81" t="e">
        <f aca="false">#REF!</f>
        <v>#REF!</v>
      </c>
    </row>
    <row r="8" customFormat="false" ht="12.8" hidden="false" customHeight="false" outlineLevel="0" collapsed="false">
      <c r="A8" s="55" t="e">
        <f aca="false">_xlfn.CONCAT($A$1, ".", #REF!)</f>
        <v>#REF!</v>
      </c>
      <c r="B8" s="76" t="e">
        <f aca="false">_xlfn.CONCAT(#REF!, ":", #REF!)</f>
        <v>#REF!</v>
      </c>
      <c r="C8" s="81" t="e">
        <f aca="false">#REF!</f>
        <v>#REF!</v>
      </c>
      <c r="D8" s="81" t="e">
        <f aca="false">#REF!</f>
        <v>#REF!</v>
      </c>
      <c r="E8" s="81" t="e">
        <f aca="false">#REF!</f>
        <v>#REF!</v>
      </c>
      <c r="F8" s="81" t="e">
        <f aca="false">#REF!</f>
        <v>#REF!</v>
      </c>
    </row>
    <row r="9" customFormat="false" ht="12.8" hidden="false" customHeight="false" outlineLevel="0" collapsed="false">
      <c r="A9" s="55" t="e">
        <f aca="false">_xlfn.CONCAT($A$1, ".", #REF!)</f>
        <v>#REF!</v>
      </c>
      <c r="B9" s="76" t="e">
        <f aca="false">_xlfn.CONCAT(#REF!, ":", #REF!)</f>
        <v>#REF!</v>
      </c>
      <c r="C9" s="81" t="e">
        <f aca="false">#REF!</f>
        <v>#REF!</v>
      </c>
      <c r="D9" s="81" t="e">
        <f aca="false">#REF!</f>
        <v>#REF!</v>
      </c>
      <c r="E9" s="81" t="e">
        <f aca="false">#REF!</f>
        <v>#REF!</v>
      </c>
      <c r="F9" s="81" t="e">
        <f aca="false">#REF!</f>
        <v>#REF!</v>
      </c>
    </row>
    <row r="10" customFormat="false" ht="12.8" hidden="false" customHeight="false" outlineLevel="0" collapsed="false">
      <c r="A10" s="55" t="e">
        <f aca="false">_xlfn.CONCAT($A$1, ".", #REF!)</f>
        <v>#REF!</v>
      </c>
      <c r="B10" s="76" t="e">
        <f aca="false">_xlfn.CONCAT(#REF!, ":", #REF!)</f>
        <v>#REF!</v>
      </c>
      <c r="C10" s="81" t="e">
        <f aca="false">#REF!</f>
        <v>#REF!</v>
      </c>
      <c r="D10" s="81" t="e">
        <f aca="false">#REF!</f>
        <v>#REF!</v>
      </c>
      <c r="E10" s="81" t="e">
        <f aca="false">#REF!</f>
        <v>#REF!</v>
      </c>
      <c r="F10" s="81" t="e">
        <f aca="false">#REF!</f>
        <v>#REF!</v>
      </c>
    </row>
    <row r="11" customFormat="false" ht="12.8" hidden="false" customHeight="false" outlineLevel="0" collapsed="false">
      <c r="A11" s="55" t="e">
        <f aca="false">_xlfn.CONCAT($A$1, ".", #REF!)</f>
        <v>#REF!</v>
      </c>
      <c r="B11" s="76" t="e">
        <f aca="false">_xlfn.CONCAT(#REF!, ":", #REF!)</f>
        <v>#REF!</v>
      </c>
      <c r="C11" s="81" t="e">
        <f aca="false">#REF!</f>
        <v>#REF!</v>
      </c>
      <c r="D11" s="81" t="e">
        <f aca="false">#REF!</f>
        <v>#REF!</v>
      </c>
      <c r="E11" s="81" t="e">
        <f aca="false">#REF!</f>
        <v>#REF!</v>
      </c>
      <c r="F11" s="81" t="e">
        <f aca="false">#REF!</f>
        <v>#REF!</v>
      </c>
    </row>
    <row r="12" customFormat="false" ht="12.8" hidden="false" customHeight="false" outlineLevel="0" collapsed="false">
      <c r="A12" s="55" t="e">
        <f aca="false">_xlfn.CONCAT($A$1, ".", #REF!)</f>
        <v>#REF!</v>
      </c>
      <c r="B12" s="76" t="e">
        <f aca="false">_xlfn.CONCAT(#REF!, ":", #REF!)</f>
        <v>#REF!</v>
      </c>
      <c r="C12" s="81" t="e">
        <f aca="false">#REF!</f>
        <v>#REF!</v>
      </c>
      <c r="D12" s="81" t="e">
        <f aca="false">#REF!</f>
        <v>#REF!</v>
      </c>
      <c r="E12" s="81" t="e">
        <f aca="false">#REF!</f>
        <v>#REF!</v>
      </c>
      <c r="F12" s="81" t="e">
        <f aca="false">#REF!</f>
        <v>#REF!</v>
      </c>
    </row>
    <row r="13" customFormat="false" ht="12.8" hidden="false" customHeight="false" outlineLevel="0" collapsed="false">
      <c r="A13" s="55" t="e">
        <f aca="false">_xlfn.CONCAT($A$1, ".", #REF!)</f>
        <v>#REF!</v>
      </c>
      <c r="B13" s="76" t="e">
        <f aca="false">_xlfn.CONCAT(#REF!, ":", #REF!)</f>
        <v>#REF!</v>
      </c>
      <c r="C13" s="81" t="e">
        <f aca="false">#REF!</f>
        <v>#REF!</v>
      </c>
      <c r="D13" s="81" t="e">
        <f aca="false">#REF!</f>
        <v>#REF!</v>
      </c>
      <c r="E13" s="81" t="e">
        <f aca="false">#REF!</f>
        <v>#REF!</v>
      </c>
      <c r="F13" s="81" t="e">
        <f aca="false">#REF!</f>
        <v>#REF!</v>
      </c>
    </row>
    <row r="14" customFormat="false" ht="12.8" hidden="false" customHeight="false" outlineLevel="0" collapsed="false">
      <c r="A14" s="55" t="e">
        <f aca="false">_xlfn.CONCAT($A$1, ".", #REF!)</f>
        <v>#REF!</v>
      </c>
      <c r="B14" s="76" t="e">
        <f aca="false">_xlfn.CONCAT(#REF!, ":", #REF!)</f>
        <v>#REF!</v>
      </c>
      <c r="C14" s="81" t="e">
        <f aca="false">#REF!</f>
        <v>#REF!</v>
      </c>
      <c r="D14" s="81" t="e">
        <f aca="false">#REF!</f>
        <v>#REF!</v>
      </c>
      <c r="E14" s="81" t="e">
        <f aca="false">#REF!</f>
        <v>#REF!</v>
      </c>
      <c r="F14" s="81" t="e">
        <f aca="false">#REF!</f>
        <v>#REF!</v>
      </c>
    </row>
    <row r="15" customFormat="false" ht="12.8" hidden="false" customHeight="false" outlineLevel="0" collapsed="false">
      <c r="A15" s="55" t="e">
        <f aca="false">_xlfn.CONCAT($A$1, ".", #REF!)</f>
        <v>#REF!</v>
      </c>
      <c r="B15" s="76" t="e">
        <f aca="false">_xlfn.CONCAT(#REF!, ":", #REF!)</f>
        <v>#REF!</v>
      </c>
      <c r="C15" s="81" t="e">
        <f aca="false">#REF!</f>
        <v>#REF!</v>
      </c>
      <c r="D15" s="81" t="e">
        <f aca="false">#REF!</f>
        <v>#REF!</v>
      </c>
      <c r="E15" s="81" t="e">
        <f aca="false">#REF!</f>
        <v>#REF!</v>
      </c>
      <c r="F15" s="81" t="e">
        <f aca="false">#REF!</f>
        <v>#REF!</v>
      </c>
    </row>
    <row r="16" customFormat="false" ht="12.8" hidden="false" customHeight="false" outlineLevel="0" collapsed="false">
      <c r="A16" s="55" t="e">
        <f aca="false">_xlfn.CONCAT($A$1, ".", #REF!)</f>
        <v>#REF!</v>
      </c>
      <c r="B16" s="76" t="e">
        <f aca="false">_xlfn.CONCAT(#REF!, ":", #REF!)</f>
        <v>#REF!</v>
      </c>
      <c r="C16" s="81" t="e">
        <f aca="false">#REF!</f>
        <v>#REF!</v>
      </c>
      <c r="D16" s="81" t="e">
        <f aca="false">#REF!</f>
        <v>#REF!</v>
      </c>
      <c r="E16" s="81" t="e">
        <f aca="false">#REF!</f>
        <v>#REF!</v>
      </c>
      <c r="F16" s="81" t="e">
        <f aca="false">#REF!</f>
        <v>#REF!</v>
      </c>
    </row>
    <row r="17" customFormat="false" ht="12.8" hidden="false" customHeight="false" outlineLevel="0" collapsed="false">
      <c r="A17" s="55" t="e">
        <f aca="false">_xlfn.CONCAT($A$1, ".", #REF!)</f>
        <v>#REF!</v>
      </c>
      <c r="B17" s="76" t="e">
        <f aca="false">_xlfn.CONCAT(#REF!, ":", #REF!)</f>
        <v>#REF!</v>
      </c>
      <c r="C17" s="81" t="e">
        <f aca="false">#REF!</f>
        <v>#REF!</v>
      </c>
      <c r="D17" s="81" t="e">
        <f aca="false">#REF!</f>
        <v>#REF!</v>
      </c>
      <c r="E17" s="81" t="e">
        <f aca="false">#REF!</f>
        <v>#REF!</v>
      </c>
      <c r="F17" s="81" t="e">
        <f aca="false">#REF!</f>
        <v>#REF!</v>
      </c>
    </row>
    <row r="18" customFormat="false" ht="12.8" hidden="false" customHeight="false" outlineLevel="0" collapsed="false">
      <c r="A18" s="55" t="e">
        <f aca="false">_xlfn.CONCAT($A$1, ".", #REF!)</f>
        <v>#REF!</v>
      </c>
      <c r="B18" s="76" t="e">
        <f aca="false">_xlfn.CONCAT(#REF!, ":", #REF!)</f>
        <v>#REF!</v>
      </c>
      <c r="C18" s="81" t="e">
        <f aca="false">#REF!</f>
        <v>#REF!</v>
      </c>
      <c r="D18" s="81" t="e">
        <f aca="false">#REF!</f>
        <v>#REF!</v>
      </c>
      <c r="E18" s="81" t="e">
        <f aca="false">#REF!</f>
        <v>#REF!</v>
      </c>
      <c r="F18" s="81" t="e">
        <f aca="false">#REF!</f>
        <v>#REF!</v>
      </c>
    </row>
    <row r="19" customFormat="false" ht="12.8" hidden="false" customHeight="false" outlineLevel="0" collapsed="false">
      <c r="A19" s="55" t="e">
        <f aca="false">_xlfn.CONCAT($A$1, ".", #REF!)</f>
        <v>#REF!</v>
      </c>
      <c r="B19" s="76" t="e">
        <f aca="false">_xlfn.CONCAT(#REF!, ":", #REF!)</f>
        <v>#REF!</v>
      </c>
      <c r="C19" s="81" t="e">
        <f aca="false">#REF!</f>
        <v>#REF!</v>
      </c>
      <c r="D19" s="81" t="e">
        <f aca="false">#REF!</f>
        <v>#REF!</v>
      </c>
      <c r="E19" s="81" t="e">
        <f aca="false">#REF!</f>
        <v>#REF!</v>
      </c>
      <c r="F19" s="81" t="e">
        <f aca="false">#REF!</f>
        <v>#REF!</v>
      </c>
    </row>
    <row r="20" customFormat="false" ht="12.8" hidden="false" customHeight="false" outlineLevel="0" collapsed="false">
      <c r="A20" s="55" t="e">
        <f aca="false">_xlfn.CONCAT($A$1, ".", #REF!)</f>
        <v>#REF!</v>
      </c>
      <c r="B20" s="76" t="e">
        <f aca="false">_xlfn.CONCAT(#REF!, ":", #REF!)</f>
        <v>#REF!</v>
      </c>
      <c r="C20" s="81" t="e">
        <f aca="false">#REF!</f>
        <v>#REF!</v>
      </c>
      <c r="D20" s="81" t="e">
        <f aca="false">#REF!</f>
        <v>#REF!</v>
      </c>
      <c r="E20" s="81" t="e">
        <f aca="false">#REF!</f>
        <v>#REF!</v>
      </c>
      <c r="F20" s="81" t="e">
        <f aca="false">#REF!</f>
        <v>#REF!</v>
      </c>
    </row>
    <row r="21" customFormat="false" ht="12.8" hidden="false" customHeight="false" outlineLevel="0" collapsed="false">
      <c r="A21" s="55" t="e">
        <f aca="false">_xlfn.CONCAT($A$1, ".", #REF!)</f>
        <v>#REF!</v>
      </c>
      <c r="B21" s="76" t="e">
        <f aca="false">_xlfn.CONCAT(#REF!, ":", #REF!)</f>
        <v>#REF!</v>
      </c>
      <c r="C21" s="81" t="e">
        <f aca="false">#REF!</f>
        <v>#REF!</v>
      </c>
      <c r="D21" s="81" t="e">
        <f aca="false">#REF!</f>
        <v>#REF!</v>
      </c>
      <c r="E21" s="81" t="e">
        <f aca="false">#REF!</f>
        <v>#REF!</v>
      </c>
      <c r="F21" s="81" t="e">
        <f aca="false">#REF!</f>
        <v>#REF!</v>
      </c>
    </row>
    <row r="22" customFormat="false" ht="12.8" hidden="false" customHeight="false" outlineLevel="0" collapsed="false">
      <c r="A22" s="55" t="e">
        <f aca="false">_xlfn.CONCAT($A$1, ".", #REF!)</f>
        <v>#REF!</v>
      </c>
      <c r="B22" s="76" t="e">
        <f aca="false">_xlfn.CONCAT(#REF!, ":", #REF!)</f>
        <v>#REF!</v>
      </c>
      <c r="C22" s="81" t="e">
        <f aca="false">#REF!</f>
        <v>#REF!</v>
      </c>
      <c r="D22" s="81" t="e">
        <f aca="false">#REF!</f>
        <v>#REF!</v>
      </c>
      <c r="E22" s="81" t="e">
        <f aca="false">#REF!</f>
        <v>#REF!</v>
      </c>
      <c r="F22" s="81" t="e">
        <f aca="false">#REF!</f>
        <v>#REF!</v>
      </c>
    </row>
    <row r="23" customFormat="false" ht="12.8" hidden="false" customHeight="false" outlineLevel="0" collapsed="false">
      <c r="A23" s="55" t="e">
        <f aca="false">_xlfn.CONCAT($A$1, ".", #REF!)</f>
        <v>#REF!</v>
      </c>
      <c r="B23" s="76" t="e">
        <f aca="false">_xlfn.CONCAT(#REF!, ":", #REF!)</f>
        <v>#REF!</v>
      </c>
      <c r="C23" s="81" t="e">
        <f aca="false">#REF!</f>
        <v>#REF!</v>
      </c>
      <c r="D23" s="81" t="e">
        <f aca="false">#REF!</f>
        <v>#REF!</v>
      </c>
      <c r="E23" s="81" t="e">
        <f aca="false">#REF!</f>
        <v>#REF!</v>
      </c>
      <c r="F23" s="81" t="e">
        <f aca="false">#REF!</f>
        <v>#REF!</v>
      </c>
    </row>
    <row r="24" customFormat="false" ht="12.8" hidden="false" customHeight="false" outlineLevel="0" collapsed="false">
      <c r="A24" s="55" t="e">
        <f aca="false">_xlfn.CONCAT($A$1, ".", #REF!)</f>
        <v>#REF!</v>
      </c>
      <c r="B24" s="76" t="e">
        <f aca="false">_xlfn.CONCAT(#REF!, ":", #REF!)</f>
        <v>#REF!</v>
      </c>
      <c r="C24" s="81" t="e">
        <f aca="false">#REF!</f>
        <v>#REF!</v>
      </c>
      <c r="D24" s="81" t="e">
        <f aca="false">#REF!</f>
        <v>#REF!</v>
      </c>
      <c r="E24" s="81" t="e">
        <f aca="false">#REF!</f>
        <v>#REF!</v>
      </c>
      <c r="F24" s="81" t="e">
        <f aca="false">#REF!</f>
        <v>#REF!</v>
      </c>
    </row>
    <row r="25" customFormat="false" ht="12.8" hidden="false" customHeight="false" outlineLevel="0" collapsed="false">
      <c r="A25" s="55" t="e">
        <f aca="false">_xlfn.CONCAT($A$1, ".", #REF!)</f>
        <v>#REF!</v>
      </c>
      <c r="B25" s="76" t="e">
        <f aca="false">_xlfn.CONCAT(#REF!, ":", #REF!)</f>
        <v>#REF!</v>
      </c>
      <c r="C25" s="81" t="e">
        <f aca="false">#REF!</f>
        <v>#REF!</v>
      </c>
      <c r="D25" s="81" t="e">
        <f aca="false">#REF!</f>
        <v>#REF!</v>
      </c>
      <c r="E25" s="81" t="e">
        <f aca="false">#REF!</f>
        <v>#REF!</v>
      </c>
      <c r="F25" s="81" t="e">
        <f aca="false">#REF!</f>
        <v>#REF!</v>
      </c>
    </row>
    <row r="26" customFormat="false" ht="12.8" hidden="false" customHeight="false" outlineLevel="0" collapsed="false">
      <c r="A26" s="55" t="e">
        <f aca="false">_xlfn.CONCAT($A$1, ".", #REF!)</f>
        <v>#REF!</v>
      </c>
      <c r="B26" s="76" t="e">
        <f aca="false">_xlfn.CONCAT(#REF!, ":", #REF!)</f>
        <v>#REF!</v>
      </c>
      <c r="C26" s="81" t="e">
        <f aca="false">#REF!</f>
        <v>#REF!</v>
      </c>
      <c r="D26" s="81" t="e">
        <f aca="false">#REF!</f>
        <v>#REF!</v>
      </c>
      <c r="E26" s="81" t="e">
        <f aca="false">#REF!</f>
        <v>#REF!</v>
      </c>
      <c r="F26" s="81" t="e">
        <f aca="false">#REF!</f>
        <v>#REF!</v>
      </c>
    </row>
    <row r="27" customFormat="false" ht="12.8" hidden="false" customHeight="false" outlineLevel="0" collapsed="false">
      <c r="A27" s="55" t="e">
        <f aca="false">_xlfn.CONCAT($A$1, ".", #REF!)</f>
        <v>#REF!</v>
      </c>
      <c r="B27" s="76" t="e">
        <f aca="false">_xlfn.CONCAT(#REF!, ":", #REF!)</f>
        <v>#REF!</v>
      </c>
      <c r="C27" s="81" t="e">
        <f aca="false">#REF!</f>
        <v>#REF!</v>
      </c>
      <c r="D27" s="81" t="e">
        <f aca="false">#REF!</f>
        <v>#REF!</v>
      </c>
      <c r="E27" s="81" t="e">
        <f aca="false">#REF!</f>
        <v>#REF!</v>
      </c>
      <c r="F27" s="81" t="e">
        <f aca="false">#REF!</f>
        <v>#REF!</v>
      </c>
    </row>
    <row r="28" customFormat="false" ht="12.8" hidden="false" customHeight="false" outlineLevel="0" collapsed="false">
      <c r="A28" s="55" t="e">
        <f aca="false">_xlfn.CONCAT($A$1, ".", #REF!)</f>
        <v>#REF!</v>
      </c>
      <c r="B28" s="76" t="e">
        <f aca="false">_xlfn.CONCAT(#REF!, ":", #REF!)</f>
        <v>#REF!</v>
      </c>
      <c r="C28" s="81" t="e">
        <f aca="false">#REF!</f>
        <v>#REF!</v>
      </c>
      <c r="D28" s="81" t="e">
        <f aca="false">#REF!</f>
        <v>#REF!</v>
      </c>
      <c r="E28" s="81" t="e">
        <f aca="false">#REF!</f>
        <v>#REF!</v>
      </c>
      <c r="F28" s="81" t="e">
        <f aca="false">#REF!</f>
        <v>#REF!</v>
      </c>
    </row>
    <row r="29" customFormat="false" ht="12.8" hidden="false" customHeight="false" outlineLevel="0" collapsed="false">
      <c r="A29" s="55" t="e">
        <f aca="false">_xlfn.CONCAT($A$1, ".", #REF!)</f>
        <v>#REF!</v>
      </c>
      <c r="B29" s="76" t="e">
        <f aca="false">_xlfn.CONCAT(#REF!, ":", #REF!)</f>
        <v>#REF!</v>
      </c>
      <c r="C29" s="81" t="e">
        <f aca="false">#REF!</f>
        <v>#REF!</v>
      </c>
      <c r="D29" s="81" t="e">
        <f aca="false">#REF!</f>
        <v>#REF!</v>
      </c>
      <c r="E29" s="81" t="e">
        <f aca="false">#REF!</f>
        <v>#REF!</v>
      </c>
      <c r="F29" s="81" t="e">
        <f aca="false">#REF!</f>
        <v>#REF!</v>
      </c>
    </row>
    <row r="30" customFormat="false" ht="12.8" hidden="false" customHeight="false" outlineLevel="0" collapsed="false">
      <c r="A30" s="55" t="e">
        <f aca="false">_xlfn.CONCAT($A$1, ".", #REF!)</f>
        <v>#REF!</v>
      </c>
      <c r="B30" s="76" t="e">
        <f aca="false">_xlfn.CONCAT(#REF!, ":", #REF!)</f>
        <v>#REF!</v>
      </c>
      <c r="C30" s="81" t="e">
        <f aca="false">#REF!</f>
        <v>#REF!</v>
      </c>
      <c r="D30" s="81" t="e">
        <f aca="false">#REF!</f>
        <v>#REF!</v>
      </c>
      <c r="E30" s="81" t="e">
        <f aca="false">#REF!</f>
        <v>#REF!</v>
      </c>
      <c r="F30" s="81" t="e">
        <f aca="false">#REF!</f>
        <v>#REF!</v>
      </c>
    </row>
    <row r="31" customFormat="false" ht="12.8" hidden="false" customHeight="false" outlineLevel="0" collapsed="false">
      <c r="A31" s="55" t="e">
        <f aca="false">_xlfn.CONCAT($A$1, ".", #REF!)</f>
        <v>#REF!</v>
      </c>
      <c r="B31" s="76" t="e">
        <f aca="false">_xlfn.CONCAT(#REF!, ":", #REF!)</f>
        <v>#REF!</v>
      </c>
      <c r="C31" s="81" t="e">
        <f aca="false">#REF!</f>
        <v>#REF!</v>
      </c>
      <c r="D31" s="81" t="e">
        <f aca="false">#REF!</f>
        <v>#REF!</v>
      </c>
      <c r="E31" s="81" t="e">
        <f aca="false">#REF!</f>
        <v>#REF!</v>
      </c>
      <c r="F31" s="81" t="e">
        <f aca="false">#REF!</f>
        <v>#REF!</v>
      </c>
    </row>
    <row r="32" customFormat="false" ht="12.8" hidden="false" customHeight="false" outlineLevel="0" collapsed="false">
      <c r="A32" s="55" t="e">
        <f aca="false">_xlfn.CONCAT($A$1, ".", #REF!)</f>
        <v>#REF!</v>
      </c>
      <c r="B32" s="76" t="e">
        <f aca="false">_xlfn.CONCAT(#REF!, ":", #REF!)</f>
        <v>#REF!</v>
      </c>
      <c r="C32" s="81" t="e">
        <f aca="false">#REF!</f>
        <v>#REF!</v>
      </c>
      <c r="D32" s="81" t="e">
        <f aca="false">#REF!</f>
        <v>#REF!</v>
      </c>
      <c r="E32" s="81" t="e">
        <f aca="false">#REF!</f>
        <v>#REF!</v>
      </c>
      <c r="F32" s="81" t="e">
        <f aca="false">#REF!</f>
        <v>#REF!</v>
      </c>
    </row>
    <row r="33" customFormat="false" ht="12.8" hidden="false" customHeight="false" outlineLevel="0" collapsed="false">
      <c r="A33" s="55" t="e">
        <f aca="false">_xlfn.CONCAT($A$1, ".", #REF!)</f>
        <v>#REF!</v>
      </c>
      <c r="B33" s="76" t="e">
        <f aca="false">_xlfn.CONCAT(#REF!, ":", #REF!)</f>
        <v>#REF!</v>
      </c>
      <c r="C33" s="81" t="e">
        <f aca="false">#REF!</f>
        <v>#REF!</v>
      </c>
      <c r="D33" s="81" t="e">
        <f aca="false">#REF!</f>
        <v>#REF!</v>
      </c>
      <c r="E33" s="81" t="e">
        <f aca="false">#REF!</f>
        <v>#REF!</v>
      </c>
      <c r="F33" s="81" t="e">
        <f aca="false">#REF!</f>
        <v>#REF!</v>
      </c>
    </row>
    <row r="34" customFormat="false" ht="12.8" hidden="false" customHeight="false" outlineLevel="0" collapsed="false">
      <c r="A34" s="55" t="e">
        <f aca="false">_xlfn.CONCAT($A$1, ".", #REF!)</f>
        <v>#REF!</v>
      </c>
      <c r="B34" s="76" t="e">
        <f aca="false">_xlfn.CONCAT(#REF!, ":", #REF!)</f>
        <v>#REF!</v>
      </c>
      <c r="C34" s="81" t="e">
        <f aca="false">#REF!</f>
        <v>#REF!</v>
      </c>
      <c r="D34" s="81" t="e">
        <f aca="false">#REF!</f>
        <v>#REF!</v>
      </c>
      <c r="E34" s="81" t="e">
        <f aca="false">#REF!</f>
        <v>#REF!</v>
      </c>
      <c r="F34" s="81" t="e">
        <f aca="false">#REF!</f>
        <v>#REF!</v>
      </c>
    </row>
    <row r="35" customFormat="false" ht="12.8" hidden="false" customHeight="false" outlineLevel="0" collapsed="false">
      <c r="A35" s="55" t="e">
        <f aca="false">_xlfn.CONCAT($A$1, ".", #REF!)</f>
        <v>#REF!</v>
      </c>
      <c r="B35" s="76" t="e">
        <f aca="false">_xlfn.CONCAT(#REF!, ":", #REF!)</f>
        <v>#REF!</v>
      </c>
      <c r="C35" s="81" t="e">
        <f aca="false">#REF!</f>
        <v>#REF!</v>
      </c>
      <c r="D35" s="81" t="e">
        <f aca="false">#REF!</f>
        <v>#REF!</v>
      </c>
      <c r="E35" s="81" t="e">
        <f aca="false">#REF!</f>
        <v>#REF!</v>
      </c>
      <c r="F35" s="81" t="e">
        <f aca="false">#REF!</f>
        <v>#REF!</v>
      </c>
    </row>
    <row r="36" customFormat="false" ht="12.8" hidden="false" customHeight="false" outlineLevel="0" collapsed="false">
      <c r="A36" s="55" t="e">
        <f aca="false">_xlfn.CONCAT($A$1, ".", #REF!)</f>
        <v>#REF!</v>
      </c>
      <c r="B36" s="76" t="e">
        <f aca="false">_xlfn.CONCAT(#REF!, ":", #REF!)</f>
        <v>#REF!</v>
      </c>
      <c r="C36" s="81" t="e">
        <f aca="false">#REF!</f>
        <v>#REF!</v>
      </c>
      <c r="D36" s="81" t="e">
        <f aca="false">#REF!</f>
        <v>#REF!</v>
      </c>
      <c r="E36" s="81" t="e">
        <f aca="false">#REF!</f>
        <v>#REF!</v>
      </c>
      <c r="F36" s="81" t="e">
        <f aca="false">#REF!</f>
        <v>#REF!</v>
      </c>
    </row>
    <row r="37" customFormat="false" ht="12.8" hidden="false" customHeight="false" outlineLevel="0" collapsed="false">
      <c r="A37" s="55" t="e">
        <f aca="false">_xlfn.CONCAT($A$1, ".", #REF!)</f>
        <v>#REF!</v>
      </c>
      <c r="B37" s="76" t="e">
        <f aca="false">_xlfn.CONCAT(#REF!, ":", #REF!)</f>
        <v>#REF!</v>
      </c>
      <c r="C37" s="81" t="e">
        <f aca="false">#REF!</f>
        <v>#REF!</v>
      </c>
      <c r="D37" s="81" t="e">
        <f aca="false">#REF!</f>
        <v>#REF!</v>
      </c>
      <c r="E37" s="81" t="e">
        <f aca="false">#REF!</f>
        <v>#REF!</v>
      </c>
      <c r="F37" s="81" t="e">
        <f aca="false">#REF!</f>
        <v>#REF!</v>
      </c>
    </row>
    <row r="38" customFormat="false" ht="12.8" hidden="false" customHeight="false" outlineLevel="0" collapsed="false">
      <c r="A38" s="55" t="e">
        <f aca="false">_xlfn.CONCAT($A$1, ".", #REF!)</f>
        <v>#REF!</v>
      </c>
      <c r="B38" s="76" t="e">
        <f aca="false">_xlfn.CONCAT(#REF!, ":", #REF!)</f>
        <v>#REF!</v>
      </c>
      <c r="C38" s="81" t="e">
        <f aca="false">#REF!</f>
        <v>#REF!</v>
      </c>
      <c r="D38" s="81" t="e">
        <f aca="false">#REF!</f>
        <v>#REF!</v>
      </c>
      <c r="E38" s="81" t="e">
        <f aca="false">#REF!</f>
        <v>#REF!</v>
      </c>
      <c r="F38" s="81" t="e">
        <f aca="false">#REF!</f>
        <v>#REF!</v>
      </c>
    </row>
    <row r="39" customFormat="false" ht="12.8" hidden="false" customHeight="false" outlineLevel="0" collapsed="false">
      <c r="A39" s="55" t="e">
        <f aca="false">_xlfn.CONCAT($A$1, ".", #REF!)</f>
        <v>#REF!</v>
      </c>
      <c r="B39" s="76" t="e">
        <f aca="false">_xlfn.CONCAT(#REF!, ":", #REF!)</f>
        <v>#REF!</v>
      </c>
      <c r="C39" s="81" t="e">
        <f aca="false">#REF!</f>
        <v>#REF!</v>
      </c>
      <c r="D39" s="81" t="e">
        <f aca="false">#REF!</f>
        <v>#REF!</v>
      </c>
      <c r="E39" s="81" t="e">
        <f aca="false">#REF!</f>
        <v>#REF!</v>
      </c>
      <c r="F39" s="81" t="e">
        <f aca="false">#REF!</f>
        <v>#REF!</v>
      </c>
    </row>
    <row r="40" customFormat="false" ht="12.8" hidden="false" customHeight="false" outlineLevel="0" collapsed="false">
      <c r="A40" s="55" t="e">
        <f aca="false">_xlfn.CONCAT($A$1, ".", #REF!)</f>
        <v>#REF!</v>
      </c>
      <c r="B40" s="76" t="e">
        <f aca="false">_xlfn.CONCAT(#REF!, ":", #REF!)</f>
        <v>#REF!</v>
      </c>
      <c r="C40" s="81" t="e">
        <f aca="false">#REF!</f>
        <v>#REF!</v>
      </c>
      <c r="D40" s="81" t="e">
        <f aca="false">#REF!</f>
        <v>#REF!</v>
      </c>
      <c r="E40" s="81" t="e">
        <f aca="false">#REF!</f>
        <v>#REF!</v>
      </c>
      <c r="F40" s="81" t="e">
        <f aca="false">#REF!</f>
        <v>#REF!</v>
      </c>
    </row>
    <row r="41" customFormat="false" ht="12.8" hidden="false" customHeight="false" outlineLevel="0" collapsed="false">
      <c r="A41" s="55" t="e">
        <f aca="false">_xlfn.CONCAT($A$1, ".", #REF!)</f>
        <v>#REF!</v>
      </c>
      <c r="B41" s="76" t="e">
        <f aca="false">_xlfn.CONCAT(#REF!, ":", #REF!)</f>
        <v>#REF!</v>
      </c>
      <c r="C41" s="81" t="e">
        <f aca="false">#REF!</f>
        <v>#REF!</v>
      </c>
      <c r="D41" s="81" t="e">
        <f aca="false">#REF!</f>
        <v>#REF!</v>
      </c>
      <c r="E41" s="81" t="e">
        <f aca="false">#REF!</f>
        <v>#REF!</v>
      </c>
      <c r="F41" s="81" t="e">
        <f aca="false">#REF!</f>
        <v>#REF!</v>
      </c>
    </row>
    <row r="42" customFormat="false" ht="12.8" hidden="false" customHeight="false" outlineLevel="0" collapsed="false">
      <c r="A42" s="55" t="e">
        <f aca="false">_xlfn.CONCAT($A$1, ".", #REF!)</f>
        <v>#REF!</v>
      </c>
      <c r="B42" s="76" t="e">
        <f aca="false">_xlfn.CONCAT(#REF!, ":", #REF!)</f>
        <v>#REF!</v>
      </c>
      <c r="C42" s="81" t="e">
        <f aca="false">#REF!</f>
        <v>#REF!</v>
      </c>
      <c r="D42" s="81" t="e">
        <f aca="false">#REF!</f>
        <v>#REF!</v>
      </c>
      <c r="E42" s="81" t="e">
        <f aca="false">#REF!</f>
        <v>#REF!</v>
      </c>
      <c r="F42" s="81" t="e">
        <f aca="false">#REF!</f>
        <v>#REF!</v>
      </c>
    </row>
    <row r="43" customFormat="false" ht="12.8" hidden="false" customHeight="false" outlineLevel="0" collapsed="false">
      <c r="A43" s="55" t="e">
        <f aca="false">_xlfn.CONCAT($A$1, ".", #REF!)</f>
        <v>#REF!</v>
      </c>
      <c r="B43" s="76" t="e">
        <f aca="false">_xlfn.CONCAT(#REF!, ":", #REF!)</f>
        <v>#REF!</v>
      </c>
      <c r="C43" s="81" t="e">
        <f aca="false">#REF!</f>
        <v>#REF!</v>
      </c>
      <c r="D43" s="81" t="e">
        <f aca="false">#REF!</f>
        <v>#REF!</v>
      </c>
      <c r="E43" s="81" t="e">
        <f aca="false">#REF!</f>
        <v>#REF!</v>
      </c>
      <c r="F43" s="81" t="e">
        <f aca="false">#REF!</f>
        <v>#REF!</v>
      </c>
    </row>
    <row r="44" customFormat="false" ht="12.8" hidden="false" customHeight="false" outlineLevel="0" collapsed="false">
      <c r="A44" s="55" t="e">
        <f aca="false">_xlfn.CONCAT($A$1, ".", #REF!)</f>
        <v>#REF!</v>
      </c>
      <c r="B44" s="76" t="e">
        <f aca="false">_xlfn.CONCAT(#REF!, ":", #REF!)</f>
        <v>#REF!</v>
      </c>
      <c r="C44" s="81" t="e">
        <f aca="false">#REF!</f>
        <v>#REF!</v>
      </c>
      <c r="D44" s="81" t="e">
        <f aca="false">#REF!</f>
        <v>#REF!</v>
      </c>
      <c r="E44" s="81" t="e">
        <f aca="false">#REF!</f>
        <v>#REF!</v>
      </c>
      <c r="F44" s="81" t="e">
        <f aca="false">#REF!</f>
        <v>#REF!</v>
      </c>
    </row>
    <row r="45" customFormat="false" ht="12.8" hidden="false" customHeight="false" outlineLevel="0" collapsed="false">
      <c r="A45" s="55" t="e">
        <f aca="false">_xlfn.CONCAT($A$1, ".", #REF!)</f>
        <v>#REF!</v>
      </c>
      <c r="B45" s="76" t="e">
        <f aca="false">_xlfn.CONCAT(#REF!, ":", #REF!)</f>
        <v>#REF!</v>
      </c>
      <c r="C45" s="81" t="e">
        <f aca="false">#REF!</f>
        <v>#REF!</v>
      </c>
      <c r="D45" s="81" t="e">
        <f aca="false">#REF!</f>
        <v>#REF!</v>
      </c>
      <c r="E45" s="81" t="e">
        <f aca="false">#REF!</f>
        <v>#REF!</v>
      </c>
      <c r="F45" s="81" t="e">
        <f aca="false">#REF!</f>
        <v>#REF!</v>
      </c>
    </row>
    <row r="46" customFormat="false" ht="12.8" hidden="false" customHeight="false" outlineLevel="0" collapsed="false">
      <c r="A46" s="55" t="e">
        <f aca="false">_xlfn.CONCAT($A$1, ".", #REF!)</f>
        <v>#REF!</v>
      </c>
      <c r="B46" s="76" t="e">
        <f aca="false">_xlfn.CONCAT(#REF!, ":", #REF!)</f>
        <v>#REF!</v>
      </c>
      <c r="C46" s="81" t="e">
        <f aca="false">#REF!</f>
        <v>#REF!</v>
      </c>
      <c r="D46" s="81" t="e">
        <f aca="false">#REF!</f>
        <v>#REF!</v>
      </c>
      <c r="E46" s="81" t="e">
        <f aca="false">#REF!</f>
        <v>#REF!</v>
      </c>
      <c r="F46" s="81" t="e">
        <f aca="false">#REF!</f>
        <v>#REF!</v>
      </c>
    </row>
    <row r="47" customFormat="false" ht="12.8" hidden="false" customHeight="false" outlineLevel="0" collapsed="false">
      <c r="A47" s="55" t="e">
        <f aca="false">_xlfn.CONCAT($A$1, ".", #REF!)</f>
        <v>#REF!</v>
      </c>
      <c r="B47" s="76" t="e">
        <f aca="false">_xlfn.CONCAT(#REF!, ":", #REF!)</f>
        <v>#REF!</v>
      </c>
      <c r="C47" s="81" t="e">
        <f aca="false">#REF!</f>
        <v>#REF!</v>
      </c>
      <c r="D47" s="81" t="e">
        <f aca="false">#REF!</f>
        <v>#REF!</v>
      </c>
      <c r="E47" s="81" t="e">
        <f aca="false">#REF!</f>
        <v>#REF!</v>
      </c>
      <c r="F47" s="81" t="e">
        <f aca="false">#REF!</f>
        <v>#REF!</v>
      </c>
    </row>
    <row r="48" customFormat="false" ht="12.8" hidden="false" customHeight="false" outlineLevel="0" collapsed="false">
      <c r="A48" s="55" t="e">
        <f aca="false">_xlfn.CONCAT($A$1, ".", #REF!)</f>
        <v>#REF!</v>
      </c>
      <c r="B48" s="76" t="e">
        <f aca="false">_xlfn.CONCAT(#REF!, ":", #REF!)</f>
        <v>#REF!</v>
      </c>
      <c r="C48" s="81" t="e">
        <f aca="false">#REF!</f>
        <v>#REF!</v>
      </c>
      <c r="D48" s="81" t="e">
        <f aca="false">#REF!</f>
        <v>#REF!</v>
      </c>
      <c r="E48" s="81" t="e">
        <f aca="false">#REF!</f>
        <v>#REF!</v>
      </c>
      <c r="F48" s="81" t="e">
        <f aca="false">#REF!</f>
        <v>#REF!</v>
      </c>
    </row>
    <row r="49" customFormat="false" ht="12.8" hidden="false" customHeight="false" outlineLevel="0" collapsed="false">
      <c r="A49" s="55" t="e">
        <f aca="false">_xlfn.CONCAT($A$1, ".", #REF!)</f>
        <v>#REF!</v>
      </c>
      <c r="B49" s="76" t="e">
        <f aca="false">_xlfn.CONCAT(#REF!, ":", #REF!)</f>
        <v>#REF!</v>
      </c>
      <c r="C49" s="81" t="e">
        <f aca="false">#REF!</f>
        <v>#REF!</v>
      </c>
      <c r="D49" s="81" t="e">
        <f aca="false">#REF!</f>
        <v>#REF!</v>
      </c>
      <c r="E49" s="81" t="e">
        <f aca="false">#REF!</f>
        <v>#REF!</v>
      </c>
      <c r="F49" s="81" t="e">
        <f aca="false">#REF!</f>
        <v>#REF!</v>
      </c>
    </row>
    <row r="50" customFormat="false" ht="12.8" hidden="false" customHeight="false" outlineLevel="0" collapsed="false">
      <c r="A50" s="55" t="e">
        <f aca="false">_xlfn.CONCAT($A$1, ".", #REF!)</f>
        <v>#REF!</v>
      </c>
      <c r="B50" s="76" t="e">
        <f aca="false">_xlfn.CONCAT(#REF!, ":", #REF!)</f>
        <v>#REF!</v>
      </c>
      <c r="C50" s="81" t="e">
        <f aca="false">#REF!</f>
        <v>#REF!</v>
      </c>
      <c r="D50" s="81" t="e">
        <f aca="false">#REF!</f>
        <v>#REF!</v>
      </c>
      <c r="E50" s="81" t="e">
        <f aca="false">#REF!</f>
        <v>#REF!</v>
      </c>
      <c r="F50" s="81" t="e">
        <f aca="false">#REF!</f>
        <v>#REF!</v>
      </c>
    </row>
    <row r="51" customFormat="false" ht="12.8" hidden="false" customHeight="false" outlineLevel="0" collapsed="false">
      <c r="A51" s="55" t="e">
        <f aca="false">_xlfn.CONCAT($A$1, ".", #REF!)</f>
        <v>#REF!</v>
      </c>
      <c r="B51" s="76" t="e">
        <f aca="false">_xlfn.CONCAT(#REF!, ":", #REF!)</f>
        <v>#REF!</v>
      </c>
      <c r="C51" s="81" t="e">
        <f aca="false">#REF!</f>
        <v>#REF!</v>
      </c>
      <c r="D51" s="81" t="e">
        <f aca="false">#REF!</f>
        <v>#REF!</v>
      </c>
      <c r="E51" s="81" t="e">
        <f aca="false">#REF!</f>
        <v>#REF!</v>
      </c>
      <c r="F51" s="81" t="e">
        <f aca="false">#REF!</f>
        <v>#REF!</v>
      </c>
    </row>
    <row r="52" customFormat="false" ht="12.8" hidden="false" customHeight="false" outlineLevel="0" collapsed="false">
      <c r="A52" s="55" t="e">
        <f aca="false">_xlfn.CONCAT($A$1, ".", #REF!)</f>
        <v>#REF!</v>
      </c>
      <c r="B52" s="76" t="e">
        <f aca="false">_xlfn.CONCAT(#REF!, ":", #REF!)</f>
        <v>#REF!</v>
      </c>
      <c r="C52" s="81" t="e">
        <f aca="false">#REF!</f>
        <v>#REF!</v>
      </c>
      <c r="D52" s="81" t="e">
        <f aca="false">#REF!</f>
        <v>#REF!</v>
      </c>
      <c r="E52" s="81" t="e">
        <f aca="false">#REF!</f>
        <v>#REF!</v>
      </c>
      <c r="F52" s="81" t="e">
        <f aca="false">#REF!</f>
        <v>#REF!</v>
      </c>
    </row>
    <row r="53" customFormat="false" ht="12.8" hidden="false" customHeight="false" outlineLevel="0" collapsed="false">
      <c r="A53" s="55" t="e">
        <f aca="false">_xlfn.CONCAT($A$1, ".", #REF!)</f>
        <v>#REF!</v>
      </c>
      <c r="B53" s="76" t="e">
        <f aca="false">_xlfn.CONCAT(#REF!, ":", #REF!)</f>
        <v>#REF!</v>
      </c>
      <c r="C53" s="81" t="e">
        <f aca="false">#REF!</f>
        <v>#REF!</v>
      </c>
      <c r="D53" s="81" t="e">
        <f aca="false">#REF!</f>
        <v>#REF!</v>
      </c>
      <c r="E53" s="81" t="e">
        <f aca="false">#REF!</f>
        <v>#REF!</v>
      </c>
      <c r="F53" s="81" t="e">
        <f aca="false">#REF!</f>
        <v>#REF!</v>
      </c>
    </row>
    <row r="54" customFormat="false" ht="12.8" hidden="false" customHeight="false" outlineLevel="0" collapsed="false">
      <c r="A54" s="55" t="e">
        <f aca="false">_xlfn.CONCAT($A$1, ".", #REF!)</f>
        <v>#REF!</v>
      </c>
      <c r="B54" s="76" t="e">
        <f aca="false">_xlfn.CONCAT(#REF!, ":", #REF!)</f>
        <v>#REF!</v>
      </c>
      <c r="C54" s="81" t="e">
        <f aca="false">#REF!</f>
        <v>#REF!</v>
      </c>
      <c r="D54" s="81" t="e">
        <f aca="false">#REF!</f>
        <v>#REF!</v>
      </c>
      <c r="E54" s="81" t="e">
        <f aca="false">#REF!</f>
        <v>#REF!</v>
      </c>
      <c r="F54" s="81" t="e">
        <f aca="false">#REF!</f>
        <v>#REF!</v>
      </c>
    </row>
    <row r="55" customFormat="false" ht="12.8" hidden="false" customHeight="false" outlineLevel="0" collapsed="false">
      <c r="A55" s="55" t="e">
        <f aca="false">_xlfn.CONCAT($A$1, ".", #REF!)</f>
        <v>#REF!</v>
      </c>
      <c r="B55" s="76" t="e">
        <f aca="false">_xlfn.CONCAT(#REF!, ":", #REF!)</f>
        <v>#REF!</v>
      </c>
      <c r="C55" s="81" t="e">
        <f aca="false">#REF!</f>
        <v>#REF!</v>
      </c>
      <c r="D55" s="81" t="e">
        <f aca="false">#REF!</f>
        <v>#REF!</v>
      </c>
      <c r="E55" s="81" t="e">
        <f aca="false">#REF!</f>
        <v>#REF!</v>
      </c>
      <c r="F55" s="81" t="e">
        <f aca="false">#REF!</f>
        <v>#REF!</v>
      </c>
    </row>
    <row r="56" customFormat="false" ht="12.8" hidden="false" customHeight="false" outlineLevel="0" collapsed="false">
      <c r="C56" s="80"/>
      <c r="D56" s="80"/>
      <c r="E56" s="80"/>
      <c r="F56" s="80"/>
    </row>
    <row r="57" customFormat="false" ht="12.8" hidden="false" customHeight="false" outlineLevel="0" collapsed="false">
      <c r="C57" s="80"/>
      <c r="D57" s="80"/>
      <c r="E57" s="80"/>
      <c r="F57" s="80"/>
    </row>
    <row r="58" customFormat="false" ht="12.8" hidden="false" customHeight="false" outlineLevel="0" collapsed="false">
      <c r="C58" s="80"/>
      <c r="D58" s="80"/>
      <c r="E58" s="80"/>
      <c r="F58" s="80"/>
    </row>
    <row r="59" customFormat="false" ht="12.8" hidden="false" customHeight="false" outlineLevel="1" collapsed="false">
      <c r="C59" s="80"/>
      <c r="D59" s="80"/>
      <c r="E59" s="80"/>
      <c r="F59" s="80"/>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41.51"/>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2307</v>
      </c>
      <c r="B1" s="44" t="s">
        <v>2308</v>
      </c>
      <c r="C1" s="6" t="s">
        <v>2</v>
      </c>
      <c r="D1" s="68" t="s">
        <v>2309</v>
      </c>
      <c r="AZ1" s="41"/>
      <c r="BA1" s="41"/>
      <c r="BB1" s="41"/>
      <c r="BC1" s="41"/>
    </row>
    <row r="2" customFormat="false" ht="46.25" hidden="false" customHeight="false" outlineLevel="0" collapsed="false">
      <c r="A2" s="72" t="s">
        <v>1994</v>
      </c>
      <c r="B2" s="53" t="s">
        <v>1995</v>
      </c>
      <c r="C2" s="82" t="str">
        <f aca="false">CALC!AU3</f>
        <v>Federal Personal Income Tax Revenue ($)</v>
      </c>
      <c r="D2" s="82" t="str">
        <f aca="false">CALC!AV3</f>
        <v>Authorized Immigrant Federal Personal Income Tax Revenue ($)</v>
      </c>
      <c r="E2" s="82" t="str">
        <f aca="false">CALC!AW3</f>
        <v>Unauthorized Immigrant Federal Personal Income Tax Revenue ($)</v>
      </c>
      <c r="F2" s="82" t="str">
        <f aca="false">CALC!AX3</f>
        <v>American Federal Personal Income Tax Revenue ($)</v>
      </c>
    </row>
    <row r="3" customFormat="false" ht="12.8" hidden="false" customHeight="false" outlineLevel="0" collapsed="false">
      <c r="A3" s="4" t="e">
        <f aca="false">_xlfn.CONCAT($A$1, ".", #REF!)</f>
        <v>#REF!</v>
      </c>
      <c r="B3" s="58" t="e">
        <f aca="false">_xlfn.CONCAT(#REF!, ":", #REF!)</f>
        <v>#REF!</v>
      </c>
      <c r="C3" s="82" t="e">
        <f aca="false">#REF!</f>
        <v>#REF!</v>
      </c>
      <c r="D3" s="82" t="e">
        <f aca="false">#REF!</f>
        <v>#REF!</v>
      </c>
      <c r="E3" s="82" t="e">
        <f aca="false">#REF!</f>
        <v>#REF!</v>
      </c>
      <c r="F3" s="82" t="e">
        <f aca="false">#REF!</f>
        <v>#REF!</v>
      </c>
    </row>
    <row r="4" customFormat="false" ht="12.8" hidden="false" customHeight="false" outlineLevel="0" collapsed="false">
      <c r="A4" s="55" t="e">
        <f aca="false">_xlfn.CONCAT($A$1, ".", #REF!)</f>
        <v>#REF!</v>
      </c>
      <c r="B4" s="76"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5" t="e">
        <f aca="false">_xlfn.CONCAT($A$1, ".", #REF!)</f>
        <v>#REF!</v>
      </c>
      <c r="B5" s="76"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5" t="e">
        <f aca="false">_xlfn.CONCAT($A$1, ".", #REF!)</f>
        <v>#REF!</v>
      </c>
      <c r="B6" s="76"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5" t="e">
        <f aca="false">_xlfn.CONCAT($A$1, ".", #REF!)</f>
        <v>#REF!</v>
      </c>
      <c r="B7" s="76"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5" t="e">
        <f aca="false">_xlfn.CONCAT($A$1, ".", #REF!)</f>
        <v>#REF!</v>
      </c>
      <c r="B8" s="76"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5" t="e">
        <f aca="false">_xlfn.CONCAT($A$1, ".", #REF!)</f>
        <v>#REF!</v>
      </c>
      <c r="B9" s="76"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5" t="e">
        <f aca="false">_xlfn.CONCAT($A$1, ".", #REF!)</f>
        <v>#REF!</v>
      </c>
      <c r="B10" s="76"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5" t="e">
        <f aca="false">_xlfn.CONCAT($A$1, ".", #REF!)</f>
        <v>#REF!</v>
      </c>
      <c r="B11" s="76"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5" t="e">
        <f aca="false">_xlfn.CONCAT($A$1, ".", #REF!)</f>
        <v>#REF!</v>
      </c>
      <c r="B12" s="76"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5" t="e">
        <f aca="false">_xlfn.CONCAT($A$1, ".", #REF!)</f>
        <v>#REF!</v>
      </c>
      <c r="B13" s="76"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5" t="e">
        <f aca="false">_xlfn.CONCAT($A$1, ".", #REF!)</f>
        <v>#REF!</v>
      </c>
      <c r="B14" s="76"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5" t="e">
        <f aca="false">_xlfn.CONCAT($A$1, ".", #REF!)</f>
        <v>#REF!</v>
      </c>
      <c r="B15" s="76"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5" t="e">
        <f aca="false">_xlfn.CONCAT($A$1, ".", #REF!)</f>
        <v>#REF!</v>
      </c>
      <c r="B16" s="76"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5" t="e">
        <f aca="false">_xlfn.CONCAT($A$1, ".", #REF!)</f>
        <v>#REF!</v>
      </c>
      <c r="B17" s="76"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5" t="e">
        <f aca="false">_xlfn.CONCAT($A$1, ".", #REF!)</f>
        <v>#REF!</v>
      </c>
      <c r="B18" s="76"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5" t="e">
        <f aca="false">_xlfn.CONCAT($A$1, ".", #REF!)</f>
        <v>#REF!</v>
      </c>
      <c r="B19" s="76"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5" t="e">
        <f aca="false">_xlfn.CONCAT($A$1, ".", #REF!)</f>
        <v>#REF!</v>
      </c>
      <c r="B20" s="76"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5" t="e">
        <f aca="false">_xlfn.CONCAT($A$1, ".", #REF!)</f>
        <v>#REF!</v>
      </c>
      <c r="B21" s="76"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5" t="e">
        <f aca="false">_xlfn.CONCAT($A$1, ".", #REF!)</f>
        <v>#REF!</v>
      </c>
      <c r="B22" s="76"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5" t="e">
        <f aca="false">_xlfn.CONCAT($A$1, ".", #REF!)</f>
        <v>#REF!</v>
      </c>
      <c r="B23" s="76"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5" t="e">
        <f aca="false">_xlfn.CONCAT($A$1, ".", #REF!)</f>
        <v>#REF!</v>
      </c>
      <c r="B24" s="76"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5" t="e">
        <f aca="false">_xlfn.CONCAT($A$1, ".", #REF!)</f>
        <v>#REF!</v>
      </c>
      <c r="B25" s="76"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5" t="e">
        <f aca="false">_xlfn.CONCAT($A$1, ".", #REF!)</f>
        <v>#REF!</v>
      </c>
      <c r="B26" s="76"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5" t="e">
        <f aca="false">_xlfn.CONCAT($A$1, ".", #REF!)</f>
        <v>#REF!</v>
      </c>
      <c r="B27" s="76"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5" t="e">
        <f aca="false">_xlfn.CONCAT($A$1, ".", #REF!)</f>
        <v>#REF!</v>
      </c>
      <c r="B28" s="76"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5" t="e">
        <f aca="false">_xlfn.CONCAT($A$1, ".", #REF!)</f>
        <v>#REF!</v>
      </c>
      <c r="B29" s="76"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5" t="e">
        <f aca="false">_xlfn.CONCAT($A$1, ".", #REF!)</f>
        <v>#REF!</v>
      </c>
      <c r="B30" s="76"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5" t="e">
        <f aca="false">_xlfn.CONCAT($A$1, ".", #REF!)</f>
        <v>#REF!</v>
      </c>
      <c r="B31" s="76"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5" t="e">
        <f aca="false">_xlfn.CONCAT($A$1, ".", #REF!)</f>
        <v>#REF!</v>
      </c>
      <c r="B32" s="76"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5" t="e">
        <f aca="false">_xlfn.CONCAT($A$1, ".", #REF!)</f>
        <v>#REF!</v>
      </c>
      <c r="B33" s="76"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5" t="e">
        <f aca="false">_xlfn.CONCAT($A$1, ".", #REF!)</f>
        <v>#REF!</v>
      </c>
      <c r="B34" s="76"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5" t="e">
        <f aca="false">_xlfn.CONCAT($A$1, ".", #REF!)</f>
        <v>#REF!</v>
      </c>
      <c r="B35" s="76"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5" t="e">
        <f aca="false">_xlfn.CONCAT($A$1, ".", #REF!)</f>
        <v>#REF!</v>
      </c>
      <c r="B36" s="76"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5" t="e">
        <f aca="false">_xlfn.CONCAT($A$1, ".", #REF!)</f>
        <v>#REF!</v>
      </c>
      <c r="B37" s="76"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5" t="e">
        <f aca="false">_xlfn.CONCAT($A$1, ".", #REF!)</f>
        <v>#REF!</v>
      </c>
      <c r="B38" s="76"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5" t="e">
        <f aca="false">_xlfn.CONCAT($A$1, ".", #REF!)</f>
        <v>#REF!</v>
      </c>
      <c r="B39" s="76"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5" t="e">
        <f aca="false">_xlfn.CONCAT($A$1, ".", #REF!)</f>
        <v>#REF!</v>
      </c>
      <c r="B40" s="76"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5" t="e">
        <f aca="false">_xlfn.CONCAT($A$1, ".", #REF!)</f>
        <v>#REF!</v>
      </c>
      <c r="B41" s="76"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5" t="e">
        <f aca="false">_xlfn.CONCAT($A$1, ".", #REF!)</f>
        <v>#REF!</v>
      </c>
      <c r="B42" s="76"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5" t="e">
        <f aca="false">_xlfn.CONCAT($A$1, ".", #REF!)</f>
        <v>#REF!</v>
      </c>
      <c r="B43" s="76"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5" t="e">
        <f aca="false">_xlfn.CONCAT($A$1, ".", #REF!)</f>
        <v>#REF!</v>
      </c>
      <c r="B44" s="76"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5" t="e">
        <f aca="false">_xlfn.CONCAT($A$1, ".", #REF!)</f>
        <v>#REF!</v>
      </c>
      <c r="B45" s="76"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5" t="e">
        <f aca="false">_xlfn.CONCAT($A$1, ".", #REF!)</f>
        <v>#REF!</v>
      </c>
      <c r="B46" s="76"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5" t="e">
        <f aca="false">_xlfn.CONCAT($A$1, ".", #REF!)</f>
        <v>#REF!</v>
      </c>
      <c r="B47" s="76"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5" t="e">
        <f aca="false">_xlfn.CONCAT($A$1, ".", #REF!)</f>
        <v>#REF!</v>
      </c>
      <c r="B48" s="76"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5" t="e">
        <f aca="false">_xlfn.CONCAT($A$1, ".", #REF!)</f>
        <v>#REF!</v>
      </c>
      <c r="B49" s="76"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5" t="e">
        <f aca="false">_xlfn.CONCAT($A$1, ".", #REF!)</f>
        <v>#REF!</v>
      </c>
      <c r="B50" s="76"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5" t="e">
        <f aca="false">_xlfn.CONCAT($A$1, ".", #REF!)</f>
        <v>#REF!</v>
      </c>
      <c r="B51" s="76"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5" t="e">
        <f aca="false">_xlfn.CONCAT($A$1, ".", #REF!)</f>
        <v>#REF!</v>
      </c>
      <c r="B52" s="76"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5" t="e">
        <f aca="false">_xlfn.CONCAT($A$1, ".", #REF!)</f>
        <v>#REF!</v>
      </c>
      <c r="B53" s="76"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5" t="e">
        <f aca="false">_xlfn.CONCAT($A$1, ".", #REF!)</f>
        <v>#REF!</v>
      </c>
      <c r="B54" s="76"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5" t="e">
        <f aca="false">_xlfn.CONCAT($A$1, ".", #REF!)</f>
        <v>#REF!</v>
      </c>
      <c r="B55" s="76" t="e">
        <f aca="false">_xlfn.CONCAT(#REF!, ":", #REF!)</f>
        <v>#REF!</v>
      </c>
      <c r="C55" s="83" t="e">
        <f aca="false">#REF!</f>
        <v>#REF!</v>
      </c>
      <c r="D55" s="83" t="e">
        <f aca="false">#REF!</f>
        <v>#REF!</v>
      </c>
      <c r="E55" s="83" t="e">
        <f aca="false">#REF!</f>
        <v>#REF!</v>
      </c>
      <c r="F55" s="83" t="e">
        <f aca="false">#REF!</f>
        <v>#REF!</v>
      </c>
    </row>
    <row r="57" customFormat="false" ht="12.8" hidden="false" customHeight="false" outlineLevel="0" collapsed="false">
      <c r="B57" s="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5" width="11.53"/>
    <col collapsed="false" customWidth="true" hidden="false" outlineLevel="0" max="2" min="2" style="41"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23.85" hidden="false" customHeight="false" outlineLevel="0" collapsed="false">
      <c r="A1" s="4" t="s">
        <v>2310</v>
      </c>
      <c r="B1" s="53" t="s">
        <v>2311</v>
      </c>
      <c r="C1" s="6" t="s">
        <v>2</v>
      </c>
      <c r="D1" s="68" t="s">
        <v>2312</v>
      </c>
      <c r="AZ1" s="41"/>
      <c r="BP1" s="41"/>
    </row>
    <row r="2" customFormat="false" ht="46.25" hidden="false" customHeight="false" outlineLevel="0" collapsed="false">
      <c r="A2" s="72" t="s">
        <v>1994</v>
      </c>
      <c r="B2" s="53" t="s">
        <v>1995</v>
      </c>
      <c r="C2" s="82" t="str">
        <f aca="false">CALC!AU3</f>
        <v>Federal Personal Income Tax Revenue ($)</v>
      </c>
      <c r="D2" s="82" t="str">
        <f aca="false">CALC!AV3</f>
        <v>Authorized Immigrant Federal Personal Income Tax Revenue ($)</v>
      </c>
      <c r="E2" s="82" t="str">
        <f aca="false">CALC!AW3</f>
        <v>Unauthorized Immigrant Federal Personal Income Tax Revenue ($)</v>
      </c>
      <c r="F2" s="82" t="str">
        <f aca="false">CALC!AX3</f>
        <v>American Federal Personal Income Tax Revenue ($)</v>
      </c>
    </row>
    <row r="3" customFormat="false" ht="12.8" hidden="false" customHeight="false" outlineLevel="0" collapsed="false">
      <c r="A3" s="4" t="e">
        <f aca="false">_xlfn.CONCAT($A$1, ".", #REF!)</f>
        <v>#REF!</v>
      </c>
      <c r="B3" s="58" t="e">
        <f aca="false">_xlfn.CONCAT(#REF!, ":", #REF!)</f>
        <v>#REF!</v>
      </c>
      <c r="C3" s="82" t="e">
        <f aca="false">#REF!</f>
        <v>#REF!</v>
      </c>
      <c r="D3" s="82" t="e">
        <f aca="false">#REF!</f>
        <v>#REF!</v>
      </c>
      <c r="E3" s="82" t="e">
        <f aca="false">#REF!</f>
        <v>#REF!</v>
      </c>
      <c r="F3" s="82" t="e">
        <f aca="false">#REF!</f>
        <v>#REF!</v>
      </c>
    </row>
    <row r="4" customFormat="false" ht="12.8" hidden="false" customHeight="false" outlineLevel="0" collapsed="false">
      <c r="A4" s="55" t="e">
        <f aca="false">_xlfn.CONCAT($A$1, ".", #REF!)</f>
        <v>#REF!</v>
      </c>
      <c r="B4" s="76"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5" t="e">
        <f aca="false">_xlfn.CONCAT($A$1, ".", #REF!)</f>
        <v>#REF!</v>
      </c>
      <c r="B5" s="76"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5" t="e">
        <f aca="false">_xlfn.CONCAT($A$1, ".", #REF!)</f>
        <v>#REF!</v>
      </c>
      <c r="B6" s="76"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5" t="e">
        <f aca="false">_xlfn.CONCAT($A$1, ".", #REF!)</f>
        <v>#REF!</v>
      </c>
      <c r="B7" s="76"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5" t="e">
        <f aca="false">_xlfn.CONCAT($A$1, ".", #REF!)</f>
        <v>#REF!</v>
      </c>
      <c r="B8" s="76"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5" t="e">
        <f aca="false">_xlfn.CONCAT($A$1, ".", #REF!)</f>
        <v>#REF!</v>
      </c>
      <c r="B9" s="76"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5" t="e">
        <f aca="false">_xlfn.CONCAT($A$1, ".", #REF!)</f>
        <v>#REF!</v>
      </c>
      <c r="B10" s="76"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5" t="e">
        <f aca="false">_xlfn.CONCAT($A$1, ".", #REF!)</f>
        <v>#REF!</v>
      </c>
      <c r="B11" s="76"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5" t="e">
        <f aca="false">_xlfn.CONCAT($A$1, ".", #REF!)</f>
        <v>#REF!</v>
      </c>
      <c r="B12" s="76"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5" t="e">
        <f aca="false">_xlfn.CONCAT($A$1, ".", #REF!)</f>
        <v>#REF!</v>
      </c>
      <c r="B13" s="76"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5" t="e">
        <f aca="false">_xlfn.CONCAT($A$1, ".", #REF!)</f>
        <v>#REF!</v>
      </c>
      <c r="B14" s="76"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5" t="e">
        <f aca="false">_xlfn.CONCAT($A$1, ".", #REF!)</f>
        <v>#REF!</v>
      </c>
      <c r="B15" s="76"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5" t="e">
        <f aca="false">_xlfn.CONCAT($A$1, ".", #REF!)</f>
        <v>#REF!</v>
      </c>
      <c r="B16" s="76"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5" t="e">
        <f aca="false">_xlfn.CONCAT($A$1, ".", #REF!)</f>
        <v>#REF!</v>
      </c>
      <c r="B17" s="76"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5" t="e">
        <f aca="false">_xlfn.CONCAT($A$1, ".", #REF!)</f>
        <v>#REF!</v>
      </c>
      <c r="B18" s="76"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5" t="e">
        <f aca="false">_xlfn.CONCAT($A$1, ".", #REF!)</f>
        <v>#REF!</v>
      </c>
      <c r="B19" s="76"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5" t="e">
        <f aca="false">_xlfn.CONCAT($A$1, ".", #REF!)</f>
        <v>#REF!</v>
      </c>
      <c r="B20" s="76"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5" t="e">
        <f aca="false">_xlfn.CONCAT($A$1, ".", #REF!)</f>
        <v>#REF!</v>
      </c>
      <c r="B21" s="76"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5" t="e">
        <f aca="false">_xlfn.CONCAT($A$1, ".", #REF!)</f>
        <v>#REF!</v>
      </c>
      <c r="B22" s="76"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5" t="e">
        <f aca="false">_xlfn.CONCAT($A$1, ".", #REF!)</f>
        <v>#REF!</v>
      </c>
      <c r="B23" s="76"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5" t="e">
        <f aca="false">_xlfn.CONCAT($A$1, ".", #REF!)</f>
        <v>#REF!</v>
      </c>
      <c r="B24" s="76"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5" t="e">
        <f aca="false">_xlfn.CONCAT($A$1, ".", #REF!)</f>
        <v>#REF!</v>
      </c>
      <c r="B25" s="76"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5" t="e">
        <f aca="false">_xlfn.CONCAT($A$1, ".", #REF!)</f>
        <v>#REF!</v>
      </c>
      <c r="B26" s="76"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5" t="e">
        <f aca="false">_xlfn.CONCAT($A$1, ".", #REF!)</f>
        <v>#REF!</v>
      </c>
      <c r="B27" s="76"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5" t="e">
        <f aca="false">_xlfn.CONCAT($A$1, ".", #REF!)</f>
        <v>#REF!</v>
      </c>
      <c r="B28" s="76"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5" t="e">
        <f aca="false">_xlfn.CONCAT($A$1, ".", #REF!)</f>
        <v>#REF!</v>
      </c>
      <c r="B29" s="76"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5" t="e">
        <f aca="false">_xlfn.CONCAT($A$1, ".", #REF!)</f>
        <v>#REF!</v>
      </c>
      <c r="B30" s="76"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5" t="e">
        <f aca="false">_xlfn.CONCAT($A$1, ".", #REF!)</f>
        <v>#REF!</v>
      </c>
      <c r="B31" s="76"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5" t="e">
        <f aca="false">_xlfn.CONCAT($A$1, ".", #REF!)</f>
        <v>#REF!</v>
      </c>
      <c r="B32" s="76"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5" t="e">
        <f aca="false">_xlfn.CONCAT($A$1, ".", #REF!)</f>
        <v>#REF!</v>
      </c>
      <c r="B33" s="76"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5" t="e">
        <f aca="false">_xlfn.CONCAT($A$1, ".", #REF!)</f>
        <v>#REF!</v>
      </c>
      <c r="B34" s="76"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5" t="e">
        <f aca="false">_xlfn.CONCAT($A$1, ".", #REF!)</f>
        <v>#REF!</v>
      </c>
      <c r="B35" s="76"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5" t="e">
        <f aca="false">_xlfn.CONCAT($A$1, ".", #REF!)</f>
        <v>#REF!</v>
      </c>
      <c r="B36" s="76"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5" t="e">
        <f aca="false">_xlfn.CONCAT($A$1, ".", #REF!)</f>
        <v>#REF!</v>
      </c>
      <c r="B37" s="76"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5" t="e">
        <f aca="false">_xlfn.CONCAT($A$1, ".", #REF!)</f>
        <v>#REF!</v>
      </c>
      <c r="B38" s="76"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5" t="e">
        <f aca="false">_xlfn.CONCAT($A$1, ".", #REF!)</f>
        <v>#REF!</v>
      </c>
      <c r="B39" s="76"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5" t="e">
        <f aca="false">_xlfn.CONCAT($A$1, ".", #REF!)</f>
        <v>#REF!</v>
      </c>
      <c r="B40" s="76"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5" t="e">
        <f aca="false">_xlfn.CONCAT($A$1, ".", #REF!)</f>
        <v>#REF!</v>
      </c>
      <c r="B41" s="76"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5" t="e">
        <f aca="false">_xlfn.CONCAT($A$1, ".", #REF!)</f>
        <v>#REF!</v>
      </c>
      <c r="B42" s="76"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5" t="e">
        <f aca="false">_xlfn.CONCAT($A$1, ".", #REF!)</f>
        <v>#REF!</v>
      </c>
      <c r="B43" s="76"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5" t="e">
        <f aca="false">_xlfn.CONCAT($A$1, ".", #REF!)</f>
        <v>#REF!</v>
      </c>
      <c r="B44" s="76"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5" t="e">
        <f aca="false">_xlfn.CONCAT($A$1, ".", #REF!)</f>
        <v>#REF!</v>
      </c>
      <c r="B45" s="76"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5" t="e">
        <f aca="false">_xlfn.CONCAT($A$1, ".", #REF!)</f>
        <v>#REF!</v>
      </c>
      <c r="B46" s="76"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5" t="e">
        <f aca="false">_xlfn.CONCAT($A$1, ".", #REF!)</f>
        <v>#REF!</v>
      </c>
      <c r="B47" s="76"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5" t="e">
        <f aca="false">_xlfn.CONCAT($A$1, ".", #REF!)</f>
        <v>#REF!</v>
      </c>
      <c r="B48" s="76"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5" t="e">
        <f aca="false">_xlfn.CONCAT($A$1, ".", #REF!)</f>
        <v>#REF!</v>
      </c>
      <c r="B49" s="76"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5" t="e">
        <f aca="false">_xlfn.CONCAT($A$1, ".", #REF!)</f>
        <v>#REF!</v>
      </c>
      <c r="B50" s="76"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5" t="e">
        <f aca="false">_xlfn.CONCAT($A$1, ".", #REF!)</f>
        <v>#REF!</v>
      </c>
      <c r="B51" s="76"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5" t="e">
        <f aca="false">_xlfn.CONCAT($A$1, ".", #REF!)</f>
        <v>#REF!</v>
      </c>
      <c r="B52" s="76"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5" t="e">
        <f aca="false">_xlfn.CONCAT($A$1, ".", #REF!)</f>
        <v>#REF!</v>
      </c>
      <c r="B53" s="76"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5" t="e">
        <f aca="false">_xlfn.CONCAT($A$1, ".", #REF!)</f>
        <v>#REF!</v>
      </c>
      <c r="B54" s="76"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5" t="e">
        <f aca="false">_xlfn.CONCAT($A$1, ".", #REF!)</f>
        <v>#REF!</v>
      </c>
      <c r="B55" s="76"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2"/>
      <c r="D56" s="82"/>
      <c r="E56" s="82"/>
      <c r="F56" s="82"/>
    </row>
    <row r="57" customFormat="false" ht="12.8" hidden="false" customHeight="false" outlineLevel="0" collapsed="false">
      <c r="C57" s="82"/>
      <c r="D57" s="82"/>
      <c r="E57" s="82"/>
      <c r="F57" s="82"/>
    </row>
    <row r="58" customFormat="false" ht="12.8" hidden="false" customHeight="false" outlineLevel="0" collapsed="false">
      <c r="C58" s="82"/>
      <c r="D58" s="82"/>
      <c r="E58" s="82"/>
      <c r="F58" s="82"/>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41"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23.85" hidden="false" customHeight="false" outlineLevel="0" collapsed="false">
      <c r="A1" s="4" t="s">
        <v>2313</v>
      </c>
      <c r="B1" s="53" t="s">
        <v>2314</v>
      </c>
      <c r="C1" s="6" t="s">
        <v>2</v>
      </c>
      <c r="D1" s="68" t="s">
        <v>2315</v>
      </c>
      <c r="AZ1" s="41"/>
      <c r="BP1" s="41"/>
    </row>
    <row r="2" customFormat="false" ht="35.05" hidden="false" customHeight="false" outlineLevel="0" collapsed="false">
      <c r="A2" s="72" t="s">
        <v>1994</v>
      </c>
      <c r="B2" s="53" t="s">
        <v>1995</v>
      </c>
      <c r="C2" s="82" t="str">
        <f aca="false">CALC!BC3</f>
        <v>EITC Credit Refund</v>
      </c>
      <c r="D2" s="82" t="str">
        <f aca="false">CALC!BD3</f>
        <v>Authorized Immigrant EITC Credit Refund</v>
      </c>
      <c r="E2" s="82" t="str">
        <f aca="false">CALC!BE3</f>
        <v>Unauthorized Immigrant EITC Credit Refund</v>
      </c>
      <c r="F2" s="82" t="str">
        <f aca="false">CALC!BF3</f>
        <v>American EITC Refund</v>
      </c>
    </row>
    <row r="3" customFormat="false" ht="12.8" hidden="false" customHeight="false" outlineLevel="0" collapsed="false">
      <c r="A3" s="4" t="e">
        <f aca="false">_xlfn.CONCAT($A$1, ".", #REF!)</f>
        <v>#REF!</v>
      </c>
      <c r="B3" s="58" t="e">
        <f aca="false">_xlfn.CONCAT(#REF!, ":", #REF!)</f>
        <v>#REF!</v>
      </c>
      <c r="C3" s="82" t="e">
        <f aca="false">#REF!</f>
        <v>#REF!</v>
      </c>
      <c r="D3" s="82" t="e">
        <f aca="false">#REF!</f>
        <v>#REF!</v>
      </c>
      <c r="E3" s="82" t="e">
        <f aca="false">#REF!</f>
        <v>#REF!</v>
      </c>
      <c r="F3" s="82" t="e">
        <f aca="false">#REF!</f>
        <v>#REF!</v>
      </c>
    </row>
    <row r="4" customFormat="false" ht="12.8" hidden="false" customHeight="false" outlineLevel="0" collapsed="false">
      <c r="A4" s="55" t="e">
        <f aca="false">_xlfn.CONCAT($A$1, ".", #REF!)</f>
        <v>#REF!</v>
      </c>
      <c r="B4" s="76"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5" t="e">
        <f aca="false">_xlfn.CONCAT($A$1, ".", #REF!)</f>
        <v>#REF!</v>
      </c>
      <c r="B5" s="76"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5" t="e">
        <f aca="false">_xlfn.CONCAT($A$1, ".", #REF!)</f>
        <v>#REF!</v>
      </c>
      <c r="B6" s="76"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5" t="e">
        <f aca="false">_xlfn.CONCAT($A$1, ".", #REF!)</f>
        <v>#REF!</v>
      </c>
      <c r="B7" s="76"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5" t="e">
        <f aca="false">_xlfn.CONCAT($A$1, ".", #REF!)</f>
        <v>#REF!</v>
      </c>
      <c r="B8" s="76"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5" t="e">
        <f aca="false">_xlfn.CONCAT($A$1, ".", #REF!)</f>
        <v>#REF!</v>
      </c>
      <c r="B9" s="76"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5" t="e">
        <f aca="false">_xlfn.CONCAT($A$1, ".", #REF!)</f>
        <v>#REF!</v>
      </c>
      <c r="B10" s="76"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5" t="e">
        <f aca="false">_xlfn.CONCAT($A$1, ".", #REF!)</f>
        <v>#REF!</v>
      </c>
      <c r="B11" s="76"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5" t="e">
        <f aca="false">_xlfn.CONCAT($A$1, ".", #REF!)</f>
        <v>#REF!</v>
      </c>
      <c r="B12" s="76"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5" t="e">
        <f aca="false">_xlfn.CONCAT($A$1, ".", #REF!)</f>
        <v>#REF!</v>
      </c>
      <c r="B13" s="76"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5" t="e">
        <f aca="false">_xlfn.CONCAT($A$1, ".", #REF!)</f>
        <v>#REF!</v>
      </c>
      <c r="B14" s="76"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5" t="e">
        <f aca="false">_xlfn.CONCAT($A$1, ".", #REF!)</f>
        <v>#REF!</v>
      </c>
      <c r="B15" s="76"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5" t="e">
        <f aca="false">_xlfn.CONCAT($A$1, ".", #REF!)</f>
        <v>#REF!</v>
      </c>
      <c r="B16" s="76"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5" t="e">
        <f aca="false">_xlfn.CONCAT($A$1, ".", #REF!)</f>
        <v>#REF!</v>
      </c>
      <c r="B17" s="76"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5" t="e">
        <f aca="false">_xlfn.CONCAT($A$1, ".", #REF!)</f>
        <v>#REF!</v>
      </c>
      <c r="B18" s="76"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5" t="e">
        <f aca="false">_xlfn.CONCAT($A$1, ".", #REF!)</f>
        <v>#REF!</v>
      </c>
      <c r="B19" s="76"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5" t="e">
        <f aca="false">_xlfn.CONCAT($A$1, ".", #REF!)</f>
        <v>#REF!</v>
      </c>
      <c r="B20" s="76"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5" t="e">
        <f aca="false">_xlfn.CONCAT($A$1, ".", #REF!)</f>
        <v>#REF!</v>
      </c>
      <c r="B21" s="76"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5" t="e">
        <f aca="false">_xlfn.CONCAT($A$1, ".", #REF!)</f>
        <v>#REF!</v>
      </c>
      <c r="B22" s="76"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5" t="e">
        <f aca="false">_xlfn.CONCAT($A$1, ".", #REF!)</f>
        <v>#REF!</v>
      </c>
      <c r="B23" s="76"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5" t="e">
        <f aca="false">_xlfn.CONCAT($A$1, ".", #REF!)</f>
        <v>#REF!</v>
      </c>
      <c r="B24" s="76"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5" t="e">
        <f aca="false">_xlfn.CONCAT($A$1, ".", #REF!)</f>
        <v>#REF!</v>
      </c>
      <c r="B25" s="76"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5" t="e">
        <f aca="false">_xlfn.CONCAT($A$1, ".", #REF!)</f>
        <v>#REF!</v>
      </c>
      <c r="B26" s="76"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5" t="e">
        <f aca="false">_xlfn.CONCAT($A$1, ".", #REF!)</f>
        <v>#REF!</v>
      </c>
      <c r="B27" s="76"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5" t="e">
        <f aca="false">_xlfn.CONCAT($A$1, ".", #REF!)</f>
        <v>#REF!</v>
      </c>
      <c r="B28" s="76"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5" t="e">
        <f aca="false">_xlfn.CONCAT($A$1, ".", #REF!)</f>
        <v>#REF!</v>
      </c>
      <c r="B29" s="76"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5" t="e">
        <f aca="false">_xlfn.CONCAT($A$1, ".", #REF!)</f>
        <v>#REF!</v>
      </c>
      <c r="B30" s="76"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5" t="e">
        <f aca="false">_xlfn.CONCAT($A$1, ".", #REF!)</f>
        <v>#REF!</v>
      </c>
      <c r="B31" s="76"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5" t="e">
        <f aca="false">_xlfn.CONCAT($A$1, ".", #REF!)</f>
        <v>#REF!</v>
      </c>
      <c r="B32" s="76"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5" t="e">
        <f aca="false">_xlfn.CONCAT($A$1, ".", #REF!)</f>
        <v>#REF!</v>
      </c>
      <c r="B33" s="76"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5" t="e">
        <f aca="false">_xlfn.CONCAT($A$1, ".", #REF!)</f>
        <v>#REF!</v>
      </c>
      <c r="B34" s="76"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5" t="e">
        <f aca="false">_xlfn.CONCAT($A$1, ".", #REF!)</f>
        <v>#REF!</v>
      </c>
      <c r="B35" s="76"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5" t="e">
        <f aca="false">_xlfn.CONCAT($A$1, ".", #REF!)</f>
        <v>#REF!</v>
      </c>
      <c r="B36" s="76"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5" t="e">
        <f aca="false">_xlfn.CONCAT($A$1, ".", #REF!)</f>
        <v>#REF!</v>
      </c>
      <c r="B37" s="76"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5" t="e">
        <f aca="false">_xlfn.CONCAT($A$1, ".", #REF!)</f>
        <v>#REF!</v>
      </c>
      <c r="B38" s="76"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5" t="e">
        <f aca="false">_xlfn.CONCAT($A$1, ".", #REF!)</f>
        <v>#REF!</v>
      </c>
      <c r="B39" s="76"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5" t="e">
        <f aca="false">_xlfn.CONCAT($A$1, ".", #REF!)</f>
        <v>#REF!</v>
      </c>
      <c r="B40" s="76"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5" t="e">
        <f aca="false">_xlfn.CONCAT($A$1, ".", #REF!)</f>
        <v>#REF!</v>
      </c>
      <c r="B41" s="76"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5" t="e">
        <f aca="false">_xlfn.CONCAT($A$1, ".", #REF!)</f>
        <v>#REF!</v>
      </c>
      <c r="B42" s="76"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5" t="e">
        <f aca="false">_xlfn.CONCAT($A$1, ".", #REF!)</f>
        <v>#REF!</v>
      </c>
      <c r="B43" s="76"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5" t="e">
        <f aca="false">_xlfn.CONCAT($A$1, ".", #REF!)</f>
        <v>#REF!</v>
      </c>
      <c r="B44" s="76"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5" t="e">
        <f aca="false">_xlfn.CONCAT($A$1, ".", #REF!)</f>
        <v>#REF!</v>
      </c>
      <c r="B45" s="76"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5" t="e">
        <f aca="false">_xlfn.CONCAT($A$1, ".", #REF!)</f>
        <v>#REF!</v>
      </c>
      <c r="B46" s="76"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5" t="e">
        <f aca="false">_xlfn.CONCAT($A$1, ".", #REF!)</f>
        <v>#REF!</v>
      </c>
      <c r="B47" s="76"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5" t="e">
        <f aca="false">_xlfn.CONCAT($A$1, ".", #REF!)</f>
        <v>#REF!</v>
      </c>
      <c r="B48" s="76"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5" t="e">
        <f aca="false">_xlfn.CONCAT($A$1, ".", #REF!)</f>
        <v>#REF!</v>
      </c>
      <c r="B49" s="76"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5" t="e">
        <f aca="false">_xlfn.CONCAT($A$1, ".", #REF!)</f>
        <v>#REF!</v>
      </c>
      <c r="B50" s="76"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5" t="e">
        <f aca="false">_xlfn.CONCAT($A$1, ".", #REF!)</f>
        <v>#REF!</v>
      </c>
      <c r="B51" s="76"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5" t="e">
        <f aca="false">_xlfn.CONCAT($A$1, ".", #REF!)</f>
        <v>#REF!</v>
      </c>
      <c r="B52" s="76"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5" t="e">
        <f aca="false">_xlfn.CONCAT($A$1, ".", #REF!)</f>
        <v>#REF!</v>
      </c>
      <c r="B53" s="76"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5" t="e">
        <f aca="false">_xlfn.CONCAT($A$1, ".", #REF!)</f>
        <v>#REF!</v>
      </c>
      <c r="B54" s="76"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5" t="e">
        <f aca="false">_xlfn.CONCAT($A$1, ".", #REF!)</f>
        <v>#REF!</v>
      </c>
      <c r="B55" s="76" t="e">
        <f aca="false">_xlfn.CONCAT(#REF!, ":", #REF!)</f>
        <v>#REF!</v>
      </c>
      <c r="C55" s="83" t="e">
        <f aca="false">#REF!</f>
        <v>#REF!</v>
      </c>
      <c r="D55" s="83" t="e">
        <f aca="false">#REF!</f>
        <v>#REF!</v>
      </c>
      <c r="E55" s="83" t="e">
        <f aca="false">#REF!</f>
        <v>#REF!</v>
      </c>
      <c r="F55" s="83"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41"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23.85" hidden="false" customHeight="false" outlineLevel="0" collapsed="false">
      <c r="A1" s="4" t="s">
        <v>2316</v>
      </c>
      <c r="B1" s="53" t="s">
        <v>2317</v>
      </c>
      <c r="C1" s="6" t="s">
        <v>2</v>
      </c>
      <c r="D1" s="68" t="s">
        <v>2318</v>
      </c>
      <c r="AZ1" s="41"/>
      <c r="BP1" s="41"/>
    </row>
    <row r="2" customFormat="false" ht="35.05" hidden="false" customHeight="false" outlineLevel="0" collapsed="false">
      <c r="A2" s="72" t="s">
        <v>1994</v>
      </c>
      <c r="B2" s="53" t="s">
        <v>1995</v>
      </c>
      <c r="C2" s="82" t="str">
        <f aca="false">CALC!BG3</f>
        <v>ACTC Refund</v>
      </c>
      <c r="D2" s="82" t="str">
        <f aca="false">CALC!BH3</f>
        <v>Authorized Immigrant ACTC Refund</v>
      </c>
      <c r="E2" s="82" t="str">
        <f aca="false">CALC!BI3</f>
        <v>Unauthorized Immigrant ACTC Refund</v>
      </c>
      <c r="F2" s="82" t="str">
        <f aca="false">CALC!BJ3</f>
        <v>American Tax ACTC Refund</v>
      </c>
    </row>
    <row r="3" customFormat="false" ht="12.8" hidden="false" customHeight="false" outlineLevel="0" collapsed="false">
      <c r="A3" s="4" t="e">
        <f aca="false">_xlfn.CONCAT($A$1, ".", #REF!)</f>
        <v>#REF!</v>
      </c>
      <c r="B3" s="58" t="e">
        <f aca="false">_xlfn.CONCAT(#REF!, ":", #REF!)</f>
        <v>#REF!</v>
      </c>
      <c r="C3" s="82" t="e">
        <f aca="false">#REF!</f>
        <v>#REF!</v>
      </c>
      <c r="D3" s="82" t="e">
        <f aca="false">#REF!</f>
        <v>#REF!</v>
      </c>
      <c r="E3" s="82" t="e">
        <f aca="false">#REF!</f>
        <v>#REF!</v>
      </c>
      <c r="F3" s="82" t="e">
        <f aca="false">#REF!</f>
        <v>#REF!</v>
      </c>
    </row>
    <row r="4" customFormat="false" ht="12.8" hidden="false" customHeight="false" outlineLevel="0" collapsed="false">
      <c r="A4" s="55" t="e">
        <f aca="false">_xlfn.CONCAT($A$1, ".", #REF!)</f>
        <v>#REF!</v>
      </c>
      <c r="B4" s="76" t="e">
        <f aca="false">_xlfn.CONCAT(#REF!, ":", #REF!)</f>
        <v>#REF!</v>
      </c>
      <c r="C4" s="83" t="e">
        <f aca="false">#REF!</f>
        <v>#REF!</v>
      </c>
      <c r="D4" s="83" t="e">
        <f aca="false">#REF!</f>
        <v>#REF!</v>
      </c>
      <c r="E4" s="83" t="e">
        <f aca="false">#REF!</f>
        <v>#REF!</v>
      </c>
      <c r="F4" s="83" t="e">
        <f aca="false">#REF!</f>
        <v>#REF!</v>
      </c>
    </row>
    <row r="5" customFormat="false" ht="12.8" hidden="false" customHeight="false" outlineLevel="0" collapsed="false">
      <c r="A5" s="55" t="e">
        <f aca="false">_xlfn.CONCAT($A$1, ".", #REF!)</f>
        <v>#REF!</v>
      </c>
      <c r="B5" s="76" t="e">
        <f aca="false">_xlfn.CONCAT(#REF!, ":", #REF!)</f>
        <v>#REF!</v>
      </c>
      <c r="C5" s="83" t="e">
        <f aca="false">#REF!</f>
        <v>#REF!</v>
      </c>
      <c r="D5" s="83" t="e">
        <f aca="false">#REF!</f>
        <v>#REF!</v>
      </c>
      <c r="E5" s="83" t="e">
        <f aca="false">#REF!</f>
        <v>#REF!</v>
      </c>
      <c r="F5" s="83" t="e">
        <f aca="false">#REF!</f>
        <v>#REF!</v>
      </c>
    </row>
    <row r="6" customFormat="false" ht="12.8" hidden="false" customHeight="false" outlineLevel="0" collapsed="false">
      <c r="A6" s="55" t="e">
        <f aca="false">_xlfn.CONCAT($A$1, ".", #REF!)</f>
        <v>#REF!</v>
      </c>
      <c r="B6" s="76" t="e">
        <f aca="false">_xlfn.CONCAT(#REF!, ":", #REF!)</f>
        <v>#REF!</v>
      </c>
      <c r="C6" s="83" t="e">
        <f aca="false">#REF!</f>
        <v>#REF!</v>
      </c>
      <c r="D6" s="83" t="e">
        <f aca="false">#REF!</f>
        <v>#REF!</v>
      </c>
      <c r="E6" s="83" t="e">
        <f aca="false">#REF!</f>
        <v>#REF!</v>
      </c>
      <c r="F6" s="83" t="e">
        <f aca="false">#REF!</f>
        <v>#REF!</v>
      </c>
    </row>
    <row r="7" customFormat="false" ht="12.8" hidden="false" customHeight="false" outlineLevel="0" collapsed="false">
      <c r="A7" s="55" t="e">
        <f aca="false">_xlfn.CONCAT($A$1, ".", #REF!)</f>
        <v>#REF!</v>
      </c>
      <c r="B7" s="76" t="e">
        <f aca="false">_xlfn.CONCAT(#REF!, ":", #REF!)</f>
        <v>#REF!</v>
      </c>
      <c r="C7" s="83" t="e">
        <f aca="false">#REF!</f>
        <v>#REF!</v>
      </c>
      <c r="D7" s="83" t="e">
        <f aca="false">#REF!</f>
        <v>#REF!</v>
      </c>
      <c r="E7" s="83" t="e">
        <f aca="false">#REF!</f>
        <v>#REF!</v>
      </c>
      <c r="F7" s="83" t="e">
        <f aca="false">#REF!</f>
        <v>#REF!</v>
      </c>
    </row>
    <row r="8" customFormat="false" ht="12.8" hidden="false" customHeight="false" outlineLevel="0" collapsed="false">
      <c r="A8" s="55" t="e">
        <f aca="false">_xlfn.CONCAT($A$1, ".", #REF!)</f>
        <v>#REF!</v>
      </c>
      <c r="B8" s="76" t="e">
        <f aca="false">_xlfn.CONCAT(#REF!, ":", #REF!)</f>
        <v>#REF!</v>
      </c>
      <c r="C8" s="83" t="e">
        <f aca="false">#REF!</f>
        <v>#REF!</v>
      </c>
      <c r="D8" s="83" t="e">
        <f aca="false">#REF!</f>
        <v>#REF!</v>
      </c>
      <c r="E8" s="83" t="e">
        <f aca="false">#REF!</f>
        <v>#REF!</v>
      </c>
      <c r="F8" s="83" t="e">
        <f aca="false">#REF!</f>
        <v>#REF!</v>
      </c>
    </row>
    <row r="9" customFormat="false" ht="12.8" hidden="false" customHeight="false" outlineLevel="0" collapsed="false">
      <c r="A9" s="55" t="e">
        <f aca="false">_xlfn.CONCAT($A$1, ".", #REF!)</f>
        <v>#REF!</v>
      </c>
      <c r="B9" s="76" t="e">
        <f aca="false">_xlfn.CONCAT(#REF!, ":", #REF!)</f>
        <v>#REF!</v>
      </c>
      <c r="C9" s="83" t="e">
        <f aca="false">#REF!</f>
        <v>#REF!</v>
      </c>
      <c r="D9" s="83" t="e">
        <f aca="false">#REF!</f>
        <v>#REF!</v>
      </c>
      <c r="E9" s="83" t="e">
        <f aca="false">#REF!</f>
        <v>#REF!</v>
      </c>
      <c r="F9" s="83" t="e">
        <f aca="false">#REF!</f>
        <v>#REF!</v>
      </c>
    </row>
    <row r="10" customFormat="false" ht="12.8" hidden="false" customHeight="false" outlineLevel="0" collapsed="false">
      <c r="A10" s="55" t="e">
        <f aca="false">_xlfn.CONCAT($A$1, ".", #REF!)</f>
        <v>#REF!</v>
      </c>
      <c r="B10" s="76" t="e">
        <f aca="false">_xlfn.CONCAT(#REF!, ":", #REF!)</f>
        <v>#REF!</v>
      </c>
      <c r="C10" s="83" t="e">
        <f aca="false">#REF!</f>
        <v>#REF!</v>
      </c>
      <c r="D10" s="83" t="e">
        <f aca="false">#REF!</f>
        <v>#REF!</v>
      </c>
      <c r="E10" s="83" t="e">
        <f aca="false">#REF!</f>
        <v>#REF!</v>
      </c>
      <c r="F10" s="83" t="e">
        <f aca="false">#REF!</f>
        <v>#REF!</v>
      </c>
    </row>
    <row r="11" customFormat="false" ht="12.8" hidden="false" customHeight="false" outlineLevel="0" collapsed="false">
      <c r="A11" s="55" t="e">
        <f aca="false">_xlfn.CONCAT($A$1, ".", #REF!)</f>
        <v>#REF!</v>
      </c>
      <c r="B11" s="76" t="e">
        <f aca="false">_xlfn.CONCAT(#REF!, ":", #REF!)</f>
        <v>#REF!</v>
      </c>
      <c r="C11" s="83" t="e">
        <f aca="false">#REF!</f>
        <v>#REF!</v>
      </c>
      <c r="D11" s="83" t="e">
        <f aca="false">#REF!</f>
        <v>#REF!</v>
      </c>
      <c r="E11" s="83" t="e">
        <f aca="false">#REF!</f>
        <v>#REF!</v>
      </c>
      <c r="F11" s="83" t="e">
        <f aca="false">#REF!</f>
        <v>#REF!</v>
      </c>
    </row>
    <row r="12" customFormat="false" ht="12.8" hidden="false" customHeight="false" outlineLevel="0" collapsed="false">
      <c r="A12" s="55" t="e">
        <f aca="false">_xlfn.CONCAT($A$1, ".", #REF!)</f>
        <v>#REF!</v>
      </c>
      <c r="B12" s="76" t="e">
        <f aca="false">_xlfn.CONCAT(#REF!, ":", #REF!)</f>
        <v>#REF!</v>
      </c>
      <c r="C12" s="83" t="e">
        <f aca="false">#REF!</f>
        <v>#REF!</v>
      </c>
      <c r="D12" s="83" t="e">
        <f aca="false">#REF!</f>
        <v>#REF!</v>
      </c>
      <c r="E12" s="83" t="e">
        <f aca="false">#REF!</f>
        <v>#REF!</v>
      </c>
      <c r="F12" s="83" t="e">
        <f aca="false">#REF!</f>
        <v>#REF!</v>
      </c>
    </row>
    <row r="13" customFormat="false" ht="12.8" hidden="false" customHeight="false" outlineLevel="0" collapsed="false">
      <c r="A13" s="55" t="e">
        <f aca="false">_xlfn.CONCAT($A$1, ".", #REF!)</f>
        <v>#REF!</v>
      </c>
      <c r="B13" s="76" t="e">
        <f aca="false">_xlfn.CONCAT(#REF!, ":", #REF!)</f>
        <v>#REF!</v>
      </c>
      <c r="C13" s="83" t="e">
        <f aca="false">#REF!</f>
        <v>#REF!</v>
      </c>
      <c r="D13" s="83" t="e">
        <f aca="false">#REF!</f>
        <v>#REF!</v>
      </c>
      <c r="E13" s="83" t="e">
        <f aca="false">#REF!</f>
        <v>#REF!</v>
      </c>
      <c r="F13" s="83" t="e">
        <f aca="false">#REF!</f>
        <v>#REF!</v>
      </c>
    </row>
    <row r="14" customFormat="false" ht="12.8" hidden="false" customHeight="false" outlineLevel="0" collapsed="false">
      <c r="A14" s="55" t="e">
        <f aca="false">_xlfn.CONCAT($A$1, ".", #REF!)</f>
        <v>#REF!</v>
      </c>
      <c r="B14" s="76" t="e">
        <f aca="false">_xlfn.CONCAT(#REF!, ":", #REF!)</f>
        <v>#REF!</v>
      </c>
      <c r="C14" s="83" t="e">
        <f aca="false">#REF!</f>
        <v>#REF!</v>
      </c>
      <c r="D14" s="83" t="e">
        <f aca="false">#REF!</f>
        <v>#REF!</v>
      </c>
      <c r="E14" s="83" t="e">
        <f aca="false">#REF!</f>
        <v>#REF!</v>
      </c>
      <c r="F14" s="83" t="e">
        <f aca="false">#REF!</f>
        <v>#REF!</v>
      </c>
    </row>
    <row r="15" customFormat="false" ht="12.8" hidden="false" customHeight="false" outlineLevel="0" collapsed="false">
      <c r="A15" s="55" t="e">
        <f aca="false">_xlfn.CONCAT($A$1, ".", #REF!)</f>
        <v>#REF!</v>
      </c>
      <c r="B15" s="76" t="e">
        <f aca="false">_xlfn.CONCAT(#REF!, ":", #REF!)</f>
        <v>#REF!</v>
      </c>
      <c r="C15" s="83" t="e">
        <f aca="false">#REF!</f>
        <v>#REF!</v>
      </c>
      <c r="D15" s="83" t="e">
        <f aca="false">#REF!</f>
        <v>#REF!</v>
      </c>
      <c r="E15" s="83" t="e">
        <f aca="false">#REF!</f>
        <v>#REF!</v>
      </c>
      <c r="F15" s="83" t="e">
        <f aca="false">#REF!</f>
        <v>#REF!</v>
      </c>
    </row>
    <row r="16" customFormat="false" ht="12.8" hidden="false" customHeight="false" outlineLevel="0" collapsed="false">
      <c r="A16" s="55" t="e">
        <f aca="false">_xlfn.CONCAT($A$1, ".", #REF!)</f>
        <v>#REF!</v>
      </c>
      <c r="B16" s="76" t="e">
        <f aca="false">_xlfn.CONCAT(#REF!, ":", #REF!)</f>
        <v>#REF!</v>
      </c>
      <c r="C16" s="83" t="e">
        <f aca="false">#REF!</f>
        <v>#REF!</v>
      </c>
      <c r="D16" s="83" t="e">
        <f aca="false">#REF!</f>
        <v>#REF!</v>
      </c>
      <c r="E16" s="83" t="e">
        <f aca="false">#REF!</f>
        <v>#REF!</v>
      </c>
      <c r="F16" s="83" t="e">
        <f aca="false">#REF!</f>
        <v>#REF!</v>
      </c>
    </row>
    <row r="17" customFormat="false" ht="12.8" hidden="false" customHeight="false" outlineLevel="0" collapsed="false">
      <c r="A17" s="55" t="e">
        <f aca="false">_xlfn.CONCAT($A$1, ".", #REF!)</f>
        <v>#REF!</v>
      </c>
      <c r="B17" s="76" t="e">
        <f aca="false">_xlfn.CONCAT(#REF!, ":", #REF!)</f>
        <v>#REF!</v>
      </c>
      <c r="C17" s="83" t="e">
        <f aca="false">#REF!</f>
        <v>#REF!</v>
      </c>
      <c r="D17" s="83" t="e">
        <f aca="false">#REF!</f>
        <v>#REF!</v>
      </c>
      <c r="E17" s="83" t="e">
        <f aca="false">#REF!</f>
        <v>#REF!</v>
      </c>
      <c r="F17" s="83" t="e">
        <f aca="false">#REF!</f>
        <v>#REF!</v>
      </c>
    </row>
    <row r="18" customFormat="false" ht="12.8" hidden="false" customHeight="false" outlineLevel="0" collapsed="false">
      <c r="A18" s="55" t="e">
        <f aca="false">_xlfn.CONCAT($A$1, ".", #REF!)</f>
        <v>#REF!</v>
      </c>
      <c r="B18" s="76" t="e">
        <f aca="false">_xlfn.CONCAT(#REF!, ":", #REF!)</f>
        <v>#REF!</v>
      </c>
      <c r="C18" s="83" t="e">
        <f aca="false">#REF!</f>
        <v>#REF!</v>
      </c>
      <c r="D18" s="83" t="e">
        <f aca="false">#REF!</f>
        <v>#REF!</v>
      </c>
      <c r="E18" s="83" t="e">
        <f aca="false">#REF!</f>
        <v>#REF!</v>
      </c>
      <c r="F18" s="83" t="e">
        <f aca="false">#REF!</f>
        <v>#REF!</v>
      </c>
    </row>
    <row r="19" customFormat="false" ht="12.8" hidden="false" customHeight="false" outlineLevel="0" collapsed="false">
      <c r="A19" s="55" t="e">
        <f aca="false">_xlfn.CONCAT($A$1, ".", #REF!)</f>
        <v>#REF!</v>
      </c>
      <c r="B19" s="76" t="e">
        <f aca="false">_xlfn.CONCAT(#REF!, ":", #REF!)</f>
        <v>#REF!</v>
      </c>
      <c r="C19" s="83" t="e">
        <f aca="false">#REF!</f>
        <v>#REF!</v>
      </c>
      <c r="D19" s="83" t="e">
        <f aca="false">#REF!</f>
        <v>#REF!</v>
      </c>
      <c r="E19" s="83" t="e">
        <f aca="false">#REF!</f>
        <v>#REF!</v>
      </c>
      <c r="F19" s="83" t="e">
        <f aca="false">#REF!</f>
        <v>#REF!</v>
      </c>
    </row>
    <row r="20" customFormat="false" ht="12.8" hidden="false" customHeight="false" outlineLevel="0" collapsed="false">
      <c r="A20" s="55" t="e">
        <f aca="false">_xlfn.CONCAT($A$1, ".", #REF!)</f>
        <v>#REF!</v>
      </c>
      <c r="B20" s="76" t="e">
        <f aca="false">_xlfn.CONCAT(#REF!, ":", #REF!)</f>
        <v>#REF!</v>
      </c>
      <c r="C20" s="83" t="e">
        <f aca="false">#REF!</f>
        <v>#REF!</v>
      </c>
      <c r="D20" s="83" t="e">
        <f aca="false">#REF!</f>
        <v>#REF!</v>
      </c>
      <c r="E20" s="83" t="e">
        <f aca="false">#REF!</f>
        <v>#REF!</v>
      </c>
      <c r="F20" s="83" t="e">
        <f aca="false">#REF!</f>
        <v>#REF!</v>
      </c>
    </row>
    <row r="21" customFormat="false" ht="12.8" hidden="false" customHeight="false" outlineLevel="0" collapsed="false">
      <c r="A21" s="55" t="e">
        <f aca="false">_xlfn.CONCAT($A$1, ".", #REF!)</f>
        <v>#REF!</v>
      </c>
      <c r="B21" s="76" t="e">
        <f aca="false">_xlfn.CONCAT(#REF!, ":", #REF!)</f>
        <v>#REF!</v>
      </c>
      <c r="C21" s="83" t="e">
        <f aca="false">#REF!</f>
        <v>#REF!</v>
      </c>
      <c r="D21" s="83" t="e">
        <f aca="false">#REF!</f>
        <v>#REF!</v>
      </c>
      <c r="E21" s="83" t="e">
        <f aca="false">#REF!</f>
        <v>#REF!</v>
      </c>
      <c r="F21" s="83" t="e">
        <f aca="false">#REF!</f>
        <v>#REF!</v>
      </c>
    </row>
    <row r="22" customFormat="false" ht="12.8" hidden="false" customHeight="false" outlineLevel="0" collapsed="false">
      <c r="A22" s="55" t="e">
        <f aca="false">_xlfn.CONCAT($A$1, ".", #REF!)</f>
        <v>#REF!</v>
      </c>
      <c r="B22" s="76" t="e">
        <f aca="false">_xlfn.CONCAT(#REF!, ":", #REF!)</f>
        <v>#REF!</v>
      </c>
      <c r="C22" s="83" t="e">
        <f aca="false">#REF!</f>
        <v>#REF!</v>
      </c>
      <c r="D22" s="83" t="e">
        <f aca="false">#REF!</f>
        <v>#REF!</v>
      </c>
      <c r="E22" s="83" t="e">
        <f aca="false">#REF!</f>
        <v>#REF!</v>
      </c>
      <c r="F22" s="83" t="e">
        <f aca="false">#REF!</f>
        <v>#REF!</v>
      </c>
    </row>
    <row r="23" customFormat="false" ht="12.8" hidden="false" customHeight="false" outlineLevel="0" collapsed="false">
      <c r="A23" s="55" t="e">
        <f aca="false">_xlfn.CONCAT($A$1, ".", #REF!)</f>
        <v>#REF!</v>
      </c>
      <c r="B23" s="76" t="e">
        <f aca="false">_xlfn.CONCAT(#REF!, ":", #REF!)</f>
        <v>#REF!</v>
      </c>
      <c r="C23" s="83" t="e">
        <f aca="false">#REF!</f>
        <v>#REF!</v>
      </c>
      <c r="D23" s="83" t="e">
        <f aca="false">#REF!</f>
        <v>#REF!</v>
      </c>
      <c r="E23" s="83" t="e">
        <f aca="false">#REF!</f>
        <v>#REF!</v>
      </c>
      <c r="F23" s="83" t="e">
        <f aca="false">#REF!</f>
        <v>#REF!</v>
      </c>
    </row>
    <row r="24" customFormat="false" ht="12.8" hidden="false" customHeight="false" outlineLevel="0" collapsed="false">
      <c r="A24" s="55" t="e">
        <f aca="false">_xlfn.CONCAT($A$1, ".", #REF!)</f>
        <v>#REF!</v>
      </c>
      <c r="B24" s="76" t="e">
        <f aca="false">_xlfn.CONCAT(#REF!, ":", #REF!)</f>
        <v>#REF!</v>
      </c>
      <c r="C24" s="83" t="e">
        <f aca="false">#REF!</f>
        <v>#REF!</v>
      </c>
      <c r="D24" s="83" t="e">
        <f aca="false">#REF!</f>
        <v>#REF!</v>
      </c>
      <c r="E24" s="83" t="e">
        <f aca="false">#REF!</f>
        <v>#REF!</v>
      </c>
      <c r="F24" s="83" t="e">
        <f aca="false">#REF!</f>
        <v>#REF!</v>
      </c>
    </row>
    <row r="25" customFormat="false" ht="12.8" hidden="false" customHeight="false" outlineLevel="0" collapsed="false">
      <c r="A25" s="55" t="e">
        <f aca="false">_xlfn.CONCAT($A$1, ".", #REF!)</f>
        <v>#REF!</v>
      </c>
      <c r="B25" s="76" t="e">
        <f aca="false">_xlfn.CONCAT(#REF!, ":", #REF!)</f>
        <v>#REF!</v>
      </c>
      <c r="C25" s="83" t="e">
        <f aca="false">#REF!</f>
        <v>#REF!</v>
      </c>
      <c r="D25" s="83" t="e">
        <f aca="false">#REF!</f>
        <v>#REF!</v>
      </c>
      <c r="E25" s="83" t="e">
        <f aca="false">#REF!</f>
        <v>#REF!</v>
      </c>
      <c r="F25" s="83" t="e">
        <f aca="false">#REF!</f>
        <v>#REF!</v>
      </c>
    </row>
    <row r="26" customFormat="false" ht="12.8" hidden="false" customHeight="false" outlineLevel="0" collapsed="false">
      <c r="A26" s="55" t="e">
        <f aca="false">_xlfn.CONCAT($A$1, ".", #REF!)</f>
        <v>#REF!</v>
      </c>
      <c r="B26" s="76" t="e">
        <f aca="false">_xlfn.CONCAT(#REF!, ":", #REF!)</f>
        <v>#REF!</v>
      </c>
      <c r="C26" s="83" t="e">
        <f aca="false">#REF!</f>
        <v>#REF!</v>
      </c>
      <c r="D26" s="83" t="e">
        <f aca="false">#REF!</f>
        <v>#REF!</v>
      </c>
      <c r="E26" s="83" t="e">
        <f aca="false">#REF!</f>
        <v>#REF!</v>
      </c>
      <c r="F26" s="83" t="e">
        <f aca="false">#REF!</f>
        <v>#REF!</v>
      </c>
    </row>
    <row r="27" customFormat="false" ht="12.8" hidden="false" customHeight="false" outlineLevel="0" collapsed="false">
      <c r="A27" s="55" t="e">
        <f aca="false">_xlfn.CONCAT($A$1, ".", #REF!)</f>
        <v>#REF!</v>
      </c>
      <c r="B27" s="76" t="e">
        <f aca="false">_xlfn.CONCAT(#REF!, ":", #REF!)</f>
        <v>#REF!</v>
      </c>
      <c r="C27" s="83" t="e">
        <f aca="false">#REF!</f>
        <v>#REF!</v>
      </c>
      <c r="D27" s="83" t="e">
        <f aca="false">#REF!</f>
        <v>#REF!</v>
      </c>
      <c r="E27" s="83" t="e">
        <f aca="false">#REF!</f>
        <v>#REF!</v>
      </c>
      <c r="F27" s="83" t="e">
        <f aca="false">#REF!</f>
        <v>#REF!</v>
      </c>
    </row>
    <row r="28" customFormat="false" ht="12.8" hidden="false" customHeight="false" outlineLevel="0" collapsed="false">
      <c r="A28" s="55" t="e">
        <f aca="false">_xlfn.CONCAT($A$1, ".", #REF!)</f>
        <v>#REF!</v>
      </c>
      <c r="B28" s="76" t="e">
        <f aca="false">_xlfn.CONCAT(#REF!, ":", #REF!)</f>
        <v>#REF!</v>
      </c>
      <c r="C28" s="83" t="e">
        <f aca="false">#REF!</f>
        <v>#REF!</v>
      </c>
      <c r="D28" s="83" t="e">
        <f aca="false">#REF!</f>
        <v>#REF!</v>
      </c>
      <c r="E28" s="83" t="e">
        <f aca="false">#REF!</f>
        <v>#REF!</v>
      </c>
      <c r="F28" s="83" t="e">
        <f aca="false">#REF!</f>
        <v>#REF!</v>
      </c>
    </row>
    <row r="29" customFormat="false" ht="12.8" hidden="false" customHeight="false" outlineLevel="0" collapsed="false">
      <c r="A29" s="55" t="e">
        <f aca="false">_xlfn.CONCAT($A$1, ".", #REF!)</f>
        <v>#REF!</v>
      </c>
      <c r="B29" s="76" t="e">
        <f aca="false">_xlfn.CONCAT(#REF!, ":", #REF!)</f>
        <v>#REF!</v>
      </c>
      <c r="C29" s="83" t="e">
        <f aca="false">#REF!</f>
        <v>#REF!</v>
      </c>
      <c r="D29" s="83" t="e">
        <f aca="false">#REF!</f>
        <v>#REF!</v>
      </c>
      <c r="E29" s="83" t="e">
        <f aca="false">#REF!</f>
        <v>#REF!</v>
      </c>
      <c r="F29" s="83" t="e">
        <f aca="false">#REF!</f>
        <v>#REF!</v>
      </c>
    </row>
    <row r="30" customFormat="false" ht="12.8" hidden="false" customHeight="false" outlineLevel="0" collapsed="false">
      <c r="A30" s="55" t="e">
        <f aca="false">_xlfn.CONCAT($A$1, ".", #REF!)</f>
        <v>#REF!</v>
      </c>
      <c r="B30" s="76" t="e">
        <f aca="false">_xlfn.CONCAT(#REF!, ":", #REF!)</f>
        <v>#REF!</v>
      </c>
      <c r="C30" s="83" t="e">
        <f aca="false">#REF!</f>
        <v>#REF!</v>
      </c>
      <c r="D30" s="83" t="e">
        <f aca="false">#REF!</f>
        <v>#REF!</v>
      </c>
      <c r="E30" s="83" t="e">
        <f aca="false">#REF!</f>
        <v>#REF!</v>
      </c>
      <c r="F30" s="83" t="e">
        <f aca="false">#REF!</f>
        <v>#REF!</v>
      </c>
    </row>
    <row r="31" customFormat="false" ht="12.8" hidden="false" customHeight="false" outlineLevel="0" collapsed="false">
      <c r="A31" s="55" t="e">
        <f aca="false">_xlfn.CONCAT($A$1, ".", #REF!)</f>
        <v>#REF!</v>
      </c>
      <c r="B31" s="76" t="e">
        <f aca="false">_xlfn.CONCAT(#REF!, ":", #REF!)</f>
        <v>#REF!</v>
      </c>
      <c r="C31" s="83" t="e">
        <f aca="false">#REF!</f>
        <v>#REF!</v>
      </c>
      <c r="D31" s="83" t="e">
        <f aca="false">#REF!</f>
        <v>#REF!</v>
      </c>
      <c r="E31" s="83" t="e">
        <f aca="false">#REF!</f>
        <v>#REF!</v>
      </c>
      <c r="F31" s="83" t="e">
        <f aca="false">#REF!</f>
        <v>#REF!</v>
      </c>
    </row>
    <row r="32" customFormat="false" ht="12.8" hidden="false" customHeight="false" outlineLevel="0" collapsed="false">
      <c r="A32" s="55" t="e">
        <f aca="false">_xlfn.CONCAT($A$1, ".", #REF!)</f>
        <v>#REF!</v>
      </c>
      <c r="B32" s="76" t="e">
        <f aca="false">_xlfn.CONCAT(#REF!, ":", #REF!)</f>
        <v>#REF!</v>
      </c>
      <c r="C32" s="83" t="e">
        <f aca="false">#REF!</f>
        <v>#REF!</v>
      </c>
      <c r="D32" s="83" t="e">
        <f aca="false">#REF!</f>
        <v>#REF!</v>
      </c>
      <c r="E32" s="83" t="e">
        <f aca="false">#REF!</f>
        <v>#REF!</v>
      </c>
      <c r="F32" s="83" t="e">
        <f aca="false">#REF!</f>
        <v>#REF!</v>
      </c>
    </row>
    <row r="33" customFormat="false" ht="12.8" hidden="false" customHeight="false" outlineLevel="0" collapsed="false">
      <c r="A33" s="55" t="e">
        <f aca="false">_xlfn.CONCAT($A$1, ".", #REF!)</f>
        <v>#REF!</v>
      </c>
      <c r="B33" s="76" t="e">
        <f aca="false">_xlfn.CONCAT(#REF!, ":", #REF!)</f>
        <v>#REF!</v>
      </c>
      <c r="C33" s="83" t="e">
        <f aca="false">#REF!</f>
        <v>#REF!</v>
      </c>
      <c r="D33" s="83" t="e">
        <f aca="false">#REF!</f>
        <v>#REF!</v>
      </c>
      <c r="E33" s="83" t="e">
        <f aca="false">#REF!</f>
        <v>#REF!</v>
      </c>
      <c r="F33" s="83" t="e">
        <f aca="false">#REF!</f>
        <v>#REF!</v>
      </c>
    </row>
    <row r="34" customFormat="false" ht="12.8" hidden="false" customHeight="false" outlineLevel="0" collapsed="false">
      <c r="A34" s="55" t="e">
        <f aca="false">_xlfn.CONCAT($A$1, ".", #REF!)</f>
        <v>#REF!</v>
      </c>
      <c r="B34" s="76" t="e">
        <f aca="false">_xlfn.CONCAT(#REF!, ":", #REF!)</f>
        <v>#REF!</v>
      </c>
      <c r="C34" s="83" t="e">
        <f aca="false">#REF!</f>
        <v>#REF!</v>
      </c>
      <c r="D34" s="83" t="e">
        <f aca="false">#REF!</f>
        <v>#REF!</v>
      </c>
      <c r="E34" s="83" t="e">
        <f aca="false">#REF!</f>
        <v>#REF!</v>
      </c>
      <c r="F34" s="83" t="e">
        <f aca="false">#REF!</f>
        <v>#REF!</v>
      </c>
    </row>
    <row r="35" customFormat="false" ht="12.8" hidden="false" customHeight="false" outlineLevel="0" collapsed="false">
      <c r="A35" s="55" t="e">
        <f aca="false">_xlfn.CONCAT($A$1, ".", #REF!)</f>
        <v>#REF!</v>
      </c>
      <c r="B35" s="76" t="e">
        <f aca="false">_xlfn.CONCAT(#REF!, ":", #REF!)</f>
        <v>#REF!</v>
      </c>
      <c r="C35" s="83" t="e">
        <f aca="false">#REF!</f>
        <v>#REF!</v>
      </c>
      <c r="D35" s="83" t="e">
        <f aca="false">#REF!</f>
        <v>#REF!</v>
      </c>
      <c r="E35" s="83" t="e">
        <f aca="false">#REF!</f>
        <v>#REF!</v>
      </c>
      <c r="F35" s="83" t="e">
        <f aca="false">#REF!</f>
        <v>#REF!</v>
      </c>
    </row>
    <row r="36" customFormat="false" ht="12.8" hidden="false" customHeight="false" outlineLevel="0" collapsed="false">
      <c r="A36" s="55" t="e">
        <f aca="false">_xlfn.CONCAT($A$1, ".", #REF!)</f>
        <v>#REF!</v>
      </c>
      <c r="B36" s="76" t="e">
        <f aca="false">_xlfn.CONCAT(#REF!, ":", #REF!)</f>
        <v>#REF!</v>
      </c>
      <c r="C36" s="83" t="e">
        <f aca="false">#REF!</f>
        <v>#REF!</v>
      </c>
      <c r="D36" s="83" t="e">
        <f aca="false">#REF!</f>
        <v>#REF!</v>
      </c>
      <c r="E36" s="83" t="e">
        <f aca="false">#REF!</f>
        <v>#REF!</v>
      </c>
      <c r="F36" s="83" t="e">
        <f aca="false">#REF!</f>
        <v>#REF!</v>
      </c>
    </row>
    <row r="37" customFormat="false" ht="12.8" hidden="false" customHeight="false" outlineLevel="0" collapsed="false">
      <c r="A37" s="55" t="e">
        <f aca="false">_xlfn.CONCAT($A$1, ".", #REF!)</f>
        <v>#REF!</v>
      </c>
      <c r="B37" s="76" t="e">
        <f aca="false">_xlfn.CONCAT(#REF!, ":", #REF!)</f>
        <v>#REF!</v>
      </c>
      <c r="C37" s="83" t="e">
        <f aca="false">#REF!</f>
        <v>#REF!</v>
      </c>
      <c r="D37" s="83" t="e">
        <f aca="false">#REF!</f>
        <v>#REF!</v>
      </c>
      <c r="E37" s="83" t="e">
        <f aca="false">#REF!</f>
        <v>#REF!</v>
      </c>
      <c r="F37" s="83" t="e">
        <f aca="false">#REF!</f>
        <v>#REF!</v>
      </c>
    </row>
    <row r="38" customFormat="false" ht="12.8" hidden="false" customHeight="false" outlineLevel="0" collapsed="false">
      <c r="A38" s="55" t="e">
        <f aca="false">_xlfn.CONCAT($A$1, ".", #REF!)</f>
        <v>#REF!</v>
      </c>
      <c r="B38" s="76" t="e">
        <f aca="false">_xlfn.CONCAT(#REF!, ":", #REF!)</f>
        <v>#REF!</v>
      </c>
      <c r="C38" s="83" t="e">
        <f aca="false">#REF!</f>
        <v>#REF!</v>
      </c>
      <c r="D38" s="83" t="e">
        <f aca="false">#REF!</f>
        <v>#REF!</v>
      </c>
      <c r="E38" s="83" t="e">
        <f aca="false">#REF!</f>
        <v>#REF!</v>
      </c>
      <c r="F38" s="83" t="e">
        <f aca="false">#REF!</f>
        <v>#REF!</v>
      </c>
    </row>
    <row r="39" customFormat="false" ht="12.8" hidden="false" customHeight="false" outlineLevel="0" collapsed="false">
      <c r="A39" s="55" t="e">
        <f aca="false">_xlfn.CONCAT($A$1, ".", #REF!)</f>
        <v>#REF!</v>
      </c>
      <c r="B39" s="76" t="e">
        <f aca="false">_xlfn.CONCAT(#REF!, ":", #REF!)</f>
        <v>#REF!</v>
      </c>
      <c r="C39" s="83" t="e">
        <f aca="false">#REF!</f>
        <v>#REF!</v>
      </c>
      <c r="D39" s="83" t="e">
        <f aca="false">#REF!</f>
        <v>#REF!</v>
      </c>
      <c r="E39" s="83" t="e">
        <f aca="false">#REF!</f>
        <v>#REF!</v>
      </c>
      <c r="F39" s="83" t="e">
        <f aca="false">#REF!</f>
        <v>#REF!</v>
      </c>
    </row>
    <row r="40" customFormat="false" ht="12.8" hidden="false" customHeight="false" outlineLevel="0" collapsed="false">
      <c r="A40" s="55" t="e">
        <f aca="false">_xlfn.CONCAT($A$1, ".", #REF!)</f>
        <v>#REF!</v>
      </c>
      <c r="B40" s="76" t="e">
        <f aca="false">_xlfn.CONCAT(#REF!, ":", #REF!)</f>
        <v>#REF!</v>
      </c>
      <c r="C40" s="83" t="e">
        <f aca="false">#REF!</f>
        <v>#REF!</v>
      </c>
      <c r="D40" s="83" t="e">
        <f aca="false">#REF!</f>
        <v>#REF!</v>
      </c>
      <c r="E40" s="83" t="e">
        <f aca="false">#REF!</f>
        <v>#REF!</v>
      </c>
      <c r="F40" s="83" t="e">
        <f aca="false">#REF!</f>
        <v>#REF!</v>
      </c>
    </row>
    <row r="41" customFormat="false" ht="12.8" hidden="false" customHeight="false" outlineLevel="0" collapsed="false">
      <c r="A41" s="55" t="e">
        <f aca="false">_xlfn.CONCAT($A$1, ".", #REF!)</f>
        <v>#REF!</v>
      </c>
      <c r="B41" s="76" t="e">
        <f aca="false">_xlfn.CONCAT(#REF!, ":", #REF!)</f>
        <v>#REF!</v>
      </c>
      <c r="C41" s="83" t="e">
        <f aca="false">#REF!</f>
        <v>#REF!</v>
      </c>
      <c r="D41" s="83" t="e">
        <f aca="false">#REF!</f>
        <v>#REF!</v>
      </c>
      <c r="E41" s="83" t="e">
        <f aca="false">#REF!</f>
        <v>#REF!</v>
      </c>
      <c r="F41" s="83" t="e">
        <f aca="false">#REF!</f>
        <v>#REF!</v>
      </c>
    </row>
    <row r="42" customFormat="false" ht="12.8" hidden="false" customHeight="false" outlineLevel="0" collapsed="false">
      <c r="A42" s="55" t="e">
        <f aca="false">_xlfn.CONCAT($A$1, ".", #REF!)</f>
        <v>#REF!</v>
      </c>
      <c r="B42" s="76" t="e">
        <f aca="false">_xlfn.CONCAT(#REF!, ":", #REF!)</f>
        <v>#REF!</v>
      </c>
      <c r="C42" s="83" t="e">
        <f aca="false">#REF!</f>
        <v>#REF!</v>
      </c>
      <c r="D42" s="83" t="e">
        <f aca="false">#REF!</f>
        <v>#REF!</v>
      </c>
      <c r="E42" s="83" t="e">
        <f aca="false">#REF!</f>
        <v>#REF!</v>
      </c>
      <c r="F42" s="83" t="e">
        <f aca="false">#REF!</f>
        <v>#REF!</v>
      </c>
    </row>
    <row r="43" customFormat="false" ht="12.8" hidden="false" customHeight="false" outlineLevel="0" collapsed="false">
      <c r="A43" s="55" t="e">
        <f aca="false">_xlfn.CONCAT($A$1, ".", #REF!)</f>
        <v>#REF!</v>
      </c>
      <c r="B43" s="76" t="e">
        <f aca="false">_xlfn.CONCAT(#REF!, ":", #REF!)</f>
        <v>#REF!</v>
      </c>
      <c r="C43" s="83" t="e">
        <f aca="false">#REF!</f>
        <v>#REF!</v>
      </c>
      <c r="D43" s="83" t="e">
        <f aca="false">#REF!</f>
        <v>#REF!</v>
      </c>
      <c r="E43" s="83" t="e">
        <f aca="false">#REF!</f>
        <v>#REF!</v>
      </c>
      <c r="F43" s="83" t="e">
        <f aca="false">#REF!</f>
        <v>#REF!</v>
      </c>
    </row>
    <row r="44" customFormat="false" ht="12.8" hidden="false" customHeight="false" outlineLevel="0" collapsed="false">
      <c r="A44" s="55" t="e">
        <f aca="false">_xlfn.CONCAT($A$1, ".", #REF!)</f>
        <v>#REF!</v>
      </c>
      <c r="B44" s="76" t="e">
        <f aca="false">_xlfn.CONCAT(#REF!, ":", #REF!)</f>
        <v>#REF!</v>
      </c>
      <c r="C44" s="83" t="e">
        <f aca="false">#REF!</f>
        <v>#REF!</v>
      </c>
      <c r="D44" s="83" t="e">
        <f aca="false">#REF!</f>
        <v>#REF!</v>
      </c>
      <c r="E44" s="83" t="e">
        <f aca="false">#REF!</f>
        <v>#REF!</v>
      </c>
      <c r="F44" s="83" t="e">
        <f aca="false">#REF!</f>
        <v>#REF!</v>
      </c>
    </row>
    <row r="45" customFormat="false" ht="12.8" hidden="false" customHeight="false" outlineLevel="0" collapsed="false">
      <c r="A45" s="55" t="e">
        <f aca="false">_xlfn.CONCAT($A$1, ".", #REF!)</f>
        <v>#REF!</v>
      </c>
      <c r="B45" s="76" t="e">
        <f aca="false">_xlfn.CONCAT(#REF!, ":", #REF!)</f>
        <v>#REF!</v>
      </c>
      <c r="C45" s="83" t="e">
        <f aca="false">#REF!</f>
        <v>#REF!</v>
      </c>
      <c r="D45" s="83" t="e">
        <f aca="false">#REF!</f>
        <v>#REF!</v>
      </c>
      <c r="E45" s="83" t="e">
        <f aca="false">#REF!</f>
        <v>#REF!</v>
      </c>
      <c r="F45" s="83" t="e">
        <f aca="false">#REF!</f>
        <v>#REF!</v>
      </c>
    </row>
    <row r="46" customFormat="false" ht="12.8" hidden="false" customHeight="false" outlineLevel="0" collapsed="false">
      <c r="A46" s="55" t="e">
        <f aca="false">_xlfn.CONCAT($A$1, ".", #REF!)</f>
        <v>#REF!</v>
      </c>
      <c r="B46" s="76" t="e">
        <f aca="false">_xlfn.CONCAT(#REF!, ":", #REF!)</f>
        <v>#REF!</v>
      </c>
      <c r="C46" s="83" t="e">
        <f aca="false">#REF!</f>
        <v>#REF!</v>
      </c>
      <c r="D46" s="83" t="e">
        <f aca="false">#REF!</f>
        <v>#REF!</v>
      </c>
      <c r="E46" s="83" t="e">
        <f aca="false">#REF!</f>
        <v>#REF!</v>
      </c>
      <c r="F46" s="83" t="e">
        <f aca="false">#REF!</f>
        <v>#REF!</v>
      </c>
    </row>
    <row r="47" customFormat="false" ht="12.8" hidden="false" customHeight="false" outlineLevel="0" collapsed="false">
      <c r="A47" s="55" t="e">
        <f aca="false">_xlfn.CONCAT($A$1, ".", #REF!)</f>
        <v>#REF!</v>
      </c>
      <c r="B47" s="76" t="e">
        <f aca="false">_xlfn.CONCAT(#REF!, ":", #REF!)</f>
        <v>#REF!</v>
      </c>
      <c r="C47" s="83" t="e">
        <f aca="false">#REF!</f>
        <v>#REF!</v>
      </c>
      <c r="D47" s="83" t="e">
        <f aca="false">#REF!</f>
        <v>#REF!</v>
      </c>
      <c r="E47" s="83" t="e">
        <f aca="false">#REF!</f>
        <v>#REF!</v>
      </c>
      <c r="F47" s="83" t="e">
        <f aca="false">#REF!</f>
        <v>#REF!</v>
      </c>
    </row>
    <row r="48" customFormat="false" ht="12.8" hidden="false" customHeight="false" outlineLevel="0" collapsed="false">
      <c r="A48" s="55" t="e">
        <f aca="false">_xlfn.CONCAT($A$1, ".", #REF!)</f>
        <v>#REF!</v>
      </c>
      <c r="B48" s="76" t="e">
        <f aca="false">_xlfn.CONCAT(#REF!, ":", #REF!)</f>
        <v>#REF!</v>
      </c>
      <c r="C48" s="83" t="e">
        <f aca="false">#REF!</f>
        <v>#REF!</v>
      </c>
      <c r="D48" s="83" t="e">
        <f aca="false">#REF!</f>
        <v>#REF!</v>
      </c>
      <c r="E48" s="83" t="e">
        <f aca="false">#REF!</f>
        <v>#REF!</v>
      </c>
      <c r="F48" s="83" t="e">
        <f aca="false">#REF!</f>
        <v>#REF!</v>
      </c>
    </row>
    <row r="49" customFormat="false" ht="12.8" hidden="false" customHeight="false" outlineLevel="0" collapsed="false">
      <c r="A49" s="55" t="e">
        <f aca="false">_xlfn.CONCAT($A$1, ".", #REF!)</f>
        <v>#REF!</v>
      </c>
      <c r="B49" s="76" t="e">
        <f aca="false">_xlfn.CONCAT(#REF!, ":", #REF!)</f>
        <v>#REF!</v>
      </c>
      <c r="C49" s="83" t="e">
        <f aca="false">#REF!</f>
        <v>#REF!</v>
      </c>
      <c r="D49" s="83" t="e">
        <f aca="false">#REF!</f>
        <v>#REF!</v>
      </c>
      <c r="E49" s="83" t="e">
        <f aca="false">#REF!</f>
        <v>#REF!</v>
      </c>
      <c r="F49" s="83" t="e">
        <f aca="false">#REF!</f>
        <v>#REF!</v>
      </c>
    </row>
    <row r="50" customFormat="false" ht="12.8" hidden="false" customHeight="false" outlineLevel="0" collapsed="false">
      <c r="A50" s="55" t="e">
        <f aca="false">_xlfn.CONCAT($A$1, ".", #REF!)</f>
        <v>#REF!</v>
      </c>
      <c r="B50" s="76" t="e">
        <f aca="false">_xlfn.CONCAT(#REF!, ":", #REF!)</f>
        <v>#REF!</v>
      </c>
      <c r="C50" s="83" t="e">
        <f aca="false">#REF!</f>
        <v>#REF!</v>
      </c>
      <c r="D50" s="83" t="e">
        <f aca="false">#REF!</f>
        <v>#REF!</v>
      </c>
      <c r="E50" s="83" t="e">
        <f aca="false">#REF!</f>
        <v>#REF!</v>
      </c>
      <c r="F50" s="83" t="e">
        <f aca="false">#REF!</f>
        <v>#REF!</v>
      </c>
    </row>
    <row r="51" customFormat="false" ht="12.8" hidden="false" customHeight="false" outlineLevel="0" collapsed="false">
      <c r="A51" s="55" t="e">
        <f aca="false">_xlfn.CONCAT($A$1, ".", #REF!)</f>
        <v>#REF!</v>
      </c>
      <c r="B51" s="76" t="e">
        <f aca="false">_xlfn.CONCAT(#REF!, ":", #REF!)</f>
        <v>#REF!</v>
      </c>
      <c r="C51" s="83" t="e">
        <f aca="false">#REF!</f>
        <v>#REF!</v>
      </c>
      <c r="D51" s="83" t="e">
        <f aca="false">#REF!</f>
        <v>#REF!</v>
      </c>
      <c r="E51" s="83" t="e">
        <f aca="false">#REF!</f>
        <v>#REF!</v>
      </c>
      <c r="F51" s="83" t="e">
        <f aca="false">#REF!</f>
        <v>#REF!</v>
      </c>
    </row>
    <row r="52" customFormat="false" ht="12.8" hidden="false" customHeight="false" outlineLevel="0" collapsed="false">
      <c r="A52" s="55" t="e">
        <f aca="false">_xlfn.CONCAT($A$1, ".", #REF!)</f>
        <v>#REF!</v>
      </c>
      <c r="B52" s="76" t="e">
        <f aca="false">_xlfn.CONCAT(#REF!, ":", #REF!)</f>
        <v>#REF!</v>
      </c>
      <c r="C52" s="83" t="e">
        <f aca="false">#REF!</f>
        <v>#REF!</v>
      </c>
      <c r="D52" s="83" t="e">
        <f aca="false">#REF!</f>
        <v>#REF!</v>
      </c>
      <c r="E52" s="83" t="e">
        <f aca="false">#REF!</f>
        <v>#REF!</v>
      </c>
      <c r="F52" s="83" t="e">
        <f aca="false">#REF!</f>
        <v>#REF!</v>
      </c>
    </row>
    <row r="53" customFormat="false" ht="12.8" hidden="false" customHeight="false" outlineLevel="0" collapsed="false">
      <c r="A53" s="55" t="e">
        <f aca="false">_xlfn.CONCAT($A$1, ".", #REF!)</f>
        <v>#REF!</v>
      </c>
      <c r="B53" s="76" t="e">
        <f aca="false">_xlfn.CONCAT(#REF!, ":", #REF!)</f>
        <v>#REF!</v>
      </c>
      <c r="C53" s="83" t="e">
        <f aca="false">#REF!</f>
        <v>#REF!</v>
      </c>
      <c r="D53" s="83" t="e">
        <f aca="false">#REF!</f>
        <v>#REF!</v>
      </c>
      <c r="E53" s="83" t="e">
        <f aca="false">#REF!</f>
        <v>#REF!</v>
      </c>
      <c r="F53" s="83" t="e">
        <f aca="false">#REF!</f>
        <v>#REF!</v>
      </c>
    </row>
    <row r="54" customFormat="false" ht="12.8" hidden="false" customHeight="false" outlineLevel="0" collapsed="false">
      <c r="A54" s="55" t="e">
        <f aca="false">_xlfn.CONCAT($A$1, ".", #REF!)</f>
        <v>#REF!</v>
      </c>
      <c r="B54" s="76" t="e">
        <f aca="false">_xlfn.CONCAT(#REF!, ":", #REF!)</f>
        <v>#REF!</v>
      </c>
      <c r="C54" s="83" t="e">
        <f aca="false">#REF!</f>
        <v>#REF!</v>
      </c>
      <c r="D54" s="83" t="e">
        <f aca="false">#REF!</f>
        <v>#REF!</v>
      </c>
      <c r="E54" s="83" t="e">
        <f aca="false">#REF!</f>
        <v>#REF!</v>
      </c>
      <c r="F54" s="83" t="e">
        <f aca="false">#REF!</f>
        <v>#REF!</v>
      </c>
    </row>
    <row r="55" customFormat="false" ht="12.8" hidden="false" customHeight="false" outlineLevel="0" collapsed="false">
      <c r="A55" s="55" t="e">
        <f aca="false">_xlfn.CONCAT($A$1, ".", #REF!)</f>
        <v>#REF!</v>
      </c>
      <c r="B55" s="76" t="e">
        <f aca="false">_xlfn.CONCAT(#REF!, ":", #REF!)</f>
        <v>#REF!</v>
      </c>
      <c r="C55" s="83" t="e">
        <f aca="false">#REF!</f>
        <v>#REF!</v>
      </c>
      <c r="D55" s="83" t="e">
        <f aca="false">#REF!</f>
        <v>#REF!</v>
      </c>
      <c r="E55" s="83" t="e">
        <f aca="false">#REF!</f>
        <v>#REF!</v>
      </c>
      <c r="F55" s="83" t="e">
        <f aca="false">#REF!</f>
        <v>#REF!</v>
      </c>
    </row>
    <row r="56" customFormat="false" ht="12.8" hidden="false" customHeight="false" outlineLevel="0" collapsed="false">
      <c r="C56" s="82"/>
      <c r="D56" s="82"/>
      <c r="E56" s="82"/>
      <c r="F56" s="82"/>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23.85" hidden="false" customHeight="false" outlineLevel="0" collapsed="false">
      <c r="A1" s="4" t="s">
        <v>2319</v>
      </c>
      <c r="B1" s="84" t="s">
        <v>2320</v>
      </c>
      <c r="C1" s="6" t="s">
        <v>2</v>
      </c>
      <c r="D1" s="41" t="s">
        <v>2321</v>
      </c>
      <c r="AZ1" s="41"/>
      <c r="BP1" s="41"/>
    </row>
    <row r="2" customFormat="false" ht="35.05" hidden="false" customHeight="false" outlineLevel="0" collapsed="false">
      <c r="A2" s="85" t="s">
        <v>1994</v>
      </c>
      <c r="B2" s="86" t="s">
        <v>1995</v>
      </c>
      <c r="C2" s="82" t="str">
        <f aca="false">CALC!BK3</f>
        <v>AOTC Refund</v>
      </c>
      <c r="D2" s="82" t="str">
        <f aca="false">CALC!BL3</f>
        <v>Authorized Immigrant AOTC Refund</v>
      </c>
      <c r="E2" s="82" t="str">
        <f aca="false">CALC!BM3</f>
        <v>Unauthorized Immigrant AOTC Refund</v>
      </c>
      <c r="F2" s="82" t="str">
        <f aca="false">CALC!BN3</f>
        <v>American Tax AOTC Refund</v>
      </c>
    </row>
    <row r="3" customFormat="false" ht="12.8" hidden="false" customHeight="false" outlineLevel="0" collapsed="false">
      <c r="A3" s="55" t="e">
        <f aca="false">_xlfn.CONCAT($A$1, ".", #REF!)</f>
        <v>#REF!</v>
      </c>
      <c r="B3" s="71" t="e">
        <f aca="false">_xlfn.CONCAT(#REF!, ":", #REF!)</f>
        <v>#REF!</v>
      </c>
      <c r="C3" s="82" t="e">
        <f aca="false">#REF!</f>
        <v>#REF!</v>
      </c>
      <c r="D3" s="82" t="e">
        <f aca="false">#REF!</f>
        <v>#REF!</v>
      </c>
      <c r="E3" s="82" t="e">
        <f aca="false">#REF!</f>
        <v>#REF!</v>
      </c>
      <c r="F3" s="82" t="e">
        <f aca="false">#REF!</f>
        <v>#REF!</v>
      </c>
    </row>
    <row r="4" customFormat="false" ht="12.8" hidden="false" customHeight="false" outlineLevel="0" collapsed="false">
      <c r="A4" s="55" t="e">
        <f aca="false">_xlfn.CONCAT($A$1, ".", #REF!)</f>
        <v>#REF!</v>
      </c>
      <c r="B4" s="71" t="e">
        <f aca="false">_xlfn.CONCAT(#REF!, ":", #REF!)</f>
        <v>#REF!</v>
      </c>
      <c r="C4" s="82" t="e">
        <f aca="false">#REF!</f>
        <v>#REF!</v>
      </c>
      <c r="D4" s="82" t="e">
        <f aca="false">#REF!</f>
        <v>#REF!</v>
      </c>
      <c r="E4" s="82" t="e">
        <f aca="false">#REF!</f>
        <v>#REF!</v>
      </c>
      <c r="F4" s="82" t="e">
        <f aca="false">#REF!</f>
        <v>#REF!</v>
      </c>
    </row>
    <row r="5" customFormat="false" ht="12.8" hidden="false" customHeight="false" outlineLevel="0" collapsed="false">
      <c r="A5" s="55" t="e">
        <f aca="false">_xlfn.CONCAT($A$1, ".", #REF!)</f>
        <v>#REF!</v>
      </c>
      <c r="B5" s="71" t="e">
        <f aca="false">_xlfn.CONCAT(#REF!, ":", #REF!)</f>
        <v>#REF!</v>
      </c>
      <c r="C5" s="82" t="e">
        <f aca="false">#REF!</f>
        <v>#REF!</v>
      </c>
      <c r="D5" s="82" t="e">
        <f aca="false">#REF!</f>
        <v>#REF!</v>
      </c>
      <c r="E5" s="82" t="e">
        <f aca="false">#REF!</f>
        <v>#REF!</v>
      </c>
      <c r="F5" s="82" t="e">
        <f aca="false">#REF!</f>
        <v>#REF!</v>
      </c>
    </row>
    <row r="6" customFormat="false" ht="12.8" hidden="false" customHeight="false" outlineLevel="0" collapsed="false">
      <c r="A6" s="55" t="e">
        <f aca="false">_xlfn.CONCAT($A$1, ".", #REF!)</f>
        <v>#REF!</v>
      </c>
      <c r="B6" s="71" t="e">
        <f aca="false">_xlfn.CONCAT(#REF!, ":", #REF!)</f>
        <v>#REF!</v>
      </c>
      <c r="C6" s="82" t="e">
        <f aca="false">#REF!</f>
        <v>#REF!</v>
      </c>
      <c r="D6" s="82" t="e">
        <f aca="false">#REF!</f>
        <v>#REF!</v>
      </c>
      <c r="E6" s="82" t="e">
        <f aca="false">#REF!</f>
        <v>#REF!</v>
      </c>
      <c r="F6" s="82" t="e">
        <f aca="false">#REF!</f>
        <v>#REF!</v>
      </c>
    </row>
    <row r="7" customFormat="false" ht="12.8" hidden="false" customHeight="false" outlineLevel="0" collapsed="false">
      <c r="A7" s="55" t="e">
        <f aca="false">_xlfn.CONCAT($A$1, ".", #REF!)</f>
        <v>#REF!</v>
      </c>
      <c r="B7" s="71" t="e">
        <f aca="false">_xlfn.CONCAT(#REF!, ":", #REF!)</f>
        <v>#REF!</v>
      </c>
      <c r="C7" s="82" t="e">
        <f aca="false">#REF!</f>
        <v>#REF!</v>
      </c>
      <c r="D7" s="82" t="e">
        <f aca="false">#REF!</f>
        <v>#REF!</v>
      </c>
      <c r="E7" s="82" t="e">
        <f aca="false">#REF!</f>
        <v>#REF!</v>
      </c>
      <c r="F7" s="82" t="e">
        <f aca="false">#REF!</f>
        <v>#REF!</v>
      </c>
    </row>
    <row r="8" customFormat="false" ht="12.8" hidden="false" customHeight="false" outlineLevel="0" collapsed="false">
      <c r="A8" s="55" t="e">
        <f aca="false">_xlfn.CONCAT($A$1, ".", #REF!)</f>
        <v>#REF!</v>
      </c>
      <c r="B8" s="71" t="e">
        <f aca="false">_xlfn.CONCAT(#REF!, ":", #REF!)</f>
        <v>#REF!</v>
      </c>
      <c r="C8" s="82" t="e">
        <f aca="false">#REF!</f>
        <v>#REF!</v>
      </c>
      <c r="D8" s="82" t="e">
        <f aca="false">#REF!</f>
        <v>#REF!</v>
      </c>
      <c r="E8" s="82" t="e">
        <f aca="false">#REF!</f>
        <v>#REF!</v>
      </c>
      <c r="F8" s="82" t="e">
        <f aca="false">#REF!</f>
        <v>#REF!</v>
      </c>
    </row>
    <row r="9" customFormat="false" ht="12.8" hidden="false" customHeight="false" outlineLevel="0" collapsed="false">
      <c r="A9" s="55" t="e">
        <f aca="false">_xlfn.CONCAT($A$1, ".", #REF!)</f>
        <v>#REF!</v>
      </c>
      <c r="B9" s="71" t="e">
        <f aca="false">_xlfn.CONCAT(#REF!, ":", #REF!)</f>
        <v>#REF!</v>
      </c>
      <c r="C9" s="82" t="e">
        <f aca="false">#REF!</f>
        <v>#REF!</v>
      </c>
      <c r="D9" s="82" t="e">
        <f aca="false">#REF!</f>
        <v>#REF!</v>
      </c>
      <c r="E9" s="82" t="e">
        <f aca="false">#REF!</f>
        <v>#REF!</v>
      </c>
      <c r="F9" s="82" t="e">
        <f aca="false">#REF!</f>
        <v>#REF!</v>
      </c>
    </row>
    <row r="10" customFormat="false" ht="12.8" hidden="false" customHeight="false" outlineLevel="0" collapsed="false">
      <c r="A10" s="55" t="e">
        <f aca="false">_xlfn.CONCAT($A$1, ".", #REF!)</f>
        <v>#REF!</v>
      </c>
      <c r="B10" s="71" t="e">
        <f aca="false">_xlfn.CONCAT(#REF!, ":", #REF!)</f>
        <v>#REF!</v>
      </c>
      <c r="C10" s="82" t="e">
        <f aca="false">#REF!</f>
        <v>#REF!</v>
      </c>
      <c r="D10" s="82" t="e">
        <f aca="false">#REF!</f>
        <v>#REF!</v>
      </c>
      <c r="E10" s="82" t="e">
        <f aca="false">#REF!</f>
        <v>#REF!</v>
      </c>
      <c r="F10" s="82" t="e">
        <f aca="false">#REF!</f>
        <v>#REF!</v>
      </c>
    </row>
    <row r="11" customFormat="false" ht="12.8" hidden="false" customHeight="false" outlineLevel="0" collapsed="false">
      <c r="A11" s="55" t="e">
        <f aca="false">_xlfn.CONCAT($A$1, ".", #REF!)</f>
        <v>#REF!</v>
      </c>
      <c r="B11" s="71" t="e">
        <f aca="false">_xlfn.CONCAT(#REF!, ":", #REF!)</f>
        <v>#REF!</v>
      </c>
      <c r="C11" s="82" t="e">
        <f aca="false">#REF!</f>
        <v>#REF!</v>
      </c>
      <c r="D11" s="82" t="e">
        <f aca="false">#REF!</f>
        <v>#REF!</v>
      </c>
      <c r="E11" s="82" t="e">
        <f aca="false">#REF!</f>
        <v>#REF!</v>
      </c>
      <c r="F11" s="82" t="e">
        <f aca="false">#REF!</f>
        <v>#REF!</v>
      </c>
    </row>
    <row r="12" customFormat="false" ht="12.8" hidden="false" customHeight="false" outlineLevel="0" collapsed="false">
      <c r="A12" s="55" t="e">
        <f aca="false">_xlfn.CONCAT($A$1, ".", #REF!)</f>
        <v>#REF!</v>
      </c>
      <c r="B12" s="71" t="e">
        <f aca="false">_xlfn.CONCAT(#REF!, ":", #REF!)</f>
        <v>#REF!</v>
      </c>
      <c r="C12" s="82" t="e">
        <f aca="false">#REF!</f>
        <v>#REF!</v>
      </c>
      <c r="D12" s="82" t="e">
        <f aca="false">#REF!</f>
        <v>#REF!</v>
      </c>
      <c r="E12" s="82" t="e">
        <f aca="false">#REF!</f>
        <v>#REF!</v>
      </c>
      <c r="F12" s="82" t="e">
        <f aca="false">#REF!</f>
        <v>#REF!</v>
      </c>
    </row>
    <row r="13" customFormat="false" ht="12.8" hidden="false" customHeight="false" outlineLevel="0" collapsed="false">
      <c r="A13" s="55" t="e">
        <f aca="false">_xlfn.CONCAT($A$1, ".", #REF!)</f>
        <v>#REF!</v>
      </c>
      <c r="B13" s="71" t="e">
        <f aca="false">_xlfn.CONCAT(#REF!, ":", #REF!)</f>
        <v>#REF!</v>
      </c>
      <c r="C13" s="82" t="e">
        <f aca="false">#REF!</f>
        <v>#REF!</v>
      </c>
      <c r="D13" s="82" t="e">
        <f aca="false">#REF!</f>
        <v>#REF!</v>
      </c>
      <c r="E13" s="82" t="e">
        <f aca="false">#REF!</f>
        <v>#REF!</v>
      </c>
      <c r="F13" s="82" t="e">
        <f aca="false">#REF!</f>
        <v>#REF!</v>
      </c>
    </row>
    <row r="14" customFormat="false" ht="12.8" hidden="false" customHeight="false" outlineLevel="0" collapsed="false">
      <c r="A14" s="55" t="e">
        <f aca="false">_xlfn.CONCAT($A$1, ".", #REF!)</f>
        <v>#REF!</v>
      </c>
      <c r="B14" s="71" t="e">
        <f aca="false">_xlfn.CONCAT(#REF!, ":", #REF!)</f>
        <v>#REF!</v>
      </c>
      <c r="C14" s="82" t="e">
        <f aca="false">#REF!</f>
        <v>#REF!</v>
      </c>
      <c r="D14" s="82" t="e">
        <f aca="false">#REF!</f>
        <v>#REF!</v>
      </c>
      <c r="E14" s="82" t="e">
        <f aca="false">#REF!</f>
        <v>#REF!</v>
      </c>
      <c r="F14" s="82" t="e">
        <f aca="false">#REF!</f>
        <v>#REF!</v>
      </c>
    </row>
    <row r="15" customFormat="false" ht="12.8" hidden="false" customHeight="false" outlineLevel="0" collapsed="false">
      <c r="A15" s="55" t="e">
        <f aca="false">_xlfn.CONCAT($A$1, ".", #REF!)</f>
        <v>#REF!</v>
      </c>
      <c r="B15" s="71" t="e">
        <f aca="false">_xlfn.CONCAT(#REF!, ":", #REF!)</f>
        <v>#REF!</v>
      </c>
      <c r="C15" s="82" t="e">
        <f aca="false">#REF!</f>
        <v>#REF!</v>
      </c>
      <c r="D15" s="82" t="e">
        <f aca="false">#REF!</f>
        <v>#REF!</v>
      </c>
      <c r="E15" s="82" t="e">
        <f aca="false">#REF!</f>
        <v>#REF!</v>
      </c>
      <c r="F15" s="82" t="e">
        <f aca="false">#REF!</f>
        <v>#REF!</v>
      </c>
    </row>
    <row r="16" customFormat="false" ht="12.8" hidden="false" customHeight="false" outlineLevel="0" collapsed="false">
      <c r="A16" s="55" t="e">
        <f aca="false">_xlfn.CONCAT($A$1, ".", #REF!)</f>
        <v>#REF!</v>
      </c>
      <c r="B16" s="71" t="e">
        <f aca="false">_xlfn.CONCAT(#REF!, ":", #REF!)</f>
        <v>#REF!</v>
      </c>
      <c r="C16" s="82" t="e">
        <f aca="false">#REF!</f>
        <v>#REF!</v>
      </c>
      <c r="D16" s="82" t="e">
        <f aca="false">#REF!</f>
        <v>#REF!</v>
      </c>
      <c r="E16" s="82" t="e">
        <f aca="false">#REF!</f>
        <v>#REF!</v>
      </c>
      <c r="F16" s="82" t="e">
        <f aca="false">#REF!</f>
        <v>#REF!</v>
      </c>
    </row>
    <row r="17" customFormat="false" ht="12.8" hidden="false" customHeight="false" outlineLevel="0" collapsed="false">
      <c r="A17" s="55" t="e">
        <f aca="false">_xlfn.CONCAT($A$1, ".", #REF!)</f>
        <v>#REF!</v>
      </c>
      <c r="B17" s="71" t="e">
        <f aca="false">_xlfn.CONCAT(#REF!, ":", #REF!)</f>
        <v>#REF!</v>
      </c>
      <c r="C17" s="82" t="e">
        <f aca="false">#REF!</f>
        <v>#REF!</v>
      </c>
      <c r="D17" s="82" t="e">
        <f aca="false">#REF!</f>
        <v>#REF!</v>
      </c>
      <c r="E17" s="82" t="e">
        <f aca="false">#REF!</f>
        <v>#REF!</v>
      </c>
      <c r="F17" s="82" t="e">
        <f aca="false">#REF!</f>
        <v>#REF!</v>
      </c>
    </row>
    <row r="18" customFormat="false" ht="12.8" hidden="false" customHeight="false" outlineLevel="0" collapsed="false">
      <c r="A18" s="55" t="e">
        <f aca="false">_xlfn.CONCAT($A$1, ".", #REF!)</f>
        <v>#REF!</v>
      </c>
      <c r="B18" s="71" t="e">
        <f aca="false">_xlfn.CONCAT(#REF!, ":", #REF!)</f>
        <v>#REF!</v>
      </c>
      <c r="C18" s="82" t="e">
        <f aca="false">#REF!</f>
        <v>#REF!</v>
      </c>
      <c r="D18" s="82" t="e">
        <f aca="false">#REF!</f>
        <v>#REF!</v>
      </c>
      <c r="E18" s="82" t="e">
        <f aca="false">#REF!</f>
        <v>#REF!</v>
      </c>
      <c r="F18" s="82" t="e">
        <f aca="false">#REF!</f>
        <v>#REF!</v>
      </c>
    </row>
    <row r="19" customFormat="false" ht="12.8" hidden="false" customHeight="false" outlineLevel="0" collapsed="false">
      <c r="A19" s="55" t="e">
        <f aca="false">_xlfn.CONCAT($A$1, ".", #REF!)</f>
        <v>#REF!</v>
      </c>
      <c r="B19" s="71" t="e">
        <f aca="false">_xlfn.CONCAT(#REF!, ":", #REF!)</f>
        <v>#REF!</v>
      </c>
      <c r="C19" s="82" t="e">
        <f aca="false">#REF!</f>
        <v>#REF!</v>
      </c>
      <c r="D19" s="82" t="e">
        <f aca="false">#REF!</f>
        <v>#REF!</v>
      </c>
      <c r="E19" s="82" t="e">
        <f aca="false">#REF!</f>
        <v>#REF!</v>
      </c>
      <c r="F19" s="82" t="e">
        <f aca="false">#REF!</f>
        <v>#REF!</v>
      </c>
    </row>
    <row r="20" customFormat="false" ht="12.8" hidden="false" customHeight="false" outlineLevel="0" collapsed="false">
      <c r="A20" s="55" t="e">
        <f aca="false">_xlfn.CONCAT($A$1, ".", #REF!)</f>
        <v>#REF!</v>
      </c>
      <c r="B20" s="71" t="e">
        <f aca="false">_xlfn.CONCAT(#REF!, ":", #REF!)</f>
        <v>#REF!</v>
      </c>
      <c r="C20" s="82" t="e">
        <f aca="false">#REF!</f>
        <v>#REF!</v>
      </c>
      <c r="D20" s="82" t="e">
        <f aca="false">#REF!</f>
        <v>#REF!</v>
      </c>
      <c r="E20" s="82" t="e">
        <f aca="false">#REF!</f>
        <v>#REF!</v>
      </c>
      <c r="F20" s="82" t="e">
        <f aca="false">#REF!</f>
        <v>#REF!</v>
      </c>
    </row>
    <row r="21" customFormat="false" ht="12.8" hidden="false" customHeight="false" outlineLevel="0" collapsed="false">
      <c r="A21" s="55" t="e">
        <f aca="false">_xlfn.CONCAT($A$1, ".", #REF!)</f>
        <v>#REF!</v>
      </c>
      <c r="B21" s="71" t="e">
        <f aca="false">_xlfn.CONCAT(#REF!, ":", #REF!)</f>
        <v>#REF!</v>
      </c>
      <c r="C21" s="82" t="e">
        <f aca="false">#REF!</f>
        <v>#REF!</v>
      </c>
      <c r="D21" s="82" t="e">
        <f aca="false">#REF!</f>
        <v>#REF!</v>
      </c>
      <c r="E21" s="82" t="e">
        <f aca="false">#REF!</f>
        <v>#REF!</v>
      </c>
      <c r="F21" s="82" t="e">
        <f aca="false">#REF!</f>
        <v>#REF!</v>
      </c>
    </row>
    <row r="22" customFormat="false" ht="12.8" hidden="false" customHeight="false" outlineLevel="0" collapsed="false">
      <c r="A22" s="55" t="e">
        <f aca="false">_xlfn.CONCAT($A$1, ".", #REF!)</f>
        <v>#REF!</v>
      </c>
      <c r="B22" s="71" t="e">
        <f aca="false">_xlfn.CONCAT(#REF!, ":", #REF!)</f>
        <v>#REF!</v>
      </c>
      <c r="C22" s="82" t="e">
        <f aca="false">#REF!</f>
        <v>#REF!</v>
      </c>
      <c r="D22" s="82" t="e">
        <f aca="false">#REF!</f>
        <v>#REF!</v>
      </c>
      <c r="E22" s="82" t="e">
        <f aca="false">#REF!</f>
        <v>#REF!</v>
      </c>
      <c r="F22" s="82" t="e">
        <f aca="false">#REF!</f>
        <v>#REF!</v>
      </c>
    </row>
    <row r="23" customFormat="false" ht="12.8" hidden="false" customHeight="false" outlineLevel="0" collapsed="false">
      <c r="A23" s="55" t="e">
        <f aca="false">_xlfn.CONCAT($A$1, ".", #REF!)</f>
        <v>#REF!</v>
      </c>
      <c r="B23" s="71" t="e">
        <f aca="false">_xlfn.CONCAT(#REF!, ":", #REF!)</f>
        <v>#REF!</v>
      </c>
      <c r="C23" s="82" t="e">
        <f aca="false">#REF!</f>
        <v>#REF!</v>
      </c>
      <c r="D23" s="82" t="e">
        <f aca="false">#REF!</f>
        <v>#REF!</v>
      </c>
      <c r="E23" s="82" t="e">
        <f aca="false">#REF!</f>
        <v>#REF!</v>
      </c>
      <c r="F23" s="82" t="e">
        <f aca="false">#REF!</f>
        <v>#REF!</v>
      </c>
    </row>
    <row r="24" customFormat="false" ht="12.8" hidden="false" customHeight="false" outlineLevel="0" collapsed="false">
      <c r="A24" s="55" t="e">
        <f aca="false">_xlfn.CONCAT($A$1, ".", #REF!)</f>
        <v>#REF!</v>
      </c>
      <c r="B24" s="71" t="e">
        <f aca="false">_xlfn.CONCAT(#REF!, ":", #REF!)</f>
        <v>#REF!</v>
      </c>
      <c r="C24" s="82" t="e">
        <f aca="false">#REF!</f>
        <v>#REF!</v>
      </c>
      <c r="D24" s="82" t="e">
        <f aca="false">#REF!</f>
        <v>#REF!</v>
      </c>
      <c r="E24" s="82" t="e">
        <f aca="false">#REF!</f>
        <v>#REF!</v>
      </c>
      <c r="F24" s="82" t="e">
        <f aca="false">#REF!</f>
        <v>#REF!</v>
      </c>
    </row>
    <row r="25" customFormat="false" ht="12.8" hidden="false" customHeight="false" outlineLevel="0" collapsed="false">
      <c r="A25" s="55" t="e">
        <f aca="false">_xlfn.CONCAT($A$1, ".", #REF!)</f>
        <v>#REF!</v>
      </c>
      <c r="B25" s="71" t="e">
        <f aca="false">_xlfn.CONCAT(#REF!, ":", #REF!)</f>
        <v>#REF!</v>
      </c>
      <c r="C25" s="82" t="e">
        <f aca="false">#REF!</f>
        <v>#REF!</v>
      </c>
      <c r="D25" s="82" t="e">
        <f aca="false">#REF!</f>
        <v>#REF!</v>
      </c>
      <c r="E25" s="82" t="e">
        <f aca="false">#REF!</f>
        <v>#REF!</v>
      </c>
      <c r="F25" s="82" t="e">
        <f aca="false">#REF!</f>
        <v>#REF!</v>
      </c>
    </row>
    <row r="26" customFormat="false" ht="12.8" hidden="false" customHeight="false" outlineLevel="0" collapsed="false">
      <c r="A26" s="55" t="e">
        <f aca="false">_xlfn.CONCAT($A$1, ".", #REF!)</f>
        <v>#REF!</v>
      </c>
      <c r="B26" s="71" t="e">
        <f aca="false">_xlfn.CONCAT(#REF!, ":", #REF!)</f>
        <v>#REF!</v>
      </c>
      <c r="C26" s="82" t="e">
        <f aca="false">#REF!</f>
        <v>#REF!</v>
      </c>
      <c r="D26" s="82" t="e">
        <f aca="false">#REF!</f>
        <v>#REF!</v>
      </c>
      <c r="E26" s="82" t="e">
        <f aca="false">#REF!</f>
        <v>#REF!</v>
      </c>
      <c r="F26" s="82" t="e">
        <f aca="false">#REF!</f>
        <v>#REF!</v>
      </c>
    </row>
    <row r="27" customFormat="false" ht="12.8" hidden="false" customHeight="false" outlineLevel="0" collapsed="false">
      <c r="A27" s="55" t="e">
        <f aca="false">_xlfn.CONCAT($A$1, ".", #REF!)</f>
        <v>#REF!</v>
      </c>
      <c r="B27" s="71" t="e">
        <f aca="false">_xlfn.CONCAT(#REF!, ":", #REF!)</f>
        <v>#REF!</v>
      </c>
      <c r="C27" s="82" t="e">
        <f aca="false">#REF!</f>
        <v>#REF!</v>
      </c>
      <c r="D27" s="82" t="e">
        <f aca="false">#REF!</f>
        <v>#REF!</v>
      </c>
      <c r="E27" s="82" t="e">
        <f aca="false">#REF!</f>
        <v>#REF!</v>
      </c>
      <c r="F27" s="82" t="e">
        <f aca="false">#REF!</f>
        <v>#REF!</v>
      </c>
    </row>
    <row r="28" customFormat="false" ht="12.8" hidden="false" customHeight="false" outlineLevel="0" collapsed="false">
      <c r="A28" s="55" t="e">
        <f aca="false">_xlfn.CONCAT($A$1, ".", #REF!)</f>
        <v>#REF!</v>
      </c>
      <c r="B28" s="71" t="e">
        <f aca="false">_xlfn.CONCAT(#REF!, ":", #REF!)</f>
        <v>#REF!</v>
      </c>
      <c r="C28" s="82" t="e">
        <f aca="false">#REF!</f>
        <v>#REF!</v>
      </c>
      <c r="D28" s="82" t="e">
        <f aca="false">#REF!</f>
        <v>#REF!</v>
      </c>
      <c r="E28" s="82" t="e">
        <f aca="false">#REF!</f>
        <v>#REF!</v>
      </c>
      <c r="F28" s="82" t="e">
        <f aca="false">#REF!</f>
        <v>#REF!</v>
      </c>
    </row>
    <row r="29" customFormat="false" ht="12.8" hidden="false" customHeight="false" outlineLevel="0" collapsed="false">
      <c r="A29" s="55" t="e">
        <f aca="false">_xlfn.CONCAT($A$1, ".", #REF!)</f>
        <v>#REF!</v>
      </c>
      <c r="B29" s="71" t="e">
        <f aca="false">_xlfn.CONCAT(#REF!, ":", #REF!)</f>
        <v>#REF!</v>
      </c>
      <c r="C29" s="82" t="e">
        <f aca="false">#REF!</f>
        <v>#REF!</v>
      </c>
      <c r="D29" s="82" t="e">
        <f aca="false">#REF!</f>
        <v>#REF!</v>
      </c>
      <c r="E29" s="82" t="e">
        <f aca="false">#REF!</f>
        <v>#REF!</v>
      </c>
      <c r="F29" s="82" t="e">
        <f aca="false">#REF!</f>
        <v>#REF!</v>
      </c>
    </row>
    <row r="30" customFormat="false" ht="12.8" hidden="false" customHeight="false" outlineLevel="0" collapsed="false">
      <c r="A30" s="55" t="e">
        <f aca="false">_xlfn.CONCAT($A$1, ".", #REF!)</f>
        <v>#REF!</v>
      </c>
      <c r="B30" s="71" t="e">
        <f aca="false">_xlfn.CONCAT(#REF!, ":", #REF!)</f>
        <v>#REF!</v>
      </c>
      <c r="C30" s="82" t="e">
        <f aca="false">#REF!</f>
        <v>#REF!</v>
      </c>
      <c r="D30" s="82" t="e">
        <f aca="false">#REF!</f>
        <v>#REF!</v>
      </c>
      <c r="E30" s="82" t="e">
        <f aca="false">#REF!</f>
        <v>#REF!</v>
      </c>
      <c r="F30" s="82" t="e">
        <f aca="false">#REF!</f>
        <v>#REF!</v>
      </c>
    </row>
    <row r="31" customFormat="false" ht="12.8" hidden="false" customHeight="false" outlineLevel="0" collapsed="false">
      <c r="A31" s="55" t="e">
        <f aca="false">_xlfn.CONCAT($A$1, ".", #REF!)</f>
        <v>#REF!</v>
      </c>
      <c r="B31" s="71" t="e">
        <f aca="false">_xlfn.CONCAT(#REF!, ":", #REF!)</f>
        <v>#REF!</v>
      </c>
      <c r="C31" s="82" t="e">
        <f aca="false">#REF!</f>
        <v>#REF!</v>
      </c>
      <c r="D31" s="82" t="e">
        <f aca="false">#REF!</f>
        <v>#REF!</v>
      </c>
      <c r="E31" s="82" t="e">
        <f aca="false">#REF!</f>
        <v>#REF!</v>
      </c>
      <c r="F31" s="82" t="e">
        <f aca="false">#REF!</f>
        <v>#REF!</v>
      </c>
    </row>
    <row r="32" customFormat="false" ht="12.8" hidden="false" customHeight="false" outlineLevel="0" collapsed="false">
      <c r="A32" s="55" t="e">
        <f aca="false">_xlfn.CONCAT($A$1, ".", #REF!)</f>
        <v>#REF!</v>
      </c>
      <c r="B32" s="71" t="e">
        <f aca="false">_xlfn.CONCAT(#REF!, ":", #REF!)</f>
        <v>#REF!</v>
      </c>
      <c r="C32" s="82" t="e">
        <f aca="false">#REF!</f>
        <v>#REF!</v>
      </c>
      <c r="D32" s="82" t="e">
        <f aca="false">#REF!</f>
        <v>#REF!</v>
      </c>
      <c r="E32" s="82" t="e">
        <f aca="false">#REF!</f>
        <v>#REF!</v>
      </c>
      <c r="F32" s="82" t="e">
        <f aca="false">#REF!</f>
        <v>#REF!</v>
      </c>
    </row>
    <row r="33" customFormat="false" ht="12.8" hidden="false" customHeight="false" outlineLevel="0" collapsed="false">
      <c r="A33" s="55" t="e">
        <f aca="false">_xlfn.CONCAT($A$1, ".", #REF!)</f>
        <v>#REF!</v>
      </c>
      <c r="B33" s="71" t="e">
        <f aca="false">_xlfn.CONCAT(#REF!, ":", #REF!)</f>
        <v>#REF!</v>
      </c>
      <c r="C33" s="82" t="e">
        <f aca="false">#REF!</f>
        <v>#REF!</v>
      </c>
      <c r="D33" s="82" t="e">
        <f aca="false">#REF!</f>
        <v>#REF!</v>
      </c>
      <c r="E33" s="82" t="e">
        <f aca="false">#REF!</f>
        <v>#REF!</v>
      </c>
      <c r="F33" s="82" t="e">
        <f aca="false">#REF!</f>
        <v>#REF!</v>
      </c>
    </row>
    <row r="34" customFormat="false" ht="12.8" hidden="false" customHeight="false" outlineLevel="0" collapsed="false">
      <c r="A34" s="55" t="e">
        <f aca="false">_xlfn.CONCAT($A$1, ".", #REF!)</f>
        <v>#REF!</v>
      </c>
      <c r="B34" s="71" t="e">
        <f aca="false">_xlfn.CONCAT(#REF!, ":", #REF!)</f>
        <v>#REF!</v>
      </c>
      <c r="C34" s="82" t="e">
        <f aca="false">#REF!</f>
        <v>#REF!</v>
      </c>
      <c r="D34" s="82" t="e">
        <f aca="false">#REF!</f>
        <v>#REF!</v>
      </c>
      <c r="E34" s="82" t="e">
        <f aca="false">#REF!</f>
        <v>#REF!</v>
      </c>
      <c r="F34" s="82" t="e">
        <f aca="false">#REF!</f>
        <v>#REF!</v>
      </c>
    </row>
    <row r="35" customFormat="false" ht="12.8" hidden="false" customHeight="false" outlineLevel="0" collapsed="false">
      <c r="A35" s="55" t="e">
        <f aca="false">_xlfn.CONCAT($A$1, ".", #REF!)</f>
        <v>#REF!</v>
      </c>
      <c r="B35" s="71" t="e">
        <f aca="false">_xlfn.CONCAT(#REF!, ":", #REF!)</f>
        <v>#REF!</v>
      </c>
      <c r="C35" s="82" t="e">
        <f aca="false">#REF!</f>
        <v>#REF!</v>
      </c>
      <c r="D35" s="82" t="e">
        <f aca="false">#REF!</f>
        <v>#REF!</v>
      </c>
      <c r="E35" s="82" t="e">
        <f aca="false">#REF!</f>
        <v>#REF!</v>
      </c>
      <c r="F35" s="82" t="e">
        <f aca="false">#REF!</f>
        <v>#REF!</v>
      </c>
    </row>
    <row r="36" customFormat="false" ht="12.8" hidden="false" customHeight="false" outlineLevel="0" collapsed="false">
      <c r="A36" s="55" t="e">
        <f aca="false">_xlfn.CONCAT($A$1, ".", #REF!)</f>
        <v>#REF!</v>
      </c>
      <c r="B36" s="71" t="e">
        <f aca="false">_xlfn.CONCAT(#REF!, ":", #REF!)</f>
        <v>#REF!</v>
      </c>
      <c r="C36" s="82" t="e">
        <f aca="false">#REF!</f>
        <v>#REF!</v>
      </c>
      <c r="D36" s="82" t="e">
        <f aca="false">#REF!</f>
        <v>#REF!</v>
      </c>
      <c r="E36" s="82" t="e">
        <f aca="false">#REF!</f>
        <v>#REF!</v>
      </c>
      <c r="F36" s="82" t="e">
        <f aca="false">#REF!</f>
        <v>#REF!</v>
      </c>
    </row>
    <row r="37" customFormat="false" ht="12.8" hidden="false" customHeight="false" outlineLevel="0" collapsed="false">
      <c r="A37" s="55" t="e">
        <f aca="false">_xlfn.CONCAT($A$1, ".", #REF!)</f>
        <v>#REF!</v>
      </c>
      <c r="B37" s="71" t="e">
        <f aca="false">_xlfn.CONCAT(#REF!, ":", #REF!)</f>
        <v>#REF!</v>
      </c>
      <c r="C37" s="82" t="e">
        <f aca="false">#REF!</f>
        <v>#REF!</v>
      </c>
      <c r="D37" s="82" t="e">
        <f aca="false">#REF!</f>
        <v>#REF!</v>
      </c>
      <c r="E37" s="82" t="e">
        <f aca="false">#REF!</f>
        <v>#REF!</v>
      </c>
      <c r="F37" s="82" t="e">
        <f aca="false">#REF!</f>
        <v>#REF!</v>
      </c>
    </row>
    <row r="38" customFormat="false" ht="12.8" hidden="false" customHeight="false" outlineLevel="0" collapsed="false">
      <c r="A38" s="55" t="e">
        <f aca="false">_xlfn.CONCAT($A$1, ".", #REF!)</f>
        <v>#REF!</v>
      </c>
      <c r="B38" s="71" t="e">
        <f aca="false">_xlfn.CONCAT(#REF!, ":", #REF!)</f>
        <v>#REF!</v>
      </c>
      <c r="C38" s="82" t="e">
        <f aca="false">#REF!</f>
        <v>#REF!</v>
      </c>
      <c r="D38" s="82" t="e">
        <f aca="false">#REF!</f>
        <v>#REF!</v>
      </c>
      <c r="E38" s="82" t="e">
        <f aca="false">#REF!</f>
        <v>#REF!</v>
      </c>
      <c r="F38" s="82" t="e">
        <f aca="false">#REF!</f>
        <v>#REF!</v>
      </c>
    </row>
    <row r="39" customFormat="false" ht="12.8" hidden="false" customHeight="false" outlineLevel="0" collapsed="false">
      <c r="A39" s="55" t="e">
        <f aca="false">_xlfn.CONCAT($A$1, ".", #REF!)</f>
        <v>#REF!</v>
      </c>
      <c r="B39" s="71" t="e">
        <f aca="false">_xlfn.CONCAT(#REF!, ":", #REF!)</f>
        <v>#REF!</v>
      </c>
      <c r="C39" s="82" t="e">
        <f aca="false">#REF!</f>
        <v>#REF!</v>
      </c>
      <c r="D39" s="82" t="e">
        <f aca="false">#REF!</f>
        <v>#REF!</v>
      </c>
      <c r="E39" s="82" t="e">
        <f aca="false">#REF!</f>
        <v>#REF!</v>
      </c>
      <c r="F39" s="82" t="e">
        <f aca="false">#REF!</f>
        <v>#REF!</v>
      </c>
    </row>
    <row r="40" customFormat="false" ht="12.8" hidden="false" customHeight="false" outlineLevel="0" collapsed="false">
      <c r="A40" s="55" t="e">
        <f aca="false">_xlfn.CONCAT($A$1, ".", #REF!)</f>
        <v>#REF!</v>
      </c>
      <c r="B40" s="71" t="e">
        <f aca="false">_xlfn.CONCAT(#REF!, ":", #REF!)</f>
        <v>#REF!</v>
      </c>
      <c r="C40" s="82" t="e">
        <f aca="false">#REF!</f>
        <v>#REF!</v>
      </c>
      <c r="D40" s="82" t="e">
        <f aca="false">#REF!</f>
        <v>#REF!</v>
      </c>
      <c r="E40" s="82" t="e">
        <f aca="false">#REF!</f>
        <v>#REF!</v>
      </c>
      <c r="F40" s="82" t="e">
        <f aca="false">#REF!</f>
        <v>#REF!</v>
      </c>
    </row>
    <row r="41" customFormat="false" ht="12.8" hidden="false" customHeight="false" outlineLevel="0" collapsed="false">
      <c r="A41" s="55" t="e">
        <f aca="false">_xlfn.CONCAT($A$1, ".", #REF!)</f>
        <v>#REF!</v>
      </c>
      <c r="B41" s="71" t="e">
        <f aca="false">_xlfn.CONCAT(#REF!, ":", #REF!)</f>
        <v>#REF!</v>
      </c>
      <c r="C41" s="82" t="e">
        <f aca="false">#REF!</f>
        <v>#REF!</v>
      </c>
      <c r="D41" s="82" t="e">
        <f aca="false">#REF!</f>
        <v>#REF!</v>
      </c>
      <c r="E41" s="82" t="e">
        <f aca="false">#REF!</f>
        <v>#REF!</v>
      </c>
      <c r="F41" s="82" t="e">
        <f aca="false">#REF!</f>
        <v>#REF!</v>
      </c>
    </row>
    <row r="42" customFormat="false" ht="12.8" hidden="false" customHeight="false" outlineLevel="0" collapsed="false">
      <c r="A42" s="55" t="e">
        <f aca="false">_xlfn.CONCAT($A$1, ".", #REF!)</f>
        <v>#REF!</v>
      </c>
      <c r="B42" s="71" t="e">
        <f aca="false">_xlfn.CONCAT(#REF!, ":", #REF!)</f>
        <v>#REF!</v>
      </c>
      <c r="C42" s="82" t="e">
        <f aca="false">#REF!</f>
        <v>#REF!</v>
      </c>
      <c r="D42" s="82" t="e">
        <f aca="false">#REF!</f>
        <v>#REF!</v>
      </c>
      <c r="E42" s="82" t="e">
        <f aca="false">#REF!</f>
        <v>#REF!</v>
      </c>
      <c r="F42" s="82" t="e">
        <f aca="false">#REF!</f>
        <v>#REF!</v>
      </c>
    </row>
    <row r="43" customFormat="false" ht="12.8" hidden="false" customHeight="false" outlineLevel="0" collapsed="false">
      <c r="A43" s="55" t="e">
        <f aca="false">_xlfn.CONCAT($A$1, ".", #REF!)</f>
        <v>#REF!</v>
      </c>
      <c r="B43" s="71" t="e">
        <f aca="false">_xlfn.CONCAT(#REF!, ":", #REF!)</f>
        <v>#REF!</v>
      </c>
      <c r="C43" s="82" t="e">
        <f aca="false">#REF!</f>
        <v>#REF!</v>
      </c>
      <c r="D43" s="82" t="e">
        <f aca="false">#REF!</f>
        <v>#REF!</v>
      </c>
      <c r="E43" s="82" t="e">
        <f aca="false">#REF!</f>
        <v>#REF!</v>
      </c>
      <c r="F43" s="82" t="e">
        <f aca="false">#REF!</f>
        <v>#REF!</v>
      </c>
    </row>
    <row r="44" customFormat="false" ht="12.8" hidden="false" customHeight="false" outlineLevel="0" collapsed="false">
      <c r="A44" s="55" t="e">
        <f aca="false">_xlfn.CONCAT($A$1, ".", #REF!)</f>
        <v>#REF!</v>
      </c>
      <c r="B44" s="71" t="e">
        <f aca="false">_xlfn.CONCAT(#REF!, ":", #REF!)</f>
        <v>#REF!</v>
      </c>
      <c r="C44" s="82" t="e">
        <f aca="false">#REF!</f>
        <v>#REF!</v>
      </c>
      <c r="D44" s="82" t="e">
        <f aca="false">#REF!</f>
        <v>#REF!</v>
      </c>
      <c r="E44" s="82" t="e">
        <f aca="false">#REF!</f>
        <v>#REF!</v>
      </c>
      <c r="F44" s="82" t="e">
        <f aca="false">#REF!</f>
        <v>#REF!</v>
      </c>
    </row>
    <row r="45" customFormat="false" ht="12.8" hidden="false" customHeight="false" outlineLevel="0" collapsed="false">
      <c r="A45" s="55" t="e">
        <f aca="false">_xlfn.CONCAT($A$1, ".", #REF!)</f>
        <v>#REF!</v>
      </c>
      <c r="B45" s="71" t="e">
        <f aca="false">_xlfn.CONCAT(#REF!, ":", #REF!)</f>
        <v>#REF!</v>
      </c>
      <c r="C45" s="82" t="e">
        <f aca="false">#REF!</f>
        <v>#REF!</v>
      </c>
      <c r="D45" s="82" t="e">
        <f aca="false">#REF!</f>
        <v>#REF!</v>
      </c>
      <c r="E45" s="82" t="e">
        <f aca="false">#REF!</f>
        <v>#REF!</v>
      </c>
      <c r="F45" s="82" t="e">
        <f aca="false">#REF!</f>
        <v>#REF!</v>
      </c>
    </row>
    <row r="46" customFormat="false" ht="12.8" hidden="false" customHeight="false" outlineLevel="0" collapsed="false">
      <c r="A46" s="55" t="e">
        <f aca="false">_xlfn.CONCAT($A$1, ".", #REF!)</f>
        <v>#REF!</v>
      </c>
      <c r="B46" s="71" t="e">
        <f aca="false">_xlfn.CONCAT(#REF!, ":", #REF!)</f>
        <v>#REF!</v>
      </c>
      <c r="C46" s="82" t="e">
        <f aca="false">#REF!</f>
        <v>#REF!</v>
      </c>
      <c r="D46" s="82" t="e">
        <f aca="false">#REF!</f>
        <v>#REF!</v>
      </c>
      <c r="E46" s="82" t="e">
        <f aca="false">#REF!</f>
        <v>#REF!</v>
      </c>
      <c r="F46" s="82" t="e">
        <f aca="false">#REF!</f>
        <v>#REF!</v>
      </c>
    </row>
    <row r="47" customFormat="false" ht="12.8" hidden="false" customHeight="false" outlineLevel="0" collapsed="false">
      <c r="A47" s="55" t="e">
        <f aca="false">_xlfn.CONCAT($A$1, ".", #REF!)</f>
        <v>#REF!</v>
      </c>
      <c r="B47" s="71" t="e">
        <f aca="false">_xlfn.CONCAT(#REF!, ":", #REF!)</f>
        <v>#REF!</v>
      </c>
      <c r="C47" s="82" t="e">
        <f aca="false">#REF!</f>
        <v>#REF!</v>
      </c>
      <c r="D47" s="82" t="e">
        <f aca="false">#REF!</f>
        <v>#REF!</v>
      </c>
      <c r="E47" s="82" t="e">
        <f aca="false">#REF!</f>
        <v>#REF!</v>
      </c>
      <c r="F47" s="82" t="e">
        <f aca="false">#REF!</f>
        <v>#REF!</v>
      </c>
    </row>
    <row r="48" customFormat="false" ht="12.8" hidden="false" customHeight="false" outlineLevel="0" collapsed="false">
      <c r="A48" s="55" t="e">
        <f aca="false">_xlfn.CONCAT($A$1, ".", #REF!)</f>
        <v>#REF!</v>
      </c>
      <c r="B48" s="71" t="e">
        <f aca="false">_xlfn.CONCAT(#REF!, ":", #REF!)</f>
        <v>#REF!</v>
      </c>
      <c r="C48" s="82" t="e">
        <f aca="false">#REF!</f>
        <v>#REF!</v>
      </c>
      <c r="D48" s="82" t="e">
        <f aca="false">#REF!</f>
        <v>#REF!</v>
      </c>
      <c r="E48" s="82" t="e">
        <f aca="false">#REF!</f>
        <v>#REF!</v>
      </c>
      <c r="F48" s="82" t="e">
        <f aca="false">#REF!</f>
        <v>#REF!</v>
      </c>
    </row>
    <row r="49" customFormat="false" ht="12.8" hidden="false" customHeight="false" outlineLevel="0" collapsed="false">
      <c r="A49" s="55" t="e">
        <f aca="false">_xlfn.CONCAT($A$1, ".", #REF!)</f>
        <v>#REF!</v>
      </c>
      <c r="B49" s="71" t="e">
        <f aca="false">_xlfn.CONCAT(#REF!, ":", #REF!)</f>
        <v>#REF!</v>
      </c>
      <c r="C49" s="82" t="e">
        <f aca="false">#REF!</f>
        <v>#REF!</v>
      </c>
      <c r="D49" s="82" t="e">
        <f aca="false">#REF!</f>
        <v>#REF!</v>
      </c>
      <c r="E49" s="82" t="e">
        <f aca="false">#REF!</f>
        <v>#REF!</v>
      </c>
      <c r="F49" s="82" t="e">
        <f aca="false">#REF!</f>
        <v>#REF!</v>
      </c>
    </row>
    <row r="50" customFormat="false" ht="12.8" hidden="false" customHeight="false" outlineLevel="0" collapsed="false">
      <c r="A50" s="55" t="e">
        <f aca="false">_xlfn.CONCAT($A$1, ".", #REF!)</f>
        <v>#REF!</v>
      </c>
      <c r="B50" s="71" t="e">
        <f aca="false">_xlfn.CONCAT(#REF!, ":", #REF!)</f>
        <v>#REF!</v>
      </c>
      <c r="C50" s="82" t="e">
        <f aca="false">#REF!</f>
        <v>#REF!</v>
      </c>
      <c r="D50" s="82" t="e">
        <f aca="false">#REF!</f>
        <v>#REF!</v>
      </c>
      <c r="E50" s="82" t="e">
        <f aca="false">#REF!</f>
        <v>#REF!</v>
      </c>
      <c r="F50" s="82" t="e">
        <f aca="false">#REF!</f>
        <v>#REF!</v>
      </c>
    </row>
    <row r="51" customFormat="false" ht="12.8" hidden="false" customHeight="false" outlineLevel="0" collapsed="false">
      <c r="A51" s="55" t="e">
        <f aca="false">_xlfn.CONCAT($A$1, ".", #REF!)</f>
        <v>#REF!</v>
      </c>
      <c r="B51" s="71" t="e">
        <f aca="false">_xlfn.CONCAT(#REF!, ":", #REF!)</f>
        <v>#REF!</v>
      </c>
      <c r="C51" s="82" t="e">
        <f aca="false">#REF!</f>
        <v>#REF!</v>
      </c>
      <c r="D51" s="82" t="e">
        <f aca="false">#REF!</f>
        <v>#REF!</v>
      </c>
      <c r="E51" s="82" t="e">
        <f aca="false">#REF!</f>
        <v>#REF!</v>
      </c>
      <c r="F51" s="82" t="e">
        <f aca="false">#REF!</f>
        <v>#REF!</v>
      </c>
    </row>
    <row r="52" customFormat="false" ht="12.8" hidden="false" customHeight="false" outlineLevel="0" collapsed="false">
      <c r="A52" s="55" t="e">
        <f aca="false">_xlfn.CONCAT($A$1, ".", #REF!)</f>
        <v>#REF!</v>
      </c>
      <c r="B52" s="71" t="e">
        <f aca="false">_xlfn.CONCAT(#REF!, ":", #REF!)</f>
        <v>#REF!</v>
      </c>
      <c r="C52" s="82" t="e">
        <f aca="false">#REF!</f>
        <v>#REF!</v>
      </c>
      <c r="D52" s="82" t="e">
        <f aca="false">#REF!</f>
        <v>#REF!</v>
      </c>
      <c r="E52" s="82" t="e">
        <f aca="false">#REF!</f>
        <v>#REF!</v>
      </c>
      <c r="F52" s="82" t="e">
        <f aca="false">#REF!</f>
        <v>#REF!</v>
      </c>
    </row>
    <row r="53" customFormat="false" ht="12.8" hidden="false" customHeight="false" outlineLevel="0" collapsed="false">
      <c r="A53" s="55" t="e">
        <f aca="false">_xlfn.CONCAT($A$1, ".", #REF!)</f>
        <v>#REF!</v>
      </c>
      <c r="B53" s="71" t="e">
        <f aca="false">_xlfn.CONCAT(#REF!, ":", #REF!)</f>
        <v>#REF!</v>
      </c>
      <c r="C53" s="82" t="e">
        <f aca="false">#REF!</f>
        <v>#REF!</v>
      </c>
      <c r="D53" s="82" t="e">
        <f aca="false">#REF!</f>
        <v>#REF!</v>
      </c>
      <c r="E53" s="82" t="e">
        <f aca="false">#REF!</f>
        <v>#REF!</v>
      </c>
      <c r="F53" s="82" t="e">
        <f aca="false">#REF!</f>
        <v>#REF!</v>
      </c>
    </row>
    <row r="54" customFormat="false" ht="12.8" hidden="false" customHeight="false" outlineLevel="0" collapsed="false">
      <c r="A54" s="55" t="e">
        <f aca="false">_xlfn.CONCAT($A$1, ".", #REF!)</f>
        <v>#REF!</v>
      </c>
      <c r="B54" s="71" t="e">
        <f aca="false">_xlfn.CONCAT(#REF!, ":", #REF!)</f>
        <v>#REF!</v>
      </c>
      <c r="C54" s="82" t="e">
        <f aca="false">#REF!</f>
        <v>#REF!</v>
      </c>
      <c r="D54" s="82" t="e">
        <f aca="false">#REF!</f>
        <v>#REF!</v>
      </c>
      <c r="E54" s="82" t="e">
        <f aca="false">#REF!</f>
        <v>#REF!</v>
      </c>
      <c r="F54" s="82" t="e">
        <f aca="false">#REF!</f>
        <v>#REF!</v>
      </c>
    </row>
    <row r="55" customFormat="false" ht="12.8" hidden="false" customHeight="false" outlineLevel="0" collapsed="false">
      <c r="A55" s="55" t="e">
        <f aca="false">_xlfn.CONCAT($A$1, ".", #REF!)</f>
        <v>#REF!</v>
      </c>
      <c r="B55" s="71" t="e">
        <f aca="false">_xlfn.CONCAT(#REF!, ":", #REF!)</f>
        <v>#REF!</v>
      </c>
      <c r="C55" s="82" t="e">
        <f aca="false">#REF!</f>
        <v>#REF!</v>
      </c>
      <c r="D55" s="82" t="e">
        <f aca="false">#REF!</f>
        <v>#REF!</v>
      </c>
      <c r="E55" s="82" t="e">
        <f aca="false">#REF!</f>
        <v>#REF!</v>
      </c>
      <c r="F55" s="82"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0" sqref="J224"/>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2322</v>
      </c>
      <c r="B1" s="84" t="s">
        <v>2323</v>
      </c>
      <c r="C1" s="6" t="s">
        <v>2</v>
      </c>
      <c r="D1" s="41" t="s">
        <v>2324</v>
      </c>
      <c r="AZ1" s="41"/>
      <c r="BP1" s="41"/>
    </row>
    <row r="2" customFormat="false" ht="45.9" hidden="false" customHeight="false" outlineLevel="0" collapsed="false">
      <c r="A2" s="85" t="s">
        <v>1994</v>
      </c>
      <c r="B2" s="86" t="s">
        <v>1995</v>
      </c>
      <c r="C2" s="87" t="str">
        <f aca="false">CALC!BO3</f>
        <v>Employed Population</v>
      </c>
      <c r="D2" s="87" t="str">
        <f aca="false">CALC!BP3</f>
        <v>Authorized Immigrant Employed Population</v>
      </c>
      <c r="E2" s="87" t="str">
        <f aca="false">CALC!BQ3</f>
        <v>Unauthorized Immigrant Employed Population</v>
      </c>
      <c r="F2" s="87" t="str">
        <f aca="false">CALC!BR3</f>
        <v>American Employed Population</v>
      </c>
    </row>
    <row r="3" customFormat="false" ht="12.8" hidden="false" customHeight="false" outlineLevel="0" collapsed="false">
      <c r="A3" s="55" t="e">
        <f aca="false">_xlfn.CONCAT($A$1, ".", #REF!)</f>
        <v>#REF!</v>
      </c>
      <c r="B3" s="71" t="e">
        <f aca="false">_xlfn.CONCAT(#REF!, ":", #REF!)</f>
        <v>#REF!</v>
      </c>
      <c r="C3" s="87" t="e">
        <f aca="false">#REF!</f>
        <v>#REF!</v>
      </c>
      <c r="D3" s="87" t="e">
        <f aca="false">#REF!</f>
        <v>#REF!</v>
      </c>
      <c r="E3" s="87" t="e">
        <f aca="false">#REF!</f>
        <v>#REF!</v>
      </c>
      <c r="F3" s="87" t="e">
        <f aca="false">#REF!</f>
        <v>#REF!</v>
      </c>
    </row>
    <row r="4" customFormat="false" ht="12.8" hidden="false" customHeight="false" outlineLevel="0" collapsed="false">
      <c r="A4" s="55" t="e">
        <f aca="false">_xlfn.CONCAT($A$1, ".", #REF!)</f>
        <v>#REF!</v>
      </c>
      <c r="B4" s="71" t="e">
        <f aca="false">_xlfn.CONCAT(#REF!, ":", #REF!)</f>
        <v>#REF!</v>
      </c>
      <c r="C4" s="87" t="e">
        <f aca="false">#REF!</f>
        <v>#REF!</v>
      </c>
      <c r="D4" s="87" t="e">
        <f aca="false">#REF!</f>
        <v>#REF!</v>
      </c>
      <c r="E4" s="87" t="e">
        <f aca="false">#REF!</f>
        <v>#REF!</v>
      </c>
      <c r="F4" s="87" t="e">
        <f aca="false">#REF!</f>
        <v>#REF!</v>
      </c>
    </row>
    <row r="5" customFormat="false" ht="12.8" hidden="false" customHeight="false" outlineLevel="0" collapsed="false">
      <c r="A5" s="55" t="e">
        <f aca="false">_xlfn.CONCAT($A$1, ".", #REF!)</f>
        <v>#REF!</v>
      </c>
      <c r="B5" s="71" t="e">
        <f aca="false">_xlfn.CONCAT(#REF!, ":", #REF!)</f>
        <v>#REF!</v>
      </c>
      <c r="C5" s="87" t="e">
        <f aca="false">#REF!</f>
        <v>#REF!</v>
      </c>
      <c r="D5" s="87" t="e">
        <f aca="false">#REF!</f>
        <v>#REF!</v>
      </c>
      <c r="E5" s="87" t="e">
        <f aca="false">#REF!</f>
        <v>#REF!</v>
      </c>
      <c r="F5" s="87" t="e">
        <f aca="false">#REF!</f>
        <v>#REF!</v>
      </c>
    </row>
    <row r="6" customFormat="false" ht="12.8" hidden="false" customHeight="false" outlineLevel="0" collapsed="false">
      <c r="A6" s="55" t="e">
        <f aca="false">_xlfn.CONCAT($A$1, ".", #REF!)</f>
        <v>#REF!</v>
      </c>
      <c r="B6" s="71" t="e">
        <f aca="false">_xlfn.CONCAT(#REF!, ":", #REF!)</f>
        <v>#REF!</v>
      </c>
      <c r="C6" s="87" t="e">
        <f aca="false">#REF!</f>
        <v>#REF!</v>
      </c>
      <c r="D6" s="87" t="e">
        <f aca="false">#REF!</f>
        <v>#REF!</v>
      </c>
      <c r="E6" s="87" t="e">
        <f aca="false">#REF!</f>
        <v>#REF!</v>
      </c>
      <c r="F6" s="87" t="e">
        <f aca="false">#REF!</f>
        <v>#REF!</v>
      </c>
    </row>
    <row r="7" customFormat="false" ht="12.8" hidden="false" customHeight="false" outlineLevel="0" collapsed="false">
      <c r="A7" s="55" t="e">
        <f aca="false">_xlfn.CONCAT($A$1, ".", #REF!)</f>
        <v>#REF!</v>
      </c>
      <c r="B7" s="71" t="e">
        <f aca="false">_xlfn.CONCAT(#REF!, ":", #REF!)</f>
        <v>#REF!</v>
      </c>
      <c r="C7" s="87" t="e">
        <f aca="false">#REF!</f>
        <v>#REF!</v>
      </c>
      <c r="D7" s="87" t="e">
        <f aca="false">#REF!</f>
        <v>#REF!</v>
      </c>
      <c r="E7" s="87" t="e">
        <f aca="false">#REF!</f>
        <v>#REF!</v>
      </c>
      <c r="F7" s="87" t="e">
        <f aca="false">#REF!</f>
        <v>#REF!</v>
      </c>
    </row>
    <row r="8" customFormat="false" ht="12.8" hidden="false" customHeight="false" outlineLevel="0" collapsed="false">
      <c r="A8" s="55" t="e">
        <f aca="false">_xlfn.CONCAT($A$1, ".", #REF!)</f>
        <v>#REF!</v>
      </c>
      <c r="B8" s="71" t="e">
        <f aca="false">_xlfn.CONCAT(#REF!, ":", #REF!)</f>
        <v>#REF!</v>
      </c>
      <c r="C8" s="87" t="e">
        <f aca="false">#REF!</f>
        <v>#REF!</v>
      </c>
      <c r="D8" s="87" t="e">
        <f aca="false">#REF!</f>
        <v>#REF!</v>
      </c>
      <c r="E8" s="87" t="e">
        <f aca="false">#REF!</f>
        <v>#REF!</v>
      </c>
      <c r="F8" s="87" t="e">
        <f aca="false">#REF!</f>
        <v>#REF!</v>
      </c>
    </row>
    <row r="9" customFormat="false" ht="12.8" hidden="false" customHeight="false" outlineLevel="0" collapsed="false">
      <c r="A9" s="55" t="e">
        <f aca="false">_xlfn.CONCAT($A$1, ".", #REF!)</f>
        <v>#REF!</v>
      </c>
      <c r="B9" s="71" t="e">
        <f aca="false">_xlfn.CONCAT(#REF!, ":", #REF!)</f>
        <v>#REF!</v>
      </c>
      <c r="C9" s="87" t="e">
        <f aca="false">#REF!</f>
        <v>#REF!</v>
      </c>
      <c r="D9" s="87" t="e">
        <f aca="false">#REF!</f>
        <v>#REF!</v>
      </c>
      <c r="E9" s="87" t="e">
        <f aca="false">#REF!</f>
        <v>#REF!</v>
      </c>
      <c r="F9" s="87" t="e">
        <f aca="false">#REF!</f>
        <v>#REF!</v>
      </c>
    </row>
    <row r="10" customFormat="false" ht="12.8" hidden="false" customHeight="false" outlineLevel="0" collapsed="false">
      <c r="A10" s="55" t="e">
        <f aca="false">_xlfn.CONCAT($A$1, ".", #REF!)</f>
        <v>#REF!</v>
      </c>
      <c r="B10" s="71" t="e">
        <f aca="false">_xlfn.CONCAT(#REF!, ":", #REF!)</f>
        <v>#REF!</v>
      </c>
      <c r="C10" s="87" t="e">
        <f aca="false">#REF!</f>
        <v>#REF!</v>
      </c>
      <c r="D10" s="87" t="e">
        <f aca="false">#REF!</f>
        <v>#REF!</v>
      </c>
      <c r="E10" s="87" t="e">
        <f aca="false">#REF!</f>
        <v>#REF!</v>
      </c>
      <c r="F10" s="87" t="e">
        <f aca="false">#REF!</f>
        <v>#REF!</v>
      </c>
    </row>
    <row r="11" customFormat="false" ht="12.8" hidden="false" customHeight="false" outlineLevel="0" collapsed="false">
      <c r="A11" s="55" t="e">
        <f aca="false">_xlfn.CONCAT($A$1, ".", #REF!)</f>
        <v>#REF!</v>
      </c>
      <c r="B11" s="71" t="e">
        <f aca="false">_xlfn.CONCAT(#REF!, ":", #REF!)</f>
        <v>#REF!</v>
      </c>
      <c r="C11" s="87" t="e">
        <f aca="false">#REF!</f>
        <v>#REF!</v>
      </c>
      <c r="D11" s="87" t="e">
        <f aca="false">#REF!</f>
        <v>#REF!</v>
      </c>
      <c r="E11" s="87" t="e">
        <f aca="false">#REF!</f>
        <v>#REF!</v>
      </c>
      <c r="F11" s="87" t="e">
        <f aca="false">#REF!</f>
        <v>#REF!</v>
      </c>
    </row>
    <row r="12" customFormat="false" ht="12.8" hidden="false" customHeight="false" outlineLevel="0" collapsed="false">
      <c r="A12" s="55" t="e">
        <f aca="false">_xlfn.CONCAT($A$1, ".", #REF!)</f>
        <v>#REF!</v>
      </c>
      <c r="B12" s="71" t="e">
        <f aca="false">_xlfn.CONCAT(#REF!, ":", #REF!)</f>
        <v>#REF!</v>
      </c>
      <c r="C12" s="87" t="e">
        <f aca="false">#REF!</f>
        <v>#REF!</v>
      </c>
      <c r="D12" s="87" t="e">
        <f aca="false">#REF!</f>
        <v>#REF!</v>
      </c>
      <c r="E12" s="87" t="e">
        <f aca="false">#REF!</f>
        <v>#REF!</v>
      </c>
      <c r="F12" s="87" t="e">
        <f aca="false">#REF!</f>
        <v>#REF!</v>
      </c>
    </row>
    <row r="13" customFormat="false" ht="12.8" hidden="false" customHeight="false" outlineLevel="0" collapsed="false">
      <c r="A13" s="55" t="e">
        <f aca="false">_xlfn.CONCAT($A$1, ".", #REF!)</f>
        <v>#REF!</v>
      </c>
      <c r="B13" s="71" t="e">
        <f aca="false">_xlfn.CONCAT(#REF!, ":", #REF!)</f>
        <v>#REF!</v>
      </c>
      <c r="C13" s="87" t="e">
        <f aca="false">#REF!</f>
        <v>#REF!</v>
      </c>
      <c r="D13" s="87" t="e">
        <f aca="false">#REF!</f>
        <v>#REF!</v>
      </c>
      <c r="E13" s="87" t="e">
        <f aca="false">#REF!</f>
        <v>#REF!</v>
      </c>
      <c r="F13" s="87" t="e">
        <f aca="false">#REF!</f>
        <v>#REF!</v>
      </c>
    </row>
    <row r="14" customFormat="false" ht="12.8" hidden="false" customHeight="false" outlineLevel="0" collapsed="false">
      <c r="A14" s="55" t="e">
        <f aca="false">_xlfn.CONCAT($A$1, ".", #REF!)</f>
        <v>#REF!</v>
      </c>
      <c r="B14" s="71" t="e">
        <f aca="false">_xlfn.CONCAT(#REF!, ":", #REF!)</f>
        <v>#REF!</v>
      </c>
      <c r="C14" s="87" t="e">
        <f aca="false">#REF!</f>
        <v>#REF!</v>
      </c>
      <c r="D14" s="87" t="e">
        <f aca="false">#REF!</f>
        <v>#REF!</v>
      </c>
      <c r="E14" s="87" t="e">
        <f aca="false">#REF!</f>
        <v>#REF!</v>
      </c>
      <c r="F14" s="87" t="e">
        <f aca="false">#REF!</f>
        <v>#REF!</v>
      </c>
    </row>
    <row r="15" customFormat="false" ht="12.8" hidden="false" customHeight="false" outlineLevel="0" collapsed="false">
      <c r="A15" s="55" t="e">
        <f aca="false">_xlfn.CONCAT($A$1, ".", #REF!)</f>
        <v>#REF!</v>
      </c>
      <c r="B15" s="71" t="e">
        <f aca="false">_xlfn.CONCAT(#REF!, ":", #REF!)</f>
        <v>#REF!</v>
      </c>
      <c r="C15" s="87" t="e">
        <f aca="false">#REF!</f>
        <v>#REF!</v>
      </c>
      <c r="D15" s="87" t="e">
        <f aca="false">#REF!</f>
        <v>#REF!</v>
      </c>
      <c r="E15" s="87" t="e">
        <f aca="false">#REF!</f>
        <v>#REF!</v>
      </c>
      <c r="F15" s="87" t="e">
        <f aca="false">#REF!</f>
        <v>#REF!</v>
      </c>
    </row>
    <row r="16" customFormat="false" ht="12.8" hidden="false" customHeight="false" outlineLevel="0" collapsed="false">
      <c r="A16" s="55" t="e">
        <f aca="false">_xlfn.CONCAT($A$1, ".", #REF!)</f>
        <v>#REF!</v>
      </c>
      <c r="B16" s="71" t="e">
        <f aca="false">_xlfn.CONCAT(#REF!, ":", #REF!)</f>
        <v>#REF!</v>
      </c>
      <c r="C16" s="87" t="e">
        <f aca="false">#REF!</f>
        <v>#REF!</v>
      </c>
      <c r="D16" s="87" t="e">
        <f aca="false">#REF!</f>
        <v>#REF!</v>
      </c>
      <c r="E16" s="87" t="e">
        <f aca="false">#REF!</f>
        <v>#REF!</v>
      </c>
      <c r="F16" s="87" t="e">
        <f aca="false">#REF!</f>
        <v>#REF!</v>
      </c>
    </row>
    <row r="17" customFormat="false" ht="12.8" hidden="false" customHeight="false" outlineLevel="0" collapsed="false">
      <c r="A17" s="55" t="e">
        <f aca="false">_xlfn.CONCAT($A$1, ".", #REF!)</f>
        <v>#REF!</v>
      </c>
      <c r="B17" s="71" t="e">
        <f aca="false">_xlfn.CONCAT(#REF!, ":", #REF!)</f>
        <v>#REF!</v>
      </c>
      <c r="C17" s="87" t="e">
        <f aca="false">#REF!</f>
        <v>#REF!</v>
      </c>
      <c r="D17" s="87" t="e">
        <f aca="false">#REF!</f>
        <v>#REF!</v>
      </c>
      <c r="E17" s="87" t="e">
        <f aca="false">#REF!</f>
        <v>#REF!</v>
      </c>
      <c r="F17" s="87" t="e">
        <f aca="false">#REF!</f>
        <v>#REF!</v>
      </c>
    </row>
    <row r="18" customFormat="false" ht="12.8" hidden="false" customHeight="false" outlineLevel="0" collapsed="false">
      <c r="A18" s="55" t="e">
        <f aca="false">_xlfn.CONCAT($A$1, ".", #REF!)</f>
        <v>#REF!</v>
      </c>
      <c r="B18" s="71" t="e">
        <f aca="false">_xlfn.CONCAT(#REF!, ":", #REF!)</f>
        <v>#REF!</v>
      </c>
      <c r="C18" s="87" t="e">
        <f aca="false">#REF!</f>
        <v>#REF!</v>
      </c>
      <c r="D18" s="87" t="e">
        <f aca="false">#REF!</f>
        <v>#REF!</v>
      </c>
      <c r="E18" s="87" t="e">
        <f aca="false">#REF!</f>
        <v>#REF!</v>
      </c>
      <c r="F18" s="87" t="e">
        <f aca="false">#REF!</f>
        <v>#REF!</v>
      </c>
    </row>
    <row r="19" customFormat="false" ht="12.8" hidden="false" customHeight="false" outlineLevel="0" collapsed="false">
      <c r="A19" s="55" t="e">
        <f aca="false">_xlfn.CONCAT($A$1, ".", #REF!)</f>
        <v>#REF!</v>
      </c>
      <c r="B19" s="71" t="e">
        <f aca="false">_xlfn.CONCAT(#REF!, ":", #REF!)</f>
        <v>#REF!</v>
      </c>
      <c r="C19" s="87" t="e">
        <f aca="false">#REF!</f>
        <v>#REF!</v>
      </c>
      <c r="D19" s="87" t="e">
        <f aca="false">#REF!</f>
        <v>#REF!</v>
      </c>
      <c r="E19" s="87" t="e">
        <f aca="false">#REF!</f>
        <v>#REF!</v>
      </c>
      <c r="F19" s="87" t="e">
        <f aca="false">#REF!</f>
        <v>#REF!</v>
      </c>
    </row>
    <row r="20" customFormat="false" ht="12.8" hidden="false" customHeight="false" outlineLevel="0" collapsed="false">
      <c r="A20" s="55" t="e">
        <f aca="false">_xlfn.CONCAT($A$1, ".", #REF!)</f>
        <v>#REF!</v>
      </c>
      <c r="B20" s="71" t="e">
        <f aca="false">_xlfn.CONCAT(#REF!, ":", #REF!)</f>
        <v>#REF!</v>
      </c>
      <c r="C20" s="87" t="e">
        <f aca="false">#REF!</f>
        <v>#REF!</v>
      </c>
      <c r="D20" s="87" t="e">
        <f aca="false">#REF!</f>
        <v>#REF!</v>
      </c>
      <c r="E20" s="87" t="e">
        <f aca="false">#REF!</f>
        <v>#REF!</v>
      </c>
      <c r="F20" s="87" t="e">
        <f aca="false">#REF!</f>
        <v>#REF!</v>
      </c>
    </row>
    <row r="21" customFormat="false" ht="12.8" hidden="false" customHeight="false" outlineLevel="0" collapsed="false">
      <c r="A21" s="55" t="e">
        <f aca="false">_xlfn.CONCAT($A$1, ".", #REF!)</f>
        <v>#REF!</v>
      </c>
      <c r="B21" s="71" t="e">
        <f aca="false">_xlfn.CONCAT(#REF!, ":", #REF!)</f>
        <v>#REF!</v>
      </c>
      <c r="C21" s="87" t="e">
        <f aca="false">#REF!</f>
        <v>#REF!</v>
      </c>
      <c r="D21" s="87" t="e">
        <f aca="false">#REF!</f>
        <v>#REF!</v>
      </c>
      <c r="E21" s="87" t="e">
        <f aca="false">#REF!</f>
        <v>#REF!</v>
      </c>
      <c r="F21" s="87" t="e">
        <f aca="false">#REF!</f>
        <v>#REF!</v>
      </c>
    </row>
    <row r="22" customFormat="false" ht="12.8" hidden="false" customHeight="false" outlineLevel="0" collapsed="false">
      <c r="A22" s="55" t="e">
        <f aca="false">_xlfn.CONCAT($A$1, ".", #REF!)</f>
        <v>#REF!</v>
      </c>
      <c r="B22" s="71" t="e">
        <f aca="false">_xlfn.CONCAT(#REF!, ":", #REF!)</f>
        <v>#REF!</v>
      </c>
      <c r="C22" s="87" t="e">
        <f aca="false">#REF!</f>
        <v>#REF!</v>
      </c>
      <c r="D22" s="87" t="e">
        <f aca="false">#REF!</f>
        <v>#REF!</v>
      </c>
      <c r="E22" s="87" t="e">
        <f aca="false">#REF!</f>
        <v>#REF!</v>
      </c>
      <c r="F22" s="87" t="e">
        <f aca="false">#REF!</f>
        <v>#REF!</v>
      </c>
    </row>
    <row r="23" customFormat="false" ht="12.8" hidden="false" customHeight="false" outlineLevel="0" collapsed="false">
      <c r="A23" s="55" t="e">
        <f aca="false">_xlfn.CONCAT($A$1, ".", #REF!)</f>
        <v>#REF!</v>
      </c>
      <c r="B23" s="71" t="e">
        <f aca="false">_xlfn.CONCAT(#REF!, ":", #REF!)</f>
        <v>#REF!</v>
      </c>
      <c r="C23" s="87" t="e">
        <f aca="false">#REF!</f>
        <v>#REF!</v>
      </c>
      <c r="D23" s="87" t="e">
        <f aca="false">#REF!</f>
        <v>#REF!</v>
      </c>
      <c r="E23" s="87" t="e">
        <f aca="false">#REF!</f>
        <v>#REF!</v>
      </c>
      <c r="F23" s="87" t="e">
        <f aca="false">#REF!</f>
        <v>#REF!</v>
      </c>
    </row>
    <row r="24" customFormat="false" ht="12.8" hidden="false" customHeight="false" outlineLevel="0" collapsed="false">
      <c r="A24" s="55" t="e">
        <f aca="false">_xlfn.CONCAT($A$1, ".", #REF!)</f>
        <v>#REF!</v>
      </c>
      <c r="B24" s="71" t="e">
        <f aca="false">_xlfn.CONCAT(#REF!, ":", #REF!)</f>
        <v>#REF!</v>
      </c>
      <c r="C24" s="87" t="e">
        <f aca="false">#REF!</f>
        <v>#REF!</v>
      </c>
      <c r="D24" s="87" t="e">
        <f aca="false">#REF!</f>
        <v>#REF!</v>
      </c>
      <c r="E24" s="87" t="e">
        <f aca="false">#REF!</f>
        <v>#REF!</v>
      </c>
      <c r="F24" s="87" t="e">
        <f aca="false">#REF!</f>
        <v>#REF!</v>
      </c>
    </row>
    <row r="25" customFormat="false" ht="12.8" hidden="false" customHeight="false" outlineLevel="0" collapsed="false">
      <c r="A25" s="55" t="e">
        <f aca="false">_xlfn.CONCAT($A$1, ".", #REF!)</f>
        <v>#REF!</v>
      </c>
      <c r="B25" s="71" t="e">
        <f aca="false">_xlfn.CONCAT(#REF!, ":", #REF!)</f>
        <v>#REF!</v>
      </c>
      <c r="C25" s="87" t="e">
        <f aca="false">#REF!</f>
        <v>#REF!</v>
      </c>
      <c r="D25" s="87" t="e">
        <f aca="false">#REF!</f>
        <v>#REF!</v>
      </c>
      <c r="E25" s="87" t="e">
        <f aca="false">#REF!</f>
        <v>#REF!</v>
      </c>
      <c r="F25" s="87" t="e">
        <f aca="false">#REF!</f>
        <v>#REF!</v>
      </c>
    </row>
    <row r="26" customFormat="false" ht="12.8" hidden="false" customHeight="false" outlineLevel="0" collapsed="false">
      <c r="A26" s="55" t="e">
        <f aca="false">_xlfn.CONCAT($A$1, ".", #REF!)</f>
        <v>#REF!</v>
      </c>
      <c r="B26" s="71" t="e">
        <f aca="false">_xlfn.CONCAT(#REF!, ":", #REF!)</f>
        <v>#REF!</v>
      </c>
      <c r="C26" s="87" t="e">
        <f aca="false">#REF!</f>
        <v>#REF!</v>
      </c>
      <c r="D26" s="87" t="e">
        <f aca="false">#REF!</f>
        <v>#REF!</v>
      </c>
      <c r="E26" s="87" t="e">
        <f aca="false">#REF!</f>
        <v>#REF!</v>
      </c>
      <c r="F26" s="87" t="e">
        <f aca="false">#REF!</f>
        <v>#REF!</v>
      </c>
    </row>
    <row r="27" customFormat="false" ht="12.8" hidden="false" customHeight="false" outlineLevel="0" collapsed="false">
      <c r="A27" s="55" t="e">
        <f aca="false">_xlfn.CONCAT($A$1, ".", #REF!)</f>
        <v>#REF!</v>
      </c>
      <c r="B27" s="71" t="e">
        <f aca="false">_xlfn.CONCAT(#REF!, ":", #REF!)</f>
        <v>#REF!</v>
      </c>
      <c r="C27" s="87" t="e">
        <f aca="false">#REF!</f>
        <v>#REF!</v>
      </c>
      <c r="D27" s="87" t="e">
        <f aca="false">#REF!</f>
        <v>#REF!</v>
      </c>
      <c r="E27" s="87" t="e">
        <f aca="false">#REF!</f>
        <v>#REF!</v>
      </c>
      <c r="F27" s="87" t="e">
        <f aca="false">#REF!</f>
        <v>#REF!</v>
      </c>
    </row>
    <row r="28" customFormat="false" ht="12.8" hidden="false" customHeight="false" outlineLevel="0" collapsed="false">
      <c r="A28" s="55" t="e">
        <f aca="false">_xlfn.CONCAT($A$1, ".", #REF!)</f>
        <v>#REF!</v>
      </c>
      <c r="B28" s="71" t="e">
        <f aca="false">_xlfn.CONCAT(#REF!, ":", #REF!)</f>
        <v>#REF!</v>
      </c>
      <c r="C28" s="87" t="e">
        <f aca="false">#REF!</f>
        <v>#REF!</v>
      </c>
      <c r="D28" s="87" t="e">
        <f aca="false">#REF!</f>
        <v>#REF!</v>
      </c>
      <c r="E28" s="87" t="e">
        <f aca="false">#REF!</f>
        <v>#REF!</v>
      </c>
      <c r="F28" s="87" t="e">
        <f aca="false">#REF!</f>
        <v>#REF!</v>
      </c>
    </row>
    <row r="29" customFormat="false" ht="12.8" hidden="false" customHeight="false" outlineLevel="0" collapsed="false">
      <c r="A29" s="55" t="e">
        <f aca="false">_xlfn.CONCAT($A$1, ".", #REF!)</f>
        <v>#REF!</v>
      </c>
      <c r="B29" s="71" t="e">
        <f aca="false">_xlfn.CONCAT(#REF!, ":", #REF!)</f>
        <v>#REF!</v>
      </c>
      <c r="C29" s="87" t="e">
        <f aca="false">#REF!</f>
        <v>#REF!</v>
      </c>
      <c r="D29" s="87" t="e">
        <f aca="false">#REF!</f>
        <v>#REF!</v>
      </c>
      <c r="E29" s="87" t="e">
        <f aca="false">#REF!</f>
        <v>#REF!</v>
      </c>
      <c r="F29" s="87" t="e">
        <f aca="false">#REF!</f>
        <v>#REF!</v>
      </c>
    </row>
    <row r="30" customFormat="false" ht="12.8" hidden="false" customHeight="false" outlineLevel="0" collapsed="false">
      <c r="A30" s="55" t="e">
        <f aca="false">_xlfn.CONCAT($A$1, ".", #REF!)</f>
        <v>#REF!</v>
      </c>
      <c r="B30" s="71" t="e">
        <f aca="false">_xlfn.CONCAT(#REF!, ":", #REF!)</f>
        <v>#REF!</v>
      </c>
      <c r="C30" s="87" t="e">
        <f aca="false">#REF!</f>
        <v>#REF!</v>
      </c>
      <c r="D30" s="87" t="e">
        <f aca="false">#REF!</f>
        <v>#REF!</v>
      </c>
      <c r="E30" s="87" t="e">
        <f aca="false">#REF!</f>
        <v>#REF!</v>
      </c>
      <c r="F30" s="87" t="e">
        <f aca="false">#REF!</f>
        <v>#REF!</v>
      </c>
    </row>
    <row r="31" customFormat="false" ht="12.8" hidden="false" customHeight="false" outlineLevel="0" collapsed="false">
      <c r="A31" s="55" t="e">
        <f aca="false">_xlfn.CONCAT($A$1, ".", #REF!)</f>
        <v>#REF!</v>
      </c>
      <c r="B31" s="71" t="e">
        <f aca="false">_xlfn.CONCAT(#REF!, ":", #REF!)</f>
        <v>#REF!</v>
      </c>
      <c r="C31" s="87" t="e">
        <f aca="false">#REF!</f>
        <v>#REF!</v>
      </c>
      <c r="D31" s="87" t="e">
        <f aca="false">#REF!</f>
        <v>#REF!</v>
      </c>
      <c r="E31" s="87" t="e">
        <f aca="false">#REF!</f>
        <v>#REF!</v>
      </c>
      <c r="F31" s="87" t="e">
        <f aca="false">#REF!</f>
        <v>#REF!</v>
      </c>
    </row>
    <row r="32" customFormat="false" ht="12.8" hidden="false" customHeight="false" outlineLevel="0" collapsed="false">
      <c r="A32" s="55" t="e">
        <f aca="false">_xlfn.CONCAT($A$1, ".", #REF!)</f>
        <v>#REF!</v>
      </c>
      <c r="B32" s="71" t="e">
        <f aca="false">_xlfn.CONCAT(#REF!, ":", #REF!)</f>
        <v>#REF!</v>
      </c>
      <c r="C32" s="87" t="e">
        <f aca="false">#REF!</f>
        <v>#REF!</v>
      </c>
      <c r="D32" s="87" t="e">
        <f aca="false">#REF!</f>
        <v>#REF!</v>
      </c>
      <c r="E32" s="87" t="e">
        <f aca="false">#REF!</f>
        <v>#REF!</v>
      </c>
      <c r="F32" s="87" t="e">
        <f aca="false">#REF!</f>
        <v>#REF!</v>
      </c>
    </row>
    <row r="33" customFormat="false" ht="12.8" hidden="false" customHeight="false" outlineLevel="0" collapsed="false">
      <c r="A33" s="55" t="e">
        <f aca="false">_xlfn.CONCAT($A$1, ".", #REF!)</f>
        <v>#REF!</v>
      </c>
      <c r="B33" s="71" t="e">
        <f aca="false">_xlfn.CONCAT(#REF!, ":", #REF!)</f>
        <v>#REF!</v>
      </c>
      <c r="C33" s="87" t="e">
        <f aca="false">#REF!</f>
        <v>#REF!</v>
      </c>
      <c r="D33" s="87" t="e">
        <f aca="false">#REF!</f>
        <v>#REF!</v>
      </c>
      <c r="E33" s="87" t="e">
        <f aca="false">#REF!</f>
        <v>#REF!</v>
      </c>
      <c r="F33" s="87" t="e">
        <f aca="false">#REF!</f>
        <v>#REF!</v>
      </c>
    </row>
    <row r="34" customFormat="false" ht="12.8" hidden="false" customHeight="false" outlineLevel="0" collapsed="false">
      <c r="A34" s="55" t="e">
        <f aca="false">_xlfn.CONCAT($A$1, ".", #REF!)</f>
        <v>#REF!</v>
      </c>
      <c r="B34" s="71" t="e">
        <f aca="false">_xlfn.CONCAT(#REF!, ":", #REF!)</f>
        <v>#REF!</v>
      </c>
      <c r="C34" s="87" t="e">
        <f aca="false">#REF!</f>
        <v>#REF!</v>
      </c>
      <c r="D34" s="87" t="e">
        <f aca="false">#REF!</f>
        <v>#REF!</v>
      </c>
      <c r="E34" s="87" t="e">
        <f aca="false">#REF!</f>
        <v>#REF!</v>
      </c>
      <c r="F34" s="87" t="e">
        <f aca="false">#REF!</f>
        <v>#REF!</v>
      </c>
    </row>
    <row r="35" customFormat="false" ht="12.8" hidden="false" customHeight="false" outlineLevel="0" collapsed="false">
      <c r="A35" s="55" t="e">
        <f aca="false">_xlfn.CONCAT($A$1, ".", #REF!)</f>
        <v>#REF!</v>
      </c>
      <c r="B35" s="71" t="e">
        <f aca="false">_xlfn.CONCAT(#REF!, ":", #REF!)</f>
        <v>#REF!</v>
      </c>
      <c r="C35" s="87" t="e">
        <f aca="false">#REF!</f>
        <v>#REF!</v>
      </c>
      <c r="D35" s="87" t="e">
        <f aca="false">#REF!</f>
        <v>#REF!</v>
      </c>
      <c r="E35" s="87" t="e">
        <f aca="false">#REF!</f>
        <v>#REF!</v>
      </c>
      <c r="F35" s="87" t="e">
        <f aca="false">#REF!</f>
        <v>#REF!</v>
      </c>
    </row>
    <row r="36" customFormat="false" ht="12.8" hidden="false" customHeight="false" outlineLevel="0" collapsed="false">
      <c r="A36" s="55" t="e">
        <f aca="false">_xlfn.CONCAT($A$1, ".", #REF!)</f>
        <v>#REF!</v>
      </c>
      <c r="B36" s="71" t="e">
        <f aca="false">_xlfn.CONCAT(#REF!, ":", #REF!)</f>
        <v>#REF!</v>
      </c>
      <c r="C36" s="87" t="e">
        <f aca="false">#REF!</f>
        <v>#REF!</v>
      </c>
      <c r="D36" s="87" t="e">
        <f aca="false">#REF!</f>
        <v>#REF!</v>
      </c>
      <c r="E36" s="87" t="e">
        <f aca="false">#REF!</f>
        <v>#REF!</v>
      </c>
      <c r="F36" s="87" t="e">
        <f aca="false">#REF!</f>
        <v>#REF!</v>
      </c>
    </row>
    <row r="37" customFormat="false" ht="12.8" hidden="false" customHeight="false" outlineLevel="0" collapsed="false">
      <c r="A37" s="55" t="e">
        <f aca="false">_xlfn.CONCAT($A$1, ".", #REF!)</f>
        <v>#REF!</v>
      </c>
      <c r="B37" s="71" t="e">
        <f aca="false">_xlfn.CONCAT(#REF!, ":", #REF!)</f>
        <v>#REF!</v>
      </c>
      <c r="C37" s="87" t="e">
        <f aca="false">#REF!</f>
        <v>#REF!</v>
      </c>
      <c r="D37" s="87" t="e">
        <f aca="false">#REF!</f>
        <v>#REF!</v>
      </c>
      <c r="E37" s="87" t="e">
        <f aca="false">#REF!</f>
        <v>#REF!</v>
      </c>
      <c r="F37" s="87" t="e">
        <f aca="false">#REF!</f>
        <v>#REF!</v>
      </c>
    </row>
    <row r="38" customFormat="false" ht="12.8" hidden="false" customHeight="false" outlineLevel="0" collapsed="false">
      <c r="A38" s="55" t="e">
        <f aca="false">_xlfn.CONCAT($A$1, ".", #REF!)</f>
        <v>#REF!</v>
      </c>
      <c r="B38" s="71" t="e">
        <f aca="false">_xlfn.CONCAT(#REF!, ":", #REF!)</f>
        <v>#REF!</v>
      </c>
      <c r="C38" s="87" t="e">
        <f aca="false">#REF!</f>
        <v>#REF!</v>
      </c>
      <c r="D38" s="87" t="e">
        <f aca="false">#REF!</f>
        <v>#REF!</v>
      </c>
      <c r="E38" s="87" t="e">
        <f aca="false">#REF!</f>
        <v>#REF!</v>
      </c>
      <c r="F38" s="87" t="e">
        <f aca="false">#REF!</f>
        <v>#REF!</v>
      </c>
    </row>
    <row r="39" customFormat="false" ht="12.8" hidden="false" customHeight="false" outlineLevel="0" collapsed="false">
      <c r="A39" s="55" t="e">
        <f aca="false">_xlfn.CONCAT($A$1, ".", #REF!)</f>
        <v>#REF!</v>
      </c>
      <c r="B39" s="71" t="e">
        <f aca="false">_xlfn.CONCAT(#REF!, ":", #REF!)</f>
        <v>#REF!</v>
      </c>
      <c r="C39" s="87" t="e">
        <f aca="false">#REF!</f>
        <v>#REF!</v>
      </c>
      <c r="D39" s="87" t="e">
        <f aca="false">#REF!</f>
        <v>#REF!</v>
      </c>
      <c r="E39" s="87" t="e">
        <f aca="false">#REF!</f>
        <v>#REF!</v>
      </c>
      <c r="F39" s="87" t="e">
        <f aca="false">#REF!</f>
        <v>#REF!</v>
      </c>
    </row>
    <row r="40" customFormat="false" ht="12.8" hidden="false" customHeight="false" outlineLevel="0" collapsed="false">
      <c r="A40" s="55" t="e">
        <f aca="false">_xlfn.CONCAT($A$1, ".", #REF!)</f>
        <v>#REF!</v>
      </c>
      <c r="B40" s="71" t="e">
        <f aca="false">_xlfn.CONCAT(#REF!, ":", #REF!)</f>
        <v>#REF!</v>
      </c>
      <c r="C40" s="87" t="e">
        <f aca="false">#REF!</f>
        <v>#REF!</v>
      </c>
      <c r="D40" s="87" t="e">
        <f aca="false">#REF!</f>
        <v>#REF!</v>
      </c>
      <c r="E40" s="87" t="e">
        <f aca="false">#REF!</f>
        <v>#REF!</v>
      </c>
      <c r="F40" s="87" t="e">
        <f aca="false">#REF!</f>
        <v>#REF!</v>
      </c>
    </row>
    <row r="41" customFormat="false" ht="12.8" hidden="false" customHeight="false" outlineLevel="0" collapsed="false">
      <c r="A41" s="55" t="e">
        <f aca="false">_xlfn.CONCAT($A$1, ".", #REF!)</f>
        <v>#REF!</v>
      </c>
      <c r="B41" s="71" t="e">
        <f aca="false">_xlfn.CONCAT(#REF!, ":", #REF!)</f>
        <v>#REF!</v>
      </c>
      <c r="C41" s="87" t="e">
        <f aca="false">#REF!</f>
        <v>#REF!</v>
      </c>
      <c r="D41" s="87" t="e">
        <f aca="false">#REF!</f>
        <v>#REF!</v>
      </c>
      <c r="E41" s="87" t="e">
        <f aca="false">#REF!</f>
        <v>#REF!</v>
      </c>
      <c r="F41" s="87" t="e">
        <f aca="false">#REF!</f>
        <v>#REF!</v>
      </c>
    </row>
    <row r="42" customFormat="false" ht="12.8" hidden="false" customHeight="false" outlineLevel="0" collapsed="false">
      <c r="A42" s="55" t="e">
        <f aca="false">_xlfn.CONCAT($A$1, ".", #REF!)</f>
        <v>#REF!</v>
      </c>
      <c r="B42" s="71" t="e">
        <f aca="false">_xlfn.CONCAT(#REF!, ":", #REF!)</f>
        <v>#REF!</v>
      </c>
      <c r="C42" s="87" t="e">
        <f aca="false">#REF!</f>
        <v>#REF!</v>
      </c>
      <c r="D42" s="87" t="e">
        <f aca="false">#REF!</f>
        <v>#REF!</v>
      </c>
      <c r="E42" s="87" t="e">
        <f aca="false">#REF!</f>
        <v>#REF!</v>
      </c>
      <c r="F42" s="87" t="e">
        <f aca="false">#REF!</f>
        <v>#REF!</v>
      </c>
    </row>
    <row r="43" customFormat="false" ht="12.8" hidden="false" customHeight="false" outlineLevel="0" collapsed="false">
      <c r="A43" s="55" t="e">
        <f aca="false">_xlfn.CONCAT($A$1, ".", #REF!)</f>
        <v>#REF!</v>
      </c>
      <c r="B43" s="71" t="e">
        <f aca="false">_xlfn.CONCAT(#REF!, ":", #REF!)</f>
        <v>#REF!</v>
      </c>
      <c r="C43" s="87" t="e">
        <f aca="false">#REF!</f>
        <v>#REF!</v>
      </c>
      <c r="D43" s="87" t="e">
        <f aca="false">#REF!</f>
        <v>#REF!</v>
      </c>
      <c r="E43" s="87" t="e">
        <f aca="false">#REF!</f>
        <v>#REF!</v>
      </c>
      <c r="F43" s="87" t="e">
        <f aca="false">#REF!</f>
        <v>#REF!</v>
      </c>
    </row>
    <row r="44" customFormat="false" ht="12.8" hidden="false" customHeight="false" outlineLevel="0" collapsed="false">
      <c r="A44" s="55" t="e">
        <f aca="false">_xlfn.CONCAT($A$1, ".", #REF!)</f>
        <v>#REF!</v>
      </c>
      <c r="B44" s="71" t="e">
        <f aca="false">_xlfn.CONCAT(#REF!, ":", #REF!)</f>
        <v>#REF!</v>
      </c>
      <c r="C44" s="87" t="e">
        <f aca="false">#REF!</f>
        <v>#REF!</v>
      </c>
      <c r="D44" s="87" t="e">
        <f aca="false">#REF!</f>
        <v>#REF!</v>
      </c>
      <c r="E44" s="87" t="e">
        <f aca="false">#REF!</f>
        <v>#REF!</v>
      </c>
      <c r="F44" s="87" t="e">
        <f aca="false">#REF!</f>
        <v>#REF!</v>
      </c>
    </row>
    <row r="45" customFormat="false" ht="12.8" hidden="false" customHeight="false" outlineLevel="0" collapsed="false">
      <c r="A45" s="55" t="e">
        <f aca="false">_xlfn.CONCAT($A$1, ".", #REF!)</f>
        <v>#REF!</v>
      </c>
      <c r="B45" s="71" t="e">
        <f aca="false">_xlfn.CONCAT(#REF!, ":", #REF!)</f>
        <v>#REF!</v>
      </c>
      <c r="C45" s="87" t="e">
        <f aca="false">#REF!</f>
        <v>#REF!</v>
      </c>
      <c r="D45" s="87" t="e">
        <f aca="false">#REF!</f>
        <v>#REF!</v>
      </c>
      <c r="E45" s="87" t="e">
        <f aca="false">#REF!</f>
        <v>#REF!</v>
      </c>
      <c r="F45" s="87" t="e">
        <f aca="false">#REF!</f>
        <v>#REF!</v>
      </c>
    </row>
    <row r="46" customFormat="false" ht="12.8" hidden="false" customHeight="false" outlineLevel="0" collapsed="false">
      <c r="A46" s="55" t="e">
        <f aca="false">_xlfn.CONCAT($A$1, ".", #REF!)</f>
        <v>#REF!</v>
      </c>
      <c r="B46" s="71" t="e">
        <f aca="false">_xlfn.CONCAT(#REF!, ":", #REF!)</f>
        <v>#REF!</v>
      </c>
      <c r="C46" s="87" t="e">
        <f aca="false">#REF!</f>
        <v>#REF!</v>
      </c>
      <c r="D46" s="87" t="e">
        <f aca="false">#REF!</f>
        <v>#REF!</v>
      </c>
      <c r="E46" s="87" t="e">
        <f aca="false">#REF!</f>
        <v>#REF!</v>
      </c>
      <c r="F46" s="87" t="e">
        <f aca="false">#REF!</f>
        <v>#REF!</v>
      </c>
    </row>
    <row r="47" customFormat="false" ht="12.8" hidden="false" customHeight="false" outlineLevel="0" collapsed="false">
      <c r="A47" s="55" t="e">
        <f aca="false">_xlfn.CONCAT($A$1, ".", #REF!)</f>
        <v>#REF!</v>
      </c>
      <c r="B47" s="71" t="e">
        <f aca="false">_xlfn.CONCAT(#REF!, ":", #REF!)</f>
        <v>#REF!</v>
      </c>
      <c r="C47" s="87" t="e">
        <f aca="false">#REF!</f>
        <v>#REF!</v>
      </c>
      <c r="D47" s="87" t="e">
        <f aca="false">#REF!</f>
        <v>#REF!</v>
      </c>
      <c r="E47" s="87" t="e">
        <f aca="false">#REF!</f>
        <v>#REF!</v>
      </c>
      <c r="F47" s="87" t="e">
        <f aca="false">#REF!</f>
        <v>#REF!</v>
      </c>
    </row>
    <row r="48" customFormat="false" ht="12.8" hidden="false" customHeight="false" outlineLevel="0" collapsed="false">
      <c r="A48" s="55" t="e">
        <f aca="false">_xlfn.CONCAT($A$1, ".", #REF!)</f>
        <v>#REF!</v>
      </c>
      <c r="B48" s="71" t="e">
        <f aca="false">_xlfn.CONCAT(#REF!, ":", #REF!)</f>
        <v>#REF!</v>
      </c>
      <c r="C48" s="87" t="e">
        <f aca="false">#REF!</f>
        <v>#REF!</v>
      </c>
      <c r="D48" s="87" t="e">
        <f aca="false">#REF!</f>
        <v>#REF!</v>
      </c>
      <c r="E48" s="87" t="e">
        <f aca="false">#REF!</f>
        <v>#REF!</v>
      </c>
      <c r="F48" s="87" t="e">
        <f aca="false">#REF!</f>
        <v>#REF!</v>
      </c>
    </row>
    <row r="49" customFormat="false" ht="12.8" hidden="false" customHeight="false" outlineLevel="0" collapsed="false">
      <c r="A49" s="55" t="e">
        <f aca="false">_xlfn.CONCAT($A$1, ".", #REF!)</f>
        <v>#REF!</v>
      </c>
      <c r="B49" s="71" t="e">
        <f aca="false">_xlfn.CONCAT(#REF!, ":", #REF!)</f>
        <v>#REF!</v>
      </c>
      <c r="C49" s="87" t="e">
        <f aca="false">#REF!</f>
        <v>#REF!</v>
      </c>
      <c r="D49" s="87" t="e">
        <f aca="false">#REF!</f>
        <v>#REF!</v>
      </c>
      <c r="E49" s="87" t="e">
        <f aca="false">#REF!</f>
        <v>#REF!</v>
      </c>
      <c r="F49" s="87" t="e">
        <f aca="false">#REF!</f>
        <v>#REF!</v>
      </c>
    </row>
    <row r="50" customFormat="false" ht="12.8" hidden="false" customHeight="false" outlineLevel="0" collapsed="false">
      <c r="A50" s="55" t="e">
        <f aca="false">_xlfn.CONCAT($A$1, ".", #REF!)</f>
        <v>#REF!</v>
      </c>
      <c r="B50" s="71" t="e">
        <f aca="false">_xlfn.CONCAT(#REF!, ":", #REF!)</f>
        <v>#REF!</v>
      </c>
      <c r="C50" s="87" t="e">
        <f aca="false">#REF!</f>
        <v>#REF!</v>
      </c>
      <c r="D50" s="87" t="e">
        <f aca="false">#REF!</f>
        <v>#REF!</v>
      </c>
      <c r="E50" s="87" t="e">
        <f aca="false">#REF!</f>
        <v>#REF!</v>
      </c>
      <c r="F50" s="87" t="e">
        <f aca="false">#REF!</f>
        <v>#REF!</v>
      </c>
    </row>
    <row r="51" customFormat="false" ht="12.8" hidden="false" customHeight="false" outlineLevel="0" collapsed="false">
      <c r="A51" s="55" t="e">
        <f aca="false">_xlfn.CONCAT($A$1, ".", #REF!)</f>
        <v>#REF!</v>
      </c>
      <c r="B51" s="71" t="e">
        <f aca="false">_xlfn.CONCAT(#REF!, ":", #REF!)</f>
        <v>#REF!</v>
      </c>
      <c r="C51" s="87" t="e">
        <f aca="false">#REF!</f>
        <v>#REF!</v>
      </c>
      <c r="D51" s="87" t="e">
        <f aca="false">#REF!</f>
        <v>#REF!</v>
      </c>
      <c r="E51" s="87" t="e">
        <f aca="false">#REF!</f>
        <v>#REF!</v>
      </c>
      <c r="F51" s="87" t="e">
        <f aca="false">#REF!</f>
        <v>#REF!</v>
      </c>
    </row>
    <row r="52" customFormat="false" ht="12.8" hidden="false" customHeight="false" outlineLevel="0" collapsed="false">
      <c r="A52" s="55" t="e">
        <f aca="false">_xlfn.CONCAT($A$1, ".", #REF!)</f>
        <v>#REF!</v>
      </c>
      <c r="B52" s="71" t="e">
        <f aca="false">_xlfn.CONCAT(#REF!, ":", #REF!)</f>
        <v>#REF!</v>
      </c>
      <c r="C52" s="87" t="e">
        <f aca="false">#REF!</f>
        <v>#REF!</v>
      </c>
      <c r="D52" s="87" t="e">
        <f aca="false">#REF!</f>
        <v>#REF!</v>
      </c>
      <c r="E52" s="87" t="e">
        <f aca="false">#REF!</f>
        <v>#REF!</v>
      </c>
      <c r="F52" s="87" t="e">
        <f aca="false">#REF!</f>
        <v>#REF!</v>
      </c>
    </row>
    <row r="53" customFormat="false" ht="12.8" hidden="false" customHeight="false" outlineLevel="0" collapsed="false">
      <c r="A53" s="55" t="e">
        <f aca="false">_xlfn.CONCAT($A$1, ".", #REF!)</f>
        <v>#REF!</v>
      </c>
      <c r="B53" s="71" t="e">
        <f aca="false">_xlfn.CONCAT(#REF!, ":", #REF!)</f>
        <v>#REF!</v>
      </c>
      <c r="C53" s="87" t="e">
        <f aca="false">#REF!</f>
        <v>#REF!</v>
      </c>
      <c r="D53" s="87" t="e">
        <f aca="false">#REF!</f>
        <v>#REF!</v>
      </c>
      <c r="E53" s="87" t="e">
        <f aca="false">#REF!</f>
        <v>#REF!</v>
      </c>
      <c r="F53" s="87" t="e">
        <f aca="false">#REF!</f>
        <v>#REF!</v>
      </c>
    </row>
    <row r="54" customFormat="false" ht="12.8" hidden="false" customHeight="false" outlineLevel="0" collapsed="false">
      <c r="A54" s="55" t="e">
        <f aca="false">_xlfn.CONCAT($A$1, ".", #REF!)</f>
        <v>#REF!</v>
      </c>
      <c r="B54" s="71" t="e">
        <f aca="false">_xlfn.CONCAT(#REF!, ":", #REF!)</f>
        <v>#REF!</v>
      </c>
      <c r="C54" s="87" t="e">
        <f aca="false">#REF!</f>
        <v>#REF!</v>
      </c>
      <c r="D54" s="87" t="e">
        <f aca="false">#REF!</f>
        <v>#REF!</v>
      </c>
      <c r="E54" s="87" t="e">
        <f aca="false">#REF!</f>
        <v>#REF!</v>
      </c>
      <c r="F54" s="87" t="e">
        <f aca="false">#REF!</f>
        <v>#REF!</v>
      </c>
    </row>
    <row r="55" customFormat="false" ht="12.8" hidden="false" customHeight="false" outlineLevel="0" collapsed="false">
      <c r="A55" s="55" t="e">
        <f aca="false">_xlfn.CONCAT($A$1, ".", #REF!)</f>
        <v>#REF!</v>
      </c>
      <c r="B55" s="71" t="e">
        <f aca="false">_xlfn.CONCAT(#REF!, ":", #REF!)</f>
        <v>#REF!</v>
      </c>
      <c r="C55" s="87" t="e">
        <f aca="false">#REF!</f>
        <v>#REF!</v>
      </c>
      <c r="D55" s="87" t="e">
        <f aca="false">#REF!</f>
        <v>#REF!</v>
      </c>
      <c r="E55" s="87" t="e">
        <f aca="false">#REF!</f>
        <v>#REF!</v>
      </c>
      <c r="F55" s="8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0" sqref="A225"/>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2322</v>
      </c>
      <c r="B1" s="84" t="s">
        <v>2325</v>
      </c>
      <c r="C1" s="6" t="s">
        <v>2</v>
      </c>
      <c r="D1" s="41" t="s">
        <v>2326</v>
      </c>
      <c r="AZ1" s="41"/>
      <c r="BP1" s="41"/>
    </row>
    <row r="2" customFormat="false" ht="46.25" hidden="false" customHeight="false" outlineLevel="0" collapsed="false">
      <c r="A2" s="85" t="s">
        <v>1994</v>
      </c>
      <c r="B2" s="86" t="s">
        <v>1995</v>
      </c>
      <c r="C2" s="87" t="str">
        <f aca="false">CALC!BS3</f>
        <v>Average Weekly Hours Worked</v>
      </c>
      <c r="D2" s="87" t="str">
        <f aca="false">CALC!BT3</f>
        <v>Authorized Immigrant Average Weekly Hours Worked</v>
      </c>
      <c r="E2" s="87" t="str">
        <f aca="false">CALC!BU3</f>
        <v>Unauthorized Immigrant Average Weekly Hours Worked</v>
      </c>
      <c r="F2" s="87" t="str">
        <f aca="false">CALC!BV3</f>
        <v>American Average Weekly Hours Worked</v>
      </c>
    </row>
    <row r="3" customFormat="false" ht="12.8" hidden="false" customHeight="false" outlineLevel="0" collapsed="false">
      <c r="A3" s="55" t="e">
        <f aca="false">_xlfn.CONCAT($A$1, ".", #REF!)</f>
        <v>#REF!</v>
      </c>
      <c r="B3" s="71" t="e">
        <f aca="false">_xlfn.CONCAT(#REF!, ":", #REF!)</f>
        <v>#REF!</v>
      </c>
      <c r="C3" s="87" t="e">
        <f aca="false">#REF!</f>
        <v>#REF!</v>
      </c>
      <c r="D3" s="87" t="e">
        <f aca="false">#REF!</f>
        <v>#REF!</v>
      </c>
      <c r="E3" s="87" t="e">
        <f aca="false">#REF!</f>
        <v>#REF!</v>
      </c>
      <c r="F3" s="87" t="e">
        <f aca="false">#REF!</f>
        <v>#REF!</v>
      </c>
    </row>
    <row r="4" customFormat="false" ht="12.8" hidden="false" customHeight="false" outlineLevel="0" collapsed="false">
      <c r="A4" s="55" t="e">
        <f aca="false">_xlfn.CONCAT($A$1, ".", #REF!)</f>
        <v>#REF!</v>
      </c>
      <c r="B4" s="71" t="e">
        <f aca="false">_xlfn.CONCAT(#REF!, ":", #REF!)</f>
        <v>#REF!</v>
      </c>
      <c r="C4" s="87" t="e">
        <f aca="false">#REF!</f>
        <v>#REF!</v>
      </c>
      <c r="D4" s="87" t="e">
        <f aca="false">#REF!</f>
        <v>#REF!</v>
      </c>
      <c r="E4" s="87" t="e">
        <f aca="false">#REF!</f>
        <v>#REF!</v>
      </c>
      <c r="F4" s="87" t="e">
        <f aca="false">#REF!</f>
        <v>#REF!</v>
      </c>
    </row>
    <row r="5" customFormat="false" ht="12.8" hidden="false" customHeight="false" outlineLevel="0" collapsed="false">
      <c r="A5" s="55" t="e">
        <f aca="false">_xlfn.CONCAT($A$1, ".", #REF!)</f>
        <v>#REF!</v>
      </c>
      <c r="B5" s="71" t="e">
        <f aca="false">_xlfn.CONCAT(#REF!, ":", #REF!)</f>
        <v>#REF!</v>
      </c>
      <c r="C5" s="87" t="e">
        <f aca="false">#REF!</f>
        <v>#REF!</v>
      </c>
      <c r="D5" s="87" t="e">
        <f aca="false">#REF!</f>
        <v>#REF!</v>
      </c>
      <c r="E5" s="87" t="e">
        <f aca="false">#REF!</f>
        <v>#REF!</v>
      </c>
      <c r="F5" s="87" t="e">
        <f aca="false">#REF!</f>
        <v>#REF!</v>
      </c>
    </row>
    <row r="6" customFormat="false" ht="12.8" hidden="false" customHeight="false" outlineLevel="0" collapsed="false">
      <c r="A6" s="55" t="e">
        <f aca="false">_xlfn.CONCAT($A$1, ".", #REF!)</f>
        <v>#REF!</v>
      </c>
      <c r="B6" s="71" t="e">
        <f aca="false">_xlfn.CONCAT(#REF!, ":", #REF!)</f>
        <v>#REF!</v>
      </c>
      <c r="C6" s="87" t="e">
        <f aca="false">#REF!</f>
        <v>#REF!</v>
      </c>
      <c r="D6" s="87" t="e">
        <f aca="false">#REF!</f>
        <v>#REF!</v>
      </c>
      <c r="E6" s="87" t="e">
        <f aca="false">#REF!</f>
        <v>#REF!</v>
      </c>
      <c r="F6" s="87" t="e">
        <f aca="false">#REF!</f>
        <v>#REF!</v>
      </c>
    </row>
    <row r="7" customFormat="false" ht="12.8" hidden="false" customHeight="false" outlineLevel="0" collapsed="false">
      <c r="A7" s="55" t="e">
        <f aca="false">_xlfn.CONCAT($A$1, ".", #REF!)</f>
        <v>#REF!</v>
      </c>
      <c r="B7" s="71" t="e">
        <f aca="false">_xlfn.CONCAT(#REF!, ":", #REF!)</f>
        <v>#REF!</v>
      </c>
      <c r="C7" s="87" t="e">
        <f aca="false">#REF!</f>
        <v>#REF!</v>
      </c>
      <c r="D7" s="87" t="e">
        <f aca="false">#REF!</f>
        <v>#REF!</v>
      </c>
      <c r="E7" s="87" t="e">
        <f aca="false">#REF!</f>
        <v>#REF!</v>
      </c>
      <c r="F7" s="87" t="e">
        <f aca="false">#REF!</f>
        <v>#REF!</v>
      </c>
    </row>
    <row r="8" customFormat="false" ht="12.8" hidden="false" customHeight="false" outlineLevel="0" collapsed="false">
      <c r="A8" s="55" t="e">
        <f aca="false">_xlfn.CONCAT($A$1, ".", #REF!)</f>
        <v>#REF!</v>
      </c>
      <c r="B8" s="71" t="e">
        <f aca="false">_xlfn.CONCAT(#REF!, ":", #REF!)</f>
        <v>#REF!</v>
      </c>
      <c r="C8" s="87" t="e">
        <f aca="false">#REF!</f>
        <v>#REF!</v>
      </c>
      <c r="D8" s="87" t="e">
        <f aca="false">#REF!</f>
        <v>#REF!</v>
      </c>
      <c r="E8" s="87" t="e">
        <f aca="false">#REF!</f>
        <v>#REF!</v>
      </c>
      <c r="F8" s="87" t="e">
        <f aca="false">#REF!</f>
        <v>#REF!</v>
      </c>
    </row>
    <row r="9" customFormat="false" ht="12.8" hidden="false" customHeight="false" outlineLevel="0" collapsed="false">
      <c r="A9" s="55" t="e">
        <f aca="false">_xlfn.CONCAT($A$1, ".", #REF!)</f>
        <v>#REF!</v>
      </c>
      <c r="B9" s="71" t="e">
        <f aca="false">_xlfn.CONCAT(#REF!, ":", #REF!)</f>
        <v>#REF!</v>
      </c>
      <c r="C9" s="87" t="e">
        <f aca="false">#REF!</f>
        <v>#REF!</v>
      </c>
      <c r="D9" s="87" t="e">
        <f aca="false">#REF!</f>
        <v>#REF!</v>
      </c>
      <c r="E9" s="87" t="e">
        <f aca="false">#REF!</f>
        <v>#REF!</v>
      </c>
      <c r="F9" s="87" t="e">
        <f aca="false">#REF!</f>
        <v>#REF!</v>
      </c>
    </row>
    <row r="10" customFormat="false" ht="12.8" hidden="false" customHeight="false" outlineLevel="0" collapsed="false">
      <c r="A10" s="55" t="e">
        <f aca="false">_xlfn.CONCAT($A$1, ".", #REF!)</f>
        <v>#REF!</v>
      </c>
      <c r="B10" s="71" t="e">
        <f aca="false">_xlfn.CONCAT(#REF!, ":", #REF!)</f>
        <v>#REF!</v>
      </c>
      <c r="C10" s="87" t="e">
        <f aca="false">#REF!</f>
        <v>#REF!</v>
      </c>
      <c r="D10" s="87" t="e">
        <f aca="false">#REF!</f>
        <v>#REF!</v>
      </c>
      <c r="E10" s="87" t="e">
        <f aca="false">#REF!</f>
        <v>#REF!</v>
      </c>
      <c r="F10" s="87" t="e">
        <f aca="false">#REF!</f>
        <v>#REF!</v>
      </c>
    </row>
    <row r="11" customFormat="false" ht="12.8" hidden="false" customHeight="false" outlineLevel="0" collapsed="false">
      <c r="A11" s="55" t="e">
        <f aca="false">_xlfn.CONCAT($A$1, ".", #REF!)</f>
        <v>#REF!</v>
      </c>
      <c r="B11" s="71" t="e">
        <f aca="false">_xlfn.CONCAT(#REF!, ":", #REF!)</f>
        <v>#REF!</v>
      </c>
      <c r="C11" s="87" t="e">
        <f aca="false">#REF!</f>
        <v>#REF!</v>
      </c>
      <c r="D11" s="87" t="e">
        <f aca="false">#REF!</f>
        <v>#REF!</v>
      </c>
      <c r="E11" s="87" t="e">
        <f aca="false">#REF!</f>
        <v>#REF!</v>
      </c>
      <c r="F11" s="87" t="e">
        <f aca="false">#REF!</f>
        <v>#REF!</v>
      </c>
    </row>
    <row r="12" customFormat="false" ht="12.8" hidden="false" customHeight="false" outlineLevel="0" collapsed="false">
      <c r="A12" s="55" t="e">
        <f aca="false">_xlfn.CONCAT($A$1, ".", #REF!)</f>
        <v>#REF!</v>
      </c>
      <c r="B12" s="71" t="e">
        <f aca="false">_xlfn.CONCAT(#REF!, ":", #REF!)</f>
        <v>#REF!</v>
      </c>
      <c r="C12" s="87" t="e">
        <f aca="false">#REF!</f>
        <v>#REF!</v>
      </c>
      <c r="D12" s="87" t="e">
        <f aca="false">#REF!</f>
        <v>#REF!</v>
      </c>
      <c r="E12" s="87" t="e">
        <f aca="false">#REF!</f>
        <v>#REF!</v>
      </c>
      <c r="F12" s="87" t="e">
        <f aca="false">#REF!</f>
        <v>#REF!</v>
      </c>
    </row>
    <row r="13" customFormat="false" ht="12.8" hidden="false" customHeight="false" outlineLevel="0" collapsed="false">
      <c r="A13" s="55" t="e">
        <f aca="false">_xlfn.CONCAT($A$1, ".", #REF!)</f>
        <v>#REF!</v>
      </c>
      <c r="B13" s="71" t="e">
        <f aca="false">_xlfn.CONCAT(#REF!, ":", #REF!)</f>
        <v>#REF!</v>
      </c>
      <c r="C13" s="87" t="e">
        <f aca="false">#REF!</f>
        <v>#REF!</v>
      </c>
      <c r="D13" s="87" t="e">
        <f aca="false">#REF!</f>
        <v>#REF!</v>
      </c>
      <c r="E13" s="87" t="e">
        <f aca="false">#REF!</f>
        <v>#REF!</v>
      </c>
      <c r="F13" s="87" t="e">
        <f aca="false">#REF!</f>
        <v>#REF!</v>
      </c>
    </row>
    <row r="14" customFormat="false" ht="12.8" hidden="false" customHeight="false" outlineLevel="0" collapsed="false">
      <c r="A14" s="55" t="e">
        <f aca="false">_xlfn.CONCAT($A$1, ".", #REF!)</f>
        <v>#REF!</v>
      </c>
      <c r="B14" s="71" t="e">
        <f aca="false">_xlfn.CONCAT(#REF!, ":", #REF!)</f>
        <v>#REF!</v>
      </c>
      <c r="C14" s="87" t="e">
        <f aca="false">#REF!</f>
        <v>#REF!</v>
      </c>
      <c r="D14" s="87" t="e">
        <f aca="false">#REF!</f>
        <v>#REF!</v>
      </c>
      <c r="E14" s="87" t="e">
        <f aca="false">#REF!</f>
        <v>#REF!</v>
      </c>
      <c r="F14" s="87" t="e">
        <f aca="false">#REF!</f>
        <v>#REF!</v>
      </c>
    </row>
    <row r="15" customFormat="false" ht="12.8" hidden="false" customHeight="false" outlineLevel="0" collapsed="false">
      <c r="A15" s="55" t="e">
        <f aca="false">_xlfn.CONCAT($A$1, ".", #REF!)</f>
        <v>#REF!</v>
      </c>
      <c r="B15" s="71" t="e">
        <f aca="false">_xlfn.CONCAT(#REF!, ":", #REF!)</f>
        <v>#REF!</v>
      </c>
      <c r="C15" s="87" t="e">
        <f aca="false">#REF!</f>
        <v>#REF!</v>
      </c>
      <c r="D15" s="87" t="e">
        <f aca="false">#REF!</f>
        <v>#REF!</v>
      </c>
      <c r="E15" s="87" t="e">
        <f aca="false">#REF!</f>
        <v>#REF!</v>
      </c>
      <c r="F15" s="87" t="e">
        <f aca="false">#REF!</f>
        <v>#REF!</v>
      </c>
    </row>
    <row r="16" customFormat="false" ht="12.8" hidden="false" customHeight="false" outlineLevel="0" collapsed="false">
      <c r="A16" s="55" t="e">
        <f aca="false">_xlfn.CONCAT($A$1, ".", #REF!)</f>
        <v>#REF!</v>
      </c>
      <c r="B16" s="71" t="e">
        <f aca="false">_xlfn.CONCAT(#REF!, ":", #REF!)</f>
        <v>#REF!</v>
      </c>
      <c r="C16" s="87" t="e">
        <f aca="false">#REF!</f>
        <v>#REF!</v>
      </c>
      <c r="D16" s="87" t="e">
        <f aca="false">#REF!</f>
        <v>#REF!</v>
      </c>
      <c r="E16" s="87" t="e">
        <f aca="false">#REF!</f>
        <v>#REF!</v>
      </c>
      <c r="F16" s="87" t="e">
        <f aca="false">#REF!</f>
        <v>#REF!</v>
      </c>
    </row>
    <row r="17" customFormat="false" ht="12.8" hidden="false" customHeight="false" outlineLevel="0" collapsed="false">
      <c r="A17" s="55" t="e">
        <f aca="false">_xlfn.CONCAT($A$1, ".", #REF!)</f>
        <v>#REF!</v>
      </c>
      <c r="B17" s="71" t="e">
        <f aca="false">_xlfn.CONCAT(#REF!, ":", #REF!)</f>
        <v>#REF!</v>
      </c>
      <c r="C17" s="87" t="e">
        <f aca="false">#REF!</f>
        <v>#REF!</v>
      </c>
      <c r="D17" s="87" t="e">
        <f aca="false">#REF!</f>
        <v>#REF!</v>
      </c>
      <c r="E17" s="87" t="e">
        <f aca="false">#REF!</f>
        <v>#REF!</v>
      </c>
      <c r="F17" s="87" t="e">
        <f aca="false">#REF!</f>
        <v>#REF!</v>
      </c>
    </row>
    <row r="18" customFormat="false" ht="12.8" hidden="false" customHeight="false" outlineLevel="0" collapsed="false">
      <c r="A18" s="55" t="e">
        <f aca="false">_xlfn.CONCAT($A$1, ".", #REF!)</f>
        <v>#REF!</v>
      </c>
      <c r="B18" s="71" t="e">
        <f aca="false">_xlfn.CONCAT(#REF!, ":", #REF!)</f>
        <v>#REF!</v>
      </c>
      <c r="C18" s="87" t="e">
        <f aca="false">#REF!</f>
        <v>#REF!</v>
      </c>
      <c r="D18" s="87" t="e">
        <f aca="false">#REF!</f>
        <v>#REF!</v>
      </c>
      <c r="E18" s="87" t="e">
        <f aca="false">#REF!</f>
        <v>#REF!</v>
      </c>
      <c r="F18" s="87" t="e">
        <f aca="false">#REF!</f>
        <v>#REF!</v>
      </c>
    </row>
    <row r="19" customFormat="false" ht="12.8" hidden="false" customHeight="false" outlineLevel="0" collapsed="false">
      <c r="A19" s="55" t="e">
        <f aca="false">_xlfn.CONCAT($A$1, ".", #REF!)</f>
        <v>#REF!</v>
      </c>
      <c r="B19" s="71" t="e">
        <f aca="false">_xlfn.CONCAT(#REF!, ":", #REF!)</f>
        <v>#REF!</v>
      </c>
      <c r="C19" s="87" t="e">
        <f aca="false">#REF!</f>
        <v>#REF!</v>
      </c>
      <c r="D19" s="87" t="e">
        <f aca="false">#REF!</f>
        <v>#REF!</v>
      </c>
      <c r="E19" s="87" t="e">
        <f aca="false">#REF!</f>
        <v>#REF!</v>
      </c>
      <c r="F19" s="87" t="e">
        <f aca="false">#REF!</f>
        <v>#REF!</v>
      </c>
    </row>
    <row r="20" customFormat="false" ht="12.8" hidden="false" customHeight="false" outlineLevel="0" collapsed="false">
      <c r="A20" s="55" t="e">
        <f aca="false">_xlfn.CONCAT($A$1, ".", #REF!)</f>
        <v>#REF!</v>
      </c>
      <c r="B20" s="71" t="e">
        <f aca="false">_xlfn.CONCAT(#REF!, ":", #REF!)</f>
        <v>#REF!</v>
      </c>
      <c r="C20" s="87" t="e">
        <f aca="false">#REF!</f>
        <v>#REF!</v>
      </c>
      <c r="D20" s="87" t="e">
        <f aca="false">#REF!</f>
        <v>#REF!</v>
      </c>
      <c r="E20" s="87" t="e">
        <f aca="false">#REF!</f>
        <v>#REF!</v>
      </c>
      <c r="F20" s="87" t="e">
        <f aca="false">#REF!</f>
        <v>#REF!</v>
      </c>
    </row>
    <row r="21" customFormat="false" ht="12.8" hidden="false" customHeight="false" outlineLevel="0" collapsed="false">
      <c r="A21" s="55" t="e">
        <f aca="false">_xlfn.CONCAT($A$1, ".", #REF!)</f>
        <v>#REF!</v>
      </c>
      <c r="B21" s="71" t="e">
        <f aca="false">_xlfn.CONCAT(#REF!, ":", #REF!)</f>
        <v>#REF!</v>
      </c>
      <c r="C21" s="87" t="e">
        <f aca="false">#REF!</f>
        <v>#REF!</v>
      </c>
      <c r="D21" s="87" t="e">
        <f aca="false">#REF!</f>
        <v>#REF!</v>
      </c>
      <c r="E21" s="87" t="e">
        <f aca="false">#REF!</f>
        <v>#REF!</v>
      </c>
      <c r="F21" s="87" t="e">
        <f aca="false">#REF!</f>
        <v>#REF!</v>
      </c>
    </row>
    <row r="22" customFormat="false" ht="12.8" hidden="false" customHeight="false" outlineLevel="0" collapsed="false">
      <c r="A22" s="55" t="e">
        <f aca="false">_xlfn.CONCAT($A$1, ".", #REF!)</f>
        <v>#REF!</v>
      </c>
      <c r="B22" s="71" t="e">
        <f aca="false">_xlfn.CONCAT(#REF!, ":", #REF!)</f>
        <v>#REF!</v>
      </c>
      <c r="C22" s="87" t="e">
        <f aca="false">#REF!</f>
        <v>#REF!</v>
      </c>
      <c r="D22" s="87" t="e">
        <f aca="false">#REF!</f>
        <v>#REF!</v>
      </c>
      <c r="E22" s="87" t="e">
        <f aca="false">#REF!</f>
        <v>#REF!</v>
      </c>
      <c r="F22" s="87" t="e">
        <f aca="false">#REF!</f>
        <v>#REF!</v>
      </c>
    </row>
    <row r="23" customFormat="false" ht="12.8" hidden="false" customHeight="false" outlineLevel="0" collapsed="false">
      <c r="A23" s="55" t="e">
        <f aca="false">_xlfn.CONCAT($A$1, ".", #REF!)</f>
        <v>#REF!</v>
      </c>
      <c r="B23" s="71" t="e">
        <f aca="false">_xlfn.CONCAT(#REF!, ":", #REF!)</f>
        <v>#REF!</v>
      </c>
      <c r="C23" s="87" t="e">
        <f aca="false">#REF!</f>
        <v>#REF!</v>
      </c>
      <c r="D23" s="87" t="e">
        <f aca="false">#REF!</f>
        <v>#REF!</v>
      </c>
      <c r="E23" s="87" t="e">
        <f aca="false">#REF!</f>
        <v>#REF!</v>
      </c>
      <c r="F23" s="87" t="e">
        <f aca="false">#REF!</f>
        <v>#REF!</v>
      </c>
    </row>
    <row r="24" customFormat="false" ht="12.8" hidden="false" customHeight="false" outlineLevel="0" collapsed="false">
      <c r="A24" s="55" t="e">
        <f aca="false">_xlfn.CONCAT($A$1, ".", #REF!)</f>
        <v>#REF!</v>
      </c>
      <c r="B24" s="71" t="e">
        <f aca="false">_xlfn.CONCAT(#REF!, ":", #REF!)</f>
        <v>#REF!</v>
      </c>
      <c r="C24" s="87" t="e">
        <f aca="false">#REF!</f>
        <v>#REF!</v>
      </c>
      <c r="D24" s="87" t="e">
        <f aca="false">#REF!</f>
        <v>#REF!</v>
      </c>
      <c r="E24" s="87" t="e">
        <f aca="false">#REF!</f>
        <v>#REF!</v>
      </c>
      <c r="F24" s="87" t="e">
        <f aca="false">#REF!</f>
        <v>#REF!</v>
      </c>
    </row>
    <row r="25" customFormat="false" ht="12.8" hidden="false" customHeight="false" outlineLevel="0" collapsed="false">
      <c r="A25" s="55" t="e">
        <f aca="false">_xlfn.CONCAT($A$1, ".", #REF!)</f>
        <v>#REF!</v>
      </c>
      <c r="B25" s="71" t="e">
        <f aca="false">_xlfn.CONCAT(#REF!, ":", #REF!)</f>
        <v>#REF!</v>
      </c>
      <c r="C25" s="87" t="e">
        <f aca="false">#REF!</f>
        <v>#REF!</v>
      </c>
      <c r="D25" s="87" t="e">
        <f aca="false">#REF!</f>
        <v>#REF!</v>
      </c>
      <c r="E25" s="87" t="e">
        <f aca="false">#REF!</f>
        <v>#REF!</v>
      </c>
      <c r="F25" s="87" t="e">
        <f aca="false">#REF!</f>
        <v>#REF!</v>
      </c>
    </row>
    <row r="26" customFormat="false" ht="12.8" hidden="false" customHeight="false" outlineLevel="0" collapsed="false">
      <c r="A26" s="55" t="e">
        <f aca="false">_xlfn.CONCAT($A$1, ".", #REF!)</f>
        <v>#REF!</v>
      </c>
      <c r="B26" s="71" t="e">
        <f aca="false">_xlfn.CONCAT(#REF!, ":", #REF!)</f>
        <v>#REF!</v>
      </c>
      <c r="C26" s="87" t="e">
        <f aca="false">#REF!</f>
        <v>#REF!</v>
      </c>
      <c r="D26" s="87" t="e">
        <f aca="false">#REF!</f>
        <v>#REF!</v>
      </c>
      <c r="E26" s="87" t="e">
        <f aca="false">#REF!</f>
        <v>#REF!</v>
      </c>
      <c r="F26" s="87" t="e">
        <f aca="false">#REF!</f>
        <v>#REF!</v>
      </c>
    </row>
    <row r="27" customFormat="false" ht="12.8" hidden="false" customHeight="false" outlineLevel="0" collapsed="false">
      <c r="A27" s="55" t="e">
        <f aca="false">_xlfn.CONCAT($A$1, ".", #REF!)</f>
        <v>#REF!</v>
      </c>
      <c r="B27" s="71" t="e">
        <f aca="false">_xlfn.CONCAT(#REF!, ":", #REF!)</f>
        <v>#REF!</v>
      </c>
      <c r="C27" s="87" t="e">
        <f aca="false">#REF!</f>
        <v>#REF!</v>
      </c>
      <c r="D27" s="87" t="e">
        <f aca="false">#REF!</f>
        <v>#REF!</v>
      </c>
      <c r="E27" s="87" t="e">
        <f aca="false">#REF!</f>
        <v>#REF!</v>
      </c>
      <c r="F27" s="87" t="e">
        <f aca="false">#REF!</f>
        <v>#REF!</v>
      </c>
    </row>
    <row r="28" customFormat="false" ht="12.8" hidden="false" customHeight="false" outlineLevel="0" collapsed="false">
      <c r="A28" s="55" t="e">
        <f aca="false">_xlfn.CONCAT($A$1, ".", #REF!)</f>
        <v>#REF!</v>
      </c>
      <c r="B28" s="71" t="e">
        <f aca="false">_xlfn.CONCAT(#REF!, ":", #REF!)</f>
        <v>#REF!</v>
      </c>
      <c r="C28" s="87" t="e">
        <f aca="false">#REF!</f>
        <v>#REF!</v>
      </c>
      <c r="D28" s="87" t="e">
        <f aca="false">#REF!</f>
        <v>#REF!</v>
      </c>
      <c r="E28" s="87" t="e">
        <f aca="false">#REF!</f>
        <v>#REF!</v>
      </c>
      <c r="F28" s="87" t="e">
        <f aca="false">#REF!</f>
        <v>#REF!</v>
      </c>
    </row>
    <row r="29" customFormat="false" ht="12.8" hidden="false" customHeight="false" outlineLevel="0" collapsed="false">
      <c r="A29" s="55" t="e">
        <f aca="false">_xlfn.CONCAT($A$1, ".", #REF!)</f>
        <v>#REF!</v>
      </c>
      <c r="B29" s="71" t="e">
        <f aca="false">_xlfn.CONCAT(#REF!, ":", #REF!)</f>
        <v>#REF!</v>
      </c>
      <c r="C29" s="87" t="e">
        <f aca="false">#REF!</f>
        <v>#REF!</v>
      </c>
      <c r="D29" s="87" t="e">
        <f aca="false">#REF!</f>
        <v>#REF!</v>
      </c>
      <c r="E29" s="87" t="e">
        <f aca="false">#REF!</f>
        <v>#REF!</v>
      </c>
      <c r="F29" s="87" t="e">
        <f aca="false">#REF!</f>
        <v>#REF!</v>
      </c>
    </row>
    <row r="30" customFormat="false" ht="12.8" hidden="false" customHeight="false" outlineLevel="0" collapsed="false">
      <c r="A30" s="55" t="e">
        <f aca="false">_xlfn.CONCAT($A$1, ".", #REF!)</f>
        <v>#REF!</v>
      </c>
      <c r="B30" s="71" t="e">
        <f aca="false">_xlfn.CONCAT(#REF!, ":", #REF!)</f>
        <v>#REF!</v>
      </c>
      <c r="C30" s="87" t="e">
        <f aca="false">#REF!</f>
        <v>#REF!</v>
      </c>
      <c r="D30" s="87" t="e">
        <f aca="false">#REF!</f>
        <v>#REF!</v>
      </c>
      <c r="E30" s="87" t="e">
        <f aca="false">#REF!</f>
        <v>#REF!</v>
      </c>
      <c r="F30" s="87" t="e">
        <f aca="false">#REF!</f>
        <v>#REF!</v>
      </c>
    </row>
    <row r="31" customFormat="false" ht="12.8" hidden="false" customHeight="false" outlineLevel="0" collapsed="false">
      <c r="A31" s="55" t="e">
        <f aca="false">_xlfn.CONCAT($A$1, ".", #REF!)</f>
        <v>#REF!</v>
      </c>
      <c r="B31" s="71" t="e">
        <f aca="false">_xlfn.CONCAT(#REF!, ":", #REF!)</f>
        <v>#REF!</v>
      </c>
      <c r="C31" s="87" t="e">
        <f aca="false">#REF!</f>
        <v>#REF!</v>
      </c>
      <c r="D31" s="87" t="e">
        <f aca="false">#REF!</f>
        <v>#REF!</v>
      </c>
      <c r="E31" s="87" t="e">
        <f aca="false">#REF!</f>
        <v>#REF!</v>
      </c>
      <c r="F31" s="87" t="e">
        <f aca="false">#REF!</f>
        <v>#REF!</v>
      </c>
    </row>
    <row r="32" customFormat="false" ht="12.8" hidden="false" customHeight="false" outlineLevel="0" collapsed="false">
      <c r="A32" s="55" t="e">
        <f aca="false">_xlfn.CONCAT($A$1, ".", #REF!)</f>
        <v>#REF!</v>
      </c>
      <c r="B32" s="71" t="e">
        <f aca="false">_xlfn.CONCAT(#REF!, ":", #REF!)</f>
        <v>#REF!</v>
      </c>
      <c r="C32" s="87" t="e">
        <f aca="false">#REF!</f>
        <v>#REF!</v>
      </c>
      <c r="D32" s="87" t="e">
        <f aca="false">#REF!</f>
        <v>#REF!</v>
      </c>
      <c r="E32" s="87" t="e">
        <f aca="false">#REF!</f>
        <v>#REF!</v>
      </c>
      <c r="F32" s="87" t="e">
        <f aca="false">#REF!</f>
        <v>#REF!</v>
      </c>
    </row>
    <row r="33" customFormat="false" ht="12.8" hidden="false" customHeight="false" outlineLevel="0" collapsed="false">
      <c r="A33" s="55" t="e">
        <f aca="false">_xlfn.CONCAT($A$1, ".", #REF!)</f>
        <v>#REF!</v>
      </c>
      <c r="B33" s="71" t="e">
        <f aca="false">_xlfn.CONCAT(#REF!, ":", #REF!)</f>
        <v>#REF!</v>
      </c>
      <c r="C33" s="87" t="e">
        <f aca="false">#REF!</f>
        <v>#REF!</v>
      </c>
      <c r="D33" s="87" t="e">
        <f aca="false">#REF!</f>
        <v>#REF!</v>
      </c>
      <c r="E33" s="87" t="e">
        <f aca="false">#REF!</f>
        <v>#REF!</v>
      </c>
      <c r="F33" s="87" t="e">
        <f aca="false">#REF!</f>
        <v>#REF!</v>
      </c>
    </row>
    <row r="34" customFormat="false" ht="12.8" hidden="false" customHeight="false" outlineLevel="0" collapsed="false">
      <c r="A34" s="55" t="e">
        <f aca="false">_xlfn.CONCAT($A$1, ".", #REF!)</f>
        <v>#REF!</v>
      </c>
      <c r="B34" s="71" t="e">
        <f aca="false">_xlfn.CONCAT(#REF!, ":", #REF!)</f>
        <v>#REF!</v>
      </c>
      <c r="C34" s="87" t="e">
        <f aca="false">#REF!</f>
        <v>#REF!</v>
      </c>
      <c r="D34" s="87" t="e">
        <f aca="false">#REF!</f>
        <v>#REF!</v>
      </c>
      <c r="E34" s="87" t="e">
        <f aca="false">#REF!</f>
        <v>#REF!</v>
      </c>
      <c r="F34" s="87" t="e">
        <f aca="false">#REF!</f>
        <v>#REF!</v>
      </c>
    </row>
    <row r="35" customFormat="false" ht="12.8" hidden="false" customHeight="false" outlineLevel="0" collapsed="false">
      <c r="A35" s="55" t="e">
        <f aca="false">_xlfn.CONCAT($A$1, ".", #REF!)</f>
        <v>#REF!</v>
      </c>
      <c r="B35" s="71" t="e">
        <f aca="false">_xlfn.CONCAT(#REF!, ":", #REF!)</f>
        <v>#REF!</v>
      </c>
      <c r="C35" s="87" t="e">
        <f aca="false">#REF!</f>
        <v>#REF!</v>
      </c>
      <c r="D35" s="87" t="e">
        <f aca="false">#REF!</f>
        <v>#REF!</v>
      </c>
      <c r="E35" s="87" t="e">
        <f aca="false">#REF!</f>
        <v>#REF!</v>
      </c>
      <c r="F35" s="87" t="e">
        <f aca="false">#REF!</f>
        <v>#REF!</v>
      </c>
    </row>
    <row r="36" customFormat="false" ht="12.8" hidden="false" customHeight="false" outlineLevel="0" collapsed="false">
      <c r="A36" s="55" t="e">
        <f aca="false">_xlfn.CONCAT($A$1, ".", #REF!)</f>
        <v>#REF!</v>
      </c>
      <c r="B36" s="71" t="e">
        <f aca="false">_xlfn.CONCAT(#REF!, ":", #REF!)</f>
        <v>#REF!</v>
      </c>
      <c r="C36" s="87" t="e">
        <f aca="false">#REF!</f>
        <v>#REF!</v>
      </c>
      <c r="D36" s="87" t="e">
        <f aca="false">#REF!</f>
        <v>#REF!</v>
      </c>
      <c r="E36" s="87" t="e">
        <f aca="false">#REF!</f>
        <v>#REF!</v>
      </c>
      <c r="F36" s="87" t="e">
        <f aca="false">#REF!</f>
        <v>#REF!</v>
      </c>
    </row>
    <row r="37" customFormat="false" ht="12.8" hidden="false" customHeight="false" outlineLevel="0" collapsed="false">
      <c r="A37" s="55" t="e">
        <f aca="false">_xlfn.CONCAT($A$1, ".", #REF!)</f>
        <v>#REF!</v>
      </c>
      <c r="B37" s="71" t="e">
        <f aca="false">_xlfn.CONCAT(#REF!, ":", #REF!)</f>
        <v>#REF!</v>
      </c>
      <c r="C37" s="87" t="e">
        <f aca="false">#REF!</f>
        <v>#REF!</v>
      </c>
      <c r="D37" s="87" t="e">
        <f aca="false">#REF!</f>
        <v>#REF!</v>
      </c>
      <c r="E37" s="87" t="e">
        <f aca="false">#REF!</f>
        <v>#REF!</v>
      </c>
      <c r="F37" s="87" t="e">
        <f aca="false">#REF!</f>
        <v>#REF!</v>
      </c>
    </row>
    <row r="38" customFormat="false" ht="12.8" hidden="false" customHeight="false" outlineLevel="0" collapsed="false">
      <c r="A38" s="55" t="e">
        <f aca="false">_xlfn.CONCAT($A$1, ".", #REF!)</f>
        <v>#REF!</v>
      </c>
      <c r="B38" s="71" t="e">
        <f aca="false">_xlfn.CONCAT(#REF!, ":", #REF!)</f>
        <v>#REF!</v>
      </c>
      <c r="C38" s="87" t="e">
        <f aca="false">#REF!</f>
        <v>#REF!</v>
      </c>
      <c r="D38" s="87" t="e">
        <f aca="false">#REF!</f>
        <v>#REF!</v>
      </c>
      <c r="E38" s="87" t="e">
        <f aca="false">#REF!</f>
        <v>#REF!</v>
      </c>
      <c r="F38" s="87" t="e">
        <f aca="false">#REF!</f>
        <v>#REF!</v>
      </c>
    </row>
    <row r="39" customFormat="false" ht="12.8" hidden="false" customHeight="false" outlineLevel="0" collapsed="false">
      <c r="A39" s="55" t="e">
        <f aca="false">_xlfn.CONCAT($A$1, ".", #REF!)</f>
        <v>#REF!</v>
      </c>
      <c r="B39" s="71" t="e">
        <f aca="false">_xlfn.CONCAT(#REF!, ":", #REF!)</f>
        <v>#REF!</v>
      </c>
      <c r="C39" s="87" t="e">
        <f aca="false">#REF!</f>
        <v>#REF!</v>
      </c>
      <c r="D39" s="87" t="e">
        <f aca="false">#REF!</f>
        <v>#REF!</v>
      </c>
      <c r="E39" s="87" t="e">
        <f aca="false">#REF!</f>
        <v>#REF!</v>
      </c>
      <c r="F39" s="87" t="e">
        <f aca="false">#REF!</f>
        <v>#REF!</v>
      </c>
    </row>
    <row r="40" customFormat="false" ht="12.8" hidden="false" customHeight="false" outlineLevel="0" collapsed="false">
      <c r="A40" s="55" t="e">
        <f aca="false">_xlfn.CONCAT($A$1, ".", #REF!)</f>
        <v>#REF!</v>
      </c>
      <c r="B40" s="71" t="e">
        <f aca="false">_xlfn.CONCAT(#REF!, ":", #REF!)</f>
        <v>#REF!</v>
      </c>
      <c r="C40" s="87" t="e">
        <f aca="false">#REF!</f>
        <v>#REF!</v>
      </c>
      <c r="D40" s="87" t="e">
        <f aca="false">#REF!</f>
        <v>#REF!</v>
      </c>
      <c r="E40" s="87" t="e">
        <f aca="false">#REF!</f>
        <v>#REF!</v>
      </c>
      <c r="F40" s="87" t="e">
        <f aca="false">#REF!</f>
        <v>#REF!</v>
      </c>
    </row>
    <row r="41" customFormat="false" ht="12.8" hidden="false" customHeight="false" outlineLevel="0" collapsed="false">
      <c r="A41" s="55" t="e">
        <f aca="false">_xlfn.CONCAT($A$1, ".", #REF!)</f>
        <v>#REF!</v>
      </c>
      <c r="B41" s="71" t="e">
        <f aca="false">_xlfn.CONCAT(#REF!, ":", #REF!)</f>
        <v>#REF!</v>
      </c>
      <c r="C41" s="87" t="e">
        <f aca="false">#REF!</f>
        <v>#REF!</v>
      </c>
      <c r="D41" s="87" t="e">
        <f aca="false">#REF!</f>
        <v>#REF!</v>
      </c>
      <c r="E41" s="87" t="e">
        <f aca="false">#REF!</f>
        <v>#REF!</v>
      </c>
      <c r="F41" s="87" t="e">
        <f aca="false">#REF!</f>
        <v>#REF!</v>
      </c>
    </row>
    <row r="42" customFormat="false" ht="12.8" hidden="false" customHeight="false" outlineLevel="0" collapsed="false">
      <c r="A42" s="55" t="e">
        <f aca="false">_xlfn.CONCAT($A$1, ".", #REF!)</f>
        <v>#REF!</v>
      </c>
      <c r="B42" s="71" t="e">
        <f aca="false">_xlfn.CONCAT(#REF!, ":", #REF!)</f>
        <v>#REF!</v>
      </c>
      <c r="C42" s="87" t="e">
        <f aca="false">#REF!</f>
        <v>#REF!</v>
      </c>
      <c r="D42" s="87" t="e">
        <f aca="false">#REF!</f>
        <v>#REF!</v>
      </c>
      <c r="E42" s="87" t="e">
        <f aca="false">#REF!</f>
        <v>#REF!</v>
      </c>
      <c r="F42" s="87" t="e">
        <f aca="false">#REF!</f>
        <v>#REF!</v>
      </c>
    </row>
    <row r="43" customFormat="false" ht="12.8" hidden="false" customHeight="false" outlineLevel="0" collapsed="false">
      <c r="A43" s="55" t="e">
        <f aca="false">_xlfn.CONCAT($A$1, ".", #REF!)</f>
        <v>#REF!</v>
      </c>
      <c r="B43" s="71" t="e">
        <f aca="false">_xlfn.CONCAT(#REF!, ":", #REF!)</f>
        <v>#REF!</v>
      </c>
      <c r="C43" s="87" t="e">
        <f aca="false">#REF!</f>
        <v>#REF!</v>
      </c>
      <c r="D43" s="87" t="e">
        <f aca="false">#REF!</f>
        <v>#REF!</v>
      </c>
      <c r="E43" s="87" t="e">
        <f aca="false">#REF!</f>
        <v>#REF!</v>
      </c>
      <c r="F43" s="87" t="e">
        <f aca="false">#REF!</f>
        <v>#REF!</v>
      </c>
    </row>
    <row r="44" customFormat="false" ht="12.8" hidden="false" customHeight="false" outlineLevel="0" collapsed="false">
      <c r="A44" s="55" t="e">
        <f aca="false">_xlfn.CONCAT($A$1, ".", #REF!)</f>
        <v>#REF!</v>
      </c>
      <c r="B44" s="71" t="e">
        <f aca="false">_xlfn.CONCAT(#REF!, ":", #REF!)</f>
        <v>#REF!</v>
      </c>
      <c r="C44" s="87" t="e">
        <f aca="false">#REF!</f>
        <v>#REF!</v>
      </c>
      <c r="D44" s="87" t="e">
        <f aca="false">#REF!</f>
        <v>#REF!</v>
      </c>
      <c r="E44" s="87" t="e">
        <f aca="false">#REF!</f>
        <v>#REF!</v>
      </c>
      <c r="F44" s="87" t="e">
        <f aca="false">#REF!</f>
        <v>#REF!</v>
      </c>
    </row>
    <row r="45" customFormat="false" ht="12.8" hidden="false" customHeight="false" outlineLevel="0" collapsed="false">
      <c r="A45" s="55" t="e">
        <f aca="false">_xlfn.CONCAT($A$1, ".", #REF!)</f>
        <v>#REF!</v>
      </c>
      <c r="B45" s="71" t="e">
        <f aca="false">_xlfn.CONCAT(#REF!, ":", #REF!)</f>
        <v>#REF!</v>
      </c>
      <c r="C45" s="87" t="e">
        <f aca="false">#REF!</f>
        <v>#REF!</v>
      </c>
      <c r="D45" s="87" t="e">
        <f aca="false">#REF!</f>
        <v>#REF!</v>
      </c>
      <c r="E45" s="87" t="e">
        <f aca="false">#REF!</f>
        <v>#REF!</v>
      </c>
      <c r="F45" s="87" t="e">
        <f aca="false">#REF!</f>
        <v>#REF!</v>
      </c>
    </row>
    <row r="46" customFormat="false" ht="12.8" hidden="false" customHeight="false" outlineLevel="0" collapsed="false">
      <c r="A46" s="55" t="e">
        <f aca="false">_xlfn.CONCAT($A$1, ".", #REF!)</f>
        <v>#REF!</v>
      </c>
      <c r="B46" s="71" t="e">
        <f aca="false">_xlfn.CONCAT(#REF!, ":", #REF!)</f>
        <v>#REF!</v>
      </c>
      <c r="C46" s="87" t="e">
        <f aca="false">#REF!</f>
        <v>#REF!</v>
      </c>
      <c r="D46" s="87" t="e">
        <f aca="false">#REF!</f>
        <v>#REF!</v>
      </c>
      <c r="E46" s="87" t="e">
        <f aca="false">#REF!</f>
        <v>#REF!</v>
      </c>
      <c r="F46" s="87" t="e">
        <f aca="false">#REF!</f>
        <v>#REF!</v>
      </c>
    </row>
    <row r="47" customFormat="false" ht="12.8" hidden="false" customHeight="false" outlineLevel="0" collapsed="false">
      <c r="A47" s="55" t="e">
        <f aca="false">_xlfn.CONCAT($A$1, ".", #REF!)</f>
        <v>#REF!</v>
      </c>
      <c r="B47" s="71" t="e">
        <f aca="false">_xlfn.CONCAT(#REF!, ":", #REF!)</f>
        <v>#REF!</v>
      </c>
      <c r="C47" s="87" t="e">
        <f aca="false">#REF!</f>
        <v>#REF!</v>
      </c>
      <c r="D47" s="87" t="e">
        <f aca="false">#REF!</f>
        <v>#REF!</v>
      </c>
      <c r="E47" s="87" t="e">
        <f aca="false">#REF!</f>
        <v>#REF!</v>
      </c>
      <c r="F47" s="87" t="e">
        <f aca="false">#REF!</f>
        <v>#REF!</v>
      </c>
    </row>
    <row r="48" customFormat="false" ht="12.8" hidden="false" customHeight="false" outlineLevel="0" collapsed="false">
      <c r="A48" s="55" t="e">
        <f aca="false">_xlfn.CONCAT($A$1, ".", #REF!)</f>
        <v>#REF!</v>
      </c>
      <c r="B48" s="71" t="e">
        <f aca="false">_xlfn.CONCAT(#REF!, ":", #REF!)</f>
        <v>#REF!</v>
      </c>
      <c r="C48" s="87" t="e">
        <f aca="false">#REF!</f>
        <v>#REF!</v>
      </c>
      <c r="D48" s="87" t="e">
        <f aca="false">#REF!</f>
        <v>#REF!</v>
      </c>
      <c r="E48" s="87" t="e">
        <f aca="false">#REF!</f>
        <v>#REF!</v>
      </c>
      <c r="F48" s="87" t="e">
        <f aca="false">#REF!</f>
        <v>#REF!</v>
      </c>
    </row>
    <row r="49" customFormat="false" ht="12.8" hidden="false" customHeight="false" outlineLevel="0" collapsed="false">
      <c r="A49" s="55" t="e">
        <f aca="false">_xlfn.CONCAT($A$1, ".", #REF!)</f>
        <v>#REF!</v>
      </c>
      <c r="B49" s="71" t="e">
        <f aca="false">_xlfn.CONCAT(#REF!, ":", #REF!)</f>
        <v>#REF!</v>
      </c>
      <c r="C49" s="87" t="e">
        <f aca="false">#REF!</f>
        <v>#REF!</v>
      </c>
      <c r="D49" s="87" t="e">
        <f aca="false">#REF!</f>
        <v>#REF!</v>
      </c>
      <c r="E49" s="87" t="e">
        <f aca="false">#REF!</f>
        <v>#REF!</v>
      </c>
      <c r="F49" s="87" t="e">
        <f aca="false">#REF!</f>
        <v>#REF!</v>
      </c>
    </row>
    <row r="50" customFormat="false" ht="12.8" hidden="false" customHeight="false" outlineLevel="0" collapsed="false">
      <c r="A50" s="55" t="e">
        <f aca="false">_xlfn.CONCAT($A$1, ".", #REF!)</f>
        <v>#REF!</v>
      </c>
      <c r="B50" s="71" t="e">
        <f aca="false">_xlfn.CONCAT(#REF!, ":", #REF!)</f>
        <v>#REF!</v>
      </c>
      <c r="C50" s="87" t="e">
        <f aca="false">#REF!</f>
        <v>#REF!</v>
      </c>
      <c r="D50" s="87" t="e">
        <f aca="false">#REF!</f>
        <v>#REF!</v>
      </c>
      <c r="E50" s="87" t="e">
        <f aca="false">#REF!</f>
        <v>#REF!</v>
      </c>
      <c r="F50" s="87" t="e">
        <f aca="false">#REF!</f>
        <v>#REF!</v>
      </c>
    </row>
    <row r="51" customFormat="false" ht="12.8" hidden="false" customHeight="false" outlineLevel="0" collapsed="false">
      <c r="A51" s="55" t="e">
        <f aca="false">_xlfn.CONCAT($A$1, ".", #REF!)</f>
        <v>#REF!</v>
      </c>
      <c r="B51" s="71" t="e">
        <f aca="false">_xlfn.CONCAT(#REF!, ":", #REF!)</f>
        <v>#REF!</v>
      </c>
      <c r="C51" s="87" t="e">
        <f aca="false">#REF!</f>
        <v>#REF!</v>
      </c>
      <c r="D51" s="87" t="e">
        <f aca="false">#REF!</f>
        <v>#REF!</v>
      </c>
      <c r="E51" s="87" t="e">
        <f aca="false">#REF!</f>
        <v>#REF!</v>
      </c>
      <c r="F51" s="87" t="e">
        <f aca="false">#REF!</f>
        <v>#REF!</v>
      </c>
    </row>
    <row r="52" customFormat="false" ht="12.8" hidden="false" customHeight="false" outlineLevel="0" collapsed="false">
      <c r="A52" s="55" t="e">
        <f aca="false">_xlfn.CONCAT($A$1, ".", #REF!)</f>
        <v>#REF!</v>
      </c>
      <c r="B52" s="71" t="e">
        <f aca="false">_xlfn.CONCAT(#REF!, ":", #REF!)</f>
        <v>#REF!</v>
      </c>
      <c r="C52" s="87" t="e">
        <f aca="false">#REF!</f>
        <v>#REF!</v>
      </c>
      <c r="D52" s="87" t="e">
        <f aca="false">#REF!</f>
        <v>#REF!</v>
      </c>
      <c r="E52" s="87" t="e">
        <f aca="false">#REF!</f>
        <v>#REF!</v>
      </c>
      <c r="F52" s="87" t="e">
        <f aca="false">#REF!</f>
        <v>#REF!</v>
      </c>
    </row>
    <row r="53" customFormat="false" ht="12.8" hidden="false" customHeight="false" outlineLevel="0" collapsed="false">
      <c r="A53" s="55" t="e">
        <f aca="false">_xlfn.CONCAT($A$1, ".", #REF!)</f>
        <v>#REF!</v>
      </c>
      <c r="B53" s="71" t="e">
        <f aca="false">_xlfn.CONCAT(#REF!, ":", #REF!)</f>
        <v>#REF!</v>
      </c>
      <c r="C53" s="87" t="e">
        <f aca="false">#REF!</f>
        <v>#REF!</v>
      </c>
      <c r="D53" s="87" t="e">
        <f aca="false">#REF!</f>
        <v>#REF!</v>
      </c>
      <c r="E53" s="87" t="e">
        <f aca="false">#REF!</f>
        <v>#REF!</v>
      </c>
      <c r="F53" s="87" t="e">
        <f aca="false">#REF!</f>
        <v>#REF!</v>
      </c>
    </row>
    <row r="54" customFormat="false" ht="12.8" hidden="false" customHeight="false" outlineLevel="0" collapsed="false">
      <c r="A54" s="55" t="e">
        <f aca="false">_xlfn.CONCAT($A$1, ".", #REF!)</f>
        <v>#REF!</v>
      </c>
      <c r="B54" s="71" t="e">
        <f aca="false">_xlfn.CONCAT(#REF!, ":", #REF!)</f>
        <v>#REF!</v>
      </c>
      <c r="C54" s="87" t="e">
        <f aca="false">#REF!</f>
        <v>#REF!</v>
      </c>
      <c r="D54" s="87" t="e">
        <f aca="false">#REF!</f>
        <v>#REF!</v>
      </c>
      <c r="E54" s="87" t="e">
        <f aca="false">#REF!</f>
        <v>#REF!</v>
      </c>
      <c r="F54" s="87" t="e">
        <f aca="false">#REF!</f>
        <v>#REF!</v>
      </c>
    </row>
    <row r="55" customFormat="false" ht="12.8" hidden="false" customHeight="false" outlineLevel="0" collapsed="false">
      <c r="A55" s="55" t="e">
        <f aca="false">_xlfn.CONCAT($A$1, ".", #REF!)</f>
        <v>#REF!</v>
      </c>
      <c r="B55" s="71" t="e">
        <f aca="false">_xlfn.CONCAT(#REF!, ":", #REF!)</f>
        <v>#REF!</v>
      </c>
      <c r="C55" s="87" t="e">
        <f aca="false">#REF!</f>
        <v>#REF!</v>
      </c>
      <c r="D55" s="87" t="e">
        <f aca="false">#REF!</f>
        <v>#REF!</v>
      </c>
      <c r="E55" s="87" t="e">
        <f aca="false">#REF!</f>
        <v>#REF!</v>
      </c>
      <c r="F55" s="8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0" sqref="E155"/>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2322</v>
      </c>
      <c r="B1" s="84" t="s">
        <v>2327</v>
      </c>
      <c r="C1" s="6" t="s">
        <v>2</v>
      </c>
      <c r="D1" s="41" t="s">
        <v>2328</v>
      </c>
      <c r="AZ1" s="41"/>
      <c r="BP1" s="41"/>
    </row>
    <row r="2" customFormat="false" ht="46.25" hidden="false" customHeight="false" outlineLevel="0" collapsed="false">
      <c r="A2" s="85" t="s">
        <v>1994</v>
      </c>
      <c r="B2" s="86" t="s">
        <v>1995</v>
      </c>
      <c r="C2" s="75" t="str">
        <f aca="false">CALC!BY3</f>
        <v>Full-Time Employment Rate</v>
      </c>
      <c r="D2" s="75" t="str">
        <f aca="false">CALC!BZ3</f>
        <v>Authorized Immigrant Full-Time Employment Rate</v>
      </c>
      <c r="E2" s="75" t="str">
        <f aca="false">CALC!CA3</f>
        <v>Unauthorized Immigrant Full-Time Employment Rate</v>
      </c>
      <c r="F2" s="75" t="str">
        <f aca="false">CALC!CB3</f>
        <v>American Full-Time Employment Rate</v>
      </c>
    </row>
    <row r="3" customFormat="false" ht="12.8" hidden="false" customHeight="false" outlineLevel="0" collapsed="false">
      <c r="A3" s="55" t="e">
        <f aca="false">_xlfn.CONCAT($A$1, ".", #REF!)</f>
        <v>#REF!</v>
      </c>
      <c r="B3" s="71"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5" t="e">
        <f aca="false">_xlfn.CONCAT($A$1, ".", #REF!)</f>
        <v>#REF!</v>
      </c>
      <c r="B4" s="71"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5" t="e">
        <f aca="false">_xlfn.CONCAT($A$1, ".", #REF!)</f>
        <v>#REF!</v>
      </c>
      <c r="B5" s="71"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5" t="e">
        <f aca="false">_xlfn.CONCAT($A$1, ".", #REF!)</f>
        <v>#REF!</v>
      </c>
      <c r="B6" s="71"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5" t="e">
        <f aca="false">_xlfn.CONCAT($A$1, ".", #REF!)</f>
        <v>#REF!</v>
      </c>
      <c r="B7" s="71"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5" t="e">
        <f aca="false">_xlfn.CONCAT($A$1, ".", #REF!)</f>
        <v>#REF!</v>
      </c>
      <c r="B8" s="71"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5" t="e">
        <f aca="false">_xlfn.CONCAT($A$1, ".", #REF!)</f>
        <v>#REF!</v>
      </c>
      <c r="B9" s="71"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5" t="e">
        <f aca="false">_xlfn.CONCAT($A$1, ".", #REF!)</f>
        <v>#REF!</v>
      </c>
      <c r="B10" s="71"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5" t="e">
        <f aca="false">_xlfn.CONCAT($A$1, ".", #REF!)</f>
        <v>#REF!</v>
      </c>
      <c r="B11" s="71"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5" t="e">
        <f aca="false">_xlfn.CONCAT($A$1, ".", #REF!)</f>
        <v>#REF!</v>
      </c>
      <c r="B12" s="71"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5" t="e">
        <f aca="false">_xlfn.CONCAT($A$1, ".", #REF!)</f>
        <v>#REF!</v>
      </c>
      <c r="B13" s="71"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5" t="e">
        <f aca="false">_xlfn.CONCAT($A$1, ".", #REF!)</f>
        <v>#REF!</v>
      </c>
      <c r="B14" s="71"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5" t="e">
        <f aca="false">_xlfn.CONCAT($A$1, ".", #REF!)</f>
        <v>#REF!</v>
      </c>
      <c r="B15" s="71"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5" t="e">
        <f aca="false">_xlfn.CONCAT($A$1, ".", #REF!)</f>
        <v>#REF!</v>
      </c>
      <c r="B16" s="71"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5" t="e">
        <f aca="false">_xlfn.CONCAT($A$1, ".", #REF!)</f>
        <v>#REF!</v>
      </c>
      <c r="B17" s="71"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5" t="e">
        <f aca="false">_xlfn.CONCAT($A$1, ".", #REF!)</f>
        <v>#REF!</v>
      </c>
      <c r="B18" s="71"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5" t="e">
        <f aca="false">_xlfn.CONCAT($A$1, ".", #REF!)</f>
        <v>#REF!</v>
      </c>
      <c r="B19" s="71"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5" t="e">
        <f aca="false">_xlfn.CONCAT($A$1, ".", #REF!)</f>
        <v>#REF!</v>
      </c>
      <c r="B20" s="71"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5" t="e">
        <f aca="false">_xlfn.CONCAT($A$1, ".", #REF!)</f>
        <v>#REF!</v>
      </c>
      <c r="B21" s="71"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5" t="e">
        <f aca="false">_xlfn.CONCAT($A$1, ".", #REF!)</f>
        <v>#REF!</v>
      </c>
      <c r="B22" s="71"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5" t="e">
        <f aca="false">_xlfn.CONCAT($A$1, ".", #REF!)</f>
        <v>#REF!</v>
      </c>
      <c r="B23" s="71"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5" t="e">
        <f aca="false">_xlfn.CONCAT($A$1, ".", #REF!)</f>
        <v>#REF!</v>
      </c>
      <c r="B24" s="71"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5" t="e">
        <f aca="false">_xlfn.CONCAT($A$1, ".", #REF!)</f>
        <v>#REF!</v>
      </c>
      <c r="B25" s="71"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5" t="e">
        <f aca="false">_xlfn.CONCAT($A$1, ".", #REF!)</f>
        <v>#REF!</v>
      </c>
      <c r="B26" s="71"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5" t="e">
        <f aca="false">_xlfn.CONCAT($A$1, ".", #REF!)</f>
        <v>#REF!</v>
      </c>
      <c r="B27" s="71"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5" t="e">
        <f aca="false">_xlfn.CONCAT($A$1, ".", #REF!)</f>
        <v>#REF!</v>
      </c>
      <c r="B28" s="71"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5" t="e">
        <f aca="false">_xlfn.CONCAT($A$1, ".", #REF!)</f>
        <v>#REF!</v>
      </c>
      <c r="B29" s="71"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5" t="e">
        <f aca="false">_xlfn.CONCAT($A$1, ".", #REF!)</f>
        <v>#REF!</v>
      </c>
      <c r="B30" s="71"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5" t="e">
        <f aca="false">_xlfn.CONCAT($A$1, ".", #REF!)</f>
        <v>#REF!</v>
      </c>
      <c r="B31" s="71"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5" t="e">
        <f aca="false">_xlfn.CONCAT($A$1, ".", #REF!)</f>
        <v>#REF!</v>
      </c>
      <c r="B32" s="71"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5" t="e">
        <f aca="false">_xlfn.CONCAT($A$1, ".", #REF!)</f>
        <v>#REF!</v>
      </c>
      <c r="B33" s="71"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5" t="e">
        <f aca="false">_xlfn.CONCAT($A$1, ".", #REF!)</f>
        <v>#REF!</v>
      </c>
      <c r="B34" s="71"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5" t="e">
        <f aca="false">_xlfn.CONCAT($A$1, ".", #REF!)</f>
        <v>#REF!</v>
      </c>
      <c r="B35" s="71"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5" t="e">
        <f aca="false">_xlfn.CONCAT($A$1, ".", #REF!)</f>
        <v>#REF!</v>
      </c>
      <c r="B36" s="71"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5" t="e">
        <f aca="false">_xlfn.CONCAT($A$1, ".", #REF!)</f>
        <v>#REF!</v>
      </c>
      <c r="B37" s="71"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5" t="e">
        <f aca="false">_xlfn.CONCAT($A$1, ".", #REF!)</f>
        <v>#REF!</v>
      </c>
      <c r="B38" s="71"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5" t="e">
        <f aca="false">_xlfn.CONCAT($A$1, ".", #REF!)</f>
        <v>#REF!</v>
      </c>
      <c r="B39" s="71"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5" t="e">
        <f aca="false">_xlfn.CONCAT($A$1, ".", #REF!)</f>
        <v>#REF!</v>
      </c>
      <c r="B40" s="71"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5" t="e">
        <f aca="false">_xlfn.CONCAT($A$1, ".", #REF!)</f>
        <v>#REF!</v>
      </c>
      <c r="B41" s="71"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5" t="e">
        <f aca="false">_xlfn.CONCAT($A$1, ".", #REF!)</f>
        <v>#REF!</v>
      </c>
      <c r="B42" s="71"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5" t="e">
        <f aca="false">_xlfn.CONCAT($A$1, ".", #REF!)</f>
        <v>#REF!</v>
      </c>
      <c r="B43" s="71"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5" t="e">
        <f aca="false">_xlfn.CONCAT($A$1, ".", #REF!)</f>
        <v>#REF!</v>
      </c>
      <c r="B44" s="71"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5" t="e">
        <f aca="false">_xlfn.CONCAT($A$1, ".", #REF!)</f>
        <v>#REF!</v>
      </c>
      <c r="B45" s="71"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5" t="e">
        <f aca="false">_xlfn.CONCAT($A$1, ".", #REF!)</f>
        <v>#REF!</v>
      </c>
      <c r="B46" s="71"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5" t="e">
        <f aca="false">_xlfn.CONCAT($A$1, ".", #REF!)</f>
        <v>#REF!</v>
      </c>
      <c r="B47" s="71"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5" t="e">
        <f aca="false">_xlfn.CONCAT($A$1, ".", #REF!)</f>
        <v>#REF!</v>
      </c>
      <c r="B48" s="71"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5" t="e">
        <f aca="false">_xlfn.CONCAT($A$1, ".", #REF!)</f>
        <v>#REF!</v>
      </c>
      <c r="B49" s="71"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5" t="e">
        <f aca="false">_xlfn.CONCAT($A$1, ".", #REF!)</f>
        <v>#REF!</v>
      </c>
      <c r="B50" s="71"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5" t="e">
        <f aca="false">_xlfn.CONCAT($A$1, ".", #REF!)</f>
        <v>#REF!</v>
      </c>
      <c r="B51" s="71"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5" t="e">
        <f aca="false">_xlfn.CONCAT($A$1, ".", #REF!)</f>
        <v>#REF!</v>
      </c>
      <c r="B52" s="71"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5" t="e">
        <f aca="false">_xlfn.CONCAT($A$1, ".", #REF!)</f>
        <v>#REF!</v>
      </c>
      <c r="B53" s="71"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5" t="e">
        <f aca="false">_xlfn.CONCAT($A$1, ".", #REF!)</f>
        <v>#REF!</v>
      </c>
      <c r="B54" s="71"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5" t="e">
        <f aca="false">_xlfn.CONCAT($A$1, ".", #REF!)</f>
        <v>#REF!</v>
      </c>
      <c r="B55" s="71" t="e">
        <f aca="false">_xlfn.CONCAT(#REF!, ":", #REF!)</f>
        <v>#REF!</v>
      </c>
      <c r="C55" s="75" t="e">
        <f aca="false">#REF!</f>
        <v>#REF!</v>
      </c>
      <c r="D55" s="75" t="e">
        <f aca="false">#REF!</f>
        <v>#REF!</v>
      </c>
      <c r="E55" s="75" t="e">
        <f aca="false">#REF!</f>
        <v>#REF!</v>
      </c>
      <c r="F55" s="7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0" sqref="C55"/>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2322</v>
      </c>
      <c r="B1" s="84" t="s">
        <v>2329</v>
      </c>
      <c r="C1" s="6" t="s">
        <v>2</v>
      </c>
      <c r="D1" s="41" t="s">
        <v>2330</v>
      </c>
      <c r="AZ1" s="41"/>
      <c r="BP1" s="41"/>
    </row>
    <row r="2" customFormat="false" ht="46.25" hidden="false" customHeight="false" outlineLevel="0" collapsed="false">
      <c r="A2" s="85" t="s">
        <v>1994</v>
      </c>
      <c r="B2" s="86" t="s">
        <v>1995</v>
      </c>
      <c r="C2" s="75" t="str">
        <f aca="false">CALC!CC3</f>
        <v>Part-Time Employment Rate</v>
      </c>
      <c r="D2" s="75" t="str">
        <f aca="false">CALC!CD3</f>
        <v>Authorized Immigrant Part-Time Employment Rate</v>
      </c>
      <c r="E2" s="75" t="str">
        <f aca="false">CALC!CE3</f>
        <v>Unauthorized Immigrant Part-Time Employment Rate</v>
      </c>
      <c r="F2" s="75" t="str">
        <f aca="false">CALC!CF3</f>
        <v>American Part-Time Employment Rate</v>
      </c>
    </row>
    <row r="3" customFormat="false" ht="12.8" hidden="false" customHeight="false" outlineLevel="0" collapsed="false">
      <c r="A3" s="55" t="e">
        <f aca="false">_xlfn.CONCAT($A$1, ".", #REF!)</f>
        <v>#REF!</v>
      </c>
      <c r="B3" s="71"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5" t="e">
        <f aca="false">_xlfn.CONCAT($A$1, ".", #REF!)</f>
        <v>#REF!</v>
      </c>
      <c r="B4" s="71"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5" t="e">
        <f aca="false">_xlfn.CONCAT($A$1, ".", #REF!)</f>
        <v>#REF!</v>
      </c>
      <c r="B5" s="71"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5" t="e">
        <f aca="false">_xlfn.CONCAT($A$1, ".", #REF!)</f>
        <v>#REF!</v>
      </c>
      <c r="B6" s="71"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5" t="e">
        <f aca="false">_xlfn.CONCAT($A$1, ".", #REF!)</f>
        <v>#REF!</v>
      </c>
      <c r="B7" s="71"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5" t="e">
        <f aca="false">_xlfn.CONCAT($A$1, ".", #REF!)</f>
        <v>#REF!</v>
      </c>
      <c r="B8" s="71"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5" t="e">
        <f aca="false">_xlfn.CONCAT($A$1, ".", #REF!)</f>
        <v>#REF!</v>
      </c>
      <c r="B9" s="71"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5" t="e">
        <f aca="false">_xlfn.CONCAT($A$1, ".", #REF!)</f>
        <v>#REF!</v>
      </c>
      <c r="B10" s="71"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5" t="e">
        <f aca="false">_xlfn.CONCAT($A$1, ".", #REF!)</f>
        <v>#REF!</v>
      </c>
      <c r="B11" s="71"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5" t="e">
        <f aca="false">_xlfn.CONCAT($A$1, ".", #REF!)</f>
        <v>#REF!</v>
      </c>
      <c r="B12" s="71"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5" t="e">
        <f aca="false">_xlfn.CONCAT($A$1, ".", #REF!)</f>
        <v>#REF!</v>
      </c>
      <c r="B13" s="71"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5" t="e">
        <f aca="false">_xlfn.CONCAT($A$1, ".", #REF!)</f>
        <v>#REF!</v>
      </c>
      <c r="B14" s="71"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5" t="e">
        <f aca="false">_xlfn.CONCAT($A$1, ".", #REF!)</f>
        <v>#REF!</v>
      </c>
      <c r="B15" s="71"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5" t="e">
        <f aca="false">_xlfn.CONCAT($A$1, ".", #REF!)</f>
        <v>#REF!</v>
      </c>
      <c r="B16" s="71"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5" t="e">
        <f aca="false">_xlfn.CONCAT($A$1, ".", #REF!)</f>
        <v>#REF!</v>
      </c>
      <c r="B17" s="71"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5" t="e">
        <f aca="false">_xlfn.CONCAT($A$1, ".", #REF!)</f>
        <v>#REF!</v>
      </c>
      <c r="B18" s="71"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5" t="e">
        <f aca="false">_xlfn.CONCAT($A$1, ".", #REF!)</f>
        <v>#REF!</v>
      </c>
      <c r="B19" s="71"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5" t="e">
        <f aca="false">_xlfn.CONCAT($A$1, ".", #REF!)</f>
        <v>#REF!</v>
      </c>
      <c r="B20" s="71"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5" t="e">
        <f aca="false">_xlfn.CONCAT($A$1, ".", #REF!)</f>
        <v>#REF!</v>
      </c>
      <c r="B21" s="71"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5" t="e">
        <f aca="false">_xlfn.CONCAT($A$1, ".", #REF!)</f>
        <v>#REF!</v>
      </c>
      <c r="B22" s="71"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5" t="e">
        <f aca="false">_xlfn.CONCAT($A$1, ".", #REF!)</f>
        <v>#REF!</v>
      </c>
      <c r="B23" s="71"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5" t="e">
        <f aca="false">_xlfn.CONCAT($A$1, ".", #REF!)</f>
        <v>#REF!</v>
      </c>
      <c r="B24" s="71"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5" t="e">
        <f aca="false">_xlfn.CONCAT($A$1, ".", #REF!)</f>
        <v>#REF!</v>
      </c>
      <c r="B25" s="71"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5" t="e">
        <f aca="false">_xlfn.CONCAT($A$1, ".", #REF!)</f>
        <v>#REF!</v>
      </c>
      <c r="B26" s="71"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5" t="e">
        <f aca="false">_xlfn.CONCAT($A$1, ".", #REF!)</f>
        <v>#REF!</v>
      </c>
      <c r="B27" s="71"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5" t="e">
        <f aca="false">_xlfn.CONCAT($A$1, ".", #REF!)</f>
        <v>#REF!</v>
      </c>
      <c r="B28" s="71"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5" t="e">
        <f aca="false">_xlfn.CONCAT($A$1, ".", #REF!)</f>
        <v>#REF!</v>
      </c>
      <c r="B29" s="71"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5" t="e">
        <f aca="false">_xlfn.CONCAT($A$1, ".", #REF!)</f>
        <v>#REF!</v>
      </c>
      <c r="B30" s="71"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5" t="e">
        <f aca="false">_xlfn.CONCAT($A$1, ".", #REF!)</f>
        <v>#REF!</v>
      </c>
      <c r="B31" s="71"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5" t="e">
        <f aca="false">_xlfn.CONCAT($A$1, ".", #REF!)</f>
        <v>#REF!</v>
      </c>
      <c r="B32" s="71"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5" t="e">
        <f aca="false">_xlfn.CONCAT($A$1, ".", #REF!)</f>
        <v>#REF!</v>
      </c>
      <c r="B33" s="71"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5" t="e">
        <f aca="false">_xlfn.CONCAT($A$1, ".", #REF!)</f>
        <v>#REF!</v>
      </c>
      <c r="B34" s="71"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5" t="e">
        <f aca="false">_xlfn.CONCAT($A$1, ".", #REF!)</f>
        <v>#REF!</v>
      </c>
      <c r="B35" s="71"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5" t="e">
        <f aca="false">_xlfn.CONCAT($A$1, ".", #REF!)</f>
        <v>#REF!</v>
      </c>
      <c r="B36" s="71"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5" t="e">
        <f aca="false">_xlfn.CONCAT($A$1, ".", #REF!)</f>
        <v>#REF!</v>
      </c>
      <c r="B37" s="71"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5" t="e">
        <f aca="false">_xlfn.CONCAT($A$1, ".", #REF!)</f>
        <v>#REF!</v>
      </c>
      <c r="B38" s="71"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5" t="e">
        <f aca="false">_xlfn.CONCAT($A$1, ".", #REF!)</f>
        <v>#REF!</v>
      </c>
      <c r="B39" s="71"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5" t="e">
        <f aca="false">_xlfn.CONCAT($A$1, ".", #REF!)</f>
        <v>#REF!</v>
      </c>
      <c r="B40" s="71"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5" t="e">
        <f aca="false">_xlfn.CONCAT($A$1, ".", #REF!)</f>
        <v>#REF!</v>
      </c>
      <c r="B41" s="71"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5" t="e">
        <f aca="false">_xlfn.CONCAT($A$1, ".", #REF!)</f>
        <v>#REF!</v>
      </c>
      <c r="B42" s="71"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5" t="e">
        <f aca="false">_xlfn.CONCAT($A$1, ".", #REF!)</f>
        <v>#REF!</v>
      </c>
      <c r="B43" s="71"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5" t="e">
        <f aca="false">_xlfn.CONCAT($A$1, ".", #REF!)</f>
        <v>#REF!</v>
      </c>
      <c r="B44" s="71"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5" t="e">
        <f aca="false">_xlfn.CONCAT($A$1, ".", #REF!)</f>
        <v>#REF!</v>
      </c>
      <c r="B45" s="71"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5" t="e">
        <f aca="false">_xlfn.CONCAT($A$1, ".", #REF!)</f>
        <v>#REF!</v>
      </c>
      <c r="B46" s="71"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5" t="e">
        <f aca="false">_xlfn.CONCAT($A$1, ".", #REF!)</f>
        <v>#REF!</v>
      </c>
      <c r="B47" s="71"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5" t="e">
        <f aca="false">_xlfn.CONCAT($A$1, ".", #REF!)</f>
        <v>#REF!</v>
      </c>
      <c r="B48" s="71"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5" t="e">
        <f aca="false">_xlfn.CONCAT($A$1, ".", #REF!)</f>
        <v>#REF!</v>
      </c>
      <c r="B49" s="71"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5" t="e">
        <f aca="false">_xlfn.CONCAT($A$1, ".", #REF!)</f>
        <v>#REF!</v>
      </c>
      <c r="B50" s="71"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5" t="e">
        <f aca="false">_xlfn.CONCAT($A$1, ".", #REF!)</f>
        <v>#REF!</v>
      </c>
      <c r="B51" s="71"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5" t="e">
        <f aca="false">_xlfn.CONCAT($A$1, ".", #REF!)</f>
        <v>#REF!</v>
      </c>
      <c r="B52" s="71"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5" t="e">
        <f aca="false">_xlfn.CONCAT($A$1, ".", #REF!)</f>
        <v>#REF!</v>
      </c>
      <c r="B53" s="71"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5" t="e">
        <f aca="false">_xlfn.CONCAT($A$1, ".", #REF!)</f>
        <v>#REF!</v>
      </c>
      <c r="B54" s="71"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5" t="e">
        <f aca="false">_xlfn.CONCAT($A$1, ".", #REF!)</f>
        <v>#REF!</v>
      </c>
      <c r="B55" s="71" t="e">
        <f aca="false">_xlfn.CONCAT(#REF!, ":", #REF!)</f>
        <v>#REF!</v>
      </c>
      <c r="C55" s="75" t="e">
        <f aca="false">#REF!</f>
        <v>#REF!</v>
      </c>
      <c r="D55" s="75" t="e">
        <f aca="false">#REF!</f>
        <v>#REF!</v>
      </c>
      <c r="E55" s="75" t="e">
        <f aca="false">#REF!</f>
        <v>#REF!</v>
      </c>
      <c r="F55" s="7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5" width="13.84"/>
    <col collapsed="false" customWidth="true" hidden="false" outlineLevel="0" max="2" min="2" style="50" width="36.9"/>
    <col collapsed="false" customWidth="true" hidden="false" outlineLevel="0" max="3" min="3" style="41" width="21.47"/>
    <col collapsed="false" customWidth="true" hidden="false" outlineLevel="0" max="34" min="4" style="41" width="16.84"/>
    <col collapsed="false" customWidth="true" hidden="false" outlineLevel="0" max="48" min="35" style="41" width="17.78"/>
    <col collapsed="false" customWidth="true" hidden="false" outlineLevel="0" max="51" min="49" style="41" width="15.48"/>
    <col collapsed="false" customWidth="true" hidden="false" outlineLevel="0" max="56" min="56" style="41" width="18.45"/>
    <col collapsed="false" customWidth="true" hidden="false" outlineLevel="0" max="59" min="57" style="41" width="16.14"/>
    <col collapsed="false" customWidth="true" hidden="false" outlineLevel="0" max="67" min="60" style="41" width="13.84"/>
  </cols>
  <sheetData>
    <row r="1" customFormat="false" ht="12.8" hidden="false" customHeight="false" outlineLevel="0" collapsed="false">
      <c r="A1" s="4" t="s">
        <v>2322</v>
      </c>
      <c r="B1" s="84" t="s">
        <v>2331</v>
      </c>
      <c r="C1" s="6" t="s">
        <v>2</v>
      </c>
      <c r="D1" s="41" t="s">
        <v>2332</v>
      </c>
      <c r="AZ1" s="41"/>
      <c r="BP1" s="41"/>
    </row>
    <row r="2" customFormat="false" ht="35.05" hidden="false" customHeight="false" outlineLevel="0" collapsed="false">
      <c r="A2" s="85" t="s">
        <v>1994</v>
      </c>
      <c r="B2" s="86" t="s">
        <v>1995</v>
      </c>
      <c r="C2" s="87" t="str">
        <f aca="false">CALC!CG3</f>
        <v>Job Tenure Average (years)</v>
      </c>
      <c r="D2" s="87" t="str">
        <f aca="false">CALC!CH3</f>
        <v>Authorized Immigrant Job Tenure Average</v>
      </c>
      <c r="E2" s="87" t="str">
        <f aca="false">CALC!CI3</f>
        <v>Unauthorized Immigrant Job Tenure Average</v>
      </c>
      <c r="F2" s="87" t="str">
        <f aca="false">CALC!CJ3</f>
        <v>American Job Tenure Average</v>
      </c>
    </row>
    <row r="3" customFormat="false" ht="12.8" hidden="false" customHeight="false" outlineLevel="0" collapsed="false">
      <c r="A3" s="55" t="e">
        <f aca="false">_xlfn.CONCAT($A$1, ".", #REF!)</f>
        <v>#REF!</v>
      </c>
      <c r="B3" s="71" t="e">
        <f aca="false">_xlfn.CONCAT(#REF!, ":", #REF!)</f>
        <v>#REF!</v>
      </c>
      <c r="C3" s="87" t="e">
        <f aca="false">#REF!</f>
        <v>#REF!</v>
      </c>
      <c r="D3" s="87" t="e">
        <f aca="false">#REF!</f>
        <v>#REF!</v>
      </c>
      <c r="E3" s="87" t="e">
        <f aca="false">#REF!</f>
        <v>#REF!</v>
      </c>
      <c r="F3" s="87" t="e">
        <f aca="false">#REF!</f>
        <v>#REF!</v>
      </c>
    </row>
    <row r="4" customFormat="false" ht="12.8" hidden="false" customHeight="false" outlineLevel="0" collapsed="false">
      <c r="A4" s="55" t="e">
        <f aca="false">_xlfn.CONCAT($A$1, ".", #REF!)</f>
        <v>#REF!</v>
      </c>
      <c r="B4" s="71" t="e">
        <f aca="false">_xlfn.CONCAT(#REF!, ":", #REF!)</f>
        <v>#REF!</v>
      </c>
      <c r="C4" s="87" t="e">
        <f aca="false">#REF!</f>
        <v>#REF!</v>
      </c>
      <c r="D4" s="87" t="e">
        <f aca="false">#REF!</f>
        <v>#REF!</v>
      </c>
      <c r="E4" s="87" t="e">
        <f aca="false">#REF!</f>
        <v>#REF!</v>
      </c>
      <c r="F4" s="87" t="e">
        <f aca="false">#REF!</f>
        <v>#REF!</v>
      </c>
    </row>
    <row r="5" customFormat="false" ht="12.8" hidden="false" customHeight="false" outlineLevel="0" collapsed="false">
      <c r="A5" s="55" t="e">
        <f aca="false">_xlfn.CONCAT($A$1, ".", #REF!)</f>
        <v>#REF!</v>
      </c>
      <c r="B5" s="71" t="e">
        <f aca="false">_xlfn.CONCAT(#REF!, ":", #REF!)</f>
        <v>#REF!</v>
      </c>
      <c r="C5" s="87" t="e">
        <f aca="false">#REF!</f>
        <v>#REF!</v>
      </c>
      <c r="D5" s="87" t="e">
        <f aca="false">#REF!</f>
        <v>#REF!</v>
      </c>
      <c r="E5" s="87" t="e">
        <f aca="false">#REF!</f>
        <v>#REF!</v>
      </c>
      <c r="F5" s="87" t="e">
        <f aca="false">#REF!</f>
        <v>#REF!</v>
      </c>
    </row>
    <row r="6" customFormat="false" ht="12.8" hidden="false" customHeight="false" outlineLevel="0" collapsed="false">
      <c r="A6" s="55" t="e">
        <f aca="false">_xlfn.CONCAT($A$1, ".", #REF!)</f>
        <v>#REF!</v>
      </c>
      <c r="B6" s="71" t="e">
        <f aca="false">_xlfn.CONCAT(#REF!, ":", #REF!)</f>
        <v>#REF!</v>
      </c>
      <c r="C6" s="87" t="e">
        <f aca="false">#REF!</f>
        <v>#REF!</v>
      </c>
      <c r="D6" s="87" t="e">
        <f aca="false">#REF!</f>
        <v>#REF!</v>
      </c>
      <c r="E6" s="87" t="e">
        <f aca="false">#REF!</f>
        <v>#REF!</v>
      </c>
      <c r="F6" s="87" t="e">
        <f aca="false">#REF!</f>
        <v>#REF!</v>
      </c>
    </row>
    <row r="7" customFormat="false" ht="12.8" hidden="false" customHeight="false" outlineLevel="0" collapsed="false">
      <c r="A7" s="55" t="e">
        <f aca="false">_xlfn.CONCAT($A$1, ".", #REF!)</f>
        <v>#REF!</v>
      </c>
      <c r="B7" s="71" t="e">
        <f aca="false">_xlfn.CONCAT(#REF!, ":", #REF!)</f>
        <v>#REF!</v>
      </c>
      <c r="C7" s="87" t="e">
        <f aca="false">#REF!</f>
        <v>#REF!</v>
      </c>
      <c r="D7" s="87" t="e">
        <f aca="false">#REF!</f>
        <v>#REF!</v>
      </c>
      <c r="E7" s="87" t="e">
        <f aca="false">#REF!</f>
        <v>#REF!</v>
      </c>
      <c r="F7" s="87" t="e">
        <f aca="false">#REF!</f>
        <v>#REF!</v>
      </c>
    </row>
    <row r="8" customFormat="false" ht="12.8" hidden="false" customHeight="false" outlineLevel="0" collapsed="false">
      <c r="A8" s="55" t="e">
        <f aca="false">_xlfn.CONCAT($A$1, ".", #REF!)</f>
        <v>#REF!</v>
      </c>
      <c r="B8" s="71" t="e">
        <f aca="false">_xlfn.CONCAT(#REF!, ":", #REF!)</f>
        <v>#REF!</v>
      </c>
      <c r="C8" s="87" t="e">
        <f aca="false">#REF!</f>
        <v>#REF!</v>
      </c>
      <c r="D8" s="87" t="e">
        <f aca="false">#REF!</f>
        <v>#REF!</v>
      </c>
      <c r="E8" s="87" t="e">
        <f aca="false">#REF!</f>
        <v>#REF!</v>
      </c>
      <c r="F8" s="87" t="e">
        <f aca="false">#REF!</f>
        <v>#REF!</v>
      </c>
    </row>
    <row r="9" customFormat="false" ht="12.8" hidden="false" customHeight="false" outlineLevel="0" collapsed="false">
      <c r="A9" s="55" t="e">
        <f aca="false">_xlfn.CONCAT($A$1, ".", #REF!)</f>
        <v>#REF!</v>
      </c>
      <c r="B9" s="71" t="e">
        <f aca="false">_xlfn.CONCAT(#REF!, ":", #REF!)</f>
        <v>#REF!</v>
      </c>
      <c r="C9" s="87" t="e">
        <f aca="false">#REF!</f>
        <v>#REF!</v>
      </c>
      <c r="D9" s="87" t="e">
        <f aca="false">#REF!</f>
        <v>#REF!</v>
      </c>
      <c r="E9" s="87" t="e">
        <f aca="false">#REF!</f>
        <v>#REF!</v>
      </c>
      <c r="F9" s="87" t="e">
        <f aca="false">#REF!</f>
        <v>#REF!</v>
      </c>
    </row>
    <row r="10" customFormat="false" ht="12.8" hidden="false" customHeight="false" outlineLevel="0" collapsed="false">
      <c r="A10" s="55" t="e">
        <f aca="false">_xlfn.CONCAT($A$1, ".", #REF!)</f>
        <v>#REF!</v>
      </c>
      <c r="B10" s="71" t="e">
        <f aca="false">_xlfn.CONCAT(#REF!, ":", #REF!)</f>
        <v>#REF!</v>
      </c>
      <c r="C10" s="87" t="e">
        <f aca="false">#REF!</f>
        <v>#REF!</v>
      </c>
      <c r="D10" s="87" t="e">
        <f aca="false">#REF!</f>
        <v>#REF!</v>
      </c>
      <c r="E10" s="87" t="e">
        <f aca="false">#REF!</f>
        <v>#REF!</v>
      </c>
      <c r="F10" s="87" t="e">
        <f aca="false">#REF!</f>
        <v>#REF!</v>
      </c>
    </row>
    <row r="11" customFormat="false" ht="12.8" hidden="false" customHeight="false" outlineLevel="0" collapsed="false">
      <c r="A11" s="55" t="e">
        <f aca="false">_xlfn.CONCAT($A$1, ".", #REF!)</f>
        <v>#REF!</v>
      </c>
      <c r="B11" s="71" t="e">
        <f aca="false">_xlfn.CONCAT(#REF!, ":", #REF!)</f>
        <v>#REF!</v>
      </c>
      <c r="C11" s="87" t="e">
        <f aca="false">#REF!</f>
        <v>#REF!</v>
      </c>
      <c r="D11" s="87" t="e">
        <f aca="false">#REF!</f>
        <v>#REF!</v>
      </c>
      <c r="E11" s="87" t="e">
        <f aca="false">#REF!</f>
        <v>#REF!</v>
      </c>
      <c r="F11" s="87" t="e">
        <f aca="false">#REF!</f>
        <v>#REF!</v>
      </c>
    </row>
    <row r="12" customFormat="false" ht="12.8" hidden="false" customHeight="false" outlineLevel="0" collapsed="false">
      <c r="A12" s="55" t="e">
        <f aca="false">_xlfn.CONCAT($A$1, ".", #REF!)</f>
        <v>#REF!</v>
      </c>
      <c r="B12" s="71" t="e">
        <f aca="false">_xlfn.CONCAT(#REF!, ":", #REF!)</f>
        <v>#REF!</v>
      </c>
      <c r="C12" s="87" t="e">
        <f aca="false">#REF!</f>
        <v>#REF!</v>
      </c>
      <c r="D12" s="87" t="e">
        <f aca="false">#REF!</f>
        <v>#REF!</v>
      </c>
      <c r="E12" s="87" t="e">
        <f aca="false">#REF!</f>
        <v>#REF!</v>
      </c>
      <c r="F12" s="87" t="e">
        <f aca="false">#REF!</f>
        <v>#REF!</v>
      </c>
    </row>
    <row r="13" customFormat="false" ht="12.8" hidden="false" customHeight="false" outlineLevel="0" collapsed="false">
      <c r="A13" s="55" t="e">
        <f aca="false">_xlfn.CONCAT($A$1, ".", #REF!)</f>
        <v>#REF!</v>
      </c>
      <c r="B13" s="71" t="e">
        <f aca="false">_xlfn.CONCAT(#REF!, ":", #REF!)</f>
        <v>#REF!</v>
      </c>
      <c r="C13" s="87" t="e">
        <f aca="false">#REF!</f>
        <v>#REF!</v>
      </c>
      <c r="D13" s="87" t="e">
        <f aca="false">#REF!</f>
        <v>#REF!</v>
      </c>
      <c r="E13" s="87" t="e">
        <f aca="false">#REF!</f>
        <v>#REF!</v>
      </c>
      <c r="F13" s="87" t="e">
        <f aca="false">#REF!</f>
        <v>#REF!</v>
      </c>
    </row>
    <row r="14" customFormat="false" ht="12.8" hidden="false" customHeight="false" outlineLevel="0" collapsed="false">
      <c r="A14" s="55" t="e">
        <f aca="false">_xlfn.CONCAT($A$1, ".", #REF!)</f>
        <v>#REF!</v>
      </c>
      <c r="B14" s="71" t="e">
        <f aca="false">_xlfn.CONCAT(#REF!, ":", #REF!)</f>
        <v>#REF!</v>
      </c>
      <c r="C14" s="87" t="e">
        <f aca="false">#REF!</f>
        <v>#REF!</v>
      </c>
      <c r="D14" s="87" t="e">
        <f aca="false">#REF!</f>
        <v>#REF!</v>
      </c>
      <c r="E14" s="87" t="e">
        <f aca="false">#REF!</f>
        <v>#REF!</v>
      </c>
      <c r="F14" s="87" t="e">
        <f aca="false">#REF!</f>
        <v>#REF!</v>
      </c>
    </row>
    <row r="15" customFormat="false" ht="12.8" hidden="false" customHeight="false" outlineLevel="0" collapsed="false">
      <c r="A15" s="55" t="e">
        <f aca="false">_xlfn.CONCAT($A$1, ".", #REF!)</f>
        <v>#REF!</v>
      </c>
      <c r="B15" s="71" t="e">
        <f aca="false">_xlfn.CONCAT(#REF!, ":", #REF!)</f>
        <v>#REF!</v>
      </c>
      <c r="C15" s="87" t="e">
        <f aca="false">#REF!</f>
        <v>#REF!</v>
      </c>
      <c r="D15" s="87" t="e">
        <f aca="false">#REF!</f>
        <v>#REF!</v>
      </c>
      <c r="E15" s="87" t="e">
        <f aca="false">#REF!</f>
        <v>#REF!</v>
      </c>
      <c r="F15" s="87" t="e">
        <f aca="false">#REF!</f>
        <v>#REF!</v>
      </c>
    </row>
    <row r="16" customFormat="false" ht="12.8" hidden="false" customHeight="false" outlineLevel="0" collapsed="false">
      <c r="A16" s="55" t="e">
        <f aca="false">_xlfn.CONCAT($A$1, ".", #REF!)</f>
        <v>#REF!</v>
      </c>
      <c r="B16" s="71" t="e">
        <f aca="false">_xlfn.CONCAT(#REF!, ":", #REF!)</f>
        <v>#REF!</v>
      </c>
      <c r="C16" s="87" t="e">
        <f aca="false">#REF!</f>
        <v>#REF!</v>
      </c>
      <c r="D16" s="87" t="e">
        <f aca="false">#REF!</f>
        <v>#REF!</v>
      </c>
      <c r="E16" s="87" t="e">
        <f aca="false">#REF!</f>
        <v>#REF!</v>
      </c>
      <c r="F16" s="87" t="e">
        <f aca="false">#REF!</f>
        <v>#REF!</v>
      </c>
    </row>
    <row r="17" customFormat="false" ht="12.8" hidden="false" customHeight="false" outlineLevel="0" collapsed="false">
      <c r="A17" s="55" t="e">
        <f aca="false">_xlfn.CONCAT($A$1, ".", #REF!)</f>
        <v>#REF!</v>
      </c>
      <c r="B17" s="71" t="e">
        <f aca="false">_xlfn.CONCAT(#REF!, ":", #REF!)</f>
        <v>#REF!</v>
      </c>
      <c r="C17" s="87" t="e">
        <f aca="false">#REF!</f>
        <v>#REF!</v>
      </c>
      <c r="D17" s="87" t="e">
        <f aca="false">#REF!</f>
        <v>#REF!</v>
      </c>
      <c r="E17" s="87" t="e">
        <f aca="false">#REF!</f>
        <v>#REF!</v>
      </c>
      <c r="F17" s="87" t="e">
        <f aca="false">#REF!</f>
        <v>#REF!</v>
      </c>
    </row>
    <row r="18" customFormat="false" ht="12.8" hidden="false" customHeight="false" outlineLevel="0" collapsed="false">
      <c r="A18" s="55" t="e">
        <f aca="false">_xlfn.CONCAT($A$1, ".", #REF!)</f>
        <v>#REF!</v>
      </c>
      <c r="B18" s="71" t="e">
        <f aca="false">_xlfn.CONCAT(#REF!, ":", #REF!)</f>
        <v>#REF!</v>
      </c>
      <c r="C18" s="87" t="e">
        <f aca="false">#REF!</f>
        <v>#REF!</v>
      </c>
      <c r="D18" s="87" t="e">
        <f aca="false">#REF!</f>
        <v>#REF!</v>
      </c>
      <c r="E18" s="87" t="e">
        <f aca="false">#REF!</f>
        <v>#REF!</v>
      </c>
      <c r="F18" s="87" t="e">
        <f aca="false">#REF!</f>
        <v>#REF!</v>
      </c>
    </row>
    <row r="19" customFormat="false" ht="12.8" hidden="false" customHeight="false" outlineLevel="0" collapsed="false">
      <c r="A19" s="55" t="e">
        <f aca="false">_xlfn.CONCAT($A$1, ".", #REF!)</f>
        <v>#REF!</v>
      </c>
      <c r="B19" s="71" t="e">
        <f aca="false">_xlfn.CONCAT(#REF!, ":", #REF!)</f>
        <v>#REF!</v>
      </c>
      <c r="C19" s="87" t="e">
        <f aca="false">#REF!</f>
        <v>#REF!</v>
      </c>
      <c r="D19" s="87" t="e">
        <f aca="false">#REF!</f>
        <v>#REF!</v>
      </c>
      <c r="E19" s="87" t="e">
        <f aca="false">#REF!</f>
        <v>#REF!</v>
      </c>
      <c r="F19" s="87" t="e">
        <f aca="false">#REF!</f>
        <v>#REF!</v>
      </c>
    </row>
    <row r="20" customFormat="false" ht="12.8" hidden="false" customHeight="false" outlineLevel="0" collapsed="false">
      <c r="A20" s="55" t="e">
        <f aca="false">_xlfn.CONCAT($A$1, ".", #REF!)</f>
        <v>#REF!</v>
      </c>
      <c r="B20" s="71" t="e">
        <f aca="false">_xlfn.CONCAT(#REF!, ":", #REF!)</f>
        <v>#REF!</v>
      </c>
      <c r="C20" s="87" t="e">
        <f aca="false">#REF!</f>
        <v>#REF!</v>
      </c>
      <c r="D20" s="87" t="e">
        <f aca="false">#REF!</f>
        <v>#REF!</v>
      </c>
      <c r="E20" s="87" t="e">
        <f aca="false">#REF!</f>
        <v>#REF!</v>
      </c>
      <c r="F20" s="87" t="e">
        <f aca="false">#REF!</f>
        <v>#REF!</v>
      </c>
    </row>
    <row r="21" customFormat="false" ht="12.8" hidden="false" customHeight="false" outlineLevel="0" collapsed="false">
      <c r="A21" s="55" t="e">
        <f aca="false">_xlfn.CONCAT($A$1, ".", #REF!)</f>
        <v>#REF!</v>
      </c>
      <c r="B21" s="71" t="e">
        <f aca="false">_xlfn.CONCAT(#REF!, ":", #REF!)</f>
        <v>#REF!</v>
      </c>
      <c r="C21" s="87" t="e">
        <f aca="false">#REF!</f>
        <v>#REF!</v>
      </c>
      <c r="D21" s="87" t="e">
        <f aca="false">#REF!</f>
        <v>#REF!</v>
      </c>
      <c r="E21" s="87" t="e">
        <f aca="false">#REF!</f>
        <v>#REF!</v>
      </c>
      <c r="F21" s="87" t="e">
        <f aca="false">#REF!</f>
        <v>#REF!</v>
      </c>
    </row>
    <row r="22" customFormat="false" ht="12.8" hidden="false" customHeight="false" outlineLevel="0" collapsed="false">
      <c r="A22" s="55" t="e">
        <f aca="false">_xlfn.CONCAT($A$1, ".", #REF!)</f>
        <v>#REF!</v>
      </c>
      <c r="B22" s="71" t="e">
        <f aca="false">_xlfn.CONCAT(#REF!, ":", #REF!)</f>
        <v>#REF!</v>
      </c>
      <c r="C22" s="87" t="e">
        <f aca="false">#REF!</f>
        <v>#REF!</v>
      </c>
      <c r="D22" s="87" t="e">
        <f aca="false">#REF!</f>
        <v>#REF!</v>
      </c>
      <c r="E22" s="87" t="e">
        <f aca="false">#REF!</f>
        <v>#REF!</v>
      </c>
      <c r="F22" s="87" t="e">
        <f aca="false">#REF!</f>
        <v>#REF!</v>
      </c>
    </row>
    <row r="23" customFormat="false" ht="12.8" hidden="false" customHeight="false" outlineLevel="0" collapsed="false">
      <c r="A23" s="55" t="e">
        <f aca="false">_xlfn.CONCAT($A$1, ".", #REF!)</f>
        <v>#REF!</v>
      </c>
      <c r="B23" s="71" t="e">
        <f aca="false">_xlfn.CONCAT(#REF!, ":", #REF!)</f>
        <v>#REF!</v>
      </c>
      <c r="C23" s="87" t="e">
        <f aca="false">#REF!</f>
        <v>#REF!</v>
      </c>
      <c r="D23" s="87" t="e">
        <f aca="false">#REF!</f>
        <v>#REF!</v>
      </c>
      <c r="E23" s="87" t="e">
        <f aca="false">#REF!</f>
        <v>#REF!</v>
      </c>
      <c r="F23" s="87" t="e">
        <f aca="false">#REF!</f>
        <v>#REF!</v>
      </c>
    </row>
    <row r="24" customFormat="false" ht="12.8" hidden="false" customHeight="false" outlineLevel="0" collapsed="false">
      <c r="A24" s="55" t="e">
        <f aca="false">_xlfn.CONCAT($A$1, ".", #REF!)</f>
        <v>#REF!</v>
      </c>
      <c r="B24" s="71" t="e">
        <f aca="false">_xlfn.CONCAT(#REF!, ":", #REF!)</f>
        <v>#REF!</v>
      </c>
      <c r="C24" s="87" t="e">
        <f aca="false">#REF!</f>
        <v>#REF!</v>
      </c>
      <c r="D24" s="87" t="e">
        <f aca="false">#REF!</f>
        <v>#REF!</v>
      </c>
      <c r="E24" s="87" t="e">
        <f aca="false">#REF!</f>
        <v>#REF!</v>
      </c>
      <c r="F24" s="87" t="e">
        <f aca="false">#REF!</f>
        <v>#REF!</v>
      </c>
    </row>
    <row r="25" customFormat="false" ht="12.8" hidden="false" customHeight="false" outlineLevel="0" collapsed="false">
      <c r="A25" s="55" t="e">
        <f aca="false">_xlfn.CONCAT($A$1, ".", #REF!)</f>
        <v>#REF!</v>
      </c>
      <c r="B25" s="71" t="e">
        <f aca="false">_xlfn.CONCAT(#REF!, ":", #REF!)</f>
        <v>#REF!</v>
      </c>
      <c r="C25" s="87" t="e">
        <f aca="false">#REF!</f>
        <v>#REF!</v>
      </c>
      <c r="D25" s="87" t="e">
        <f aca="false">#REF!</f>
        <v>#REF!</v>
      </c>
      <c r="E25" s="87" t="e">
        <f aca="false">#REF!</f>
        <v>#REF!</v>
      </c>
      <c r="F25" s="87" t="e">
        <f aca="false">#REF!</f>
        <v>#REF!</v>
      </c>
    </row>
    <row r="26" customFormat="false" ht="12.8" hidden="false" customHeight="false" outlineLevel="0" collapsed="false">
      <c r="A26" s="55" t="e">
        <f aca="false">_xlfn.CONCAT($A$1, ".", #REF!)</f>
        <v>#REF!</v>
      </c>
      <c r="B26" s="71" t="e">
        <f aca="false">_xlfn.CONCAT(#REF!, ":", #REF!)</f>
        <v>#REF!</v>
      </c>
      <c r="C26" s="87" t="e">
        <f aca="false">#REF!</f>
        <v>#REF!</v>
      </c>
      <c r="D26" s="87" t="e">
        <f aca="false">#REF!</f>
        <v>#REF!</v>
      </c>
      <c r="E26" s="87" t="e">
        <f aca="false">#REF!</f>
        <v>#REF!</v>
      </c>
      <c r="F26" s="87" t="e">
        <f aca="false">#REF!</f>
        <v>#REF!</v>
      </c>
    </row>
    <row r="27" customFormat="false" ht="12.8" hidden="false" customHeight="false" outlineLevel="0" collapsed="false">
      <c r="A27" s="55" t="e">
        <f aca="false">_xlfn.CONCAT($A$1, ".", #REF!)</f>
        <v>#REF!</v>
      </c>
      <c r="B27" s="71" t="e">
        <f aca="false">_xlfn.CONCAT(#REF!, ":", #REF!)</f>
        <v>#REF!</v>
      </c>
      <c r="C27" s="87" t="e">
        <f aca="false">#REF!</f>
        <v>#REF!</v>
      </c>
      <c r="D27" s="87" t="e">
        <f aca="false">#REF!</f>
        <v>#REF!</v>
      </c>
      <c r="E27" s="87" t="e">
        <f aca="false">#REF!</f>
        <v>#REF!</v>
      </c>
      <c r="F27" s="87" t="e">
        <f aca="false">#REF!</f>
        <v>#REF!</v>
      </c>
    </row>
    <row r="28" customFormat="false" ht="12.8" hidden="false" customHeight="false" outlineLevel="0" collapsed="false">
      <c r="A28" s="55" t="e">
        <f aca="false">_xlfn.CONCAT($A$1, ".", #REF!)</f>
        <v>#REF!</v>
      </c>
      <c r="B28" s="71" t="e">
        <f aca="false">_xlfn.CONCAT(#REF!, ":", #REF!)</f>
        <v>#REF!</v>
      </c>
      <c r="C28" s="87" t="e">
        <f aca="false">#REF!</f>
        <v>#REF!</v>
      </c>
      <c r="D28" s="87" t="e">
        <f aca="false">#REF!</f>
        <v>#REF!</v>
      </c>
      <c r="E28" s="87" t="e">
        <f aca="false">#REF!</f>
        <v>#REF!</v>
      </c>
      <c r="F28" s="87" t="e">
        <f aca="false">#REF!</f>
        <v>#REF!</v>
      </c>
    </row>
    <row r="29" customFormat="false" ht="12.8" hidden="false" customHeight="false" outlineLevel="0" collapsed="false">
      <c r="A29" s="55" t="e">
        <f aca="false">_xlfn.CONCAT($A$1, ".", #REF!)</f>
        <v>#REF!</v>
      </c>
      <c r="B29" s="71" t="e">
        <f aca="false">_xlfn.CONCAT(#REF!, ":", #REF!)</f>
        <v>#REF!</v>
      </c>
      <c r="C29" s="87" t="e">
        <f aca="false">#REF!</f>
        <v>#REF!</v>
      </c>
      <c r="D29" s="87" t="e">
        <f aca="false">#REF!</f>
        <v>#REF!</v>
      </c>
      <c r="E29" s="87" t="e">
        <f aca="false">#REF!</f>
        <v>#REF!</v>
      </c>
      <c r="F29" s="87" t="e">
        <f aca="false">#REF!</f>
        <v>#REF!</v>
      </c>
    </row>
    <row r="30" customFormat="false" ht="12.8" hidden="false" customHeight="false" outlineLevel="0" collapsed="false">
      <c r="A30" s="55" t="e">
        <f aca="false">_xlfn.CONCAT($A$1, ".", #REF!)</f>
        <v>#REF!</v>
      </c>
      <c r="B30" s="71" t="e">
        <f aca="false">_xlfn.CONCAT(#REF!, ":", #REF!)</f>
        <v>#REF!</v>
      </c>
      <c r="C30" s="87" t="e">
        <f aca="false">#REF!</f>
        <v>#REF!</v>
      </c>
      <c r="D30" s="87" t="e">
        <f aca="false">#REF!</f>
        <v>#REF!</v>
      </c>
      <c r="E30" s="87" t="e">
        <f aca="false">#REF!</f>
        <v>#REF!</v>
      </c>
      <c r="F30" s="87" t="e">
        <f aca="false">#REF!</f>
        <v>#REF!</v>
      </c>
    </row>
    <row r="31" customFormat="false" ht="12.8" hidden="false" customHeight="false" outlineLevel="0" collapsed="false">
      <c r="A31" s="55" t="e">
        <f aca="false">_xlfn.CONCAT($A$1, ".", #REF!)</f>
        <v>#REF!</v>
      </c>
      <c r="B31" s="71" t="e">
        <f aca="false">_xlfn.CONCAT(#REF!, ":", #REF!)</f>
        <v>#REF!</v>
      </c>
      <c r="C31" s="87" t="e">
        <f aca="false">#REF!</f>
        <v>#REF!</v>
      </c>
      <c r="D31" s="87" t="e">
        <f aca="false">#REF!</f>
        <v>#REF!</v>
      </c>
      <c r="E31" s="87" t="e">
        <f aca="false">#REF!</f>
        <v>#REF!</v>
      </c>
      <c r="F31" s="87" t="e">
        <f aca="false">#REF!</f>
        <v>#REF!</v>
      </c>
    </row>
    <row r="32" customFormat="false" ht="12.8" hidden="false" customHeight="false" outlineLevel="0" collapsed="false">
      <c r="A32" s="55" t="e">
        <f aca="false">_xlfn.CONCAT($A$1, ".", #REF!)</f>
        <v>#REF!</v>
      </c>
      <c r="B32" s="71" t="e">
        <f aca="false">_xlfn.CONCAT(#REF!, ":", #REF!)</f>
        <v>#REF!</v>
      </c>
      <c r="C32" s="87" t="e">
        <f aca="false">#REF!</f>
        <v>#REF!</v>
      </c>
      <c r="D32" s="87" t="e">
        <f aca="false">#REF!</f>
        <v>#REF!</v>
      </c>
      <c r="E32" s="87" t="e">
        <f aca="false">#REF!</f>
        <v>#REF!</v>
      </c>
      <c r="F32" s="87" t="e">
        <f aca="false">#REF!</f>
        <v>#REF!</v>
      </c>
    </row>
    <row r="33" customFormat="false" ht="12.8" hidden="false" customHeight="false" outlineLevel="0" collapsed="false">
      <c r="A33" s="55" t="e">
        <f aca="false">_xlfn.CONCAT($A$1, ".", #REF!)</f>
        <v>#REF!</v>
      </c>
      <c r="B33" s="71" t="e">
        <f aca="false">_xlfn.CONCAT(#REF!, ":", #REF!)</f>
        <v>#REF!</v>
      </c>
      <c r="C33" s="87" t="e">
        <f aca="false">#REF!</f>
        <v>#REF!</v>
      </c>
      <c r="D33" s="87" t="e">
        <f aca="false">#REF!</f>
        <v>#REF!</v>
      </c>
      <c r="E33" s="87" t="e">
        <f aca="false">#REF!</f>
        <v>#REF!</v>
      </c>
      <c r="F33" s="87" t="e">
        <f aca="false">#REF!</f>
        <v>#REF!</v>
      </c>
    </row>
    <row r="34" customFormat="false" ht="12.8" hidden="false" customHeight="false" outlineLevel="0" collapsed="false">
      <c r="A34" s="55" t="e">
        <f aca="false">_xlfn.CONCAT($A$1, ".", #REF!)</f>
        <v>#REF!</v>
      </c>
      <c r="B34" s="71" t="e">
        <f aca="false">_xlfn.CONCAT(#REF!, ":", #REF!)</f>
        <v>#REF!</v>
      </c>
      <c r="C34" s="87" t="e">
        <f aca="false">#REF!</f>
        <v>#REF!</v>
      </c>
      <c r="D34" s="87" t="e">
        <f aca="false">#REF!</f>
        <v>#REF!</v>
      </c>
      <c r="E34" s="87" t="e">
        <f aca="false">#REF!</f>
        <v>#REF!</v>
      </c>
      <c r="F34" s="87" t="e">
        <f aca="false">#REF!</f>
        <v>#REF!</v>
      </c>
    </row>
    <row r="35" customFormat="false" ht="12.8" hidden="false" customHeight="false" outlineLevel="0" collapsed="false">
      <c r="A35" s="55" t="e">
        <f aca="false">_xlfn.CONCAT($A$1, ".", #REF!)</f>
        <v>#REF!</v>
      </c>
      <c r="B35" s="71" t="e">
        <f aca="false">_xlfn.CONCAT(#REF!, ":", #REF!)</f>
        <v>#REF!</v>
      </c>
      <c r="C35" s="87" t="e">
        <f aca="false">#REF!</f>
        <v>#REF!</v>
      </c>
      <c r="D35" s="87" t="e">
        <f aca="false">#REF!</f>
        <v>#REF!</v>
      </c>
      <c r="E35" s="87" t="e">
        <f aca="false">#REF!</f>
        <v>#REF!</v>
      </c>
      <c r="F35" s="87" t="e">
        <f aca="false">#REF!</f>
        <v>#REF!</v>
      </c>
    </row>
    <row r="36" customFormat="false" ht="12.8" hidden="false" customHeight="false" outlineLevel="0" collapsed="false">
      <c r="A36" s="55" t="e">
        <f aca="false">_xlfn.CONCAT($A$1, ".", #REF!)</f>
        <v>#REF!</v>
      </c>
      <c r="B36" s="71" t="e">
        <f aca="false">_xlfn.CONCAT(#REF!, ":", #REF!)</f>
        <v>#REF!</v>
      </c>
      <c r="C36" s="87" t="e">
        <f aca="false">#REF!</f>
        <v>#REF!</v>
      </c>
      <c r="D36" s="87" t="e">
        <f aca="false">#REF!</f>
        <v>#REF!</v>
      </c>
      <c r="E36" s="87" t="e">
        <f aca="false">#REF!</f>
        <v>#REF!</v>
      </c>
      <c r="F36" s="87" t="e">
        <f aca="false">#REF!</f>
        <v>#REF!</v>
      </c>
    </row>
    <row r="37" customFormat="false" ht="12.8" hidden="false" customHeight="false" outlineLevel="0" collapsed="false">
      <c r="A37" s="55" t="e">
        <f aca="false">_xlfn.CONCAT($A$1, ".", #REF!)</f>
        <v>#REF!</v>
      </c>
      <c r="B37" s="71" t="e">
        <f aca="false">_xlfn.CONCAT(#REF!, ":", #REF!)</f>
        <v>#REF!</v>
      </c>
      <c r="C37" s="87" t="e">
        <f aca="false">#REF!</f>
        <v>#REF!</v>
      </c>
      <c r="D37" s="87" t="e">
        <f aca="false">#REF!</f>
        <v>#REF!</v>
      </c>
      <c r="E37" s="87" t="e">
        <f aca="false">#REF!</f>
        <v>#REF!</v>
      </c>
      <c r="F37" s="87" t="e">
        <f aca="false">#REF!</f>
        <v>#REF!</v>
      </c>
    </row>
    <row r="38" customFormat="false" ht="12.8" hidden="false" customHeight="false" outlineLevel="0" collapsed="false">
      <c r="A38" s="55" t="e">
        <f aca="false">_xlfn.CONCAT($A$1, ".", #REF!)</f>
        <v>#REF!</v>
      </c>
      <c r="B38" s="71" t="e">
        <f aca="false">_xlfn.CONCAT(#REF!, ":", #REF!)</f>
        <v>#REF!</v>
      </c>
      <c r="C38" s="87" t="e">
        <f aca="false">#REF!</f>
        <v>#REF!</v>
      </c>
      <c r="D38" s="87" t="e">
        <f aca="false">#REF!</f>
        <v>#REF!</v>
      </c>
      <c r="E38" s="87" t="e">
        <f aca="false">#REF!</f>
        <v>#REF!</v>
      </c>
      <c r="F38" s="87" t="e">
        <f aca="false">#REF!</f>
        <v>#REF!</v>
      </c>
    </row>
    <row r="39" customFormat="false" ht="12.8" hidden="false" customHeight="false" outlineLevel="0" collapsed="false">
      <c r="A39" s="55" t="e">
        <f aca="false">_xlfn.CONCAT($A$1, ".", #REF!)</f>
        <v>#REF!</v>
      </c>
      <c r="B39" s="71" t="e">
        <f aca="false">_xlfn.CONCAT(#REF!, ":", #REF!)</f>
        <v>#REF!</v>
      </c>
      <c r="C39" s="87" t="e">
        <f aca="false">#REF!</f>
        <v>#REF!</v>
      </c>
      <c r="D39" s="87" t="e">
        <f aca="false">#REF!</f>
        <v>#REF!</v>
      </c>
      <c r="E39" s="87" t="e">
        <f aca="false">#REF!</f>
        <v>#REF!</v>
      </c>
      <c r="F39" s="87" t="e">
        <f aca="false">#REF!</f>
        <v>#REF!</v>
      </c>
    </row>
    <row r="40" customFormat="false" ht="12.8" hidden="false" customHeight="false" outlineLevel="0" collapsed="false">
      <c r="A40" s="55" t="e">
        <f aca="false">_xlfn.CONCAT($A$1, ".", #REF!)</f>
        <v>#REF!</v>
      </c>
      <c r="B40" s="71" t="e">
        <f aca="false">_xlfn.CONCAT(#REF!, ":", #REF!)</f>
        <v>#REF!</v>
      </c>
      <c r="C40" s="87" t="e">
        <f aca="false">#REF!</f>
        <v>#REF!</v>
      </c>
      <c r="D40" s="87" t="e">
        <f aca="false">#REF!</f>
        <v>#REF!</v>
      </c>
      <c r="E40" s="87" t="e">
        <f aca="false">#REF!</f>
        <v>#REF!</v>
      </c>
      <c r="F40" s="87" t="e">
        <f aca="false">#REF!</f>
        <v>#REF!</v>
      </c>
    </row>
    <row r="41" customFormat="false" ht="12.8" hidden="false" customHeight="false" outlineLevel="0" collapsed="false">
      <c r="A41" s="55" t="e">
        <f aca="false">_xlfn.CONCAT($A$1, ".", #REF!)</f>
        <v>#REF!</v>
      </c>
      <c r="B41" s="71" t="e">
        <f aca="false">_xlfn.CONCAT(#REF!, ":", #REF!)</f>
        <v>#REF!</v>
      </c>
      <c r="C41" s="87" t="e">
        <f aca="false">#REF!</f>
        <v>#REF!</v>
      </c>
      <c r="D41" s="87" t="e">
        <f aca="false">#REF!</f>
        <v>#REF!</v>
      </c>
      <c r="E41" s="87" t="e">
        <f aca="false">#REF!</f>
        <v>#REF!</v>
      </c>
      <c r="F41" s="87" t="e">
        <f aca="false">#REF!</f>
        <v>#REF!</v>
      </c>
    </row>
    <row r="42" customFormat="false" ht="12.8" hidden="false" customHeight="false" outlineLevel="0" collapsed="false">
      <c r="A42" s="55" t="e">
        <f aca="false">_xlfn.CONCAT($A$1, ".", #REF!)</f>
        <v>#REF!</v>
      </c>
      <c r="B42" s="71" t="e">
        <f aca="false">_xlfn.CONCAT(#REF!, ":", #REF!)</f>
        <v>#REF!</v>
      </c>
      <c r="C42" s="87" t="e">
        <f aca="false">#REF!</f>
        <v>#REF!</v>
      </c>
      <c r="D42" s="87" t="e">
        <f aca="false">#REF!</f>
        <v>#REF!</v>
      </c>
      <c r="E42" s="87" t="e">
        <f aca="false">#REF!</f>
        <v>#REF!</v>
      </c>
      <c r="F42" s="87" t="e">
        <f aca="false">#REF!</f>
        <v>#REF!</v>
      </c>
    </row>
    <row r="43" customFormat="false" ht="12.8" hidden="false" customHeight="false" outlineLevel="0" collapsed="false">
      <c r="A43" s="55" t="e">
        <f aca="false">_xlfn.CONCAT($A$1, ".", #REF!)</f>
        <v>#REF!</v>
      </c>
      <c r="B43" s="71" t="e">
        <f aca="false">_xlfn.CONCAT(#REF!, ":", #REF!)</f>
        <v>#REF!</v>
      </c>
      <c r="C43" s="87" t="e">
        <f aca="false">#REF!</f>
        <v>#REF!</v>
      </c>
      <c r="D43" s="87" t="e">
        <f aca="false">#REF!</f>
        <v>#REF!</v>
      </c>
      <c r="E43" s="87" t="e">
        <f aca="false">#REF!</f>
        <v>#REF!</v>
      </c>
      <c r="F43" s="87" t="e">
        <f aca="false">#REF!</f>
        <v>#REF!</v>
      </c>
    </row>
    <row r="44" customFormat="false" ht="12.8" hidden="false" customHeight="false" outlineLevel="0" collapsed="false">
      <c r="A44" s="55" t="e">
        <f aca="false">_xlfn.CONCAT($A$1, ".", #REF!)</f>
        <v>#REF!</v>
      </c>
      <c r="B44" s="71" t="e">
        <f aca="false">_xlfn.CONCAT(#REF!, ":", #REF!)</f>
        <v>#REF!</v>
      </c>
      <c r="C44" s="87" t="e">
        <f aca="false">#REF!</f>
        <v>#REF!</v>
      </c>
      <c r="D44" s="87" t="e">
        <f aca="false">#REF!</f>
        <v>#REF!</v>
      </c>
      <c r="E44" s="87" t="e">
        <f aca="false">#REF!</f>
        <v>#REF!</v>
      </c>
      <c r="F44" s="87" t="e">
        <f aca="false">#REF!</f>
        <v>#REF!</v>
      </c>
    </row>
    <row r="45" customFormat="false" ht="12.8" hidden="false" customHeight="false" outlineLevel="0" collapsed="false">
      <c r="A45" s="55" t="e">
        <f aca="false">_xlfn.CONCAT($A$1, ".", #REF!)</f>
        <v>#REF!</v>
      </c>
      <c r="B45" s="71" t="e">
        <f aca="false">_xlfn.CONCAT(#REF!, ":", #REF!)</f>
        <v>#REF!</v>
      </c>
      <c r="C45" s="87" t="e">
        <f aca="false">#REF!</f>
        <v>#REF!</v>
      </c>
      <c r="D45" s="87" t="e">
        <f aca="false">#REF!</f>
        <v>#REF!</v>
      </c>
      <c r="E45" s="87" t="e">
        <f aca="false">#REF!</f>
        <v>#REF!</v>
      </c>
      <c r="F45" s="87" t="e">
        <f aca="false">#REF!</f>
        <v>#REF!</v>
      </c>
    </row>
    <row r="46" customFormat="false" ht="12.8" hidden="false" customHeight="false" outlineLevel="0" collapsed="false">
      <c r="A46" s="55" t="e">
        <f aca="false">_xlfn.CONCAT($A$1, ".", #REF!)</f>
        <v>#REF!</v>
      </c>
      <c r="B46" s="71" t="e">
        <f aca="false">_xlfn.CONCAT(#REF!, ":", #REF!)</f>
        <v>#REF!</v>
      </c>
      <c r="C46" s="87" t="e">
        <f aca="false">#REF!</f>
        <v>#REF!</v>
      </c>
      <c r="D46" s="87" t="e">
        <f aca="false">#REF!</f>
        <v>#REF!</v>
      </c>
      <c r="E46" s="87" t="e">
        <f aca="false">#REF!</f>
        <v>#REF!</v>
      </c>
      <c r="F46" s="87" t="e">
        <f aca="false">#REF!</f>
        <v>#REF!</v>
      </c>
    </row>
    <row r="47" customFormat="false" ht="12.8" hidden="false" customHeight="false" outlineLevel="0" collapsed="false">
      <c r="A47" s="55" t="e">
        <f aca="false">_xlfn.CONCAT($A$1, ".", #REF!)</f>
        <v>#REF!</v>
      </c>
      <c r="B47" s="71" t="e">
        <f aca="false">_xlfn.CONCAT(#REF!, ":", #REF!)</f>
        <v>#REF!</v>
      </c>
      <c r="C47" s="87" t="e">
        <f aca="false">#REF!</f>
        <v>#REF!</v>
      </c>
      <c r="D47" s="87" t="e">
        <f aca="false">#REF!</f>
        <v>#REF!</v>
      </c>
      <c r="E47" s="87" t="e">
        <f aca="false">#REF!</f>
        <v>#REF!</v>
      </c>
      <c r="F47" s="87" t="e">
        <f aca="false">#REF!</f>
        <v>#REF!</v>
      </c>
    </row>
    <row r="48" customFormat="false" ht="12.8" hidden="false" customHeight="false" outlineLevel="0" collapsed="false">
      <c r="A48" s="55" t="e">
        <f aca="false">_xlfn.CONCAT($A$1, ".", #REF!)</f>
        <v>#REF!</v>
      </c>
      <c r="B48" s="71" t="e">
        <f aca="false">_xlfn.CONCAT(#REF!, ":", #REF!)</f>
        <v>#REF!</v>
      </c>
      <c r="C48" s="87" t="e">
        <f aca="false">#REF!</f>
        <v>#REF!</v>
      </c>
      <c r="D48" s="87" t="e">
        <f aca="false">#REF!</f>
        <v>#REF!</v>
      </c>
      <c r="E48" s="87" t="e">
        <f aca="false">#REF!</f>
        <v>#REF!</v>
      </c>
      <c r="F48" s="87" t="e">
        <f aca="false">#REF!</f>
        <v>#REF!</v>
      </c>
    </row>
    <row r="49" customFormat="false" ht="12.8" hidden="false" customHeight="false" outlineLevel="0" collapsed="false">
      <c r="A49" s="55" t="e">
        <f aca="false">_xlfn.CONCAT($A$1, ".", #REF!)</f>
        <v>#REF!</v>
      </c>
      <c r="B49" s="71" t="e">
        <f aca="false">_xlfn.CONCAT(#REF!, ":", #REF!)</f>
        <v>#REF!</v>
      </c>
      <c r="C49" s="87" t="e">
        <f aca="false">#REF!</f>
        <v>#REF!</v>
      </c>
      <c r="D49" s="87" t="e">
        <f aca="false">#REF!</f>
        <v>#REF!</v>
      </c>
      <c r="E49" s="87" t="e">
        <f aca="false">#REF!</f>
        <v>#REF!</v>
      </c>
      <c r="F49" s="87" t="e">
        <f aca="false">#REF!</f>
        <v>#REF!</v>
      </c>
    </row>
    <row r="50" customFormat="false" ht="12.8" hidden="false" customHeight="false" outlineLevel="0" collapsed="false">
      <c r="A50" s="55" t="e">
        <f aca="false">_xlfn.CONCAT($A$1, ".", #REF!)</f>
        <v>#REF!</v>
      </c>
      <c r="B50" s="71" t="e">
        <f aca="false">_xlfn.CONCAT(#REF!, ":", #REF!)</f>
        <v>#REF!</v>
      </c>
      <c r="C50" s="87" t="e">
        <f aca="false">#REF!</f>
        <v>#REF!</v>
      </c>
      <c r="D50" s="87" t="e">
        <f aca="false">#REF!</f>
        <v>#REF!</v>
      </c>
      <c r="E50" s="87" t="e">
        <f aca="false">#REF!</f>
        <v>#REF!</v>
      </c>
      <c r="F50" s="87" t="e">
        <f aca="false">#REF!</f>
        <v>#REF!</v>
      </c>
    </row>
    <row r="51" customFormat="false" ht="12.8" hidden="false" customHeight="false" outlineLevel="0" collapsed="false">
      <c r="A51" s="55" t="e">
        <f aca="false">_xlfn.CONCAT($A$1, ".", #REF!)</f>
        <v>#REF!</v>
      </c>
      <c r="B51" s="71" t="e">
        <f aca="false">_xlfn.CONCAT(#REF!, ":", #REF!)</f>
        <v>#REF!</v>
      </c>
      <c r="C51" s="87" t="e">
        <f aca="false">#REF!</f>
        <v>#REF!</v>
      </c>
      <c r="D51" s="87" t="e">
        <f aca="false">#REF!</f>
        <v>#REF!</v>
      </c>
      <c r="E51" s="87" t="e">
        <f aca="false">#REF!</f>
        <v>#REF!</v>
      </c>
      <c r="F51" s="87" t="e">
        <f aca="false">#REF!</f>
        <v>#REF!</v>
      </c>
    </row>
    <row r="52" customFormat="false" ht="12.8" hidden="false" customHeight="false" outlineLevel="0" collapsed="false">
      <c r="A52" s="55" t="e">
        <f aca="false">_xlfn.CONCAT($A$1, ".", #REF!)</f>
        <v>#REF!</v>
      </c>
      <c r="B52" s="71" t="e">
        <f aca="false">_xlfn.CONCAT(#REF!, ":", #REF!)</f>
        <v>#REF!</v>
      </c>
      <c r="C52" s="87" t="e">
        <f aca="false">#REF!</f>
        <v>#REF!</v>
      </c>
      <c r="D52" s="87" t="e">
        <f aca="false">#REF!</f>
        <v>#REF!</v>
      </c>
      <c r="E52" s="87" t="e">
        <f aca="false">#REF!</f>
        <v>#REF!</v>
      </c>
      <c r="F52" s="87" t="e">
        <f aca="false">#REF!</f>
        <v>#REF!</v>
      </c>
    </row>
    <row r="53" customFormat="false" ht="12.8" hidden="false" customHeight="false" outlineLevel="0" collapsed="false">
      <c r="A53" s="55" t="e">
        <f aca="false">_xlfn.CONCAT($A$1, ".", #REF!)</f>
        <v>#REF!</v>
      </c>
      <c r="B53" s="71" t="e">
        <f aca="false">_xlfn.CONCAT(#REF!, ":", #REF!)</f>
        <v>#REF!</v>
      </c>
      <c r="C53" s="87" t="e">
        <f aca="false">#REF!</f>
        <v>#REF!</v>
      </c>
      <c r="D53" s="87" t="e">
        <f aca="false">#REF!</f>
        <v>#REF!</v>
      </c>
      <c r="E53" s="87" t="e">
        <f aca="false">#REF!</f>
        <v>#REF!</v>
      </c>
      <c r="F53" s="87" t="e">
        <f aca="false">#REF!</f>
        <v>#REF!</v>
      </c>
    </row>
    <row r="54" customFormat="false" ht="12.8" hidden="false" customHeight="false" outlineLevel="0" collapsed="false">
      <c r="A54" s="55" t="e">
        <f aca="false">_xlfn.CONCAT($A$1, ".", #REF!)</f>
        <v>#REF!</v>
      </c>
      <c r="B54" s="71" t="e">
        <f aca="false">_xlfn.CONCAT(#REF!, ":", #REF!)</f>
        <v>#REF!</v>
      </c>
      <c r="C54" s="87" t="e">
        <f aca="false">#REF!</f>
        <v>#REF!</v>
      </c>
      <c r="D54" s="87" t="e">
        <f aca="false">#REF!</f>
        <v>#REF!</v>
      </c>
      <c r="E54" s="87" t="e">
        <f aca="false">#REF!</f>
        <v>#REF!</v>
      </c>
      <c r="F54" s="87" t="e">
        <f aca="false">#REF!</f>
        <v>#REF!</v>
      </c>
    </row>
    <row r="55" customFormat="false" ht="12.8" hidden="false" customHeight="false" outlineLevel="0" collapsed="false">
      <c r="A55" s="55" t="e">
        <f aca="false">_xlfn.CONCAT($A$1, ".", #REF!)</f>
        <v>#REF!</v>
      </c>
      <c r="B55" s="71" t="e">
        <f aca="false">_xlfn.CONCAT(#REF!, ":", #REF!)</f>
        <v>#REF!</v>
      </c>
      <c r="C55" s="87" t="e">
        <f aca="false">#REF!</f>
        <v>#REF!</v>
      </c>
      <c r="D55" s="87" t="e">
        <f aca="false">#REF!</f>
        <v>#REF!</v>
      </c>
      <c r="E55" s="87" t="e">
        <f aca="false">#REF!</f>
        <v>#REF!</v>
      </c>
      <c r="F55" s="87"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5390</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2026-02-14T14:55:49Z</dcterms:modified>
  <cp:revision>707</cp:revision>
  <dc:subject/>
  <dc:title/>
</cp:coreProperties>
</file>

<file path=docProps/custom.xml><?xml version="1.0" encoding="utf-8"?>
<Properties xmlns="http://schemas.openxmlformats.org/officeDocument/2006/custom-properties" xmlns:vt="http://schemas.openxmlformats.org/officeDocument/2006/docPropsVTypes"/>
</file>