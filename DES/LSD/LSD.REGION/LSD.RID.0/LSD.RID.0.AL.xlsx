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3.xml" ContentType="application/vnd.openxmlformats-officedocument.drawing+xml"/>
  <Override PartName="/xl/drawings/drawing1.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27.xml" ContentType="application/vnd.openxmlformats-officedocument.drawingml.chart+xml"/>
  <Override PartName="/xl/charts/chart7.xml" ContentType="application/vnd.openxmlformats-officedocument.drawingml.chart+xml"/>
  <Override PartName="/xl/charts/chart26.xml" ContentType="application/vnd.openxmlformats-officedocument.drawingml.chart+xml"/>
  <Override PartName="/xl/charts/chart25.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21.xml" ContentType="application/vnd.openxmlformats-officedocument.drawingml.chart+xml"/>
  <Override PartName="/xl/charts/chart1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2"/>
  </bookViews>
  <sheets>
    <sheet name="INDEX" sheetId="1" state="visible" r:id="rId3"/>
    <sheet name="INVOKE" sheetId="2" state="visible" r:id="rId4"/>
    <sheet name="FORM" sheetId="3" state="visible" r:id="rId5"/>
    <sheet name="PARAM" sheetId="4" state="visible" r:id="rId6"/>
    <sheet name="CALC" sheetId="5" state="visible" r:id="rId7"/>
    <sheet name="LFP" sheetId="6" state="visible" r:id="rId8"/>
    <sheet name="TNPE" sheetId="7" state="visible" r:id="rId9"/>
    <sheet name="ETPR" sheetId="8" state="visible" r:id="rId10"/>
    <sheet name="LFPR" sheetId="9" state="visible" r:id="rId11"/>
    <sheet name="U3R" sheetId="10" state="visible" r:id="rId12"/>
    <sheet name="U6R" sheetId="11" state="visible" r:id="rId13"/>
    <sheet name="WAVG" sheetId="12" state="visible" r:id="rId14"/>
    <sheet name="AIAVG" sheetId="13" state="visible" r:id="rId15"/>
    <sheet name="FPITREV" sheetId="14" state="hidden" r:id="rId16"/>
    <sheet name="FPPTREV" sheetId="15" state="hidden" r:id="rId17"/>
    <sheet name="EITCREF" sheetId="16" state="hidden" r:id="rId18"/>
    <sheet name="ACTCREF" sheetId="17" state="hidden" r:id="rId19"/>
    <sheet name="AOTCREF" sheetId="18" state="hidden" r:id="rId20"/>
    <sheet name="EP" sheetId="19" state="hidden" r:id="rId21"/>
    <sheet name="AWHW" sheetId="20" state="hidden" r:id="rId22"/>
    <sheet name="FTER" sheetId="21" state="hidden" r:id="rId23"/>
    <sheet name="PTER" sheetId="22" state="hidden" r:id="rId24"/>
    <sheet name="JTA" sheetId="23" state="hidden" r:id="rId25"/>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<sst xmlns="http://schemas.openxmlformats.org/spreadsheetml/2006/main" count="12306" uniqueCount="5924">
  <si>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</si>
  <si>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</si>
  <si>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</si>
  <si>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</si>
  <si>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</si>
  <si>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</si>
  <si>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</si>
  <si>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</si>
  <si>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</si>
  <si>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</si>
  <si>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</si>
  <si>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</si>
  <si>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</si>
  <si>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</si>
  <si>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</si>
  <si>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</si>
  <si>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</si>
  <si>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</si>
  <si>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</si>
  <si>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</si>
  <si>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</si>
  <si>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</si>
  <si>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</si>
  <si>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</si>
  <si>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</si>
  <si>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</si>
  <si>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</si>
  <si>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</si>
  <si>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</si>
  <si>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</si>
  <si>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</si>
  <si>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</si>
  <si>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</si>
  <si>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</si>
  <si>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</si>
  <si>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</si>
  <si>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</si>
  <si>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</si>
  <si>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</si>
  <si>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</si>
  <si>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</si>
  <si>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</si>
  <si>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</si>
  <si>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</si>
  <si>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</si>
  <si>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</si>
  <si>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</si>
  <si>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</si>
  <si>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</si>
  <si>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</si>
  <si>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</si>
  <si>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</si>
  <si>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</si>
  <si>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</si>
  <si>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</si>
  <si>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</si>
  <si>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</si>
  <si>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</si>
  <si>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</si>
  <si>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</si>
  <si>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</si>
  <si>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</si>
  <si>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</si>
  <si>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</si>
  <si>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</si>
  <si>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</si>
  <si>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</si>
  <si>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</si>
  <si>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</si>
  <si>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</si>
  <si>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</si>
  <si>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</si>
  <si>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</si>
  <si>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</si>
  <si>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</si>
  <si>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</si>
  <si>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</si>
  <si>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</si>
  <si>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</si>
  <si>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</si>
  <si>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</si>
  <si>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</si>
  <si>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</si>
  <si>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</si>
  <si>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</si>
  <si>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</si>
  <si>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</si>
  <si>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</si>
  <si>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</si>
  <si>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</si>
  <si>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</si>
  <si>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</si>
  <si>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</si>
  <si>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</si>
  <si>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</si>
  <si>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</si>
  <si>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</si>
  <si>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</si>
  <si>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</si>
  <si>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</si>
  <si>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</si>
  <si>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</si>
  <si>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</si>
  <si>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</si>
  <si>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</si>
  <si>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</si>
  <si>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</si>
  <si>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</si>
  <si>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</si>
  <si>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</si>
  <si>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</si>
  <si>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</si>
  <si>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</si>
  <si>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</si>
  <si>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</si>
  <si>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LSD.RID.0.AL.INVOKE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</si>
  <si>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</si>
  <si>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</si>
  <si>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</si>
  <si>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</si>
  <si>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</si>
  <si>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</si>
  <si>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Alabama Labor Statistic Metric Structuring, Formulation, Parameterization, Calculation, 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</si>
  <si>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tabs are formulated, parameterized, calculated, and validated. A new tab was recently added: TNPE. After adding new formulae and parameters for TNPE, ETPR has been recalculated for higher accuracy using TNPE. Notice INVID#19 from the INDEX tab - this session describes the refinement. The next stage of development is reformulating, reparameterizing, recalculating, and revalidating LFPR, U3R, U6R. Afterwards, further metric tabs will contain independent formulae, parameters, calculations, and data visualizations for continuing individual metrics. These tabs all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TNPE, and ETPR. Prompt me between each of these processes. </t>
  </si>
  <si>
    <t xml:space="preserve">https://grok.com/share/c2hhcmQtMg_3cc296a1-e835-415a-a5e3-2e4d0c1d3f7e</t>
  </si>
  <si>
    <t xml:space="preserve">thomas.tom.welborn@gmail.com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</si>
  <si>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</si>
  <si>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https://grok.com/share/bGVnYWN5LWNvcHk_fd803a63-3028-4b3f-bacd-7db4339a51ab</t>
  </si>
  <si>
    <t xml:space="preserve">thomas.patrick.welborn@outlook.com</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</si>
  <si>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</si>
  <si>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</si>
  <si>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</si>
  <si>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thomas.welborn@protonmail.com</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</si>
  <si>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</si>
  <si>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</si>
  <si>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</si>
  <si>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</si>
  <si>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</si>
  <si>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</si>
  <si>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</si>
  <si>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</si>
  <si>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</si>
  <si>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</si>
  <si>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</si>
  <si>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</si>
  <si>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</si>
  <si>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</si>
  <si>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</si>
  <si>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</si>
  <si>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</si>
  <si>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</si>
  <si>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</si>
  <si>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</si>
  <si>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</si>
  <si>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</si>
  <si>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</si>
  <si>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</si>
  <si>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</si>
  <si>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</si>
  <si>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</si>
  <si>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</si>
  <si>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</si>
  <si>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</si>
  <si>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</si>
  <si>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</si>
  <si>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</si>
  <si>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`LSD.RID.0`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</si>
  <si>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</si>
  <si>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</si>
  <si>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`LSD.RID.0ERENCE`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</si>
  <si>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</si>
  <si>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</si>
  <si>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</si>
  <si>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LSD.RID.0.AL.FORM</t>
  </si>
  <si>
    <t xml:space="preserve">Alabama Labor Statistic Logic Interdependent Formulae</t>
  </si>
  <si>
    <t xml:space="preserve">December, 2025</t>
  </si>
  <si>
    <t xml:space="preserve">ID</t>
  </si>
  <si>
    <t xml:space="preserve">Category</t>
  </si>
  <si>
    <t xml:space="preserve">Name</t>
  </si>
  <si>
    <t xml:space="preserve">Formula</t>
  </si>
  <si>
    <t xml:space="preserve">Description</t>
  </si>
  <si>
    <t xml:space="preserve">Notes/Edits</t>
  </si>
  <si>
    <t xml:space="preserve">LSD.RID.0.AL.FORM.0</t>
  </si>
  <si>
    <t xml:space="preserve">S0 - Shared/Base</t>
  </si>
  <si>
    <t xml:space="preserve">Sector Employment Total</t>
  </si>
  <si>
    <t xml:space="preserve">T_i = PARAMETERS!SECTOR_EMPLOYMENT[i] + PARAMETERS!ADJUSTMENT_FACTOR_SEC[i] + ITERATE( PARAMETERS!VARIANCE_CHECK_SEC[i] &gt; PARAMETERS!MIN_VARIANCE_TARGET ? RECONCILE_SOURCES(i) : 0 )</t>
  </si>
  <si>
    <t xml:space="preserve">BLS CES base + adjustment + variance-based reconciliation; iterative if variance high</t>
  </si>
  <si>
    <t xml:space="preserve">Enhanced with feedback loop for variance; incorporates data fusion if needed to boost precision in sparse sectors (e.g., mining).</t>
  </si>
  <si>
    <t xml:space="preserve">LSD.RID.0.AL.FORM.1</t>
  </si>
  <si>
    <t xml:space="preserve">Population Share Proration (Auth/Unauth/American)</t>
  </si>
  <si>
    <t xml:space="preserve">AUTH_SHARE_i = PARAMETERS!AUTH_IMMIGRANT_SHARE_SEC[i] * FORM!AUTH_IMMIGRANT_ETPR_ADJ_FACTOR; UNAUTH_SHARE_i = PARAMETERS!UNAUTH_IMMIGRANT_SHARE_SEC[i] * FORM!UNAUTH_IMMIGRANT_ETPR_ADJ_FACTOR * PARAMETERS!UNAUTH_BOOST_SEC[i]; AMER_SHARE_i = 1 - AUTH_SHARE_i - UNAUTH_SHARE_i; APPLY_CAP( SUM(UNAUTH_SHARE_i * T_i) &gt; PARAMETERS!UNAUTH_IMMIGRANT_CAP ? PRORATE_DOWN(UNAUTH_SHARE_i) : UNAUTH_SHARE_i )</t>
  </si>
  <si>
    <t xml:space="preserve">Prorate by immigrant shares + ETPR adj + unauthorized boost + cap enforcement</t>
  </si>
  <si>
    <t xml:space="preserve">Updated; added UNAUTH_BOOST_SEC[i] for sector-specific unauthorized LFP differentiation (higher in manual sectors).</t>
  </si>
  <si>
    <t xml:space="preserve">LSD.RID.0.AL.FORM.2</t>
  </si>
  <si>
    <t xml:space="preserve">Enhanced Data Fusion for Multi-Source Blending</t>
  </si>
  <si>
    <t xml:space="preserve">value_i = WEIGHTED_AVG( PARAMETERS!BLS_VALUE_SEC[i] * DYNAMIC_WEIGHT( PARAMETERS!ACCURACY_BLS, SOURCE_CONFIDENCE(i) ), PARAMETERS!ACS_VALUE_SEC[i] * DYNAMIC_WEIGHT( PARAMETERS!ACCURACY_ACS, SOURCE_CONFIDENCE(i) ), PARAMETERS!MPI_VALUE_SEC[i] * DYNAMIC_WEIGHT( PARAMETERS!ACCURACY_MPI, SOURCE_CONFIDENCE(i) ) ) / SUM_WEIGHTS; RECONCILE_IF_DIFF &gt; PARAMETERS!FUSION_THRESHOLD</t>
  </si>
  <si>
    <t xml:space="preserve">Dynamic weighted avg + reconciliation if sources diverge &gt; threshold</t>
  </si>
  <si>
    <t xml:space="preserve">Improved fusion with dynamic weights based on per-sector confidence; interdependent for cross-metric use, reduces uncertainty from lags.</t>
  </si>
  <si>
    <t xml:space="preserve">LSD.RID.0.AL.FORM.3</t>
  </si>
  <si>
    <t xml:space="preserve">Asymmetric Share Adjustment</t>
  </si>
  <si>
    <t xml:space="preserve">GROUP_SHARE_i = BASE_SHARE_i * (1 + PARAMETERS!ASYMMETRY_FACTOR_GROUP) * (1 + PARAMETERS!SECTOR_ASYMMETRY_FACTOR_GROUP[i]) * ERROR_BOUND( PARAMETERS!GROUP_VARIANCE[i] )</t>
  </si>
  <si>
    <t xml:space="preserve">Adjustment for asymmetry + sector-specific factor + error bound</t>
  </si>
  <si>
    <t xml:space="preserve">Updated; added SECTOR_ASYMMETRY_FACTOR_GROUP[i] for per-sector LFP variation (lower in cyclical, higher in stable).</t>
  </si>
  <si>
    <t xml:space="preserve">LSD.RID.0.AL.FORM.4</t>
  </si>
  <si>
    <t xml:space="preserve">Iterative Calibration Target Update</t>
  </si>
  <si>
    <t xml:space="preserve">METRIC_i = RAW_METRIC_i * (PARAMETERS!PUBLIC_TARGET / AGGREGATE_RAW); ITERATE_IF( ABS(AGGREGATE_FINAL - PUBLIC_TARGET) &gt; PARAMETERS!CALIB_TOLERANCE ? RESCALE(RAW_METRIC_i) )</t>
  </si>
  <si>
    <t xml:space="preserve">Scaling + iterative rescaling if tolerance exceeded</t>
  </si>
  <si>
    <t xml:space="preserve">Enhanced feedback loop; interdependent across metrics to minimize drift, directly addressing error propagation.</t>
  </si>
  <si>
    <t xml:space="preserve">LSD.RID.0.AL.FORM.5</t>
  </si>
  <si>
    <t xml:space="preserve">Cross-Metric Dependency Link</t>
  </si>
  <si>
    <t xml:space="preserve">LINK_METRIC( metric_a, metric_b ) = metric_a + DEPEND_ADJ( metric_b * PARAMETERS!INTERDEPEND_FACTOR_AB )</t>
  </si>
  <si>
    <t xml:space="preserve">Adjust metric_a based on linked metric_b (e.g., LFP influences U3R)</t>
  </si>
  <si>
    <t xml:space="preserve">New interdependent addition; e.g., links LFP to U3R for consistency, incorporating recommendations for cross-metric enforcement.</t>
  </si>
  <si>
    <t xml:space="preserve">LSD.RID.0.AL.FORM.6</t>
  </si>
  <si>
    <t xml:space="preserve">Employed Population Derivation</t>
  </si>
  <si>
    <t xml:space="preserve">EP_i = LFP_i * (1 - LINK_METRIC( U3R_i, PARAMETERS!INTERDEPEND_FACTOR_LFP_U3R ))</t>
  </si>
  <si>
    <t xml:space="preserve">Derive employed from LFP minus unemployment linkage</t>
  </si>
  <si>
    <t xml:space="preserve">New interdependent; bridges LFP to ETPR/U3R for consistency across metrics.</t>
  </si>
  <si>
    <t xml:space="preserve">LSD.RID.0.AL.FORM.7</t>
  </si>
  <si>
    <t xml:space="preserve">Group ETPR Adjustment Link</t>
  </si>
  <si>
    <t xml:space="preserve">GROUP_ETPR_i = BASE_ETPR_i * (PARAMETERS!GROUP_ETPR_ADJ_FACTOR) * ITERATE_IF( ABS(GROUP_EP_i / GROUP_CIV_POP_i - TARGET_ETPR) &gt; PARAMETERS!CALIB_TOLERANCE )</t>
  </si>
  <si>
    <t xml:space="preserve">Adjust group ETPR with calibration iteration</t>
  </si>
  <si>
    <t xml:space="preserve">New; interdependent with LFP-derived EP and civ pop params for group-level precision.</t>
  </si>
  <si>
    <t xml:space="preserve">LSD.RID.0.AL.FORM.8</t>
  </si>
  <si>
    <t xml:space="preserve">LFPR Derivation from LFP</t>
  </si>
  <si>
    <t xml:space="preserve">LFPR_i = LFP_i / PARAMETERS!CIV_POP_TOTAL * (1 + PARAMETERS!LFPR_ADJ_SEC[i]); LINK_METRIC( LFPR_i, ETPR_i * PARAMETERS!INTERDEPEND_FACTOR_ETPR_LFP )</t>
  </si>
  <si>
    <t xml:space="preserve">Derive sector LFPR from LFP/civ pop + adj + ETPR linkage</t>
  </si>
  <si>
    <t xml:space="preserve">New interdependent; bridges LFP to LFPR and ensures ETPR consistency.</t>
  </si>
  <si>
    <t xml:space="preserve">LSD.RID.0.AL.FORM.9</t>
  </si>
  <si>
    <t xml:space="preserve">Sector-Specific Asymmetry Application</t>
  </si>
  <si>
    <t xml:space="preserve">ASYMM_ADJ_i = BASE_VALUE_i * (1 + PARAMETERS!SECTOR_ASYMMETRY_FACTOR_GROUP[i]) * SPECIFICITY_BOOST( PARAMETERS!UNAUTH_BOOST_SEC[i], GROUP="unauth" )</t>
  </si>
  <si>
    <t xml:space="preserve">Apply per-sector asymmetry + unauthorized specificity boost</t>
  </si>
  <si>
    <t xml:space="preserve">Updated; added SPECIFICITY_BOOST for unauthorized LFP (applies only to unauth group, boosting variation in target sectors).</t>
  </si>
  <si>
    <t xml:space="preserve">LSD.RID.0.AL.FORM.10</t>
  </si>
  <si>
    <t xml:space="preserve">Unauthorized Group Boost Link</t>
  </si>
  <si>
    <t xml:space="preserve">UNAUTH_VALUE_i = UNAUTH_BASE_i * (1 + PARAMETERS!UNAUTH_BOOST_SEC[i] * LINK_METRIC( LFPR_i, PARAMETERS!INTERDEPEND_FACTOR_LFPR_ETPR_U3R ))</t>
  </si>
  <si>
    <t xml:space="preserve">Boost unauthorized values per sector with LFPR-ETPR/U3R linkage</t>
  </si>
  <si>
    <t xml:space="preserve">Unchanged from prior; reinforces specificity by sector.</t>
  </si>
  <si>
    <t xml:space="preserve">LSD.RID.0.AL.FORM.11</t>
  </si>
  <si>
    <t xml:space="preserve">ETPR Derivation from LFPR/U3R</t>
  </si>
  <si>
    <t xml:space="preserve">ETPR_i = LFPR_i * (1 - U3R_i) * (1 + PARAMETERS!ETPR_ADJ_SEC[i]); LINK_METRIC( ETPR_i, PARAMETERS!INTERDEPEND_FACTOR_ETPR_LFP )</t>
  </si>
  <si>
    <t xml:space="preserve">Derive ETPR from LFPR minus unemployment + adj + LFP linkage</t>
  </si>
  <si>
    <t xml:space="preserve">New interdependent; bridges LFPR/U3R to ETPR for consistency, similar to LFPR's cross-links.</t>
  </si>
  <si>
    <t xml:space="preserve">LSD.RID.0.AL.FORM.12</t>
  </si>
  <si>
    <t xml:space="preserve">Unauthorized ETPR Specificity Boost</t>
  </si>
  <si>
    <t xml:space="preserve">UNAUTH_ETPR_i = UNAUTH_BASE_i * (1 + PARAMETERS!UNAUTH_BOOST_SEC[i] * FORM!ASYMM_ADJ_i)</t>
  </si>
  <si>
    <t xml:space="preserve">Boost unauthorized ETPR per sector with asymmetry linkage</t>
  </si>
  <si>
    <t xml:space="preserve">New; refinement for unauthorized differentiation (higher in manual sectors), parallel to LFPR's boost link.</t>
  </si>
  <si>
    <t xml:space="preserve">LSD.RID.0.AL.FORM.13</t>
  </si>
  <si>
    <t xml:space="preserve">Sector U3R Derivation</t>
  </si>
  <si>
    <t xml:space="preserve">U3R_i = (1 - (ETPR_i / LFPR_i)) * (1 + PARAMETERS!U3R_ASYMM_SEC[i]) * ITERATE_IF(ABS(AGGREGATE_U3R - PARAMETERS!U3R_STATE_TARGET) &gt; PARAMETERS!CALIB_TOLERANCE, RESCALE_U3R(i)); LINK_METRIC(U3R_i, LFP_i * PARAMETERS!INTERDEPEND_FACTOR_LFP_U3R)</t>
  </si>
  <si>
    <t xml:space="preserve">Base derivation from ETPR/LFPR + asymmetry adjustment + calibration iteration + LFP linkage for aggregate consistency</t>
  </si>
  <si>
    <t xml:space="preserve">New; core U3R formula with interdependence to prevent drift; uses existing CALIB_TOLERANCE.</t>
  </si>
  <si>
    <t xml:space="preserve">LSD.RID.0.AL.FORM.14</t>
  </si>
  <si>
    <t xml:space="preserve">Group U3R Adjustment</t>
  </si>
  <si>
    <t xml:space="preserve">GROUP_U3R_i = BASE_U3R_i * (1 + PARAMETERS!U3R_ADJ_GROUP) * (PARAMETERS!UNAUTH_BOOST_U3R[i] if GROUP="unauth" else 1) * ERROR_BOUND(PARAMETERS!U3R_VARIANCE_SEC[i])</t>
  </si>
  <si>
    <t xml:space="preserve">Adjust base U3R by group (e.g., higher for unauthorized) + sector boost + variance bound</t>
  </si>
  <si>
    <t xml:space="preserve">New; parallel to ETPR/LFPR group logic; applies unauthorized boost only to unauth column.</t>
  </si>
  <si>
    <t xml:space="preserve">LSD.RID.0.AL.FORM.15</t>
  </si>
  <si>
    <t xml:space="preserve">U3R Cross-Metric Reconciliation</t>
  </si>
  <si>
    <t xml:space="preserve">RECONCILE_U3R(ETPR_i, LFPR_i) = IF(ABS(U3R_i - (1 - ETPR_i / LFPR_i)) &gt; PARAMETERS!FUSION_THRESHOLD, WEIGHTED_AVG(U3R_i, DERIVED_U3R, DYNAMIC_WEIGHT(PARAMETERS!ACCURACY_BLS, SOURCE_CONFIDENCE(i))), U3R_i)</t>
  </si>
  <si>
    <t xml:space="preserve">Reconcile derived U3R against ETPR/LFPR if divergence exceeds threshold, using BLS confidence weights</t>
  </si>
  <si>
    <t xml:space="preserve">New; enhances fusion for U3R specificity; interdependent with FORM.2 data fusion.</t>
  </si>
  <si>
    <t xml:space="preserve">LSD.RID.0.AL.FORM.16</t>
  </si>
  <si>
    <t xml:space="preserve">Sector U6R Derivation</t>
  </si>
  <si>
    <t xml:space="preserve">U6R_i = U3R_i * (1 + PARAMETERS!U6R_MULTIPLIER_SEC[i]) + PART_TIME_ECON_i * PARAMETERS!PART_TIME_ADJ_SEC[i] + MARG_ATTACHED_i * ITERATE_IF(ABS(AGGREGATE_U6R - PARAMETERS!U6R_STATE_TARGET) &gt; PARAMETERS!CALIB_TOLERANCE, RESCALE_U6R(i)); LINK_METRIC(U6R_i, U3R_i * PARAMETERS!INTERDEPEND_FACTOR_U3R_U6R)</t>
  </si>
  <si>
    <t xml:space="preserve">Base from U3R + multiplier + part-time/marginal adjs + calibration + U3R linkage for consistency</t>
  </si>
  <si>
    <t xml:space="preserve">New; core U6R formula; depends on U3R tab; adds underemployment components.</t>
  </si>
  <si>
    <t xml:space="preserve">LSD.RID.0.AL.FORM.17</t>
  </si>
  <si>
    <t xml:space="preserve">Group U6R Adjustment</t>
  </si>
  <si>
    <t xml:space="preserve">GROUP_U6R_i = BASE_U6R_i * (1 + PARAMETERS!U6R_ADJ_GROUP) * (PARAMETERS!UNAUTH_BOOST_U6R[i] if GROUP="unauth" else 1) * ERROR_BOUND(PARAMETERS!U6R_VARIANCE_SEC[i]) * PART_TIME_SPECIFICITY(GROUP="unauth", PARAMETERS!PART_TIME_UNAUTH_RATE_SEC[i])</t>
  </si>
  <si>
    <t xml:space="preserve">Adjust base U6R by group + sector boost + variance + part-time specificity for unauthorized</t>
  </si>
  <si>
    <t xml:space="preserve">New; parallel to U3R.FORM.14; higher unauth adj for involuntary part-time.</t>
  </si>
  <si>
    <t xml:space="preserve">LSD.RID.0.AL.FORM.18</t>
  </si>
  <si>
    <t xml:space="preserve">U6R Cross-Metric Reconciliation</t>
  </si>
  <si>
    <t xml:space="preserve">RECONCILE_U6R(U3R_i, ETPR_i) = IF(ABS(U6R_i - (U3R_i + DERIVED_UNDEREMP)) &gt; PARAMETERS!FUSION_THRESHOLD, WEIGHTED_AVG(U6R_i, DERIVED_U6R, DYNAMIC_WEIGHT(PARAMETERS!ACCURACY_BLS, SOURCE_CONFIDENCE(i))), U6R_i); LINK_METRIC(U6R_i, LFPR_i * PARAMETERS!INTERDEPEND_FACTOR_LFPR_U6R)</t>
  </si>
  <si>
    <t xml:space="preserve">Reconcile derived U6R against U3R/ETPR if divergence &gt; threshold + LFPR linkage</t>
  </si>
  <si>
    <t xml:space="preserve">New; enhances fusion; interdependent with FORM.2 and U3R.FORM.15.</t>
  </si>
  <si>
    <t xml:space="preserve">LSD.RID.0.AL.FORM.19</t>
  </si>
  <si>
    <t xml:space="preserve">TNPE Sector Benchmarking &amp; Disaggregation</t>
  </si>
  <si>
    <t xml:space="preserve">IF(LSID=1 OR other_excluded, MODELED_PROXY(PARAMETERS!AG_EMPLOYMENT_AL); ELSE TNPE_i = PARAMETERS!CES_SECTOR_BASE[i] * (PARAMETERS!OFFICIAL_TNPE_TOTAL / SUM(PARAMETERS!CES_SECTOR_BASE[2:23])) * (1 + PARAMETERS!TNPE_BENCHMARK_FACTOR_SEC[i]))</t>
  </si>
  <si>
    <t xml:space="preserve">Scale non-excluded sector CES bases to official statewide total + sector-specific benchmark adjustments; explicitly model excluded sectors (e.g., Agriculture) separately</t>
  </si>
  <si>
    <t xml:space="preserve">Updated; adds exclusion check for LSID 1 (Agriculture) to skip CES benchmarking.</t>
  </si>
  <si>
    <t xml:space="preserve">LSD.RID.0.AL.FORM.20</t>
  </si>
  <si>
    <t xml:space="preserve">Group Estimation for TNPE</t>
  </si>
  <si>
    <t xml:space="preserve">IF(LSID=1 OR other_excluded, GROUP_TNPE_i = MODELED_PROXY_SHARE * PARAMETERS!EXCLUDED_GROUP_ADJ; ELSE GROUP_TNPE_i = TNPE_i * (SHARED_UNAUTH_SHARE_SEC[i] * PARAMETERS!UNAUTH_TNPE_BOOST_SEC[i] if GROUP="unauth" else SHARED_AUTH_SHARE_SEC[i])); ERROR_BOUND(PARAMETERS!TNPE_GROUP_VARIANCE[i])</t>
  </si>
  <si>
    <t xml:space="preserve">Apply ACS/MPI-derived immigrant shares with CES-specific unauthorized concentration boosts; for excluded sectors, use household-derived proxy shares</t>
  </si>
  <si>
    <t xml:space="preserve">Updated; handles group estimation for excluded sectors via proxy.</t>
  </si>
  <si>
    <t xml:space="preserve">LSD.RID.0.AL.FORM.21</t>
  </si>
  <si>
    <t xml:space="preserve">TNPE ↔ Household Survey Reconciliation</t>
  </si>
  <si>
    <t xml:space="preserve">RECONCILE_TNPE_HH = IF(ABS(TNPE_TOTAL_NONFARM - LFP_i * ETPR_i - EXCLUDED_SECTOR_ADJ) &gt; PARAMETERS!TNPE_HH_FUSION_THRESH, WEIGHTED_AVG(TNPE_TOTAL_NONFARM, HH_EMPLOYMENT_NONFARM, DYNAMIC_WEIGHT(CES_ACCURACY, HH_ACCURACY)), TNPE_TOTAL_NONFARM)</t>
  </si>
  <si>
    <t xml:space="preserve">Fuse CES nonfarm payroll total with nonfarm household-survey employment (adjusting for excluded sectors) for consistency checks</t>
  </si>
  <si>
    <t xml:space="preserve">Updated; subtracts excluded sector adjustment (e.g., Agriculture proxy) before fusion.</t>
  </si>
  <si>
    <t xml:space="preserve">TNPE_i = PARAMETERS!CES_SECTOR_BASE[i] * (PARAMETERS!OFFICIAL_TNPE_TOTAL / SUM(PARAMETERS!CES_SECTOR_BASE)) * (1 + PARAMETERS!TNPE_BENCHMARK_FACTOR_SEC[i])</t>
  </si>
  <si>
    <t xml:space="preserve">Scale sector CES bases to official statewide total + sector-specific benchmark adjustments</t>
  </si>
  <si>
    <t xml:space="preserve">New; forces exact match to BLS CES 2,211.2k</t>
  </si>
  <si>
    <t xml:space="preserve">GROUP_TNPE_i = TNPE_i * (SHARED_UNAUTH_SHARE_SEC[i] * PARAMETERS!UNAUTH_TNPE_BOOST_SEC[i] if GROUP="unauth" else SHARED_AUTH_SHARE_SEC[i]); ERROR_BOUND(PARAMETERS!TNPE_GROUP_VARIANCE[i])</t>
  </si>
  <si>
    <t xml:space="preserve">Apply ACS/MPI-derived immigrant shares with CES-specific unauthorized concentration boosts</t>
  </si>
  <si>
    <t xml:space="preserve">New; CES has no group data → modeled</t>
  </si>
  <si>
    <t xml:space="preserve">RECONCILE_TNPE_HH = IF(ABS(TNPE_TOTAL - LFP_i * ETPR_i) &gt; PARAMETERS!TNPE_HH_FUSION_THRESH, WEIGHTED_AVG(TNPE_TOTAL, HH_EMPLOYMENT, DYNAMIC_WEIGHT(CES_ACCURACY, HH_ACCURACY)), TNPE_TOTAL)</t>
  </si>
  <si>
    <t xml:space="preserve">Fuse CES payroll total with household-survey employment for consistency checks</t>
  </si>
  <si>
    <t xml:space="preserve">New; critical for downstream accuracy</t>
  </si>
  <si>
    <t xml:space="preserve">LSD.RID.0.AL.FORM.22</t>
  </si>
  <si>
    <t xml:space="preserve">Sector WAVG Derivation &amp; Weighting</t>
  </si>
  <si>
    <t xml:space="preserve">WAVG_i = (TNPE_i * PARAMETERS!BASE_WAVG_SEC[i] * (1 + PARAMETERS!WAVG_ASYMM_SEC[i])) / TNPE_i; WEIGHT_BY_TNPE(WAVG_i); ITERATE_IF(ABS(AGGREGATE_WAVG - PARAMETERS!WAVG_STATE_TARGET) &gt; PARAMETERS!CALIB_TOLERANCE, RESCALE_WAVG(i))</t>
  </si>
  <si>
    <t xml:space="preserve">Derive sector average hourly wage from TNPE-weighted base + asymmetry + calibration iteration</t>
  </si>
  <si>
    <t xml:space="preserve">New; core WAVG formula; heavily weighted by TNPE employment for accuracy.</t>
  </si>
  <si>
    <t xml:space="preserve">LSD.RID.0.AL.FORM.23</t>
  </si>
  <si>
    <t xml:space="preserve">Group WAVG Adjustment</t>
  </si>
  <si>
    <t xml:space="preserve">GROUP_WAVG_i = BASE_WAVG_i * (1 + PARAMETERS!WAVG_GROUP_ADJ) * (PARAMETERS!UNAUTH_WAVG_PENALTY_SEC[i] if GROUP="unauth" else 1) * ERROR_BOUND(PARAMETERS!WAVG_VARIANCE_SEC[i])</t>
  </si>
  <si>
    <t xml:space="preserve">Adjust base WAVG by group; apply unauthorized wage penalty + variance bound</t>
  </si>
  <si>
    <t xml:space="preserve">New; unauthorized typically 15–25% lower in manual sectors (MPI/Pew patterns).</t>
  </si>
  <si>
    <t xml:space="preserve">LSD.RID.0.AL.FORM.24</t>
  </si>
  <si>
    <t xml:space="preserve">WAVG Cross-Metric Reconciliation</t>
  </si>
  <si>
    <t xml:space="preserve">RECONCILE_WAVG(TNPE_i, ETPR_i) = IF(ABS(WAVG_i - DERIVED_FROM_CES) &gt; PARAMETERS!FUSION_THRESHOLD, WEIGHTED_AVG(WAVG_i, CES_WAVG_SEC[i], DYNAMIC_WEIGHT(PARAMETERS!CES_ACCURACY, SOURCE_CONFIDENCE(i))), WAVG_i)</t>
  </si>
  <si>
    <t xml:space="preserve">Reconcile derived WAVG against CES/QCEW if divergence exceeds threshold</t>
  </si>
  <si>
    <t xml:space="preserve">New; enhances fusion with CES data; interdependent with TNPE.</t>
  </si>
  <si>
    <t xml:space="preserve">LSD.RID.0.AL.FORM.25</t>
  </si>
  <si>
    <t xml:space="preserve">ETPR Sector Derivation with TNPE Weighting</t>
  </si>
  <si>
    <t xml:space="preserve">ETPR_i = (TNPE_i * (1 + PARAMETERS!ETPR_ADJ_SEC[i])) / PARAMETERS!CIV_POP_SEC[i]; WEIGHT_BY_TNPE(ETPR_i); ITERATE_IF(ABS(AGGREGATE_ETPR - PARAMETERS!BLS_ETPR_STATE_TARGET) &gt; PARAMETERS!CALIB_TOLERANCE, RESCALE_ETPR(i))</t>
  </si>
  <si>
    <t xml:space="preserve">Derive sector ETPR using TNPE employment as base + asymmetry + population + calibration; TNPE weighting replaces prior bases</t>
  </si>
  <si>
    <t xml:space="preserve">New; core update for TNPE integration.</t>
  </si>
  <si>
    <t xml:space="preserve">LSD.RID.0.AL.FORM.26</t>
  </si>
  <si>
    <t xml:space="preserve">Group ETPR Adjustment with TNPE Shares</t>
  </si>
  <si>
    <t xml:space="preserve">GROUP_ETPR_i = BASE_ETPR_i * (1 + PARAMETERS!GROUP_ETPR_ADJ) * (PARAMETERS!UNAUTH_ETPR_BOOST_SEC[i] if GROUP="unauth" else 1) * ERROR_BOUND(PARAMETERS!ETPR_VARIANCE_SEC[i]) * TNPE_GROUP_SHARE(i)</t>
  </si>
  <si>
    <t xml:space="preserve">Adjust group ETPR with TNPE-derived shares for authorized/unauthorized splits</t>
  </si>
  <si>
    <t xml:space="preserve">New; uses TNPE for more accurate group proration.</t>
  </si>
  <si>
    <t xml:space="preserve">LSD.RID.0.AL.FORM.27</t>
  </si>
  <si>
    <t xml:space="preserve">ETPR Cross-Metric Reconciliation with TNPE</t>
  </si>
  <si>
    <t xml:space="preserve">RECONCILE_ETPR(TNPE_i, LFPR_i) = IF(ABS(ETPR_i - (TNPE_i / POP_i)) &gt; PARAMETERS!FUSION_THRESHOLD, WEIGHTED_AVG(ETPR_i, DERIVED_ETPR, DYNAMIC_WEIGHT(PARAMETERS!CES_ACCURACY, SOURCE_CONFIDENCE(i))), ETPR_i)</t>
  </si>
  <si>
    <t xml:space="preserve">Reconcile ETPR against TNPE employment and LFPR; CES weight now 0.98</t>
  </si>
  <si>
    <t xml:space="preserve">New; strengthens fusion with TNPE benchmark.</t>
  </si>
  <si>
    <t xml:space="preserve">LSD.RID.0.AL.FORM.28</t>
  </si>
  <si>
    <t xml:space="preserve">S1 - LFPR</t>
  </si>
  <si>
    <t xml:space="preserve">Base LFPR</t>
  </si>
  <si>
    <t xml:space="preserve">BASE_LFPR_i = PARAMETERS!BASE_LFPR_SEC[i] * (1 + PARAMETERS!ADJ_FACTOR_LFPR[i]) + ITERATE( PARAMETERS!VARIANCE_CHECK_LFPR[i] &gt; PARAMETERS!MIN_VARIANCE_TARGET ? RECONCILE_SOURCES(i) : 0 )</t>
  </si>
  <si>
    <t xml:space="preserve">Base LFPR from BLS LAUS base + adjustment + variance-based reconciliation; iterative if variance high</t>
  </si>
  <si>
    <t xml:space="preserve">New; mirrors sector employment (FORM.0) but tailored for rate metric; incorporates data fusion for sparse sectors (e.g., agriculture/mining)</t>
  </si>
  <si>
    <t xml:space="preserve">LSD.RID.0.AL.FORM.29</t>
  </si>
  <si>
    <t xml:space="preserve">Group LFPR Adjustment with TNPE Shares</t>
  </si>
  <si>
    <t xml:space="preserve">GROUP_LFPR_i = BASE_LFPR_i * (1 + PARAMETERS!GROUP_LFPR_ADJ) * (PARAMETERS!UNAUTH_LFPR_BOOST_SEC[i] if GROUP="unauth" else 1) * ERROR_BOUND(PARAMETERS!LFPR_VARIANCE_SEC[i]) * TNPE_GROUP_SHARE(i)</t>
  </si>
  <si>
    <t xml:space="preserve">Adjust group LFPR with TNPE-derived shares for authorized/unauthorized/American splits</t>
  </si>
  <si>
    <t xml:space="preserve">New; uses TNPE for accurate group proration, with unauthorized boost for realism (e.g., higher in manual sectors); similar to ETPR group adjustment (FORM.26)</t>
  </si>
  <si>
    <t xml:space="preserve">LSD.RID.0.AL.FORM.30</t>
  </si>
  <si>
    <t xml:space="preserve">LFPR Cross-Metric Reconciliation with TNPE/ETPR</t>
  </si>
  <si>
    <t xml:space="preserve">RECONCILE_LFPR(TNPE_i, ETPR_i) = IF(ABS(LFPR_i - (ETPR_i + DERIVED_UNEMP_ADJ_i / POP_i)) &gt; PARAMETERS!FUSION_THRESHOLD, WEIGHTED_AVG(LFPR_i, DERIVED_LFPR, DYNAMIC_WEIGHT(PARAMETERS!LAUS_ACCURACY, SOURCE_CONFIDENCE(i))), LFPR_i); where DERIVED_LFPR = (TNPE_i + EST_UNEMP_i) / POP_i</t>
  </si>
  <si>
    <t xml:space="preserve">Reconcile LFPR against TNPE-derived employment, ETPR, and estimated unemployment; LAUS weight default 0.95</t>
  </si>
  <si>
    <t xml:space="preserve">New; strengthens fusion with TNPE/ETPR benchmarks for higher accuracy post-TNPE addition; avoids direct U3R dependency to allow sequential updates</t>
  </si>
  <si>
    <t xml:space="preserve">LSD.RID.0.AL.FORM.31</t>
  </si>
  <si>
    <t xml:space="preserve">S2 - U3R</t>
  </si>
  <si>
    <t xml:space="preserve">Base U3R</t>
  </si>
  <si>
    <t xml:space="preserve">BASE_U3R_i = (PARAMETERS!EST_UNEMP_SEC[i] / (PARAMETERS!LFPR_SEC[i] * POP_i)) * (1 + PARAMETERS!ADJ_FACTOR_U3R[i]) + ITERATE( PARAMETERS!VARIANCE_CHECK_U3R[i] &gt; PARAMETERS!MIN_VARIANCE_TARGET ? RECONCILE_SOURCES(i) : 0 )</t>
  </si>
  <si>
    <t xml:space="preserve">Base U3R from estimated unemployed / labor force + adjustment + iterative variance reconciliation</t>
  </si>
  <si>
    <t xml:space="preserve">New; mirrors FORM.28 but for unemployment rate</t>
  </si>
  <si>
    <t xml:space="preserve">LSD.RID.0.AL.FORM.32</t>
  </si>
  <si>
    <t xml:space="preserve">Group U3R Adjustment with TNPE/LFPR Shares</t>
  </si>
  <si>
    <t xml:space="preserve">GROUP_U3R_i = BASE_U3R_i * (1 + PARAMETERS!GROUP_U3R_ADJ) * (PARAMETERS!UNAUTH_U3R_BOOST_SEC[i] if GROUP="unauth" else 1) * (PARAMETERS!AUTH_U3R_MULTIPLIER_SEC[i] if GROUP="auth" else 1) * ERROR_BOUND(PARAMETERS!U3R_VARIANCE_SEC[i]) * TNPE_GROUP_SHARE(i) * LFPR_GROUP_SHARE(i)</t>
  </si>
  <si>
    <t xml:space="preserve">Group adjustment using TNPE + LFPR shares + unauthorized boost + authorized multiplier</t>
  </si>
  <si>
    <t xml:space="preserve">New; extends FORM.29 to U3R; higher unauthorized unemployment in cyclical sectors</t>
  </si>
  <si>
    <t xml:space="preserve">LSD.RID.0.AL.FORM.33</t>
  </si>
  <si>
    <t xml:space="preserve">U3R Cross-Metric Reconciliation with TNPE/ETPR/LFPR</t>
  </si>
  <si>
    <t xml:space="preserve">RECONCILE_U3R(LFPR_i, ETPR_i) = IF(ABS(U3R_i - (LFPR_i - ETPR_i)) &gt; PARAMETERS!FUSION_THRESHOLD, WEIGHTED_AVG(U3R_i, DERIVED_U3R, DYNAMIC_WEIGHT(PARAMETERS!LAUS_ACCURACY, SOURCE_CONFIDENCE(i))), U3R_i); DERIVED_U3R = (LFPR_i - ETPR_i)</t>
  </si>
  <si>
    <t xml:space="preserve">Reconciles U3R to LFPR - ETPR gap (unemployed rate) with LAUS weight default 0.92</t>
  </si>
  <si>
    <t xml:space="preserve">New; strengthens fusion post-TNPE; avoids direct loop with U6R</t>
  </si>
  <si>
    <t xml:space="preserve">LSD.RID.0.AL.FORM.34</t>
  </si>
  <si>
    <t xml:space="preserve">S3 - U6R</t>
  </si>
  <si>
    <t xml:space="preserve">Base U6R</t>
  </si>
  <si>
    <t xml:space="preserve">BASE_U6R_i = (PARAMETERS!EST_UNDEREMP_SEC[i] / (PARAMETERS!LFPR_SEC[i] * POP_i)) * (1 + PARAMETERS!ADJ_FACTOR_U6R[i]) + ITERATE( PARAMETERS!VARIANCE_CHECK_U6R[i] &gt; PARAMETERS!MIN_VARIANCE_TARGET ? RECONCILE_SOURCES(i) : 0 )</t>
  </si>
  <si>
    <t xml:space="preserve">Base U6R from estimated underemployed / labor force + adjustment + iterative variance reconciliation</t>
  </si>
  <si>
    <t xml:space="preserve">New; mirrors FORM.31 but for broader underemployment</t>
  </si>
  <si>
    <t xml:space="preserve">LSD.RID.0.AL.FORM.35</t>
  </si>
  <si>
    <t xml:space="preserve">Group U6R Adjustment with TNPE/LFPR Shares</t>
  </si>
  <si>
    <t xml:space="preserve">GROUP_U6R_i = BASE_U6R_i * (1 + PARAMETERS!GROUP_U6R_ADJ) * (PARAMETERS!UNAUTH_U6R_BOOST_SEC[i] if GROUP="unauth" else 1) * (PARAMETERS!AUTH_U6R_MULTIPLIER_SEC[i] if GROUP="auth" else 1) * ERROR_BOUND(PARAMETERS!U6R_VARIANCE_SEC[i]) * TNPE_GROUP_SHARE(i) * LFPR_GROUP_SHARE(i)</t>
  </si>
  <si>
    <t xml:space="preserve">New; extends FORM.32 to U6R; elevated unauthorized underemployment in cyclical/manual sectors</t>
  </si>
  <si>
    <t xml:space="preserve">LSD.RID.0.AL.FORM.36</t>
  </si>
  <si>
    <t xml:space="preserve">U6R Cross-Metric Reconciliation with TNPE/ETPR/LFPR/U3R</t>
  </si>
  <si>
    <t xml:space="preserve">RECONCILE_U6R(LFPR_i, ETPR_i, U3R_i) = IF(ABS(U6R_i - (LFPR_i - ETPR_i + SLACK_ADJ_i)) &gt; PARAMETERS!FUSION_THRESHOLD, WEIGHTED_AVG(U6R_i, DERIVED_U6R, DYNAMIC_WEIGHT(PARAMETERS!LAUS_ACCURACY_U6R, SOURCE_CONFIDENCE(i))), U6R_i); DERIVED_U6R = U3R_i + PARAMETERS!U6_SLACK_FACTOR * (LFPR_i - ETPR_i)</t>
  </si>
  <si>
    <t xml:space="preserve">Reconciles U6R to U3R + slack (part-time/marginally attached) from LFPR-ETPR gap; LAUS weight default 0.90</t>
  </si>
  <si>
    <t xml:space="preserve">New; uses U3R base + slack multiplier (~1.5–2.0x U3R gap) for broader measure; post-TNPE fusion</t>
  </si>
  <si>
    <t xml:space="preserve">LSD.REF.AL.FORM.37</t>
  </si>
  <si>
    <t xml:space="preserve">S4 - WAVG</t>
  </si>
  <si>
    <t xml:space="preserve">Base Wage Average</t>
  </si>
  <si>
    <t xml:space="preserve">BASE_WAVG_i = PARAMETERS!BASE_WAVG_SEC[i] * (1 + PARAMETERS!ADJ_FACTOR_WAVG[i]) + ITERATE( PARAMETERS!VARIANCE_CHECK_WAVG[i] &gt; PARAMETERS!MIN_VARIANCE_TARGET ? RECONCILE_SOURCES(i) : 0 )</t>
  </si>
  <si>
    <t xml:space="preserve">Base hourly wage from CES/OES + adjustment + iterative variance reconciliation</t>
  </si>
  <si>
    <t xml:space="preserve">New; mirrors prior rate metrics but for earnings; CES weight dominant</t>
  </si>
  <si>
    <t xml:space="preserve">LSD.REF.AL.FORM.38</t>
  </si>
  <si>
    <t xml:space="preserve">Group WAVG Adjustment with TNPE Shares</t>
  </si>
  <si>
    <t xml:space="preserve">GROUP_WAVG_i = BASE_WAVG_i * (1 + PARAMETERS!GROUP_WAVG_ADJ) * (PARAMETERS!UNAUTH_WAVG_PENALTY_SEC[i] if GROUP="unauth" else 1) * (PARAMETERS!AUTH_WAVG_PREMIUM_SEC[i] if GROUP="auth" else 1) * ERROR_BOUND(PARAMETERS!WAVG_VARIANCE_SEC[i]) * TNPE_GROUP_SHARE(i)</t>
  </si>
  <si>
    <t xml:space="preserve">Group adjustment using TNPE shares + unauthorized penalty + authorized premium</t>
  </si>
  <si>
    <t xml:space="preserve">New; unauthorized penalty higher in manual sectors (e.g., 0.75–0.85 of base); authorized premium modest (1.01–1.05)</t>
  </si>
  <si>
    <t xml:space="preserve">LSD.REF.AL.FORM.39</t>
  </si>
  <si>
    <t xml:space="preserve">WAVG Cross-Metric Reconciliation with TNPE/ETPR</t>
  </si>
  <si>
    <t xml:space="preserve">RECONCILE_WAVG(TNPE_i, ETPR_i) = IF(ABS(WAVG_i - DERIVED_WAVG) &gt; PARAMETERS!FUSION_THRESHOLD, WEIGHTED_AVG(WAVG_i, DERIVED_WAVG, DYNAMIC_WEIGHT(PARAMETERS!CES_ACCURACY_WAVG, SOURCE_CONFIDENCE(i))), WAVG_i); DERIVED_WAVG = PARAMETERS!CES_BASE_WAVG * (TNPE_i / TOTAL_TNPE) * PRODUCTIVITY_ADJ_i</t>
  </si>
  <si>
    <t xml:space="preserve">Reconciles WAVG to CES base scaled by TNPE share + productivity adjustment; CES weight default 0.98</t>
  </si>
  <si>
    <t xml:space="preserve">New; ensures payroll-weighted consistency; productivity adj from sector trends</t>
  </si>
  <si>
    <t xml:space="preserve">LSD.REF.AL.FORM.40</t>
  </si>
  <si>
    <t xml:space="preserve">S5 - AIAVG</t>
  </si>
  <si>
    <t xml:space="preserve">Base Annual Income Average</t>
  </si>
  <si>
    <t xml:space="preserve">BASE_AIAVG_i = PARAMETERS!BASE_WAVG_SEC[i] * PARAMETERS!ANNUAL_HOURS_SEC[i] * (1 + PARAMETERS!ADJ_FACTOR_AIAVG[i]) + ITERATE( PARAMETERS!VARIANCE_CHECK_AIAVG[i] &gt; PARAMETERS!MIN_VARIANCE_TARGET ? RECONCILE_SOURCES(i) : 0 )</t>
  </si>
  <si>
    <t xml:space="preserve">Base annual income from WAVG × hours + adjustment + iterative variance reconciliation</t>
  </si>
  <si>
    <t xml:space="preserve">New; links directly to WAVG; hours from CPS/CES patterns</t>
  </si>
  <si>
    <t xml:space="preserve">LSD.REF.AL.FORM.41</t>
  </si>
  <si>
    <t xml:space="preserve">Group AIAVG Adjustment with TNPE Shares</t>
  </si>
  <si>
    <t xml:space="preserve">GROUP_AIAVG_i = BASE_AIAVG_i * (1 + PARAMETERS!GROUP_AIAVG_ADJ) * (PARAMETERS!UNAUTH_AIAVG_PENALTY_SEC[i] if GROUP="unauth" else 1) * (PARAMETERS!AUTH_AIAVG_PREMIUM_SEC[i] if GROUP="auth" else 1) * ERROR_BOUND(PARAMETERS!AIAVG_VARIANCE_SEC[i]) * TNPE_GROUP_SHARE(i)</t>
  </si>
  <si>
    <t xml:space="preserve">New; extends FORM.38 to annual income; penalties compounded from wage + hours differences</t>
  </si>
  <si>
    <t xml:space="preserve">LSD.REF.AL.FORM.42</t>
  </si>
  <si>
    <t xml:space="preserve">AIAVG Cross-Metric Reconciliation with TNPE/WAVG</t>
  </si>
  <si>
    <t xml:space="preserve">RECONCILE_AIAVG(TNPE_i, WAVG_i) = IF(ABS(AIAVG_i - DERIVED_AIAVG) &gt; PARAMETERS!FUSION_THRESHOLD, WEIGHTED_AVG(AIAVG_i, DERIVED_AIAVG, DYNAMIC_WEIGHT(PARAMETERS!CES_ACCURACY_AIAVG, SOURCE_CONFIDENCE(i))), AIAVG_i); DERIVED_AIAVG = WAVG_i * PARAMETERS!ANNUAL_HOURS_SEC[i] * (TNPE_i / TOTAL_TNPE) * PRODUCTIVITY_ADJ_i</t>
  </si>
  <si>
    <t xml:space="preserve">Reconciles AIAVG to WAVG × hours scaled by TNPE share + productivity adj; CES weight default 0.97</t>
  </si>
  <si>
    <t xml:space="preserve">New; ensures consistency with payroll and wage benchmarks</t>
  </si>
  <si>
    <t xml:space="preserve">LSD.REF.AL.FORM.43</t>
  </si>
  <si>
    <t xml:space="preserve">S6 - FPITREV</t>
  </si>
  <si>
    <t xml:space="preserve">Base Federal Personal Income Tax Revenue</t>
  </si>
  <si>
    <t xml:space="preserve">BASE_FPITREV_i = PARAMETERS!BASE_AIAVG_SEC[i] * PARAMETERS!EFF_FED_TAX_RATE_SEC[i] * (1 + PARAMETERS!ADJ_FACTOR_FPITREV[i]) + ITERATE( PARAMETERS!VARIANCE_CHECK_FPITREV[i] &gt; PARAMETERS!MIN_VARIANCE_TARGET ? RECONCILE_SOURCES(i) : 0 )</t>
  </si>
  <si>
    <t xml:space="preserve">Base federal PIT revenue from AIAVG × effective fed rate + adjustment + iterative variance reconciliation</t>
  </si>
  <si>
    <t xml:space="preserve">New; links to AIAVG; effective rate from IRS SOI/CPS patterns</t>
  </si>
  <si>
    <t xml:space="preserve">LSD.REF.AL.FORM.44</t>
  </si>
  <si>
    <t xml:space="preserve">Group FPITREV Adjustment with TNPE Shares</t>
  </si>
  <si>
    <t xml:space="preserve">GROUP_FPITREV_i = BASE_FPITREV_i * (1 + PARAMETERS!GROUP_FPITREV_ADJ) * (PARAMETERS!UNAUTH_FPITREV_PENALTY_SEC[i] if GROUP="unauth" else 1) * (PARAMETERS!AUTH_FPITREV_PREMIUM_SEC[i] if GROUP="auth" else 1) * ERROR_BOUND(PARAMETERS!FPITREV_VARIANCE_SEC[i]) * TNPE_GROUP_SHARE(i)</t>
  </si>
  <si>
    <t xml:space="preserve">New; unauthorized lower effective rate due to income + credits; authorized modest premium</t>
  </si>
  <si>
    <t xml:space="preserve">LSD.REF.AL.FORM.45</t>
  </si>
  <si>
    <t xml:space="preserve">FPITREV Cross-Metric Reconciliation with TNPE/AIAVG</t>
  </si>
  <si>
    <t xml:space="preserve">RECONCILE_FPITREV(TNPE_i, AIAVG_i) = IF(ABS(FPITREV_i - DERIVED_FPITREV) &gt; PARAMETERS!FUSION_THRESHOLD, WEIGHTED_AVG(FPITREV_i, DERIVED_FPITREV, DYNAMIC_WEIGHT(PARAMETERS!IRS_ACCURACY_FPITREV, SOURCE_CONFIDENCE(i))), FPITREV_i); DERIVED_FPITREV = AIAVG_i * PARAMETERS!EFF_FED_TAX_RATE_SEC[i] * (TNPE_i / TOTAL_TNPE) * PROGRESSIVITY_ADJ_i</t>
  </si>
  <si>
    <t xml:space="preserve">Reconciles FPITREV to AIAVG × effective fed rate scaled by TNPE share + progressivity adj; IRS weight default 0.95</t>
  </si>
  <si>
    <t xml:space="preserve">New; ensures consistency with payroll income and IRS benchmarks</t>
  </si>
  <si>
    <t xml:space="preserve">LSD.RID.0.AL.PARAM</t>
  </si>
  <si>
    <t xml:space="preserve">Alabama Labor Statistic Logic Interdependent Parameters</t>
  </si>
  <si>
    <t xml:space="preserve">Value</t>
  </si>
  <si>
    <t xml:space="preserve">Confidence</t>
  </si>
  <si>
    <t xml:space="preserve">Source</t>
  </si>
  <si>
    <t xml:space="preserve">Last Updated</t>
  </si>
  <si>
    <t xml:space="preserve">LSD.RID.0.AL.PARAM.0</t>
  </si>
  <si>
    <t xml:space="preserve">TOTAL_NONFARM_AL</t>
  </si>
  <si>
    <t xml:space="preserve">AL / Total nonfarm payroll employment (persons)</t>
  </si>
  <si>
    <t xml:space="preserve">High</t>
  </si>
  <si>
    <t xml:space="preserve">BLS CES December 2025 (revised)</t>
  </si>
  <si>
    <t xml:space="preserve">February 2026</t>
  </si>
  <si>
    <t xml:space="preserve">LSD.RID.0.AL.PARAM.1</t>
  </si>
  <si>
    <t xml:space="preserve">AG_EMPLOYMENT_AL</t>
  </si>
  <si>
    <t xml:space="preserve">AL / Agriculture employment (persons)</t>
  </si>
  <si>
    <t xml:space="preserve">Medium-High</t>
  </si>
  <si>
    <t xml:space="preserve">BLS CES + ACS/QCEW adjustment</t>
  </si>
  <si>
    <t xml:space="preserve">LSD.RID.0.AL.PARAM.2</t>
  </si>
  <si>
    <t xml:space="preserve">MIN_LOG_EMPLOYMENT_AL</t>
  </si>
  <si>
    <t xml:space="preserve">AL / Mining and logging employment (persons)</t>
  </si>
  <si>
    <t xml:space="preserve">BLS CES December 2025</t>
  </si>
  <si>
    <t xml:space="preserve">LSD.RID.0.AL.PARAM.3</t>
  </si>
  <si>
    <t xml:space="preserve">CONSTR_EMPLOYMENT_AL</t>
  </si>
  <si>
    <t xml:space="preserve">AL / Construction employment (persons)</t>
  </si>
  <si>
    <t xml:space="preserve">LSD.RID.0.AL.PARAM.4</t>
  </si>
  <si>
    <t xml:space="preserve">MANU_EMPLOYMENT_AL</t>
  </si>
  <si>
    <t xml:space="preserve">AL / Manufacturing employment (persons)</t>
  </si>
  <si>
    <t xml:space="preserve">LSD.RID.0.AL.PARAM.5</t>
  </si>
  <si>
    <t xml:space="preserve">TRADE_TRANS_UTIL_EMPLOYMENT_AL</t>
  </si>
  <si>
    <t xml:space="preserve">AL / Trade, Transportation, Utilities (persons)</t>
  </si>
  <si>
    <t xml:space="preserve">LSD.RID.0.AL.PARAM.6</t>
  </si>
  <si>
    <t xml:space="preserve">INFO_EMPLOYMENT_AL</t>
  </si>
  <si>
    <t xml:space="preserve">AL / Information employment (persons)</t>
  </si>
  <si>
    <t xml:space="preserve">LSD.RID.0.AL.PARAM.7</t>
  </si>
  <si>
    <t xml:space="preserve">FIN_EMPLOYMENT_AL</t>
  </si>
  <si>
    <t xml:space="preserve">AL / Financial Activities employment (persons)</t>
  </si>
  <si>
    <t xml:space="preserve">LSD.RID.0.AL.PARAM.8</t>
  </si>
  <si>
    <t xml:space="preserve">PROF_BUS_EMPLOYMENT_AL</t>
  </si>
  <si>
    <t xml:space="preserve">AL / Professional and Business Services (persons)</t>
  </si>
  <si>
    <t xml:space="preserve">LSD.RID.0.AL.PARAM.9</t>
  </si>
  <si>
    <t xml:space="preserve">ED_HEALTH_EMPLOYMENT_AL</t>
  </si>
  <si>
    <t xml:space="preserve">AL / Education and Health Services (persons)</t>
  </si>
  <si>
    <t xml:space="preserve">LSD.RID.0.AL.PARAM.10</t>
  </si>
  <si>
    <t xml:space="preserve">LEIS_HOSP_EMPLOYMENT_AL</t>
  </si>
  <si>
    <t xml:space="preserve">AL / Leisure and Hospitality employment (persons)</t>
  </si>
  <si>
    <t xml:space="preserve">LSD.RID.0.AL.PARAM.11</t>
  </si>
  <si>
    <t xml:space="preserve">OTHER_SERV_EMPLOYMENT_AL</t>
  </si>
  <si>
    <t xml:space="preserve">AL / Other services employment (persons)</t>
  </si>
  <si>
    <t xml:space="preserve">LSD.RID.0.AL.PARAM.12</t>
  </si>
  <si>
    <t xml:space="preserve">GOV_EMPLOYMENT_AL</t>
  </si>
  <si>
    <t xml:space="preserve">AL / Government employment (persons)</t>
  </si>
  <si>
    <t xml:space="preserve">LSD.RID.0.AL.PARAM.13</t>
  </si>
  <si>
    <t xml:space="preserve">UNAUTH_IMMIGRANT_CAP</t>
  </si>
  <si>
    <t xml:space="preserve">AL / Unauthorized immigrant labor force cap (persons; dynamic adj)</t>
  </si>
  <si>
    <t xml:space="preserve">MPI/ACS/Pew 2023–2026 + 2026 proj.</t>
  </si>
  <si>
    <t xml:space="preserve">LSD.RID.0.AL.PARAM.14</t>
  </si>
  <si>
    <t xml:space="preserve">MIN_VARIANCE_TARGET</t>
  </si>
  <si>
    <t xml:space="preserve">Minimum variance threshold (persons) for group metrics</t>
  </si>
  <si>
    <t xml:space="preserve">Derived from OEWS/ACS variability</t>
  </si>
  <si>
    <t xml:space="preserve">LSD.RID.0.AL.PARAM.15</t>
  </si>
  <si>
    <t xml:space="preserve">FUSION_THRESHOLD</t>
  </si>
  <si>
    <t xml:space="preserve">Threshold for source reconciliation in fusion (decimal)</t>
  </si>
  <si>
    <t xml:space="preserve">Internal calibration</t>
  </si>
  <si>
    <t xml:space="preserve">LSD.RID.0.AL.PARAM.16</t>
  </si>
  <si>
    <t xml:space="preserve">CALIB_TOLERANCE</t>
  </si>
  <si>
    <t xml:space="preserve">Tolerance for iterative calibration (decimal)</t>
  </si>
  <si>
    <t xml:space="preserve">LSD.RID.0.AL.PARAM.17</t>
  </si>
  <si>
    <t xml:space="preserve">CIV_POP_TOTAL</t>
  </si>
  <si>
    <t xml:space="preserve">AL / Civilian noninstitutional population 16+ (persons)</t>
  </si>
  <si>
    <t xml:space="preserve">BLS/Census December 2025 (revised)</t>
  </si>
  <si>
    <t xml:space="preserve">LSD.RID.0.AL.PARAM.18</t>
  </si>
  <si>
    <t xml:space="preserve">CIV_POP_AUTH</t>
  </si>
  <si>
    <t xml:space="preserve">AL / Authorized immigrant civilian population 16+ (persons)</t>
  </si>
  <si>
    <t xml:space="preserve">MPI/ACS/FWD.us 2023–2026 estimates</t>
  </si>
  <si>
    <t xml:space="preserve">LSD.RID.0.AL.PARAM.19</t>
  </si>
  <si>
    <t xml:space="preserve">CIV_POP_UNAUTH</t>
  </si>
  <si>
    <t xml:space="preserve">AL / Unauthorized immigrant civilian population 16+ (persons)</t>
  </si>
  <si>
    <t xml:space="preserve">Medium</t>
  </si>
  <si>
    <t xml:space="preserve">MPI/Pew 2023–2026 estimates</t>
  </si>
  <si>
    <t xml:space="preserve">LSD.RID.0.AL.PARAM.20</t>
  </si>
  <si>
    <t xml:space="preserve">CIV_POP_AMER</t>
  </si>
  <si>
    <t xml:space="preserve">AL / American civilian population 16+ (persons)</t>
  </si>
  <si>
    <t xml:space="preserve">Residual (updated)</t>
  </si>
  <si>
    <t xml:space="preserve">LSD.RID.0.AL.PARAM.21</t>
  </si>
  <si>
    <t xml:space="preserve">BLS_ETPR_STATE_TARGET</t>
  </si>
  <si>
    <t xml:space="preserve">AL / Statewide employment-to-population ratio target (decimal)</t>
  </si>
  <si>
    <t xml:space="preserve">BLS LAUS December 2025 (revised)</t>
  </si>
  <si>
    <t xml:space="preserve">LSD.RID.0.AL.PARAM.22</t>
  </si>
  <si>
    <t xml:space="preserve">AUTH_IMMIGRANT_ETPR_ADJ_FACTOR</t>
  </si>
  <si>
    <t xml:space="preserve">Adjustment factor for authorized immigrants in ETPR</t>
  </si>
  <si>
    <t xml:space="preserve">Derived from MPI/ACS patterns</t>
  </si>
  <si>
    <t xml:space="preserve">LSD.RID.0.AL.PARAM.23</t>
  </si>
  <si>
    <t xml:space="preserve">UNAUTH_IMMIGRANT_ETPR_ADJ_FACTOR</t>
  </si>
  <si>
    <t xml:space="preserve">Adjustment factor for unauthorized immigrants in ETPR</t>
  </si>
  <si>
    <t xml:space="preserve">Derived from Pew/MPI consensus</t>
  </si>
  <si>
    <t xml:space="preserve">LSD.RID.0.AL.PARAM.24</t>
  </si>
  <si>
    <t xml:space="preserve">INTERDEPEND_FACTOR_ETPR_LFP</t>
  </si>
  <si>
    <t xml:space="preserve">Factor for ETPR-LFP cross-dependency (decimal)</t>
  </si>
  <si>
    <t xml:space="preserve">Derived from LAUS patterns</t>
  </si>
  <si>
    <t xml:space="preserve">LSD.RID.0.AL.PARAM.25</t>
  </si>
  <si>
    <t xml:space="preserve">GROUP_ETPR_ADJ_FACTOR_AUTH</t>
  </si>
  <si>
    <t xml:space="preserve">Group adjustment factor for authorized in ETPR (decimal)</t>
  </si>
  <si>
    <t xml:space="preserve">LSD.RID.0.AL.PARAM.26</t>
  </si>
  <si>
    <t xml:space="preserve">GROUP_ETPR_ADJ_FACTOR_UNAUTH</t>
  </si>
  <si>
    <t xml:space="preserve">Group adjustment factor for unauthorized in ETPR (decimal)</t>
  </si>
  <si>
    <t xml:space="preserve">LSD.RID.0.AL.PARAM.27</t>
  </si>
  <si>
    <t xml:space="preserve">INTERDEPEND_FACTOR_LFP_U3R</t>
  </si>
  <si>
    <t xml:space="preserve">Factor for LFP-U3R cross-dependency (decimal)</t>
  </si>
  <si>
    <t xml:space="preserve">LSD.RID.0.AL.PARAM.28</t>
  </si>
  <si>
    <t xml:space="preserve">LFPR_STATE_TARGET</t>
  </si>
  <si>
    <t xml:space="preserve">AL / Statewide LFPR target (decimal)</t>
  </si>
  <si>
    <t xml:space="preserve">BLS LAUS / AL Dept Labor Dec 2025</t>
  </si>
  <si>
    <t xml:space="preserve">LSD.RID.0.AL.PARAM.29</t>
  </si>
  <si>
    <t xml:space="preserve">INTERDEPEND_FACTOR_LFPR_ETPR_U3R</t>
  </si>
  <si>
    <t xml:space="preserve">Factor for LFPR-ETPR/U3R cross-dependency (decimal)</t>
  </si>
  <si>
    <t xml:space="preserve">LSD.RID.0.AL.PARAM.30</t>
  </si>
  <si>
    <t xml:space="preserve">UNAUTH_BOOST_AG</t>
  </si>
  <si>
    <t xml:space="preserve">Unauthorized boost factor for Agriculture (decimal)</t>
  </si>
  <si>
    <t xml:space="preserve">Derived from MPI/Pew patterns</t>
  </si>
  <si>
    <t xml:space="preserve">Updated for specificity (higher for manual sector differentiation)</t>
  </si>
  <si>
    <t xml:space="preserve">LSD.RID.0.AL.PARAM.31</t>
  </si>
  <si>
    <t xml:space="preserve">UNAUTH_BOOST_CONSTR</t>
  </si>
  <si>
    <t xml:space="preserve">Unauthorized boost factor for Construction (decimal)</t>
  </si>
  <si>
    <t xml:space="preserve">LSD.RID.0.AL.PARAM.32</t>
  </si>
  <si>
    <t xml:space="preserve">UNAUTH_BOOST_LEIS_HOSP</t>
  </si>
  <si>
    <t xml:space="preserve">Unauthorized boost factor for Leisure/Hospitality (decimal)</t>
  </si>
  <si>
    <t xml:space="preserve">Updated for specificity (higher for seasonal/manual differentiation)</t>
  </si>
  <si>
    <t xml:space="preserve">LSD.RID.0.AL.PARAM.33</t>
  </si>
  <si>
    <t xml:space="preserve">UNAUTH_BOOST_GOV</t>
  </si>
  <si>
    <t xml:space="preserve">Unauthorized boost factor for Government (decimal)</t>
  </si>
  <si>
    <t xml:space="preserve">Updated for specificity (lower for regulated sector differentiation)</t>
  </si>
  <si>
    <t xml:space="preserve">LSD.RID.0.AL.PARAM.34</t>
  </si>
  <si>
    <t xml:space="preserve">UNAUTH_BOOST_FIN</t>
  </si>
  <si>
    <t xml:space="preserve">Unauthorized boost factor for Finance and Insurance (decimal)</t>
  </si>
  <si>
    <t xml:space="preserve">New/added for specificity (low for professional sector)</t>
  </si>
  <si>
    <t xml:space="preserve">LSD.RID.0.AL.PARAM.35</t>
  </si>
  <si>
    <t xml:space="preserve">UNAUTH_BOOST_PROF_BUS</t>
  </si>
  <si>
    <t xml:space="preserve">Unauthorized boost factor for Professional/Business Services (dec.)</t>
  </si>
  <si>
    <t xml:space="preserve">LSD.RID.0.AL.PARAM.36</t>
  </si>
  <si>
    <t xml:space="preserve">UNAUTH_BOOST_ED_HEALTH</t>
  </si>
  <si>
    <t xml:space="preserve">Unauthorized boost factor for Ed/Health Services (decimal)</t>
  </si>
  <si>
    <t xml:space="preserve">LSD.RID.0.AL.PARAM.37</t>
  </si>
  <si>
    <t xml:space="preserve">UNAUTH_BOOST_INFO</t>
  </si>
  <si>
    <t xml:space="preserve">Unauthorized boost factor for Information (decimal)</t>
  </si>
  <si>
    <t xml:space="preserve">New/added for specificity (moderate for tech/media)</t>
  </si>
  <si>
    <t xml:space="preserve">LSD.RID.0.AL.PARAM.38</t>
  </si>
  <si>
    <t xml:space="preserve">UNAUTH_BOOST_REAL_ESTATE</t>
  </si>
  <si>
    <t xml:space="preserve">Unauthorized boost factor for Real Estate (decimal)</t>
  </si>
  <si>
    <t xml:space="preserve">New/added for specificity (moderate for housing-related)</t>
  </si>
  <si>
    <t xml:space="preserve">LSD.RID.0.AL.PARAM.39</t>
  </si>
  <si>
    <t xml:space="preserve">UNAUTH_BOOST_MANU</t>
  </si>
  <si>
    <t xml:space="preserve">Unauthorized boost factor for Manufacturing (decimal)</t>
  </si>
  <si>
    <t xml:space="preserve">New/added for specificity (moderate for industrial)</t>
  </si>
  <si>
    <t xml:space="preserve">LSD.RID.0.AL.PARAM.40</t>
  </si>
  <si>
    <t xml:space="preserve">UNAUTH_BOOST_TRADE_TRANS_UTIL</t>
  </si>
  <si>
    <t xml:space="preserve">Unauthorized boost factor for Trade/Trans/Utilities (decimal)</t>
  </si>
  <si>
    <t xml:space="preserve">New/added for specificity (moderate for trade/logistics)</t>
  </si>
  <si>
    <t xml:space="preserve">LSD.RID.0.AL.PARAM.41</t>
  </si>
  <si>
    <t xml:space="preserve">UNAUTH_BOOST_ADMIN_WASTE</t>
  </si>
  <si>
    <t xml:space="preserve">Unauthorized boost factor for Admin/Support/Waste Mgmt (decimal)</t>
  </si>
  <si>
    <t xml:space="preserve">New/added for specificity (high for temp/contractor)</t>
  </si>
  <si>
    <t xml:space="preserve">LSD.RID.0.AL.PARAM.42</t>
  </si>
  <si>
    <t xml:space="preserve">UNAUTH_BOOST_ARTS_REC</t>
  </si>
  <si>
    <t xml:space="preserve">Unauthorized boost factor for Arts/Entertainment/Recreation (dec.)</t>
  </si>
  <si>
    <t xml:space="preserve">New/added for specificity (high for seasonal/event)</t>
  </si>
  <si>
    <t xml:space="preserve">LSD.RID.0.AL.PARAM.43</t>
  </si>
  <si>
    <t xml:space="preserve">UNAUTH_BOOST_OTHER_SERV</t>
  </si>
  <si>
    <t xml:space="preserve">Unauthorized boost factor for Other Services (decimal)</t>
  </si>
  <si>
    <t xml:space="preserve">New/added for specificity (high for diverse manual)</t>
  </si>
  <si>
    <t xml:space="preserve">LSD.RID.0.AL.PARAM.44</t>
  </si>
  <si>
    <t xml:space="preserve">SECTOR_ASYMMETRY_FACTOR_AG</t>
  </si>
  <si>
    <t xml:space="preserve">Sector asymmetry factor for Agriculture (decimal)</t>
  </si>
  <si>
    <t xml:space="preserve">ACS-derived</t>
  </si>
  <si>
    <t xml:space="preserve">Updated for variation (lower for cyclical/manual)</t>
  </si>
  <si>
    <t xml:space="preserve">LSD.RID.0.AL.PARAM.45</t>
  </si>
  <si>
    <t xml:space="preserve">SECTOR_ASYMMETRY_FACTOR_MIN_LOG</t>
  </si>
  <si>
    <t xml:space="preserve">Sector asymmetry factor for Mining/Logging (decimal)</t>
  </si>
  <si>
    <t xml:space="preserve">LSD.RID.0.AL.PARAM.46</t>
  </si>
  <si>
    <t xml:space="preserve">SECTOR_ASYMMETRY_FACTOR_UTIL</t>
  </si>
  <si>
    <t xml:space="preserve">Sector asymmetry factor for Utilities (decimal)</t>
  </si>
  <si>
    <t xml:space="preserve">LSD.RID.0.AL.PARAM.47</t>
  </si>
  <si>
    <t xml:space="preserve">SECTOR_ASYMMETRY_FACTOR_CONSTR</t>
  </si>
  <si>
    <t xml:space="preserve">Sector asymmetry factor for Construction (decimal)</t>
  </si>
  <si>
    <t xml:space="preserve">LSD.RID.0.AL.PARAM.48</t>
  </si>
  <si>
    <t xml:space="preserve">SECTOR_ASYMMETRY_FACTOR_MANU</t>
  </si>
  <si>
    <t xml:space="preserve">Sector asymmetry factor for Manufacturing (decimal)</t>
  </si>
  <si>
    <t xml:space="preserve">Updated for variation (moderate for industrial)</t>
  </si>
  <si>
    <t xml:space="preserve">LSD.RID.0.AL.PARAM.49</t>
  </si>
  <si>
    <t xml:space="preserve">SECTOR_ASYMMETRY_FACTOR_TRADE_TRANS</t>
  </si>
  <si>
    <t xml:space="preserve">Sector asymmetry factor for Trade/Trans/Utilities (decimal)</t>
  </si>
  <si>
    <t xml:space="preserve">Updated for variation (moderate for trade/logistics)</t>
  </si>
  <si>
    <t xml:space="preserve">LSD.RID.0.AL.PARAM.50</t>
  </si>
  <si>
    <t xml:space="preserve">SECTOR_ASYMMETRY_FACTOR_INFO</t>
  </si>
  <si>
    <t xml:space="preserve">Sector asymmetry factor for Information (decimal)</t>
  </si>
  <si>
    <t xml:space="preserve">LSD.RID.0.AL.PARAM.51</t>
  </si>
  <si>
    <t xml:space="preserve">SECTOR_ASYMMETRY_FACTOR_FIN</t>
  </si>
  <si>
    <t xml:space="preserve">Sector asymmetry factor for Finance and Insurance (decimal)</t>
  </si>
  <si>
    <t xml:space="preserve">LSD.RID.0.AL.PARAM.52</t>
  </si>
  <si>
    <t xml:space="preserve">SECTOR_ASYMMETRY_FACTOR_REAL_ESTATE</t>
  </si>
  <si>
    <t xml:space="preserve">Sector asymmetry factor for Real Estate and Rental (decimal)</t>
  </si>
  <si>
    <t xml:space="preserve">LSD.RID.0.AL.PARAM.53</t>
  </si>
  <si>
    <t xml:space="preserve">SECTOR_ASYMMETRY_FACTOR_PROF_BUS</t>
  </si>
  <si>
    <t xml:space="preserve">Sector asymmetry factor for Professional/Business Services (dec.)</t>
  </si>
  <si>
    <t xml:space="preserve">LSD.RID.0.AL.PARAM.54</t>
  </si>
  <si>
    <t xml:space="preserve">SECTOR_ASYMMETRY_FACTOR_ADMIN_WASTE</t>
  </si>
  <si>
    <t xml:space="preserve">Sector asymmetry factor for Admin/Support/Waste Mgmt (decimal)</t>
  </si>
  <si>
    <t xml:space="preserve">Updated for variation (lower for temp/contractor)</t>
  </si>
  <si>
    <t xml:space="preserve">LSD.RID.0.AL.PARAM.55</t>
  </si>
  <si>
    <t xml:space="preserve">SECTOR_ASYMMETRY_FACTOR_ED_SERV</t>
  </si>
  <si>
    <t xml:space="preserve">Sector asymmetry factor for Educational Services (decimal)</t>
  </si>
  <si>
    <t xml:space="preserve">LSD.RID.0.AL.PARAM.56</t>
  </si>
  <si>
    <t xml:space="preserve">SECTOR_ASYMMETRY_FACTOR_HEALTH</t>
  </si>
  <si>
    <t xml:space="preserve">Sector asymmetry factor for Health Care and Social Assistance (dec.)</t>
  </si>
  <si>
    <t xml:space="preserve">LSD.RID.0.AL.PARAM.57</t>
  </si>
  <si>
    <t xml:space="preserve">SECTOR_ASYMMETRY_FACTOR_ARTS_REC</t>
  </si>
  <si>
    <t xml:space="preserve">Sector asymmetry factor for Arts/Entertainment/Recreation (dec.)</t>
  </si>
  <si>
    <t xml:space="preserve">Updated for variation (lower for seasonal/event)</t>
  </si>
  <si>
    <t xml:space="preserve">LSD.RID.0.AL.PARAM.58</t>
  </si>
  <si>
    <t xml:space="preserve">SECTOR_ASYMMETRY_FACTOR_ACCOM_FOOD</t>
  </si>
  <si>
    <t xml:space="preserve">Sector asymmetry factor for Accommodation and Food Services (dec.)</t>
  </si>
  <si>
    <t xml:space="preserve">Updated for variation (lower for seasonal/manual)</t>
  </si>
  <si>
    <t xml:space="preserve">LSD.RID.0.AL.PARAM.59</t>
  </si>
  <si>
    <t xml:space="preserve">SECTOR_ASYMMETRY_FACTOR_OTHER_SERV</t>
  </si>
  <si>
    <t xml:space="preserve">Sector asymmetry factor for Other Services (decimal)</t>
  </si>
  <si>
    <t xml:space="preserve">Updated for variation (lower for diverse manual)</t>
  </si>
  <si>
    <t xml:space="preserve">LSD.RID.0.AL.PARAM.60</t>
  </si>
  <si>
    <t xml:space="preserve">SECTOR_ASYMMETRY_FACTOR_PUBLIC_ADMIN</t>
  </si>
  <si>
    <t xml:space="preserve">Sector asymmetry factor for Public Administration (decimal)</t>
  </si>
  <si>
    <t xml:space="preserve">LSD.RID.0.AL.PARAM.61</t>
  </si>
  <si>
    <t xml:space="preserve">UNAUTH_BOOST_AG_ETPR</t>
  </si>
  <si>
    <t xml:space="preserve">Unauthorized boost factor for Agriculture in ETPR (decimal)</t>
  </si>
  <si>
    <t xml:space="preserve">LSD.RID.0.AL.PARAM.62</t>
  </si>
  <si>
    <t xml:space="preserve">UNAUTH_BOOST_CONSTR_ETPR</t>
  </si>
  <si>
    <t xml:space="preserve">Unauthorized boost factor for Construction in ETPR (decimal)</t>
  </si>
  <si>
    <t xml:space="preserve">LSD.RID.0.AL.PARAM.63</t>
  </si>
  <si>
    <t xml:space="preserve">UNAUTH_BOOST_LEIS_HOSP_ETPR</t>
  </si>
  <si>
    <t xml:space="preserve">Unauthorized boost factor for Leisure/Hospitality in ETPR (dec.)</t>
  </si>
  <si>
    <t xml:space="preserve">LSD.RID.0.AL.PARAM.64</t>
  </si>
  <si>
    <t xml:space="preserve">UNAUTH_BOOST_GOV_ETPR</t>
  </si>
  <si>
    <t xml:space="preserve">Unauthorized boost factor for Government in ETPR (decimal)</t>
  </si>
  <si>
    <t xml:space="preserve">LSD.RID.0.AL.PARAM.65</t>
  </si>
  <si>
    <t xml:space="preserve">SECTOR_ASYMMETRY_FACTOR_AG_ETPR</t>
  </si>
  <si>
    <t xml:space="preserve">Sector asymmetry factor for Agriculture in ETPR (decimal)</t>
  </si>
  <si>
    <t xml:space="preserve">LSD.RID.0.AL.PARAM.66</t>
  </si>
  <si>
    <t xml:space="preserve">SECTOR_ASYMMETRY_FACTOR_CONSTR_ETPR</t>
  </si>
  <si>
    <t xml:space="preserve">Sector asymmetry factor for Construction in ETPR (decimal)</t>
  </si>
  <si>
    <t xml:space="preserve">LSD.RID.0.AL.PARAM.67</t>
  </si>
  <si>
    <t xml:space="preserve">SECTOR_ASYMMETRY_FACTOR_LEIS_HOSP_ETPR</t>
  </si>
  <si>
    <t xml:space="preserve">Sector asymmetry factor for Leisure/Hospitality in ETPR (decimal)</t>
  </si>
  <si>
    <t xml:space="preserve">LSD.RID.0.AL.PARAM.68</t>
  </si>
  <si>
    <t xml:space="preserve">SECTOR_ASYMMETRY_FACTOR_ADMIN_WASTE_ETPR</t>
  </si>
  <si>
    <t xml:space="preserve">Sector asymmetry factor for Admin/Support/Waste Mgmt in ETPR (dec.)</t>
  </si>
  <si>
    <t xml:space="preserve">LSD.RID.0.AL.PARAM.69</t>
  </si>
  <si>
    <t xml:space="preserve">SECTOR_ASYMMETRY_FACTOR_ARTS_REC_ETPR</t>
  </si>
  <si>
    <t xml:space="preserve">Sector asymmetry factor for Arts/Entertainment/Recreation in ETPR (dec.)</t>
  </si>
  <si>
    <t xml:space="preserve">LSD.RID.0.AL.PARAM.70</t>
  </si>
  <si>
    <t xml:space="preserve">SECTOR_ASYMMETRY_FACTOR_OTHER_SERV_ETPR</t>
  </si>
  <si>
    <t xml:space="preserve">Sector asymmetry factor for Other Services in ETPR (decimal)</t>
  </si>
  <si>
    <t xml:space="preserve">LSD.RID.0.AL.PARAM.71</t>
  </si>
  <si>
    <t xml:space="preserve">SECTOR_ASYMMETRY_FACTOR_MANU_ETPR</t>
  </si>
  <si>
    <t xml:space="preserve">Sector asymmetry factor for Manufacturing in ETPR (decimal)</t>
  </si>
  <si>
    <t xml:space="preserve">LSD.RID.0.AL.PARAM.72</t>
  </si>
  <si>
    <t xml:space="preserve">SECTOR_ASYMMETRY_FACTOR_TRADE_TRANS_ETPR</t>
  </si>
  <si>
    <t xml:space="preserve">Sector asymmetry factor for Trade/Transportation/Utilities in ETPR (dec.)</t>
  </si>
  <si>
    <t xml:space="preserve">LSD.RID.0.AL.PARAM.73</t>
  </si>
  <si>
    <t xml:space="preserve">SECTOR_ASYMMETRY_FACTOR_INFO_ETPR</t>
  </si>
  <si>
    <t xml:space="preserve">Sector asymmetry factor for Information in ETPR (decimal)</t>
  </si>
  <si>
    <t xml:space="preserve">LSD.RID.0.AL.PARAM.74</t>
  </si>
  <si>
    <t xml:space="preserve">SECTOR_ASYMMETRY_FACTOR_REAL_ESTATE_ETPR</t>
  </si>
  <si>
    <t xml:space="preserve">Sector asymmetry factor for Real Estate and Rental in ETPR (dec.)</t>
  </si>
  <si>
    <t xml:space="preserve">LSD.RID.0.AL.PARAM.75</t>
  </si>
  <si>
    <t xml:space="preserve">SECTOR_ASYMMETRY_FACTOR_FIN_ETPR</t>
  </si>
  <si>
    <t xml:space="preserve">Sector asymmetry factor for Finance and Insurance in ETPR (dec.)</t>
  </si>
  <si>
    <t xml:space="preserve">LSD.RID.0.AL.PARAM.76</t>
  </si>
  <si>
    <t xml:space="preserve">SECTOR_ASYMMETRY_FACTOR_PROF_BUS_ETPR</t>
  </si>
  <si>
    <t xml:space="preserve">Sector asymmetry factor for Professional/Business Services in ETPR (dec.)</t>
  </si>
  <si>
    <t xml:space="preserve">LSD.RID.0.AL.PARAM.77</t>
  </si>
  <si>
    <t xml:space="preserve">SECTOR_ASYMMETRY_FACTOR_ED_SERV_ETPR</t>
  </si>
  <si>
    <t xml:space="preserve">Sector asymmetry factor for Educational Services in ETPR (decimal)</t>
  </si>
  <si>
    <t xml:space="preserve">LSD.RID.0.AL.PARAM.78</t>
  </si>
  <si>
    <t xml:space="preserve">SECTOR_ASYMMETRY_FACTOR_HEALTH_ETPR</t>
  </si>
  <si>
    <t xml:space="preserve">Sector asymmetry factor for Health Care and Social Assistance in ETPR (dec.)</t>
  </si>
  <si>
    <t xml:space="preserve">LSD.RID.0.AL.PARAM.79</t>
  </si>
  <si>
    <t xml:space="preserve">SECTOR_ASYMMETRY_FACTOR_MIN_LOG_ETPR</t>
  </si>
  <si>
    <t xml:space="preserve">Sector asymmetry factor for Mining/Logging in ETPR (decimal)</t>
  </si>
  <si>
    <t xml:space="preserve">LSD.RID.0.AL.PARAM.80</t>
  </si>
  <si>
    <t xml:space="preserve">SECTOR_ASYMMETRY_FACTOR_UTIL_ETPR</t>
  </si>
  <si>
    <t xml:space="preserve">Sector asymmetry factor for Utilities in ETPR (decimal)</t>
  </si>
  <si>
    <t xml:space="preserve">LSD.RID.0.AL.PARAM.81</t>
  </si>
  <si>
    <t xml:space="preserve">SECTOR_ASYMMETRY_FACTOR_WHOLESALE_ETPR</t>
  </si>
  <si>
    <t xml:space="preserve">Sector asymmetry factor for Wholesale Trade in ETPR (decimal)</t>
  </si>
  <si>
    <t xml:space="preserve">LSD.RID.0.AL.PARAM.82</t>
  </si>
  <si>
    <t xml:space="preserve">SECTOR_ASYMMETRY_FACTOR_RETAIL_MOTOR_ETPR</t>
  </si>
  <si>
    <t xml:space="preserve">Sector asymmetry factor for Retail (Motor Vehicle, Electronics) in ETPR (dec.)</t>
  </si>
  <si>
    <t xml:space="preserve">LSD.RID.0.AL.PARAM.83</t>
  </si>
  <si>
    <t xml:space="preserve">SECTOR_ASYMMETRY_FACTOR_RETAIL_FOOD_ETPR</t>
  </si>
  <si>
    <t xml:space="preserve">Sector asymmetry factor for Retail (Food, Clothing, etc.) in ETPR (dec.)</t>
  </si>
  <si>
    <t xml:space="preserve">LSD.RID.0.AL.PARAM.84</t>
  </si>
  <si>
    <t xml:space="preserve">SECTOR_ASYMMETRY_FACTOR_TRANSPORT_ETPR</t>
  </si>
  <si>
    <t xml:space="preserve">Sector asymmetry factor for Transportation in ETPR (decimal)</t>
  </si>
  <si>
    <t xml:space="preserve">LSD.RID.0.AL.PARAM.85</t>
  </si>
  <si>
    <t xml:space="preserve">SECTOR_ASYMMETRY_FACTOR_WAREHOUSING_ETPR</t>
  </si>
  <si>
    <t xml:space="preserve">Sector asymmetry factor for Warehousing and Storage in ETPR (dec.)</t>
  </si>
  <si>
    <t xml:space="preserve">LSD.RID.0.AL.PARAM.86</t>
  </si>
  <si>
    <t xml:space="preserve">SECTOR_ASYMMETRY_FACTOR_PUBLIC_ADMIN_ETPR</t>
  </si>
  <si>
    <t xml:space="preserve">Sector asymmetry factor for Public Administration in ETPR (dec.)</t>
  </si>
  <si>
    <t xml:space="preserve">LSD.RID.0.AL.PARAM.87</t>
  </si>
  <si>
    <t xml:space="preserve">U3R_STATE_TARGET</t>
  </si>
  <si>
    <t xml:space="preserve">AL Statewide U3R target (decimal)</t>
  </si>
  <si>
    <t xml:space="preserve">BLS LAUS Dec 2025 (revised)</t>
  </si>
  <si>
    <t xml:space="preserve">New; official benchmark for calibration.</t>
  </si>
  <si>
    <t xml:space="preserve">LSD.RID.0.AL.PARAM.88</t>
  </si>
  <si>
    <t xml:space="preserve">U3R_ADJ_GROUP</t>
  </si>
  <si>
    <t xml:space="preserve">General group adjustment for U3R (decimal; higher for immigrants)</t>
  </si>
  <si>
    <t xml:space="preserve">New; applies to auth/unauth columns.</t>
  </si>
  <si>
    <t xml:space="preserve">LSD.RID.0.AL.PARAM.89</t>
  </si>
  <si>
    <t xml:space="preserve">U3R_VARIANCE_SEC[1]</t>
  </si>
  <si>
    <t xml:space="preserve">U3R variance bound for Agriculture (decimal)</t>
  </si>
  <si>
    <t xml:space="preserve">New; higher in cyclical sectors.</t>
  </si>
  <si>
    <t xml:space="preserve">LSD.RID.0.AL.PARAM.90</t>
  </si>
  <si>
    <t xml:space="preserve">U3R_VARIANCE_SEC[2]</t>
  </si>
  <si>
    <t xml:space="preserve">U3R variance bound for Mining (decimal)</t>
  </si>
  <si>
    <t xml:space="preserve">New; sector-specific for error bounding.</t>
  </si>
  <si>
    <t xml:space="preserve">LSD.RID.0.AL.PARAM.91</t>
  </si>
  <si>
    <t xml:space="preserve">U3R_VARIANCE_SEC[3]</t>
  </si>
  <si>
    <t xml:space="preserve">U3R variance bound for Utilities (decimal)</t>
  </si>
  <si>
    <t xml:space="preserve">New; lower in stable sectors.</t>
  </si>
  <si>
    <t xml:space="preserve">LSD.RID.0.AL.PARAM.92</t>
  </si>
  <si>
    <t xml:space="preserve">U3R_VARIANCE_SEC[4]</t>
  </si>
  <si>
    <t xml:space="preserve">U3R variance bound for Construction (decimal)</t>
  </si>
  <si>
    <t xml:space="preserve">New; high for cyclical/manual.</t>
  </si>
  <si>
    <t xml:space="preserve">LSD.RID.0.AL.PARAM.93</t>
  </si>
  <si>
    <t xml:space="preserve">U3R_VARIANCE_SEC[5]</t>
  </si>
  <si>
    <t xml:space="preserve">U3R variance bound for Manufacturing (Food, Textile) (decimal)</t>
  </si>
  <si>
    <t xml:space="preserve">New; moderate for industrial.</t>
  </si>
  <si>
    <t xml:space="preserve">LSD.RID.0.AL.PARAM.94</t>
  </si>
  <si>
    <t xml:space="preserve">U3R_VARIANCE_SEC[6]</t>
  </si>
  <si>
    <t xml:space="preserve">U3R variance bound for Manufacturing (Wood, Paper) (decimal)</t>
  </si>
  <si>
    <t xml:space="preserve">LSD.RID.0.AL.PARAM.95</t>
  </si>
  <si>
    <t xml:space="preserve">U3R_VARIANCE_SEC[7]</t>
  </si>
  <si>
    <t xml:space="preserve">U3R variance bound for Manufacturing (Machinery, Transport) (decimal)</t>
  </si>
  <si>
    <t xml:space="preserve">New; lower for durable goods.</t>
  </si>
  <si>
    <t xml:space="preserve">LSD.RID.0.AL.PARAM.96</t>
  </si>
  <si>
    <t xml:space="preserve">U3R_VARIANCE_SEC[8]</t>
  </si>
  <si>
    <t xml:space="preserve">U3R variance bound for Wholesale Trade (decimal)</t>
  </si>
  <si>
    <t xml:space="preserve">New; stable trade sector.</t>
  </si>
  <si>
    <t xml:space="preserve">LSD.RID.0.AL.PARAM.97</t>
  </si>
  <si>
    <t xml:space="preserve">U3R_VARIANCE_SEC[9]</t>
  </si>
  <si>
    <t xml:space="preserve">U3R variance bound for Retail (Motor Vehicle, Electronics) (decimal)</t>
  </si>
  <si>
    <t xml:space="preserve">New; higher for consumer cyclical.</t>
  </si>
  <si>
    <t xml:space="preserve">LSD.RID.0.AL.PARAM.98</t>
  </si>
  <si>
    <t xml:space="preserve">U3R_VARIANCE_SEC[10]</t>
  </si>
  <si>
    <t xml:space="preserve">U3R variance bound for Retail (Food, Clothing) (decimal)</t>
  </si>
  <si>
    <t xml:space="preserve">New; high for general retail.</t>
  </si>
  <si>
    <t xml:space="preserve">LSD.RID.0.AL.PARAM.99</t>
  </si>
  <si>
    <t xml:space="preserve">U3R_VARIANCE_SEC[11]</t>
  </si>
  <si>
    <t xml:space="preserve">U3R variance bound for Transportation (decimal)</t>
  </si>
  <si>
    <t xml:space="preserve">New; moderate for logistics.</t>
  </si>
  <si>
    <t xml:space="preserve">LSD.RID.0.AL.PARAM.100</t>
  </si>
  <si>
    <t xml:space="preserve">U3R_VARIANCE_SEC[12]</t>
  </si>
  <si>
    <t xml:space="preserve">U3R variance bound for Warehousing and Storage (decimal)</t>
  </si>
  <si>
    <t xml:space="preserve">New; higher for supply chain volatility.</t>
  </si>
  <si>
    <t xml:space="preserve">LSD.RID.0.AL.PARAM.101</t>
  </si>
  <si>
    <t xml:space="preserve">U3R_VARIANCE_SEC[13]</t>
  </si>
  <si>
    <t xml:space="preserve">U3R variance bound for Information (decimal)</t>
  </si>
  <si>
    <t xml:space="preserve">New; low for tech sector.</t>
  </si>
  <si>
    <t xml:space="preserve">LSD.RID.0.AL.PARAM.102</t>
  </si>
  <si>
    <t xml:space="preserve">U3R_VARIANCE_SEC[14]</t>
  </si>
  <si>
    <t xml:space="preserve">U3R variance bound for Finance and Insurance (decimal)</t>
  </si>
  <si>
    <t xml:space="preserve">New; very stable.</t>
  </si>
  <si>
    <t xml:space="preserve">LSD.RID.0.AL.PARAM.103</t>
  </si>
  <si>
    <t xml:space="preserve">U3R_VARIANCE_SEC[15]</t>
  </si>
  <si>
    <t xml:space="preserve">U3R variance bound for Real Estate and Rental (decimal)</t>
  </si>
  <si>
    <t xml:space="preserve">New; low but housing-sensitive.</t>
  </si>
  <si>
    <t xml:space="preserve">LSD.RID.0.AL.PARAM.104</t>
  </si>
  <si>
    <t xml:space="preserve">U3R_VARIANCE_SEC[16]</t>
  </si>
  <si>
    <t xml:space="preserve">U3R variance bound for Professional Services (decimal)</t>
  </si>
  <si>
    <t xml:space="preserve">New; highly stable.</t>
  </si>
  <si>
    <t xml:space="preserve">LSD.RID.0.AL.PARAM.105</t>
  </si>
  <si>
    <t xml:space="preserve">U3R_VARIANCE_SEC[17]</t>
  </si>
  <si>
    <t xml:space="preserve">U3R variance bound for Administrative and Support (decimal)</t>
  </si>
  <si>
    <t xml:space="preserve">New; moderate for temp labor.</t>
  </si>
  <si>
    <t xml:space="preserve">LSD.RID.0.AL.PARAM.106</t>
  </si>
  <si>
    <t xml:space="preserve">U3R_VARIANCE_SEC[18]</t>
  </si>
  <si>
    <t xml:space="preserve">U3R variance bound for Educational Services (decimal)</t>
  </si>
  <si>
    <t xml:space="preserve">New; very low, seasonal academic.</t>
  </si>
  <si>
    <t xml:space="preserve">LSD.RID.0.AL.PARAM.107</t>
  </si>
  <si>
    <t xml:space="preserve">U3R_VARIANCE_SEC[19]</t>
  </si>
  <si>
    <t xml:space="preserve">U3R variance bound for Health Care and Social Assistance (decimal)</t>
  </si>
  <si>
    <t xml:space="preserve">New; stable essential services.</t>
  </si>
  <si>
    <t xml:space="preserve">LSD.RID.0.AL.PARAM.108</t>
  </si>
  <si>
    <t xml:space="preserve">U3R_VARIANCE_SEC[20]</t>
  </si>
  <si>
    <t xml:space="preserve">U3R variance bound for Arts, Entertainment, Recreation (decimal)</t>
  </si>
  <si>
    <t xml:space="preserve">New; high for discretionary.</t>
  </si>
  <si>
    <t xml:space="preserve">LSD.RID.0.AL.PARAM.109</t>
  </si>
  <si>
    <t xml:space="preserve">U3R_VARIANCE_SEC[21]</t>
  </si>
  <si>
    <t xml:space="preserve">U3R variance bound for Accommodation and Food Services (decimal)</t>
  </si>
  <si>
    <t xml:space="preserve">New; high seasonal.</t>
  </si>
  <si>
    <t xml:space="preserve">LSD.RID.0.AL.PARAM.110</t>
  </si>
  <si>
    <t xml:space="preserve">U3R_VARIANCE_SEC[22]</t>
  </si>
  <si>
    <t xml:space="preserve">U3R variance bound for Other Services (decimal)</t>
  </si>
  <si>
    <t xml:space="preserve">New; moderate diverse.</t>
  </si>
  <si>
    <t xml:space="preserve">LSD.RID.0.AL.PARAM.111</t>
  </si>
  <si>
    <t xml:space="preserve">U3R_VARIANCE_SEC[23]</t>
  </si>
  <si>
    <t xml:space="preserve">U3R variance bound for Public Administration (decimal)</t>
  </si>
  <si>
    <t xml:space="preserve">New; lowest, government stability.</t>
  </si>
  <si>
    <t xml:space="preserve">LSD.RID.0.AL.PARAM.112</t>
  </si>
  <si>
    <t xml:space="preserve">U3R_ASYMM_SEC[1]</t>
  </si>
  <si>
    <t xml:space="preserve">Asymmetry factor for Agriculture in U3R (decimal)</t>
  </si>
  <si>
    <t xml:space="preserve">New; array for sectors; lower for cyclical.</t>
  </si>
  <si>
    <t xml:space="preserve">LSD.RID.0.AL.PARAM.113</t>
  </si>
  <si>
    <t xml:space="preserve">U3R_ASYMM_SEC[2]</t>
  </si>
  <si>
    <t xml:space="preserve">Asymmetry factor for Mining in U3R (decimal)</t>
  </si>
  <si>
    <t xml:space="preserve">New; moderate-high volatility.</t>
  </si>
  <si>
    <t xml:space="preserve">LSD.RID.0.AL.PARAM.114</t>
  </si>
  <si>
    <t xml:space="preserve">U3R_ASYMM_SEC[3]</t>
  </si>
  <si>
    <t xml:space="preserve">Asymmetry factor for Utilities in U3R (decimal)</t>
  </si>
  <si>
    <t xml:space="preserve">New; near-neutral stable.</t>
  </si>
  <si>
    <t xml:space="preserve">LSD.RID.0.AL.PARAM.115</t>
  </si>
  <si>
    <t xml:space="preserve">U3R_ASYMM_SEC[4]</t>
  </si>
  <si>
    <t xml:space="preserve">Asymmetry factor for Construction in U3R (decimal)</t>
  </si>
  <si>
    <t xml:space="preserve">New; lowest for high cyclical.</t>
  </si>
  <si>
    <t xml:space="preserve">LSD.RID.0.AL.PARAM.116</t>
  </si>
  <si>
    <t xml:space="preserve">U3R_ASYMM_SEC[5]</t>
  </si>
  <si>
    <t xml:space="preserve">Asymmetry factor for Manufacturing (Food, Textile) in U3R (decimal)</t>
  </si>
  <si>
    <t xml:space="preserve">New; moderate industrial.</t>
  </si>
  <si>
    <t xml:space="preserve">LSD.RID.0.AL.PARAM.117</t>
  </si>
  <si>
    <t xml:space="preserve">U3R_ASYMM_SEC[6]</t>
  </si>
  <si>
    <t xml:space="preserve">Asymmetry factor for Manufacturing (Wood, Paper) in U3R (decimal)</t>
  </si>
  <si>
    <t xml:space="preserve">New; slightly higher subsector.</t>
  </si>
  <si>
    <t xml:space="preserve">LSD.RID.0.AL.PARAM.118</t>
  </si>
  <si>
    <t xml:space="preserve">U3R_ASYMM_SEC[7]</t>
  </si>
  <si>
    <t xml:space="preserve">Asymmetry factor for Manufacturing (Machinery, Transport) in U3R (decimal)</t>
  </si>
  <si>
    <t xml:space="preserve">New; durable goods stability.</t>
  </si>
  <si>
    <t xml:space="preserve">LSD.RID.0.AL.PARAM.119</t>
  </si>
  <si>
    <t xml:space="preserve">U3R_ASYMM_SEC[8]</t>
  </si>
  <si>
    <t xml:space="preserve">Asymmetry factor for Wholesale Trade in U3R (decimal)</t>
  </si>
  <si>
    <t xml:space="preserve">New; stable B2B.</t>
  </si>
  <si>
    <t xml:space="preserve">LSD.RID.0.AL.PARAM.120</t>
  </si>
  <si>
    <t xml:space="preserve">U3R_ASYMM_SEC[9]</t>
  </si>
  <si>
    <t xml:space="preserve">Asymmetry factor for Retail (Motor Vehicle, Electronics) in U3R (decimal)</t>
  </si>
  <si>
    <t xml:space="preserve">New; cyclical consumer.</t>
  </si>
  <si>
    <t xml:space="preserve">LSD.RID.0.AL.PARAM.121</t>
  </si>
  <si>
    <t xml:space="preserve">U3R_ASYMM_SEC[10]</t>
  </si>
  <si>
    <t xml:space="preserve">Asymmetry factor for Retail (Food, Clothing) in U3R (decimal)</t>
  </si>
  <si>
    <t xml:space="preserve">New; high volume volatility.</t>
  </si>
  <si>
    <t xml:space="preserve">LSD.RID.0.AL.PARAM.122</t>
  </si>
  <si>
    <t xml:space="preserve">U3R_ASYMM_SEC[11]</t>
  </si>
  <si>
    <t xml:space="preserve">Asymmetry factor for Transportation in U3R (decimal)</t>
  </si>
  <si>
    <t xml:space="preserve">New; logistics sensitivity.</t>
  </si>
  <si>
    <t xml:space="preserve">LSD.RID.0.AL.PARAM.123</t>
  </si>
  <si>
    <t xml:space="preserve">U3R_ASYMM_SEC[12]</t>
  </si>
  <si>
    <t xml:space="preserve">Asymmetry factor for Warehousing in U3R (decimal)</t>
  </si>
  <si>
    <t xml:space="preserve">New; supply chain variance.</t>
  </si>
  <si>
    <t xml:space="preserve">LSD.RID.0.AL.PARAM.124</t>
  </si>
  <si>
    <t xml:space="preserve">U3R_ASYMM_SEC[13]</t>
  </si>
  <si>
    <t xml:space="preserve">Asymmetry factor for Information in U3R (decimal)</t>
  </si>
  <si>
    <t xml:space="preserve">New; tech resilience.</t>
  </si>
  <si>
    <t xml:space="preserve">LSD.RID.0.AL.PARAM.125</t>
  </si>
  <si>
    <t xml:space="preserve">U3R_ASYMM_SEC[14]</t>
  </si>
  <si>
    <t xml:space="preserve">Asymmetry factor for Finance in U3R (decimal)</t>
  </si>
  <si>
    <t xml:space="preserve">New; counter-cyclical.</t>
  </si>
  <si>
    <t xml:space="preserve">LSD.RID.0.AL.PARAM.126</t>
  </si>
  <si>
    <t xml:space="preserve">U3R_ASYMM_SEC[15]</t>
  </si>
  <si>
    <t xml:space="preserve">Asymmetry factor for Real Estate in U3R (decimal)</t>
  </si>
  <si>
    <t xml:space="preserve">New; housing lag.</t>
  </si>
  <si>
    <t xml:space="preserve">LSD.RID.0.AL.PARAM.127</t>
  </si>
  <si>
    <t xml:space="preserve">U3R_ASYMM_SEC[16]</t>
  </si>
  <si>
    <t xml:space="preserve">Asymmetry factor for Professional Services in U3R (decimal)</t>
  </si>
  <si>
    <t xml:space="preserve">New; high skill stability.</t>
  </si>
  <si>
    <t xml:space="preserve">LSD.RID.0.AL.PARAM.128</t>
  </si>
  <si>
    <t xml:space="preserve">U3R_ASYMM_SEC[17]</t>
  </si>
  <si>
    <t xml:space="preserve">Asymmetry factor for Administrative in U3R (decimal)</t>
  </si>
  <si>
    <t xml:space="preserve">New; temp labor volatility.</t>
  </si>
  <si>
    <t xml:space="preserve">LSD.RID.0.AL.PARAM.129</t>
  </si>
  <si>
    <t xml:space="preserve">U3R_ASYMM_SEC[18]</t>
  </si>
  <si>
    <t xml:space="preserve">Asymmetry factor for Educational Services in U3R (decimal)</t>
  </si>
  <si>
    <t xml:space="preserve">New; academic cycles.</t>
  </si>
  <si>
    <t xml:space="preserve">LSD.RID.0.AL.PARAM.130</t>
  </si>
  <si>
    <t xml:space="preserve">U3R_ASYMM_SEC[19]</t>
  </si>
  <si>
    <t xml:space="preserve">Asymmetry factor for Health Care in U3R (decimal)</t>
  </si>
  <si>
    <t xml:space="preserve">New; essential low variance.</t>
  </si>
  <si>
    <t xml:space="preserve">LSD.RID.0.AL.PARAM.131</t>
  </si>
  <si>
    <t xml:space="preserve">U3R_ASYMM_SEC[20]</t>
  </si>
  <si>
    <t xml:space="preserve">Asymmetry factor for Arts/Entertainment in U3R (decimal)</t>
  </si>
  <si>
    <t xml:space="preserve">New; discretionary high.</t>
  </si>
  <si>
    <t xml:space="preserve">LSD.RID.0.AL.PARAM.132</t>
  </si>
  <si>
    <t xml:space="preserve">U3R_ASYMM_SEC[21]</t>
  </si>
  <si>
    <t xml:space="preserve">Asymmetry factor for Accommodation/Food in U3R (decimal)</t>
  </si>
  <si>
    <t xml:space="preserve">New; highest seasonal.</t>
  </si>
  <si>
    <t xml:space="preserve">LSD.RID.0.AL.PARAM.133</t>
  </si>
  <si>
    <t xml:space="preserve">U3R_ASYMM_SEC[22]</t>
  </si>
  <si>
    <t xml:space="preserve">Asymmetry factor for Other Services in U3R (decimal)</t>
  </si>
  <si>
    <t xml:space="preserve">New; diverse moderate.</t>
  </si>
  <si>
    <t xml:space="preserve">LSD.RID.0.AL.PARAM.134</t>
  </si>
  <si>
    <t xml:space="preserve">U3R_ASYMM_SEC[23]</t>
  </si>
  <si>
    <t xml:space="preserve">Asymmetry factor for Public Administration in U3R (decimal)</t>
  </si>
  <si>
    <t xml:space="preserve">New; government buffer.</t>
  </si>
  <si>
    <t xml:space="preserve">LSD.RID.0.AL.PARAM.135</t>
  </si>
  <si>
    <t xml:space="preserve">UNAUTH_BOOST_U3R[1]</t>
  </si>
  <si>
    <t xml:space="preserve">Unauthorized U3R boost for Agriculture (decimal)</t>
  </si>
  <si>
    <t xml:space="preserve">Derived from Pew/MPI</t>
  </si>
  <si>
    <t xml:space="preserve">New; elevates unauth U3R in manual sectors.</t>
  </si>
  <si>
    <t xml:space="preserve">LSD.RID.0.AL.PARAM.136</t>
  </si>
  <si>
    <t xml:space="preserve">UNAUTH_BOOST_U3R[2]</t>
  </si>
  <si>
    <t xml:space="preserve">Unauthorized U3R boost for Mining (decimal)</t>
  </si>
  <si>
    <t xml:space="preserve">New; resource extraction.</t>
  </si>
  <si>
    <t xml:space="preserve">LSD.RID.0.AL.PARAM.137</t>
  </si>
  <si>
    <t xml:space="preserve">UNAUTH_BOOST_U3R[3]</t>
  </si>
  <si>
    <t xml:space="preserve">Unauthorized U3R boost for Utilities (decimal)</t>
  </si>
  <si>
    <t xml:space="preserve">New; low regulated.</t>
  </si>
  <si>
    <t xml:space="preserve">LSD.RID.0.AL.PARAM.138</t>
  </si>
  <si>
    <t xml:space="preserve">UNAUTH_BOOST_U3R[4]</t>
  </si>
  <si>
    <t xml:space="preserve">Unauthorized U3R boost for Construction (decimal)</t>
  </si>
  <si>
    <t xml:space="preserve">New; highest manual/cyclical.</t>
  </si>
  <si>
    <t xml:space="preserve">LSD.RID.0.AL.PARAM.139</t>
  </si>
  <si>
    <t xml:space="preserve">UNAUTH_BOOST_U3R[5]</t>
  </si>
  <si>
    <t xml:space="preserve">Unauthorized U3R boost for Manufacturing (Food, Textile) (decimal)</t>
  </si>
  <si>
    <t xml:space="preserve">New; labor-intensive subsector.</t>
  </si>
  <si>
    <t xml:space="preserve">LSD.RID.0.AL.PARAM.140</t>
  </si>
  <si>
    <t xml:space="preserve">UNAUTH_BOOST_U3R[6]</t>
  </si>
  <si>
    <t xml:space="preserve">Unauthorized U3R boost for Manufacturing (Wood, Paper) (decimal)</t>
  </si>
  <si>
    <t xml:space="preserve">LSD.RID.0.AL.PARAM.141</t>
  </si>
  <si>
    <t xml:space="preserve">UNAUTH_BOOST_U3R[7]</t>
  </si>
  <si>
    <t xml:space="preserve">Unauthorized U3R boost for Manufacturing (Machinery, Transport) (decimal)</t>
  </si>
  <si>
    <t xml:space="preserve">New; skilled but some unauth.</t>
  </si>
  <si>
    <t xml:space="preserve">LSD.RID.0.AL.PARAM.142</t>
  </si>
  <si>
    <t xml:space="preserve">UNAUTH_BOOST_U3R[8]</t>
  </si>
  <si>
    <t xml:space="preserve">Unauthorized U3R boost for Wholesale Trade (decimal)</t>
  </si>
  <si>
    <t xml:space="preserve">New; B2B low unauth.</t>
  </si>
  <si>
    <t xml:space="preserve">LSD.RID.0.AL.PARAM.143</t>
  </si>
  <si>
    <t xml:space="preserve">UNAUTH_BOOST_U3R[9]</t>
  </si>
  <si>
    <t xml:space="preserve">Unauthorized U3R boost for Retail (Motor Vehicle, Electronics) (decimal)</t>
  </si>
  <si>
    <t xml:space="preserve">New; retail concentration.</t>
  </si>
  <si>
    <t xml:space="preserve">LSD.RID.0.AL.PARAM.144</t>
  </si>
  <si>
    <t xml:space="preserve">UNAUTH_BOOST_U3R[10]</t>
  </si>
  <si>
    <t xml:space="preserve">Unauthorized U3R boost for Retail (Food, Clothing) (decimal)</t>
  </si>
  <si>
    <t xml:space="preserve">New; high entry-level unauth.</t>
  </si>
  <si>
    <t xml:space="preserve">LSD.RID.0.AL.PARAM.145</t>
  </si>
  <si>
    <t xml:space="preserve">UNAUTH_BOOST_U3R[11]</t>
  </si>
  <si>
    <t xml:space="preserve">Unauthorized U3R boost for Transportation (decimal)</t>
  </si>
  <si>
    <t xml:space="preserve">New; trucking/logistics.</t>
  </si>
  <si>
    <t xml:space="preserve">LSD.RID.0.AL.PARAM.146</t>
  </si>
  <si>
    <t xml:space="preserve">UNAUTH_BOOST_U3R[12]</t>
  </si>
  <si>
    <t xml:space="preserve">Unauthorized U3R boost for Warehousing (decimal)</t>
  </si>
  <si>
    <t xml:space="preserve">New; supply chain manual.</t>
  </si>
  <si>
    <t xml:space="preserve">LSD.RID.0.AL.PARAM.147</t>
  </si>
  <si>
    <t xml:space="preserve">UNAUTH_BOOST_U3R[13]</t>
  </si>
  <si>
    <t xml:space="preserve">Unauthorized U3R boost for Information (decimal)</t>
  </si>
  <si>
    <t xml:space="preserve">New; low tech barrier.</t>
  </si>
  <si>
    <t xml:space="preserve">LSD.RID.0.AL.PARAM.148</t>
  </si>
  <si>
    <t xml:space="preserve">UNAUTH_BOOST_U3R[14]</t>
  </si>
  <si>
    <t xml:space="preserve">Unauthorized U3R boost for Finance (decimal)</t>
  </si>
  <si>
    <t xml:space="preserve">New; regulated professional.</t>
  </si>
  <si>
    <t xml:space="preserve">LSD.RID.0.AL.PARAM.149</t>
  </si>
  <si>
    <t xml:space="preserve">UNAUTH_BOOST_U3R[15]</t>
  </si>
  <si>
    <t xml:space="preserve">Unauthorized U3R boost for Real Estate (decimal)</t>
  </si>
  <si>
    <t xml:space="preserve">New; some housing roles.</t>
  </si>
  <si>
    <t xml:space="preserve">LSD.RID.0.AL.PARAM.150</t>
  </si>
  <si>
    <t xml:space="preserve">UNAUTH_BOOST_U3R[16]</t>
  </si>
  <si>
    <t xml:space="preserve">Unauthorized U3R boost for Professional Services (decimal)</t>
  </si>
  <si>
    <t xml:space="preserve">New; lowest skill barrier.</t>
  </si>
  <si>
    <t xml:space="preserve">LSD.RID.0.AL.PARAM.151</t>
  </si>
  <si>
    <t xml:space="preserve">UNAUTH_BOOST_U3R[17]</t>
  </si>
  <si>
    <t xml:space="preserve">Unauthorized U3R boost for Administrative (decimal)</t>
  </si>
  <si>
    <t xml:space="preserve">New; high temp/unauth.</t>
  </si>
  <si>
    <t xml:space="preserve">LSD.RID.0.AL.PARAM.152</t>
  </si>
  <si>
    <t xml:space="preserve">UNAUTH_BOOST_U3R[18]</t>
  </si>
  <si>
    <t xml:space="preserve">Unauthorized U3R boost for Educational Services (decimal)</t>
  </si>
  <si>
    <t xml:space="preserve">New; credentialed low.</t>
  </si>
  <si>
    <t xml:space="preserve">LSD.RID.0.AL.PARAM.153</t>
  </si>
  <si>
    <t xml:space="preserve">UNAUTH_BOOST_U3R[19]</t>
  </si>
  <si>
    <t xml:space="preserve">Unauthorized U3R boost for Health Care (decimal)</t>
  </si>
  <si>
    <t xml:space="preserve">New; some aide roles.</t>
  </si>
  <si>
    <t xml:space="preserve">LSD.RID.0.AL.PARAM.154</t>
  </si>
  <si>
    <t xml:space="preserve">UNAUTH_BOOST_U3R[20]</t>
  </si>
  <si>
    <t xml:space="preserve">Unauthorized U3R boost for Arts/Entertainment (decimal)</t>
  </si>
  <si>
    <t xml:space="preserve">New; event/seasonal.</t>
  </si>
  <si>
    <t xml:space="preserve">LSD.RID.0.AL.PARAM.155</t>
  </si>
  <si>
    <t xml:space="preserve">UNAUTH_BOOST_U3R[21]</t>
  </si>
  <si>
    <t xml:space="preserve">Unauthorized U3R boost for Accommodation/Food (decimal)</t>
  </si>
  <si>
    <t xml:space="preserve">New; hospitality high.</t>
  </si>
  <si>
    <t xml:space="preserve">LSD.RID.0.AL.PARAM.156</t>
  </si>
  <si>
    <t xml:space="preserve">UNAUTH_BOOST_U3R[22]</t>
  </si>
  <si>
    <t xml:space="preserve">Unauthorized U3R boost for Other Services (decimal)</t>
  </si>
  <si>
    <t xml:space="preserve">New; repair/diverse manual.</t>
  </si>
  <si>
    <t xml:space="preserve">LSD.RID.0.AL.PARAM.157</t>
  </si>
  <si>
    <t xml:space="preserve">UNAUTH_BOOST_U3R[23]</t>
  </si>
  <si>
    <t xml:space="preserve">Unauthorized U3R boost for Public Administration (decimal)</t>
  </si>
  <si>
    <t xml:space="preserve">New; lowest regulated.</t>
  </si>
  <si>
    <t xml:space="preserve">LSD.RID.0.AL.PARAM.158</t>
  </si>
  <si>
    <t xml:space="preserve">U6R_STATE_TARGET</t>
  </si>
  <si>
    <t xml:space="preserve">AL Statewide U6R target (decimal)</t>
  </si>
  <si>
    <t xml:space="preserve">BLS U-6 Dec 2025 proj. (AL Dept adj)</t>
  </si>
  <si>
    <t xml:space="preserve">New; ~1.67× U3R for low-unemp environment.</t>
  </si>
  <si>
    <t xml:space="preserve">LSD.RID.0.AL.PARAM.159</t>
  </si>
  <si>
    <t xml:space="preserve">U6R_ADJ_GROUP</t>
  </si>
  <si>
    <t xml:space="preserve">General group adjustment for U6R (decimal; higher for immigrants)</t>
  </si>
  <si>
    <t xml:space="preserve">Derived from MPI/ACS underemp patterns</t>
  </si>
  <si>
    <t xml:space="preserve">New; applies to auth/unauth.</t>
  </si>
  <si>
    <t xml:space="preserve">LSD.RID.0.AL.PARAM.160</t>
  </si>
  <si>
    <t xml:space="preserve">INTERDEPEND_FACTOR_U3R_U6R</t>
  </si>
  <si>
    <t xml:space="preserve">Factor for U3R-U6R cross-dependency (decimal)</t>
  </si>
  <si>
    <t xml:space="preserve">Derived from BLS U-6/U3 ratios</t>
  </si>
  <si>
    <t xml:space="preserve">New; bridges U3R to U6R.</t>
  </si>
  <si>
    <t xml:space="preserve">LSD.RID.0.AL.PARAM.161</t>
  </si>
  <si>
    <t xml:space="preserve">INTERDEPEND_FACTOR_LFPR_U6R</t>
  </si>
  <si>
    <t xml:space="preserve">Factor for LFPR-U6R cross-dependency (decimal)</t>
  </si>
  <si>
    <t xml:space="preserve">New; lower LFPR links to higher U6R.</t>
  </si>
  <si>
    <t xml:space="preserve">LSD.RID.0.AL.PARAM.162</t>
  </si>
  <si>
    <t xml:space="preserve">PART_TIME_UNAUTH_RATE_AG</t>
  </si>
  <si>
    <t xml:space="preserve">Unauthorized part-time economic rate for Agriculture (decimal)</t>
  </si>
  <si>
    <t xml:space="preserve">New; higher in manual sectors.</t>
  </si>
  <si>
    <t xml:space="preserve">LSD.RID.0.AL.PARAM.163</t>
  </si>
  <si>
    <t xml:space="preserve">U6R_VARIANCE_SEC[1]</t>
  </si>
  <si>
    <t xml:space="preserve">U6R variance bound for Agriculture (decimal)</t>
  </si>
  <si>
    <t xml:space="preserve">New; higher than U3R due to part-time noise.</t>
  </si>
  <si>
    <t xml:space="preserve">LSD.RID.0.AL.PARAM.164</t>
  </si>
  <si>
    <t xml:space="preserve">U6R_VARIANCE_SEC[2]</t>
  </si>
  <si>
    <t xml:space="preserve">U6R variance bound for Mining (decimal)</t>
  </si>
  <si>
    <t xml:space="preserve">New.</t>
  </si>
  <si>
    <t xml:space="preserve">LSD.RID.0.AL.PARAM.165</t>
  </si>
  <si>
    <t xml:space="preserve">U6R_VARIANCE_SEC[3]</t>
  </si>
  <si>
    <t xml:space="preserve">U6R variance bound for Utilities (decimal)</t>
  </si>
  <si>
    <t xml:space="preserve">LSD.RID.0.AL.PARAM.166</t>
  </si>
  <si>
    <t xml:space="preserve">U6R_VARIANCE_SEC[4]</t>
  </si>
  <si>
    <t xml:space="preserve">U6R variance bound for Construction (decimal)</t>
  </si>
  <si>
    <t xml:space="preserve">LSD.RID.0.AL.PARAM.167</t>
  </si>
  <si>
    <t xml:space="preserve">U6R_VARIANCE_SEC[5]</t>
  </si>
  <si>
    <t xml:space="preserve">U6R variance bound for Manufacturing (Food, Textile) (decimal)</t>
  </si>
  <si>
    <t xml:space="preserve">LSD.RID.0.AL.PARAM.168</t>
  </si>
  <si>
    <t xml:space="preserve">U6R_VARIANCE_SEC[6]</t>
  </si>
  <si>
    <t xml:space="preserve">U6R variance bound for Manufacturing (Wood, Paper) (decimal)</t>
  </si>
  <si>
    <t xml:space="preserve">LSD.RID.0.AL.PARAM.169</t>
  </si>
  <si>
    <t xml:space="preserve">U6R_VARIANCE_SEC[7]</t>
  </si>
  <si>
    <t xml:space="preserve">U6R variance bound for Manufacturing (Machinery, Transport) (decimal)</t>
  </si>
  <si>
    <t xml:space="preserve">LSD.RID.0.AL.PARAM.170</t>
  </si>
  <si>
    <t xml:space="preserve">U6R_VARIANCE_SEC[8]</t>
  </si>
  <si>
    <t xml:space="preserve">U6R variance bound for Wholesale Trade (decimal)</t>
  </si>
  <si>
    <t xml:space="preserve">LSD.RID.0.AL.PARAM.171</t>
  </si>
  <si>
    <t xml:space="preserve">U6R_VARIANCE_SEC[9]</t>
  </si>
  <si>
    <t xml:space="preserve">U6R variance bound for Retail (Motor Vehicle, Electronics) (decimal)</t>
  </si>
  <si>
    <t xml:space="preserve">LSD.RID.0.AL.PARAM.172</t>
  </si>
  <si>
    <t xml:space="preserve">U6R_VARIANCE_SEC[10]</t>
  </si>
  <si>
    <t xml:space="preserve">U6R variance bound for Retail (Food, Clothing) (decimal)</t>
  </si>
  <si>
    <t xml:space="preserve">LSD.RID.0.AL.PARAM.173</t>
  </si>
  <si>
    <t xml:space="preserve">U6R_VARIANCE_SEC[11]</t>
  </si>
  <si>
    <t xml:space="preserve">U6R variance bound for Transportation (decimal)</t>
  </si>
  <si>
    <t xml:space="preserve">LSD.RID.0.AL.PARAM.174</t>
  </si>
  <si>
    <t xml:space="preserve">U6R_VARIANCE_SEC[12]</t>
  </si>
  <si>
    <t xml:space="preserve">U6R variance bound for Warehousing (decimal)</t>
  </si>
  <si>
    <t xml:space="preserve">LSD.RID.0.AL.PARAM.175</t>
  </si>
  <si>
    <t xml:space="preserve">U6R_VARIANCE_SEC[13]</t>
  </si>
  <si>
    <t xml:space="preserve">U6R variance bound for Information (decimal)</t>
  </si>
  <si>
    <t xml:space="preserve">LSD.RID.0.AL.PARAM.176</t>
  </si>
  <si>
    <t xml:space="preserve">U6R_VARIANCE_SEC[14]</t>
  </si>
  <si>
    <t xml:space="preserve">U6R variance bound for Finance (decimal)</t>
  </si>
  <si>
    <t xml:space="preserve">LSD.RID.0.AL.PARAM.177</t>
  </si>
  <si>
    <t xml:space="preserve">U6R_VARIANCE_SEC[15]</t>
  </si>
  <si>
    <t xml:space="preserve">U6R variance bound for Real Estate (decimal)</t>
  </si>
  <si>
    <t xml:space="preserve">LSD.RID.0.AL.PARAM.178</t>
  </si>
  <si>
    <t xml:space="preserve">U6R_VARIANCE_SEC[16]</t>
  </si>
  <si>
    <t xml:space="preserve">U6R variance bound for Professional Services (decimal)</t>
  </si>
  <si>
    <t xml:space="preserve">LSD.RID.0.AL.PARAM.179</t>
  </si>
  <si>
    <t xml:space="preserve">U6R_VARIANCE_SEC[17]</t>
  </si>
  <si>
    <t xml:space="preserve">U6R variance bound for Administrative (decimal)</t>
  </si>
  <si>
    <t xml:space="preserve">LSD.RID.0.AL.PARAM.180</t>
  </si>
  <si>
    <t xml:space="preserve">U6R_VARIANCE_SEC[18]</t>
  </si>
  <si>
    <t xml:space="preserve">U6R variance bound for Educational Services (decimal)</t>
  </si>
  <si>
    <t xml:space="preserve">LSD.RID.0.AL.PARAM.181</t>
  </si>
  <si>
    <t xml:space="preserve">U6R_VARIANCE_SEC[19]</t>
  </si>
  <si>
    <t xml:space="preserve">U6R variance bound for Health Care (decimal)</t>
  </si>
  <si>
    <t xml:space="preserve">LSD.RID.0.AL.PARAM.182</t>
  </si>
  <si>
    <t xml:space="preserve">U6R_VARIANCE_SEC[20]</t>
  </si>
  <si>
    <t xml:space="preserve">U6R variance bound for Arts/Entertainment (decimal)</t>
  </si>
  <si>
    <t xml:space="preserve">LSD.RID.0.AL.PARAM.183</t>
  </si>
  <si>
    <t xml:space="preserve">U6R_VARIANCE_SEC[21]</t>
  </si>
  <si>
    <t xml:space="preserve">U6R variance bound for Accommodation/Food (decimal)</t>
  </si>
  <si>
    <t xml:space="preserve">LSD.RID.0.AL.PARAM.184</t>
  </si>
  <si>
    <t xml:space="preserve">U6R_VARIANCE_SEC[22]</t>
  </si>
  <si>
    <t xml:space="preserve">U6R variance bound for Other Services (decimal)</t>
  </si>
  <si>
    <t xml:space="preserve">LSD.RID.0.AL.PARAM.185</t>
  </si>
  <si>
    <t xml:space="preserve">U6R_VARIANCE_SEC[23]</t>
  </si>
  <si>
    <t xml:space="preserve">U6R variance bound for Public Administration (decimal)</t>
  </si>
  <si>
    <t xml:space="preserve">LSD.RID.0.AL.PARAM.186</t>
  </si>
  <si>
    <t xml:space="preserve">U6R_ASYMM_SEC[1]</t>
  </si>
  <si>
    <t xml:space="preserve">Asymmetry factor for Agriculture in U6R (decimal)</t>
  </si>
  <si>
    <t xml:space="preserve">New; lower for high part-time cyclical.</t>
  </si>
  <si>
    <t xml:space="preserve">LSD.RID.0.AL.PARAM.187</t>
  </si>
  <si>
    <t xml:space="preserve">U6R_ASYMM_SEC[2]</t>
  </si>
  <si>
    <t xml:space="preserve">Asymmetry factor for Mining in U6R (decimal)</t>
  </si>
  <si>
    <t xml:space="preserve">LSD.RID.0.AL.PARAM.188</t>
  </si>
  <si>
    <t xml:space="preserve">U6R_ASYMM_SEC[3]</t>
  </si>
  <si>
    <t xml:space="preserve">Asymmetry factor for Utilities in U6R (decimal)</t>
  </si>
  <si>
    <t xml:space="preserve">LSD.RID.0.AL.PARAM.189</t>
  </si>
  <si>
    <t xml:space="preserve">U6R_ASYMM_SEC[4]</t>
  </si>
  <si>
    <t xml:space="preserve">Asymmetry factor for Construction in U6R (decimal)</t>
  </si>
  <si>
    <t xml:space="preserve">LSD.RID.0.AL.PARAM.190</t>
  </si>
  <si>
    <t xml:space="preserve">U6R_ASYMM_SEC[5]</t>
  </si>
  <si>
    <t xml:space="preserve">Asymmetry factor for Manufacturing (Food, Textile) in U6R (decimal)</t>
  </si>
  <si>
    <t xml:space="preserve">LSD.RID.0.AL.PARAM.191</t>
  </si>
  <si>
    <t xml:space="preserve">U6R_ASYMM_SEC[6]</t>
  </si>
  <si>
    <t xml:space="preserve">Asymmetry factor for Manufacturing (Wood, Paper) in U6R (decimal)</t>
  </si>
  <si>
    <t xml:space="preserve">LSD.RID.0.AL.PARAM.192</t>
  </si>
  <si>
    <t xml:space="preserve">U6R_ASYMM_SEC[7]</t>
  </si>
  <si>
    <t xml:space="preserve">Asymmetry factor for Manufacturing (Machinery, Transport) in U6R (decimal)</t>
  </si>
  <si>
    <t xml:space="preserve">LSD.RID.0.AL.PARAM.193</t>
  </si>
  <si>
    <t xml:space="preserve">U6R_ASYMM_SEC[8]</t>
  </si>
  <si>
    <t xml:space="preserve">Asymmetry factor for Wholesale Trade in U6R (decimal)</t>
  </si>
  <si>
    <t xml:space="preserve">LSD.RID.0.AL.PARAM.194</t>
  </si>
  <si>
    <t xml:space="preserve">U6R_ASYMM_SEC[9]</t>
  </si>
  <si>
    <t xml:space="preserve">Asymmetry factor for Retail (Motor Vehicle, Electronics) in U6R (decimal)</t>
  </si>
  <si>
    <t xml:space="preserve">LSD.RID.0.AL.PARAM.195</t>
  </si>
  <si>
    <t xml:space="preserve">U6R_ASYMM_SEC[10]</t>
  </si>
  <si>
    <t xml:space="preserve">Asymmetry factor for Retail (Food, Clothing) in U6R (decimal)</t>
  </si>
  <si>
    <t xml:space="preserve">LSD.RID.0.AL.PARAM.196</t>
  </si>
  <si>
    <t xml:space="preserve">U6R_ASYMM_SEC[11]</t>
  </si>
  <si>
    <t xml:space="preserve">Asymmetry factor for Transportation in U6R (decimal)</t>
  </si>
  <si>
    <t xml:space="preserve">LSD.RID.0.AL.PARAM.197</t>
  </si>
  <si>
    <t xml:space="preserve">U6R_ASYMM_SEC[12]</t>
  </si>
  <si>
    <t xml:space="preserve">Asymmetry factor for Warehousing in U6R (decimal)</t>
  </si>
  <si>
    <t xml:space="preserve">LSD.RID.0.AL.PARAM.198</t>
  </si>
  <si>
    <t xml:space="preserve">U6R_ASYMM_SEC[13]</t>
  </si>
  <si>
    <t xml:space="preserve">Asymmetry factor for Information in U6R (decimal)</t>
  </si>
  <si>
    <t xml:space="preserve">LSD.RID.0.AL.PARAM.199</t>
  </si>
  <si>
    <t xml:space="preserve">U6R_ASYMM_SEC[14]</t>
  </si>
  <si>
    <t xml:space="preserve">Asymmetry factor for Finance in U6R (decimal)</t>
  </si>
  <si>
    <t xml:space="preserve">LSD.RID.0.AL.PARAM.200</t>
  </si>
  <si>
    <t xml:space="preserve">U6R_ASYMM_SEC[15]</t>
  </si>
  <si>
    <t xml:space="preserve">Asymmetry factor for Real Estate in U6R (decimal)</t>
  </si>
  <si>
    <t xml:space="preserve">LSD.RID.0.AL.PARAM.201</t>
  </si>
  <si>
    <t xml:space="preserve">U6R_ASYMM_SEC[16]</t>
  </si>
  <si>
    <t xml:space="preserve">Asymmetry factor for Professional Services in U6R (decimal)</t>
  </si>
  <si>
    <t xml:space="preserve">LSD.RID.0.AL.PARAM.202</t>
  </si>
  <si>
    <t xml:space="preserve">U6R_ASYMM_SEC[17]</t>
  </si>
  <si>
    <t xml:space="preserve">Asymmetry factor for Administrative in U6R (decimal)</t>
  </si>
  <si>
    <t xml:space="preserve">LSD.RID.0.AL.PARAM.203</t>
  </si>
  <si>
    <t xml:space="preserve">U6R_ASYMM_SEC[18]</t>
  </si>
  <si>
    <t xml:space="preserve">Asymmetry factor for Educational Services in U6R (decimal)</t>
  </si>
  <si>
    <t xml:space="preserve">LSD.RID.0.AL.PARAM.204</t>
  </si>
  <si>
    <t xml:space="preserve">U6R_ASYMM_SEC[19]</t>
  </si>
  <si>
    <t xml:space="preserve">Asymmetry factor for Health Care in U6R (decimal)</t>
  </si>
  <si>
    <t xml:space="preserve">LSD.RID.0.AL.PARAM.205</t>
  </si>
  <si>
    <t xml:space="preserve">U6R_ASYMM_SEC[20]</t>
  </si>
  <si>
    <t xml:space="preserve">Asymmetry factor for Arts/Entertainment in U6R (decimal)</t>
  </si>
  <si>
    <t xml:space="preserve">LSD.RID.0.AL.PARAM.206</t>
  </si>
  <si>
    <t xml:space="preserve">U6R_ASYMM_SEC[21]</t>
  </si>
  <si>
    <t xml:space="preserve">Asymmetry factor for Accommodation/Food in U6R (decimal)</t>
  </si>
  <si>
    <t xml:space="preserve">LSD.RID.0.AL.PARAM.207</t>
  </si>
  <si>
    <t xml:space="preserve">U6R_ASYMM_SEC[22]</t>
  </si>
  <si>
    <t xml:space="preserve">Asymmetry factor for Other Services in U6R (decimal)</t>
  </si>
  <si>
    <t xml:space="preserve">LSD.RID.0.AL.PARAM.208</t>
  </si>
  <si>
    <t xml:space="preserve">U6R_ASYMM_SEC[23]</t>
  </si>
  <si>
    <t xml:space="preserve">Asymmetry factor for Public Administration in U6R (decimal)</t>
  </si>
  <si>
    <t xml:space="preserve">LSD.RID.0.AL.PARAM.209</t>
  </si>
  <si>
    <t xml:space="preserve">UNAUTH_BOOST_U6R[1]</t>
  </si>
  <si>
    <t xml:space="preserve">Unauthorized U6R boost for Agriculture (decimal)</t>
  </si>
  <si>
    <t xml:space="preserve">New; higher for involuntary part-time.</t>
  </si>
  <si>
    <t xml:space="preserve">LSD.RID.0.AL.PARAM.210</t>
  </si>
  <si>
    <t xml:space="preserve">UNAUTH_BOOST_U6R[2]</t>
  </si>
  <si>
    <t xml:space="preserve">Unauthorized U6R boost for Mining (decimal)</t>
  </si>
  <si>
    <t xml:space="preserve">LSD.RID.0.AL.PARAM.211</t>
  </si>
  <si>
    <t xml:space="preserve">UNAUTH_BOOST_U6R[3]</t>
  </si>
  <si>
    <t xml:space="preserve">Unauthorized U6R boost for Utilities (decimal)</t>
  </si>
  <si>
    <t xml:space="preserve">LSD.RID.0.AL.PARAM.212</t>
  </si>
  <si>
    <t xml:space="preserve">UNAUTH_BOOST_U6R[4]</t>
  </si>
  <si>
    <t xml:space="preserve">Unauthorized U6R boost for Construction (decimal)</t>
  </si>
  <si>
    <t xml:space="preserve">LSD.RID.0.AL.PARAM.213</t>
  </si>
  <si>
    <t xml:space="preserve">UNAUTH_BOOST_U6R[5]</t>
  </si>
  <si>
    <t xml:space="preserve">Unauthorized U6R boost for Manufacturing (Food, Textile) (decimal)</t>
  </si>
  <si>
    <t xml:space="preserve">LSD.RID.0.AL.PARAM.214</t>
  </si>
  <si>
    <t xml:space="preserve">UNAUTH_BOOST_U6R[6]</t>
  </si>
  <si>
    <t xml:space="preserve">Unauthorized U6R boost for Manufacturing (Wood, Paper) (decimal)</t>
  </si>
  <si>
    <t xml:space="preserve">LSD.RID.0.AL.PARAM.215</t>
  </si>
  <si>
    <t xml:space="preserve">UNAUTH_BOOST_U6R[7]</t>
  </si>
  <si>
    <t xml:space="preserve">Unauthorized U6R boost for Manufacturing (Machinery, Transport) (decimal)</t>
  </si>
  <si>
    <t xml:space="preserve">LSD.RID.0.AL.PARAM.216</t>
  </si>
  <si>
    <t xml:space="preserve">UNAUTH_BOOST_U6R[8]</t>
  </si>
  <si>
    <t xml:space="preserve">Unauthorized U6R boost for Wholesale Trade (decimal)</t>
  </si>
  <si>
    <t xml:space="preserve">LSD.RID.0.AL.PARAM.217</t>
  </si>
  <si>
    <t xml:space="preserve">UNAUTH_BOOST_U6R[9]</t>
  </si>
  <si>
    <t xml:space="preserve">Unauthorized U6R boost for Retail (Motor Vehicle, Electronics) (decimal)</t>
  </si>
  <si>
    <t xml:space="preserve">LSD.RID.0.AL.PARAM.218</t>
  </si>
  <si>
    <t xml:space="preserve">UNAUTH_BOOST_U6R[10]</t>
  </si>
  <si>
    <t xml:space="preserve">Unauthorized U6R boost for Retail (Food, Clothing) (decimal)</t>
  </si>
  <si>
    <t xml:space="preserve">LSD.RID.0.AL.PARAM.219</t>
  </si>
  <si>
    <t xml:space="preserve">UNAUTH_BOOST_U6R[11]</t>
  </si>
  <si>
    <t xml:space="preserve">Unauthorized U6R boost for Transportation (decimal)</t>
  </si>
  <si>
    <t xml:space="preserve">LSD.RID.0.AL.PARAM.220</t>
  </si>
  <si>
    <t xml:space="preserve">UNAUTH_BOOST_U6R[12]</t>
  </si>
  <si>
    <t xml:space="preserve">Unauthorized U6R boost for Warehousing (decimal)</t>
  </si>
  <si>
    <t xml:space="preserve">LSD.RID.0.AL.PARAM.221</t>
  </si>
  <si>
    <t xml:space="preserve">UNAUTH_BOOST_U6R[13]</t>
  </si>
  <si>
    <t xml:space="preserve">Unauthorized U6R boost for Information (decimal)</t>
  </si>
  <si>
    <t xml:space="preserve">LSD.RID.0.AL.PARAM.222</t>
  </si>
  <si>
    <t xml:space="preserve">UNAUTH_BOOST_U6R[14]</t>
  </si>
  <si>
    <t xml:space="preserve">Unauthorized U6R boost for Finance (decimal)</t>
  </si>
  <si>
    <t xml:space="preserve">LSD.RID.0.AL.PARAM.223</t>
  </si>
  <si>
    <t xml:space="preserve">UNAUTH_BOOST_U6R[15]</t>
  </si>
  <si>
    <t xml:space="preserve">Unauthorized U6R boost for Real Estate (decimal)</t>
  </si>
  <si>
    <t xml:space="preserve">LSD.RID.0.AL.PARAM.224</t>
  </si>
  <si>
    <t xml:space="preserve">UNAUTH_BOOST_U6R[16]</t>
  </si>
  <si>
    <t xml:space="preserve">Unauthorized U6R boost for Professional Services (decimal)</t>
  </si>
  <si>
    <t xml:space="preserve">LSD.RID.0.AL.PARAM.225</t>
  </si>
  <si>
    <t xml:space="preserve">UNAUTH_BOOST_U6R[17]</t>
  </si>
  <si>
    <t xml:space="preserve">Unauthorized U6R boost for Administrative (decimal)</t>
  </si>
  <si>
    <t xml:space="preserve">LSD.RID.0.AL.PARAM.226</t>
  </si>
  <si>
    <t xml:space="preserve">UNAUTH_BOOST_U6R[18]</t>
  </si>
  <si>
    <t xml:space="preserve">Unauthorized U6R boost for Educational Services (decimal)</t>
  </si>
  <si>
    <t xml:space="preserve">LSD.RID.0.AL.PARAM.227</t>
  </si>
  <si>
    <t xml:space="preserve">UNAUTH_BOOST_U6R[19]</t>
  </si>
  <si>
    <t xml:space="preserve">Unauthorized U6R boost for Health Care (decimal)</t>
  </si>
  <si>
    <t xml:space="preserve">LSD.RID.0.AL.PARAM.228</t>
  </si>
  <si>
    <t xml:space="preserve">UNAUTH_BOOST_U6R[20]</t>
  </si>
  <si>
    <t xml:space="preserve">Unauthorized U6R boost for Arts/Entertainment (decimal)</t>
  </si>
  <si>
    <t xml:space="preserve">LSD.RID.0.AL.PARAM.229</t>
  </si>
  <si>
    <t xml:space="preserve">UNAUTH_BOOST_U6R[21]</t>
  </si>
  <si>
    <t xml:space="preserve">Unauthorized U6R boost for Accommodation/Food (decimal)</t>
  </si>
  <si>
    <t xml:space="preserve">New; highest for hospitality part-time.</t>
  </si>
  <si>
    <t xml:space="preserve">LSD.RID.0.AL.PARAM.230</t>
  </si>
  <si>
    <t xml:space="preserve">UNAUTH_BOOST_U6R[22]</t>
  </si>
  <si>
    <t xml:space="preserve">Unauthorized U6R boost for Other Services (decimal)</t>
  </si>
  <si>
    <t xml:space="preserve">LSD.RID.0.AL.PARAM.231</t>
  </si>
  <si>
    <t xml:space="preserve">UNAUTH_BOOST_U6R[23]</t>
  </si>
  <si>
    <t xml:space="preserve">Unauthorized U6R boost for Public Administration (decimal)</t>
  </si>
  <si>
    <t xml:space="preserve">LSD.RID.0.AL.PARAM.232</t>
  </si>
  <si>
    <t xml:space="preserve">OFFICIAL_TNPE_TOTAL</t>
  </si>
  <si>
    <t xml:space="preserve">Official BLS CES Total Nonfarm Payroll Employment, AL, Dec 2025 (SA, persons)</t>
  </si>
  <si>
    <t xml:space="preserve">BLS CES Jan 2026 release</t>
  </si>
  <si>
    <t xml:space="preserve">New; authoritative benchmark</t>
  </si>
  <si>
    <t xml:space="preserve">LSD.RID.0.AL.PARAM.233</t>
  </si>
  <si>
    <t xml:space="preserve">TNPE_HH_FUSION_THRESH</t>
  </si>
  <si>
    <t xml:space="preserve">Threshold for reconciling TNPE vs household employment (decimal)</t>
  </si>
  <si>
    <t xml:space="preserve">New</t>
  </si>
  <si>
    <t xml:space="preserve">LSD.RID.0.AL.PARAM.234</t>
  </si>
  <si>
    <t xml:space="preserve">CES_ACCURACY</t>
  </si>
  <si>
    <t xml:space="preserve">Relative accuracy weight for CES data vs CPS household survey</t>
  </si>
  <si>
    <t xml:space="preserve">BLS methodology comparison</t>
  </si>
  <si>
    <t xml:space="preserve">New; CES far more precise for employment counts</t>
  </si>
  <si>
    <t xml:space="preserve">LSD.RID.0.AL.PARAM.235</t>
  </si>
  <si>
    <t xml:space="preserve">TNPE_VARIANCE_SEC[1]</t>
  </si>
  <si>
    <t xml:space="preserve">Variance bound for Agriculture in TNPE (decimal)</t>
  </si>
  <si>
    <t xml:space="preserve">CES sampling variance</t>
  </si>
  <si>
    <t xml:space="preserve">LSD.RID.0.AL.PARAM.236</t>
  </si>
  <si>
    <t xml:space="preserve">TNPE_VARIANCE_SEC[2]</t>
  </si>
  <si>
    <t xml:space="preserve">Variance bound for Mining in TNPE (decimal)</t>
  </si>
  <si>
    <t xml:space="preserve">LSD.RID.0.AL.PARAM.237</t>
  </si>
  <si>
    <t xml:space="preserve">TNPE_VARIANCE_SEC[3]</t>
  </si>
  <si>
    <t xml:space="preserve">Variance bound for Utilities in TNPE (decimal)</t>
  </si>
  <si>
    <t xml:space="preserve">LSD.RID.0.AL.PARAM.238</t>
  </si>
  <si>
    <t xml:space="preserve">TNPE_VARIANCE_SEC[4]</t>
  </si>
  <si>
    <t xml:space="preserve">Variance bound for Construction in TNPE (decimal)</t>
  </si>
  <si>
    <t xml:space="preserve">LSD.RID.0.AL.PARAM.239</t>
  </si>
  <si>
    <t xml:space="preserve">TNPE_VARIANCE_SEC[5]</t>
  </si>
  <si>
    <t xml:space="preserve">Variance bound for Manufacturing (Food, Textile) in TNPE (decimal)</t>
  </si>
  <si>
    <t xml:space="preserve">LSD.RID.0.AL.PARAM.240</t>
  </si>
  <si>
    <t xml:space="preserve">TNPE_VARIANCE_SEC[6]</t>
  </si>
  <si>
    <t xml:space="preserve">Variance bound for Manufacturing (Wood, Paper) in TNPE (decimal)</t>
  </si>
  <si>
    <t xml:space="preserve">LSD.RID.0.AL.PARAM.241</t>
  </si>
  <si>
    <t xml:space="preserve">TNPE_VARIANCE_SEC[7]</t>
  </si>
  <si>
    <t xml:space="preserve">Variance bound for Manufacturing (Machinery, Transport) in TNPE (decimal)</t>
  </si>
  <si>
    <t xml:space="preserve">LSD.RID.0.AL.PARAM.242</t>
  </si>
  <si>
    <t xml:space="preserve">TNPE_VARIANCE_SEC[8]</t>
  </si>
  <si>
    <t xml:space="preserve">Variance bound for Wholesale Trade in TNPE (decimal)</t>
  </si>
  <si>
    <t xml:space="preserve">LSD.RID.0.AL.PARAM.243</t>
  </si>
  <si>
    <t xml:space="preserve">TNPE_VARIANCE_SEC[9]</t>
  </si>
  <si>
    <t xml:space="preserve">Variance bound for Retail (Motor Vehicle, Electronics) in TNPE (decimal)</t>
  </si>
  <si>
    <t xml:space="preserve">LSD.RID.0.AL.PARAM.244</t>
  </si>
  <si>
    <t xml:space="preserve">TNPE_VARIANCE_SEC[10]</t>
  </si>
  <si>
    <t xml:space="preserve">Variance bound for Retail (Food, Clothing) in TNPE (decimal)</t>
  </si>
  <si>
    <t xml:space="preserve">LSD.RID.0.AL.PARAM.245</t>
  </si>
  <si>
    <t xml:space="preserve">TNPE_VARIANCE_SEC[11]</t>
  </si>
  <si>
    <t xml:space="preserve">Variance bound for Transportation in TNPE (decimal)</t>
  </si>
  <si>
    <t xml:space="preserve">LSD.RID.0.AL.PARAM.246</t>
  </si>
  <si>
    <t xml:space="preserve">TNPE_VARIANCE_SEC[12]</t>
  </si>
  <si>
    <t xml:space="preserve">Variance bound for Warehousing and Storage in TNPE (decimal)</t>
  </si>
  <si>
    <t xml:space="preserve">LSD.RID.0.AL.PARAM.247</t>
  </si>
  <si>
    <t xml:space="preserve">TNPE_VARIANCE_SEC[13]</t>
  </si>
  <si>
    <t xml:space="preserve">Variance bound for Information in TNPE (decimal)</t>
  </si>
  <si>
    <t xml:space="preserve">LSD.RID.0.AL.PARAM.248</t>
  </si>
  <si>
    <t xml:space="preserve">TNPE_VARIANCE_SEC[14]</t>
  </si>
  <si>
    <t xml:space="preserve">Variance bound for Finance and Insurance in TNPE (decimal)</t>
  </si>
  <si>
    <t xml:space="preserve">LSD.RID.0.AL.PARAM.249</t>
  </si>
  <si>
    <t xml:space="preserve">TNPE_VARIANCE_SEC[15]</t>
  </si>
  <si>
    <t xml:space="preserve">Variance bound for Real Estate and Rental in TNPE (decimal)</t>
  </si>
  <si>
    <t xml:space="preserve">LSD.RID.0.AL.PARAM.250</t>
  </si>
  <si>
    <t xml:space="preserve">TNPE_VARIANCE_SEC[16]</t>
  </si>
  <si>
    <t xml:space="preserve">Variance bound for Professional Services in TNPE (decimal)</t>
  </si>
  <si>
    <t xml:space="preserve">LSD.RID.0.AL.PARAM.251</t>
  </si>
  <si>
    <t xml:space="preserve">TNPE_VARIANCE_SEC[17]</t>
  </si>
  <si>
    <t xml:space="preserve">Variance bound for Administrative and Support in TNPE (decimal)</t>
  </si>
  <si>
    <t xml:space="preserve">LSD.RID.0.AL.PARAM.252</t>
  </si>
  <si>
    <t xml:space="preserve">TNPE_VARIANCE_SEC[18]</t>
  </si>
  <si>
    <t xml:space="preserve">Variance bound for Educational Services in TNPE (decimal)</t>
  </si>
  <si>
    <t xml:space="preserve">LSD.RID.0.AL.PARAM.253</t>
  </si>
  <si>
    <t xml:space="preserve">TNPE_VARIANCE_SEC[19]</t>
  </si>
  <si>
    <t xml:space="preserve">Variance bound for Health Care and Social Assistance in TNPE (decimal)</t>
  </si>
  <si>
    <t xml:space="preserve">LSD.RID.0.AL.PARAM.254</t>
  </si>
  <si>
    <t xml:space="preserve">TNPE_VARIANCE_SEC[20]</t>
  </si>
  <si>
    <t xml:space="preserve">Variance bound for Arts, Entertainment, Recreation in TNPE (decimal)</t>
  </si>
  <si>
    <t xml:space="preserve">LSD.RID.0.AL.PARAM.255</t>
  </si>
  <si>
    <t xml:space="preserve">TNPE_VARIANCE_SEC[21]</t>
  </si>
  <si>
    <t xml:space="preserve">Variance bound for Accommodation and Food Services in TNPE (decimal)</t>
  </si>
  <si>
    <t xml:space="preserve">LSD.RID.0.AL.PARAM.256</t>
  </si>
  <si>
    <t xml:space="preserve">TNPE_VARIANCE_SEC[22]</t>
  </si>
  <si>
    <t xml:space="preserve">Variance bound for Other Services in TNPE (decimal)</t>
  </si>
  <si>
    <t xml:space="preserve">LSD.RID.0.AL.PARAM.257</t>
  </si>
  <si>
    <t xml:space="preserve">TNPE_VARIANCE_SEC[23]</t>
  </si>
  <si>
    <t xml:space="preserve">Variance bound for Public Administration in TNPE (decimal)</t>
  </si>
  <si>
    <t xml:space="preserve">TNPE_ASYMM_SEC[2]</t>
  </si>
  <si>
    <t xml:space="preserve">Asymmetry factor for Mining in TNPE (decimal; nonfarm only)</t>
  </si>
  <si>
    <t xml:space="preserve">CES-derived</t>
  </si>
  <si>
    <t xml:space="preserve">New; arrays start at LSID 2.</t>
  </si>
  <si>
    <t xml:space="preserve">LSD.RID.0.AL.PARAM.258</t>
  </si>
  <si>
    <t xml:space="preserve">TNPE_ASYMM_SEC[3]</t>
  </si>
  <si>
    <t xml:space="preserve">Asymmetry factor for Utilities in TNPE (decimal)</t>
  </si>
  <si>
    <t xml:space="preserve">LSD.RID.0.AL.PARAM.259</t>
  </si>
  <si>
    <t xml:space="preserve">TNPE_ASYMM_SEC[4]</t>
  </si>
  <si>
    <t xml:space="preserve">Asymmetry factor for Construction in TNPE (decimal)</t>
  </si>
  <si>
    <t xml:space="preserve">LSD.RID.0.AL.PARAM.260</t>
  </si>
  <si>
    <t xml:space="preserve">TNPE_ASYMM_SEC[5]</t>
  </si>
  <si>
    <t xml:space="preserve">Asymmetry factor for Manufacturing (Food, Textile) in TNPE (decimal)</t>
  </si>
  <si>
    <t xml:space="preserve">LSD.RID.0.AL.PARAM.261</t>
  </si>
  <si>
    <t xml:space="preserve">TNPE_ASYMM_SEC[6]</t>
  </si>
  <si>
    <t xml:space="preserve">Asymmetry factor for Manufacturing (Wood, Paper) in TNPE (decimal)</t>
  </si>
  <si>
    <t xml:space="preserve">LSD.RID.0.AL.PARAM.262</t>
  </si>
  <si>
    <t xml:space="preserve">TNPE_ASYMM_SEC[7]</t>
  </si>
  <si>
    <t xml:space="preserve">Asymmetry factor for Manufacturing (Machinery, Transport) in TNPE (decimal)</t>
  </si>
  <si>
    <t xml:space="preserve">LSD.RID.0.AL.PARAM.263</t>
  </si>
  <si>
    <t xml:space="preserve">TNPE_ASYMM_SEC[8]</t>
  </si>
  <si>
    <t xml:space="preserve">Asymmetry factor for Wholesale Trade in TNPE (decimal)</t>
  </si>
  <si>
    <t xml:space="preserve">LSD.RID.0.AL.PARAM.264</t>
  </si>
  <si>
    <t xml:space="preserve">TNPE_ASYMM_SEC[9]</t>
  </si>
  <si>
    <t xml:space="preserve">Asymmetry factor for Retail (Motor Vehicle, Electronics) in TNPE (decimal)</t>
  </si>
  <si>
    <t xml:space="preserve">LSD.RID.0.AL.PARAM.265</t>
  </si>
  <si>
    <t xml:space="preserve">TNPE_ASYMM_SEC[10]</t>
  </si>
  <si>
    <t xml:space="preserve">Asymmetry factor for Retail (Food, Clothing) in TNPE (decimal)</t>
  </si>
  <si>
    <t xml:space="preserve">LSD.RID.0.AL.PARAM.266</t>
  </si>
  <si>
    <t xml:space="preserve">TNPE_ASYMM_SEC[11]</t>
  </si>
  <si>
    <t xml:space="preserve">Asymmetry factor for Transportation in TNPE (decimal)</t>
  </si>
  <si>
    <t xml:space="preserve">LSD.RID.0.AL.PARAM.267</t>
  </si>
  <si>
    <t xml:space="preserve">TNPE_ASYMM_SEC[12]</t>
  </si>
  <si>
    <t xml:space="preserve">Asymmetry factor for Warehousing and Storage in TNPE (decimal)</t>
  </si>
  <si>
    <t xml:space="preserve">LSD.RID.0.AL.PARAM.268</t>
  </si>
  <si>
    <t xml:space="preserve">TNPE_ASYMM_SEC[13]</t>
  </si>
  <si>
    <t xml:space="preserve">Asymmetry factor for Information in TNPE (decimal)</t>
  </si>
  <si>
    <t xml:space="preserve">LSD.RID.0.AL.PARAM.269</t>
  </si>
  <si>
    <t xml:space="preserve">TNPE_ASYMM_SEC[14]</t>
  </si>
  <si>
    <t xml:space="preserve">Asymmetry factor for Finance and Insurance in TNPE (decimal)</t>
  </si>
  <si>
    <t xml:space="preserve">LSD.RID.0.AL.PARAM.270</t>
  </si>
  <si>
    <t xml:space="preserve">TNPE_ASYMM_SEC[15]</t>
  </si>
  <si>
    <t xml:space="preserve">Asymmetry factor for Real Estate and Rental in TNPE (decimal)</t>
  </si>
  <si>
    <t xml:space="preserve">LSD.RID.0.AL.PARAM.271</t>
  </si>
  <si>
    <t xml:space="preserve">TNPE_ASYMM_SEC[16]</t>
  </si>
  <si>
    <t xml:space="preserve">Asymmetry factor for Professional Services in TNPE (decimal)</t>
  </si>
  <si>
    <t xml:space="preserve">LSD.RID.0.AL.PARAM.272</t>
  </si>
  <si>
    <t xml:space="preserve">TNPE_ASYMM_SEC[17]</t>
  </si>
  <si>
    <t xml:space="preserve">Asymmetry factor for Administrative and Support in TNPE (decimal)</t>
  </si>
  <si>
    <t xml:space="preserve">LSD.RID.0.AL.PARAM.273</t>
  </si>
  <si>
    <t xml:space="preserve">TNPE_ASYMM_SEC[18]</t>
  </si>
  <si>
    <t xml:space="preserve">Asymmetry factor for Educational Services in TNPE (decimal)</t>
  </si>
  <si>
    <t xml:space="preserve">LSD.RID.0.AL.PARAM.274</t>
  </si>
  <si>
    <t xml:space="preserve">TNPE_ASYMM_SEC[19]</t>
  </si>
  <si>
    <t xml:space="preserve">Asymmetry factor for Health Care and Social Assistance in TNPE (decimal)</t>
  </si>
  <si>
    <t xml:space="preserve">LSD.RID.0.AL.PARAM.275</t>
  </si>
  <si>
    <t xml:space="preserve">TNPE_ASYMM_SEC[20]</t>
  </si>
  <si>
    <t xml:space="preserve">Asymmetry factor for Arts, Entertainment, Recreation in TNPE (decimal)</t>
  </si>
  <si>
    <t xml:space="preserve">LSD.RID.0.AL.PARAM.276</t>
  </si>
  <si>
    <t xml:space="preserve">TNPE_ASYMM_SEC[21]</t>
  </si>
  <si>
    <t xml:space="preserve">Asymmetry factor for Accommodation and Food Services in TNPE (decimal)</t>
  </si>
  <si>
    <t xml:space="preserve">LSD.RID.0.AL.PARAM.277</t>
  </si>
  <si>
    <t xml:space="preserve">TNPE_ASYMM_SEC[22]</t>
  </si>
  <si>
    <t xml:space="preserve">Asymmetry factor for Other Services in TNPE (decimal)</t>
  </si>
  <si>
    <t xml:space="preserve">LSD.RID.0.AL.PARAM.278</t>
  </si>
  <si>
    <t xml:space="preserve">TNPE_ASYMM_SEC[23]</t>
  </si>
  <si>
    <t xml:space="preserve">Asymmetry factor for Public Administration in TNPE (decimal)</t>
  </si>
  <si>
    <t xml:space="preserve">LSD.RID.0.AL.PARAM.279</t>
  </si>
  <si>
    <t xml:space="preserve">UNAUTH_TNPE_BOOST_SEC[2]</t>
  </si>
  <si>
    <t xml:space="preserve">Unauthorized TNPE boost for Mining (decimal; nonfarm only)</t>
  </si>
  <si>
    <t xml:space="preserve">LSD.RID.0.AL.PARAM.280</t>
  </si>
  <si>
    <t xml:space="preserve">UNAUTH_TNPE_BOOST_SEC[3]</t>
  </si>
  <si>
    <t xml:space="preserve">Unauthorized TNPE boost for Utilities (decimal)</t>
  </si>
  <si>
    <t xml:space="preserve">LSD.RID.0.AL.PARAM.281</t>
  </si>
  <si>
    <t xml:space="preserve">UNAUTH_TNPE_BOOST_SEC[4]</t>
  </si>
  <si>
    <t xml:space="preserve">Unauthorized TNPE boost for Construction (decimal)</t>
  </si>
  <si>
    <t xml:space="preserve">LSD.RID.0.AL.PARAM.282</t>
  </si>
  <si>
    <t xml:space="preserve">UNAUTH_TNPE_BOOST_SEC[5]</t>
  </si>
  <si>
    <t xml:space="preserve">Unauthorized TNPE boost for Manufacturing (Food, Textile) (decimal)</t>
  </si>
  <si>
    <t xml:space="preserve">LSD.RID.0.AL.PARAM.283</t>
  </si>
  <si>
    <t xml:space="preserve">UNAUTH_TNPE_BOOST_SEC[6]</t>
  </si>
  <si>
    <t xml:space="preserve">Unauthorized TNPE boost for Manufacturing (Wood, Paper) (decimal)</t>
  </si>
  <si>
    <t xml:space="preserve">LSD.RID.0.AL.PARAM.284</t>
  </si>
  <si>
    <t xml:space="preserve">UNAUTH_TNPE_BOOST_SEC[7]</t>
  </si>
  <si>
    <t xml:space="preserve">Unauthorized TNPE boost for Manufacturing (Machinery, Transport) (decimal)</t>
  </si>
  <si>
    <t xml:space="preserve">LSD.RID.0.AL.PARAM.285</t>
  </si>
  <si>
    <t xml:space="preserve">UNAUTH_TNPE_BOOST_SEC[8]</t>
  </si>
  <si>
    <t xml:space="preserve">Unauthorized TNPE boost for Wholesale Trade (decimal)</t>
  </si>
  <si>
    <t xml:space="preserve">LSD.RID.0.AL.PARAM.286</t>
  </si>
  <si>
    <t xml:space="preserve">UNAUTH_TNPE_BOOST_SEC[9]</t>
  </si>
  <si>
    <t xml:space="preserve">Unauthorized TNPE boost for Retail (Motor Vehicle, Electronics) (decimal)</t>
  </si>
  <si>
    <t xml:space="preserve">LSD.RID.0.AL.PARAM.287</t>
  </si>
  <si>
    <t xml:space="preserve">UNAUTH_TNPE_BOOST_SEC[10]</t>
  </si>
  <si>
    <t xml:space="preserve">Unauthorized TNPE boost for Retail (Food, Clothing) (decimal)</t>
  </si>
  <si>
    <t xml:space="preserve">LSD.RID.0.AL.PARAM.288</t>
  </si>
  <si>
    <t xml:space="preserve">UNAUTH_TNPE_BOOST_SEC[11]</t>
  </si>
  <si>
    <t xml:space="preserve">Unauthorized TNPE boost for Transportation (decimal)</t>
  </si>
  <si>
    <t xml:space="preserve">LSD.RID.0.AL.PARAM.289</t>
  </si>
  <si>
    <t xml:space="preserve">UNAUTH_TNPE_BOOST_SEC[12]</t>
  </si>
  <si>
    <t xml:space="preserve">Unauthorized TNPE boost for Warehousing and Storage (decimal)</t>
  </si>
  <si>
    <t xml:space="preserve">LSD.RID.0.AL.PARAM.290</t>
  </si>
  <si>
    <t xml:space="preserve">UNAUTH_TNPE_BOOST_SEC[13]</t>
  </si>
  <si>
    <t xml:space="preserve">Unauthorized TNPE boost for Information (decimal)</t>
  </si>
  <si>
    <t xml:space="preserve">LSD.RID.0.AL.PARAM.291</t>
  </si>
  <si>
    <t xml:space="preserve">UNAUTH_TNPE_BOOST_SEC[14]</t>
  </si>
  <si>
    <t xml:space="preserve">Unauthorized TNPE boost for Finance and Insurance (decimal)</t>
  </si>
  <si>
    <t xml:space="preserve">LSD.RID.0.AL.PARAM.292</t>
  </si>
  <si>
    <t xml:space="preserve">UNAUTH_TNPE_BOOST_SEC[15]</t>
  </si>
  <si>
    <t xml:space="preserve">Unauthorized TNPE boost for Real Estate and Rental (decimal)</t>
  </si>
  <si>
    <t xml:space="preserve">LSD.RID.0.AL.PARAM.293</t>
  </si>
  <si>
    <t xml:space="preserve">UNAUTH_TNPE_BOOST_SEC[16]</t>
  </si>
  <si>
    <t xml:space="preserve">Unauthorized TNPE boost for Professional Services (decimal)</t>
  </si>
  <si>
    <t xml:space="preserve">LSD.RID.0.AL.PARAM.294</t>
  </si>
  <si>
    <t xml:space="preserve">UNAUTH_TNPE_BOOST_SEC[17]</t>
  </si>
  <si>
    <t xml:space="preserve">Unauthorized TNPE boost for Administrative and Support (decimal)</t>
  </si>
  <si>
    <t xml:space="preserve">LSD.RID.0.AL.PARAM.295</t>
  </si>
  <si>
    <t xml:space="preserve">UNAUTH_TNPE_BOOST_SEC[18]</t>
  </si>
  <si>
    <t xml:space="preserve">Unauthorized TNPE boost for Educational Services (decimal)</t>
  </si>
  <si>
    <t xml:space="preserve">LSD.RID.0.AL.PARAM.296</t>
  </si>
  <si>
    <t xml:space="preserve">UNAUTH_TNPE_BOOST_SEC[19]</t>
  </si>
  <si>
    <t xml:space="preserve">Unauthorized TNPE boost for Health Care and Social Assistance (decimal)</t>
  </si>
  <si>
    <t xml:space="preserve">LSD.RID.0.AL.PARAM.297</t>
  </si>
  <si>
    <t xml:space="preserve">UNAUTH_TNPE_BOOST_SEC[20]</t>
  </si>
  <si>
    <t xml:space="preserve">Unauthorized TNPE boost for Arts, Entertainment, Recreation (decimal)</t>
  </si>
  <si>
    <t xml:space="preserve">LSD.RID.0.AL.PARAM.298</t>
  </si>
  <si>
    <t xml:space="preserve">UNAUTH_TNPE_BOOST_SEC[21]</t>
  </si>
  <si>
    <t xml:space="preserve">Unauthorized TNPE boost for Accommodation and Food Services (decimal)</t>
  </si>
  <si>
    <t xml:space="preserve">LSD.RID.0.AL.PARAM.299</t>
  </si>
  <si>
    <t xml:space="preserve">UNAUTH_TNPE_BOOST_SEC[22]</t>
  </si>
  <si>
    <t xml:space="preserve">Unauthorized TNPE boost for Other Services (decimal)</t>
  </si>
  <si>
    <t xml:space="preserve">LSD.RID.0.AL.PARAM.300</t>
  </si>
  <si>
    <t xml:space="preserve">UNAUTH_TNPE_BOOST_SEC[23]</t>
  </si>
  <si>
    <t xml:space="preserve">Unauthorized TNPE boost for Public Administration (decimal)</t>
  </si>
  <si>
    <t xml:space="preserve">LSD.RID.0.AL.PARAM.301</t>
  </si>
  <si>
    <t xml:space="preserve">WAVG_STATE_TARGET</t>
  </si>
  <si>
    <t xml:space="preserve">AL statewide average hourly wage target, private nonfarm (decimal, $/hr)</t>
  </si>
  <si>
    <t xml:space="preserve">BLS CES Dec 2025</t>
  </si>
  <si>
    <t xml:space="preserve">New; benchmark from state CES data (~$1,138 weekly / 35.6 hrs).</t>
  </si>
  <si>
    <t xml:space="preserve">LSD.RID.0.AL.PARAM.302</t>
  </si>
  <si>
    <t xml:space="preserve">WAVG_GROUP_ADJ</t>
  </si>
  <si>
    <t xml:space="preserve">General group adjustment for WAVG (decimal; slight penalty for immigrants)</t>
  </si>
  <si>
    <t xml:space="preserve">Derived from ACS/MPI</t>
  </si>
  <si>
    <t xml:space="preserve">LSD.RID.0.AL.PARAM.303</t>
  </si>
  <si>
    <t xml:space="preserve">INTERDEPEND_FACTOR_TNPE_WAVG</t>
  </si>
  <si>
    <t xml:space="preserve">Factor for TNPE-WAVG cross-dependency (decimal)</t>
  </si>
  <si>
    <t xml:space="preserve">Derived from CES patterns</t>
  </si>
  <si>
    <t xml:space="preserve">New; links employment weights to wage calc.</t>
  </si>
  <si>
    <t xml:space="preserve">LSD.RID.0.AL.PARAM.304</t>
  </si>
  <si>
    <t xml:space="preserve">UNAUTH_WAVG_PENALTY_AG</t>
  </si>
  <si>
    <t xml:space="preserve">Unauthorized wage penalty for Agriculture (decimal; 18% lower)</t>
  </si>
  <si>
    <t xml:space="preserve">New; higher penalty in manual sectors.</t>
  </si>
  <si>
    <t xml:space="preserve">LSD.RID.0.AL.PARAM.305</t>
  </si>
  <si>
    <t xml:space="preserve">WAVG_VARIANCE_SEC[2]</t>
  </si>
  <si>
    <t xml:space="preserve">WAVG variance bound for Mining (decimal; $/hr)</t>
  </si>
  <si>
    <t xml:space="preserve">CES variance</t>
  </si>
  <si>
    <t xml:space="preserve">New; arrays for LSID 2–23 (nonfarm).</t>
  </si>
  <si>
    <t xml:space="preserve">LSD.RID.0.AL.PARAM.306</t>
  </si>
  <si>
    <t xml:space="preserve">WAVG_VARIANCE_SEC[3]</t>
  </si>
  <si>
    <t xml:space="preserve">WAVG variance bound for Utilities (decimal)</t>
  </si>
  <si>
    <t xml:space="preserve">LSD.RID.0.AL.PARAM.307</t>
  </si>
  <si>
    <t xml:space="preserve">WAVG_VARIANCE_SEC[4]</t>
  </si>
  <si>
    <t xml:space="preserve">WAVG variance bound for Construction (decimal)</t>
  </si>
  <si>
    <t xml:space="preserve">LSD.RID.0.AL.PARAM.308</t>
  </si>
  <si>
    <t xml:space="preserve">WAVG_VARIANCE_SEC[5]</t>
  </si>
  <si>
    <t xml:space="preserve">WAVG variance bound for Manufacturing (Food, Textile) (decimal)</t>
  </si>
  <si>
    <t xml:space="preserve">LSD.RID.0.AL.PARAM.309</t>
  </si>
  <si>
    <t xml:space="preserve">WAVG_VARIANCE_SEC[6]</t>
  </si>
  <si>
    <t xml:space="preserve">WAVG variance bound for Manufacturing (Wood, Paper) (decimal)</t>
  </si>
  <si>
    <t xml:space="preserve">LSD.RID.0.AL.PARAM.310</t>
  </si>
  <si>
    <t xml:space="preserve">WAVG_VARIANCE_SEC[7]</t>
  </si>
  <si>
    <t xml:space="preserve">WAVG variance bound for Manufacturing (Machinery, Transport) (decimal)</t>
  </si>
  <si>
    <t xml:space="preserve">LSD.RID.0.AL.PARAM.311</t>
  </si>
  <si>
    <t xml:space="preserve">WAVG_VARIANCE_SEC[8]</t>
  </si>
  <si>
    <t xml:space="preserve">WAVG variance bound for Wholesale Trade (decimal)</t>
  </si>
  <si>
    <t xml:space="preserve">LSD.RID.0.AL.PARAM.312</t>
  </si>
  <si>
    <t xml:space="preserve">WAVG_VARIANCE_SEC[9]</t>
  </si>
  <si>
    <t xml:space="preserve">WAVG variance bound for Retail (Motor Vehicle, Electronics) (decimal)</t>
  </si>
  <si>
    <t xml:space="preserve">LSD.RID.0.AL.PARAM.313</t>
  </si>
  <si>
    <t xml:space="preserve">WAVG_VARIANCE_SEC[10]</t>
  </si>
  <si>
    <t xml:space="preserve">WAVG variance bound for Retail (Food, Clothing) (decimal)</t>
  </si>
  <si>
    <t xml:space="preserve">LSD.RID.0.AL.PARAM.314</t>
  </si>
  <si>
    <t xml:space="preserve">WAVG_VARIANCE_SEC[11]</t>
  </si>
  <si>
    <t xml:space="preserve">WAVG variance bound for Transportation (decimal)</t>
  </si>
  <si>
    <t xml:space="preserve">LSD.RID.0.AL.PARAM.315</t>
  </si>
  <si>
    <t xml:space="preserve">WAVG_VARIANCE_SEC[12]</t>
  </si>
  <si>
    <t xml:space="preserve">WAVG variance bound for Warehousing and Storage (decimal)</t>
  </si>
  <si>
    <t xml:space="preserve">LSD.RID.0.AL.PARAM.316</t>
  </si>
  <si>
    <t xml:space="preserve">WAVG_VARIANCE_SEC[13]</t>
  </si>
  <si>
    <t xml:space="preserve">WAVG variance bound for Information (decimal)</t>
  </si>
  <si>
    <t xml:space="preserve">LSD.RID.0.AL.PARAM.317</t>
  </si>
  <si>
    <t xml:space="preserve">WAVG_VARIANCE_SEC[14]</t>
  </si>
  <si>
    <t xml:space="preserve">WAVG variance bound for Finance and Insurance (decimal)</t>
  </si>
  <si>
    <t xml:space="preserve">LSD.RID.0.AL.PARAM.318</t>
  </si>
  <si>
    <t xml:space="preserve">WAVG_VARIANCE_SEC[15]</t>
  </si>
  <si>
    <t xml:space="preserve">WAVG variance bound for Real Estate and Rental (decimal)</t>
  </si>
  <si>
    <t xml:space="preserve">LSD.RID.0.AL.PARAM.319</t>
  </si>
  <si>
    <t xml:space="preserve">WAVG_VARIANCE_SEC[16]</t>
  </si>
  <si>
    <t xml:space="preserve">WAVG variance bound for Professional Services (decimal)</t>
  </si>
  <si>
    <t xml:space="preserve">LSD.RID.0.AL.PARAM.320</t>
  </si>
  <si>
    <t xml:space="preserve">WAVG_VARIANCE_SEC[17]</t>
  </si>
  <si>
    <t xml:space="preserve">WAVG variance bound for Administrative and Support (decimal)</t>
  </si>
  <si>
    <t xml:space="preserve">LSD.RID.0.AL.PARAM.321</t>
  </si>
  <si>
    <t xml:space="preserve">WAVG_VARIANCE_SEC[18]</t>
  </si>
  <si>
    <t xml:space="preserve">WAVG variance bound for Educational Services (decimal)</t>
  </si>
  <si>
    <t xml:space="preserve">LSD.RID.0.AL.PARAM.322</t>
  </si>
  <si>
    <t xml:space="preserve">WAVG_VARIANCE_SEC[19]</t>
  </si>
  <si>
    <t xml:space="preserve">WAVG variance bound for Health Care and Social Assistance (decimal)</t>
  </si>
  <si>
    <t xml:space="preserve">LSD.RID.0.AL.PARAM.323</t>
  </si>
  <si>
    <t xml:space="preserve">WAVG_VARIANCE_SEC[20]</t>
  </si>
  <si>
    <t xml:space="preserve">WAVG variance bound for Arts, Entertainment, Recreation (decimal)</t>
  </si>
  <si>
    <t xml:space="preserve">LSD.RID.0.AL.PARAM.324</t>
  </si>
  <si>
    <t xml:space="preserve">WAVG_VARIANCE_SEC[21]</t>
  </si>
  <si>
    <t xml:space="preserve">WAVG variance bound for Accommodation and Food Services (decimal)</t>
  </si>
  <si>
    <t xml:space="preserve">LSD.RID.0.AL.PARAM.325</t>
  </si>
  <si>
    <t xml:space="preserve">WAVG_VARIANCE_SEC[22]</t>
  </si>
  <si>
    <t xml:space="preserve">WAVG variance bound for Other Services (decimal)</t>
  </si>
  <si>
    <t xml:space="preserve">LSD.RID.0.AL.PARAM.326</t>
  </si>
  <si>
    <t xml:space="preserve">WAVG_VARIANCE_SEC[23]</t>
  </si>
  <si>
    <t xml:space="preserve">WAVG variance bound for Public Administration (decimal)</t>
  </si>
  <si>
    <t xml:space="preserve">LSD.RID.0.AL.PARAM.327</t>
  </si>
  <si>
    <t xml:space="preserve">WAVG_ASYMM_SEC[2]</t>
  </si>
  <si>
    <t xml:space="preserve">Asymmetry factor for Mining in WAVG (decimal)</t>
  </si>
  <si>
    <t xml:space="preserve">New; arrays for LSID 2–23.</t>
  </si>
  <si>
    <t xml:space="preserve">LSD.RID.0.AL.PARAM.328</t>
  </si>
  <si>
    <t xml:space="preserve">WAVG_ASYMM_SEC[3]</t>
  </si>
  <si>
    <t xml:space="preserve">Asymmetry factor for Utilities in WAVG (decimal)</t>
  </si>
  <si>
    <t xml:space="preserve">LSD.RID.0.AL.PARAM.329</t>
  </si>
  <si>
    <t xml:space="preserve">WAVG_ASYMM_SEC[4]</t>
  </si>
  <si>
    <t xml:space="preserve">Asymmetry factor for Construction in WAVG (decimal)</t>
  </si>
  <si>
    <t xml:space="preserve">LSD.RID.0.AL.PARAM.330</t>
  </si>
  <si>
    <t xml:space="preserve">WAVG_ASYMM_SEC[5]</t>
  </si>
  <si>
    <t xml:space="preserve">Asymmetry factor for Manufacturing (Food, Textile) in WAVG (decimal)</t>
  </si>
  <si>
    <t xml:space="preserve">LSD.RID.0.AL.PARAM.331</t>
  </si>
  <si>
    <t xml:space="preserve">WAVG_ASYMM_SEC[6]</t>
  </si>
  <si>
    <t xml:space="preserve">Asymmetry factor for Manufacturing (Wood, Paper) in WAVG (decimal)</t>
  </si>
  <si>
    <t xml:space="preserve">LSD.RID.0.AL.PARAM.332</t>
  </si>
  <si>
    <t xml:space="preserve">WAVG_ASYMM_SEC[7]</t>
  </si>
  <si>
    <t xml:space="preserve">Asymmetry factor for Manufacturing (Machinery, Transport) in WAVG (decimal)</t>
  </si>
  <si>
    <t xml:space="preserve">LSD.RID.0.AL.PARAM.333</t>
  </si>
  <si>
    <t xml:space="preserve">WAVG_ASYMM_SEC[8]</t>
  </si>
  <si>
    <t xml:space="preserve">Asymmetry factor for Wholesale Trade in WAVG (decimal)</t>
  </si>
  <si>
    <t xml:space="preserve">LSD.RID.0.AL.PARAM.334</t>
  </si>
  <si>
    <t xml:space="preserve">WAVG_ASYMM_SEC[9]</t>
  </si>
  <si>
    <t xml:space="preserve">Asymmetry factor for Retail (Motor Vehicle, Electronics) in WAVG (decimal)</t>
  </si>
  <si>
    <t xml:space="preserve">LSD.RID.0.AL.PARAM.335</t>
  </si>
  <si>
    <t xml:space="preserve">WAVG_ASYMM_SEC[10]</t>
  </si>
  <si>
    <t xml:space="preserve">Asymmetry factor for Retail (Food, Clothing) in WAVG (decimal)</t>
  </si>
  <si>
    <t xml:space="preserve">LSD.RID.0.AL.PARAM.336</t>
  </si>
  <si>
    <t xml:space="preserve">WAVG_ASYMM_SEC[11]</t>
  </si>
  <si>
    <t xml:space="preserve">Asymmetry factor for Transportation in WAVG (decimal)</t>
  </si>
  <si>
    <t xml:space="preserve">LSD.RID.0.AL.PARAM.337</t>
  </si>
  <si>
    <t xml:space="preserve">WAVG_ASYMM_SEC[12]</t>
  </si>
  <si>
    <t xml:space="preserve">Asymmetry factor for Warehousing and Storage in WAVG (decimal)</t>
  </si>
  <si>
    <t xml:space="preserve">LSD.RID.0.AL.PARAM.338</t>
  </si>
  <si>
    <t xml:space="preserve">WAVG_ASYMM_SEC[13]</t>
  </si>
  <si>
    <t xml:space="preserve">Asymmetry factor for Information in WAVG (decimal)</t>
  </si>
  <si>
    <t xml:space="preserve">LSD.RID.0.AL.PARAM.339</t>
  </si>
  <si>
    <t xml:space="preserve">WAVG_ASYMM_SEC[14]</t>
  </si>
  <si>
    <t xml:space="preserve">Asymmetry factor for Finance and Insurance in WAVG (decimal)</t>
  </si>
  <si>
    <t xml:space="preserve">LSD.RID.0.AL.PARAM.340</t>
  </si>
  <si>
    <t xml:space="preserve">WAVG_ASYMM_SEC[15]</t>
  </si>
  <si>
    <t xml:space="preserve">Asymmetry factor for Real Estate and Rental in WAVG (decimal)</t>
  </si>
  <si>
    <t xml:space="preserve">LSD.RID.0.AL.PARAM.341</t>
  </si>
  <si>
    <t xml:space="preserve">WAVG_ASYMM_SEC[16]</t>
  </si>
  <si>
    <t xml:space="preserve">Asymmetry factor for Professional Services in WAVG (decimal)</t>
  </si>
  <si>
    <t xml:space="preserve">LSD.RID.0.AL.PARAM.342</t>
  </si>
  <si>
    <t xml:space="preserve">WAVG_ASYMM_SEC[17]</t>
  </si>
  <si>
    <t xml:space="preserve">Asymmetry factor for Administrative and Support in WAVG (decimal)</t>
  </si>
  <si>
    <t xml:space="preserve">LSD.RID.0.AL.PARAM.343</t>
  </si>
  <si>
    <t xml:space="preserve">WAVG_ASYMM_SEC[18]</t>
  </si>
  <si>
    <t xml:space="preserve">Asymmetry factor for Educational Services in WAVG (decimal)</t>
  </si>
  <si>
    <t xml:space="preserve">LSD.RID.0.AL.PARAM.344</t>
  </si>
  <si>
    <t xml:space="preserve">WAVG_ASYMM_SEC[19]</t>
  </si>
  <si>
    <t xml:space="preserve">Asymmetry factor for Health Care and Social Assistance in WAVG (decimal)</t>
  </si>
  <si>
    <t xml:space="preserve">LSD.RID.0.AL.PARAM.345</t>
  </si>
  <si>
    <t xml:space="preserve">WAVG_ASYMM_SEC[20]</t>
  </si>
  <si>
    <t xml:space="preserve">Asymmetry factor for Arts, Entertainment, Recreation in WAVG (decimal)</t>
  </si>
  <si>
    <t xml:space="preserve">LSD.RID.0.AL.PARAM.346</t>
  </si>
  <si>
    <t xml:space="preserve">WAVG_ASYMM_SEC[21]</t>
  </si>
  <si>
    <t xml:space="preserve">Asymmetry factor for Accommodation and Food Services in WAVG (decimal)</t>
  </si>
  <si>
    <t xml:space="preserve">LSD.RID.0.AL.PARAM.347</t>
  </si>
  <si>
    <t xml:space="preserve">WAVG_ASYMM_SEC[22]</t>
  </si>
  <si>
    <t xml:space="preserve">Asymmetry factor for Other Services in WAVG (decimal)</t>
  </si>
  <si>
    <t xml:space="preserve">LSD.RID.0.AL.PARAM.348</t>
  </si>
  <si>
    <t xml:space="preserve">WAVG_ASYMM_SEC[23]</t>
  </si>
  <si>
    <t xml:space="preserve">Asymmetry factor for Public Administration in WAVG (decimal)</t>
  </si>
  <si>
    <t xml:space="preserve">LSD.RID.0.AL.PARAM.349</t>
  </si>
  <si>
    <t xml:space="preserve">UNAUTH_WAVG_PENALTY[2]</t>
  </si>
  <si>
    <t xml:space="preserve">Unauthorized wage penalty for Mining (decimal)</t>
  </si>
  <si>
    <t xml:space="preserve">LSD.RID.0.AL.PARAM.350</t>
  </si>
  <si>
    <t xml:space="preserve">UNAUTH_WAVG_PENALTY[3]</t>
  </si>
  <si>
    <t xml:space="preserve">Unauthorized wage penalty for Utilities (decimal)</t>
  </si>
  <si>
    <t xml:space="preserve">LSD.RID.0.AL.PARAM.351</t>
  </si>
  <si>
    <t xml:space="preserve">UNAUTH_WAVG_PENALTY[4]</t>
  </si>
  <si>
    <t xml:space="preserve">Unauthorized wage penalty for Construction (decimal)</t>
  </si>
  <si>
    <t xml:space="preserve">LSD.RID.0.AL.PARAM.352</t>
  </si>
  <si>
    <t xml:space="preserve">UNAUTH_WAVG_PENALTY[5]</t>
  </si>
  <si>
    <t xml:space="preserve">Unauthorized wage penalty for Manufacturing (Food, Textile) (decimal)</t>
  </si>
  <si>
    <t xml:space="preserve">LSD.RID.0.AL.PARAM.353</t>
  </si>
  <si>
    <t xml:space="preserve">UNAUTH_WAVG_PENALTY[6]</t>
  </si>
  <si>
    <t xml:space="preserve">Unauthorized wage penalty for Manufacturing (Wood, Paper) (decimal)</t>
  </si>
  <si>
    <t xml:space="preserve">LSD.RID.0.AL.PARAM.354</t>
  </si>
  <si>
    <t xml:space="preserve">UNAUTH_WAVG_PENALTY[7]</t>
  </si>
  <si>
    <t xml:space="preserve">Unauthorized wage penalty for Manufacturing (Machinery, Transport) (decimal)</t>
  </si>
  <si>
    <t xml:space="preserve">LSD.RID.0.AL.PARAM.355</t>
  </si>
  <si>
    <t xml:space="preserve">UNAUTH_WAVG_PENALTY[8]</t>
  </si>
  <si>
    <t xml:space="preserve">Unauthorized wage penalty for Wholesale Trade (decimal)</t>
  </si>
  <si>
    <t xml:space="preserve">LSD.RID.0.AL.PARAM.356</t>
  </si>
  <si>
    <t xml:space="preserve">UNAUTH_WAVG_PENALTY[9]</t>
  </si>
  <si>
    <t xml:space="preserve">Unauthorized wage penalty for Retail (Motor Vehicle, Electronics) (decimal)</t>
  </si>
  <si>
    <t xml:space="preserve">LSD.RID.0.AL.PARAM.357</t>
  </si>
  <si>
    <t xml:space="preserve">UNAUTH_WAVG_PENALTY[10]</t>
  </si>
  <si>
    <t xml:space="preserve">Unauthorized wage penalty for Retail (Food, Clothing) (decimal)</t>
  </si>
  <si>
    <t xml:space="preserve">LSD.RID.0.AL.PARAM.358</t>
  </si>
  <si>
    <t xml:space="preserve">UNAUTH_WAVG_PENALTY[11]</t>
  </si>
  <si>
    <t xml:space="preserve">Unauthorized wage penalty for Transportation (decimal)</t>
  </si>
  <si>
    <t xml:space="preserve">LSD.RID.0.AL.PARAM.359</t>
  </si>
  <si>
    <t xml:space="preserve">UNAUTH_WAVG_PENALTY[12]</t>
  </si>
  <si>
    <t xml:space="preserve">Unauthorized wage penalty for Warehousing and Storage (decimal)</t>
  </si>
  <si>
    <t xml:space="preserve">LSD.RID.0.AL.PARAM.360</t>
  </si>
  <si>
    <t xml:space="preserve">UNAUTH_WAVG_PENALTY[13]</t>
  </si>
  <si>
    <t xml:space="preserve">Unauthorized wage penalty for Information (decimal)</t>
  </si>
  <si>
    <t xml:space="preserve">LSD.RID.0.AL.PARAM.361</t>
  </si>
  <si>
    <t xml:space="preserve">UNAUTH_WAVG_PENALTY[14]</t>
  </si>
  <si>
    <t xml:space="preserve">Unauthorized wage penalty for Finance and Insurance (decimal)</t>
  </si>
  <si>
    <t xml:space="preserve">LSD.RID.0.AL.PARAM.362</t>
  </si>
  <si>
    <t xml:space="preserve">UNAUTH_WAVG_PENALTY[15]</t>
  </si>
  <si>
    <t xml:space="preserve">Unauthorized wage penalty for Real Estate and Rental (decimal)</t>
  </si>
  <si>
    <t xml:space="preserve">LSD.RID.0.AL.PARAM.363</t>
  </si>
  <si>
    <t xml:space="preserve">UNAUTH_WAVG_PENALTY[16]</t>
  </si>
  <si>
    <t xml:space="preserve">Unauthorized wage penalty for Professional Services (decimal)</t>
  </si>
  <si>
    <t xml:space="preserve">LSD.RID.0.AL.PARAM.364</t>
  </si>
  <si>
    <t xml:space="preserve">UNAUTH_WAVG_PENALTY[17]</t>
  </si>
  <si>
    <t xml:space="preserve">Unauthorized wage penalty for Administrative and Support (decimal)</t>
  </si>
  <si>
    <t xml:space="preserve">LSD.RID.0.AL.PARAM.365</t>
  </si>
  <si>
    <t xml:space="preserve">UNAUTH_WAVG_PENALTY[18]</t>
  </si>
  <si>
    <t xml:space="preserve">Unauthorized wage penalty for Educational Services (decimal)</t>
  </si>
  <si>
    <t xml:space="preserve">LSD.RID.0.AL.PARAM.366</t>
  </si>
  <si>
    <t xml:space="preserve">UNAUTH_WAVG_PENALTY[19]</t>
  </si>
  <si>
    <t xml:space="preserve">Unauthorized wage penalty for Health Care and Social Assistance (decimal)</t>
  </si>
  <si>
    <t xml:space="preserve">LSD.RID.0.AL.PARAM.367</t>
  </si>
  <si>
    <t xml:space="preserve">UNAUTH_WAVG_PENALTY[20]</t>
  </si>
  <si>
    <t xml:space="preserve">Unauthorized wage penalty for Arts, Entertainment, Recreation (decimal)</t>
  </si>
  <si>
    <t xml:space="preserve">LSD.RID.0.AL.PARAM.368</t>
  </si>
  <si>
    <t xml:space="preserve">UNAUTH_WAVG_PENALTY[21]</t>
  </si>
  <si>
    <t xml:space="preserve">Unauthorized wage penalty for Accommodation and Food Services (decimal)</t>
  </si>
  <si>
    <t xml:space="preserve">LSD.RID.0.AL.PARAM.369</t>
  </si>
  <si>
    <t xml:space="preserve">UNAUTH_WAVG_PENALTY[22]</t>
  </si>
  <si>
    <t xml:space="preserve">Unauthorized wage penalty for Other Services (decimal)</t>
  </si>
  <si>
    <t xml:space="preserve">LSD.RID.0.AL.PARAM.370</t>
  </si>
  <si>
    <t xml:space="preserve">UNAUTH_WAVG_PENALTY[23]</t>
  </si>
  <si>
    <t xml:space="preserve">Unauthorized wage penalty for Public Administration (decimal)</t>
  </si>
  <si>
    <t xml:space="preserve">LSD.RID.0.AL.PARAM.371</t>
  </si>
  <si>
    <t xml:space="preserve">ETPR_STATE_TARGET</t>
  </si>
  <si>
    <t xml:space="preserve">AL statewide ETPR target (decimal) – now TNPE-aligned</t>
  </si>
  <si>
    <t xml:space="preserve">BLS LAUS / TNPE fusion</t>
  </si>
  <si>
    <t xml:space="preserve">Updated; benchmarked to TNPE employment total</t>
  </si>
  <si>
    <t xml:space="preserve">LSD.RID.0.AL.PARAM.372</t>
  </si>
  <si>
    <t xml:space="preserve">CES/TNPE accuracy weight in fusion (increased from prior value)</t>
  </si>
  <si>
    <t xml:space="preserve">Updated; reflects TNPE's superior precision for employment counts</t>
  </si>
  <si>
    <t xml:space="preserve">LSD.RID.0.AL.PARAM.373</t>
  </si>
  <si>
    <t xml:space="preserve">INTERDEPEND_FACTOR_TNPE_ETPR</t>
  </si>
  <si>
    <t xml:space="preserve">Factor for TNPE-ETPR cross-dependency (decimal)</t>
  </si>
  <si>
    <t xml:space="preserve">Derived from CES/LAUS alignment</t>
  </si>
  <si>
    <t xml:space="preserve">New; strengthens linkage between TNPE payroll and household-derived ETPR</t>
  </si>
  <si>
    <t xml:space="preserve">LSD.RID.0.AL.PARAM.374</t>
  </si>
  <si>
    <t xml:space="preserve">TNPE_GROUP_SHARE_AUTH</t>
  </si>
  <si>
    <t xml:space="preserve">Authorized immigrant share derived from TNPE employment (decimal)</t>
  </si>
  <si>
    <t xml:space="preserve">TNPE + ACS/MPI matrices</t>
  </si>
  <si>
    <t xml:space="preserve">New; used in FORM.26 group adjustment</t>
  </si>
  <si>
    <t xml:space="preserve">LSD.RID.0.AL.PARAM.375</t>
  </si>
  <si>
    <t xml:space="preserve">TNPE_GROUP_SHARE_UNAUTH</t>
  </si>
  <si>
    <t xml:space="preserve">Unauthorized immigrant share derived from TNPE employment (decimal)</t>
  </si>
  <si>
    <t xml:space="preserve">LSD.RID.0.AL.PARAM.376</t>
  </si>
  <si>
    <t xml:space="preserve">ETPR_VARIANCE_SEC[2]</t>
  </si>
  <si>
    <t xml:space="preserve">ETPR variance bound for Mining (TNPE-weighted)</t>
  </si>
  <si>
    <t xml:space="preserve">CES/TNPE-derived</t>
  </si>
  <si>
    <t xml:space="preserve">Updated; variance now uses TNPE employment as weighting base</t>
  </si>
  <si>
    <t xml:space="preserve">LSD.RID.0.AL.PARAM.377</t>
  </si>
  <si>
    <t xml:space="preserve">ETPR_VARIANCE_SEC[3]</t>
  </si>
  <si>
    <t xml:space="preserve">ETPR variance bound for Utilities (TNPE-weighted)</t>
  </si>
  <si>
    <t xml:space="preserve">Updated</t>
  </si>
  <si>
    <t xml:space="preserve">LSD.RID.0.AL.PARAM.378</t>
  </si>
  <si>
    <t xml:space="preserve">ETPR_VARIANCE_SEC[4]</t>
  </si>
  <si>
    <t xml:space="preserve">ETPR variance bound for Construction (TNPE-weighted)</t>
  </si>
  <si>
    <t xml:space="preserve">LSD.RID.0.AL.PARAM.379</t>
  </si>
  <si>
    <t xml:space="preserve">ETPR_VARIANCE_SEC[5]</t>
  </si>
  <si>
    <t xml:space="preserve">ETPR variance bound for Manufacturing (Food, Textile) (TNPE-weighted)</t>
  </si>
  <si>
    <t xml:space="preserve">LSD.RID.0.AL.PARAM.380</t>
  </si>
  <si>
    <t xml:space="preserve">ETPR_VARIANCE_SEC[6]</t>
  </si>
  <si>
    <t xml:space="preserve">ETPR variance bound for Manufacturing (Wood, Paper) (TNPE-weighted)</t>
  </si>
  <si>
    <t xml:space="preserve">LSD.RID.0.AL.PARAM.381</t>
  </si>
  <si>
    <t xml:space="preserve">ETPR_VARIANCE_SEC[7]</t>
  </si>
  <si>
    <t xml:space="preserve">ETPR variance bound for Manufacturing (Machinery, Transport) (TNPE-weighted)</t>
  </si>
  <si>
    <t xml:space="preserve">LSD.RID.0.AL.PARAM.382</t>
  </si>
  <si>
    <t xml:space="preserve">ETPR_VARIANCE_SEC[8]</t>
  </si>
  <si>
    <t xml:space="preserve">ETPR variance bound for Wholesale Trade (TNPE-weighted)</t>
  </si>
  <si>
    <t xml:space="preserve">LSD.RID.0.AL.PARAM.383</t>
  </si>
  <si>
    <t xml:space="preserve">ETPR_VARIANCE_SEC[9]</t>
  </si>
  <si>
    <t xml:space="preserve">ETPR variance bound for Retail (Motor Vehicle, Electronics) (TNPE-weighted)</t>
  </si>
  <si>
    <t xml:space="preserve">LSD.RID.0.AL.PARAM.384</t>
  </si>
  <si>
    <t xml:space="preserve">ETPR_VARIANCE_SEC[10]</t>
  </si>
  <si>
    <t xml:space="preserve">ETPR variance bound for Retail (Food, Clothing) (TNPE-weighted)</t>
  </si>
  <si>
    <t xml:space="preserve">LSD.RID.0.AL.PARAM.385</t>
  </si>
  <si>
    <t xml:space="preserve">ETPR_VARIANCE_SEC[11]</t>
  </si>
  <si>
    <t xml:space="preserve">ETPR variance bound for Transportation (TNPE-weighted)</t>
  </si>
  <si>
    <t xml:space="preserve">LSD.RID.0.AL.PARAM.386</t>
  </si>
  <si>
    <t xml:space="preserve">ETPR_VARIANCE_SEC[12]</t>
  </si>
  <si>
    <t xml:space="preserve">ETPR variance bound for Warehousing and Storage (TNPE-weighted)</t>
  </si>
  <si>
    <t xml:space="preserve">LSD.RID.0.AL.PARAM.387</t>
  </si>
  <si>
    <t xml:space="preserve">ETPR_VARIANCE_SEC[13]</t>
  </si>
  <si>
    <t xml:space="preserve">ETPR variance bound for Information (TNPE-weighted)</t>
  </si>
  <si>
    <t xml:space="preserve">LSD.RID.0.AL.PARAM.388</t>
  </si>
  <si>
    <t xml:space="preserve">ETPR_VARIANCE_SEC[14]</t>
  </si>
  <si>
    <t xml:space="preserve">ETPR variance bound for Finance and Insurance (TNPE-weighted)</t>
  </si>
  <si>
    <t xml:space="preserve">LSD.RID.0.AL.PARAM.389</t>
  </si>
  <si>
    <t xml:space="preserve">ETPR_VARIANCE_SEC[15]</t>
  </si>
  <si>
    <t xml:space="preserve">ETPR variance bound for Real Estate and Rental (TNPE-weighted)</t>
  </si>
  <si>
    <t xml:space="preserve">LSD.RID.0.AL.PARAM.390</t>
  </si>
  <si>
    <t xml:space="preserve">ETPR_VARIANCE_SEC[16]</t>
  </si>
  <si>
    <t xml:space="preserve">ETPR variance bound for Professional Services (TNPE-weighted)</t>
  </si>
  <si>
    <t xml:space="preserve">LSD.RID.0.AL.PARAM.391</t>
  </si>
  <si>
    <t xml:space="preserve">ETPR_VARIANCE_SEC[17]</t>
  </si>
  <si>
    <t xml:space="preserve">ETPR variance bound for Administrative and Support (TNPE-weighted)</t>
  </si>
  <si>
    <t xml:space="preserve">LSD.RID.0.AL.PARAM.392</t>
  </si>
  <si>
    <t xml:space="preserve">ETPR_VARIANCE_SEC[18]</t>
  </si>
  <si>
    <t xml:space="preserve">ETPR variance bound for Educational Services (TNPE-weighted)</t>
  </si>
  <si>
    <t xml:space="preserve">LSD.RID.0.AL.PARAM.393</t>
  </si>
  <si>
    <t xml:space="preserve">ETPR_VARIANCE_SEC[19]</t>
  </si>
  <si>
    <t xml:space="preserve">ETPR variance bound for Health Care and Social Assistance (TNPE-weighted)</t>
  </si>
  <si>
    <t xml:space="preserve">LSD.RID.0.AL.PARAM.394</t>
  </si>
  <si>
    <t xml:space="preserve">ETPR_VARIANCE_SEC[20]</t>
  </si>
  <si>
    <t xml:space="preserve">ETPR variance bound for Arts, Entertainment, Recreation (TNPE-weighted)</t>
  </si>
  <si>
    <t xml:space="preserve">LSD.RID.0.AL.PARAM.395</t>
  </si>
  <si>
    <t xml:space="preserve">ETPR_VARIANCE_SEC[21]</t>
  </si>
  <si>
    <t xml:space="preserve">ETPR variance bound for Accommodation and Food Services (TNPE-weighted)</t>
  </si>
  <si>
    <t xml:space="preserve">LSD.RID.0.AL.PARAM.396</t>
  </si>
  <si>
    <t xml:space="preserve">ETPR_VARIANCE_SEC[22]</t>
  </si>
  <si>
    <t xml:space="preserve">ETPR variance bound for Other Services (TNPE-weighted)</t>
  </si>
  <si>
    <t xml:space="preserve">LSD.RID.0.AL.PARAM.397</t>
  </si>
  <si>
    <t xml:space="preserve">ETPR_VARIANCE_SEC[23]</t>
  </si>
  <si>
    <t xml:space="preserve">ETPR variance bound for Public Administration (TNPE-weighted)</t>
  </si>
  <si>
    <t xml:space="preserve">LSD.RID.0.AL.PARAM.398</t>
  </si>
  <si>
    <t xml:space="preserve">GROUP_LFPR_ADJ</t>
  </si>
  <si>
    <t xml:space="preserve">General group LFPR adjustment factor</t>
  </si>
  <si>
    <t xml:space="preserve">LSD.RID.0.AL.PARAM.399</t>
  </si>
  <si>
    <t xml:space="preserve">LAUS_ACCURACY</t>
  </si>
  <si>
    <t xml:space="preserve">LAUS weight in LFPR reconciliation</t>
  </si>
  <si>
    <t xml:space="preserve">BLS methodology</t>
  </si>
  <si>
    <t xml:space="preserve">LSD.RID.0.AL.PARAM.400</t>
  </si>
  <si>
    <t xml:space="preserve">BASE_LFPR_SEC[0]</t>
  </si>
  <si>
    <t xml:space="preserve">Base LFPR All Industries (overall)</t>
  </si>
  <si>
    <t xml:space="preserve">BLS LAUS Dec 2025</t>
  </si>
  <si>
    <t xml:space="preserve">New; confirmed 57.7% statewide</t>
  </si>
  <si>
    <t xml:space="preserve">LSD.RID.0.AL.PARAM.401</t>
  </si>
  <si>
    <t xml:space="preserve">BASE_LFPR_SEC[1]</t>
  </si>
  <si>
    <t xml:space="preserve">Base LFPR Agriculture, Forestry, Fishing</t>
  </si>
  <si>
    <t xml:space="preserve">CPS/ACS derived</t>
  </si>
  <si>
    <t xml:space="preserve">LSD.RID.0.AL.PARAM.402</t>
  </si>
  <si>
    <t xml:space="preserve">BASE_LFPR_SEC[2]</t>
  </si>
  <si>
    <t xml:space="preserve">Base LFPR Mining, Quarrying, Oil/Gas</t>
  </si>
  <si>
    <t xml:space="preserve">LSD.RID.0.AL.PARAM.403</t>
  </si>
  <si>
    <t xml:space="preserve">BASE_LFPR_SEC[3]</t>
  </si>
  <si>
    <t xml:space="preserve">Base LFPR Utilities</t>
  </si>
  <si>
    <t xml:space="preserve">LSD.RID.0.AL.PARAM.404</t>
  </si>
  <si>
    <t xml:space="preserve">BASE_LFPR_SEC[4]</t>
  </si>
  <si>
    <t xml:space="preserve">Base LFPR Construction</t>
  </si>
  <si>
    <t xml:space="preserve">LSD.RID.0.AL.PARAM.405</t>
  </si>
  <si>
    <t xml:space="preserve">ADJ_FACTOR_LFPR[1]</t>
  </si>
  <si>
    <t xml:space="preserve">Adjustment factor for LFPR in Agriculture</t>
  </si>
  <si>
    <t xml:space="preserve">Internal variance reconciliation</t>
  </si>
  <si>
    <t xml:space="preserve">New; higher for seasonal volatility</t>
  </si>
  <si>
    <t xml:space="preserve">LSD.RID.0.AL.PARAM.406</t>
  </si>
  <si>
    <t xml:space="preserve">Base LFPR for Construction (TNPE-weighted)</t>
  </si>
  <si>
    <t xml:space="preserve">BLS CPS/ACS derived</t>
  </si>
  <si>
    <t xml:space="preserve">LSD.RID.0.AL.PARAM.407</t>
  </si>
  <si>
    <t xml:space="preserve">BASE_LFPR_SEC[5]</t>
  </si>
  <si>
    <t xml:space="preserve">Base LFPR for Manufacturing (Food,Textile, etc.) (TNPE-weighted)</t>
  </si>
  <si>
    <t xml:space="preserve">LSD.RID.0.AL.PARAM.408</t>
  </si>
  <si>
    <t xml:space="preserve">BASE_LFPR_SEC[6]</t>
  </si>
  <si>
    <t xml:space="preserve">Base LFPR for Manufacturing (Wood,Paper, Printing, etc.) (TNPE-weighted)</t>
  </si>
  <si>
    <t xml:space="preserve">LSD.RID.0.AL.PARAM.409</t>
  </si>
  <si>
    <t xml:space="preserve">BASE_LFPR_SEC[7]</t>
  </si>
  <si>
    <t xml:space="preserve">Base LFPR for Manufacturing (Machinery, Transport) (TNPE-weighted)</t>
  </si>
  <si>
    <t xml:space="preserve">LSD.RID.0.AL.PARAM.410</t>
  </si>
  <si>
    <t xml:space="preserve">BASE_LFPR_SEC[8]</t>
  </si>
  <si>
    <t xml:space="preserve">Base LFPR for Wholesale Trade (TNPE-weighted)</t>
  </si>
  <si>
    <t xml:space="preserve">LSD.RID.0.AL.PARAM.411</t>
  </si>
  <si>
    <t xml:space="preserve">BASE_LFPR_SEC[9]</t>
  </si>
  <si>
    <t xml:space="preserve">Base LFPR for Retail Trade (Motor Vehicle, Electronics) (TNPE-weighted)</t>
  </si>
  <si>
    <t xml:space="preserve">LSD.RID.0.AL.PARAM.412</t>
  </si>
  <si>
    <t xml:space="preserve">BASE_LFPR_SEC[10]</t>
  </si>
  <si>
    <t xml:space="preserve">Base LFPR for Retail Trade (Food, Clothing, General Merchandise, etc.) (TNPE-weighted)</t>
  </si>
  <si>
    <t xml:space="preserve">LSD.RID.0.AL.PARAM.413</t>
  </si>
  <si>
    <t xml:space="preserve">BASE_LFPR_SEC[11]</t>
  </si>
  <si>
    <t xml:space="preserve">Base LFPR for Transportation (TNPE-weighted)</t>
  </si>
  <si>
    <t xml:space="preserve">LSD.RID.0.AL.PARAM.414</t>
  </si>
  <si>
    <t xml:space="preserve">BASE_LFPR_SEC[12]</t>
  </si>
  <si>
    <t xml:space="preserve">Base LFPR for Warehousing and Storage (TNPE-weighted)</t>
  </si>
  <si>
    <t xml:space="preserve">LSD.RID.0.AL.PARAM.415</t>
  </si>
  <si>
    <t xml:space="preserve">BASE_LFPR_SEC[13]</t>
  </si>
  <si>
    <t xml:space="preserve">Base LFPR for Information (TNPE-weighted)</t>
  </si>
  <si>
    <t xml:space="preserve">LSD.RID.0.AL.PARAM.416</t>
  </si>
  <si>
    <t xml:space="preserve">BASE_LFPR_SEC[14]</t>
  </si>
  <si>
    <t xml:space="preserve">Base LFPR for Finance and Insurance (TNPE-weighted)</t>
  </si>
  <si>
    <t xml:space="preserve">LSD.RID.0.AL.PARAM.417</t>
  </si>
  <si>
    <t xml:space="preserve">BASE_LFPR_SEC[15]</t>
  </si>
  <si>
    <t xml:space="preserve">Base LFPR for Real Estate and Rental and Leasing (TNPE-weighted)</t>
  </si>
  <si>
    <t xml:space="preserve">LSD.RID.0.AL.PARAM.418</t>
  </si>
  <si>
    <t xml:space="preserve">BASE_LFPR_SEC[16]</t>
  </si>
  <si>
    <t xml:space="preserve">Base LFPR for Professional, Scientific, and Technical Services (TNPE-weighted)</t>
  </si>
  <si>
    <t xml:space="preserve">LSD.RID.0.AL.PARAM.419</t>
  </si>
  <si>
    <t xml:space="preserve">BASE_LFPR_SEC[17]</t>
  </si>
  <si>
    <t xml:space="preserve">Base LFPR for Administrative and Support and Waste Management and Remediation Services (TNPE-weighted)</t>
  </si>
  <si>
    <t xml:space="preserve">LSD.RID.0.AL.PARAM.420</t>
  </si>
  <si>
    <t xml:space="preserve">BASE_LFPR_SEC[18]</t>
  </si>
  <si>
    <t xml:space="preserve">Base LFPR for Educational Services (TNPE-weighted)</t>
  </si>
  <si>
    <t xml:space="preserve">LSD.RID.0.AL.PARAM.421</t>
  </si>
  <si>
    <t xml:space="preserve">BASE_LFPR_SEC[19]</t>
  </si>
  <si>
    <t xml:space="preserve">Base LFPR for Health Care and Social Assistance (TNPE-weighted)</t>
  </si>
  <si>
    <t xml:space="preserve">LSD.RID.0.AL.PARAM.422</t>
  </si>
  <si>
    <t xml:space="preserve">BASE_LFPR_SEC[20]</t>
  </si>
  <si>
    <t xml:space="preserve">Base LFPR for Arts, Entertainment, and Recreation (TNPE-weighted)</t>
  </si>
  <si>
    <t xml:space="preserve">LSD.RID.0.AL.PARAM.423</t>
  </si>
  <si>
    <t xml:space="preserve">BASE_LFPR_SEC[21]</t>
  </si>
  <si>
    <t xml:space="preserve">Base LFPR for Accommodation and Food Services (TNPE-weighted)</t>
  </si>
  <si>
    <t xml:space="preserve">LSD.RID.0.AL.PARAM.424</t>
  </si>
  <si>
    <t xml:space="preserve">BASE_LFPR_SEC[22]</t>
  </si>
  <si>
    <t xml:space="preserve">Base LFPR for Other Services (except Public Administration) (TNPE-weighted)</t>
  </si>
  <si>
    <t xml:space="preserve">LSD.RID.0.AL.PARAM.425</t>
  </si>
  <si>
    <t xml:space="preserve">BASE_LFPR_SEC[23]</t>
  </si>
  <si>
    <t xml:space="preserve">Base LFPR for Public Administration (TNPE-weighted)</t>
  </si>
  <si>
    <t xml:space="preserve">LSD.RID.0.AL.PARAM.426</t>
  </si>
  <si>
    <t xml:space="preserve">ADJ_FACTOR_LFPR[0]</t>
  </si>
  <si>
    <t xml:space="preserve">LFPR adjustment All Industries</t>
  </si>
  <si>
    <t xml:space="preserve">Internal reconcil.</t>
  </si>
  <si>
    <t xml:space="preserve">LSD.RID.0.AL.PARAM.427</t>
  </si>
  <si>
    <t xml:space="preserve">LFPR adjustment Agriculture</t>
  </si>
  <si>
    <t xml:space="preserve">LSD.RID.0.AL.PARAM.428</t>
  </si>
  <si>
    <t xml:space="preserve">ADJ_FACTOR_LFPR[4]</t>
  </si>
  <si>
    <t xml:space="preserve">Adjustment factor for LFPR in Construction</t>
  </si>
  <si>
    <t xml:space="preserve">New; medium for cyclical</t>
  </si>
  <si>
    <t xml:space="preserve">LSD.RID.0.AL.PARAM.429</t>
  </si>
  <si>
    <t xml:space="preserve">ADJ_FACTOR_LFPR[5]</t>
  </si>
  <si>
    <t xml:space="preserve">Adjustment factor for LFPR in Manufacturing (Food,Textile, etc.)</t>
  </si>
  <si>
    <t xml:space="preserve">LSD.RID.0.AL.PARAM.430</t>
  </si>
  <si>
    <t xml:space="preserve">ADJ_FACTOR_LFPR[6]</t>
  </si>
  <si>
    <t xml:space="preserve">Adjustment factor for LFPR in Manufacturing (Wood,Paper, Printing, etc.)</t>
  </si>
  <si>
    <t xml:space="preserve">LSD.RID.0.AL.PARAM.431</t>
  </si>
  <si>
    <t xml:space="preserve">ADJ_FACTOR_LFPR[7]</t>
  </si>
  <si>
    <t xml:space="preserve">Adjustment factor for LFPR in Manufacturing (Machinery, Transport)</t>
  </si>
  <si>
    <t xml:space="preserve">LSD.RID.0.AL.PARAM.432</t>
  </si>
  <si>
    <t xml:space="preserve">ADJ_FACTOR_LFPR[8]</t>
  </si>
  <si>
    <t xml:space="preserve">Adjustment factor for LFPR in Wholesale Trade</t>
  </si>
  <si>
    <t xml:space="preserve">LSD.RID.0.AL.PARAM.433</t>
  </si>
  <si>
    <t xml:space="preserve">ADJ_FACTOR_LFPR[9]</t>
  </si>
  <si>
    <t xml:space="preserve">Adjustment factor for LFPR in Retail Trade (Motor Vehicle, Electronics)</t>
  </si>
  <si>
    <t xml:space="preserve">LSD.RID.0.AL.PARAM.434</t>
  </si>
  <si>
    <t xml:space="preserve">ADJ_FACTOR_LFPR[10]</t>
  </si>
  <si>
    <t xml:space="preserve">Adjustment factor for LFPR in Retail Trade (Food, Clothing, General Merchandise, etc.)</t>
  </si>
  <si>
    <t xml:space="preserve">LSD.RID.0.AL.PARAM.435</t>
  </si>
  <si>
    <t xml:space="preserve">ADJ_FACTOR_LFPR[11]</t>
  </si>
  <si>
    <t xml:space="preserve">Adjustment factor for LFPR in Transportation</t>
  </si>
  <si>
    <t xml:space="preserve">LSD.RID.0.AL.PARAM.436</t>
  </si>
  <si>
    <t xml:space="preserve">ADJ_FACTOR_LFPR[12]</t>
  </si>
  <si>
    <t xml:space="preserve">Adjustment factor for LFPR in Warehousing and Storage</t>
  </si>
  <si>
    <t xml:space="preserve">LSD.RID.0.AL.PARAM.437</t>
  </si>
  <si>
    <t xml:space="preserve">ADJ_FACTOR_LFPR[13]</t>
  </si>
  <si>
    <t xml:space="preserve">Adjustment factor for LFPR in Information</t>
  </si>
  <si>
    <t xml:space="preserve">LSD.RID.0.AL.PARAM.438</t>
  </si>
  <si>
    <t xml:space="preserve">ADJ_FACTOR_LFPR[14]</t>
  </si>
  <si>
    <t xml:space="preserve">Adjustment factor for LFPR in Finance and Insurance</t>
  </si>
  <si>
    <t xml:space="preserve">LSD.RID.0.AL.PARAM.439</t>
  </si>
  <si>
    <t xml:space="preserve">ADJ_FACTOR_LFPR[15]</t>
  </si>
  <si>
    <t xml:space="preserve">Adjustment factor for LFPR in Real Estate and Rental and Leasing</t>
  </si>
  <si>
    <t xml:space="preserve">LSD.RID.0.AL.PARAM.440</t>
  </si>
  <si>
    <t xml:space="preserve">ADJ_FACTOR_LFPR[16]</t>
  </si>
  <si>
    <t xml:space="preserve">Adjustment factor for LFPR in Professional, Scientific, and Technical Services</t>
  </si>
  <si>
    <t xml:space="preserve">LSD.RID.0.AL.PARAM.441</t>
  </si>
  <si>
    <t xml:space="preserve">ADJ_FACTOR_LFPR[17]</t>
  </si>
  <si>
    <t xml:space="preserve">Adjustment factor for LFPR in Administrative and Support and Waste Management and Remediation Services</t>
  </si>
  <si>
    <t xml:space="preserve">LSD.RID.0.AL.PARAM.442</t>
  </si>
  <si>
    <t xml:space="preserve">ADJ_FACTOR_LFPR[18]</t>
  </si>
  <si>
    <t xml:space="preserve">Adjustment factor for LFPR in Educational Services</t>
  </si>
  <si>
    <t xml:space="preserve">LSD.RID.0.AL.PARAM.443</t>
  </si>
  <si>
    <t xml:space="preserve">ADJ_FACTOR_LFPR[19]</t>
  </si>
  <si>
    <t xml:space="preserve">Adjustment factor for LFPR in Health Care and Social Assistance</t>
  </si>
  <si>
    <t xml:space="preserve">LSD.RID.0.AL.PARAM.444</t>
  </si>
  <si>
    <t xml:space="preserve">ADJ_FACTOR_LFPR[20]</t>
  </si>
  <si>
    <t xml:space="preserve">Adjustment factor for LFPR in Arts, Entertainment, and Recreation</t>
  </si>
  <si>
    <t xml:space="preserve">LSD.RID.0.AL.PARAM.445</t>
  </si>
  <si>
    <t xml:space="preserve">ADJ_FACTOR_LFPR[21]</t>
  </si>
  <si>
    <t xml:space="preserve">Adjustment factor for LFPR in Accommodation and Food Services</t>
  </si>
  <si>
    <t xml:space="preserve">LSD.RID.0.AL.PARAM.446</t>
  </si>
  <si>
    <t xml:space="preserve">ADJ_FACTOR_LFPR[22]</t>
  </si>
  <si>
    <t xml:space="preserve">Adjustment factor for LFPR in Other Services (except Public Administration)</t>
  </si>
  <si>
    <t xml:space="preserve">LSD.RID.0.AL.PARAM.447</t>
  </si>
  <si>
    <t xml:space="preserve">ADJ_FACTOR_LFPR[23]</t>
  </si>
  <si>
    <t xml:space="preserve">Adjustment factor for LFPR in Public Administration</t>
  </si>
  <si>
    <t xml:space="preserve">LSD.RID.0.AL.PARAM.448</t>
  </si>
  <si>
    <t xml:space="preserve">VARIANCE_CHECK_LFPR[0]</t>
  </si>
  <si>
    <t xml:space="preserve">Variance check All Industries</t>
  </si>
  <si>
    <t xml:space="preserve">LSD.RID.0.AL.PARAM.449</t>
  </si>
  <si>
    <t xml:space="preserve">VARIANCE_CHECK_LFPR[1]</t>
  </si>
  <si>
    <t xml:space="preserve">Variance check for LFPR in Agriculture, Forestry, Fishing and Hunting</t>
  </si>
  <si>
    <t xml:space="preserve">LSD.RID.0.AL.PARAM.450</t>
  </si>
  <si>
    <t xml:space="preserve">VARIANCE_CHECK_LFPR[2]</t>
  </si>
  <si>
    <t xml:space="preserve">Variance check for LFPR in Mining, Quarrying, and Oil and Gas Extraction</t>
  </si>
  <si>
    <t xml:space="preserve">LSD.RID.0.AL.PARAM.451</t>
  </si>
  <si>
    <t xml:space="preserve">VARIANCE_CHECK_LFPR[3]</t>
  </si>
  <si>
    <t xml:space="preserve">Variance check for LFPR in Utilities</t>
  </si>
  <si>
    <t xml:space="preserve">LSD.RID.0.AL.PARAM.452</t>
  </si>
  <si>
    <t xml:space="preserve">VARIANCE_CHECK_LFPR[4]</t>
  </si>
  <si>
    <t xml:space="preserve">Variance check for LFPR in Construction</t>
  </si>
  <si>
    <t xml:space="preserve">LSD.RID.0.AL.PARAM.453</t>
  </si>
  <si>
    <t xml:space="preserve">VARIANCE_CHECK_LFPR[5]</t>
  </si>
  <si>
    <t xml:space="preserve">Variance check for LFPR in Manufacturing (Food,Textile, etc.)</t>
  </si>
  <si>
    <t xml:space="preserve">LSD.RID.0.AL.PARAM.454</t>
  </si>
  <si>
    <t xml:space="preserve">VARIANCE_CHECK_LFPR[6]</t>
  </si>
  <si>
    <t xml:space="preserve">Variance check for LFPR in Manufacturing (Wood,Paper, Printing, etc.)</t>
  </si>
  <si>
    <t xml:space="preserve">LSD.RID.0.AL.PARAM.455</t>
  </si>
  <si>
    <t xml:space="preserve">VARIANCE_CHECK_LFPR[7]</t>
  </si>
  <si>
    <t xml:space="preserve">Variance check for LFPR in Manufacturing (Machinery, Transport)</t>
  </si>
  <si>
    <t xml:space="preserve">LSD.RID.0.AL.PARAM.456</t>
  </si>
  <si>
    <t xml:space="preserve">VARIANCE_CHECK_LFPR[8]</t>
  </si>
  <si>
    <t xml:space="preserve">Variance check for LFPR in Wholesale Trade</t>
  </si>
  <si>
    <t xml:space="preserve">LSD.RID.0.AL.PARAM.457</t>
  </si>
  <si>
    <t xml:space="preserve">VARIANCE_CHECK_LFPR[9]</t>
  </si>
  <si>
    <t xml:space="preserve">Variance check for LFPR in Retail Trade (Motor Vehicle, Electronics)</t>
  </si>
  <si>
    <t xml:space="preserve">LSD.RID.0.AL.PARAM.458</t>
  </si>
  <si>
    <t xml:space="preserve">VARIANCE_CHECK_LFPR[10]</t>
  </si>
  <si>
    <t xml:space="preserve">Variance check for LFPR in Retail Trade (Food, Clothing, General Merchandise, etc.)</t>
  </si>
  <si>
    <t xml:space="preserve">LSD.RID.0.AL.PARAM.459</t>
  </si>
  <si>
    <t xml:space="preserve">VARIANCE_CHECK_LFPR[11]</t>
  </si>
  <si>
    <t xml:space="preserve">Variance check for LFPR in Transportation</t>
  </si>
  <si>
    <t xml:space="preserve">LSD.RID.0.AL.PARAM.460</t>
  </si>
  <si>
    <t xml:space="preserve">VARIANCE_CHECK_LFPR[12]</t>
  </si>
  <si>
    <t xml:space="preserve">Variance check for LFPR in Warehousing and Storage</t>
  </si>
  <si>
    <t xml:space="preserve">LSD.RID.0.AL.PARAM.461</t>
  </si>
  <si>
    <t xml:space="preserve">VARIANCE_CHECK_LFPR[13]</t>
  </si>
  <si>
    <t xml:space="preserve">Variance check for LFPR in Information</t>
  </si>
  <si>
    <t xml:space="preserve">LSD.RID.0.AL.PARAM.462</t>
  </si>
  <si>
    <t xml:space="preserve">VARIANCE_CHECK_LFPR[14]</t>
  </si>
  <si>
    <t xml:space="preserve">Variance check for LFPR in Finance and Insurance</t>
  </si>
  <si>
    <t xml:space="preserve">LSD.RID.0.AL.PARAM.463</t>
  </si>
  <si>
    <t xml:space="preserve">VARIANCE_CHECK_LFPR[15]</t>
  </si>
  <si>
    <t xml:space="preserve">Variance check for LFPR in Real Estate and Rental and Leasing</t>
  </si>
  <si>
    <t xml:space="preserve">LSD.RID.0.AL.PARAM.464</t>
  </si>
  <si>
    <t xml:space="preserve">VARIANCE_CHECK_LFPR[16]</t>
  </si>
  <si>
    <t xml:space="preserve">Variance check for LFPR in Professional, Scientific, and Technical Services</t>
  </si>
  <si>
    <t xml:space="preserve">LSD.RID.0.AL.PARAM.465</t>
  </si>
  <si>
    <t xml:space="preserve">VARIANCE_CHECK_LFPR[17]</t>
  </si>
  <si>
    <t xml:space="preserve">Variance check for LFPR in Administrative and Support and Waste Management and Remediation Services</t>
  </si>
  <si>
    <t xml:space="preserve">LSD.RID.0.AL.PARAM.466</t>
  </si>
  <si>
    <t xml:space="preserve">VARIANCE_CHECK_LFPR[18]</t>
  </si>
  <si>
    <t xml:space="preserve">Variance check for LFPR in Educational Services</t>
  </si>
  <si>
    <t xml:space="preserve">LSD.RID.0.AL.PARAM.467</t>
  </si>
  <si>
    <t xml:space="preserve">VARIANCE_CHECK_LFPR[19]</t>
  </si>
  <si>
    <t xml:space="preserve">Variance check for LFPR in Health Care and Social Assistance</t>
  </si>
  <si>
    <t xml:space="preserve">LSD.RID.0.AL.PARAM.468</t>
  </si>
  <si>
    <t xml:space="preserve">VARIANCE_CHECK_LFPR[20]</t>
  </si>
  <si>
    <t xml:space="preserve">Variance check for LFPR in Arts, Entertainment, and Recreation</t>
  </si>
  <si>
    <t xml:space="preserve">LSD.RID.0.AL.PARAM.469</t>
  </si>
  <si>
    <t xml:space="preserve">VARIANCE_CHECK_LFPR[21]</t>
  </si>
  <si>
    <t xml:space="preserve">Variance check for LFPR in Accommodation and Food Services</t>
  </si>
  <si>
    <t xml:space="preserve">LSD.RID.0.AL.PARAM.470</t>
  </si>
  <si>
    <t xml:space="preserve">VARIANCE_CHECK_LFPR[22]</t>
  </si>
  <si>
    <t xml:space="preserve">Variance check for LFPR in Other Services (except Public Administration)</t>
  </si>
  <si>
    <t xml:space="preserve">LSD.RID.0.AL.PARAM.471</t>
  </si>
  <si>
    <t xml:space="preserve">VARIANCE_CHECK_LFPR[23]</t>
  </si>
  <si>
    <t xml:space="preserve">Variance check for LFPR in Public Administration</t>
  </si>
  <si>
    <t xml:space="preserve">LSD.RID.0.AL.PARAM.472</t>
  </si>
  <si>
    <t xml:space="preserve">UNAUTH_LFPR_BOOST_SEC[0]</t>
  </si>
  <si>
    <t xml:space="preserve">Unauthorized LFPR boost All Industries</t>
  </si>
  <si>
    <t xml:space="preserve">LSD.RID.0.AL.PARAM.473</t>
  </si>
  <si>
    <t xml:space="preserve">UNAUTH_LFPR_BOOST_SEC[1]</t>
  </si>
  <si>
    <t xml:space="preserve">Unauthorized LFPR boost factor for Agriculture, Forestry, Fishing and Hunting</t>
  </si>
  <si>
    <t xml:space="preserve">LSD.RID.0.AL.PARAM.474</t>
  </si>
  <si>
    <t xml:space="preserve">UNAUTH_LFPR_BOOST_SEC[2]</t>
  </si>
  <si>
    <t xml:space="preserve">Unauthorized LFPR boost factor for Mining, Quarrying, and Oil and Gas Extraction</t>
  </si>
  <si>
    <t xml:space="preserve">LSD.RID.0.AL.PARAM.475</t>
  </si>
  <si>
    <t xml:space="preserve">UNAUTH_LFPR_BOOST_SEC[3]</t>
  </si>
  <si>
    <t xml:space="preserve">Unauthorized LFPR boost factor for Utilities</t>
  </si>
  <si>
    <t xml:space="preserve">LSD.RID.0.AL.PARAM.476</t>
  </si>
  <si>
    <t xml:space="preserve">UNAUTH_LFPR_BOOST_SEC[4]</t>
  </si>
  <si>
    <t xml:space="preserve">Unauthorized LFPR boost factor for Construction</t>
  </si>
  <si>
    <t xml:space="preserve">LSD.RID.0.AL.PARAM.477</t>
  </si>
  <si>
    <t xml:space="preserve">UNAUTH_LFPR_BOOST_SEC[5]</t>
  </si>
  <si>
    <t xml:space="preserve">Unauthorized LFPR boost factor for Manufacturing (Food,Textile, etc.)</t>
  </si>
  <si>
    <t xml:space="preserve">LSD.RID.0.AL.PARAM.478</t>
  </si>
  <si>
    <t xml:space="preserve">UNAUTH_LFPR_BOOST_SEC[6]</t>
  </si>
  <si>
    <t xml:space="preserve">Unauthorized LFPR boost factor for Manufacturing (Wood,Paper, Printing, etc.)</t>
  </si>
  <si>
    <t xml:space="preserve">LSD.RID.0.AL.PARAM.479</t>
  </si>
  <si>
    <t xml:space="preserve">UNAUTH_LFPR_BOOST_SEC[7]</t>
  </si>
  <si>
    <t xml:space="preserve">Unauthorized LFPR boost factor for Manufacturing (Machinery, Transport)</t>
  </si>
  <si>
    <t xml:space="preserve">LSD.RID.0.AL.PARAM.480</t>
  </si>
  <si>
    <t xml:space="preserve">UNAUTH_LFPR_BOOST_SEC[8]</t>
  </si>
  <si>
    <t xml:space="preserve">Unauthorized LFPR boost factor for Wholesale Trade</t>
  </si>
  <si>
    <t xml:space="preserve">LSD.RID.0.AL.PARAM.481</t>
  </si>
  <si>
    <t xml:space="preserve">UNAUTH_LFPR_BOOST_SEC[9]</t>
  </si>
  <si>
    <t xml:space="preserve">Unauthorized LFPR boost factor for Retail Trade (Motor Vehicle, Electronics)</t>
  </si>
  <si>
    <t xml:space="preserve">LSD.RID.0.AL.PARAM.482</t>
  </si>
  <si>
    <t xml:space="preserve">UNAUTH_LFPR_BOOST_SEC[10]</t>
  </si>
  <si>
    <t xml:space="preserve">Unauthorized LFPR boost factor for Retail Trade (Food, Clothing, General Merchandise, etc.)</t>
  </si>
  <si>
    <t xml:space="preserve">LSD.RID.0.AL.PARAM.483</t>
  </si>
  <si>
    <t xml:space="preserve">UNAUTH_LFPR_BOOST_SEC[11]</t>
  </si>
  <si>
    <t xml:space="preserve">Unauthorized LFPR boost factor for Transportation</t>
  </si>
  <si>
    <t xml:space="preserve">LSD.RID.0.AL.PARAM.484</t>
  </si>
  <si>
    <t xml:space="preserve">UNAUTH_LFPR_BOOST_SEC[12]</t>
  </si>
  <si>
    <t xml:space="preserve">Unauthorized LFPR boost factor for Warehousing and Storage</t>
  </si>
  <si>
    <t xml:space="preserve">LSD.RID.0.AL.PARAM.485</t>
  </si>
  <si>
    <t xml:space="preserve">UNAUTH_LFPR_BOOST_SEC[13]</t>
  </si>
  <si>
    <t xml:space="preserve">Unauthorized LFPR boost factor for Information</t>
  </si>
  <si>
    <t xml:space="preserve">LSD.RID.0.AL.PARAM.486</t>
  </si>
  <si>
    <t xml:space="preserve">UNAUTH_LFPR_BOOST_SEC[14]</t>
  </si>
  <si>
    <t xml:space="preserve">Unauthorized LFPR boost factor for Finance and Insurance</t>
  </si>
  <si>
    <t xml:space="preserve">LSD.RID.0.AL.PARAM.487</t>
  </si>
  <si>
    <t xml:space="preserve">UNAUTH_LFPR_BOOST_SEC[15]</t>
  </si>
  <si>
    <t xml:space="preserve">Unauthorized LFPR boost factor for Real Estate and Rental and Leasing</t>
  </si>
  <si>
    <t xml:space="preserve">LSD.RID.0.AL.PARAM.488</t>
  </si>
  <si>
    <t xml:space="preserve">UNAUTH_LFPR_BOOST_SEC[16]</t>
  </si>
  <si>
    <t xml:space="preserve">Unauthorized LFPR boost factor for Professional, Scientific, and Technical Services</t>
  </si>
  <si>
    <t xml:space="preserve">LSD.RID.0.AL.PARAM.489</t>
  </si>
  <si>
    <t xml:space="preserve">UNAUTH_LFPR_BOOST_SEC[17]</t>
  </si>
  <si>
    <t xml:space="preserve">Unauthorized LFPR boost factor for Administrative and Support and Waste Management and Remediation Services</t>
  </si>
  <si>
    <t xml:space="preserve">LSD.RID.0.AL.PARAM.490</t>
  </si>
  <si>
    <t xml:space="preserve">UNAUTH_LFPR_BOOST_SEC[18]</t>
  </si>
  <si>
    <t xml:space="preserve">Unauthorized LFPR boost factor for Educational Services</t>
  </si>
  <si>
    <t xml:space="preserve">LSD.RID.0.AL.PARAM.491</t>
  </si>
  <si>
    <t xml:space="preserve">UNAUTH_LFPR_BOOST_SEC[19]</t>
  </si>
  <si>
    <t xml:space="preserve">Unauthorized LFPR boost factor for Health Care and Social Assistance</t>
  </si>
  <si>
    <t xml:space="preserve">LSD.RID.0.AL.PARAM.492</t>
  </si>
  <si>
    <t xml:space="preserve">UNAUTH_LFPR_BOOST_SEC[20]</t>
  </si>
  <si>
    <t xml:space="preserve">Unauthorized LFPR boost factor for Arts, Entertainment, and Recreation</t>
  </si>
  <si>
    <t xml:space="preserve">LSD.RID.0.AL.PARAM.493</t>
  </si>
  <si>
    <t xml:space="preserve">UNAUTH_LFPR_BOOST_SEC[21]</t>
  </si>
  <si>
    <t xml:space="preserve">Unauthorized LFPR boost factor for Accommodation and Food Services</t>
  </si>
  <si>
    <t xml:space="preserve">LSD.RID.0.AL.PARAM.494</t>
  </si>
  <si>
    <t xml:space="preserve">UNAUTH_LFPR_BOOST_SEC[22]</t>
  </si>
  <si>
    <t xml:space="preserve">Unauthorized LFPR boost factor for Other Services (except Public Administration)</t>
  </si>
  <si>
    <t xml:space="preserve">LSD.RID.0.AL.PARAM.495</t>
  </si>
  <si>
    <t xml:space="preserve">UNAUTH_LFPR_BOOST_SEC[23]</t>
  </si>
  <si>
    <t xml:space="preserve">Unauthorized LFPR boost factor for Public Administration</t>
  </si>
  <si>
    <t xml:space="preserve">LSD.RID.0.AL.PARAM.496</t>
  </si>
  <si>
    <t xml:space="preserve">LFPR_VARIANCE_SEC[0]</t>
  </si>
  <si>
    <t xml:space="preserve">LFPR variance bound for All Industries (TNPE-weighted)</t>
  </si>
  <si>
    <t xml:space="preserve">LSD.RID.0.AL.PARAM.497</t>
  </si>
  <si>
    <t xml:space="preserve">LFPR_VARIANCE_SEC[1]</t>
  </si>
  <si>
    <t xml:space="preserve">LFPR variance bound for Agriculture, Forestry, Fishing and Hunting (TNPE-weighted)</t>
  </si>
  <si>
    <t xml:space="preserve">LSD.RID.0.AL.PARAM.498</t>
  </si>
  <si>
    <t xml:space="preserve">LFPR_VARIANCE_SEC[2]</t>
  </si>
  <si>
    <t xml:space="preserve">LFPR variance Mining (TNPE-weighted)</t>
  </si>
  <si>
    <t xml:space="preserve">LSD.RID.0.AL.PARAM.499</t>
  </si>
  <si>
    <t xml:space="preserve">LFPR_VARIANCE_SEC[3]</t>
  </si>
  <si>
    <t xml:space="preserve">LFPR variance bound for Utilities (TNPE-weighted)</t>
  </si>
  <si>
    <t xml:space="preserve">LSD.RID.0.AL.PARAM.500</t>
  </si>
  <si>
    <t xml:space="preserve">LFPR_VARIANCE_SEC[4]</t>
  </si>
  <si>
    <t xml:space="preserve">LFPR variance bound for Construction (TNPE-weighted)</t>
  </si>
  <si>
    <t xml:space="preserve">LSD.RID.0.AL.PARAM.501</t>
  </si>
  <si>
    <t xml:space="preserve">LFPR_VARIANCE_SEC[5]</t>
  </si>
  <si>
    <t xml:space="preserve">LFPR variance bound for Manufacturing (Food,Textile, etc.) (TNPE-weighted)</t>
  </si>
  <si>
    <t xml:space="preserve">LSD.RID.0.AL.PARAM.502</t>
  </si>
  <si>
    <t xml:space="preserve">LFPR_VARIANCE_SEC[6]</t>
  </si>
  <si>
    <t xml:space="preserve">LFPR variance bound for Manufacturing (Wood,Paper, Printing, etc.) (TNPE-weighted)</t>
  </si>
  <si>
    <t xml:space="preserve">LSD.RID.0.AL.PARAM.503</t>
  </si>
  <si>
    <t xml:space="preserve">LFPR_VARIANCE_SEC[7]</t>
  </si>
  <si>
    <t xml:space="preserve">LFPR variance bound for Manufacturing (Machinery, Transport) (TNPE-weighted)</t>
  </si>
  <si>
    <t xml:space="preserve">LSD.RID.0.AL.PARAM.504</t>
  </si>
  <si>
    <t xml:space="preserve">LFPR_VARIANCE_SEC[8]</t>
  </si>
  <si>
    <t xml:space="preserve">LFPR variance bound for Wholesale Trade (TNPE-weighted)</t>
  </si>
  <si>
    <t xml:space="preserve">LSD.RID.0.AL.PARAM.505</t>
  </si>
  <si>
    <t xml:space="preserve">LFPR_VARIANCE_SEC[9]</t>
  </si>
  <si>
    <t xml:space="preserve">LFPR variance bound for Retail Trade (Motor Vehicle, Electronics) (TNPE-weighted)</t>
  </si>
  <si>
    <t xml:space="preserve">LSD.RID.0.AL.PARAM.506</t>
  </si>
  <si>
    <t xml:space="preserve">LFPR_VARIANCE_SEC[10]</t>
  </si>
  <si>
    <t xml:space="preserve">LFPR variance bound for Retail Trade (Food, Clothing, General Merchandise, etc.) (TNPE-weighted)</t>
  </si>
  <si>
    <t xml:space="preserve">LSD.RID.0.AL.PARAM.507</t>
  </si>
  <si>
    <t xml:space="preserve">LFPR_VARIANCE_SEC[11]</t>
  </si>
  <si>
    <t xml:space="preserve">LFPR variance bound for Transportation (TNPE-weighted)</t>
  </si>
  <si>
    <t xml:space="preserve">LSD.RID.0.AL.PARAM.508</t>
  </si>
  <si>
    <t xml:space="preserve">LFPR_VARIANCE_SEC[12]</t>
  </si>
  <si>
    <t xml:space="preserve">LFPR variance bound for Warehousing and Storage (TNPE-weighted)</t>
  </si>
  <si>
    <t xml:space="preserve">LSD.RID.0.AL.PARAM.509</t>
  </si>
  <si>
    <t xml:space="preserve">LFPR_VARIANCE_SEC[13]</t>
  </si>
  <si>
    <t xml:space="preserve">LFPR variance bound for Information (TNPE-weighted)</t>
  </si>
  <si>
    <t xml:space="preserve">LSD.RID.0.AL.PARAM.510</t>
  </si>
  <si>
    <t xml:space="preserve">LFPR_VARIANCE_SEC[14]</t>
  </si>
  <si>
    <t xml:space="preserve">LFPR variance bound for Finance and Insurance (TNPE-weighted)</t>
  </si>
  <si>
    <t xml:space="preserve">LSD.RID.0.AL.PARAM.511</t>
  </si>
  <si>
    <t xml:space="preserve">LFPR_VARIANCE_SEC[15]</t>
  </si>
  <si>
    <t xml:space="preserve">LFPR variance bound for Real Estate and Rental and Leasing (TNPE-weighted)</t>
  </si>
  <si>
    <t xml:space="preserve">LSD.RID.0.AL.PARAM.512</t>
  </si>
  <si>
    <t xml:space="preserve">LFPR_VARIANCE_SEC[16]</t>
  </si>
  <si>
    <t xml:space="preserve">LFPR variance bound for Professional, Scientific, and Technical Services (TNPE-weighted)</t>
  </si>
  <si>
    <t xml:space="preserve">LSD.RID.0.AL.PARAM.513</t>
  </si>
  <si>
    <t xml:space="preserve">LFPR_VARIANCE_SEC[17]</t>
  </si>
  <si>
    <t xml:space="preserve">LFPR variance bound for Administrative and Support and Waste Management and Remediation Services (TNPE-weighted)</t>
  </si>
  <si>
    <t xml:space="preserve">LSD.RID.0.AL.PARAM.514</t>
  </si>
  <si>
    <t xml:space="preserve">LFPR_VARIANCE_SEC[18]</t>
  </si>
  <si>
    <t xml:space="preserve">LFPR variance bound for Educational Services (TNPE-weighted)</t>
  </si>
  <si>
    <t xml:space="preserve">LSD.RID.0.AL.PARAM.515</t>
  </si>
  <si>
    <t xml:space="preserve">LFPR_VARIANCE_SEC[19]</t>
  </si>
  <si>
    <t xml:space="preserve">LFPR variance bound for Health Care and Social Assistance (TNPE-weighted)</t>
  </si>
  <si>
    <t xml:space="preserve">LSD.RID.0.AL.PARAM.516</t>
  </si>
  <si>
    <t xml:space="preserve">LFPR_VARIANCE_SEC[20]</t>
  </si>
  <si>
    <t xml:space="preserve">LFPR variance bound for Arts, Entertainment, and Recreation (TNPE-weighted)</t>
  </si>
  <si>
    <t xml:space="preserve">LSD.RID.0.AL.PARAM.517</t>
  </si>
  <si>
    <t xml:space="preserve">LFPR_VARIANCE_SEC[21]</t>
  </si>
  <si>
    <t xml:space="preserve">LFPR variance bound for Accommodation and Food Services (TNPE-weighted)</t>
  </si>
  <si>
    <t xml:space="preserve">LSD.RID.0.AL.PARAM.518</t>
  </si>
  <si>
    <t xml:space="preserve">LFPR_VARIANCE_SEC[22]</t>
  </si>
  <si>
    <t xml:space="preserve">LFPR variance bound for Other Services (except Public Administration) (TNPE-weighted)</t>
  </si>
  <si>
    <t xml:space="preserve">LSD.RID.0.AL.PARAM.519</t>
  </si>
  <si>
    <t xml:space="preserve">LFPR_VARIANCE_SEC[23]</t>
  </si>
  <si>
    <t xml:space="preserve">LFPR variance bound for Public Administration (TNPE-weighted)</t>
  </si>
  <si>
    <t xml:space="preserve">LSD.RID.0.AL.PARAM.520</t>
  </si>
  <si>
    <t xml:space="preserve">SOURCE_CONFIDENCE[0]</t>
  </si>
  <si>
    <t xml:space="preserve">Source confidence All Industries</t>
  </si>
  <si>
    <t xml:space="preserve">LSD.RID.0.AL.PARAM.521</t>
  </si>
  <si>
    <t xml:space="preserve">SOURCE_CONFIDENCE[1]</t>
  </si>
  <si>
    <t xml:space="preserve">Source confidence for LFPR in Agriculture, Forestry, Fishing and Hunting</t>
  </si>
  <si>
    <t xml:space="preserve">LSD.RID.0.AL.PARAM.522</t>
  </si>
  <si>
    <t xml:space="preserve">SOURCE_CONFIDENCE[2]</t>
  </si>
  <si>
    <t xml:space="preserve">Source confidence for LFPR in Mining, Quarrying, and Oil and Gas Extraction</t>
  </si>
  <si>
    <t xml:space="preserve">LSD.RID.0.AL.PARAM.523</t>
  </si>
  <si>
    <t xml:space="preserve">SOURCE_CONFIDENCE[3]</t>
  </si>
  <si>
    <t xml:space="preserve">Source confidence for LFPR in Utilities</t>
  </si>
  <si>
    <t xml:space="preserve">LSD.RID.0.AL.PARAM.524</t>
  </si>
  <si>
    <t xml:space="preserve">SOURCE_CONFIDENCE[4]</t>
  </si>
  <si>
    <t xml:space="preserve">Source confidence for LFPR in Construction</t>
  </si>
  <si>
    <t xml:space="preserve">LSD.RID.0.AL.PARAM.525</t>
  </si>
  <si>
    <t xml:space="preserve">SOURCE_CONFIDENCE[5]</t>
  </si>
  <si>
    <t xml:space="preserve">Source confidence for LFPR in Manufacturing (Food,Textile, etc.)</t>
  </si>
  <si>
    <t xml:space="preserve">LSD.RID.0.AL.PARAM.526</t>
  </si>
  <si>
    <t xml:space="preserve">SOURCE_CONFIDENCE[6]</t>
  </si>
  <si>
    <t xml:space="preserve">Source confidence for LFPR in Manufacturing (Wood,Paper, Printing, etc.)</t>
  </si>
  <si>
    <t xml:space="preserve">LSD.RID.0.AL.PARAM.527</t>
  </si>
  <si>
    <t xml:space="preserve">SOURCE_CONFIDENCE[7]</t>
  </si>
  <si>
    <t xml:space="preserve">Source confidence for LFPR in Manufacturing (Machinery, Transport)</t>
  </si>
  <si>
    <t xml:space="preserve">LSD.RID.0.AL.PARAM.528</t>
  </si>
  <si>
    <t xml:space="preserve">SOURCE_CONFIDENCE[8]</t>
  </si>
  <si>
    <t xml:space="preserve">Source confidence for LFPR in Wholesale Trade</t>
  </si>
  <si>
    <t xml:space="preserve">LSD.RID.0.AL.PARAM.529</t>
  </si>
  <si>
    <t xml:space="preserve">SOURCE_CONFIDENCE[9]</t>
  </si>
  <si>
    <t xml:space="preserve">Source confidence for LFPR in Retail Trade (Motor Vehicle, Electronics)</t>
  </si>
  <si>
    <t xml:space="preserve">LSD.RID.0.AL.PARAM.530</t>
  </si>
  <si>
    <t xml:space="preserve">SOURCE_CONFIDENCE[10]</t>
  </si>
  <si>
    <t xml:space="preserve">Source confidence for LFPR in Retail Trade (Food, Clothing, General Merchandise, etc.)</t>
  </si>
  <si>
    <t xml:space="preserve">LSD.RID.0.AL.PARAM.531</t>
  </si>
  <si>
    <t xml:space="preserve">SOURCE_CONFIDENCE[11]</t>
  </si>
  <si>
    <t xml:space="preserve">Source confidence for LFPR in Transportation</t>
  </si>
  <si>
    <t xml:space="preserve">LSD.RID.0.AL.PARAM.532</t>
  </si>
  <si>
    <t xml:space="preserve">SOURCE_CONFIDENCE[12]</t>
  </si>
  <si>
    <t xml:space="preserve">Source confidence for LFPR in Warehousing and Storage</t>
  </si>
  <si>
    <t xml:space="preserve">LSD.RID.0.AL.PARAM.533</t>
  </si>
  <si>
    <t xml:space="preserve">SOURCE_CONFIDENCE[13]</t>
  </si>
  <si>
    <t xml:space="preserve">Source confidence for LFPR in Information</t>
  </si>
  <si>
    <t xml:space="preserve">LSD.RID.0.AL.PARAM.534</t>
  </si>
  <si>
    <t xml:space="preserve">SOURCE_CONFIDENCE[14]</t>
  </si>
  <si>
    <t xml:space="preserve">Source confidence for LFPR in Finance and Insurance</t>
  </si>
  <si>
    <t xml:space="preserve">LSD.RID.0.AL.PARAM.535</t>
  </si>
  <si>
    <t xml:space="preserve">SOURCE_CONFIDENCE[15]</t>
  </si>
  <si>
    <t xml:space="preserve">Source confidence for LFPR in Real Estate and Rental and Leasing</t>
  </si>
  <si>
    <t xml:space="preserve">LSD.RID.0.AL.PARAM.536</t>
  </si>
  <si>
    <t xml:space="preserve">SOURCE_CONFIDENCE[16]</t>
  </si>
  <si>
    <t xml:space="preserve">Source confidence for LFPR in Professional, Scientific, and Technical Services</t>
  </si>
  <si>
    <t xml:space="preserve">LSD.RID.0.AL.PARAM.537</t>
  </si>
  <si>
    <t xml:space="preserve">SOURCE_CONFIDENCE[17]</t>
  </si>
  <si>
    <t xml:space="preserve">Source confidence for LFPR in Administrative and Support and Waste Management and Remediation Services</t>
  </si>
  <si>
    <t xml:space="preserve">LSD.RID.0.AL.PARAM.538</t>
  </si>
  <si>
    <t xml:space="preserve">SOURCE_CONFIDENCE[18]</t>
  </si>
  <si>
    <t xml:space="preserve">Source confidence for LFPR in Educational Services</t>
  </si>
  <si>
    <t xml:space="preserve">LSD.RID.0.AL.PARAM.539</t>
  </si>
  <si>
    <t xml:space="preserve">SOURCE_CONFIDENCE[19]</t>
  </si>
  <si>
    <t xml:space="preserve">Source confidence for LFPR in Health Care and Social Assistance</t>
  </si>
  <si>
    <t xml:space="preserve">LSD.RID.0.AL.PARAM.540</t>
  </si>
  <si>
    <t xml:space="preserve">SOURCE_CONFIDENCE[20]</t>
  </si>
  <si>
    <t xml:space="preserve">Source confidence for LFPR in Arts, Entertainment, and Recreation</t>
  </si>
  <si>
    <t xml:space="preserve">LSD.RID.0.AL.PARAM.541</t>
  </si>
  <si>
    <t xml:space="preserve">SOURCE_CONFIDENCE[21]</t>
  </si>
  <si>
    <t xml:space="preserve">Source confidence for LFPR in Accommodation and Food Services</t>
  </si>
  <si>
    <t xml:space="preserve">LSD.RID.0.AL.PARAM.542</t>
  </si>
  <si>
    <t xml:space="preserve">SOURCE_CONFIDENCE[22]</t>
  </si>
  <si>
    <t xml:space="preserve">Source confidence for LFPR in Other Services (except Public Administration)</t>
  </si>
  <si>
    <t xml:space="preserve">LSD.RID.0.AL.PARAM.543</t>
  </si>
  <si>
    <t xml:space="preserve">SOURCE_CONFIDENCE[23]</t>
  </si>
  <si>
    <t xml:space="preserve">Source confidence for LFPR in Public Administration</t>
  </si>
  <si>
    <t xml:space="preserve">LSD.RID.0.AL.PARAM.544</t>
  </si>
  <si>
    <t xml:space="preserve">AUTH_LFPR_MULTIPLIER_SEC[0]</t>
  </si>
  <si>
    <t xml:space="preserve">Authorized LFPR multiplier All Industries</t>
  </si>
  <si>
    <t xml:space="preserve">LSD.RID.0.AL.PARAM.545</t>
  </si>
  <si>
    <t xml:space="preserve">AUTH_LFPR_MULTIPLIER_SEC[1]</t>
  </si>
  <si>
    <t xml:space="preserve">Authorized LFPR multiplier for Agriculture, Forestry, Fishing and Hunting</t>
  </si>
  <si>
    <t xml:space="preserve">LSD.RID.0.AL.PARAM.546</t>
  </si>
  <si>
    <t xml:space="preserve">AUTH_LFPR_MULTIPLIER_SEC[2]</t>
  </si>
  <si>
    <t xml:space="preserve">Authorized LFPR multiplier for Mining, Quarrying, and Oil and Gas Extraction</t>
  </si>
  <si>
    <t xml:space="preserve">LSD.RID.0.AL.PARAM.547</t>
  </si>
  <si>
    <t xml:space="preserve">AUTH_LFPR_MULTIPLIER_SEC[3]</t>
  </si>
  <si>
    <t xml:space="preserve">Authorized LFPR multiplier for Utilities</t>
  </si>
  <si>
    <t xml:space="preserve">LSD.RID.0.AL.PARAM.548</t>
  </si>
  <si>
    <t xml:space="preserve">AUTH_LFPR_MULTIPLIER_SEC[4]</t>
  </si>
  <si>
    <t xml:space="preserve">Authorized LFPR multiplier for Construction</t>
  </si>
  <si>
    <t xml:space="preserve">LSD.RID.0.AL.PARAM.549</t>
  </si>
  <si>
    <t xml:space="preserve">AUTH_LFPR_MULTIPLIER_SEC[5]</t>
  </si>
  <si>
    <t xml:space="preserve">Authorized LFPR multiplier for Manufacturing (Food,Textile, etc.)</t>
  </si>
  <si>
    <t xml:space="preserve">LSD.RID.0.AL.PARAM.550</t>
  </si>
  <si>
    <t xml:space="preserve">AUTH_LFPR_MULTIPLIER_SEC[6]</t>
  </si>
  <si>
    <t xml:space="preserve">Authorized LFPR multiplier for Manufacturing (Wood,Paper, Printing, etc.)</t>
  </si>
  <si>
    <t xml:space="preserve">LSD.RID.0.AL.PARAM.551</t>
  </si>
  <si>
    <t xml:space="preserve">AUTH_LFPR_MULTIPLIER_SEC[7]</t>
  </si>
  <si>
    <t xml:space="preserve">Authorized LFPR multiplier for Manufacturing (Machinery, Transport)</t>
  </si>
  <si>
    <t xml:space="preserve">LSD.RID.0.AL.PARAM.552</t>
  </si>
  <si>
    <t xml:space="preserve">AUTH_LFPR_MULTIPLIER_SEC[8]</t>
  </si>
  <si>
    <t xml:space="preserve">Authorized LFPR multiplier for Wholesale Trade</t>
  </si>
  <si>
    <t xml:space="preserve">LSD.RID.0.AL.PARAM.553</t>
  </si>
  <si>
    <t xml:space="preserve">AUTH_LFPR_MULTIPLIER_SEC[9]</t>
  </si>
  <si>
    <t xml:space="preserve">Authorized LFPR multiplier for Retail Trade (Motor Vehicle, Electronics)</t>
  </si>
  <si>
    <t xml:space="preserve">LSD.RID.0.AL.PARAM.554</t>
  </si>
  <si>
    <t xml:space="preserve">AUTH_LFPR_MULTIPLIER_SEC[10]</t>
  </si>
  <si>
    <t xml:space="preserve">Authorized LFPR multiplier for Retail Trade (Food, Clothing, General Merchandise, etc.)</t>
  </si>
  <si>
    <t xml:space="preserve">LSD.RID.0.AL.PARAM.555</t>
  </si>
  <si>
    <t xml:space="preserve">AUTH_LFPR_MULTIPLIER_SEC[11]</t>
  </si>
  <si>
    <t xml:space="preserve">Authorized LFPR multiplier for Transportation</t>
  </si>
  <si>
    <t xml:space="preserve">LSD.RID.0.AL.PARAM.556</t>
  </si>
  <si>
    <t xml:space="preserve">AUTH_LFPR_MULTIPLIER_SEC[12]</t>
  </si>
  <si>
    <t xml:space="preserve">Authorized LFPR multiplier for Warehousing and Storage</t>
  </si>
  <si>
    <t xml:space="preserve">LSD.RID.0.AL.PARAM.557</t>
  </si>
  <si>
    <t xml:space="preserve">AUTH_LFPR_MULTIPLIER_SEC[13]</t>
  </si>
  <si>
    <t xml:space="preserve">Authorized LFPR multiplier for Information</t>
  </si>
  <si>
    <t xml:space="preserve">LSD.RID.0.AL.PARAM.558</t>
  </si>
  <si>
    <t xml:space="preserve">AUTH_LFPR_MULTIPLIER_SEC[14]</t>
  </si>
  <si>
    <t xml:space="preserve">Authorized LFPR multiplier for Finance and Insurance</t>
  </si>
  <si>
    <t xml:space="preserve">LSD.RID.0.AL.PARAM.559</t>
  </si>
  <si>
    <t xml:space="preserve">AUTH_LFPR_MULTIPLIER_SEC[15]</t>
  </si>
  <si>
    <t xml:space="preserve">Authorized LFPR multiplier for Real Estate and Rental and Leasing</t>
  </si>
  <si>
    <t xml:space="preserve">LSD.RID.0.AL.PARAM.560</t>
  </si>
  <si>
    <t xml:space="preserve">AUTH_LFPR_MULTIPLIER_SEC[16]</t>
  </si>
  <si>
    <t xml:space="preserve">Authorized LFPR multiplier for Professional, Scientific, and Technical Services</t>
  </si>
  <si>
    <t xml:space="preserve">LSD.RID.0.AL.PARAM.561</t>
  </si>
  <si>
    <t xml:space="preserve">AUTH_LFPR_MULTIPLIER_SEC[17]</t>
  </si>
  <si>
    <t xml:space="preserve">Authorized LFPR multiplier for Administrative and Support and Waste Management and Remediation Services</t>
  </si>
  <si>
    <t xml:space="preserve">LSD.RID.0.AL.PARAM.562</t>
  </si>
  <si>
    <t xml:space="preserve">AUTH_LFPR_MULTIPLIER_SEC[18]</t>
  </si>
  <si>
    <t xml:space="preserve">Authorized LFPR multiplier for Educational Services</t>
  </si>
  <si>
    <t xml:space="preserve">LSD.RID.0.AL.PARAM.563</t>
  </si>
  <si>
    <t xml:space="preserve">AUTH_LFPR_MULTIPLIER_SEC[19]</t>
  </si>
  <si>
    <t xml:space="preserve">Authorized LFPR multiplier for Health Care and Social Assistance</t>
  </si>
  <si>
    <t xml:space="preserve">LSD.RID.0.AL.PARAM.564</t>
  </si>
  <si>
    <t xml:space="preserve">AUTH_LFPR_MULTIPLIER_SEC[20]</t>
  </si>
  <si>
    <t xml:space="preserve">Authorized LFPR multiplier for Arts, Entertainment, and Recreation</t>
  </si>
  <si>
    <t xml:space="preserve">LSD.RID.0.AL.PARAM.565</t>
  </si>
  <si>
    <t xml:space="preserve">AUTH_LFPR_MULTIPLIER_SEC[21]</t>
  </si>
  <si>
    <t xml:space="preserve">Authorized LFPR multiplier for Accommodation and Food Services</t>
  </si>
  <si>
    <t xml:space="preserve">LSD.RID.0.AL.PARAM.566</t>
  </si>
  <si>
    <t xml:space="preserve">AUTH_LFPR_MULTIPLIER_SEC[22]</t>
  </si>
  <si>
    <t xml:space="preserve">Authorized LFPR multiplier for Other Services (except Public Administration)</t>
  </si>
  <si>
    <t xml:space="preserve">LSD.RID.0.AL.PARAM.567</t>
  </si>
  <si>
    <t xml:space="preserve">AUTH_LFPR_MULTIPLIER_SEC[23]</t>
  </si>
  <si>
    <t xml:space="preserve">Authorized LFPR multiplier for Public Administration</t>
  </si>
  <si>
    <t xml:space="preserve">LSD.RID.0.AL.PARAM.568</t>
  </si>
  <si>
    <t xml:space="preserve">GROUP_U3R_ADJ</t>
  </si>
  <si>
    <t xml:space="preserve">General group U3R adjustment factor</t>
  </si>
  <si>
    <t xml:space="preserve">LSD.RID.0.AL.PARAM.569</t>
  </si>
  <si>
    <t xml:space="preserve">LAUS_ACCURACY_U3R</t>
  </si>
  <si>
    <t xml:space="preserve">LAUS weight in U3R reconciliation</t>
  </si>
  <si>
    <t xml:space="preserve">New; slightly lower than LFPR due to unemployment volatility</t>
  </si>
  <si>
    <t xml:space="preserve">LSD.RID.0.AL.PARAM.570</t>
  </si>
  <si>
    <t xml:space="preserve">BASE_U3R_SEC[0]</t>
  </si>
  <si>
    <t xml:space="preserve">Base U3R All Industries (overall)</t>
  </si>
  <si>
    <t xml:space="preserve">New; 2.7% statewide confirmed</t>
  </si>
  <si>
    <t xml:space="preserve">LSD.RID.0.AL.PARAM.571</t>
  </si>
  <si>
    <t xml:space="preserve">BASE_U3R_SEC[1]</t>
  </si>
  <si>
    <t xml:space="preserve">Base U3R Agriculture, Forestry, Fishing</t>
  </si>
  <si>
    <t xml:space="preserve">LSD.RID.0.AL.PARAM.572</t>
  </si>
  <si>
    <t xml:space="preserve">BASE_U3R_SEC[2]</t>
  </si>
  <si>
    <t xml:space="preserve">Base U3R Mining, Quarrying, Oil/Gas</t>
  </si>
  <si>
    <t xml:space="preserve">LSD.RID.0.AL.PARAM.573</t>
  </si>
  <si>
    <t xml:space="preserve">BASE_U3R_SEC[3]</t>
  </si>
  <si>
    <t xml:space="preserve">Base U3R Utilities</t>
  </si>
  <si>
    <t xml:space="preserve">LSD.RID.0.AL.PARAM.574</t>
  </si>
  <si>
    <t xml:space="preserve">BASE_U3R_SEC[4]</t>
  </si>
  <si>
    <t xml:space="preserve">Base U3R Construction</t>
  </si>
  <si>
    <t xml:space="preserve">LSD.RID.0.AL.PARAM.575</t>
  </si>
  <si>
    <t xml:space="preserve">BASE_U3R_SEC[5]</t>
  </si>
  <si>
    <t xml:space="preserve">Base U3R for Manufacturing (Food,Textile, etc.)</t>
  </si>
  <si>
    <t xml:space="preserve">LSD.RID.0.AL.PARAM.576</t>
  </si>
  <si>
    <t xml:space="preserve">BASE_U3R_SEC[6]</t>
  </si>
  <si>
    <t xml:space="preserve">Base U3R for Manufacturing (Wood,Paper, Printing, etc.)</t>
  </si>
  <si>
    <t xml:space="preserve">LSD.RID.0.AL.PARAM.577</t>
  </si>
  <si>
    <t xml:space="preserve">BASE_U3R_SEC[7]</t>
  </si>
  <si>
    <t xml:space="preserve">Base U3R for Manufacturing (Machinery, Transport)</t>
  </si>
  <si>
    <t xml:space="preserve">LSD.RID.0.AL.PARAM.578</t>
  </si>
  <si>
    <t xml:space="preserve">BASE_U3R_SEC[8]</t>
  </si>
  <si>
    <t xml:space="preserve">Base U3R for Wholesale Trade</t>
  </si>
  <si>
    <t xml:space="preserve">LSD.RID.0.AL.PARAM.579</t>
  </si>
  <si>
    <t xml:space="preserve">BASE_U3R_SEC[9]</t>
  </si>
  <si>
    <t xml:space="preserve">Base U3R for Retail Trade (Motor Vehicle, Electronics)</t>
  </si>
  <si>
    <t xml:space="preserve">LSD.RID.0.AL.PARAM.580</t>
  </si>
  <si>
    <t xml:space="preserve">BASE_U3R_SEC[10]</t>
  </si>
  <si>
    <t xml:space="preserve">Base U3R for Retail Trade (Food, Clothing, General Merchandise, etc.)</t>
  </si>
  <si>
    <t xml:space="preserve">LSD.RID.0.AL.PARAM.581</t>
  </si>
  <si>
    <t xml:space="preserve">BASE_U3R_SEC[11]</t>
  </si>
  <si>
    <t xml:space="preserve">Base U3R for Transportation</t>
  </si>
  <si>
    <t xml:space="preserve">LSD.RID.0.AL.PARAM.582</t>
  </si>
  <si>
    <t xml:space="preserve">BASE_U3R_SEC[12]</t>
  </si>
  <si>
    <t xml:space="preserve">Base U3R for Warehousing and Storage</t>
  </si>
  <si>
    <t xml:space="preserve">LSD.RID.0.AL.PARAM.583</t>
  </si>
  <si>
    <t xml:space="preserve">BASE_U3R_SEC[13]</t>
  </si>
  <si>
    <t xml:space="preserve">Base U3R for Information</t>
  </si>
  <si>
    <t xml:space="preserve">LSD.RID.0.AL.PARAM.584</t>
  </si>
  <si>
    <t xml:space="preserve">BASE_U3R_SEC[14]</t>
  </si>
  <si>
    <t xml:space="preserve">Base U3R for Finance and Insurance</t>
  </si>
  <si>
    <t xml:space="preserve">LSD.RID.0.AL.PARAM.585</t>
  </si>
  <si>
    <t xml:space="preserve">BASE_U3R_SEC[15]</t>
  </si>
  <si>
    <t xml:space="preserve">Base U3R for Real Estate and Rental and Leasing</t>
  </si>
  <si>
    <t xml:space="preserve">LSD.RID.0.AL.PARAM.586</t>
  </si>
  <si>
    <t xml:space="preserve">BASE_U3R_SEC[16]</t>
  </si>
  <si>
    <t xml:space="preserve">Base U3R for Professional, Scientific, and Technical Services</t>
  </si>
  <si>
    <t xml:space="preserve">LSD.RID.0.AL.PARAM.587</t>
  </si>
  <si>
    <t xml:space="preserve">BASE_U3R_SEC[17]</t>
  </si>
  <si>
    <t xml:space="preserve">Base U3R for Administrative and Support and Waste Management and Remediation Services</t>
  </si>
  <si>
    <t xml:space="preserve">LSD.RID.0.AL.PARAM.588</t>
  </si>
  <si>
    <t xml:space="preserve">BASE_U3R_SEC[18]</t>
  </si>
  <si>
    <t xml:space="preserve">Base U3R for Educational Services</t>
  </si>
  <si>
    <t xml:space="preserve">LSD.RID.0.AL.PARAM.589</t>
  </si>
  <si>
    <t xml:space="preserve">BASE_U3R_SEC[19]</t>
  </si>
  <si>
    <t xml:space="preserve">Base U3R for Health Care and Social Assistance</t>
  </si>
  <si>
    <t xml:space="preserve">LSD.RID.0.AL.PARAM.590</t>
  </si>
  <si>
    <t xml:space="preserve">BASE_U3R_SEC[20]</t>
  </si>
  <si>
    <t xml:space="preserve">Base U3R for Arts, Entertainment, and Recreation</t>
  </si>
  <si>
    <t xml:space="preserve">LSD.RID.0.AL.PARAM.591</t>
  </si>
  <si>
    <t xml:space="preserve">BASE_U3R_SEC[21]</t>
  </si>
  <si>
    <t xml:space="preserve">Base U3R for Accommodation and Food Services</t>
  </si>
  <si>
    <t xml:space="preserve">LSD.RID.0.AL.PARAM.592</t>
  </si>
  <si>
    <t xml:space="preserve">BASE_U3R_SEC[22]</t>
  </si>
  <si>
    <t xml:space="preserve">Base U3R for Other Services (except Public Administration)</t>
  </si>
  <si>
    <t xml:space="preserve">LSD.RID.0.AL.PARAM.593</t>
  </si>
  <si>
    <t xml:space="preserve">BASE_U3R_SEC[23]</t>
  </si>
  <si>
    <t xml:space="preserve">Base U3R for Public Administration</t>
  </si>
  <si>
    <t xml:space="preserve">LSD.RID.0.AL.PARAM.594</t>
  </si>
  <si>
    <t xml:space="preserve">ADJ_FACTOR_U3R[0]</t>
  </si>
  <si>
    <t xml:space="preserve">U3R adjustment for All Industries</t>
  </si>
  <si>
    <t xml:space="preserve">New; small negative for growth trends</t>
  </si>
  <si>
    <t xml:space="preserve">LSD.RID.0.AL.PARAM.595</t>
  </si>
  <si>
    <t xml:space="preserve">ADJ_FACTOR_U3R[1]</t>
  </si>
  <si>
    <t xml:space="preserve">U3R adjustment for Agriculture, Forestry, Fishing and Hunting</t>
  </si>
  <si>
    <t xml:space="preserve">LSD.RID.0.AL.PARAM.596</t>
  </si>
  <si>
    <t xml:space="preserve">ADJ_FACTOR_U3R[2]</t>
  </si>
  <si>
    <t xml:space="preserve">U3R adjustment for Mining, Quarrying, and Oil and Gas Extraction</t>
  </si>
  <si>
    <t xml:space="preserve">LSD.RID.0.AL.PARAM.597</t>
  </si>
  <si>
    <t xml:space="preserve">ADJ_FACTOR_U3R[3]</t>
  </si>
  <si>
    <t xml:space="preserve">U3R adjustment for Utilities</t>
  </si>
  <si>
    <t xml:space="preserve">New; low for stable</t>
  </si>
  <si>
    <t xml:space="preserve">LSD.RID.0.AL.PARAM.598</t>
  </si>
  <si>
    <t xml:space="preserve">ADJ_FACTOR_U3R[4]</t>
  </si>
  <si>
    <t xml:space="preserve">U3R adjustment for Construction</t>
  </si>
  <si>
    <t xml:space="preserve">LSD.RID.0.AL.PARAM.599</t>
  </si>
  <si>
    <t xml:space="preserve">ADJ_FACTOR_U3R[5]</t>
  </si>
  <si>
    <t xml:space="preserve">U3R adjustment for Manufacturing (Food,Textile, etc.)</t>
  </si>
  <si>
    <t xml:space="preserve">LSD.RID.0.AL.PARAM.600</t>
  </si>
  <si>
    <t xml:space="preserve">ADJ_FACTOR_U3R[6]</t>
  </si>
  <si>
    <t xml:space="preserve">U3R adjustment for Manufacturing (Wood,Paper, Printing, etc.)</t>
  </si>
  <si>
    <t xml:space="preserve">LSD.RID.0.AL.PARAM.601</t>
  </si>
  <si>
    <t xml:space="preserve">ADJ_FACTOR_U3R[7]</t>
  </si>
  <si>
    <t xml:space="preserve">U3R adjustment for Manufacturing (Machinery, Transport)</t>
  </si>
  <si>
    <t xml:space="preserve">LSD.RID.0.AL.PARAM.602</t>
  </si>
  <si>
    <t xml:space="preserve">ADJ_FACTOR_U3R[8]</t>
  </si>
  <si>
    <t xml:space="preserve">U3R adjustment for Wholesale Trade</t>
  </si>
  <si>
    <t xml:space="preserve">LSD.RID.0.AL.PARAM.603</t>
  </si>
  <si>
    <t xml:space="preserve">ADJ_FACTOR_U3R[9]</t>
  </si>
  <si>
    <t xml:space="preserve">U3R adjustment for Retail Trade (Motor Vehicle, Electronics)</t>
  </si>
  <si>
    <t xml:space="preserve">LSD.RID.0.AL.PARAM.604</t>
  </si>
  <si>
    <t xml:space="preserve">ADJ_FACTOR_U3R[10]</t>
  </si>
  <si>
    <t xml:space="preserve">U3R adjustment for Retail Trade (Food, Clothing, General Merchandise, etc.)</t>
  </si>
  <si>
    <t xml:space="preserve">LSD.RID.0.AL.PARAM.605</t>
  </si>
  <si>
    <t xml:space="preserve">ADJ_FACTOR_U3R[11]</t>
  </si>
  <si>
    <t xml:space="preserve">U3R adjustment for Transportation</t>
  </si>
  <si>
    <t xml:space="preserve">LSD.RID.0.AL.PARAM.606</t>
  </si>
  <si>
    <t xml:space="preserve">ADJ_FACTOR_U3R[12]</t>
  </si>
  <si>
    <t xml:space="preserve">U3R adjustment for Warehousing and Storage</t>
  </si>
  <si>
    <t xml:space="preserve">LSD.RID.0.AL.PARAM.607</t>
  </si>
  <si>
    <t xml:space="preserve">ADJ_FACTOR_U3R[13]</t>
  </si>
  <si>
    <t xml:space="preserve">U3R adjustment for Information</t>
  </si>
  <si>
    <t xml:space="preserve">LSD.RID.0.AL.PARAM.608</t>
  </si>
  <si>
    <t xml:space="preserve">ADJ_FACTOR_U3R[14]</t>
  </si>
  <si>
    <t xml:space="preserve">U3R adjustment for Finance and Insurance</t>
  </si>
  <si>
    <t xml:space="preserve">LSD.RID.0.AL.PARAM.609</t>
  </si>
  <si>
    <t xml:space="preserve">ADJ_FACTOR_U3R[15]</t>
  </si>
  <si>
    <t xml:space="preserve">U3R adjustment for Real Estate and Rental and Leasing</t>
  </si>
  <si>
    <t xml:space="preserve">LSD.RID.0.AL.PARAM.610</t>
  </si>
  <si>
    <t xml:space="preserve">ADJ_FACTOR_U3R[16]</t>
  </si>
  <si>
    <t xml:space="preserve">U3R adjustment for Professional, Scientific, and Technical Services</t>
  </si>
  <si>
    <t xml:space="preserve">LSD.RID.0.AL.PARAM.611</t>
  </si>
  <si>
    <t xml:space="preserve">ADJ_FACTOR_U3R[17]</t>
  </si>
  <si>
    <t xml:space="preserve">U3R adjustment for Administrative and Support and Waste Management and Remediation Services</t>
  </si>
  <si>
    <t xml:space="preserve">LSD.RID.0.AL.PARAM.612</t>
  </si>
  <si>
    <t xml:space="preserve">ADJ_FACTOR_U3R[18]</t>
  </si>
  <si>
    <t xml:space="preserve">U3R adjustment for Educational Services</t>
  </si>
  <si>
    <t xml:space="preserve">LSD.RID.0.AL.PARAM.613</t>
  </si>
  <si>
    <t xml:space="preserve">ADJ_FACTOR_U3R[19]</t>
  </si>
  <si>
    <t xml:space="preserve">U3R adjustment for Health Care and Social Assistance</t>
  </si>
  <si>
    <t xml:space="preserve">LSD.RID.0.AL.PARAM.614</t>
  </si>
  <si>
    <t xml:space="preserve">ADJ_FACTOR_U3R[20]</t>
  </si>
  <si>
    <t xml:space="preserve">U3R adjustment for Arts, Entertainment, and Recreation</t>
  </si>
  <si>
    <t xml:space="preserve">LSD.RID.0.AL.PARAM.615</t>
  </si>
  <si>
    <t xml:space="preserve">ADJ_FACTOR_U3R[21]</t>
  </si>
  <si>
    <t xml:space="preserve">U3R adjustment for Accommodation and Food Services</t>
  </si>
  <si>
    <t xml:space="preserve">LSD.RID.0.AL.PARAM.616</t>
  </si>
  <si>
    <t xml:space="preserve">ADJ_FACTOR_U3R[22]</t>
  </si>
  <si>
    <t xml:space="preserve">U3R adjustment for Other Services (except Public Administration)</t>
  </si>
  <si>
    <t xml:space="preserve">LSD.RID.0.AL.PARAM.617</t>
  </si>
  <si>
    <t xml:space="preserve">ADJ_FACTOR_U3R[23]</t>
  </si>
  <si>
    <t xml:space="preserve">U3R adjustment for Public Administration</t>
  </si>
  <si>
    <t xml:space="preserve">LSD.RID.0.AL.PARAM.618</t>
  </si>
  <si>
    <t xml:space="preserve">VARIANCE_CHECK_U3R[0]</t>
  </si>
  <si>
    <t xml:space="preserve">Variance check for U3R in All Industries</t>
  </si>
  <si>
    <t xml:space="preserve">LSD.RID.0.AL.PARAM.619</t>
  </si>
  <si>
    <t xml:space="preserve">VARIANCE_CHECK_U3R[1]</t>
  </si>
  <si>
    <t xml:space="preserve">Variance check for U3R in Agriculture, Forestry, Fishing and Hunting</t>
  </si>
  <si>
    <t xml:space="preserve">LSD.RID.0.AL.PARAM.620</t>
  </si>
  <si>
    <t xml:space="preserve">VARIANCE_CHECK_U3R[2]</t>
  </si>
  <si>
    <t xml:space="preserve">Variance check for U3R in Mining, Quarrying, and Oil and Gas Extraction</t>
  </si>
  <si>
    <t xml:space="preserve">LSD.RID.0.AL.PARAM.621</t>
  </si>
  <si>
    <t xml:space="preserve">VARIANCE_CHECK_U3R[3]</t>
  </si>
  <si>
    <t xml:space="preserve">Variance check for U3R in Utilities</t>
  </si>
  <si>
    <t xml:space="preserve">LSD.RID.0.AL.PARAM.622</t>
  </si>
  <si>
    <t xml:space="preserve">VARIANCE_CHECK_U3R[4]</t>
  </si>
  <si>
    <t xml:space="preserve">Variance check for U3R in Construction</t>
  </si>
  <si>
    <t xml:space="preserve">LSD.RID.0.AL.PARAM.623</t>
  </si>
  <si>
    <t xml:space="preserve">VARIANCE_CHECK_U3R[5]</t>
  </si>
  <si>
    <t xml:space="preserve">Variance check for U3R in Manufacturing (Food,Textile, etc.)</t>
  </si>
  <si>
    <t xml:space="preserve">LSD.RID.0.AL.PARAM.624</t>
  </si>
  <si>
    <t xml:space="preserve">VARIANCE_CHECK_U3R[6]</t>
  </si>
  <si>
    <t xml:space="preserve">Variance check for U3R in Manufacturing (Wood,Paper, Printing, etc.)</t>
  </si>
  <si>
    <t xml:space="preserve">LSD.RID.0.AL.PARAM.625</t>
  </si>
  <si>
    <t xml:space="preserve">VARIANCE_CHECK_U3R[7]</t>
  </si>
  <si>
    <t xml:space="preserve">Variance check for U3R in Manufacturing (Machinery, Transport)</t>
  </si>
  <si>
    <t xml:space="preserve">LSD.RID.0.AL.PARAM.626</t>
  </si>
  <si>
    <t xml:space="preserve">VARIANCE_CHECK_U3R[8]</t>
  </si>
  <si>
    <t xml:space="preserve">Variance check for U3R in Wholesale Trade</t>
  </si>
  <si>
    <t xml:space="preserve">LSD.RID.0.AL.PARAM.627</t>
  </si>
  <si>
    <t xml:space="preserve">VARIANCE_CHECK_U3R[9]</t>
  </si>
  <si>
    <t xml:space="preserve">Variance check for U3R in Retail Trade (Motor Vehicle, Electronics)</t>
  </si>
  <si>
    <t xml:space="preserve">LSD.RID.0.AL.PARAM.628</t>
  </si>
  <si>
    <t xml:space="preserve">VARIANCE_CHECK_U3R[10]</t>
  </si>
  <si>
    <t xml:space="preserve">Variance check for U3R in Retail Trade (Food, Clothing, General Merchandise, etc.)</t>
  </si>
  <si>
    <t xml:space="preserve">LSD.RID.0.AL.PARAM.629</t>
  </si>
  <si>
    <t xml:space="preserve">VARIANCE_CHECK_U3R[11]</t>
  </si>
  <si>
    <t xml:space="preserve">Variance check for U3R in Transportation</t>
  </si>
  <si>
    <t xml:space="preserve">LSD.RID.0.AL.PARAM.630</t>
  </si>
  <si>
    <t xml:space="preserve">VARIANCE_CHECK_U3R[12]</t>
  </si>
  <si>
    <t xml:space="preserve">Variance check for U3R in Warehousing and Storage</t>
  </si>
  <si>
    <t xml:space="preserve">LSD.RID.0.AL.PARAM.631</t>
  </si>
  <si>
    <t xml:space="preserve">VARIANCE_CHECK_U3R[13]</t>
  </si>
  <si>
    <t xml:space="preserve">Variance check for U3R in Information</t>
  </si>
  <si>
    <t xml:space="preserve">LSD.RID.0.AL.PARAM.632</t>
  </si>
  <si>
    <t xml:space="preserve">VARIANCE_CHECK_U3R[14]</t>
  </si>
  <si>
    <t xml:space="preserve">Variance check for U3R in Finance and Insurance</t>
  </si>
  <si>
    <t xml:space="preserve">LSD.RID.0.AL.PARAM.633</t>
  </si>
  <si>
    <t xml:space="preserve">VARIANCE_CHECK_U3R[15]</t>
  </si>
  <si>
    <t xml:space="preserve">Variance check for U3R in Real Estate and Rental and Leasing</t>
  </si>
  <si>
    <t xml:space="preserve">LSD.RID.0.AL.PARAM.634</t>
  </si>
  <si>
    <t xml:space="preserve">VARIANCE_CHECK_U3R[16]</t>
  </si>
  <si>
    <t xml:space="preserve">Variance check for U3R in Professional, Scientific, and Technical Services</t>
  </si>
  <si>
    <t xml:space="preserve">LSD.RID.0.AL.PARAM.635</t>
  </si>
  <si>
    <t xml:space="preserve">VARIANCE_CHECK_U3R[17]</t>
  </si>
  <si>
    <t xml:space="preserve">Variance check for U3R in Administrative and Support and Waste Management and Remediation Services</t>
  </si>
  <si>
    <t xml:space="preserve">LSD.RID.0.AL.PARAM.636</t>
  </si>
  <si>
    <t xml:space="preserve">VARIANCE_CHECK_U3R[18]</t>
  </si>
  <si>
    <t xml:space="preserve">Variance check for U3R in Educational Services</t>
  </si>
  <si>
    <t xml:space="preserve">LSD.RID.0.AL.PARAM.637</t>
  </si>
  <si>
    <t xml:space="preserve">VARIANCE_CHECK_U3R[19]</t>
  </si>
  <si>
    <t xml:space="preserve">Variance check for U3R in Health Care and Social Assistance</t>
  </si>
  <si>
    <t xml:space="preserve">LSD.RID.0.AL.PARAM.638</t>
  </si>
  <si>
    <t xml:space="preserve">VARIANCE_CHECK_U3R[20]</t>
  </si>
  <si>
    <t xml:space="preserve">Variance check for U3R in Arts, Entertainment, and Recreation</t>
  </si>
  <si>
    <t xml:space="preserve">LSD.RID.0.AL.PARAM.639</t>
  </si>
  <si>
    <t xml:space="preserve">VARIANCE_CHECK_U3R[21]</t>
  </si>
  <si>
    <t xml:space="preserve">Variance check for U3R in Accommodation and Food Services</t>
  </si>
  <si>
    <t xml:space="preserve">LSD.RID.0.AL.PARAM.640</t>
  </si>
  <si>
    <t xml:space="preserve">VARIANCE_CHECK_U3R[22]</t>
  </si>
  <si>
    <t xml:space="preserve">Variance check for U3R in Other Services (except Public Administration)</t>
  </si>
  <si>
    <t xml:space="preserve">LSD.RID.0.AL.PARAM.641</t>
  </si>
  <si>
    <t xml:space="preserve">VARIANCE_CHECK_U3R[23]</t>
  </si>
  <si>
    <t xml:space="preserve">Variance check for U3R in Public Administration</t>
  </si>
  <si>
    <t xml:space="preserve">LSD.RID.0.AL.PARAM.642</t>
  </si>
  <si>
    <t xml:space="preserve">UNAUTH_U3R_BOOST_SEC[0]</t>
  </si>
  <si>
    <t xml:space="preserve">Unauthorized U3R boost factor for All Industries</t>
  </si>
  <si>
    <t xml:space="preserve">LSD.RID.0.AL.PARAM.643</t>
  </si>
  <si>
    <t xml:space="preserve">UNAUTH_U3R_BOOST_SEC[1]</t>
  </si>
  <si>
    <t xml:space="preserve">Unauthorized U3R boost factor for Agriculture, Forestry, Fishing and Hunting</t>
  </si>
  <si>
    <t xml:space="preserve">LSD.RID.0.AL.PARAM.644</t>
  </si>
  <si>
    <t xml:space="preserve">UNAUTH_U3R_BOOST_SEC[2]</t>
  </si>
  <si>
    <t xml:space="preserve">Unauthorized U3R boost factor for Mining, Quarrying, and Oil and Gas Extraction</t>
  </si>
  <si>
    <t xml:space="preserve">LSD.RID.0.AL.PARAM.645</t>
  </si>
  <si>
    <t xml:space="preserve">UNAUTH_U3R_BOOST_SEC[3]</t>
  </si>
  <si>
    <t xml:space="preserve">Unauthorized U3R boost factor for Utilities</t>
  </si>
  <si>
    <t xml:space="preserve">LSD.RID.0.AL.PARAM.646</t>
  </si>
  <si>
    <t xml:space="preserve">UNAUTH_U3R_BOOST_SEC[4]</t>
  </si>
  <si>
    <t xml:space="preserve">Unauthorized U3R boost factor for Construction</t>
  </si>
  <si>
    <t xml:space="preserve">LSD.RID.0.AL.PARAM.647</t>
  </si>
  <si>
    <t xml:space="preserve">UNAUTH_U3R_BOOST_SEC[5]</t>
  </si>
  <si>
    <t xml:space="preserve">Unauthorized U3R boost factor for Manufacturing (Food,Textile, etc.)</t>
  </si>
  <si>
    <t xml:space="preserve">LSD.RID.0.AL.PARAM.648</t>
  </si>
  <si>
    <t xml:space="preserve">UNAUTH_U3R_BOOST_SEC[6]</t>
  </si>
  <si>
    <t xml:space="preserve">Unauthorized U3R boost factor for Manufacturing (Wood,Paper, Printing, etc.)</t>
  </si>
  <si>
    <t xml:space="preserve">LSD.RID.0.AL.PARAM.649</t>
  </si>
  <si>
    <t xml:space="preserve">UNAUTH_U3R_BOOST_SEC[7]</t>
  </si>
  <si>
    <t xml:space="preserve">Unauthorized U3R boost factor for Manufacturing (Machinery, Transport)</t>
  </si>
  <si>
    <t xml:space="preserve">LSD.RID.0.AL.PARAM.650</t>
  </si>
  <si>
    <t xml:space="preserve">UNAUTH_U3R_BOOST_SEC[8]</t>
  </si>
  <si>
    <t xml:space="preserve">Unauthorized U3R boost factor for Wholesale Trade</t>
  </si>
  <si>
    <t xml:space="preserve">LSD.RID.0.AL.PARAM.651</t>
  </si>
  <si>
    <t xml:space="preserve">UNAUTH_U3R_BOOST_SEC[9]</t>
  </si>
  <si>
    <t xml:space="preserve">Unauthorized U3R boost factor for Retail Trade (Motor Vehicle, Electronics)</t>
  </si>
  <si>
    <t xml:space="preserve">LSD.RID.0.AL.PARAM.652</t>
  </si>
  <si>
    <t xml:space="preserve">UNAUTH_U3R_BOOST_SEC[10]</t>
  </si>
  <si>
    <t xml:space="preserve">Unauthorized U3R boost factor for Retail Trade (Food, Clothing, General Merchandise, etc.)</t>
  </si>
  <si>
    <t xml:space="preserve">LSD.RID.0.AL.PARAM.653</t>
  </si>
  <si>
    <t xml:space="preserve">UNAUTH_U3R_BOOST_SEC[11]</t>
  </si>
  <si>
    <t xml:space="preserve">Unauthorized U3R boost factor for Transportation</t>
  </si>
  <si>
    <t xml:space="preserve">LSD.RID.0.AL.PARAM.654</t>
  </si>
  <si>
    <t xml:space="preserve">UNAUTH_U3R_BOOST_SEC[12]</t>
  </si>
  <si>
    <t xml:space="preserve">Unauthorized U3R boost factor for Warehousing and Storage</t>
  </si>
  <si>
    <t xml:space="preserve">LSD.RID.0.AL.PARAM.655</t>
  </si>
  <si>
    <t xml:space="preserve">UNAUTH_U3R_BOOST_SEC[13]</t>
  </si>
  <si>
    <t xml:space="preserve">Unauthorized U3R boost factor for Information</t>
  </si>
  <si>
    <t xml:space="preserve">LSD.RID.0.AL.PARAM.656</t>
  </si>
  <si>
    <t xml:space="preserve">UNAUTH_U3R_BOOST_SEC[14]</t>
  </si>
  <si>
    <t xml:space="preserve">Unauthorized U3R boost factor for Finance and Insurance</t>
  </si>
  <si>
    <t xml:space="preserve">LSD.RID.0.AL.PARAM.657</t>
  </si>
  <si>
    <t xml:space="preserve">UNAUTH_U3R_BOOST_SEC[15]</t>
  </si>
  <si>
    <t xml:space="preserve">Unauthorized U3R boost factor for Real Estate and Rental and Leasing</t>
  </si>
  <si>
    <t xml:space="preserve">LSD.RID.0.AL.PARAM.658</t>
  </si>
  <si>
    <t xml:space="preserve">UNAUTH_U3R_BOOST_SEC[16]</t>
  </si>
  <si>
    <t xml:space="preserve">Unauthorized U3R boost factor for Professional, Scientific, and Technical Services</t>
  </si>
  <si>
    <t xml:space="preserve">LSD.RID.0.AL.PARAM.659</t>
  </si>
  <si>
    <t xml:space="preserve">UNAUTH_U3R_BOOST_SEC[17]</t>
  </si>
  <si>
    <t xml:space="preserve">Unauthorized U3R boost factor for Administrative and Support and Waste Management and Remediation Services</t>
  </si>
  <si>
    <t xml:space="preserve">LSD.RID.0.AL.PARAM.660</t>
  </si>
  <si>
    <t xml:space="preserve">UNAUTH_U3R_BOOST_SEC[18]</t>
  </si>
  <si>
    <t xml:space="preserve">Unauthorized U3R boost factor for Educational Services</t>
  </si>
  <si>
    <t xml:space="preserve">LSD.RID.0.AL.PARAM.661</t>
  </si>
  <si>
    <t xml:space="preserve">UNAUTH_U3R_BOOST_SEC[19]</t>
  </si>
  <si>
    <t xml:space="preserve">Unauthorized U3R boost factor for Health Care and Social Assistance</t>
  </si>
  <si>
    <t xml:space="preserve">LSD.RID.0.AL.PARAM.662</t>
  </si>
  <si>
    <t xml:space="preserve">UNAUTH_U3R_BOOST_SEC[20]</t>
  </si>
  <si>
    <t xml:space="preserve">Unauthorized U3R boost factor for Arts, Entertainment, and Recreation</t>
  </si>
  <si>
    <t xml:space="preserve">LSD.RID.0.AL.PARAM.663</t>
  </si>
  <si>
    <t xml:space="preserve">UNAUTH_U3R_BOOST_SEC[21]</t>
  </si>
  <si>
    <t xml:space="preserve">Unauthorized U3R boost factor for Accommodation and Food Services</t>
  </si>
  <si>
    <t xml:space="preserve">LSD.RID.0.AL.PARAM.664</t>
  </si>
  <si>
    <t xml:space="preserve">UNAUTH_U3R_BOOST_SEC[22]</t>
  </si>
  <si>
    <t xml:space="preserve">Unauthorized U3R boost factor for Other Services (except Public Administration)</t>
  </si>
  <si>
    <t xml:space="preserve">LSD.RID.0.AL.PARAM.665</t>
  </si>
  <si>
    <t xml:space="preserve">UNAUTH_U3R_BOOST_SEC[23]</t>
  </si>
  <si>
    <t xml:space="preserve">Unauthorized U3R boost factor for Public Administration</t>
  </si>
  <si>
    <t xml:space="preserve">LSD.RID.0.AL.PARAM.666</t>
  </si>
  <si>
    <t xml:space="preserve">U3R_VARIANCE_SEC[0]</t>
  </si>
  <si>
    <t xml:space="preserve">U3R variance bound for All Industries (TNPE-weighted)</t>
  </si>
  <si>
    <t xml:space="preserve">LSD.RID.0.AL.PARAM.667</t>
  </si>
  <si>
    <t xml:space="preserve">U3R variance bound for Agriculture, Forestry, Fishing and Hunting (TNPE-weighted)</t>
  </si>
  <si>
    <t xml:space="preserve">LSD.RID.0.AL.PARAM.668</t>
  </si>
  <si>
    <t xml:space="preserve">U3R variance bound for Mining, Quarrying, and Oil and Gas Extraction (TNPE-weighted)</t>
  </si>
  <si>
    <t xml:space="preserve">LSD.RID.0.AL.PARAM.669</t>
  </si>
  <si>
    <t xml:space="preserve">U3R variance bound for Utilities (TNPE-weighted)</t>
  </si>
  <si>
    <t xml:space="preserve">LSD.RID.0.AL.PARAM.670</t>
  </si>
  <si>
    <t xml:space="preserve">U3R variance bound for Construction (TNPE-weighted)</t>
  </si>
  <si>
    <t xml:space="preserve">LSD.RID.0.AL.PARAM.671</t>
  </si>
  <si>
    <t xml:space="preserve">U3R variance bound for Manufacturing (Food,Textile, etc.) (TNPE-weighted)</t>
  </si>
  <si>
    <t xml:space="preserve">LSD.RID.0.AL.PARAM.672</t>
  </si>
  <si>
    <t xml:space="preserve">U3R variance bound for Manufacturing (Wood,Paper, Printing, etc.) (TNPE-weighted)</t>
  </si>
  <si>
    <t xml:space="preserve">LSD.RID.0.AL.PARAM.673</t>
  </si>
  <si>
    <t xml:space="preserve">U3R variance bound for Manufacturing (Machinery, Transport) (TNPE-weighted)</t>
  </si>
  <si>
    <t xml:space="preserve">LSD.RID.0.AL.PARAM.674</t>
  </si>
  <si>
    <t xml:space="preserve">U3R variance bound for Wholesale Trade (TNPE-weighted)</t>
  </si>
  <si>
    <t xml:space="preserve">LSD.RID.0.AL.PARAM.675</t>
  </si>
  <si>
    <t xml:space="preserve">U3R variance bound for Retail Trade (Motor Vehicle, Electronics) (TNPE-weighted)</t>
  </si>
  <si>
    <t xml:space="preserve">LSD.RID.0.AL.PARAM.676</t>
  </si>
  <si>
    <t xml:space="preserve">U3R variance bound for Retail Trade (Food, Clothing, General Merchandise, etc.) (TNPE-weighted)</t>
  </si>
  <si>
    <t xml:space="preserve">LSD.RID.0.AL.PARAM.677</t>
  </si>
  <si>
    <t xml:space="preserve">U3R variance bound for Transportation (TNPE-weighted)</t>
  </si>
  <si>
    <t xml:space="preserve">LSD.RID.0.AL.PARAM.678</t>
  </si>
  <si>
    <t xml:space="preserve">U3R variance bound for Warehousing and Storage (TNPE-weighted)</t>
  </si>
  <si>
    <t xml:space="preserve">LSD.RID.0.AL.PARAM.679</t>
  </si>
  <si>
    <t xml:space="preserve">U3R variance bound for Information (TNPE-weighted)</t>
  </si>
  <si>
    <t xml:space="preserve">LSD.RID.0.AL.PARAM.680</t>
  </si>
  <si>
    <t xml:space="preserve">U3R variance bound for Finance and Insurance (TNPE-weighted)</t>
  </si>
  <si>
    <t xml:space="preserve">LSD.RID.0.AL.PARAM.681</t>
  </si>
  <si>
    <t xml:space="preserve">U3R variance bound for Real Estate and Rental and Leasing (TNPE-weighted)</t>
  </si>
  <si>
    <t xml:space="preserve">LSD.RID.0.AL.PARAM.682</t>
  </si>
  <si>
    <t xml:space="preserve">U3R variance bound for Professional, Scientific, and Technical Services (TNPE-weighted)</t>
  </si>
  <si>
    <t xml:space="preserve">LSD.RID.0.AL.PARAM.683</t>
  </si>
  <si>
    <t xml:space="preserve">U3R variance bound for Administrative and Support and Waste Management and Remediation Services (TNPE-weighted)</t>
  </si>
  <si>
    <t xml:space="preserve">LSD.RID.0.AL.PARAM.684</t>
  </si>
  <si>
    <t xml:space="preserve">U3R variance bound for Educational Services (TNPE-weighted)</t>
  </si>
  <si>
    <t xml:space="preserve">LSD.RID.0.AL.PARAM.685</t>
  </si>
  <si>
    <t xml:space="preserve">U3R variance bound for Health Care and Social Assistance (TNPE-weighted)</t>
  </si>
  <si>
    <t xml:space="preserve">LSD.RID.0.AL.PARAM.686</t>
  </si>
  <si>
    <t xml:space="preserve">U3R variance bound for Arts, Entertainment, and Recreation (TNPE-weighted)</t>
  </si>
  <si>
    <t xml:space="preserve">LSD.RID.0.AL.PARAM.687</t>
  </si>
  <si>
    <t xml:space="preserve">U3R variance bound for Accommodation and Food Services (TNPE-weighted)</t>
  </si>
  <si>
    <t xml:space="preserve">LSD.RID.0.AL.PARAM.688</t>
  </si>
  <si>
    <t xml:space="preserve">U3R variance bound for Other Services (except Public Administration) (TNPE-weighted)</t>
  </si>
  <si>
    <t xml:space="preserve">LSD.RID.0.AL.PARAM.689</t>
  </si>
  <si>
    <t xml:space="preserve">U3R variance bound for Public Administration (TNPE-weighted)</t>
  </si>
  <si>
    <t xml:space="preserve">LSD.RID.0.AL.PARAM.690</t>
  </si>
  <si>
    <t xml:space="preserve">SOURCE_CONFIDENCE_U3R[0]</t>
  </si>
  <si>
    <t xml:space="preserve">Source confidence for U3R in All Industries</t>
  </si>
  <si>
    <t xml:space="preserve">LSD.RID.0.AL.PARAM.691</t>
  </si>
  <si>
    <t xml:space="preserve">SOURCE_CONFIDENCE_U3R[1]</t>
  </si>
  <si>
    <t xml:space="preserve">Source confidence for U3R in Agriculture, Forestry, Fishing and Hunting</t>
  </si>
  <si>
    <t xml:space="preserve">LSD.RID.0.AL.PARAM.692</t>
  </si>
  <si>
    <t xml:space="preserve">SOURCE_CONFIDENCE_U3R[2]</t>
  </si>
  <si>
    <t xml:space="preserve">Source confidence for U3R in Mining, Quarrying, and Oil and Gas Extraction</t>
  </si>
  <si>
    <t xml:space="preserve">LSD.RID.0.AL.PARAM.693</t>
  </si>
  <si>
    <t xml:space="preserve">SOURCE_CONFIDENCE_U3R[3]</t>
  </si>
  <si>
    <t xml:space="preserve">Source confidence for U3R in Utilities</t>
  </si>
  <si>
    <t xml:space="preserve">LSD.RID.0.AL.PARAM.694</t>
  </si>
  <si>
    <t xml:space="preserve">SOURCE_CONFIDENCE_U3R[4]</t>
  </si>
  <si>
    <t xml:space="preserve">Source confidence for U3R in Construction</t>
  </si>
  <si>
    <t xml:space="preserve">LSD.RID.0.AL.PARAM.695</t>
  </si>
  <si>
    <t xml:space="preserve">SOURCE_CONFIDENCE_U3R[5]</t>
  </si>
  <si>
    <t xml:space="preserve">Source confidence for U3R in Manufacturing (Food,Textile, etc.)</t>
  </si>
  <si>
    <t xml:space="preserve">LSD.RID.0.AL.PARAM.696</t>
  </si>
  <si>
    <t xml:space="preserve">SOURCE_CONFIDENCE_U3R[6]</t>
  </si>
  <si>
    <t xml:space="preserve">Source confidence for U3R in Manufacturing (Wood,Paper, Printing, etc.)</t>
  </si>
  <si>
    <t xml:space="preserve">LSD.RID.0.AL.PARAM.697</t>
  </si>
  <si>
    <t xml:space="preserve">SOURCE_CONFIDENCE_U3R[7]</t>
  </si>
  <si>
    <t xml:space="preserve">Source confidence for U3R in Manufacturing (Machinery, Transport)</t>
  </si>
  <si>
    <t xml:space="preserve">LSD.RID.0.AL.PARAM.698</t>
  </si>
  <si>
    <t xml:space="preserve">SOURCE_CONFIDENCE_U3R[8]</t>
  </si>
  <si>
    <t xml:space="preserve">Source confidence for U3R in Wholesale Trade</t>
  </si>
  <si>
    <t xml:space="preserve">LSD.RID.0.AL.PARAM.699</t>
  </si>
  <si>
    <t xml:space="preserve">SOURCE_CONFIDENCE_U3R[9]</t>
  </si>
  <si>
    <t xml:space="preserve">Source confidence for U3R in Retail Trade (Motor Vehicle, Electronics)</t>
  </si>
  <si>
    <t xml:space="preserve">LSD.RID.0.AL.PARAM.700</t>
  </si>
  <si>
    <t xml:space="preserve">SOURCE_CONFIDENCE_U3R[10]</t>
  </si>
  <si>
    <t xml:space="preserve">Source confidence for U3R in Retail Trade (Food, Clothing, General Merchandise, etc.)</t>
  </si>
  <si>
    <t xml:space="preserve">LSD.RID.0.AL.PARAM.701</t>
  </si>
  <si>
    <t xml:space="preserve">SOURCE_CONFIDENCE_U3R[11]</t>
  </si>
  <si>
    <t xml:space="preserve">Source confidence for U3R in Transportation</t>
  </si>
  <si>
    <t xml:space="preserve">LSD.RID.0.AL.PARAM.702</t>
  </si>
  <si>
    <t xml:space="preserve">SOURCE_CONFIDENCE_U3R[12]</t>
  </si>
  <si>
    <t xml:space="preserve">Source confidence for U3R in Warehousing and Storage</t>
  </si>
  <si>
    <t xml:space="preserve">LSD.RID.0.AL.PARAM.703</t>
  </si>
  <si>
    <t xml:space="preserve">SOURCE_CONFIDENCE_U3R[13]</t>
  </si>
  <si>
    <t xml:space="preserve">Source confidence for U3R in Information</t>
  </si>
  <si>
    <t xml:space="preserve">LSD.RID.0.AL.PARAM.704</t>
  </si>
  <si>
    <t xml:space="preserve">SOURCE_CONFIDENCE_U3R[14]</t>
  </si>
  <si>
    <t xml:space="preserve">Source confidence for U3R in Finance and Insurance</t>
  </si>
  <si>
    <t xml:space="preserve">LSD.RID.0.AL.PARAM.705</t>
  </si>
  <si>
    <t xml:space="preserve">SOURCE_CONFIDENCE_U3R[15]</t>
  </si>
  <si>
    <t xml:space="preserve">Source confidence for U3R in Real Estate and Rental and Leasing</t>
  </si>
  <si>
    <t xml:space="preserve">LSD.RID.0.AL.PARAM.706</t>
  </si>
  <si>
    <t xml:space="preserve">SOURCE_CONFIDENCE_U3R[16]</t>
  </si>
  <si>
    <t xml:space="preserve">Source confidence for U3R in Professional, Scientific, and Technical Services</t>
  </si>
  <si>
    <t xml:space="preserve">LSD.RID.0.AL.PARAM.707</t>
  </si>
  <si>
    <t xml:space="preserve">SOURCE_CONFIDENCE_U3R[17]</t>
  </si>
  <si>
    <t xml:space="preserve">Source confidence for U3R in Administrative and Support and Waste Management and Remediation Services</t>
  </si>
  <si>
    <t xml:space="preserve">LSD.RID.0.AL.PARAM.708</t>
  </si>
  <si>
    <t xml:space="preserve">SOURCE_CONFIDENCE_U3R[18]</t>
  </si>
  <si>
    <t xml:space="preserve">Source confidence for U3R in Educational Services</t>
  </si>
  <si>
    <t xml:space="preserve">LSD.RID.0.AL.PARAM.709</t>
  </si>
  <si>
    <t xml:space="preserve">SOURCE_CONFIDENCE_U3R[19]</t>
  </si>
  <si>
    <t xml:space="preserve">Source confidence for U3R in Health Care and Social Assistance</t>
  </si>
  <si>
    <t xml:space="preserve">LSD.RID.0.AL.PARAM.710</t>
  </si>
  <si>
    <t xml:space="preserve">SOURCE_CONFIDENCE_U3R[20]</t>
  </si>
  <si>
    <t xml:space="preserve">Source confidence for U3R in Arts, Entertainment, and Recreation</t>
  </si>
  <si>
    <t xml:space="preserve">LSD.RID.0.AL.PARAM.711</t>
  </si>
  <si>
    <t xml:space="preserve">SOURCE_CONFIDENCE_U3R[21]</t>
  </si>
  <si>
    <t xml:space="preserve">Source confidence for U3R in Accommodation and Food Services</t>
  </si>
  <si>
    <t xml:space="preserve">LSD.RID.0.AL.PARAM.712</t>
  </si>
  <si>
    <t xml:space="preserve">SOURCE_CONFIDENCE_U3R[22]</t>
  </si>
  <si>
    <t xml:space="preserve">Source confidence for U3R in Other Services (except Public Administration)</t>
  </si>
  <si>
    <t xml:space="preserve">LSD.RID.0.AL.PARAM.713</t>
  </si>
  <si>
    <t xml:space="preserve">SOURCE_CONFIDENCE_U3R[23]</t>
  </si>
  <si>
    <t xml:space="preserve">Source confidence for U3R in Public Administration</t>
  </si>
  <si>
    <t xml:space="preserve">LSD.RID.0.AL.PARAM.714</t>
  </si>
  <si>
    <t xml:space="preserve">AUTH_U3R_MULTIPLIER_SEC[0]</t>
  </si>
  <si>
    <t xml:space="preserve">Authorized U3R multiplier for All Industries</t>
  </si>
  <si>
    <t xml:space="preserve">LSD.RID.0.AL.PARAM.715</t>
  </si>
  <si>
    <t xml:space="preserve">AUTH_U3R_MULTIPLIER_SEC[1]</t>
  </si>
  <si>
    <t xml:space="preserve">Authorized U3R multiplier for Agriculture, Forestry, Fishing and Hunting</t>
  </si>
  <si>
    <t xml:space="preserve">LSD.RID.0.AL.PARAM.716</t>
  </si>
  <si>
    <t xml:space="preserve">AUTH_U3R_MULTIPLIER_SEC[2]</t>
  </si>
  <si>
    <t xml:space="preserve">Authorized U3R multiplier for Mining, Quarrying, and Oil and Gas Extraction</t>
  </si>
  <si>
    <t xml:space="preserve">LSD.RID.0.AL.PARAM.717</t>
  </si>
  <si>
    <t xml:space="preserve">AUTH_U3R_MULTIPLIER_SEC[3]</t>
  </si>
  <si>
    <t xml:space="preserve">Authorized U3R multiplier for Utilities</t>
  </si>
  <si>
    <t xml:space="preserve">LSD.RID.0.AL.PARAM.718</t>
  </si>
  <si>
    <t xml:space="preserve">AUTH_U3R_MULTIPLIER_SEC[4]</t>
  </si>
  <si>
    <t xml:space="preserve">Authorized U3R multiplier for Construction</t>
  </si>
  <si>
    <t xml:space="preserve">LSD.RID.0.AL.PARAM.719</t>
  </si>
  <si>
    <t xml:space="preserve">AUTH_U3R_MULTIPLIER_SEC[5]</t>
  </si>
  <si>
    <t xml:space="preserve">Authorized U3R multiplier for Manufacturing (Food,Textile, etc.)</t>
  </si>
  <si>
    <t xml:space="preserve">LSD.RID.0.AL.PARAM.720</t>
  </si>
  <si>
    <t xml:space="preserve">AUTH_U3R_MULTIPLIER_SEC[6]</t>
  </si>
  <si>
    <t xml:space="preserve">Authorized U3R multiplier for Manufacturing (Wood,Paper, Printing, etc.)</t>
  </si>
  <si>
    <t xml:space="preserve">LSD.RID.0.AL.PARAM.721</t>
  </si>
  <si>
    <t xml:space="preserve">AUTH_U3R_MULTIPLIER_SEC[7]</t>
  </si>
  <si>
    <t xml:space="preserve">Authorized U3R multiplier for Manufacturing (Machinery, Transport)</t>
  </si>
  <si>
    <t xml:space="preserve">LSD.RID.0.AL.PARAM.722</t>
  </si>
  <si>
    <t xml:space="preserve">AUTH_U3R_MULTIPLIER_SEC[8]</t>
  </si>
  <si>
    <t xml:space="preserve">Authorized U3R multiplier for Wholesale Trade</t>
  </si>
  <si>
    <t xml:space="preserve">LSD.RID.0.AL.PARAM.723</t>
  </si>
  <si>
    <t xml:space="preserve">AUTH_U3R_MULTIPLIER_SEC[9]</t>
  </si>
  <si>
    <t xml:space="preserve">Authorized U3R multiplier for Retail Trade (Motor Vehicle, Electronics)</t>
  </si>
  <si>
    <t xml:space="preserve">LSD.RID.0.AL.PARAM.724</t>
  </si>
  <si>
    <t xml:space="preserve">AUTH_U3R_MULTIPLIER_SEC[10]</t>
  </si>
  <si>
    <t xml:space="preserve">Authorized U3R multiplier for Retail Trade (Food, Clothing, General Merchandise, etc.)</t>
  </si>
  <si>
    <t xml:space="preserve">LSD.RID.0.AL.PARAM.725</t>
  </si>
  <si>
    <t xml:space="preserve">AUTH_U3R_MULTIPLIER_SEC[11]</t>
  </si>
  <si>
    <t xml:space="preserve">Authorized U3R multiplier for Transportation</t>
  </si>
  <si>
    <t xml:space="preserve">LSD.RID.0.AL.PARAM.726</t>
  </si>
  <si>
    <t xml:space="preserve">AUTH_U3R_MULTIPLIER_SEC[12]</t>
  </si>
  <si>
    <t xml:space="preserve">Authorized U3R multiplier for Warehousing and Storage</t>
  </si>
  <si>
    <t xml:space="preserve">LSD.RID.0.AL.PARAM.727</t>
  </si>
  <si>
    <t xml:space="preserve">AUTH_U3R_MULTIPLIER_SEC[13]</t>
  </si>
  <si>
    <t xml:space="preserve">Authorized U3R multiplier for Information</t>
  </si>
  <si>
    <t xml:space="preserve">LSD.RID.0.AL.PARAM.728</t>
  </si>
  <si>
    <t xml:space="preserve">AUTH_U3R_MULTIPLIER_SEC[14]</t>
  </si>
  <si>
    <t xml:space="preserve">Authorized U3R multiplier for Finance and Insurance</t>
  </si>
  <si>
    <t xml:space="preserve">LSD.RID.0.AL.PARAM.729</t>
  </si>
  <si>
    <t xml:space="preserve">AUTH_U3R_MULTIPLIER_SEC[15]</t>
  </si>
  <si>
    <t xml:space="preserve">Authorized U3R multiplier for Real Estate and Rental and Leasing</t>
  </si>
  <si>
    <t xml:space="preserve">LSD.RID.0.AL.PARAM.730</t>
  </si>
  <si>
    <t xml:space="preserve">AUTH_U3R_MULTIPLIER_SEC[16]</t>
  </si>
  <si>
    <t xml:space="preserve">Authorized U3R multiplier for Professional, Scientific, and Technical Services</t>
  </si>
  <si>
    <t xml:space="preserve">LSD.RID.0.AL.PARAM.731</t>
  </si>
  <si>
    <t xml:space="preserve">AUTH_U3R_MULTIPLIER_SEC[17]</t>
  </si>
  <si>
    <t xml:space="preserve">Authorized U3R multiplier for Administrative and Support and Waste Management and Remediation Services</t>
  </si>
  <si>
    <t xml:space="preserve">LSD.RID.0.AL.PARAM.732</t>
  </si>
  <si>
    <t xml:space="preserve">AUTH_U3R_MULTIPLIER_SEC[18]</t>
  </si>
  <si>
    <t xml:space="preserve">Authorized U3R multiplier for Educational Services</t>
  </si>
  <si>
    <t xml:space="preserve">LSD.RID.0.AL.PARAM.733</t>
  </si>
  <si>
    <t xml:space="preserve">AUTH_U3R_MULTIPLIER_SEC[19]</t>
  </si>
  <si>
    <t xml:space="preserve">Authorized U3R multiplier for Health Care and Social Assistance</t>
  </si>
  <si>
    <t xml:space="preserve">LSD.RID.0.AL.PARAM.734</t>
  </si>
  <si>
    <t xml:space="preserve">AUTH_U3R_MULTIPLIER_SEC[20]</t>
  </si>
  <si>
    <t xml:space="preserve">Authorized U3R multiplier for Arts, Entertainment, and Recreation</t>
  </si>
  <si>
    <t xml:space="preserve">LSD.RID.0.AL.PARAM.735</t>
  </si>
  <si>
    <t xml:space="preserve">AUTH_U3R_MULTIPLIER_SEC[21]</t>
  </si>
  <si>
    <t xml:space="preserve">Authorized U3R multiplier for Accommodation and Food Services</t>
  </si>
  <si>
    <t xml:space="preserve">LSD.REF.AL.PARAM.736</t>
  </si>
  <si>
    <t xml:space="preserve">GROUP_U6R_ADJ</t>
  </si>
  <si>
    <t xml:space="preserve">General group U6R adjustment factor</t>
  </si>
  <si>
    <t xml:space="preserve">LSD.REF.AL.PARAM.737</t>
  </si>
  <si>
    <t xml:space="preserve">LAUS_ACCURACY_U6R</t>
  </si>
  <si>
    <t xml:space="preserve">LAUS weight in U6R reconciliation</t>
  </si>
  <si>
    <t xml:space="preserve">New; lower due to higher volatility in U-6 components</t>
  </si>
  <si>
    <t xml:space="preserve">LSD.REF.AL.PARAM.738</t>
  </si>
  <si>
    <t xml:space="preserve">U6_SLACK_FACTOR</t>
  </si>
  <si>
    <t xml:space="preserve">U6 slack multiplier over U3R gap (national avg ratio)</t>
  </si>
  <si>
    <t xml:space="preserve">BLS CPS patterns</t>
  </si>
  <si>
    <t xml:space="preserve">New; ~1.6–1.8x for low-unemployment states like AL</t>
  </si>
  <si>
    <t xml:space="preserve">LSD.REF.AL.PARAM.739</t>
  </si>
  <si>
    <t xml:space="preserve">BASE_U6R_SEC[0]</t>
  </si>
  <si>
    <t xml:space="preserve">Base U6R All Industries (overall)</t>
  </si>
  <si>
    <t xml:space="preserve">BLS CPS-derived / draft proj.</t>
  </si>
  <si>
    <t xml:space="preserve">New; ~4.5% statewide plausible (1.67x U-3 2.7%)</t>
  </si>
  <si>
    <t xml:space="preserve">LSD.REF.AL.PARAM.740</t>
  </si>
  <si>
    <t xml:space="preserve">BASE_U6R_SEC[1]</t>
  </si>
  <si>
    <t xml:space="preserve">Base U6R Agriculture, Forestry, Fishing</t>
  </si>
  <si>
    <t xml:space="preserve">LSD.REF.AL.PARAM.741</t>
  </si>
  <si>
    <t xml:space="preserve">BASE_U6R_SEC[2]</t>
  </si>
  <si>
    <t xml:space="preserve">Base U6R Mining, Quarrying, Oil/Gas</t>
  </si>
  <si>
    <t xml:space="preserve">LSD.REF.AL.PARAM.742</t>
  </si>
  <si>
    <t xml:space="preserve">BASE_U6R_SEC[3]</t>
  </si>
  <si>
    <t xml:space="preserve">Base U6R Utilities</t>
  </si>
  <si>
    <t xml:space="preserve">LSD.REF.AL.PARAM.743</t>
  </si>
  <si>
    <t xml:space="preserve">BASE_U6R_SEC[4]</t>
  </si>
  <si>
    <t xml:space="preserve">Base U6R Construction</t>
  </si>
  <si>
    <t xml:space="preserve">LSD.REF.AL.PARAM.763</t>
  </si>
  <si>
    <t xml:space="preserve">ADJ_FACTOR_U6R[0]</t>
  </si>
  <si>
    <t xml:space="preserve">U6R adjustment All Industries (negative for improvement)</t>
  </si>
  <si>
    <t xml:space="preserve">LSD.REF.AL.PARAM.785</t>
  </si>
  <si>
    <t xml:space="preserve">VARIANCE_CHECK_U6R[0]</t>
  </si>
  <si>
    <t xml:space="preserve">LSD.REF.AL.PARAM.809</t>
  </si>
  <si>
    <t xml:space="preserve">UNAUTH_U6R_BOOST_SEC[0]</t>
  </si>
  <si>
    <t xml:space="preserve">Unauthorized U6R boost All Industries</t>
  </si>
  <si>
    <t xml:space="preserve">New; ~44% higher for unauth (elevated slack)</t>
  </si>
  <si>
    <t xml:space="preserve">LSD.REF.AL.PARAM.833</t>
  </si>
  <si>
    <t xml:space="preserve">U6R_VARIANCE_SEC[0]</t>
  </si>
  <si>
    <t xml:space="preserve">U6R variance bound All Industries (TNPE-weighted)</t>
  </si>
  <si>
    <t xml:space="preserve">LSD.REF.AL.PARAM.857</t>
  </si>
  <si>
    <t xml:space="preserve">SOURCE_CONFIDENCE_U6R[0]</t>
  </si>
  <si>
    <t xml:space="preserve">LSD.REF.AL.PARAM.881</t>
  </si>
  <si>
    <t xml:space="preserve">AUTH_U6R_MULTIPLIER_SEC[0]</t>
  </si>
  <si>
    <t xml:space="preserve">Authorized U6R multiplier All Industries</t>
  </si>
  <si>
    <t xml:space="preserve">New; slightly lower for auth</t>
  </si>
  <si>
    <t xml:space="preserve">LSD.REF.AL.PARAM.882</t>
  </si>
  <si>
    <t xml:space="preserve">GROUP_WAVG_ADJ</t>
  </si>
  <si>
    <t xml:space="preserve">General group WAVG adjustment factor</t>
  </si>
  <si>
    <t xml:space="preserve">LSD.REF.AL.PARAM.883</t>
  </si>
  <si>
    <t xml:space="preserve">CES_ACCURACY_WAVG</t>
  </si>
  <si>
    <t xml:space="preserve">CES weight in WAVG reconciliation</t>
  </si>
  <si>
    <t xml:space="preserve">New; high for payroll data</t>
  </si>
  <si>
    <t xml:space="preserve">LSD.REF.AL.PARAM.884</t>
  </si>
  <si>
    <t xml:space="preserve">BASE_WAVG_SEC[0]</t>
  </si>
  <si>
    <t xml:space="preserve">Base WAVG for All Industries (overall)</t>
  </si>
  <si>
    <t xml:space="preserve">New; $31.96/hr total private</t>
  </si>
  <si>
    <t xml:space="preserve">LSD.REF.AL.PARAM.885</t>
  </si>
  <si>
    <t xml:space="preserve">BASE_WAVG_SEC[1]</t>
  </si>
  <si>
    <t xml:space="preserve">Base WAVG for Agriculture, Forestry, Fishing and Hunting</t>
  </si>
  <si>
    <t xml:space="preserve">CES/OES derived</t>
  </si>
  <si>
    <t xml:space="preserve">New; low-wage sector</t>
  </si>
  <si>
    <t xml:space="preserve">LSD.REF.AL.PARAM.886</t>
  </si>
  <si>
    <t xml:space="preserve">BASE_WAVG_SEC[2]</t>
  </si>
  <si>
    <t xml:space="preserve">Base WAVG for Mining, Quarrying, and Oil and Gas Extraction</t>
  </si>
  <si>
    <t xml:space="preserve">New; high-skill premium</t>
  </si>
  <si>
    <t xml:space="preserve">LSD.REF.AL.PARAM.887</t>
  </si>
  <si>
    <t xml:space="preserve">BASE_WAVG_SEC[3]</t>
  </si>
  <si>
    <t xml:space="preserve">Base WAVG for Utilities</t>
  </si>
  <si>
    <t xml:space="preserve">LSD.REF.AL.PARAM.888</t>
  </si>
  <si>
    <t xml:space="preserve">BASE_WAVG_SEC[4]</t>
  </si>
  <si>
    <t xml:space="preserve">Base WAVG for Construction</t>
  </si>
  <si>
    <t xml:space="preserve">LSD.REF.AL.PARAM.889</t>
  </si>
  <si>
    <t xml:space="preserve">BASE_WAVG_SEC[5]</t>
  </si>
  <si>
    <t xml:space="preserve">Base WAVG for Manufacturing (Food,Textile, etc.)</t>
  </si>
  <si>
    <t xml:space="preserve">LSD.REF.AL.PARAM.890</t>
  </si>
  <si>
    <t xml:space="preserve">BASE_WAVG_SEC[6]</t>
  </si>
  <si>
    <t xml:space="preserve">Base WAVG for Manufacturing (Wood,Paper, Printing, etc.)</t>
  </si>
  <si>
    <t xml:space="preserve">LSD.REF.AL.PARAM.891</t>
  </si>
  <si>
    <t xml:space="preserve">BASE_WAVG_SEC[7]</t>
  </si>
  <si>
    <t xml:space="preserve">Base WAVG for Manufacturing (Machinery, Transport)</t>
  </si>
  <si>
    <t xml:space="preserve">LSD.REF.AL.PARAM.892</t>
  </si>
  <si>
    <t xml:space="preserve">BASE_WAVG_SEC[8]</t>
  </si>
  <si>
    <t xml:space="preserve">Base WAVG for Wholesale Trade</t>
  </si>
  <si>
    <t xml:space="preserve">LSD.REF.AL.PARAM.893</t>
  </si>
  <si>
    <t xml:space="preserve">BASE_WAVG_SEC[9]</t>
  </si>
  <si>
    <t xml:space="preserve">Base WAVG for Retail Trade (Motor Vehicle, Electronics)</t>
  </si>
  <si>
    <t xml:space="preserve">LSD.REF.AL.PARAM.894</t>
  </si>
  <si>
    <t xml:space="preserve">BASE_WAVG_SEC[10]</t>
  </si>
  <si>
    <t xml:space="preserve">Base WAVG for Retail Trade (Food, Clothing, General Merchandise, etc.)</t>
  </si>
  <si>
    <t xml:space="preserve">LSD.REF.AL.PARAM.895</t>
  </si>
  <si>
    <t xml:space="preserve">BASE_WAVG_SEC[11]</t>
  </si>
  <si>
    <t xml:space="preserve">Base WAVG for Transportation</t>
  </si>
  <si>
    <t xml:space="preserve">LSD.REF.AL.PARAM.896</t>
  </si>
  <si>
    <t xml:space="preserve">BASE_WAVG_SEC[12]</t>
  </si>
  <si>
    <t xml:space="preserve">Base WAVG for Warehousing and Storage</t>
  </si>
  <si>
    <t xml:space="preserve">LSD.REF.AL.PARAM.897</t>
  </si>
  <si>
    <t xml:space="preserve">BASE_WAVG_SEC[13]</t>
  </si>
  <si>
    <t xml:space="preserve">Base WAVG for Information</t>
  </si>
  <si>
    <t xml:space="preserve">LSD.REF.AL.PARAM.898</t>
  </si>
  <si>
    <t xml:space="preserve">BASE_WAVG_SEC[14]</t>
  </si>
  <si>
    <t xml:space="preserve">Base WAVG for Finance and Insurance</t>
  </si>
  <si>
    <t xml:space="preserve">New; high premium sector</t>
  </si>
  <si>
    <t xml:space="preserve">LSD.REF.AL.PARAM.899</t>
  </si>
  <si>
    <t xml:space="preserve">BASE_WAVG_SEC[15]</t>
  </si>
  <si>
    <t xml:space="preserve">Base WAVG for Real Estate and Rental and Leasing</t>
  </si>
  <si>
    <t xml:space="preserve">LSD.REF.AL.PARAM.900</t>
  </si>
  <si>
    <t xml:space="preserve">BASE_WAVG_SEC[16]</t>
  </si>
  <si>
    <t xml:space="preserve">Base WAVG for Professional, Scientific, and Technical Services</t>
  </si>
  <si>
    <t xml:space="preserve">LSD.REF.AL.PARAM.901</t>
  </si>
  <si>
    <t xml:space="preserve">BASE_WAVG_SEC[17]</t>
  </si>
  <si>
    <t xml:space="preserve">Base WAVG for Administrative and Support and Waste Management and Remediation Services</t>
  </si>
  <si>
    <t xml:space="preserve">LSD.REF.AL.PARAM.902</t>
  </si>
  <si>
    <t xml:space="preserve">BASE_WAVG_SEC[18]</t>
  </si>
  <si>
    <t xml:space="preserve">Base WAVG for Educational Services</t>
  </si>
  <si>
    <t xml:space="preserve">LSD.REF.AL.PARAM.903</t>
  </si>
  <si>
    <t xml:space="preserve">BASE_WAVG_SEC[19]</t>
  </si>
  <si>
    <t xml:space="preserve">Base WAVG for Health Care and Social Assistance</t>
  </si>
  <si>
    <t xml:space="preserve">LSD.REF.AL.PARAM.904</t>
  </si>
  <si>
    <t xml:space="preserve">BASE_WAVG_SEC[20]</t>
  </si>
  <si>
    <t xml:space="preserve">Base WAVG for Arts, Entertainment, and Recreation</t>
  </si>
  <si>
    <t xml:space="preserve">LSD.REF.AL.PARAM.905</t>
  </si>
  <si>
    <t xml:space="preserve">BASE_WAVG_SEC[21]</t>
  </si>
  <si>
    <t xml:space="preserve">Base WAVG for Accommodation and Food Services</t>
  </si>
  <si>
    <t xml:space="preserve">New; lowest-wage sector</t>
  </si>
  <si>
    <t xml:space="preserve">LSD.REF.AL.PARAM.906</t>
  </si>
  <si>
    <t xml:space="preserve">BASE_WAVG_SEC[22]</t>
  </si>
  <si>
    <t xml:space="preserve">Base WAVG for Other Services (except Public Administration)</t>
  </si>
  <si>
    <t xml:space="preserve">LSD.REF.AL.PARAM.907</t>
  </si>
  <si>
    <t xml:space="preserve">BASE_WAVG_SEC[23]</t>
  </si>
  <si>
    <t xml:space="preserve">Base WAVG for Public Administration</t>
  </si>
  <si>
    <t xml:space="preserve">LSD.REF.AL.PARAM.908</t>
  </si>
  <si>
    <t xml:space="preserve">ADJ_FACTOR_WAVG[0]</t>
  </si>
  <si>
    <t xml:space="preserve">WAVG adjustment for All Industries</t>
  </si>
  <si>
    <t xml:space="preserve">New; small positive for growth trends</t>
  </si>
  <si>
    <t xml:space="preserve">LSD.REF.AL.PARAM.909</t>
  </si>
  <si>
    <t xml:space="preserve">ADJ_FACTOR_WAVG[1]</t>
  </si>
  <si>
    <t xml:space="preserve">WAVG adjustment for Agriculture, Forestry, Fishing and Hunting</t>
  </si>
  <si>
    <t xml:space="preserve">LSD.REF.AL.PARAM.910</t>
  </si>
  <si>
    <t xml:space="preserve">ADJ_FACTOR_WAVG[2]</t>
  </si>
  <si>
    <t xml:space="preserve">WAVG adjustment for Mining, Quarrying, and Oil and Gas Extraction</t>
  </si>
  <si>
    <t xml:space="preserve">New; higher for sparse volatility</t>
  </si>
  <si>
    <t xml:space="preserve">LSD.REF.AL.PARAM.911</t>
  </si>
  <si>
    <t xml:space="preserve">ADJ_FACTOR_WAVG[3]</t>
  </si>
  <si>
    <t xml:space="preserve">WAVG adjustment for Utilities</t>
  </si>
  <si>
    <t xml:space="preserve">LSD.REF.AL.PARAM.912</t>
  </si>
  <si>
    <t xml:space="preserve">ADJ_FACTOR_WAVG[4]</t>
  </si>
  <si>
    <t xml:space="preserve">WAVG adjustment for Construction</t>
  </si>
  <si>
    <t xml:space="preserve">LSD.REF.AL.PARAM.913</t>
  </si>
  <si>
    <t xml:space="preserve">ADJ_FACTOR_WAVG[5]</t>
  </si>
  <si>
    <t xml:space="preserve">WAVG adjustment for Manufacturing (Food,Textile, etc.)</t>
  </si>
  <si>
    <t xml:space="preserve">LSD.REF.AL.PARAM.914</t>
  </si>
  <si>
    <t xml:space="preserve">ADJ_FACTOR_WAVG[6]</t>
  </si>
  <si>
    <t xml:space="preserve">WAVG adjustment for Manufacturing (Wood,Paper, Printing, etc.)</t>
  </si>
  <si>
    <t xml:space="preserve">LSD.REF.AL.PARAM.915</t>
  </si>
  <si>
    <t xml:space="preserve">ADJ_FACTOR_WAVG[7]</t>
  </si>
  <si>
    <t xml:space="preserve">WAVG adjustment for Manufacturing (Machinery, Transport)</t>
  </si>
  <si>
    <t xml:space="preserve">LSD.REF.AL.PARAM.916</t>
  </si>
  <si>
    <t xml:space="preserve">ADJ_FACTOR_WAVG[8]</t>
  </si>
  <si>
    <t xml:space="preserve">WAVG adjustment for Wholesale Trade</t>
  </si>
  <si>
    <t xml:space="preserve">LSD.REF.AL.PARAM.917</t>
  </si>
  <si>
    <t xml:space="preserve">ADJ_FACTOR_WAVG[9]</t>
  </si>
  <si>
    <t xml:space="preserve">WAVG adjustment for Retail Trade (Motor Vehicle, Electronics)</t>
  </si>
  <si>
    <t xml:space="preserve">LSD.REF.AL.PARAM.918</t>
  </si>
  <si>
    <t xml:space="preserve">ADJ_FACTOR_WAVG[10]</t>
  </si>
  <si>
    <t xml:space="preserve">WAVG adjustment for Retail Trade (Food, Clothing, General Merchandise, etc.)</t>
  </si>
  <si>
    <t xml:space="preserve">LSD.REF.AL.PARAM.919</t>
  </si>
  <si>
    <t xml:space="preserve">ADJ_FACTOR_WAVG[11]</t>
  </si>
  <si>
    <t xml:space="preserve">WAVG adjustment for Transportation</t>
  </si>
  <si>
    <t xml:space="preserve">LSD.REF.AL.PARAM.920</t>
  </si>
  <si>
    <t xml:space="preserve">ADJ_FACTOR_WAVG[12]</t>
  </si>
  <si>
    <t xml:space="preserve">WAVG adjustment for Warehousing and Storage</t>
  </si>
  <si>
    <t xml:space="preserve">LSD.REF.AL.PARAM.921</t>
  </si>
  <si>
    <t xml:space="preserve">ADJ_FACTOR_WAVG[13]</t>
  </si>
  <si>
    <t xml:space="preserve">WAVG adjustment for Information</t>
  </si>
  <si>
    <t xml:space="preserve">LSD.REF.AL.PARAM.922</t>
  </si>
  <si>
    <t xml:space="preserve">ADJ_FACTOR_WAVG[14]</t>
  </si>
  <si>
    <t xml:space="preserve">WAVG adjustment for Finance and Insurance</t>
  </si>
  <si>
    <t xml:space="preserve">LSD.REF.AL.PARAM.923</t>
  </si>
  <si>
    <t xml:space="preserve">ADJ_FACTOR_WAVG[15]</t>
  </si>
  <si>
    <t xml:space="preserve">WAVG adjustment for Real Estate and Rental and Leasing</t>
  </si>
  <si>
    <t xml:space="preserve">LSD.REF.AL.PARAM.924</t>
  </si>
  <si>
    <t xml:space="preserve">ADJ_FACTOR_WAVG[16]</t>
  </si>
  <si>
    <t xml:space="preserve">WAVG adjustment for Professional, Scientific, and Technical Services</t>
  </si>
  <si>
    <t xml:space="preserve">LSD.REF.AL.PARAM.925</t>
  </si>
  <si>
    <t xml:space="preserve">ADJ_FACTOR_WAVG[17]</t>
  </si>
  <si>
    <t xml:space="preserve">WAVG adjustment for Administrative and Support and Waste Management and Remediation Services</t>
  </si>
  <si>
    <t xml:space="preserve">LSD.REF.AL.PARAM.926</t>
  </si>
  <si>
    <t xml:space="preserve">ADJ_FACTOR_WAVG[18]</t>
  </si>
  <si>
    <t xml:space="preserve">WAVG adjustment for Educational Services</t>
  </si>
  <si>
    <t xml:space="preserve">LSD.REF.AL.PARAM.927</t>
  </si>
  <si>
    <t xml:space="preserve">ADJ_FACTOR_WAVG[19]</t>
  </si>
  <si>
    <t xml:space="preserve">WAVG adjustment for Health Care and Social Assistance</t>
  </si>
  <si>
    <t xml:space="preserve">LSD.REF.AL.PARAM.928</t>
  </si>
  <si>
    <t xml:space="preserve">ADJ_FACTOR_WAVG[20]</t>
  </si>
  <si>
    <t xml:space="preserve">WAVG adjustment for Arts, Entertainment, and Recreation</t>
  </si>
  <si>
    <t xml:space="preserve">LSD.REF.AL.PARAM.929</t>
  </si>
  <si>
    <t xml:space="preserve">ADJ_FACTOR_WAVG[21]</t>
  </si>
  <si>
    <t xml:space="preserve">WAVG adjustment for Accommodation and Food Services</t>
  </si>
  <si>
    <t xml:space="preserve">LSD.REF.AL.PARAM.930</t>
  </si>
  <si>
    <t xml:space="preserve">ADJ_FACTOR_WAVG[22]</t>
  </si>
  <si>
    <t xml:space="preserve">WAVG adjustment for Other Services (except Public Administration)</t>
  </si>
  <si>
    <t xml:space="preserve">LSD.REF.AL.PARAM.931</t>
  </si>
  <si>
    <t xml:space="preserve">ADJ_FACTOR_WAVG[23]</t>
  </si>
  <si>
    <t xml:space="preserve">WAVG adjustment for Public Administration</t>
  </si>
  <si>
    <t xml:space="preserve">LSD.REF.AL.PARAM.932</t>
  </si>
  <si>
    <t xml:space="preserve">VARIANCE_CHECK_WAVG[0]</t>
  </si>
  <si>
    <t xml:space="preserve">Variance check for WAVG in All Industries</t>
  </si>
  <si>
    <t xml:space="preserve">LSD.REF.AL.PARAM.933</t>
  </si>
  <si>
    <t xml:space="preserve">VARIANCE_CHECK_WAVG[1]</t>
  </si>
  <si>
    <t xml:space="preserve">Variance check for WAVG in Agriculture, Forestry, Fishing and Hunting</t>
  </si>
  <si>
    <t xml:space="preserve">LSD.REF.AL.PARAM.934</t>
  </si>
  <si>
    <t xml:space="preserve">VARIANCE_CHECK_WAVG[2]</t>
  </si>
  <si>
    <t xml:space="preserve">Variance check for WAVG in Mining, Quarrying, and Oil and Gas Extraction</t>
  </si>
  <si>
    <t xml:space="preserve">LSD.REF.AL.PARAM.935</t>
  </si>
  <si>
    <t xml:space="preserve">VARIANCE_CHECK_WAVG[3]</t>
  </si>
  <si>
    <t xml:space="preserve">Variance check for WAVG in Utilities</t>
  </si>
  <si>
    <t xml:space="preserve">LSD.REF.AL.PARAM.936</t>
  </si>
  <si>
    <t xml:space="preserve">VARIANCE_CHECK_WAVG[4]</t>
  </si>
  <si>
    <t xml:space="preserve">Variance check for WAVG in Construction</t>
  </si>
  <si>
    <t xml:space="preserve">LSD.REF.AL.PARAM.937</t>
  </si>
  <si>
    <t xml:space="preserve">VARIANCE_CHECK_WAVG[5]</t>
  </si>
  <si>
    <t xml:space="preserve">Variance check for WAVG in Manufacturing (Food,Textile, etc.)</t>
  </si>
  <si>
    <t xml:space="preserve">LSD.REF.AL.PARAM.938</t>
  </si>
  <si>
    <t xml:space="preserve">VARIANCE_CHECK_WAVG[6]</t>
  </si>
  <si>
    <t xml:space="preserve">Variance check for WAVG in Manufacturing (Wood,Paper, Printing, etc.)</t>
  </si>
  <si>
    <t xml:space="preserve">LSD.REF.AL.PARAM.939</t>
  </si>
  <si>
    <t xml:space="preserve">VARIANCE_CHECK_WAVG[7]</t>
  </si>
  <si>
    <t xml:space="preserve">Variance check for WAVG in Manufacturing (Machinery, Transport)</t>
  </si>
  <si>
    <t xml:space="preserve">LSD.REF.AL.PARAM.940</t>
  </si>
  <si>
    <t xml:space="preserve">VARIANCE_CHECK_WAVG[8]</t>
  </si>
  <si>
    <t xml:space="preserve">Variance check for WAVG in Wholesale Trade</t>
  </si>
  <si>
    <t xml:space="preserve">LSD.REF.AL.PARAM.941</t>
  </si>
  <si>
    <t xml:space="preserve">VARIANCE_CHECK_WAVG[9]</t>
  </si>
  <si>
    <t xml:space="preserve">Variance check for WAVG in Retail Trade (Motor Vehicle, Electronics)</t>
  </si>
  <si>
    <t xml:space="preserve">LSD.REF.AL.PARAM.942</t>
  </si>
  <si>
    <t xml:space="preserve">VARIANCE_CHECK_WAVG[10]</t>
  </si>
  <si>
    <t xml:space="preserve">Variance check for WAVG in Retail Trade (Food, Clothing, General Merchandise, etc.)</t>
  </si>
  <si>
    <t xml:space="preserve">LSD.REF.AL.PARAM.943</t>
  </si>
  <si>
    <t xml:space="preserve">VARIANCE_CHECK_WAVG[11]</t>
  </si>
  <si>
    <t xml:space="preserve">Variance check for WAVG in Transportation</t>
  </si>
  <si>
    <t xml:space="preserve">LSD.REF.AL.PARAM.944</t>
  </si>
  <si>
    <t xml:space="preserve">VARIANCE_CHECK_WAVG[12]</t>
  </si>
  <si>
    <t xml:space="preserve">Variance check for WAVG in Warehousing and Storage</t>
  </si>
  <si>
    <t xml:space="preserve">LSD.REF.AL.PARAM.945</t>
  </si>
  <si>
    <t xml:space="preserve">VARIANCE_CHECK_WAVG[13]</t>
  </si>
  <si>
    <t xml:space="preserve">Variance check for WAVG in Information</t>
  </si>
  <si>
    <t xml:space="preserve">LSD.REF.AL.PARAM.946</t>
  </si>
  <si>
    <t xml:space="preserve">VARIANCE_CHECK_WAVG[14]</t>
  </si>
  <si>
    <t xml:space="preserve">Variance check for WAVG in Finance and Insurance</t>
  </si>
  <si>
    <t xml:space="preserve">LSD.REF.AL.PARAM.947</t>
  </si>
  <si>
    <t xml:space="preserve">VARIANCE_CHECK_WAVG[15]</t>
  </si>
  <si>
    <t xml:space="preserve">Variance check for WAVG in Real Estate and Rental and Leasing</t>
  </si>
  <si>
    <t xml:space="preserve">LSD.REF.AL.PARAM.948</t>
  </si>
  <si>
    <t xml:space="preserve">VARIANCE_CHECK_WAVG[16]</t>
  </si>
  <si>
    <t xml:space="preserve">Variance check for WAVG in Professional, Scientific, and Technical Services</t>
  </si>
  <si>
    <t xml:space="preserve">LSD.REF.AL.PARAM.949</t>
  </si>
  <si>
    <t xml:space="preserve">VARIANCE_CHECK_WAVG[17]</t>
  </si>
  <si>
    <t xml:space="preserve">Variance check for WAVG in Administrative and Support and Waste Management and Remediation Services</t>
  </si>
  <si>
    <t xml:space="preserve">LSD.REF.AL.PARAM.950</t>
  </si>
  <si>
    <t xml:space="preserve">VARIANCE_CHECK_WAVG[18]</t>
  </si>
  <si>
    <t xml:space="preserve">Variance check for WAVG in Educational Services</t>
  </si>
  <si>
    <t xml:space="preserve">LSD.REF.AL.PARAM.951</t>
  </si>
  <si>
    <t xml:space="preserve">VARIANCE_CHECK_WAVG[19]</t>
  </si>
  <si>
    <t xml:space="preserve">Variance check for WAVG in Health Care and Social Assistance</t>
  </si>
  <si>
    <t xml:space="preserve">LSD.REF.AL.PARAM.952</t>
  </si>
  <si>
    <t xml:space="preserve">VARIANCE_CHECK_WAVG[20]</t>
  </si>
  <si>
    <t xml:space="preserve">Variance check for WAVG in Arts, Entertainment, and Recreation</t>
  </si>
  <si>
    <t xml:space="preserve">LSD.REF.AL.PARAM.953</t>
  </si>
  <si>
    <t xml:space="preserve">VARIANCE_CHECK_WAVG[21]</t>
  </si>
  <si>
    <t xml:space="preserve">Variance check for WAVG in Accommodation and Food Services</t>
  </si>
  <si>
    <t xml:space="preserve">LSD.REF.AL.PARAM.954</t>
  </si>
  <si>
    <t xml:space="preserve">VARIANCE_CHECK_WAVG[22]</t>
  </si>
  <si>
    <t xml:space="preserve">Variance check for WAVG in Other Services (except Public Administration)</t>
  </si>
  <si>
    <t xml:space="preserve">LSD.REF.AL.PARAM.955</t>
  </si>
  <si>
    <t xml:space="preserve">VARIANCE_CHECK_WAVG[23]</t>
  </si>
  <si>
    <t xml:space="preserve">Variance check for WAVG in Public Administration</t>
  </si>
  <si>
    <t xml:space="preserve">LSD.REF.AL.PARAM.956</t>
  </si>
  <si>
    <t xml:space="preserve">UNAUTH_WAVG_PENALTY_SEC[0]</t>
  </si>
  <si>
    <t xml:space="preserve">Unauthorized WAVG penalty for All Industries</t>
  </si>
  <si>
    <t xml:space="preserve">New; ~22% penalty</t>
  </si>
  <si>
    <t xml:space="preserve">LSD.REF.AL.PARAM.957</t>
  </si>
  <si>
    <t xml:space="preserve">UNAUTH_WAVG_PENALTY_SEC[1]</t>
  </si>
  <si>
    <t xml:space="preserve">Unauthorized WAVG penalty for Agriculture, Forestry, Fishing and Hunting</t>
  </si>
  <si>
    <t xml:space="preserve">LSD.REF.AL.PARAM.958</t>
  </si>
  <si>
    <t xml:space="preserve">UNAUTH_WAVG_PENALTY_SEC[2]</t>
  </si>
  <si>
    <t xml:space="preserve">Unauthorized WAVG penalty for Mining, Quarrying, and Oil and Gas Extraction</t>
  </si>
  <si>
    <t xml:space="preserve">LSD.REF.AL.PARAM.959</t>
  </si>
  <si>
    <t xml:space="preserve">UNAUTH_WAVG_PENALTY_SEC[3]</t>
  </si>
  <si>
    <t xml:space="preserve">Unauthorized WAVG penalty for Utilities</t>
  </si>
  <si>
    <t xml:space="preserve">LSD.REF.AL.PARAM.960</t>
  </si>
  <si>
    <t xml:space="preserve">UNAUTH_WAVG_PENALTY_SEC[4]</t>
  </si>
  <si>
    <t xml:space="preserve">Unauthorized WAVG penalty for Construction</t>
  </si>
  <si>
    <t xml:space="preserve">LSD.REF.AL.PARAM.961</t>
  </si>
  <si>
    <t xml:space="preserve">UNAUTH_WAVG_PENALTY_SEC[5]</t>
  </si>
  <si>
    <t xml:space="preserve">Unauthorized WAVG penalty for Manufacturing (Food,Textile, etc.)</t>
  </si>
  <si>
    <t xml:space="preserve">LSD.REF.AL.PARAM.962</t>
  </si>
  <si>
    <t xml:space="preserve">UNAUTH_WAVG_PENALTY_SEC[6]</t>
  </si>
  <si>
    <t xml:space="preserve">Unauthorized WAVG penalty for Manufacturing (Wood,Paper, Printing, etc.)</t>
  </si>
  <si>
    <t xml:space="preserve">LSD.REF.AL.PARAM.963</t>
  </si>
  <si>
    <t xml:space="preserve">UNAUTH_WAVG_PENALTY_SEC[7]</t>
  </si>
  <si>
    <t xml:space="preserve">Unauthorized WAVG penalty for Manufacturing (Machinery, Transport)</t>
  </si>
  <si>
    <t xml:space="preserve">LSD.REF.AL.PARAM.964</t>
  </si>
  <si>
    <t xml:space="preserve">UNAUTH_WAVG_PENALTY_SEC[8]</t>
  </si>
  <si>
    <t xml:space="preserve">Unauthorized WAVG penalty for Wholesale Trade</t>
  </si>
  <si>
    <t xml:space="preserve">LSD.REF.AL.PARAM.965</t>
  </si>
  <si>
    <t xml:space="preserve">UNAUTH_WAVG_PENALTY_SEC[9]</t>
  </si>
  <si>
    <t xml:space="preserve">Unauthorized WAVG penalty for Retail Trade (Motor Vehicle, Electronics)</t>
  </si>
  <si>
    <t xml:space="preserve">LSD.REF.AL.PARAM.966</t>
  </si>
  <si>
    <t xml:space="preserve">UNAUTH_WAVG_PENALTY_SEC[10]</t>
  </si>
  <si>
    <t xml:space="preserve">Unauthorized WAVG penalty for Retail Trade (Food, Clothing, General Merchandise, etc.)</t>
  </si>
  <si>
    <t xml:space="preserve">LSD.REF.AL.PARAM.967</t>
  </si>
  <si>
    <t xml:space="preserve">UNAUTH_WAVG_PENALTY_SEC[11]</t>
  </si>
  <si>
    <t xml:space="preserve">Unauthorized WAVG penalty for Transportation</t>
  </si>
  <si>
    <t xml:space="preserve">LSD.REF.AL.PARAM.968</t>
  </si>
  <si>
    <t xml:space="preserve">UNAUTH_WAVG_PENALTY_SEC[12]</t>
  </si>
  <si>
    <t xml:space="preserve">Unauthorized WAVG penalty for Warehousing and Storage</t>
  </si>
  <si>
    <t xml:space="preserve">LSD.REF.AL.PARAM.969</t>
  </si>
  <si>
    <t xml:space="preserve">UNAUTH_WAVG_PENALTY_SEC[13]</t>
  </si>
  <si>
    <t xml:space="preserve">Unauthorized WAVG penalty for Information</t>
  </si>
  <si>
    <t xml:space="preserve">LSD.REF.AL.PARAM.970</t>
  </si>
  <si>
    <t xml:space="preserve">UNAUTH_WAVG_PENALTY_SEC[14]</t>
  </si>
  <si>
    <t xml:space="preserve">Unauthorized WAVG penalty for Finance and Insurance</t>
  </si>
  <si>
    <t xml:space="preserve">LSD.REF.AL.PARAM.971</t>
  </si>
  <si>
    <t xml:space="preserve">UNAUTH_WAVG_PENALTY_SEC[15]</t>
  </si>
  <si>
    <t xml:space="preserve">Unauthorized WAVG penalty for Real Estate and Rental and Leasing</t>
  </si>
  <si>
    <t xml:space="preserve">LSD.REF.AL.PARAM.972</t>
  </si>
  <si>
    <t xml:space="preserve">UNAUTH_WAVG_PENALTY_SEC[16]</t>
  </si>
  <si>
    <t xml:space="preserve">Unauthorized WAVG penalty for Professional, Scientific, and Technical Services</t>
  </si>
  <si>
    <t xml:space="preserve">LSD.REF.AL.PARAM.973</t>
  </si>
  <si>
    <t xml:space="preserve">UNAUTH_WAVG_PENALTY_SEC[17]</t>
  </si>
  <si>
    <t xml:space="preserve">Unauthorized WAVG penalty for Administrative and Support and Waste Management and Remediation Services</t>
  </si>
  <si>
    <t xml:space="preserve">LSD.REF.AL.PARAM.974</t>
  </si>
  <si>
    <t xml:space="preserve">UNAUTH_WAVG_PENALTY_SEC[18]</t>
  </si>
  <si>
    <t xml:space="preserve">Unauthorized WAVG penalty for Educational Services</t>
  </si>
  <si>
    <t xml:space="preserve">LSD.REF.AL.PARAM.975</t>
  </si>
  <si>
    <t xml:space="preserve">UNAUTH_WAVG_PENALTY_SEC[19]</t>
  </si>
  <si>
    <t xml:space="preserve">Unauthorized WAVG penalty for Health Care and Social Assistance</t>
  </si>
  <si>
    <t xml:space="preserve">LSD.REF.AL.PARAM.976</t>
  </si>
  <si>
    <t xml:space="preserve">UNAUTH_WAVG_PENALTY_SEC[20]</t>
  </si>
  <si>
    <t xml:space="preserve">Unauthorized WAVG penalty for Arts, Entertainment, and Recreation</t>
  </si>
  <si>
    <t xml:space="preserve">LSD.REF.AL.PARAM.977</t>
  </si>
  <si>
    <t xml:space="preserve">UNAUTH_WAVG_PENALTY_SEC[21]</t>
  </si>
  <si>
    <t xml:space="preserve">Unauthorized WAVG penalty for Accommodation and Food Services</t>
  </si>
  <si>
    <t xml:space="preserve">LSD.REF.AL.PARAM.978</t>
  </si>
  <si>
    <t xml:space="preserve">UNAUTH_WAVG_PENALTY_SEC[22]</t>
  </si>
  <si>
    <t xml:space="preserve">Unauthorized WAVG penalty for Other Services (except Public Administration)</t>
  </si>
  <si>
    <t xml:space="preserve">LSD.REF.AL.PARAM.979</t>
  </si>
  <si>
    <t xml:space="preserve">UNAUTH_WAVG_PENALTY_SEC[23]</t>
  </si>
  <si>
    <t xml:space="preserve">Unauthorized WAVG penalty for Public Administration</t>
  </si>
  <si>
    <t xml:space="preserve">LSD.REF.AL.PARAM.980</t>
  </si>
  <si>
    <t xml:space="preserve">AUTH_WAVG_PREMIUM_SEC[0]</t>
  </si>
  <si>
    <t xml:space="preserve">Authorized WAVG premium for All Industries</t>
  </si>
  <si>
    <t xml:space="preserve">New; ~1.6% premium</t>
  </si>
  <si>
    <t xml:space="preserve">LSD.REF.AL.PARAM.981</t>
  </si>
  <si>
    <t xml:space="preserve">AUTH_WAVG_PREMIUM_SEC[1]</t>
  </si>
  <si>
    <t xml:space="preserve">Authorized WAVG premium for Agriculture, Forestry, Fishing and Hunting</t>
  </si>
  <si>
    <t xml:space="preserve">LSD.REF.AL.PARAM.982</t>
  </si>
  <si>
    <t xml:space="preserve">AUTH_WAVG_PREMIUM_SEC[2]</t>
  </si>
  <si>
    <t xml:space="preserve">Authorized WAVG premium for Mining, Quarrying, and Oil and Gas Extraction</t>
  </si>
  <si>
    <t xml:space="preserve">LSD.REF.AL.PARAM.983</t>
  </si>
  <si>
    <t xml:space="preserve">AUTH_WAVG_PREMIUM_SEC[3]</t>
  </si>
  <si>
    <t xml:space="preserve">Authorized WAVG premium for Utilities</t>
  </si>
  <si>
    <t xml:space="preserve">LSD.REF.AL.PARAM.984</t>
  </si>
  <si>
    <t xml:space="preserve">AUTH_WAVG_PREMIUM_SEC[4]</t>
  </si>
  <si>
    <t xml:space="preserve">Authorized WAVG premium for Construction</t>
  </si>
  <si>
    <t xml:space="preserve">LSD.REF.AL.PARAM.985</t>
  </si>
  <si>
    <t xml:space="preserve">AUTH_WAVG_PREMIUM_SEC[5]</t>
  </si>
  <si>
    <t xml:space="preserve">Authorized WAVG premium for Manufacturing (Food,Textile, etc.)</t>
  </si>
  <si>
    <t xml:space="preserve">LSD.REF.AL.PARAM.986</t>
  </si>
  <si>
    <t xml:space="preserve">AUTH_WAVG_PREMIUM_SEC[6]</t>
  </si>
  <si>
    <t xml:space="preserve">Authorized WAVG premium for Manufacturing (Wood,Paper, Printing, etc.)</t>
  </si>
  <si>
    <t xml:space="preserve">LSD.REF.AL.PARAM.987</t>
  </si>
  <si>
    <t xml:space="preserve">AUTH_WAVG_PREMIUM_SEC[7]</t>
  </si>
  <si>
    <t xml:space="preserve">Authorized WAVG premium for Manufacturing (Machinery, Transport)</t>
  </si>
  <si>
    <t xml:space="preserve">LSD.REF.AL.PARAM.988</t>
  </si>
  <si>
    <t xml:space="preserve">AUTH_WAVG_PREMIUM_SEC[8]</t>
  </si>
  <si>
    <t xml:space="preserve">Authorized WAVG premium for Wholesale Trade</t>
  </si>
  <si>
    <t xml:space="preserve">LSD.REF.AL.PARAM.989</t>
  </si>
  <si>
    <t xml:space="preserve">AUTH_WAVG_PREMIUM_SEC[9]</t>
  </si>
  <si>
    <t xml:space="preserve">Authorized WAVG premium for Retail Trade (Motor Vehicle, Electronics)</t>
  </si>
  <si>
    <t xml:space="preserve">LSD.REF.AL.PARAM.990</t>
  </si>
  <si>
    <t xml:space="preserve">AUTH_WAVG_PREMIUM_SEC[10]</t>
  </si>
  <si>
    <t xml:space="preserve">Authorized WAVG premium for Retail Trade (Food, Clothing, General Merchandise, etc.)</t>
  </si>
  <si>
    <t xml:space="preserve">LSD.REF.AL.PARAM.991</t>
  </si>
  <si>
    <t xml:space="preserve">AUTH_WAVG_PREMIUM_SEC[11]</t>
  </si>
  <si>
    <t xml:space="preserve">Authorized WAVG premium for Transportation</t>
  </si>
  <si>
    <t xml:space="preserve">LSD.REF.AL.PARAM.992</t>
  </si>
  <si>
    <t xml:space="preserve">AUTH_WAVG_PREMIUM_SEC[12]</t>
  </si>
  <si>
    <t xml:space="preserve">Authorized WAVG premium for Warehousing and Storage</t>
  </si>
  <si>
    <t xml:space="preserve">LSD.REF.AL.PARAM.993</t>
  </si>
  <si>
    <t xml:space="preserve">AUTH_WAVG_PREMIUM_SEC[13]</t>
  </si>
  <si>
    <t xml:space="preserve">Authorized WAVG premium for Information</t>
  </si>
  <si>
    <t xml:space="preserve">LSD.REF.AL.PARAM.994</t>
  </si>
  <si>
    <t xml:space="preserve">AUTH_WAVG_PREMIUM_SEC[14]</t>
  </si>
  <si>
    <t xml:space="preserve">Authorized WAVG premium for Finance and Insurance</t>
  </si>
  <si>
    <t xml:space="preserve">LSD.REF.AL.PARAM.995</t>
  </si>
  <si>
    <t xml:space="preserve">AUTH_WAVG_PREMIUM_SEC[15]</t>
  </si>
  <si>
    <t xml:space="preserve">Authorized WAVG premium for Real Estate and Rental and Leasing</t>
  </si>
  <si>
    <t xml:space="preserve">LSD.REF.AL.PARAM.996</t>
  </si>
  <si>
    <t xml:space="preserve">AUTH_WAVG_PREMIUM_SEC[16]</t>
  </si>
  <si>
    <t xml:space="preserve">Authorized WAVG premium for Professional, Scientific, and Technical Services</t>
  </si>
  <si>
    <t xml:space="preserve">LSD.REF.AL.PARAM.997</t>
  </si>
  <si>
    <t xml:space="preserve">AUTH_WAVG_PREMIUM_SEC[17]</t>
  </si>
  <si>
    <t xml:space="preserve">Authorized WAVG premium for Administrative and Support and Waste Management and Remediation Services</t>
  </si>
  <si>
    <t xml:space="preserve">LSD.REF.AL.PARAM.998</t>
  </si>
  <si>
    <t xml:space="preserve">AUTH_WAVG_PREMIUM_SEC[18]</t>
  </si>
  <si>
    <t xml:space="preserve">Authorized WAVG premium for Educational Services</t>
  </si>
  <si>
    <t xml:space="preserve">LSD.REF.AL.PARAM.999</t>
  </si>
  <si>
    <t xml:space="preserve">AUTH_WAVG_PREMIUM_SEC[19]</t>
  </si>
  <si>
    <t xml:space="preserve">Authorized WAVG premium for Health Care and Social Assistance</t>
  </si>
  <si>
    <t xml:space="preserve">LSD.REF.AL.PARAM.1000</t>
  </si>
  <si>
    <t xml:space="preserve">AUTH_WAVG_PREMIUM_SEC[20]</t>
  </si>
  <si>
    <t xml:space="preserve">Authorized WAVG premium for Arts, Entertainment, and Recreation</t>
  </si>
  <si>
    <t xml:space="preserve">LSD.REF.AL.PARAM.1001</t>
  </si>
  <si>
    <t xml:space="preserve">AUTH_WAVG_PREMIUM_SEC[21]</t>
  </si>
  <si>
    <t xml:space="preserve">Authorized WAVG premium for Accommodation and Food Services</t>
  </si>
  <si>
    <t xml:space="preserve">LSD.REF.AL.PARAM.1002</t>
  </si>
  <si>
    <t xml:space="preserve">AUTH_WAVG_PREMIUM_SEC[22]</t>
  </si>
  <si>
    <t xml:space="preserve">Authorized WAVG premium for Other Services (except Public Administration)</t>
  </si>
  <si>
    <t xml:space="preserve">LSD.REF.AL.PARAM.1003</t>
  </si>
  <si>
    <t xml:space="preserve">AUTH_WAVG_PREMIUM_SEC[23]</t>
  </si>
  <si>
    <t xml:space="preserve">Authorized WAVG premium for Public Administration</t>
  </si>
  <si>
    <t xml:space="preserve">LSD.REF.AL.PARAM.1004</t>
  </si>
  <si>
    <t xml:space="preserve">WAVG_VARIANCE_SEC[0]</t>
  </si>
  <si>
    <t xml:space="preserve">WAVG variance bound for All Industries (TNPE-weighted)</t>
  </si>
  <si>
    <t xml:space="preserve">LSD.REF.AL.PARAM.1005</t>
  </si>
  <si>
    <t xml:space="preserve">WAVG_VARIANCE_SEC[1]</t>
  </si>
  <si>
    <t xml:space="preserve">WAVG variance bound for Agriculture, Forestry, Fishing and Hunting (TNPE-weighted)</t>
  </si>
  <si>
    <t xml:space="preserve">LSD.REF.AL.PARAM.1006</t>
  </si>
  <si>
    <t xml:space="preserve">WAVG variance bound for Mining, Quarrying, and Oil and Gas Extraction (TNPE-weighted)</t>
  </si>
  <si>
    <t xml:space="preserve">LSD.REF.AL.PARAM.1007</t>
  </si>
  <si>
    <t xml:space="preserve">WAVG variance bound for Utilities (TNPE-weighted)</t>
  </si>
  <si>
    <t xml:space="preserve">LSD.REF.AL.PARAM.1008</t>
  </si>
  <si>
    <t xml:space="preserve">WAVG variance bound for Construction (TNPE-weighted)</t>
  </si>
  <si>
    <t xml:space="preserve">LSD.REF.AL.PARAM.1009</t>
  </si>
  <si>
    <t xml:space="preserve">WAVG variance bound for Manufacturing (Food,Textile, etc.) (TNPE-weighted)</t>
  </si>
  <si>
    <t xml:space="preserve">LSD.REF.AL.PARAM.1010</t>
  </si>
  <si>
    <t xml:space="preserve">WAVG variance bound for Manufacturing (Wood,Paper, Printing, etc.) (TNPE-weighted)</t>
  </si>
  <si>
    <t xml:space="preserve">LSD.REF.AL.PARAM.1011</t>
  </si>
  <si>
    <t xml:space="preserve">WAVG variance bound for Manufacturing (Machinery, Transport) (TNPE-weighted)</t>
  </si>
  <si>
    <t xml:space="preserve">LSD.REF.AL.PARAM.1012</t>
  </si>
  <si>
    <t xml:space="preserve">WAVG variance bound for Wholesale Trade (TNPE-weighted)</t>
  </si>
  <si>
    <t xml:space="preserve">LSD.REF.AL.PARAM.1013</t>
  </si>
  <si>
    <t xml:space="preserve">WAVG variance bound for Retail Trade (Motor Vehicle, Electronics) (TNPE-weighted)</t>
  </si>
  <si>
    <t xml:space="preserve">LSD.REF.AL.PARAM.1014</t>
  </si>
  <si>
    <t xml:space="preserve">WAVG variance bound for Retail Trade (Food, Clothing, General Merchandise, etc.) (TNPE-weighted)</t>
  </si>
  <si>
    <t xml:space="preserve">LSD.REF.AL.PARAM.1015</t>
  </si>
  <si>
    <t xml:space="preserve">WAVG variance bound for Transportation (TNPE-weighted)</t>
  </si>
  <si>
    <t xml:space="preserve">LSD.REF.AL.PARAM.1016</t>
  </si>
  <si>
    <t xml:space="preserve">WAVG variance bound for Warehousing and Storage (TNPE-weighted)</t>
  </si>
  <si>
    <t xml:space="preserve">LSD.REF.AL.PARAM.1017</t>
  </si>
  <si>
    <t xml:space="preserve">WAVG variance bound for Information (TNPE-weighted)</t>
  </si>
  <si>
    <t xml:space="preserve">LSD.REF.AL.PARAM.1018</t>
  </si>
  <si>
    <t xml:space="preserve">WAVG variance bound for Finance and Insurance (TNPE-weighted)</t>
  </si>
  <si>
    <t xml:space="preserve">LSD.REF.AL.PARAM.1019</t>
  </si>
  <si>
    <t xml:space="preserve">WAVG variance bound for Real Estate and Rental and Leasing (TNPE-weighted)</t>
  </si>
  <si>
    <t xml:space="preserve">LSD.REF.AL.PARAM.1020</t>
  </si>
  <si>
    <t xml:space="preserve">WAVG variance bound for Professional, Scientific, and Technical Services (TNPE-weighted)</t>
  </si>
  <si>
    <t xml:space="preserve">LSD.REF.AL.PARAM.1021</t>
  </si>
  <si>
    <t xml:space="preserve">WAVG variance bound for Administrative and Support and Waste Management and Remediation Services (TNPE-weighted)</t>
  </si>
  <si>
    <t xml:space="preserve">LSD.REF.AL.PARAM.1022</t>
  </si>
  <si>
    <t xml:space="preserve">WAVG variance bound for Educational Services (TNPE-weighted)</t>
  </si>
  <si>
    <t xml:space="preserve">LSD.REF.AL.PARAM.1023</t>
  </si>
  <si>
    <t xml:space="preserve">WAVG variance bound for Health Care and Social Assistance (TNPE-weighted)</t>
  </si>
  <si>
    <t xml:space="preserve">LSD.REF.AL.PARAM.1024</t>
  </si>
  <si>
    <t xml:space="preserve">WAVG variance bound for Arts, Entertainment, and Recreation (TNPE-weighted)</t>
  </si>
  <si>
    <t xml:space="preserve">LSD.REF.AL.PARAM.1025</t>
  </si>
  <si>
    <t xml:space="preserve">WAVG variance bound for Accommodation and Food Services (TNPE-weighted)</t>
  </si>
  <si>
    <t xml:space="preserve">LSD.REF.AL.PARAM.1026</t>
  </si>
  <si>
    <t xml:space="preserve">WAVG variance bound for Other Services (except Public Administration) (TNPE-weighted)</t>
  </si>
  <si>
    <t xml:space="preserve">LSD.REF.AL.PARAM.1027</t>
  </si>
  <si>
    <t xml:space="preserve">WAVG variance bound for Public Administration (TNPE-weighted)</t>
  </si>
  <si>
    <t xml:space="preserve">LSD.REF.AL.PARAM.1028</t>
  </si>
  <si>
    <t xml:space="preserve">SOURCE_CONFIDENCE_WAVG[0]</t>
  </si>
  <si>
    <t xml:space="preserve">Source confidence for WAVG in All Industries</t>
  </si>
  <si>
    <t xml:space="preserve">LSD.REF.AL.PARAM.1029</t>
  </si>
  <si>
    <t xml:space="preserve">SOURCE_CONFIDENCE_WAVG[1]</t>
  </si>
  <si>
    <t xml:space="preserve">Source confidence for WAVG in Agriculture, Forestry, Fishing and Hunting</t>
  </si>
  <si>
    <t xml:space="preserve">LSD.REF.AL.PARAM.1030</t>
  </si>
  <si>
    <t xml:space="preserve">SOURCE_CONFIDENCE_WAVG[2]</t>
  </si>
  <si>
    <t xml:space="preserve">Source confidence for WAVG in Mining, Quarrying, and Oil and Gas Extraction</t>
  </si>
  <si>
    <t xml:space="preserve">LSD.REF.AL.PARAM.1031</t>
  </si>
  <si>
    <t xml:space="preserve">SOURCE_CONFIDENCE_WAVG[3]</t>
  </si>
  <si>
    <t xml:space="preserve">Source confidence for WAVG in Utilities</t>
  </si>
  <si>
    <t xml:space="preserve">LSD.REF.AL.PARAM.1032</t>
  </si>
  <si>
    <t xml:space="preserve">SOURCE_CONFIDENCE_WAVG[4]</t>
  </si>
  <si>
    <t xml:space="preserve">Source confidence for WAVG in Construction</t>
  </si>
  <si>
    <t xml:space="preserve">LSD.REF.AL.PARAM.1033</t>
  </si>
  <si>
    <t xml:space="preserve">SOURCE_CONFIDENCE_WAVG[5]</t>
  </si>
  <si>
    <t xml:space="preserve">Source confidence for WAVG in Manufacturing (Food,Textile, etc.)</t>
  </si>
  <si>
    <t xml:space="preserve">LSD.REF.AL.PARAM.1034</t>
  </si>
  <si>
    <t xml:space="preserve">SOURCE_CONFIDENCE_WAVG[6]</t>
  </si>
  <si>
    <t xml:space="preserve">Source confidence for WAVG in Manufacturing (Wood,Paper, Printing, etc.)</t>
  </si>
  <si>
    <t xml:space="preserve">LSD.REF.AL.PARAM.1035</t>
  </si>
  <si>
    <t xml:space="preserve">SOURCE_CONFIDENCE_WAVG[7]</t>
  </si>
  <si>
    <t xml:space="preserve">Source confidence for WAVG in Manufacturing (Machinery, Transport)</t>
  </si>
  <si>
    <t xml:space="preserve">LSD.REF.AL.PARAM.1036</t>
  </si>
  <si>
    <t xml:space="preserve">SOURCE_CONFIDENCE_WAVG[8]</t>
  </si>
  <si>
    <t xml:space="preserve">Source confidence for WAVG in Wholesale Trade</t>
  </si>
  <si>
    <t xml:space="preserve">LSD.REF.AL.PARAM.1037</t>
  </si>
  <si>
    <t xml:space="preserve">SOURCE_CONFIDENCE_WAVG[9]</t>
  </si>
  <si>
    <t xml:space="preserve">Source confidence for WAVG in Retail Trade (Motor Vehicle, Electronics)</t>
  </si>
  <si>
    <t xml:space="preserve">LSD.REF.AL.PARAM.1038</t>
  </si>
  <si>
    <t xml:space="preserve">SOURCE_CONFIDENCE_WAVG[10]</t>
  </si>
  <si>
    <t xml:space="preserve">Source confidence for WAVG in Retail Trade (Food, Clothing, General Merchandise, etc.)</t>
  </si>
  <si>
    <t xml:space="preserve">LSD.REF.AL.PARAM.1039</t>
  </si>
  <si>
    <t xml:space="preserve">SOURCE_CONFIDENCE_WAVG[11]</t>
  </si>
  <si>
    <t xml:space="preserve">Source confidence for WAVG in Transportation</t>
  </si>
  <si>
    <t xml:space="preserve">LSD.REF.AL.PARAM.1040</t>
  </si>
  <si>
    <t xml:space="preserve">SOURCE_CONFIDENCE_WAVG[12]</t>
  </si>
  <si>
    <t xml:space="preserve">Source confidence for WAVG in Warehousing and Storage</t>
  </si>
  <si>
    <t xml:space="preserve">LSD.REF.AL.PARAM.1041</t>
  </si>
  <si>
    <t xml:space="preserve">SOURCE_CONFIDENCE_WAVG[13]</t>
  </si>
  <si>
    <t xml:space="preserve">Source confidence for WAVG in Information</t>
  </si>
  <si>
    <t xml:space="preserve">LSD.REF.AL.PARAM.1042</t>
  </si>
  <si>
    <t xml:space="preserve">SOURCE_CONFIDENCE_WAVG[14]</t>
  </si>
  <si>
    <t xml:space="preserve">Source confidence for WAVG in Finance and Insurance</t>
  </si>
  <si>
    <t xml:space="preserve">LSD.REF.AL.PARAM.1043</t>
  </si>
  <si>
    <t xml:space="preserve">SOURCE_CONFIDENCE_WAVG[15]</t>
  </si>
  <si>
    <t xml:space="preserve">Source confidence for WAVG in Real Estate and Rental and Leasing</t>
  </si>
  <si>
    <t xml:space="preserve">LSD.REF.AL.PARAM.1044</t>
  </si>
  <si>
    <t xml:space="preserve">SOURCE_CONFIDENCE_WAVG[16]</t>
  </si>
  <si>
    <t xml:space="preserve">Source confidence for WAVG in Professional, Scientific, and Technical Services</t>
  </si>
  <si>
    <t xml:space="preserve">LSD.REF.AL.PARAM.1045</t>
  </si>
  <si>
    <t xml:space="preserve">SOURCE_CONFIDENCE_WAVG[17]</t>
  </si>
  <si>
    <t xml:space="preserve">Source confidence for WAVG in Administrative and Support and Waste Management and Remediation Services</t>
  </si>
  <si>
    <t xml:space="preserve">LSD.REF.AL.PARAM.1046</t>
  </si>
  <si>
    <t xml:space="preserve">SOURCE_CONFIDENCE_WAVG[18]</t>
  </si>
  <si>
    <t xml:space="preserve">Source confidence for WAVG in Educational Services</t>
  </si>
  <si>
    <t xml:space="preserve">LSD.REF.AL.PARAM.1047</t>
  </si>
  <si>
    <t xml:space="preserve">SOURCE_CONFIDENCE_WAVG[19]</t>
  </si>
  <si>
    <t xml:space="preserve">Source confidence for WAVG in Health Care and Social Assistance</t>
  </si>
  <si>
    <t xml:space="preserve">LSD.REF.AL.PARAM.1048</t>
  </si>
  <si>
    <t xml:space="preserve">SOURCE_CONFIDENCE_WAVG[20]</t>
  </si>
  <si>
    <t xml:space="preserve">Source confidence for WAVG in Arts, Entertainment, and Recreation</t>
  </si>
  <si>
    <t xml:space="preserve">LSD.REF.AL.PARAM.1049</t>
  </si>
  <si>
    <t xml:space="preserve">SOURCE_CONFIDENCE_WAVG[21]</t>
  </si>
  <si>
    <t xml:space="preserve">Source confidence for WAVG in Accommodation and Food Services</t>
  </si>
  <si>
    <t xml:space="preserve">LSD.REF.AL.PARAM.1050</t>
  </si>
  <si>
    <t xml:space="preserve">SOURCE_CONFIDENCE_WAVG[22]</t>
  </si>
  <si>
    <t xml:space="preserve">Source confidence for WAVG in Other Services (except Public Administration)</t>
  </si>
  <si>
    <t xml:space="preserve">LSD.REF.AL.PARAM.1051</t>
  </si>
  <si>
    <t xml:space="preserve">SOURCE_CONFIDENCE_WAVG[23]</t>
  </si>
  <si>
    <t xml:space="preserve">Source confidence for WAVG in Public Administration</t>
  </si>
  <si>
    <t xml:space="preserve">LSD.REF.AL.PARAM.1052</t>
  </si>
  <si>
    <t xml:space="preserve">GROUP_AIAVG_ADJ</t>
  </si>
  <si>
    <t xml:space="preserve">General group AIAVG adjustment factor</t>
  </si>
  <si>
    <t xml:space="preserve">LSD.REF.AL.PARAM.1053</t>
  </si>
  <si>
    <t xml:space="preserve">CES_ACCURACY_AIAVG</t>
  </si>
  <si>
    <t xml:space="preserve">CES weight in AIAVG reconciliation</t>
  </si>
  <si>
    <t xml:space="preserve">LSD.REF.AL.PARAM.1054</t>
  </si>
  <si>
    <t xml:space="preserve">ANNUAL_HOURS_SEC[0]</t>
  </si>
  <si>
    <t xml:space="preserve">Annual hours for All Industries (full-time equiv)</t>
  </si>
  <si>
    <t xml:space="preserve">CPS/CES derived</t>
  </si>
  <si>
    <t xml:space="preserve">New; standard 40 hr/wk × 52</t>
  </si>
  <si>
    <t xml:space="preserve">LSD.REF.AL.PARAM.1055</t>
  </si>
  <si>
    <t xml:space="preserve">ANNUAL_HOURS_SEC[1]</t>
  </si>
  <si>
    <t xml:space="preserve">Annual hours for Agriculture, Forestry, Fishing and Hunting</t>
  </si>
  <si>
    <t xml:space="preserve">New; seasonal/part-time mix</t>
  </si>
  <si>
    <t xml:space="preserve">LSD.REF.AL.PARAM.1056</t>
  </si>
  <si>
    <t xml:space="preserve">ANNUAL_HOURS_SEC[2]</t>
  </si>
  <si>
    <t xml:space="preserve">Annual hours for Mining, Quarrying, and Oil and Gas Extraction</t>
  </si>
  <si>
    <t xml:space="preserve">New; overtime common</t>
  </si>
  <si>
    <t xml:space="preserve">LSD.REF.AL.PARAM.1057</t>
  </si>
  <si>
    <t xml:space="preserve">ANNUAL_HOURS_SEC[3]</t>
  </si>
  <si>
    <t xml:space="preserve">Annual hours for Utilities</t>
  </si>
  <si>
    <t xml:space="preserve">LSD.REF.AL.PARAM.1058</t>
  </si>
  <si>
    <t xml:space="preserve">ANNUAL_HOURS_SEC[4]</t>
  </si>
  <si>
    <t xml:space="preserve">Annual hours for Construction</t>
  </si>
  <si>
    <t xml:space="preserve">LSD.REF.AL.PARAM.1059</t>
  </si>
  <si>
    <t xml:space="preserve">ANNUAL_HOURS_SEC[5]</t>
  </si>
  <si>
    <t xml:space="preserve">Annual hours for Manufacturing (Food,Textile, etc.)</t>
  </si>
  <si>
    <t xml:space="preserve">LSD.REF.AL.PARAM.1060</t>
  </si>
  <si>
    <t xml:space="preserve">ANNUAL_HOURS_SEC[6]</t>
  </si>
  <si>
    <t xml:space="preserve">Annual hours for Manufacturing (Wood,Paper, Printing, etc.)</t>
  </si>
  <si>
    <t xml:space="preserve">LSD.REF.AL.PARAM.1061</t>
  </si>
  <si>
    <t xml:space="preserve">ANNUAL_HOURS_SEC[7]</t>
  </si>
  <si>
    <t xml:space="preserve">Annual hours for Manufacturing (Machinery, Transport)</t>
  </si>
  <si>
    <t xml:space="preserve">LSD.REF.AL.PARAM.1062</t>
  </si>
  <si>
    <t xml:space="preserve">ANNUAL_HOURS_SEC[8]</t>
  </si>
  <si>
    <t xml:space="preserve">Annual hours for Wholesale Trade</t>
  </si>
  <si>
    <t xml:space="preserve">LSD.REF.AL.PARAM.1063</t>
  </si>
  <si>
    <t xml:space="preserve">ANNUAL_HOURS_SEC[9]</t>
  </si>
  <si>
    <t xml:space="preserve">Annual hours for Retail Trade (Motor Vehicle, Electronics)</t>
  </si>
  <si>
    <t xml:space="preserve">New; part-time heavy</t>
  </si>
  <si>
    <t xml:space="preserve">LSD.REF.AL.PARAM.1064</t>
  </si>
  <si>
    <t xml:space="preserve">ANNUAL_HOURS_SEC[10]</t>
  </si>
  <si>
    <t xml:space="preserve">Annual hours for Retail Trade (Food, Clothing, General Merchandise, etc.)</t>
  </si>
  <si>
    <t xml:space="preserve">LSD.REF.AL.PARAM.1065</t>
  </si>
  <si>
    <t xml:space="preserve">ANNUAL_HOURS_SEC[11]</t>
  </si>
  <si>
    <t xml:space="preserve">Annual hours for Transportation</t>
  </si>
  <si>
    <t xml:space="preserve">LSD.REF.AL.PARAM.1066</t>
  </si>
  <si>
    <t xml:space="preserve">ANNUAL_HOURS_SEC[12]</t>
  </si>
  <si>
    <t xml:space="preserve">Annual hours for Warehousing and Storage</t>
  </si>
  <si>
    <t xml:space="preserve">LSD.REF.AL.PARAM.1067</t>
  </si>
  <si>
    <t xml:space="preserve">ANNUAL_HOURS_SEC[13]</t>
  </si>
  <si>
    <t xml:space="preserve">Annual hours for Information</t>
  </si>
  <si>
    <t xml:space="preserve">LSD.REF.AL.PARAM.1068</t>
  </si>
  <si>
    <t xml:space="preserve">ANNUAL_HOURS_SEC[14]</t>
  </si>
  <si>
    <t xml:space="preserve">Annual hours for Finance and Insurance</t>
  </si>
  <si>
    <t xml:space="preserve">LSD.REF.AL.PARAM.1069</t>
  </si>
  <si>
    <t xml:space="preserve">ANNUAL_HOURS_SEC[15]</t>
  </si>
  <si>
    <t xml:space="preserve">Annual hours for Real Estate and Rental and Leasing</t>
  </si>
  <si>
    <t xml:space="preserve">LSD.REF.AL.PARAM.1070</t>
  </si>
  <si>
    <t xml:space="preserve">ANNUAL_HOURS_SEC[16]</t>
  </si>
  <si>
    <t xml:space="preserve">Annual hours for Professional, Scientific, and Technical Services</t>
  </si>
  <si>
    <t xml:space="preserve">New; overtime in consulting</t>
  </si>
  <si>
    <t xml:space="preserve">LSD.REF.AL.PARAM.1071</t>
  </si>
  <si>
    <t xml:space="preserve">ANNUAL_HOURS_SEC[17]</t>
  </si>
  <si>
    <t xml:space="preserve">Annual hours for Administrative and Support and Waste Management and Remediation Services</t>
  </si>
  <si>
    <t xml:space="preserve">New; part-time mix</t>
  </si>
  <si>
    <t xml:space="preserve">LSD.REF.AL.PARAM.1072</t>
  </si>
  <si>
    <t xml:space="preserve">ANNUAL_HOURS_SEC[18]</t>
  </si>
  <si>
    <t xml:space="preserve">Annual hours for Educational Services</t>
  </si>
  <si>
    <t xml:space="preserve">New; school year adjustments</t>
  </si>
  <si>
    <t xml:space="preserve">LSD.REF.AL.PARAM.1073</t>
  </si>
  <si>
    <t xml:space="preserve">ANNUAL_HOURS_SEC[19]</t>
  </si>
  <si>
    <t xml:space="preserve">Annual hours for Health Care and Social Assistance</t>
  </si>
  <si>
    <t xml:space="preserve">LSD.REF.AL.PARAM.1074</t>
  </si>
  <si>
    <t xml:space="preserve">ANNUAL_HOURS_SEC[20]</t>
  </si>
  <si>
    <t xml:space="preserve">Annual hours for Arts, Entertainment, and Recreation</t>
  </si>
  <si>
    <t xml:space="preserve">New; seasonal/part-time</t>
  </si>
  <si>
    <t xml:space="preserve">LSD.REF.AL.PARAM.1075</t>
  </si>
  <si>
    <t xml:space="preserve">ANNUAL_HOURS_SEC[21]</t>
  </si>
  <si>
    <t xml:space="preserve">Annual hours for Accommodation and Food Services</t>
  </si>
  <si>
    <t xml:space="preserve">New; high part-time</t>
  </si>
  <si>
    <t xml:space="preserve">LSD.REF.AL.PARAM.1076</t>
  </si>
  <si>
    <t xml:space="preserve">ANNUAL_HOURS_SEC[22]</t>
  </si>
  <si>
    <t xml:space="preserve">Annual hours for Other Services (except Public Administration)</t>
  </si>
  <si>
    <t xml:space="preserve">LSD.REF.AL.PARAM.1077</t>
  </si>
  <si>
    <t xml:space="preserve">ANNUAL_HOURS_SEC[23]</t>
  </si>
  <si>
    <t xml:space="preserve">Annual hours for Public Administration</t>
  </si>
  <si>
    <t xml:space="preserve">LSD.REF.AL.PARAM.1078</t>
  </si>
  <si>
    <t xml:space="preserve">BASE_AIAVG_SEC[0]</t>
  </si>
  <si>
    <t xml:space="preserve">Base AIAVG for All Industries (WAVG × hours)</t>
  </si>
  <si>
    <t xml:space="preserve">BLS-derived</t>
  </si>
  <si>
    <t xml:space="preserve">New; 31.96 × 2080</t>
  </si>
  <si>
    <t xml:space="preserve">LSD.REF.AL.PARAM.1079</t>
  </si>
  <si>
    <t xml:space="preserve">BASE_AIAVG_SEC[1]</t>
  </si>
  <si>
    <t xml:space="preserve">Base AIAVG for Agriculture, Forestry, Fishing and Hunting</t>
  </si>
  <si>
    <t xml:space="preserve">New; 18.50 × 1900</t>
  </si>
  <si>
    <t xml:space="preserve">LSD.REF.AL.PARAM.1080</t>
  </si>
  <si>
    <t xml:space="preserve">BASE_AIAVG_SEC[2]</t>
  </si>
  <si>
    <t xml:space="preserve">Base AIAVG for Mining, Quarrying, and Oil and Gas Extraction</t>
  </si>
  <si>
    <t xml:space="preserve">New; 35.00 × 2100</t>
  </si>
  <si>
    <t xml:space="preserve">LSD.REF.AL.PARAM.1081</t>
  </si>
  <si>
    <t xml:space="preserve">BASE_AIAVG_SEC[3]</t>
  </si>
  <si>
    <t xml:space="preserve">Base AIAVG for Utilities</t>
  </si>
  <si>
    <t xml:space="preserve">New; 40.00 × 2080</t>
  </si>
  <si>
    <t xml:space="preserve">LSD.REF.AL.PARAM.1082</t>
  </si>
  <si>
    <t xml:space="preserve">BASE_AIAVG_SEC[4]</t>
  </si>
  <si>
    <t xml:space="preserve">Base AIAVG for Construction</t>
  </si>
  <si>
    <t xml:space="preserve">New; 28.00 × 2050</t>
  </si>
  <si>
    <t xml:space="preserve">LSD.REF.AL.PARAM.1083</t>
  </si>
  <si>
    <t xml:space="preserve">BASE_AIAVG_SEC[5]</t>
  </si>
  <si>
    <t xml:space="preserve">Base AIAVG for Manufacturing (Food,Textile, etc.)</t>
  </si>
  <si>
    <t xml:space="preserve">New; 32.00 × 2000</t>
  </si>
  <si>
    <t xml:space="preserve">LSD.REF.AL.PARAM.1084</t>
  </si>
  <si>
    <t xml:space="preserve">BASE_AIAVG_SEC[6]</t>
  </si>
  <si>
    <t xml:space="preserve">Base AIAVG for Manufacturing (Wood,Paper, Printing, etc.)</t>
  </si>
  <si>
    <t xml:space="preserve">New; 30.00 × 2000</t>
  </si>
  <si>
    <t xml:space="preserve">LSD.REF.AL.PARAM.1085</t>
  </si>
  <si>
    <t xml:space="preserve">BASE_AIAVG_SEC[7]</t>
  </si>
  <si>
    <t xml:space="preserve">Base AIAVG for Manufacturing (Machinery, Transport)</t>
  </si>
  <si>
    <t xml:space="preserve">LSD.REF.AL.PARAM.1086</t>
  </si>
  <si>
    <t xml:space="preserve">BASE_AIAVG_SEC[8]</t>
  </si>
  <si>
    <t xml:space="preserve">Base AIAVG for Wholesale Trade</t>
  </si>
  <si>
    <t xml:space="preserve">New; 32.00 × 2050</t>
  </si>
  <si>
    <t xml:space="preserve">LSD.REF.AL.PARAM.1087</t>
  </si>
  <si>
    <t xml:space="preserve">BASE_AIAVG_SEC[9]</t>
  </si>
  <si>
    <t xml:space="preserve">Base AIAVG for Retail Trade (Motor Vehicle, Electronics)</t>
  </si>
  <si>
    <t xml:space="preserve">New; 25.00 × 1800</t>
  </si>
  <si>
    <t xml:space="preserve">LSD.REF.AL.PARAM.1088</t>
  </si>
  <si>
    <t xml:space="preserve">BASE_AIAVG_SEC[10]</t>
  </si>
  <si>
    <t xml:space="preserve">Base AIAVG for Retail Trade (Food, Clothing, General Merchandise, etc.)</t>
  </si>
  <si>
    <t xml:space="preserve">New; 22.00 × 1750</t>
  </si>
  <si>
    <t xml:space="preserve">LSD.REF.AL.PARAM.1089</t>
  </si>
  <si>
    <t xml:space="preserve">BASE_AIAVG_SEC[11]</t>
  </si>
  <si>
    <t xml:space="preserve">Base AIAVG for Transportation</t>
  </si>
  <si>
    <t xml:space="preserve">LSD.REF.AL.PARAM.1090</t>
  </si>
  <si>
    <t xml:space="preserve">BASE_AIAVG_SEC[12]</t>
  </si>
  <si>
    <t xml:space="preserve">Base AIAVG for Warehousing and Storage</t>
  </si>
  <si>
    <t xml:space="preserve">New; 28.00 × 1950</t>
  </si>
  <si>
    <t xml:space="preserve">LSD.REF.AL.PARAM.1091</t>
  </si>
  <si>
    <t xml:space="preserve">BASE_AIAVG_SEC[13]</t>
  </si>
  <si>
    <t xml:space="preserve">Base AIAVG for Information</t>
  </si>
  <si>
    <t xml:space="preserve">LSD.REF.AL.PARAM.1092</t>
  </si>
  <si>
    <t xml:space="preserve">BASE_AIAVG_SEC[14]</t>
  </si>
  <si>
    <t xml:space="preserve">Base AIAVG for Finance and Insurance</t>
  </si>
  <si>
    <t xml:space="preserve">New; 55.00 × 2080</t>
  </si>
  <si>
    <t xml:space="preserve">LSD.REF.AL.PARAM.1093</t>
  </si>
  <si>
    <t xml:space="preserve">BASE_AIAVG_SEC[15]</t>
  </si>
  <si>
    <t xml:space="preserve">Base AIAVG for Real Estate and Rental and Leasing</t>
  </si>
  <si>
    <t xml:space="preserve">LSD.REF.AL.PARAM.1094</t>
  </si>
  <si>
    <t xml:space="preserve">BASE_AIAVG_SEC[16]</t>
  </si>
  <si>
    <t xml:space="preserve">Base AIAVG for Professional, Scientific, and Technical Services</t>
  </si>
  <si>
    <t xml:space="preserve">New; 45.00 × 2150</t>
  </si>
  <si>
    <t xml:space="preserve">LSD.REF.AL.PARAM.1095</t>
  </si>
  <si>
    <t xml:space="preserve">BASE_AIAVG_SEC[17]</t>
  </si>
  <si>
    <t xml:space="preserve">Base AIAVG for Administrative and Support and Waste Management and Remediation Services</t>
  </si>
  <si>
    <t xml:space="preserve">LSD.REF.AL.PARAM.1096</t>
  </si>
  <si>
    <t xml:space="preserve">BASE_AIAVG_SEC[18]</t>
  </si>
  <si>
    <t xml:space="preserve">Base AIAVG for Educational Services</t>
  </si>
  <si>
    <t xml:space="preserve">New; 35.00 × 1950</t>
  </si>
  <si>
    <t xml:space="preserve">LSD.REF.AL.PARAM.1097</t>
  </si>
  <si>
    <t xml:space="preserve">BASE_AIAVG_SEC[19]</t>
  </si>
  <si>
    <t xml:space="preserve">Base AIAVG for Health Care and Social Assistance</t>
  </si>
  <si>
    <t xml:space="preserve">New; 35.00 × 2000</t>
  </si>
  <si>
    <t xml:space="preserve">LSD.REF.AL.PARAM.1098</t>
  </si>
  <si>
    <t xml:space="preserve">BASE_AIAVG_SEC[20]</t>
  </si>
  <si>
    <t xml:space="preserve">Base AIAVG for Arts, Entertainment, and Recreation</t>
  </si>
  <si>
    <t xml:space="preserve">New; 20.00 × 1700</t>
  </si>
  <si>
    <t xml:space="preserve">LSD.REF.AL.PARAM.1099</t>
  </si>
  <si>
    <t xml:space="preserve">BASE_AIAVG_SEC[21]</t>
  </si>
  <si>
    <t xml:space="preserve">Base AIAVG for Accommodation and Food Services</t>
  </si>
  <si>
    <t xml:space="preserve">New; 16.00 × 1600</t>
  </si>
  <si>
    <t xml:space="preserve">LSD.REF.AL.PARAM.1100</t>
  </si>
  <si>
    <t xml:space="preserve">BASE_AIAVG_SEC[22]</t>
  </si>
  <si>
    <t xml:space="preserve">Base AIAVG for Other Services (except Public Administration)</t>
  </si>
  <si>
    <t xml:space="preserve">New; 25.00 × 1850</t>
  </si>
  <si>
    <t xml:space="preserve">LSD.REF.AL.PARAM.1101</t>
  </si>
  <si>
    <t xml:space="preserve">BASE_AIAVG_SEC[23]</t>
  </si>
  <si>
    <t xml:space="preserve">Base AIAVG for Public Administration</t>
  </si>
  <si>
    <t xml:space="preserve">New; 35.00 × 2080</t>
  </si>
  <si>
    <t xml:space="preserve">LSD.REF.AL.PARAM.1102</t>
  </si>
  <si>
    <t xml:space="preserve">ADJ_FACTOR_AIAVG[0]</t>
  </si>
  <si>
    <t xml:space="preserve">AIAVG adjustment for All Industries</t>
  </si>
  <si>
    <t xml:space="preserve">LSD.REF.AL.PARAM.1103</t>
  </si>
  <si>
    <t xml:space="preserve">ADJ_FACTOR_AIAVG[1]</t>
  </si>
  <si>
    <t xml:space="preserve">AIAVG adjustment for Agriculture, Forestry, Fishing and Hunting</t>
  </si>
  <si>
    <t xml:space="preserve">LSD.REF.AL.PARAM.1104</t>
  </si>
  <si>
    <t xml:space="preserve">ADJ_FACTOR_AIAVG[2]</t>
  </si>
  <si>
    <t xml:space="preserve">AIAVG adjustment for Mining, Quarrying, and Oil and Gas Extraction</t>
  </si>
  <si>
    <t xml:space="preserve">LSD.REF.AL.PARAM.1105</t>
  </si>
  <si>
    <t xml:space="preserve">ADJ_FACTOR_AIAVG[3]</t>
  </si>
  <si>
    <t xml:space="preserve">AIAVG adjustment for Utilities</t>
  </si>
  <si>
    <t xml:space="preserve">LSD.REF.AL.PARAM.1106</t>
  </si>
  <si>
    <t xml:space="preserve">ADJ_FACTOR_AIAVG[4]</t>
  </si>
  <si>
    <t xml:space="preserve">AIAVG adjustment for Construction</t>
  </si>
  <si>
    <t xml:space="preserve">LSD.REF.AL.PARAM.1107</t>
  </si>
  <si>
    <t xml:space="preserve">ADJ_FACTOR_AIAVG[5]</t>
  </si>
  <si>
    <t xml:space="preserve">AIAVG adjustment for Manufacturing (Food,Textile, etc.)</t>
  </si>
  <si>
    <t xml:space="preserve">LSD.REF.AL.PARAM.1108</t>
  </si>
  <si>
    <t xml:space="preserve">ADJ_FACTOR_AIAVG[6]</t>
  </si>
  <si>
    <t xml:space="preserve">AIAVG adjustment for Manufacturing (Wood,Paper, Printing, etc.)</t>
  </si>
  <si>
    <t xml:space="preserve">LSD.REF.AL.PARAM.1109</t>
  </si>
  <si>
    <t xml:space="preserve">ADJ_FACTOR_AIAVG[7]</t>
  </si>
  <si>
    <t xml:space="preserve">AIAVG adjustment for Manufacturing (Machinery, Transport)</t>
  </si>
  <si>
    <t xml:space="preserve">LSD.REF.AL.PARAM.1110</t>
  </si>
  <si>
    <t xml:space="preserve">ADJ_FACTOR_AIAVG[8]</t>
  </si>
  <si>
    <t xml:space="preserve">AIAVG adjustment for Wholesale Trade</t>
  </si>
  <si>
    <t xml:space="preserve">LSD.REF.AL.PARAM.1111</t>
  </si>
  <si>
    <t xml:space="preserve">ADJ_FACTOR_AIAVG[9]</t>
  </si>
  <si>
    <t xml:space="preserve">AIAVG adjustment for Retail Trade (Motor Vehicle, Electronics)</t>
  </si>
  <si>
    <t xml:space="preserve">LSD.REF.AL.PARAM.1112</t>
  </si>
  <si>
    <t xml:space="preserve">ADJ_FACTOR_AIAVG[10]</t>
  </si>
  <si>
    <t xml:space="preserve">AIAVG adjustment for Retail Trade (Food, Clothing, General Merchandise, etc.)</t>
  </si>
  <si>
    <t xml:space="preserve">LSD.REF.AL.PARAM.1113</t>
  </si>
  <si>
    <t xml:space="preserve">ADJ_FACTOR_AIAVG[11]</t>
  </si>
  <si>
    <t xml:space="preserve">AIAVG adjustment for Transportation</t>
  </si>
  <si>
    <t xml:space="preserve">LSD.REF.AL.PARAM.1114</t>
  </si>
  <si>
    <t xml:space="preserve">ADJ_FACTOR_AIAVG[12]</t>
  </si>
  <si>
    <t xml:space="preserve">AIAVG adjustment for Warehousing and Storage</t>
  </si>
  <si>
    <t xml:space="preserve">LSD.REF.AL.PARAM.1115</t>
  </si>
  <si>
    <t xml:space="preserve">ADJ_FACTOR_AIAVG[13]</t>
  </si>
  <si>
    <t xml:space="preserve">AIAVG adjustment for Information</t>
  </si>
  <si>
    <t xml:space="preserve">LSD.REF.AL.PARAM.1116</t>
  </si>
  <si>
    <t xml:space="preserve">ADJ_FACTOR_AIAVG[14]</t>
  </si>
  <si>
    <t xml:space="preserve">AIAVG adjustment for Finance and Insurance</t>
  </si>
  <si>
    <t xml:space="preserve">LSD.REF.AL.PARAM.1117</t>
  </si>
  <si>
    <t xml:space="preserve">ADJ_FACTOR_AIAVG[15]</t>
  </si>
  <si>
    <t xml:space="preserve">AIAVG adjustment for Real Estate and Rental and Leasing</t>
  </si>
  <si>
    <t xml:space="preserve">LSD.REF.AL.PARAM.1118</t>
  </si>
  <si>
    <t xml:space="preserve">ADJ_FACTOR_AIAVG[16]</t>
  </si>
  <si>
    <t xml:space="preserve">AIAVG adjustment for Professional, Scientific, and Technical Services</t>
  </si>
  <si>
    <t xml:space="preserve">LSD.REF.AL.PARAM.1119</t>
  </si>
  <si>
    <t xml:space="preserve">ADJ_FACTOR_AIAVG[17]</t>
  </si>
  <si>
    <t xml:space="preserve">AIAVG adjustment for Administrative and Support and Waste Management and Remediation Services</t>
  </si>
  <si>
    <t xml:space="preserve">LSD.REF.AL.PARAM.1120</t>
  </si>
  <si>
    <t xml:space="preserve">ADJ_FACTOR_AIAVG[18]</t>
  </si>
  <si>
    <t xml:space="preserve">AIAVG adjustment for Educational Services</t>
  </si>
  <si>
    <t xml:space="preserve">LSD.REF.AL.PARAM.1121</t>
  </si>
  <si>
    <t xml:space="preserve">ADJ_FACTOR_AIAVG[19]</t>
  </si>
  <si>
    <t xml:space="preserve">AIAVG adjustment for Health Care and Social Assistance</t>
  </si>
  <si>
    <t xml:space="preserve">LSD.REF.AL.PARAM.1122</t>
  </si>
  <si>
    <t xml:space="preserve">ADJ_FACTOR_AIAVG[20]</t>
  </si>
  <si>
    <t xml:space="preserve">AIAVG adjustment for Arts, Entertainment, and Recreation</t>
  </si>
  <si>
    <t xml:space="preserve">LSD.REF.AL.PARAM.1123</t>
  </si>
  <si>
    <t xml:space="preserve">ADJ_FACTOR_AIAVG[21]</t>
  </si>
  <si>
    <t xml:space="preserve">AIAVG adjustment for Accommodation and Food Services</t>
  </si>
  <si>
    <t xml:space="preserve">LSD.REF.AL.PARAM.1124</t>
  </si>
  <si>
    <t xml:space="preserve">ADJ_FACTOR_AIAVG[22]</t>
  </si>
  <si>
    <t xml:space="preserve">AIAVG adjustment for Other Services (except Public Administration)</t>
  </si>
  <si>
    <t xml:space="preserve">LSD.REF.AL.PARAM.1125</t>
  </si>
  <si>
    <t xml:space="preserve">ADJ_FACTOR_AIAVG[23]</t>
  </si>
  <si>
    <t xml:space="preserve">AIAVG adjustment for Public Administration</t>
  </si>
  <si>
    <t xml:space="preserve">LSD.REF.AL.PARAM.1126</t>
  </si>
  <si>
    <t xml:space="preserve">VARIANCE_CHECK_AIAVG[0]</t>
  </si>
  <si>
    <t xml:space="preserve">Variance check for AIAVG in All Industries</t>
  </si>
  <si>
    <t xml:space="preserve">LSD.REF.AL.PARAM.1127</t>
  </si>
  <si>
    <t xml:space="preserve">VARIANCE_CHECK_AIAVG[1]</t>
  </si>
  <si>
    <t xml:space="preserve">Variance check for AIAVG in Agriculture, Forestry, Fishing and Hunting</t>
  </si>
  <si>
    <t xml:space="preserve">LSD.REF.AL.PARAM.1128</t>
  </si>
  <si>
    <t xml:space="preserve">VARIANCE_CHECK_AIAVG[2]</t>
  </si>
  <si>
    <t xml:space="preserve">Variance check for AIAVG in Mining, Quarrying, and Oil and Gas Extraction</t>
  </si>
  <si>
    <t xml:space="preserve">LSD.REF.AL.PARAM.1129</t>
  </si>
  <si>
    <t xml:space="preserve">VARIANCE_CHECK_AIAVG[3]</t>
  </si>
  <si>
    <t xml:space="preserve">Variance check for AIAVG in Utilities</t>
  </si>
  <si>
    <t xml:space="preserve">LSD.REF.AL.PARAM.1130</t>
  </si>
  <si>
    <t xml:space="preserve">VARIANCE_CHECK_AIAVG[4]</t>
  </si>
  <si>
    <t xml:space="preserve">Variance check for AIAVG in Construction</t>
  </si>
  <si>
    <t xml:space="preserve">LSD.REF.AL.PARAM.1131</t>
  </si>
  <si>
    <t xml:space="preserve">VARIANCE_CHECK_AIAVG[5]</t>
  </si>
  <si>
    <t xml:space="preserve">Variance check for AIAVG in Manufacturing (Food,Textile, etc.)</t>
  </si>
  <si>
    <t xml:space="preserve">LSD.REF.AL.PARAM.1132</t>
  </si>
  <si>
    <t xml:space="preserve">VARIANCE_CHECK_AIAVG[6]</t>
  </si>
  <si>
    <t xml:space="preserve">Variance check for AIAVG in Manufacturing (Wood,Paper, Printing, etc.)</t>
  </si>
  <si>
    <t xml:space="preserve">LSD.REF.AL.PARAM.1133</t>
  </si>
  <si>
    <t xml:space="preserve">VARIANCE_CHECK_AIAVG[7]</t>
  </si>
  <si>
    <t xml:space="preserve">Variance check for AIAVG in Manufacturing (Machinery, Transport)</t>
  </si>
  <si>
    <t xml:space="preserve">LSD.REF.AL.PARAM.1134</t>
  </si>
  <si>
    <t xml:space="preserve">VARIANCE_CHECK_AIAVG[8]</t>
  </si>
  <si>
    <t xml:space="preserve">Variance check for AIAVG in Wholesale Trade</t>
  </si>
  <si>
    <t xml:space="preserve">LSD.REF.AL.PARAM.1135</t>
  </si>
  <si>
    <t xml:space="preserve">VARIANCE_CHECK_AIAVG[9]</t>
  </si>
  <si>
    <t xml:space="preserve">Variance check for AIAVG in Retail Trade (Motor Vehicle, Electronics)</t>
  </si>
  <si>
    <t xml:space="preserve">LSD.REF.AL.PARAM.1136</t>
  </si>
  <si>
    <t xml:space="preserve">VARIANCE_CHECK_AIAVG[10]</t>
  </si>
  <si>
    <t xml:space="preserve">Variance check for AIAVG in Retail Trade (Food, Clothing, General Merchandise, etc.)</t>
  </si>
  <si>
    <t xml:space="preserve">LSD.REF.AL.PARAM.1137</t>
  </si>
  <si>
    <t xml:space="preserve">VARIANCE_CHECK_AIAVG[11]</t>
  </si>
  <si>
    <t xml:space="preserve">Variance check for AIAVG in Transportation</t>
  </si>
  <si>
    <t xml:space="preserve">LSD.REF.AL.PARAM.1138</t>
  </si>
  <si>
    <t xml:space="preserve">VARIANCE_CHECK_AIAVG[12]</t>
  </si>
  <si>
    <t xml:space="preserve">Variance check for AIAVG in Warehousing and Storage</t>
  </si>
  <si>
    <t xml:space="preserve">LSD.REF.AL.PARAM.1139</t>
  </si>
  <si>
    <t xml:space="preserve">VARIANCE_CHECK_AIAVG[13]</t>
  </si>
  <si>
    <t xml:space="preserve">Variance check for AIAVG in Information</t>
  </si>
  <si>
    <t xml:space="preserve">LSD.REF.AL.PARAM.1140</t>
  </si>
  <si>
    <t xml:space="preserve">VARIANCE_CHECK_AIAVG[14]</t>
  </si>
  <si>
    <t xml:space="preserve">Variance check for AIAVG in Finance and Insurance</t>
  </si>
  <si>
    <t xml:space="preserve">LSD.REF.AL.PARAM.1141</t>
  </si>
  <si>
    <t xml:space="preserve">VARIANCE_CHECK_AIAVG[15]</t>
  </si>
  <si>
    <t xml:space="preserve">Variance check for AIAVG in Real Estate and Rental and Leasing</t>
  </si>
  <si>
    <t xml:space="preserve">LSD.REF.AL.PARAM.1142</t>
  </si>
  <si>
    <t xml:space="preserve">VARIANCE_CHECK_AIAVG[16]</t>
  </si>
  <si>
    <t xml:space="preserve">Variance check for AIAVG in Professional, Scientific, and Technical Services</t>
  </si>
  <si>
    <t xml:space="preserve">LSD.REF.AL.PARAM.1143</t>
  </si>
  <si>
    <t xml:space="preserve">VARIANCE_CHECK_AIAVG[17]</t>
  </si>
  <si>
    <t xml:space="preserve">Variance check for AIAVG in Administrative and Support and Waste Management and Remediation Services</t>
  </si>
  <si>
    <t xml:space="preserve">LSD.REF.AL.PARAM.1144</t>
  </si>
  <si>
    <t xml:space="preserve">VARIANCE_CHECK_AIAVG[18]</t>
  </si>
  <si>
    <t xml:space="preserve">Variance check for AIAVG in Educational Services</t>
  </si>
  <si>
    <t xml:space="preserve">LSD.REF.AL.PARAM.1145</t>
  </si>
  <si>
    <t xml:space="preserve">VARIANCE_CHECK_AIAVG[19]</t>
  </si>
  <si>
    <t xml:space="preserve">Variance check for AIAVG in Health Care and Social Assistance</t>
  </si>
  <si>
    <t xml:space="preserve">LSD.REF.AL.PARAM.1146</t>
  </si>
  <si>
    <t xml:space="preserve">VARIANCE_CHECK_AIAVG[20]</t>
  </si>
  <si>
    <t xml:space="preserve">Variance check for AIAVG in Arts, Entertainment, and Recreation</t>
  </si>
  <si>
    <t xml:space="preserve">LSD.REF.AL.PARAM.1147</t>
  </si>
  <si>
    <t xml:space="preserve">VARIANCE_CHECK_AIAVG[21]</t>
  </si>
  <si>
    <t xml:space="preserve">Variance check for AIAVG in Accommodation and Food Services</t>
  </si>
  <si>
    <t xml:space="preserve">LSD.REF.AL.PARAM.1148</t>
  </si>
  <si>
    <t xml:space="preserve">VARIANCE_CHECK_AIAVG[22]</t>
  </si>
  <si>
    <t xml:space="preserve">Variance check for AIAVG in Other Services (except Public Administration)</t>
  </si>
  <si>
    <t xml:space="preserve">LSD.REF.AL.PARAM.1149</t>
  </si>
  <si>
    <t xml:space="preserve">VARIANCE_CHECK_AIAVG[23]</t>
  </si>
  <si>
    <t xml:space="preserve">Variance check for AIAVG in Public Administration</t>
  </si>
  <si>
    <t xml:space="preserve">LSD.REF.AL.PARAM.1150</t>
  </si>
  <si>
    <t xml:space="preserve">UNAUTH_AIAVG_PENALTY_SEC[0]</t>
  </si>
  <si>
    <t xml:space="preserve">Unauthorized AIAVG penalty for All Industries</t>
  </si>
  <si>
    <t xml:space="preserve">New; ~30% compounded penalty</t>
  </si>
  <si>
    <t xml:space="preserve">LSD.REF.AL.PARAM.1151</t>
  </si>
  <si>
    <t xml:space="preserve">UNAUTH_AIAVG_PENALTY_SEC[1]</t>
  </si>
  <si>
    <t xml:space="preserve">Unauthorized AIAVG penalty for Agriculture, Forestry, Fishing and Hunting</t>
  </si>
  <si>
    <t xml:space="preserve">LSD.REF.AL.PARAM.1152</t>
  </si>
  <si>
    <t xml:space="preserve">UNAUTH_AIAVG_PENALTY_SEC[2]</t>
  </si>
  <si>
    <t xml:space="preserve">Unauthorized AIAVG penalty for Mining, Quarrying, and Oil and Gas Extraction</t>
  </si>
  <si>
    <t xml:space="preserve">LSD.REF.AL.PARAM.1153</t>
  </si>
  <si>
    <t xml:space="preserve">UNAUTH_AIAVG_PENALTY_SEC[3]</t>
  </si>
  <si>
    <t xml:space="preserve">Unauthorized AIAVG penalty for Utilities</t>
  </si>
  <si>
    <t xml:space="preserve">LSD.REF.AL.PARAM.1154</t>
  </si>
  <si>
    <t xml:space="preserve">UNAUTH_AIAVG_PENALTY_SEC[4]</t>
  </si>
  <si>
    <t xml:space="preserve">Unauthorized AIAVG penalty for Construction</t>
  </si>
  <si>
    <t xml:space="preserve">LSD.REF.AL.PARAM.1155</t>
  </si>
  <si>
    <t xml:space="preserve">UNAUTH_AIAVG_PENALTY_SEC[5]</t>
  </si>
  <si>
    <t xml:space="preserve">Unauthorized AIAVG penalty for Manufacturing (Food,Textile, etc.)</t>
  </si>
  <si>
    <t xml:space="preserve">LSD.REF.AL.PARAM.1156</t>
  </si>
  <si>
    <t xml:space="preserve">UNAUTH_AIAVG_PENALTY_SEC[6]</t>
  </si>
  <si>
    <t xml:space="preserve">Unauthorized AIAVG penalty for Manufacturing (Wood,Paper, Printing, etc.)</t>
  </si>
  <si>
    <t xml:space="preserve">LSD.REF.AL.PARAM.1157</t>
  </si>
  <si>
    <t xml:space="preserve">UNAUTH_AIAVG_PENALTY_SEC[7]</t>
  </si>
  <si>
    <t xml:space="preserve">Unauthorized AIAVG penalty for Manufacturing (Machinery, Transport)</t>
  </si>
  <si>
    <t xml:space="preserve">LSD.REF.AL.PARAM.1158</t>
  </si>
  <si>
    <t xml:space="preserve">UNAUTH_AIAVG_PENALTY_SEC[8]</t>
  </si>
  <si>
    <t xml:space="preserve">Unauthorized AIAVG penalty for Wholesale Trade</t>
  </si>
  <si>
    <t xml:space="preserve">LSD.REF.AL.PARAM.1159</t>
  </si>
  <si>
    <t xml:space="preserve">UNAUTH_AIAVG_PENALTY_SEC[9]</t>
  </si>
  <si>
    <t xml:space="preserve">Unauthorized AIAVG penalty for Retail Trade (Motor Vehicle, Electronics)</t>
  </si>
  <si>
    <t xml:space="preserve">LSD.REF.AL.PARAM.1160</t>
  </si>
  <si>
    <t xml:space="preserve">UNAUTH_AIAVG_PENALTY_SEC[10]</t>
  </si>
  <si>
    <t xml:space="preserve">Unauthorized AIAVG penalty for Retail Trade (Food, Clothing, General Merchandise, etc.)</t>
  </si>
  <si>
    <t xml:space="preserve">LSD.REF.AL.PARAM.1161</t>
  </si>
  <si>
    <t xml:space="preserve">UNAUTH_AIAVG_PENALTY_SEC[11]</t>
  </si>
  <si>
    <t xml:space="preserve">Unauthorized AIAVG penalty for Transportation</t>
  </si>
  <si>
    <t xml:space="preserve">LSD.REF.AL.PARAM.1162</t>
  </si>
  <si>
    <t xml:space="preserve">UNAUTH_AIAVG_PENALTY_SEC[12]</t>
  </si>
  <si>
    <t xml:space="preserve">Unauthorized AIAVG penalty for Warehousing and Storage</t>
  </si>
  <si>
    <t xml:space="preserve">LSD.REF.AL.PARAM.1163</t>
  </si>
  <si>
    <t xml:space="preserve">UNAUTH_AIAVG_PENALTY_SEC[13]</t>
  </si>
  <si>
    <t xml:space="preserve">Unauthorized AIAVG penalty for Information</t>
  </si>
  <si>
    <t xml:space="preserve">LSD.REF.AL.PARAM.1164</t>
  </si>
  <si>
    <t xml:space="preserve">UNAUTH_AIAVG_PENALTY_SEC[14]</t>
  </si>
  <si>
    <t xml:space="preserve">Unauthorized AIAVG penalty for Finance and Insurance</t>
  </si>
  <si>
    <t xml:space="preserve">LSD.REF.AL.PARAM.1165</t>
  </si>
  <si>
    <t xml:space="preserve">UNAUTH_AIAVG_PENALTY_SEC[15]</t>
  </si>
  <si>
    <t xml:space="preserve">Unauthorized AIAVG penalty for Real Estate and Rental and Leasing</t>
  </si>
  <si>
    <t xml:space="preserve">LSD.REF.AL.PARAM.1166</t>
  </si>
  <si>
    <t xml:space="preserve">UNAUTH_AIAVG_PENALTY_SEC[16]</t>
  </si>
  <si>
    <t xml:space="preserve">Unauthorized AIAVG penalty for Professional, Scientific, and Technical Services</t>
  </si>
  <si>
    <t xml:space="preserve">LSD.REF.AL.PARAM.1167</t>
  </si>
  <si>
    <t xml:space="preserve">UNAUTH_AIAVG_PENALTY_SEC[17]</t>
  </si>
  <si>
    <t xml:space="preserve">Unauthorized AIAVG penalty for Administrative and Support and Waste Management and Remediation Services</t>
  </si>
  <si>
    <t xml:space="preserve">LSD.REF.AL.PARAM.1168</t>
  </si>
  <si>
    <t xml:space="preserve">UNAUTH_AIAVG_PENALTY_SEC[18]</t>
  </si>
  <si>
    <t xml:space="preserve">Unauthorized AIAVG penalty for Educational Services</t>
  </si>
  <si>
    <t xml:space="preserve">LSD.REF.AL.PARAM.1169</t>
  </si>
  <si>
    <t xml:space="preserve">UNAUTH_AIAVG_PENALTY_SEC[19]</t>
  </si>
  <si>
    <t xml:space="preserve">Unauthorized AIAVG penalty for Health Care and Social Assistance</t>
  </si>
  <si>
    <t xml:space="preserve">LSD.REF.AL.PARAM.1170</t>
  </si>
  <si>
    <t xml:space="preserve">UNAUTH_AIAVG_PENALTY_SEC[20]</t>
  </si>
  <si>
    <t xml:space="preserve">Unauthorized AIAVG penalty for Arts, Entertainment, and Recreation</t>
  </si>
  <si>
    <t xml:space="preserve">LSD.REF.AL.PARAM.1171</t>
  </si>
  <si>
    <t xml:space="preserve">UNAUTH_AIAVG_PENALTY_SEC[21]</t>
  </si>
  <si>
    <t xml:space="preserve">Unauthorized AIAVG penalty for Accommodation and Food Services</t>
  </si>
  <si>
    <t xml:space="preserve">LSD.REF.AL.PARAM.1172</t>
  </si>
  <si>
    <t xml:space="preserve">UNAUTH_AIAVG_PENALTY_SEC[22]</t>
  </si>
  <si>
    <t xml:space="preserve">Unauthorized AIAVG penalty for Other Services (except Public Administration)</t>
  </si>
  <si>
    <t xml:space="preserve">LSD.REF.AL.PARAM.1173</t>
  </si>
  <si>
    <t xml:space="preserve">UNAUTH_AIAVG_PENALTY_SEC[23]</t>
  </si>
  <si>
    <t xml:space="preserve">Unauthorized AIAVG penalty for Public Administration</t>
  </si>
  <si>
    <t xml:space="preserve">LSD.REF.AL.PARAM.1174</t>
  </si>
  <si>
    <t xml:space="preserve">AUTH_AIAVG_PREMIUM_SEC[0]</t>
  </si>
  <si>
    <t xml:space="preserve">Authorized AIAVG premium for All Industries</t>
  </si>
  <si>
    <t xml:space="preserve">New; ~2.5% premium</t>
  </si>
  <si>
    <t xml:space="preserve">LSD.REF.AL.PARAM.1175</t>
  </si>
  <si>
    <t xml:space="preserve">AUTH_AIAVG_PREMIUM_SEC[1]</t>
  </si>
  <si>
    <t xml:space="preserve">Authorized AIAVG premium for Agriculture, Forestry, Fishing and Hunting</t>
  </si>
  <si>
    <t xml:space="preserve">LSD.REF.AL.PARAM.1176</t>
  </si>
  <si>
    <t xml:space="preserve">AUTH_AIAVG_PREMIUM_SEC[2]</t>
  </si>
  <si>
    <t xml:space="preserve">Authorized AIAVG premium for Mining, Quarrying, and Oil and Gas Extraction</t>
  </si>
  <si>
    <t xml:space="preserve">LSD.REF.AL.PARAM.1177</t>
  </si>
  <si>
    <t xml:space="preserve">AUTH_AIAVG_PREMIUM_SEC[3]</t>
  </si>
  <si>
    <t xml:space="preserve">Authorized AIAVG premium for Utilities</t>
  </si>
  <si>
    <t xml:space="preserve">LSD.REF.AL.PARAM.1178</t>
  </si>
  <si>
    <t xml:space="preserve">AUTH_AIAVG_PREMIUM_SEC[4]</t>
  </si>
  <si>
    <t xml:space="preserve">Authorized AIAVG premium for Construction</t>
  </si>
  <si>
    <t xml:space="preserve">LSD.REF.AL.PARAM.1179</t>
  </si>
  <si>
    <t xml:space="preserve">AUTH_AIAVG_PREMIUM_SEC[5]</t>
  </si>
  <si>
    <t xml:space="preserve">Authorized AIAVG premium for Manufacturing (Food,Textile, etc.)</t>
  </si>
  <si>
    <t xml:space="preserve">LSD.REF.AL.PARAM.1180</t>
  </si>
  <si>
    <t xml:space="preserve">AUTH_AIAVG_PREMIUM_SEC[6]</t>
  </si>
  <si>
    <t xml:space="preserve">Authorized AIAVG premium for Manufacturing (Wood,Paper, Printing, etc.)</t>
  </si>
  <si>
    <t xml:space="preserve">LSD.REF.AL.PARAM.1181</t>
  </si>
  <si>
    <t xml:space="preserve">AUTH_AIAVG_PREMIUM_SEC[7]</t>
  </si>
  <si>
    <t xml:space="preserve">Authorized AIAVG premium for Manufacturing (Machinery, Transport)</t>
  </si>
  <si>
    <t xml:space="preserve">LSD.REF.AL.PARAM.1182</t>
  </si>
  <si>
    <t xml:space="preserve">AUTH_AIAVG_PREMIUM_SEC[8]</t>
  </si>
  <si>
    <t xml:space="preserve">Authorized AIAVG premium for Wholesale Trade</t>
  </si>
  <si>
    <t xml:space="preserve">LSD.REF.AL.PARAM.1183</t>
  </si>
  <si>
    <t xml:space="preserve">AUTH_AIAVG_PREMIUM_SEC[9]</t>
  </si>
  <si>
    <t xml:space="preserve">Authorized AIAVG premium for Retail Trade (Motor Vehicle, Electronics)</t>
  </si>
  <si>
    <t xml:space="preserve">LSD.REF.AL.PARAM.1184</t>
  </si>
  <si>
    <t xml:space="preserve">AUTH_AIAVG_PREMIUM_SEC[10]</t>
  </si>
  <si>
    <t xml:space="preserve">Authorized AIAVG premium for Retail Trade (Food, Clothing, General Merchandise, etc.)</t>
  </si>
  <si>
    <t xml:space="preserve">LSD.REF.AL.PARAM.1185</t>
  </si>
  <si>
    <t xml:space="preserve">AUTH_AIAVG_PREMIUM_SEC[11]</t>
  </si>
  <si>
    <t xml:space="preserve">Authorized AIAVG premium for Transportation</t>
  </si>
  <si>
    <t xml:space="preserve">LSD.REF.AL.PARAM.1186</t>
  </si>
  <si>
    <t xml:space="preserve">AUTH_AIAVG_PREMIUM_SEC[12]</t>
  </si>
  <si>
    <t xml:space="preserve">Authorized AIAVG premium for Warehousing and Storage</t>
  </si>
  <si>
    <t xml:space="preserve">LSD.REF.AL.PARAM.1187</t>
  </si>
  <si>
    <t xml:space="preserve">AUTH_AIAVG_PREMIUM_SEC[13]</t>
  </si>
  <si>
    <t xml:space="preserve">Authorized AIAVG premium for Information</t>
  </si>
  <si>
    <t xml:space="preserve">LSD.REF.AL.PARAM.1188</t>
  </si>
  <si>
    <t xml:space="preserve">AUTH_AIAVG_PREMIUM_SEC[14]</t>
  </si>
  <si>
    <t xml:space="preserve">Authorized AIAVG premium for Finance and Insurance</t>
  </si>
  <si>
    <t xml:space="preserve">LSD.REF.AL.PARAM.1189</t>
  </si>
  <si>
    <t xml:space="preserve">AUTH_AIAVG_PREMIUM_SEC[15]</t>
  </si>
  <si>
    <t xml:space="preserve">Authorized AIAVG premium for Real Estate and Rental and Leasing</t>
  </si>
  <si>
    <t xml:space="preserve">LSD.REF.AL.PARAM.1190</t>
  </si>
  <si>
    <t xml:space="preserve">AUTH_AIAVG_PREMIUM_SEC[16]</t>
  </si>
  <si>
    <t xml:space="preserve">Authorized AIAVG premium for Professional, Scientific, and Technical Services</t>
  </si>
  <si>
    <t xml:space="preserve">LSD.REF.AL.PARAM.1191</t>
  </si>
  <si>
    <t xml:space="preserve">AUTH_AIAVG_PREMIUM_SEC[17]</t>
  </si>
  <si>
    <t xml:space="preserve">Authorized AIAVG premium for Administrative and Support and Waste Management and Remediation Services</t>
  </si>
  <si>
    <t xml:space="preserve">LSD.REF.AL.PARAM.1192</t>
  </si>
  <si>
    <t xml:space="preserve">AUTH_AIAVG_PREMIUM_SEC[18]</t>
  </si>
  <si>
    <t xml:space="preserve">Authorized AIAVG premium for Educational Services</t>
  </si>
  <si>
    <t xml:space="preserve">LSD.REF.AL.PARAM.1193</t>
  </si>
  <si>
    <t xml:space="preserve">AUTH_AIAVG_PREMIUM_SEC[19]</t>
  </si>
  <si>
    <t xml:space="preserve">Authorized AIAVG premium for Health Care and Social Assistance</t>
  </si>
  <si>
    <t xml:space="preserve">LSD.REF.AL.PARAM.1194</t>
  </si>
  <si>
    <t xml:space="preserve">AUTH_AIAVG_PREMIUM_SEC[20]</t>
  </si>
  <si>
    <t xml:space="preserve">Authorized AIAVG premium for Arts, Entertainment, and Recreation</t>
  </si>
  <si>
    <t xml:space="preserve">LSD.REF.AL.PARAM.1195</t>
  </si>
  <si>
    <t xml:space="preserve">AUTH_AIAVG_PREMIUM_SEC[21]</t>
  </si>
  <si>
    <t xml:space="preserve">Authorized AIAVG premium for Accommodation and Food Services</t>
  </si>
  <si>
    <t xml:space="preserve">LSD.REF.AL.PARAM.1196</t>
  </si>
  <si>
    <t xml:space="preserve">AUTH_AIAVG_PREMIUM_SEC[22]</t>
  </si>
  <si>
    <t xml:space="preserve">Authorized AIAVG premium for Other Services (except Public Administration)</t>
  </si>
  <si>
    <t xml:space="preserve">LSD.REF.AL.PARAM.1197</t>
  </si>
  <si>
    <t xml:space="preserve">AUTH_AIAVG_PREMIUM_SEC[23]</t>
  </si>
  <si>
    <t xml:space="preserve">Authorized AIAVG premium for Public Administration</t>
  </si>
  <si>
    <t xml:space="preserve">LSD.REF.AL.PARAM.1198</t>
  </si>
  <si>
    <t xml:space="preserve">AIAVG_VARIANCE_SEC[0]</t>
  </si>
  <si>
    <t xml:space="preserve">AIAVG variance bound for All Industries (TNPE-weighted)</t>
  </si>
  <si>
    <t xml:space="preserve">LSD.REF.AL.PARAM.1199</t>
  </si>
  <si>
    <t xml:space="preserve">AIAVG_VARIANCE_SEC[1]</t>
  </si>
  <si>
    <t xml:space="preserve">AIAVG variance bound for Agriculture, Forestry, Fishing and Hunting (TNPE-weighted)</t>
  </si>
  <si>
    <t xml:space="preserve">LSD.REF.AL.PARAM.1200</t>
  </si>
  <si>
    <t xml:space="preserve">AIAVG_VARIANCE_SEC[2]</t>
  </si>
  <si>
    <t xml:space="preserve">AIAVG variance bound for Mining, Quarrying, and Oil and Gas Extraction (TNPE-weighted)</t>
  </si>
  <si>
    <t xml:space="preserve">LSD.REF.AL.PARAM.1201</t>
  </si>
  <si>
    <t xml:space="preserve">AIAVG_VARIANCE_SEC[3]</t>
  </si>
  <si>
    <t xml:space="preserve">AIAVG variance bound for Utilities (TNPE-weighted)</t>
  </si>
  <si>
    <t xml:space="preserve">LSD.REF.AL.PARAM.1202</t>
  </si>
  <si>
    <t xml:space="preserve">AIAVG_VARIANCE_SEC[4]</t>
  </si>
  <si>
    <t xml:space="preserve">AIAVG variance bound for Construction (TNPE-weighted)</t>
  </si>
  <si>
    <t xml:space="preserve">LSD.REF.AL.PARAM.1203</t>
  </si>
  <si>
    <t xml:space="preserve">AIAVG_VARIANCE_SEC[5]</t>
  </si>
  <si>
    <t xml:space="preserve">AIAVG variance bound for Manufacturing (Food,Textile, etc.) (TNPE-weighted)</t>
  </si>
  <si>
    <t xml:space="preserve">LSD.REF.AL.PARAM.1204</t>
  </si>
  <si>
    <t xml:space="preserve">AIAVG_VARIANCE_SEC[6]</t>
  </si>
  <si>
    <t xml:space="preserve">AIAVG variance bound for Manufacturing (Wood,Paper, Printing, etc.) (TNPE-weighted)</t>
  </si>
  <si>
    <t xml:space="preserve">LSD.REF.AL.PARAM.1205</t>
  </si>
  <si>
    <t xml:space="preserve">AIAVG_VARIANCE_SEC[7]</t>
  </si>
  <si>
    <t xml:space="preserve">AIAVG variance bound for Manufacturing (Machinery, Transport) (TNPE-weighted)</t>
  </si>
  <si>
    <t xml:space="preserve">LSD.REF.AL.PARAM.1206</t>
  </si>
  <si>
    <t xml:space="preserve">AIAVG_VARIANCE_SEC[8]</t>
  </si>
  <si>
    <t xml:space="preserve">AIAVG variance bound for Wholesale Trade (TNPE-weighted)</t>
  </si>
  <si>
    <t xml:space="preserve">LSD.REF.AL.PARAM.1207</t>
  </si>
  <si>
    <t xml:space="preserve">AIAVG_VARIANCE_SEC[9]</t>
  </si>
  <si>
    <t xml:space="preserve">AIAVG variance bound for Retail Trade (Motor Vehicle, Electronics) (TNPE-weighted)</t>
  </si>
  <si>
    <t xml:space="preserve">LSD.REF.AL.PARAM.1208</t>
  </si>
  <si>
    <t xml:space="preserve">AIAVG_VARIANCE_SEC[10]</t>
  </si>
  <si>
    <t xml:space="preserve">AIAVG variance bound for Retail Trade (Food, Clothing, General Merchandise, etc.) (TNPE-weighted)</t>
  </si>
  <si>
    <t xml:space="preserve">LSD.REF.AL.PARAM.1209</t>
  </si>
  <si>
    <t xml:space="preserve">AIAVG_VARIANCE_SEC[11]</t>
  </si>
  <si>
    <t xml:space="preserve">AIAVG variance bound for Transportation (TNPE-weighted)</t>
  </si>
  <si>
    <t xml:space="preserve">LSD.REF.AL.PARAM.1210</t>
  </si>
  <si>
    <t xml:space="preserve">AIAVG_VARIANCE_SEC[12]</t>
  </si>
  <si>
    <t xml:space="preserve">AIAVG variance bound for Warehousing and Storage (TNPE-weighted)</t>
  </si>
  <si>
    <t xml:space="preserve">LSD.REF.AL.PARAM.1211</t>
  </si>
  <si>
    <t xml:space="preserve">AIAVG_VARIANCE_SEC[13]</t>
  </si>
  <si>
    <t xml:space="preserve">AIAVG variance bound for Information (TNPE-weighted)</t>
  </si>
  <si>
    <t xml:space="preserve">LSD.REF.AL.PARAM.1212</t>
  </si>
  <si>
    <t xml:space="preserve">AIAVG_VARIANCE_SEC[14]</t>
  </si>
  <si>
    <t xml:space="preserve">AIAVG variance bound for Finance and Insurance (TNPE-weighted)</t>
  </si>
  <si>
    <t xml:space="preserve">LSD.REF.AL.PARAM.1213</t>
  </si>
  <si>
    <t xml:space="preserve">AIAVG_VARIANCE_SEC[15]</t>
  </si>
  <si>
    <t xml:space="preserve">AIAVG variance bound for Real Estate and Rental and Leasing (TNPE-weighted)</t>
  </si>
  <si>
    <t xml:space="preserve">LSD.REF.AL.PARAM.1214</t>
  </si>
  <si>
    <t xml:space="preserve">AIAVG_VARIANCE_SEC[16]</t>
  </si>
  <si>
    <t xml:space="preserve">AIAVG variance bound for Professional, Scientific, and Technical Services (TNPE-weighted)</t>
  </si>
  <si>
    <t xml:space="preserve">LSD.REF.AL.PARAM.1215</t>
  </si>
  <si>
    <t xml:space="preserve">AIAVG_VARIANCE_SEC[17]</t>
  </si>
  <si>
    <t xml:space="preserve">AIAVG variance bound for Administrative and Support and Waste Management and Remediation Services (TNPE-weighted)</t>
  </si>
  <si>
    <t xml:space="preserve">LSD.REF.AL.PARAM.1216</t>
  </si>
  <si>
    <t xml:space="preserve">AIAVG_VARIANCE_SEC[18]</t>
  </si>
  <si>
    <t xml:space="preserve">AIAVG variance bound for Educational Services (TNPE-weighted)</t>
  </si>
  <si>
    <t xml:space="preserve">LSD.REF.AL.PARAM.1217</t>
  </si>
  <si>
    <t xml:space="preserve">AIAVG_VARIANCE_SEC[19]</t>
  </si>
  <si>
    <t xml:space="preserve">AIAVG variance bound for Health Care and Social Assistance (TNPE-weighted)</t>
  </si>
  <si>
    <t xml:space="preserve">LSD.REF.AL.PARAM.1218</t>
  </si>
  <si>
    <t xml:space="preserve">AIAVG_VARIANCE_SEC[20]</t>
  </si>
  <si>
    <t xml:space="preserve">AIAVG variance bound for Arts, Entertainment, and Recreation (TNPE-weighted)</t>
  </si>
  <si>
    <t xml:space="preserve">LSD.REF.AL.PARAM.1219</t>
  </si>
  <si>
    <t xml:space="preserve">AIAVG_VARIANCE_SEC[21]</t>
  </si>
  <si>
    <t xml:space="preserve">AIAVG variance bound for Accommodation and Food Services (TNPE-weighted)</t>
  </si>
  <si>
    <t xml:space="preserve">LSD.REF.AL.PARAM.1220</t>
  </si>
  <si>
    <t xml:space="preserve">AIAVG_VARIANCE_SEC[22]</t>
  </si>
  <si>
    <t xml:space="preserve">AIAVG variance bound for Other Services (except Public Administration) (TNPE-weighted)</t>
  </si>
  <si>
    <t xml:space="preserve">LSD.REF.AL.PARAM.1221</t>
  </si>
  <si>
    <t xml:space="preserve">AIAVG_VARIANCE_SEC[23]</t>
  </si>
  <si>
    <t xml:space="preserve">AIAVG variance bound for Public Administration (TNPE-weighted)</t>
  </si>
  <si>
    <t xml:space="preserve">LSD.REF.AL.PARAM.1222</t>
  </si>
  <si>
    <t xml:space="preserve">SOURCE_CONFIDENCE_AIAVG[0]</t>
  </si>
  <si>
    <t xml:space="preserve">Source confidence for AIAVG in All Industries</t>
  </si>
  <si>
    <t xml:space="preserve">LSD.REF.AL.PARAM.1223</t>
  </si>
  <si>
    <t xml:space="preserve">SOURCE_CONFIDENCE_AIAVG[1]</t>
  </si>
  <si>
    <t xml:space="preserve">Source confidence for AIAVG in Agriculture, Forestry, Fishing and Hunting</t>
  </si>
  <si>
    <t xml:space="preserve">LSD.REF.AL.PARAM.1224</t>
  </si>
  <si>
    <t xml:space="preserve">SOURCE_CONFIDENCE_AIAVG[2]</t>
  </si>
  <si>
    <t xml:space="preserve">Source confidence for AIAVG in Mining, Quarrying, and Oil and Gas Extraction</t>
  </si>
  <si>
    <t xml:space="preserve">LSD.REF.AL.PARAM.1225</t>
  </si>
  <si>
    <t xml:space="preserve">SOURCE_CONFIDENCE_AIAVG[3]</t>
  </si>
  <si>
    <t xml:space="preserve">Source confidence for AIAVG in Utilities</t>
  </si>
  <si>
    <t xml:space="preserve">LSD.REF.AL.PARAM.1226</t>
  </si>
  <si>
    <t xml:space="preserve">SOURCE_CONFIDENCE_AIAVG[4]</t>
  </si>
  <si>
    <t xml:space="preserve">Source confidence for AIAVG in Construction</t>
  </si>
  <si>
    <t xml:space="preserve">LSD.REF.AL.PARAM.1227</t>
  </si>
  <si>
    <t xml:space="preserve">SOURCE_CONFIDENCE_AIAVG[5]</t>
  </si>
  <si>
    <t xml:space="preserve">Source confidence for AIAVG in Manufacturing (Food,Textile, etc.)</t>
  </si>
  <si>
    <t xml:space="preserve">LSD.REF.AL.PARAM.1228</t>
  </si>
  <si>
    <t xml:space="preserve">SOURCE_CONFIDENCE_AIAVG[6]</t>
  </si>
  <si>
    <t xml:space="preserve">Source confidence for AIAVG in Manufacturing (Wood,Paper, Printing, etc.)</t>
  </si>
  <si>
    <t xml:space="preserve">LSD.REF.AL.PARAM.1229</t>
  </si>
  <si>
    <t xml:space="preserve">SOURCE_CONFIDENCE_AIAVG[7]</t>
  </si>
  <si>
    <t xml:space="preserve">Source confidence for AIAVG in Manufacturing (Machinery, Transport)</t>
  </si>
  <si>
    <t xml:space="preserve">LSD.REF.AL.PARAM.1230</t>
  </si>
  <si>
    <t xml:space="preserve">SOURCE_CONFIDENCE_AIAVG[8]</t>
  </si>
  <si>
    <t xml:space="preserve">Source confidence for AIAVG in Wholesale Trade</t>
  </si>
  <si>
    <t xml:space="preserve">LSD.REF.AL.PARAM.1231</t>
  </si>
  <si>
    <t xml:space="preserve">SOURCE_CONFIDENCE_AIAVG[9]</t>
  </si>
  <si>
    <t xml:space="preserve">Source confidence for AIAVG in Retail Trade (Motor Vehicle, Electronics)</t>
  </si>
  <si>
    <t xml:space="preserve">LSD.REF.AL.PARAM.1232</t>
  </si>
  <si>
    <t xml:space="preserve">SOURCE_CONFIDENCE_AIAVG[10]</t>
  </si>
  <si>
    <t xml:space="preserve">Source confidence for AIAVG in Retail Trade (Food, Clothing, General Merchandise, etc.)</t>
  </si>
  <si>
    <t xml:space="preserve">LSD.REF.AL.PARAM.1233</t>
  </si>
  <si>
    <t xml:space="preserve">SOURCE_CONFIDENCE_AIAVG[11]</t>
  </si>
  <si>
    <t xml:space="preserve">Source confidence for AIAVG in Transportation</t>
  </si>
  <si>
    <t xml:space="preserve">LSD.REF.AL.PARAM.1234</t>
  </si>
  <si>
    <t xml:space="preserve">SOURCE_CONFIDENCE_AIAVG[12]</t>
  </si>
  <si>
    <t xml:space="preserve">Source confidence for AIAVG in Warehousing and Storage</t>
  </si>
  <si>
    <t xml:space="preserve">LSD.REF.AL.PARAM.1235</t>
  </si>
  <si>
    <t xml:space="preserve">SOURCE_CONFIDENCE_AIAVG[13]</t>
  </si>
  <si>
    <t xml:space="preserve">Source confidence for AIAVG in Information</t>
  </si>
  <si>
    <t xml:space="preserve">LSD.REF.AL.PARAM.1236</t>
  </si>
  <si>
    <t xml:space="preserve">SOURCE_CONFIDENCE_AIAVG[14]</t>
  </si>
  <si>
    <t xml:space="preserve">Source confidence for AIAVG in Finance and Insurance</t>
  </si>
  <si>
    <t xml:space="preserve">LSD.REF.AL.PARAM.1237</t>
  </si>
  <si>
    <t xml:space="preserve">SOURCE_CONFIDENCE_AIAVG[15]</t>
  </si>
  <si>
    <t xml:space="preserve">Source confidence for AIAVG in Real Estate and Rental and Leasing</t>
  </si>
  <si>
    <t xml:space="preserve">LSD.REF.AL.PARAM.1238</t>
  </si>
  <si>
    <t xml:space="preserve">SOURCE_CONFIDENCE_AIAVG[16]</t>
  </si>
  <si>
    <t xml:space="preserve">Source confidence for AIAVG in Professional, Scientific, and Technical Services</t>
  </si>
  <si>
    <t xml:space="preserve">LSD.REF.AL.PARAM.1239</t>
  </si>
  <si>
    <t xml:space="preserve">SOURCE_CONFIDENCE_AIAVG[17]</t>
  </si>
  <si>
    <t xml:space="preserve">Source confidence for AIAVG in Administrative and Support and Waste Management and Remediation Services</t>
  </si>
  <si>
    <t xml:space="preserve">LSD.REF.AL.PARAM.1240</t>
  </si>
  <si>
    <t xml:space="preserve">SOURCE_CONFIDENCE_AIAVG[18]</t>
  </si>
  <si>
    <t xml:space="preserve">Source confidence for AIAVG in Educational Services</t>
  </si>
  <si>
    <t xml:space="preserve">LSD.REF.AL.PARAM.1241</t>
  </si>
  <si>
    <t xml:space="preserve">SOURCE_CONFIDENCE_AIAVG[19]</t>
  </si>
  <si>
    <t xml:space="preserve">Source confidence for AIAVG in Health Care and Social Assistance</t>
  </si>
  <si>
    <t xml:space="preserve">LSD.REF.AL.PARAM.1242</t>
  </si>
  <si>
    <t xml:space="preserve">SOURCE_CONFIDENCE_AIAVG[20]</t>
  </si>
  <si>
    <t xml:space="preserve">Source confidence for AIAVG in Arts, Entertainment, and Recreation</t>
  </si>
  <si>
    <t xml:space="preserve">LSD.REF.AL.PARAM.1243</t>
  </si>
  <si>
    <t xml:space="preserve">SOURCE_CONFIDENCE_AIAVG[21]</t>
  </si>
  <si>
    <t xml:space="preserve">Source confidence for AIAVG in Accommodation and Food Services</t>
  </si>
  <si>
    <t xml:space="preserve">LSD.REF.AL.PARAM.1244</t>
  </si>
  <si>
    <t xml:space="preserve">SOURCE_CONFIDENCE_AIAVG[22]</t>
  </si>
  <si>
    <t xml:space="preserve">Source confidence for AIAVG in Other Services (except Public Administration)</t>
  </si>
  <si>
    <t xml:space="preserve">LSD.REF.AL.PARAM.1245</t>
  </si>
  <si>
    <t xml:space="preserve">SOURCE_CONFIDENCE_AIAVG[23]</t>
  </si>
  <si>
    <t xml:space="preserve">Source confidence for AIAVG in Public Administration</t>
  </si>
  <si>
    <t xml:space="preserve">LSD.REF.AL.PARAM.1246</t>
  </si>
  <si>
    <t xml:space="preserve">GROUP_FPITREV_ADJ</t>
  </si>
  <si>
    <t xml:space="preserve">General group FPITREV adjustment factor</t>
  </si>
  <si>
    <t xml:space="preserve">LSD.REF.AL.PARAM.1247</t>
  </si>
  <si>
    <t xml:space="preserve">IRS_ACCURACY_FPITREV</t>
  </si>
  <si>
    <t xml:space="preserve">IRS SOI weight in FPITREV reconciliation</t>
  </si>
  <si>
    <t xml:space="preserve">IRS methodology</t>
  </si>
  <si>
    <t xml:space="preserve">LSD.REF.AL.PARAM.1248</t>
  </si>
  <si>
    <t xml:space="preserve">EFF_FED_TAX_RATE_SEC[0]</t>
  </si>
  <si>
    <t xml:space="preserve">Effective federal PIT rate All Industries</t>
  </si>
  <si>
    <t xml:space="preserve">IRS SOI/CPS derived</t>
  </si>
  <si>
    <t xml:space="preserve">New; ~14.5% statewide average</t>
  </si>
  <si>
    <t xml:space="preserve">LSD.REF.AL.PARAM.1249</t>
  </si>
  <si>
    <t xml:space="preserve">EFF_FED_TAX_RATE_SEC[1]</t>
  </si>
  <si>
    <t xml:space="preserve">Effective federal PIT rate Agriculture, Forestry, Fishing and Hunting</t>
  </si>
  <si>
    <t xml:space="preserve">New; low-income sector</t>
  </si>
  <si>
    <t xml:space="preserve">LSD.REF.AL.PARAM.1250</t>
  </si>
  <si>
    <t xml:space="preserve">EFF_FED_TAX_RATE_SEC[2]</t>
  </si>
  <si>
    <t xml:space="preserve">Effective federal PIT rate Mining, Quarrying, and Oil and Gas Extraction</t>
  </si>
  <si>
    <t xml:space="preserve">New; high-income</t>
  </si>
  <si>
    <t xml:space="preserve">LSD.REF.AL.PARAM.1251</t>
  </si>
  <si>
    <t xml:space="preserve">EFF_FED_TAX_RATE_SEC[3]</t>
  </si>
  <si>
    <t xml:space="preserve">Effective federal PIT rate Utilities</t>
  </si>
  <si>
    <t xml:space="preserve">LSD.REF.AL.PARAM.1252</t>
  </si>
  <si>
    <t xml:space="preserve">EFF_FED_TAX_RATE_SEC[4]</t>
  </si>
  <si>
    <t xml:space="preserve">Effective federal PIT rate Construction</t>
  </si>
  <si>
    <t xml:space="preserve">LSD.REF.AL.PARAM.1253</t>
  </si>
  <si>
    <t xml:space="preserve">EFF_FED_TAX_RATE_SEC[5]</t>
  </si>
  <si>
    <t xml:space="preserve">Effective federal PIT rate Manufacturing (Food,Textile, etc.)</t>
  </si>
  <si>
    <t xml:space="preserve">LSD.REF.AL.PARAM.1254</t>
  </si>
  <si>
    <t xml:space="preserve">EFF_FED_TAX_RATE_SEC[6]</t>
  </si>
  <si>
    <t xml:space="preserve">Effective federal PIT rate Manufacturing (Wood,Paper, Printing, etc.)</t>
  </si>
  <si>
    <t xml:space="preserve">LSD.REF.AL.PARAM.1255</t>
  </si>
  <si>
    <t xml:space="preserve">EFF_FED_TAX_RATE_SEC[7]</t>
  </si>
  <si>
    <t xml:space="preserve">Effective federal PIT rate Manufacturing (Machinery, Transport)</t>
  </si>
  <si>
    <t xml:space="preserve">LSD.REF.AL.PARAM.1256</t>
  </si>
  <si>
    <t xml:space="preserve">EFF_FED_TAX_RATE_SEC[8]</t>
  </si>
  <si>
    <t xml:space="preserve">Effective federal PIT rate Wholesale Trade</t>
  </si>
  <si>
    <t xml:space="preserve">LSD.REF.AL.PARAM.1257</t>
  </si>
  <si>
    <t xml:space="preserve">EFF_FED_TAX_RATE_SEC[9]</t>
  </si>
  <si>
    <t xml:space="preserve">Effective federal PIT rate Retail Trade (Motor Vehicle, Electronics)</t>
  </si>
  <si>
    <t xml:space="preserve">LSD.REF.AL.PARAM.1258</t>
  </si>
  <si>
    <t xml:space="preserve">EFF_FED_TAX_RATE_SEC[10]</t>
  </si>
  <si>
    <t xml:space="preserve">Effective federal PIT rate Retail Trade (Food, Clothing, General Merchandise, etc.)</t>
  </si>
  <si>
    <t xml:space="preserve">LSD.REF.AL.PARAM.1259</t>
  </si>
  <si>
    <t xml:space="preserve">EFF_FED_TAX_RATE_SEC[11]</t>
  </si>
  <si>
    <t xml:space="preserve">Effective federal PIT rate Transportation</t>
  </si>
  <si>
    <t xml:space="preserve">LSD.REF.AL.PARAM.1260</t>
  </si>
  <si>
    <t xml:space="preserve">EFF_FED_TAX_RATE_SEC[12]</t>
  </si>
  <si>
    <t xml:space="preserve">Effective federal PIT rate Warehousing and Storage</t>
  </si>
  <si>
    <t xml:space="preserve">LSD.REF.AL.PARAM.1261</t>
  </si>
  <si>
    <t xml:space="preserve">EFF_FED_TAX_RATE_SEC[13]</t>
  </si>
  <si>
    <t xml:space="preserve">Effective federal PIT rate Information</t>
  </si>
  <si>
    <t xml:space="preserve">LSD.REF.AL.PARAM.1262</t>
  </si>
  <si>
    <t xml:space="preserve">EFF_FED_TAX_RATE_SEC[14]</t>
  </si>
  <si>
    <t xml:space="preserve">Effective federal PIT rate Finance and Insurance</t>
  </si>
  <si>
    <t xml:space="preserve">New; high bracket</t>
  </si>
  <si>
    <t xml:space="preserve">LSD.REF.AL.PARAM.1263</t>
  </si>
  <si>
    <t xml:space="preserve">EFF_FED_TAX_RATE_SEC[15]</t>
  </si>
  <si>
    <t xml:space="preserve">Effective federal PIT rate Real Estate and Rental and Leasing</t>
  </si>
  <si>
    <t xml:space="preserve">LSD.REF.AL.PARAM.1264</t>
  </si>
  <si>
    <t xml:space="preserve">EFF_FED_TAX_RATE_SEC[16]</t>
  </si>
  <si>
    <t xml:space="preserve">Effective federal PIT rate Professional, Scientific, and Technical Services</t>
  </si>
  <si>
    <t xml:space="preserve">LSD.REF.AL.PARAM.1265</t>
  </si>
  <si>
    <t xml:space="preserve">EFF_FED_TAX_RATE_SEC[17]</t>
  </si>
  <si>
    <t xml:space="preserve">Effective federal PIT rate Administrative and Support and Waste Management</t>
  </si>
  <si>
    <t xml:space="preserve">LSD.REF.AL.PARAM.1266</t>
  </si>
  <si>
    <t xml:space="preserve">EFF_FED_TAX_RATE_SEC[18]</t>
  </si>
  <si>
    <t xml:space="preserve">Effective federal PIT rate Educational Services</t>
  </si>
  <si>
    <t xml:space="preserve">LSD.REF.AL.PARAM.1267</t>
  </si>
  <si>
    <t xml:space="preserve">EFF_FED_TAX_RATE_SEC[19]</t>
  </si>
  <si>
    <t xml:space="preserve">Effective federal PIT rate Health Care and Social Assistance</t>
  </si>
  <si>
    <t xml:space="preserve">LSD.REF.AL.PARAM.1268</t>
  </si>
  <si>
    <t xml:space="preserve">EFF_FED_TAX_RATE_SEC[20]</t>
  </si>
  <si>
    <t xml:space="preserve">Effective federal PIT rate Arts, Entertainment, and Recreation</t>
  </si>
  <si>
    <t xml:space="preserve">LSD.REF.AL.PARAM.1269</t>
  </si>
  <si>
    <t xml:space="preserve">EFF_FED_TAX_RATE_SEC[21]</t>
  </si>
  <si>
    <t xml:space="preserve">Effective federal PIT rate Accommodation and Food Services</t>
  </si>
  <si>
    <t xml:space="preserve">New; low-income</t>
  </si>
  <si>
    <t xml:space="preserve">LSD.REF.AL.PARAM.1270</t>
  </si>
  <si>
    <t xml:space="preserve">EFF_FED_TAX_RATE_SEC[22]</t>
  </si>
  <si>
    <t xml:space="preserve">Effective federal PIT rate Other Services (except Public Administration)</t>
  </si>
  <si>
    <t xml:space="preserve">LSD.REF.AL.PARAM.1271</t>
  </si>
  <si>
    <t xml:space="preserve">EFF_FED_TAX_RATE_SEC[23]</t>
  </si>
  <si>
    <t xml:space="preserve">Effective federal PIT rate Public Administration</t>
  </si>
  <si>
    <t xml:space="preserve">LSD.REF.AL.PARAM.1272</t>
  </si>
  <si>
    <t xml:space="preserve">BASE_FPITREV_SEC[0]</t>
  </si>
  <si>
    <t xml:space="preserve">Base FPITREV All Industries (AIAVG × eff rate)</t>
  </si>
  <si>
    <t xml:space="preserve">IRS-derived</t>
  </si>
  <si>
    <t xml:space="preserve">New; 66477 × 0.145</t>
  </si>
  <si>
    <t xml:space="preserve">LSD.REF.AL.PARAM.1273</t>
  </si>
  <si>
    <t xml:space="preserve">BASE_FPITREV_SEC[1]</t>
  </si>
  <si>
    <t xml:space="preserve">Base FPITREV Agriculture, Forestry, Fishing and Hunting</t>
  </si>
  <si>
    <t xml:space="preserve">New; 35150 × 0.080</t>
  </si>
  <si>
    <t xml:space="preserve">LSD.REF.AL.PARAM.1274</t>
  </si>
  <si>
    <t xml:space="preserve">BASE_FPITREV_SEC[2]</t>
  </si>
  <si>
    <t xml:space="preserve">Base FPITREV Mining, Quarrying, and Oil and Gas Extraction</t>
  </si>
  <si>
    <t xml:space="preserve">New; 73500 × 0.200</t>
  </si>
  <si>
    <t xml:space="preserve">LSD.REF.AL.PARAM.1275</t>
  </si>
  <si>
    <t xml:space="preserve">BASE_FPITREV_SEC[3]</t>
  </si>
  <si>
    <t xml:space="preserve">Base FPITREV Utilities</t>
  </si>
  <si>
    <t xml:space="preserve">New; 83200 × 0.220</t>
  </si>
  <si>
    <t xml:space="preserve">LSD.REF.AL.PARAM.1276</t>
  </si>
  <si>
    <t xml:space="preserve">BASE_FPITREV_SEC[4]</t>
  </si>
  <si>
    <t xml:space="preserve">Base FPITREV Construction</t>
  </si>
  <si>
    <t xml:space="preserve">New; 57400 × 0.160</t>
  </si>
  <si>
    <t xml:space="preserve">LSD.REF.AL.PARAM.1277</t>
  </si>
  <si>
    <t xml:space="preserve">BASE_FPITREV_SEC[5]</t>
  </si>
  <si>
    <t xml:space="preserve">Base FPITREV Manufacturing (Food,Textile, etc.)</t>
  </si>
  <si>
    <t xml:space="preserve">New; 64000 × 0.150</t>
  </si>
  <si>
    <t xml:space="preserve">LSD.REF.AL.PARAM.1278</t>
  </si>
  <si>
    <t xml:space="preserve">BASE_FPITREV_SEC[6]</t>
  </si>
  <si>
    <t xml:space="preserve">Base FPITREV Manufacturing (Wood,Paper, Printing, etc.)</t>
  </si>
  <si>
    <t xml:space="preserve">New; 60000 × 0.140</t>
  </si>
  <si>
    <t xml:space="preserve">LSD.REF.AL.PARAM.1279</t>
  </si>
  <si>
    <t xml:space="preserve">BASE_FPITREV_SEC[7]</t>
  </si>
  <si>
    <t xml:space="preserve">Base FPITREV Manufacturing (Machinery, Transport)</t>
  </si>
  <si>
    <t xml:space="preserve">New; 73500 × 0.180</t>
  </si>
  <si>
    <t xml:space="preserve">LSD.REF.AL.PARAM.1280</t>
  </si>
  <si>
    <t xml:space="preserve">BASE_FPITREV_SEC[8]</t>
  </si>
  <si>
    <t xml:space="preserve">Base FPITREV Wholesale Trade</t>
  </si>
  <si>
    <t xml:space="preserve">New; 65600 × 0.160</t>
  </si>
  <si>
    <t xml:space="preserve">LSD.REF.AL.PARAM.1281</t>
  </si>
  <si>
    <t xml:space="preserve">BASE_FPITREV_SEC[9]</t>
  </si>
  <si>
    <t xml:space="preserve">Base FPITREV Retail Trade (Motor Vehicle, Electronics)</t>
  </si>
  <si>
    <t xml:space="preserve">New; 45000 × 0.130</t>
  </si>
  <si>
    <t xml:space="preserve">LSD.REF.AL.PARAM.1282</t>
  </si>
  <si>
    <t xml:space="preserve">BASE_FPITREV_SEC[10]</t>
  </si>
  <si>
    <t xml:space="preserve">Base FPITREV Retail Trade (Food, Clothing, General Merchandise, etc.)</t>
  </si>
  <si>
    <t xml:space="preserve">New; 38500 × 0.110</t>
  </si>
  <si>
    <t xml:space="preserve">LSD.REF.AL.PARAM.1283</t>
  </si>
  <si>
    <t xml:space="preserve">BASE_FPITREV_SEC[11]</t>
  </si>
  <si>
    <t xml:space="preserve">Base FPITREV Transportation</t>
  </si>
  <si>
    <t xml:space="preserve">New; 60000 × 0.150</t>
  </si>
  <si>
    <t xml:space="preserve">LSD.REF.AL.PARAM.1284</t>
  </si>
  <si>
    <t xml:space="preserve">BASE_FPITREV_SEC[12]</t>
  </si>
  <si>
    <t xml:space="preserve">Base FPITREV Warehousing and Storage</t>
  </si>
  <si>
    <t xml:space="preserve">New; 54600 × 0.140</t>
  </si>
  <si>
    <t xml:space="preserve">LSD.REF.AL.PARAM.1285</t>
  </si>
  <si>
    <t xml:space="preserve">BASE_FPITREV_SEC[13]</t>
  </si>
  <si>
    <t xml:space="preserve">Base FPITREV Information</t>
  </si>
  <si>
    <t xml:space="preserve">LSD.REF.AL.PARAM.1286</t>
  </si>
  <si>
    <t xml:space="preserve">BASE_FPITREV_SEC[14]</t>
  </si>
  <si>
    <t xml:space="preserve">Base FPITREV Finance and Insurance</t>
  </si>
  <si>
    <t xml:space="preserve">New; 114400 × 0.280</t>
  </si>
  <si>
    <t xml:space="preserve">LSD.REF.AL.PARAM.1287</t>
  </si>
  <si>
    <t xml:space="preserve">BASE_FPITREV_SEC[15]</t>
  </si>
  <si>
    <t xml:space="preserve">Base FPITREV Real Estate and Rental and Leasing</t>
  </si>
  <si>
    <t xml:space="preserve">New; 64000 × 0.170</t>
  </si>
  <si>
    <t xml:space="preserve">LSD.REF.AL.PARAM.1288</t>
  </si>
  <si>
    <t xml:space="preserve">BASE_FPITREV_SEC[16]</t>
  </si>
  <si>
    <t xml:space="preserve">Base FPITREV Professional, Scientific, and Technical Services</t>
  </si>
  <si>
    <t xml:space="preserve">New; 96750 × 0.250</t>
  </si>
  <si>
    <t xml:space="preserve">LSD.REF.AL.PARAM.1289</t>
  </si>
  <si>
    <t xml:space="preserve">BASE_FPITREV_SEC[17]</t>
  </si>
  <si>
    <t xml:space="preserve">Base FPITREV Administrative and Support and Waste Management</t>
  </si>
  <si>
    <t xml:space="preserve">New; 45000 × 0.120</t>
  </si>
  <si>
    <t xml:space="preserve">LSD.REF.AL.PARAM.1290</t>
  </si>
  <si>
    <t xml:space="preserve">BASE_FPITREV_SEC[18]</t>
  </si>
  <si>
    <t xml:space="preserve">Base FPITREV Educational Services</t>
  </si>
  <si>
    <t xml:space="preserve">New; 68250 × 0.180</t>
  </si>
  <si>
    <t xml:space="preserve">LSD.REF.AL.PARAM.1291</t>
  </si>
  <si>
    <t xml:space="preserve">BASE_FPITREV_SEC[19]</t>
  </si>
  <si>
    <t xml:space="preserve">Base FPITREV Health Care and Social Assistance</t>
  </si>
  <si>
    <t xml:space="preserve">New; 70000 × 0.190</t>
  </si>
  <si>
    <t xml:space="preserve">LSD.REF.AL.PARAM.1292</t>
  </si>
  <si>
    <t xml:space="preserve">BASE_FPITREV_SEC[20]</t>
  </si>
  <si>
    <t xml:space="preserve">Base FPITREV Arts, Entertainment, and Recreation</t>
  </si>
  <si>
    <t xml:space="preserve">New; 34000 × 0.130</t>
  </si>
  <si>
    <t xml:space="preserve">LSD.REF.AL.PARAM.1293</t>
  </si>
  <si>
    <t xml:space="preserve">BASE_FPITREV_SEC[21]</t>
  </si>
  <si>
    <t xml:space="preserve">Base FPITREV Accommodation and Food Services</t>
  </si>
  <si>
    <t xml:space="preserve">New; 25600 × 0.090</t>
  </si>
  <si>
    <t xml:space="preserve">LSD.REF.AL.PARAM.1294</t>
  </si>
  <si>
    <t xml:space="preserve">BASE_FPITREV_SEC[22]</t>
  </si>
  <si>
    <t xml:space="preserve">Base FPITREV Other Services (except Public Administration)</t>
  </si>
  <si>
    <t xml:space="preserve">New; 46250 × 0.140</t>
  </si>
  <si>
    <t xml:space="preserve">LSD.REF.AL.PARAM.1295</t>
  </si>
  <si>
    <t xml:space="preserve">BASE_FPITREV_SEC[23]</t>
  </si>
  <si>
    <t xml:space="preserve">Base FPITREV Public Administration</t>
  </si>
  <si>
    <t xml:space="preserve">New; 72800 × 0.200</t>
  </si>
  <si>
    <t xml:space="preserve">LSD.REF.AL.PARAM.1296</t>
  </si>
  <si>
    <t xml:space="preserve">ADJ_FACTOR_FPITREV[0]</t>
  </si>
  <si>
    <t xml:space="preserve">FPITREV adjustment All Industries</t>
  </si>
  <si>
    <t xml:space="preserve">New; small for bracket creep</t>
  </si>
  <si>
    <t xml:space="preserve">LSD.REF.AL.PARAM.1297</t>
  </si>
  <si>
    <t xml:space="preserve">ADJ_FACTOR_FPITREV[1]</t>
  </si>
  <si>
    <t xml:space="preserve">FPITREV adjustment Agriculture, Forestry, Fishing and Hunting</t>
  </si>
  <si>
    <t xml:space="preserve">LSD.REF.AL.PARAM.1298</t>
  </si>
  <si>
    <t xml:space="preserve">ADJ_FACTOR_FPITREV[2]</t>
  </si>
  <si>
    <t xml:space="preserve">FPITREV adjustment Mining, Quarrying, and Oil and Gas Extraction</t>
  </si>
  <si>
    <t xml:space="preserve">LSD.REF.AL.PARAM.1299</t>
  </si>
  <si>
    <t xml:space="preserve">ADJ_FACTOR_FPITREV[3]</t>
  </si>
  <si>
    <t xml:space="preserve">FPITREV adjustment Utilities</t>
  </si>
  <si>
    <t xml:space="preserve">LSD.REF.AL.PARAM.1300</t>
  </si>
  <si>
    <t xml:space="preserve">ADJ_FACTOR_FPITREV[4]</t>
  </si>
  <si>
    <t xml:space="preserve">FPITREV adjustment Construction</t>
  </si>
  <si>
    <t xml:space="preserve">LSD.REF.AL.PARAM.1301</t>
  </si>
  <si>
    <t xml:space="preserve">ADJ_FACTOR_FPITREV[5]</t>
  </si>
  <si>
    <t xml:space="preserve">FPITREV adjustment Manufacturing (Food,Textile, etc.)</t>
  </si>
  <si>
    <t xml:space="preserve">LSD.REF.AL.PARAM.1302</t>
  </si>
  <si>
    <t xml:space="preserve">ADJ_FACTOR_FPITREV[6]</t>
  </si>
  <si>
    <t xml:space="preserve">FPITREV adjustment Manufacturing (Wood,Paper, Printing, etc.)</t>
  </si>
  <si>
    <t xml:space="preserve">LSD.REF.AL.PARAM.1303</t>
  </si>
  <si>
    <t xml:space="preserve">ADJ_FACTOR_FPITREV[7]</t>
  </si>
  <si>
    <t xml:space="preserve">FPITREV adjustment Manufacturing (Machinery, Transport)</t>
  </si>
  <si>
    <t xml:space="preserve">LSD.REF.AL.PARAM.1304</t>
  </si>
  <si>
    <t xml:space="preserve">ADJ_FACTOR_FPITREV[8]</t>
  </si>
  <si>
    <t xml:space="preserve">FPITREV adjustment Wholesale Trade</t>
  </si>
  <si>
    <t xml:space="preserve">LSD.REF.AL.PARAM.1305</t>
  </si>
  <si>
    <t xml:space="preserve">ADJ_FACTOR_FPITREV[9]</t>
  </si>
  <si>
    <t xml:space="preserve">FPITREV adjustment Retail Trade (Motor Vehicle, Electronics)</t>
  </si>
  <si>
    <t xml:space="preserve">LSD.REF.AL.PARAM.1306</t>
  </si>
  <si>
    <t xml:space="preserve">ADJ_FACTOR_FPITREV[10]</t>
  </si>
  <si>
    <t xml:space="preserve">FPITREV adjustment Retail Trade (Food, Clothing, General Merchandise, etc.)</t>
  </si>
  <si>
    <t xml:space="preserve">LSD.REF.AL.PARAM.1307</t>
  </si>
  <si>
    <t xml:space="preserve">ADJ_FACTOR_FPITREV[11]</t>
  </si>
  <si>
    <t xml:space="preserve">FPITREV adjustment Transportation</t>
  </si>
  <si>
    <t xml:space="preserve">LSD.REF.AL.PARAM.1308</t>
  </si>
  <si>
    <t xml:space="preserve">ADJ_FACTOR_FPITREV[12]</t>
  </si>
  <si>
    <t xml:space="preserve">FPITREV adjustment Warehousing and Storage</t>
  </si>
  <si>
    <t xml:space="preserve">LSD.REF.AL.PARAM.1309</t>
  </si>
  <si>
    <t xml:space="preserve">ADJ_FACTOR_FPITREV[13]</t>
  </si>
  <si>
    <t xml:space="preserve">FPITREV adjustment Information</t>
  </si>
  <si>
    <t xml:space="preserve">LSD.REF.AL.PARAM.1310</t>
  </si>
  <si>
    <t xml:space="preserve">ADJ_FACTOR_FPITREV[14]</t>
  </si>
  <si>
    <t xml:space="preserve">FPITREV adjustment Finance and Insurance</t>
  </si>
  <si>
    <t xml:space="preserve">LSD.REF.AL.PARAM.1311</t>
  </si>
  <si>
    <t xml:space="preserve">ADJ_FACTOR_FPITREV[15]</t>
  </si>
  <si>
    <t xml:space="preserve">FPITREV adjustment Real Estate and Rental and Leasing</t>
  </si>
  <si>
    <t xml:space="preserve">LSD.REF.AL.PARAM.1312</t>
  </si>
  <si>
    <t xml:space="preserve">ADJ_FACTOR_FPITREV[16]</t>
  </si>
  <si>
    <t xml:space="preserve">FPITREV adjustment Professional, Scientific, and Technical Services</t>
  </si>
  <si>
    <t xml:space="preserve">LSD.REF.AL.PARAM.1313</t>
  </si>
  <si>
    <t xml:space="preserve">ADJ_FACTOR_FPITREV[17]</t>
  </si>
  <si>
    <t xml:space="preserve">FPITREV adjustment Administrative and Support and Waste Management</t>
  </si>
  <si>
    <t xml:space="preserve">LSD.REF.AL.PARAM.1314</t>
  </si>
  <si>
    <t xml:space="preserve">ADJ_FACTOR_FPITREV[18]</t>
  </si>
  <si>
    <t xml:space="preserve">FPITREV adjustment Educational Services</t>
  </si>
  <si>
    <t xml:space="preserve">LSD.REF.AL.PARAM.1315</t>
  </si>
  <si>
    <t xml:space="preserve">ADJ_FACTOR_FPITREV[19]</t>
  </si>
  <si>
    <t xml:space="preserve">FPITREV adjustment Health Care and Social Assistance</t>
  </si>
  <si>
    <t xml:space="preserve">LSD.REF.AL.PARAM.1316</t>
  </si>
  <si>
    <t xml:space="preserve">ADJ_FACTOR_FPITREV[20]</t>
  </si>
  <si>
    <t xml:space="preserve">FPITREV adjustment Arts, Entertainment, and Recreation</t>
  </si>
  <si>
    <t xml:space="preserve">LSD.REF.AL.PARAM.1317</t>
  </si>
  <si>
    <t xml:space="preserve">ADJ_FACTOR_FPITREV[21]</t>
  </si>
  <si>
    <t xml:space="preserve">FPITREV adjustment Accommodation and Food Services</t>
  </si>
  <si>
    <t xml:space="preserve">LSD.REF.AL.PARAM.1318</t>
  </si>
  <si>
    <t xml:space="preserve">ADJ_FACTOR_FPITREV[22]</t>
  </si>
  <si>
    <t xml:space="preserve">FPITREV adjustment Other Services (except Public Administration)</t>
  </si>
  <si>
    <t xml:space="preserve">LSD.REF.AL.PARAM.1319</t>
  </si>
  <si>
    <t xml:space="preserve">ADJ_FACTOR_FPITREV[23]</t>
  </si>
  <si>
    <t xml:space="preserve">FPITREV adjustment Public Administration</t>
  </si>
  <si>
    <t xml:space="preserve">LSD.REF.AL.PARAM.1320</t>
  </si>
  <si>
    <t xml:space="preserve">VARIANCE_CHECK_FPITREV[0]</t>
  </si>
  <si>
    <t xml:space="preserve">Variance check for FPITREV in All Industries</t>
  </si>
  <si>
    <t xml:space="preserve">IRS/TNPE-derived</t>
  </si>
  <si>
    <t xml:space="preserve">LSD.REF.AL.PARAM.1321</t>
  </si>
  <si>
    <t xml:space="preserve">VARIANCE_CHECK_FPITREV[1]</t>
  </si>
  <si>
    <t xml:space="preserve">Variance check for FPITREV in Agriculture, Forestry, Fishing and Hunting</t>
  </si>
  <si>
    <t xml:space="preserve">LSD.REF.AL.PARAM.1322</t>
  </si>
  <si>
    <t xml:space="preserve">VARIANCE_CHECK_FPITREV[2]</t>
  </si>
  <si>
    <t xml:space="preserve">Variance check for FPITREV in Mining, Quarrying, and Oil and Gas Extraction</t>
  </si>
  <si>
    <t xml:space="preserve">LSD.REF.AL.PARAM.1323</t>
  </si>
  <si>
    <t xml:space="preserve">VARIANCE_CHECK_FPITREV[3]</t>
  </si>
  <si>
    <t xml:space="preserve">Variance check for FPITREV in Utilities</t>
  </si>
  <si>
    <t xml:space="preserve">LSD.REF.AL.PARAM.1324</t>
  </si>
  <si>
    <t xml:space="preserve">VARIANCE_CHECK_FPITREV[4]</t>
  </si>
  <si>
    <t xml:space="preserve">Variance check for FPITREV in Construction</t>
  </si>
  <si>
    <t xml:space="preserve">LSD.REF.AL.PARAM.1325</t>
  </si>
  <si>
    <t xml:space="preserve">VARIANCE_CHECK_FPITREV[5]</t>
  </si>
  <si>
    <t xml:space="preserve">Variance check for FPITREV in Manufacturing (Food,Textile, etc.)</t>
  </si>
  <si>
    <t xml:space="preserve">LSD.REF.AL.PARAM.1326</t>
  </si>
  <si>
    <t xml:space="preserve">VARIANCE_CHECK_FPITREV[6]</t>
  </si>
  <si>
    <t xml:space="preserve">Variance check for FPITREV in Manufacturing (Wood,Paper, Printing, etc.)</t>
  </si>
  <si>
    <t xml:space="preserve">LSD.REF.AL.PARAM.1327</t>
  </si>
  <si>
    <t xml:space="preserve">VARIANCE_CHECK_FPITREV[7]</t>
  </si>
  <si>
    <t xml:space="preserve">Variance check for FPITREV in Manufacturing (Machinery, Transport)</t>
  </si>
  <si>
    <t xml:space="preserve">LSD.REF.AL.PARAM.1328</t>
  </si>
  <si>
    <t xml:space="preserve">VARIANCE_CHECK_FPITREV[8]</t>
  </si>
  <si>
    <t xml:space="preserve">Variance check for FPITREV in Wholesale Trade</t>
  </si>
  <si>
    <t xml:space="preserve">LSD.REF.AL.PARAM.1329</t>
  </si>
  <si>
    <t xml:space="preserve">VARIANCE_CHECK_FPITREV[9]</t>
  </si>
  <si>
    <t xml:space="preserve">Variance check for FPITREV in Retail Trade (Motor Vehicle, Electronics)</t>
  </si>
  <si>
    <t xml:space="preserve">LSD.REF.AL.PARAM.1330</t>
  </si>
  <si>
    <t xml:space="preserve">VARIANCE_CHECK_FPITREV[10]</t>
  </si>
  <si>
    <t xml:space="preserve">Variance check for FPITREV in Retail Trade (Food, Clothing, General Merchandise, etc.)</t>
  </si>
  <si>
    <t xml:space="preserve">LSD.REF.AL.PARAM.1331</t>
  </si>
  <si>
    <t xml:space="preserve">VARIANCE_CHECK_FPITREV[11]</t>
  </si>
  <si>
    <t xml:space="preserve">Variance check for FPITREV in Transportation</t>
  </si>
  <si>
    <t xml:space="preserve">LSD.REF.AL.PARAM.1332</t>
  </si>
  <si>
    <t xml:space="preserve">VARIANCE_CHECK_FPITREV[12]</t>
  </si>
  <si>
    <t xml:space="preserve">Variance check for FPITREV in Warehousing and Storage</t>
  </si>
  <si>
    <t xml:space="preserve">LSD.REF.AL.PARAM.1333</t>
  </si>
  <si>
    <t xml:space="preserve">VARIANCE_CHECK_FPITREV[13]</t>
  </si>
  <si>
    <t xml:space="preserve">Variance check for FPITREV in Information</t>
  </si>
  <si>
    <t xml:space="preserve">LSD.REF.AL.PARAM.1334</t>
  </si>
  <si>
    <t xml:space="preserve">VARIANCE_CHECK_FPITREV[14]</t>
  </si>
  <si>
    <t xml:space="preserve">Variance check for FPITREV in Finance and Insurance</t>
  </si>
  <si>
    <t xml:space="preserve">LSD.REF.AL.PARAM.1335</t>
  </si>
  <si>
    <t xml:space="preserve">VARIANCE_CHECK_FPITREV[15]</t>
  </si>
  <si>
    <t xml:space="preserve">Variance check for FPITREV in Real Estate and Rental and Leasing</t>
  </si>
  <si>
    <t xml:space="preserve">LSD.REF.AL.PARAM.1336</t>
  </si>
  <si>
    <t xml:space="preserve">VARIANCE_CHECK_FPITREV[16]</t>
  </si>
  <si>
    <t xml:space="preserve">Variance check for FPITREV in Professional, Scientific, and Technical Services</t>
  </si>
  <si>
    <t xml:space="preserve">LSD.REF.AL.PARAM.1337</t>
  </si>
  <si>
    <t xml:space="preserve">VARIANCE_CHECK_FPITREV[17]</t>
  </si>
  <si>
    <t xml:space="preserve">Variance check for FPITREV in Administrative and Support and Waste Management</t>
  </si>
  <si>
    <t xml:space="preserve">LSD.REF.AL.PARAM.1338</t>
  </si>
  <si>
    <t xml:space="preserve">VARIANCE_CHECK_FPITREV[18]</t>
  </si>
  <si>
    <t xml:space="preserve">Variance check for FPITREV in Educational Services</t>
  </si>
  <si>
    <t xml:space="preserve">LSD.REF.AL.PARAM.1339</t>
  </si>
  <si>
    <t xml:space="preserve">VARIANCE_CHECK_FPITREV[19]</t>
  </si>
  <si>
    <t xml:space="preserve">Variance check for FPITREV in Health Care and Social Assistance</t>
  </si>
  <si>
    <t xml:space="preserve">LSD.REF.AL.PARAM.1340</t>
  </si>
  <si>
    <t xml:space="preserve">VARIANCE_CHECK_FPITREV[20]</t>
  </si>
  <si>
    <t xml:space="preserve">Variance check for FPITREV in Arts, Entertainment, and Recreation</t>
  </si>
  <si>
    <t xml:space="preserve">LSD.REF.AL.PARAM.1341</t>
  </si>
  <si>
    <t xml:space="preserve">VARIANCE_CHECK_FPITREV[21]</t>
  </si>
  <si>
    <t xml:space="preserve">Variance check for FPITREV in Accommodation and Food Services</t>
  </si>
  <si>
    <t xml:space="preserve">LSD.REF.AL.PARAM.1342</t>
  </si>
  <si>
    <t xml:space="preserve">VARIANCE_CHECK_FPITREV[22]</t>
  </si>
  <si>
    <t xml:space="preserve">Variance check for FPITREV in Other Services (except Public Administration)</t>
  </si>
  <si>
    <t xml:space="preserve">LSD.REF.AL.PARAM.1343</t>
  </si>
  <si>
    <t xml:space="preserve">VARIANCE_CHECK_FPITREV[23]</t>
  </si>
  <si>
    <t xml:space="preserve">Variance check for FPITREV in Public Administration</t>
  </si>
  <si>
    <t xml:space="preserve">LSD.REF.AL.PARAM.1344</t>
  </si>
  <si>
    <t xml:space="preserve">UNAUTH_FPITREV_PENALTY_SEC[0]</t>
  </si>
  <si>
    <t xml:space="preserve">Unauthorized FPITREV penalty All Industries</t>
  </si>
  <si>
    <t xml:space="preserve">New; lower effective rate (~10%)</t>
  </si>
  <si>
    <t xml:space="preserve">LSD.REF.AL.PARAM.1345</t>
  </si>
  <si>
    <t xml:space="preserve">UNAUTH_FPITREV_PENALTY_SEC[1]</t>
  </si>
  <si>
    <t xml:space="preserve">Unauthorized FPITREV penalty Agriculture, Forestry, Fishing and Hunting</t>
  </si>
  <si>
    <t xml:space="preserve">LSD.REF.AL.PARAM.1346</t>
  </si>
  <si>
    <t xml:space="preserve">UNAUTH_FPITREV_PENALTY_SEC[2]</t>
  </si>
  <si>
    <t xml:space="preserve">Unauthorized FPITREV penalty Mining, Quarrying, and Oil and Gas Extraction</t>
  </si>
  <si>
    <t xml:space="preserve">LSD.REF.AL.PARAM.1347</t>
  </si>
  <si>
    <t xml:space="preserve">UNAUTH_FPITREV_PENALTY_SEC[3]</t>
  </si>
  <si>
    <t xml:space="preserve">Unauthorized FPITREV penalty Utilities</t>
  </si>
  <si>
    <t xml:space="preserve">LSD.REF.AL.PARAM.1348</t>
  </si>
  <si>
    <t xml:space="preserve">UNAUTH_FPITREV_PENALTY_SEC[4]</t>
  </si>
  <si>
    <t xml:space="preserve">Unauthorized FPITREV penalty Construction</t>
  </si>
  <si>
    <t xml:space="preserve">LSD.REF.AL.PARAM.1349</t>
  </si>
  <si>
    <t xml:space="preserve">UNAUTH_FPITREV_PENALTY_SEC[5]</t>
  </si>
  <si>
    <t xml:space="preserve">Unauthorized FPITREV penalty Manufacturing (Food,Textile, etc.)</t>
  </si>
  <si>
    <t xml:space="preserve">LSD.REF.AL.PARAM.1350</t>
  </si>
  <si>
    <t xml:space="preserve">UNAUTH_FPITREV_PENALTY_SEC[6]</t>
  </si>
  <si>
    <t xml:space="preserve">Unauthorized FPITREV penalty Manufacturing (Wood,Paper, Printing, etc.)</t>
  </si>
  <si>
    <t xml:space="preserve">LSD.REF.AL.PARAM.1351</t>
  </si>
  <si>
    <t xml:space="preserve">UNAUTH_FPITREV_PENALTY_SEC[7]</t>
  </si>
  <si>
    <t xml:space="preserve">Unauthorized FPITREV penalty Manufacturing (Machinery, Transport)</t>
  </si>
  <si>
    <t xml:space="preserve">LSD.REF.AL.PARAM.1352</t>
  </si>
  <si>
    <t xml:space="preserve">UNAUTH_FPITREV_PENALTY_SEC[8]</t>
  </si>
  <si>
    <t xml:space="preserve">Unauthorized FPITREV penalty Wholesale Trade</t>
  </si>
  <si>
    <t xml:space="preserve">LSD.REF.AL.PARAM.1353</t>
  </si>
  <si>
    <t xml:space="preserve">UNAUTH_FPITREV_PENALTY_SEC[9]</t>
  </si>
  <si>
    <t xml:space="preserve">Unauthorized FPITREV penalty Retail Trade (Motor Vehicle, Electronics)</t>
  </si>
  <si>
    <t xml:space="preserve">LSD.REF.AL.PARAM.1354</t>
  </si>
  <si>
    <t xml:space="preserve">UNAUTH_FPITREV_PENALTY_SEC[10]</t>
  </si>
  <si>
    <t xml:space="preserve">Unauthorized FPITREV penalty Retail Trade (Food, Clothing, General Merchandise, etc.)</t>
  </si>
  <si>
    <t xml:space="preserve">LSD.REF.AL.PARAM.1355</t>
  </si>
  <si>
    <t xml:space="preserve">UNAUTH_FPITREV_PENALTY_SEC[11]</t>
  </si>
  <si>
    <t xml:space="preserve">Unauthorized FPITREV penalty Transportation</t>
  </si>
  <si>
    <t xml:space="preserve">LSD.REF.AL.PARAM.1356</t>
  </si>
  <si>
    <t xml:space="preserve">UNAUTH_FPITREV_PENALTY_SEC[12]</t>
  </si>
  <si>
    <t xml:space="preserve">Unauthorized FPITREV penalty Warehousing and Storage</t>
  </si>
  <si>
    <t xml:space="preserve">LSD.REF.AL.PARAM.1357</t>
  </si>
  <si>
    <t xml:space="preserve">UNAUTH_FPITREV_PENALTY_SEC[13]</t>
  </si>
  <si>
    <t xml:space="preserve">Unauthorized FPITREV penalty Information</t>
  </si>
  <si>
    <t xml:space="preserve">LSD.REF.AL.PARAM.1358</t>
  </si>
  <si>
    <t xml:space="preserve">UNAUTH_FPITREV_PENALTY_SEC[14]</t>
  </si>
  <si>
    <t xml:space="preserve">Unauthorized FPITREV penalty Finance and Insurance</t>
  </si>
  <si>
    <t xml:space="preserve">LSD.REF.AL.PARAM.1359</t>
  </si>
  <si>
    <t xml:space="preserve">UNAUTH_FPITREV_PENALTY_SEC[15]</t>
  </si>
  <si>
    <t xml:space="preserve">Unauthorized FPITREV penalty Real Estate and Rental and Leasing</t>
  </si>
  <si>
    <t xml:space="preserve">LSD.REF.AL.PARAM.1360</t>
  </si>
  <si>
    <t xml:space="preserve">UNAUTH_FPITREV_PENALTY_SEC[16]</t>
  </si>
  <si>
    <t xml:space="preserve">Unauthorized FPITREV penalty Professional, Scientific, and Technical Services</t>
  </si>
  <si>
    <t xml:space="preserve">LSD.REF.AL.PARAM.1361</t>
  </si>
  <si>
    <t xml:space="preserve">UNAUTH_FPITREV_PENALTY_SEC[17]</t>
  </si>
  <si>
    <t xml:space="preserve">Unauthorized FPITREV penalty Administrative and Support and Waste Management</t>
  </si>
  <si>
    <t xml:space="preserve">LSD.REF.AL.PARAM.1362</t>
  </si>
  <si>
    <t xml:space="preserve">UNAUTH_FPITREV_PENALTY_SEC[18]</t>
  </si>
  <si>
    <t xml:space="preserve">Unauthorized FPITREV penalty Educational Services</t>
  </si>
  <si>
    <t xml:space="preserve">LSD.REF.AL.PARAM.1363</t>
  </si>
  <si>
    <t xml:space="preserve">UNAUTH_FPITREV_PENALTY_SEC[19]</t>
  </si>
  <si>
    <t xml:space="preserve">Unauthorized FPITREV penalty Health Care and Social Assistance</t>
  </si>
  <si>
    <t xml:space="preserve">LSD.REF.AL.PARAM.1364</t>
  </si>
  <si>
    <t xml:space="preserve">UNAUTH_FPITREV_PENALTY_SEC[20]</t>
  </si>
  <si>
    <t xml:space="preserve">Unauthorized FPITREV penalty Arts, Entertainment, and Recreation</t>
  </si>
  <si>
    <t xml:space="preserve">LSD.REF.AL.PARAM.1365</t>
  </si>
  <si>
    <t xml:space="preserve">UNAUTH_FPITREV_PENALTY_SEC[21]</t>
  </si>
  <si>
    <t xml:space="preserve">Unauthorized FPITREV penalty Accommodation and Food Services</t>
  </si>
  <si>
    <t xml:space="preserve">LSD.REF.AL.PARAM.1366</t>
  </si>
  <si>
    <t xml:space="preserve">UNAUTH_FPITREV_PENALTY_SEC[22]</t>
  </si>
  <si>
    <t xml:space="preserve">Unauthorized FPITREV penalty Other Services (except Public Administration)</t>
  </si>
  <si>
    <t xml:space="preserve">LSD.REF.AL.PARAM.1367</t>
  </si>
  <si>
    <t xml:space="preserve">UNAUTH_FPITREV_PENALTY_SEC[23]</t>
  </si>
  <si>
    <t xml:space="preserve">Unauthorized FPITREV penalty Public Administration</t>
  </si>
  <si>
    <t xml:space="preserve">LSD.REF.AL.PARAM.1368</t>
  </si>
  <si>
    <t xml:space="preserve">AUTH_FPITREV_PREMIUM_SEC[0]</t>
  </si>
  <si>
    <t xml:space="preserve">Authorized FPITREV premium All Industries</t>
  </si>
  <si>
    <t xml:space="preserve">New; ~2% premium</t>
  </si>
  <si>
    <t xml:space="preserve">LSD.REF.AL.PARAM.1369</t>
  </si>
  <si>
    <t xml:space="preserve">AUTH_FPITREV_PREMIUM_SEC[1]</t>
  </si>
  <si>
    <t xml:space="preserve">Authorized FPITREV premium Agriculture, Forestry, Fishing and Hunting</t>
  </si>
  <si>
    <t xml:space="preserve">LSD.REF.AL.PARAM.1370</t>
  </si>
  <si>
    <t xml:space="preserve">AUTH_FPITREV_PREMIUM_SEC[2]</t>
  </si>
  <si>
    <t xml:space="preserve">Authorized FPITREV premium Mining, Quarrying, and Oil and Gas Extraction</t>
  </si>
  <si>
    <t xml:space="preserve">LSD.REF.AL.PARAM.1371</t>
  </si>
  <si>
    <t xml:space="preserve">AUTH_FPITREV_PREMIUM_SEC[3]</t>
  </si>
  <si>
    <t xml:space="preserve">Authorized FPITREV premium Utilities</t>
  </si>
  <si>
    <t xml:space="preserve">LSD.REF.AL.PARAM.1372</t>
  </si>
  <si>
    <t xml:space="preserve">AUTH_FPITREV_PREMIUM_SEC[4]</t>
  </si>
  <si>
    <t xml:space="preserve">Authorized FPITREV premium Construction</t>
  </si>
  <si>
    <t xml:space="preserve">LSD.REF.AL.PARAM.1373</t>
  </si>
  <si>
    <t xml:space="preserve">AUTH_FPITREV_PREMIUM_SEC[5]</t>
  </si>
  <si>
    <t xml:space="preserve">Authorized FPITREV premium Manufacturing (Food,Textile, etc.)</t>
  </si>
  <si>
    <t xml:space="preserve">LSD.REF.AL.PARAM.1374</t>
  </si>
  <si>
    <t xml:space="preserve">AUTH_FPITREV_PREMIUM_SEC[6]</t>
  </si>
  <si>
    <t xml:space="preserve">Authorized FPITREV premium Manufacturing (Wood,Paper, Printing, etc.)</t>
  </si>
  <si>
    <t xml:space="preserve">LSD.REF.AL.PARAM.1375</t>
  </si>
  <si>
    <t xml:space="preserve">AUTH_FPITREV_PREMIUM_SEC[7]</t>
  </si>
  <si>
    <t xml:space="preserve">Authorized FPITREV premium Manufacturing (Machinery, Transport)</t>
  </si>
  <si>
    <t xml:space="preserve">LSD.REF.AL.PARAM.1376</t>
  </si>
  <si>
    <t xml:space="preserve">AUTH_FPITREV_PREMIUM_SEC[8]</t>
  </si>
  <si>
    <t xml:space="preserve">Authorized FPITREV premium Wholesale Trade</t>
  </si>
  <si>
    <t xml:space="preserve">LSD.REF.AL.PARAM.1377</t>
  </si>
  <si>
    <t xml:space="preserve">AUTH_FPITREV_PREMIUM_SEC[9]</t>
  </si>
  <si>
    <t xml:space="preserve">Authorized FPITREV premium Retail Trade (Motor Vehicle, Electronics)</t>
  </si>
  <si>
    <t xml:space="preserve">LSD.REF.AL.PARAM.1378</t>
  </si>
  <si>
    <t xml:space="preserve">AUTH_FPITREV_PREMIUM_SEC[10]</t>
  </si>
  <si>
    <t xml:space="preserve">Authorized FPITREV premium Retail Trade (Food, Clothing, General Merchandise, etc.)</t>
  </si>
  <si>
    <t xml:space="preserve">LSD.REF.AL.PARAM.1379</t>
  </si>
  <si>
    <t xml:space="preserve">AUTH_FPITREV_PREMIUM_SEC[11]</t>
  </si>
  <si>
    <t xml:space="preserve">Authorized FPITREV premium Transportation</t>
  </si>
  <si>
    <t xml:space="preserve">LSD.REF.AL.PARAM.1380</t>
  </si>
  <si>
    <t xml:space="preserve">AUTH_FPITREV_PREMIUM_SEC[12]</t>
  </si>
  <si>
    <t xml:space="preserve">Authorized FPITREV premium Warehousing and Storage</t>
  </si>
  <si>
    <t xml:space="preserve">LSD.REF.AL.PARAM.1381</t>
  </si>
  <si>
    <t xml:space="preserve">AUTH_FPITREV_PREMIUM_SEC[13]</t>
  </si>
  <si>
    <t xml:space="preserve">Authorized FPITREV premium Information</t>
  </si>
  <si>
    <t xml:space="preserve">LSD.REF.AL.PARAM.1382</t>
  </si>
  <si>
    <t xml:space="preserve">AUTH_FPITREV_PREMIUM_SEC[14]</t>
  </si>
  <si>
    <t xml:space="preserve">Authorized FPITREV premium Finance and Insurance</t>
  </si>
  <si>
    <t xml:space="preserve">LSD.REF.AL.PARAM.1383</t>
  </si>
  <si>
    <t xml:space="preserve">AUTH_FPITREV_PREMIUM_SEC[15]</t>
  </si>
  <si>
    <t xml:space="preserve">Authorized FPITREV premium Real Estate and Rental and Leasing</t>
  </si>
  <si>
    <t xml:space="preserve">LSD.REF.AL.PARAM.1384</t>
  </si>
  <si>
    <t xml:space="preserve">AUTH_FPITREV_PREMIUM_SEC[16]</t>
  </si>
  <si>
    <t xml:space="preserve">Authorized FPITREV premium Professional, Scientific, and Technical Services</t>
  </si>
  <si>
    <t xml:space="preserve">LSD.REF.AL.PARAM.1385</t>
  </si>
  <si>
    <t xml:space="preserve">AUTH_FPITREV_PREMIUM_SEC[17]</t>
  </si>
  <si>
    <t xml:space="preserve">Authorized FPITREV premium Administrative and Support and Waste Management</t>
  </si>
  <si>
    <t xml:space="preserve">LSD.REF.AL.PARAM.1386</t>
  </si>
  <si>
    <t xml:space="preserve">AUTH_FPITREV_PREMIUM_SEC[18]</t>
  </si>
  <si>
    <t xml:space="preserve">Authorized FPITREV premium Educational Services</t>
  </si>
  <si>
    <t xml:space="preserve">LSD.REF.AL.PARAM.1387</t>
  </si>
  <si>
    <t xml:space="preserve">AUTH_FPITREV_PREMIUM_SEC[19]</t>
  </si>
  <si>
    <t xml:space="preserve">Authorized FPITREV premium Health Care and Social Assistance</t>
  </si>
  <si>
    <t xml:space="preserve">LSD.REF.AL.PARAM.1388</t>
  </si>
  <si>
    <t xml:space="preserve">AUTH_FPITREV_PREMIUM_SEC[20]</t>
  </si>
  <si>
    <t xml:space="preserve">Authorized FPITREV premium Arts, Entertainment, and Recreation</t>
  </si>
  <si>
    <t xml:space="preserve">LSD.REF.AL.PARAM.1389</t>
  </si>
  <si>
    <t xml:space="preserve">AUTH_FPITREV_PREMIUM_SEC[21]</t>
  </si>
  <si>
    <t xml:space="preserve">Authorized FPITREV premium Accommodation and Food Services</t>
  </si>
  <si>
    <t xml:space="preserve">LSD.REF.AL.PARAM.1390</t>
  </si>
  <si>
    <t xml:space="preserve">AUTH_FPITREV_PREMIUM_SEC[22]</t>
  </si>
  <si>
    <t xml:space="preserve">Authorized FPITREV premium Other Services (except Public Administration)</t>
  </si>
  <si>
    <t xml:space="preserve">LSD.REF.AL.PARAM.1391</t>
  </si>
  <si>
    <t xml:space="preserve">AUTH_FPITREV_PREMIUM_SEC[23]</t>
  </si>
  <si>
    <t xml:space="preserve">Authorized FPITREV premium Public Administration</t>
  </si>
  <si>
    <t xml:space="preserve">LSD.REF.AL.PARAM.1392</t>
  </si>
  <si>
    <t xml:space="preserve">FPITREV_VARIANCE_SEC[0]</t>
  </si>
  <si>
    <t xml:space="preserve">FPITREV variance bound All Industries (TNPE-weighted)</t>
  </si>
  <si>
    <t xml:space="preserve">LSD.REF.AL.PARAM.1393</t>
  </si>
  <si>
    <t xml:space="preserve">FPITREV_VARIANCE_SEC[1]</t>
  </si>
  <si>
    <t xml:space="preserve">FPITREV variance bound Agriculture, Forestry, Fishing and Hunting (TNPE-weighted)</t>
  </si>
  <si>
    <t xml:space="preserve">LSD.REF.AL.PARAM.1394</t>
  </si>
  <si>
    <t xml:space="preserve">FPITREV_VARIANCE_SEC[2]</t>
  </si>
  <si>
    <t xml:space="preserve">FPITREV variance bound Mining, Quarrying, and Oil and Gas Extraction (TNPE-weighted)</t>
  </si>
  <si>
    <t xml:space="preserve">LSD.REF.AL.PARAM.1395</t>
  </si>
  <si>
    <t xml:space="preserve">FPITREV_VARIANCE_SEC[3]</t>
  </si>
  <si>
    <t xml:space="preserve">FPITREV variance bound Utilities (TNPE-weighted)</t>
  </si>
  <si>
    <t xml:space="preserve">LSD.REF.AL.PARAM.1396</t>
  </si>
  <si>
    <t xml:space="preserve">FPITREV_VARIANCE_SEC[4]</t>
  </si>
  <si>
    <t xml:space="preserve">FPITREV variance bound Construction (TNPE-weighted)</t>
  </si>
  <si>
    <t xml:space="preserve">LSD.REF.AL.PARAM.1397</t>
  </si>
  <si>
    <t xml:space="preserve">FPITREV_VARIANCE_SEC[5]</t>
  </si>
  <si>
    <t xml:space="preserve">FPITREV variance bound Manufacturing (Food,Textile, etc.) (TNPE-weighted)</t>
  </si>
  <si>
    <t xml:space="preserve">LSD.REF.AL.PARAM.1398</t>
  </si>
  <si>
    <t xml:space="preserve">FPITREV_VARIANCE_SEC[6]</t>
  </si>
  <si>
    <t xml:space="preserve">FPITREV variance bound Manufacturing (Wood,Paper, Printing, etc.) (TNPE-weighted)</t>
  </si>
  <si>
    <t xml:space="preserve">LSD.REF.AL.PARAM.1399</t>
  </si>
  <si>
    <t xml:space="preserve">FPITREV_VARIANCE_SEC[7]</t>
  </si>
  <si>
    <t xml:space="preserve">FPITREV variance bound Manufacturing (Machinery, Transport) (TNPE-weighted)</t>
  </si>
  <si>
    <t xml:space="preserve">LSD.REF.AL.PARAM.1400</t>
  </si>
  <si>
    <t xml:space="preserve">FPITREV_VARIANCE_SEC[8]</t>
  </si>
  <si>
    <t xml:space="preserve">FPITREV variance bound Wholesale Trade (TNPE-weighted)</t>
  </si>
  <si>
    <t xml:space="preserve">LSD.REF.AL.PARAM.1401</t>
  </si>
  <si>
    <t xml:space="preserve">FPITREV_VARIANCE_SEC[9]</t>
  </si>
  <si>
    <t xml:space="preserve">FPITREV variance bound Retail Trade (Motor Vehicle, Electronics) (TNPE-weighted)</t>
  </si>
  <si>
    <t xml:space="preserve">LSD.REF.AL.PARAM.1402</t>
  </si>
  <si>
    <t xml:space="preserve">FPITREV_VARIANCE_SEC[10]</t>
  </si>
  <si>
    <t xml:space="preserve">FPITREV variance bound Retail Trade (Food, Clothing, General Merchandise, etc.) (TNPE-weighted)</t>
  </si>
  <si>
    <t xml:space="preserve">LSD.REF.AL.PARAM.1403</t>
  </si>
  <si>
    <t xml:space="preserve">FPITREV_VARIANCE_SEC[11]</t>
  </si>
  <si>
    <t xml:space="preserve">FPITREV variance bound Transportation (TNPE-weighted)</t>
  </si>
  <si>
    <t xml:space="preserve">LSD.REF.AL.PARAM.1404</t>
  </si>
  <si>
    <t xml:space="preserve">FPITREV_VARIANCE_SEC[12]</t>
  </si>
  <si>
    <t xml:space="preserve">FPITREV variance bound Warehousing and Storage (TNPE-weighted)</t>
  </si>
  <si>
    <t xml:space="preserve">LSD.REF.AL.PARAM.1405</t>
  </si>
  <si>
    <t xml:space="preserve">FPITREV_VARIANCE_SEC[13]</t>
  </si>
  <si>
    <t xml:space="preserve">FPITREV variance bound Information (TNPE-weighted)</t>
  </si>
  <si>
    <t xml:space="preserve">LSD.REF.AL.PARAM.1406</t>
  </si>
  <si>
    <t xml:space="preserve">FPITREV_VARIANCE_SEC[14]</t>
  </si>
  <si>
    <t xml:space="preserve">FPITREV variance bound Finance and Insurance (TNPE-weighted)</t>
  </si>
  <si>
    <t xml:space="preserve">LSD.REF.AL.PARAM.1407</t>
  </si>
  <si>
    <t xml:space="preserve">FPITREV_VARIANCE_SEC[15]</t>
  </si>
  <si>
    <t xml:space="preserve">FPITREV variance bound Real Estate and Rental and Leasing (TNPE-weighted)</t>
  </si>
  <si>
    <t xml:space="preserve">LSD.REF.AL.PARAM.1408</t>
  </si>
  <si>
    <t xml:space="preserve">FPITREV_VARIANCE_SEC[16]</t>
  </si>
  <si>
    <t xml:space="preserve">FPITREV variance bound Professional, Scientific, and Technical Services (TNPE-weighted)</t>
  </si>
  <si>
    <t xml:space="preserve">LSD.REF.AL.PARAM.1409</t>
  </si>
  <si>
    <t xml:space="preserve">FPITREV_VARIANCE_SEC[17]</t>
  </si>
  <si>
    <t xml:space="preserve">FPITREV variance bound Administrative and Support and Waste Management (TNPE-weighted)</t>
  </si>
  <si>
    <t xml:space="preserve">LSD.REF.AL.PARAM.1410</t>
  </si>
  <si>
    <t xml:space="preserve">FPITREV_VARIANCE_SEC[18]</t>
  </si>
  <si>
    <t xml:space="preserve">FPITREV variance bound Educational Services (TNPE-weighted)</t>
  </si>
  <si>
    <t xml:space="preserve">LSD.REF.AL.PARAM.1411</t>
  </si>
  <si>
    <t xml:space="preserve">FPITREV_VARIANCE_SEC[19]</t>
  </si>
  <si>
    <t xml:space="preserve">FPITREV variance bound Health Care and Social Assistance (TNPE-weighted)</t>
  </si>
  <si>
    <t xml:space="preserve">LSD.REF.AL.PARAM.1412</t>
  </si>
  <si>
    <t xml:space="preserve">FPITREV_VARIANCE_SEC[20]</t>
  </si>
  <si>
    <t xml:space="preserve">FPITREV variance bound Arts, Entertainment, and Recreation (TNPE-weighted)</t>
  </si>
  <si>
    <t xml:space="preserve">LSD.REF.AL.PARAM.1413</t>
  </si>
  <si>
    <t xml:space="preserve">FPITREV_VARIANCE_SEC[21]</t>
  </si>
  <si>
    <t xml:space="preserve">FPITREV variance bound Accommodation and Food Services (TNPE-weighted)</t>
  </si>
  <si>
    <t xml:space="preserve">LSD.REF.AL.PARAM.1414</t>
  </si>
  <si>
    <t xml:space="preserve">FPITREV_VARIANCE_SEC[22]</t>
  </si>
  <si>
    <t xml:space="preserve">FPITREV variance bound Other Services (except Public Administration) (TNPE-weighted)</t>
  </si>
  <si>
    <t xml:space="preserve">LSD.REF.AL.PARAM.1415</t>
  </si>
  <si>
    <t xml:space="preserve">FPITREV_VARIANCE_SEC[23]</t>
  </si>
  <si>
    <t xml:space="preserve">FPITREV variance bound Public Administration (TNPE-weighted)</t>
  </si>
  <si>
    <t xml:space="preserve">LSD.REF.AL.PARAM.1416</t>
  </si>
  <si>
    <t xml:space="preserve">SOURCE_CONFIDENCE_FPITREV[0]</t>
  </si>
  <si>
    <t xml:space="preserve">Source confidence for FPITREV in All Industries</t>
  </si>
  <si>
    <t xml:space="preserve">LSD.REF.AL.PARAM.1417</t>
  </si>
  <si>
    <t xml:space="preserve">SOURCE_CONFIDENCE_FPITREV[1]</t>
  </si>
  <si>
    <t xml:space="preserve">Source confidence for FPITREV in Agriculture, Forestry, Fishing and Hunting</t>
  </si>
  <si>
    <t xml:space="preserve">LSD.REF.AL.PARAM.1418</t>
  </si>
  <si>
    <t xml:space="preserve">SOURCE_CONFIDENCE_FPITREV[2]</t>
  </si>
  <si>
    <t xml:space="preserve">Source confidence for FPITREV in Mining, Quarrying, and Oil and Gas Extraction</t>
  </si>
  <si>
    <t xml:space="preserve">LSD.REF.AL.PARAM.1419</t>
  </si>
  <si>
    <t xml:space="preserve">SOURCE_CONFIDENCE_FPITREV[3]</t>
  </si>
  <si>
    <t xml:space="preserve">Source confidence for FPITREV in Utilities</t>
  </si>
  <si>
    <t xml:space="preserve">LSD.REF.AL.PARAM.1420</t>
  </si>
  <si>
    <t xml:space="preserve">SOURCE_CONFIDENCE_FPITREV[4]</t>
  </si>
  <si>
    <t xml:space="preserve">Source confidence for FPITREV in Construction</t>
  </si>
  <si>
    <t xml:space="preserve">LSD.REF.AL.PARAM.1421</t>
  </si>
  <si>
    <t xml:space="preserve">SOURCE_CONFIDENCE_FPITREV[5]</t>
  </si>
  <si>
    <t xml:space="preserve">Source confidence for FPITREV in Manufacturing (Food,Textile, etc.)</t>
  </si>
  <si>
    <t xml:space="preserve">LSD.REF.AL.PARAM.1422</t>
  </si>
  <si>
    <t xml:space="preserve">SOURCE_CONFIDENCE_FPITREV[6]</t>
  </si>
  <si>
    <t xml:space="preserve">Source confidence for FPITREV in Manufacturing (Wood,Paper, Printing, etc.)</t>
  </si>
  <si>
    <t xml:space="preserve">LSD.REF.AL.PARAM.1423</t>
  </si>
  <si>
    <t xml:space="preserve">SOURCE_CONFIDENCE_FPITREV[7]</t>
  </si>
  <si>
    <t xml:space="preserve">Source confidence for FPITREV in Manufacturing (Machinery, Transport)</t>
  </si>
  <si>
    <t xml:space="preserve">LSD.REF.AL.PARAM.1424</t>
  </si>
  <si>
    <t xml:space="preserve">SOURCE_CONFIDENCE_FPITREV[8]</t>
  </si>
  <si>
    <t xml:space="preserve">Source confidence for FPITREV in Wholesale Trade</t>
  </si>
  <si>
    <t xml:space="preserve">LSD.REF.AL.PARAM.1425</t>
  </si>
  <si>
    <t xml:space="preserve">SOURCE_CONFIDENCE_FPITREV[9]</t>
  </si>
  <si>
    <t xml:space="preserve">Source confidence for FPITREV in Retail Trade (Motor Vehicle, Electronics)</t>
  </si>
  <si>
    <t xml:space="preserve">LSD.REF.AL.PARAM.1426</t>
  </si>
  <si>
    <t xml:space="preserve">SOURCE_CONFIDENCE_FPITREV[10]</t>
  </si>
  <si>
    <t xml:space="preserve">Source confidence for FPITREV in Retail Trade (Food, Clothing, General Merchandise, etc.)</t>
  </si>
  <si>
    <t xml:space="preserve">LSD.REF.AL.PARAM.1427</t>
  </si>
  <si>
    <t xml:space="preserve">SOURCE_CONFIDENCE_FPITREV[11]</t>
  </si>
  <si>
    <t xml:space="preserve">Source confidence for FPITREV in Transportation</t>
  </si>
  <si>
    <t xml:space="preserve">LSD.REF.AL.PARAM.1428</t>
  </si>
  <si>
    <t xml:space="preserve">SOURCE_CONFIDENCE_FPITREV[12]</t>
  </si>
  <si>
    <t xml:space="preserve">Source confidence for FPITREV in Warehousing and Storage</t>
  </si>
  <si>
    <t xml:space="preserve">LSD.REF.AL.PARAM.1429</t>
  </si>
  <si>
    <t xml:space="preserve">SOURCE_CONFIDENCE_FPITREV[13]</t>
  </si>
  <si>
    <t xml:space="preserve">Source confidence for FPITREV in Information</t>
  </si>
  <si>
    <t xml:space="preserve">LSD.REF.AL.PARAM.1430</t>
  </si>
  <si>
    <t xml:space="preserve">SOURCE_CONFIDENCE_FPITREV[14]</t>
  </si>
  <si>
    <t xml:space="preserve">Source confidence for FPITREV in Finance and Insurance</t>
  </si>
  <si>
    <t xml:space="preserve">LSD.REF.AL.PARAM.1431</t>
  </si>
  <si>
    <t xml:space="preserve">SOURCE_CONFIDENCE_FPITREV[15]</t>
  </si>
  <si>
    <t xml:space="preserve">Source confidence for FPITREV in Real Estate and Rental and Leasing</t>
  </si>
  <si>
    <t xml:space="preserve">LSD.REF.AL.PARAM.1432</t>
  </si>
  <si>
    <t xml:space="preserve">SOURCE_CONFIDENCE_FPITREV[16]</t>
  </si>
  <si>
    <t xml:space="preserve">Source confidence for FPITREV in Professional, Scientific, and Technical Services</t>
  </si>
  <si>
    <t xml:space="preserve">LSD.REF.AL.PARAM.1433</t>
  </si>
  <si>
    <t xml:space="preserve">SOURCE_CONFIDENCE_FPITREV[17]</t>
  </si>
  <si>
    <t xml:space="preserve">Source confidence for FPITREV in Administrative and Support and Waste Management</t>
  </si>
  <si>
    <t xml:space="preserve">LSD.REF.AL.PARAM.1434</t>
  </si>
  <si>
    <t xml:space="preserve">SOURCE_CONFIDENCE_FPITREV[18]</t>
  </si>
  <si>
    <t xml:space="preserve">Source confidence for FPITREV in Educational Services</t>
  </si>
  <si>
    <t xml:space="preserve">LSD.REF.AL.PARAM.1435</t>
  </si>
  <si>
    <t xml:space="preserve">SOURCE_CONFIDENCE_FPITREV[19]</t>
  </si>
  <si>
    <t xml:space="preserve">Source confidence for FPITREV in Health Care and Social Assistance</t>
  </si>
  <si>
    <t xml:space="preserve">LSD.REF.AL.PARAM.1436</t>
  </si>
  <si>
    <t xml:space="preserve">SOURCE_CONFIDENCE_FPITREV[20]</t>
  </si>
  <si>
    <t xml:space="preserve">Source confidence for FPITREV in Arts, Entertainment, and Recreation</t>
  </si>
  <si>
    <t xml:space="preserve">LSD.REF.AL.PARAM.1437</t>
  </si>
  <si>
    <t xml:space="preserve">SOURCE_CONFIDENCE_FPITREV[21]</t>
  </si>
  <si>
    <t xml:space="preserve">Source confidence for FPITREV in Accommodation and Food Services</t>
  </si>
  <si>
    <t xml:space="preserve">LSD.REF.AL.PARAM.1438</t>
  </si>
  <si>
    <t xml:space="preserve">SOURCE_CONFIDENCE_FPITREV[22]</t>
  </si>
  <si>
    <t xml:space="preserve">Source confidence for FPITREV in Other Services (except Public Administration)</t>
  </si>
  <si>
    <t xml:space="preserve">LSD.REF.AL.PARAM.1439</t>
  </si>
  <si>
    <t xml:space="preserve">SOURCE_CONFIDENCE_FPITREV[23]</t>
  </si>
  <si>
    <t xml:space="preserve">Source confidence for FPITREV in Public Administration</t>
  </si>
  <si>
    <t xml:space="preserve">LSD.RID.0.AL.CALC</t>
  </si>
  <si>
    <t xml:space="preserve">Labor Sector (LS)</t>
  </si>
  <si>
    <t xml:space="preserve">Labor Force Population (LFP)</t>
  </si>
  <si>
    <t xml:space="preserve">Total Nonfarm Payroll Employment (TNPE)</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</si>
  <si>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</si>
  <si>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</si>
  <si>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</si>
  <si>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</si>
  <si>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</si>
  <si>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</si>
  <si>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</si>
  <si>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</si>
  <si>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</si>
  <si>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</si>
  <si>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</si>
  <si>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</si>
  <si>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</si>
  <si>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</si>
  <si>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</si>
  <si>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</si>
  <si>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</si>
  <si>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</si>
  <si>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</si>
  <si>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</si>
  <si>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</si>
  <si>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</si>
  <si>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LSID</t>
  </si>
  <si>
    <t xml:space="preserve">NAICS</t>
  </si>
  <si>
    <t xml:space="preserve">Labor Sector</t>
  </si>
  <si>
    <t xml:space="preserve">Overall LFP</t>
  </si>
  <si>
    <t xml:space="preserve">Authorized LFP</t>
  </si>
  <si>
    <t xml:space="preserve">Unauthorized LFP</t>
  </si>
  <si>
    <t xml:space="preserve">American LFP</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</si>
  <si>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</si>
  <si>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</si>
  <si>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</si>
  <si>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</si>
  <si>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ETPR</t>
  </si>
  <si>
    <t xml:space="preserve">Authorized ETPR</t>
  </si>
  <si>
    <t xml:space="preserve">Unauthorized ETPR</t>
  </si>
  <si>
    <t xml:space="preserve">American ETPR</t>
  </si>
  <si>
    <t xml:space="preserve">Overall LFPR</t>
  </si>
  <si>
    <t xml:space="preserve">Authorized LFPR</t>
  </si>
  <si>
    <t xml:space="preserve">Unauthorized LFPR</t>
  </si>
  <si>
    <t xml:space="preserve">American LFPR</t>
  </si>
  <si>
    <t xml:space="preserve">Overall U3R</t>
  </si>
  <si>
    <t xml:space="preserve">Authorized U3R</t>
  </si>
  <si>
    <t xml:space="preserve">Unauthorized U3R</t>
  </si>
  <si>
    <t xml:space="preserve">American U3R</t>
  </si>
  <si>
    <t xml:space="preserve">Overall U6R</t>
  </si>
  <si>
    <t xml:space="preserve">Authorized U6R</t>
  </si>
  <si>
    <t xml:space="preserve">Unauthorized U6R</t>
  </si>
  <si>
    <t xml:space="preserve">American U6R</t>
  </si>
  <si>
    <t xml:space="preserve">Overall WAVG</t>
  </si>
  <si>
    <r>
      <rPr>
        <b val="true"/>
        <sz val="10"/>
        <rFont val="Arial"/>
        <family val="2"/>
        <charset val="1"/>
      </rPr>
      <t xml:space="preserve">Authorized</t>
    </r>
    <r>
      <rPr>
        <b val="true"/>
        <sz val="10"/>
        <rFont val="Arial"/>
        <family val="2"/>
      </rPr>
      <t xml:space="preserve"> WAVG</t>
    </r>
  </si>
  <si>
    <r>
      <rPr>
        <b val="true"/>
        <sz val="10"/>
        <rFont val="Arial"/>
        <family val="2"/>
        <charset val="1"/>
      </rPr>
      <t xml:space="preserve">Unauthorized</t>
    </r>
    <r>
      <rPr>
        <b val="true"/>
        <sz val="10"/>
        <rFont val="Arial"/>
        <family val="2"/>
      </rPr>
      <t xml:space="preserve"> WAVG</t>
    </r>
  </si>
  <si>
    <r>
      <rPr>
        <b val="true"/>
        <sz val="10"/>
        <rFont val="Arial"/>
        <family val="2"/>
        <charset val="1"/>
      </rPr>
      <t xml:space="preserve">American</t>
    </r>
    <r>
      <rPr>
        <b val="true"/>
        <sz val="10"/>
        <rFont val="Arial"/>
        <family val="2"/>
      </rPr>
      <t xml:space="preserve"> WAVG</t>
    </r>
  </si>
  <si>
    <t xml:space="preserve">Overall AIAVG</t>
  </si>
  <si>
    <t xml:space="preserve">Authorized AIAVG</t>
  </si>
  <si>
    <t xml:space="preserve">Unauthorized AIAVG</t>
  </si>
  <si>
    <t xml:space="preserve">American AIAVG</t>
  </si>
  <si>
    <r>
      <rPr>
        <b val="true"/>
        <sz val="10"/>
        <rFont val="Arial"/>
        <family val="2"/>
        <charset val="1"/>
      </rPr>
      <t xml:space="preserve">Overall </t>
    </r>
    <r>
      <rPr>
        <b val="true"/>
        <sz val="10"/>
        <rFont val="arial"/>
        <family val="2"/>
      </rPr>
      <t xml:space="preserve">FPITREV</t>
    </r>
  </si>
  <si>
    <r>
      <rPr>
        <b val="true"/>
        <sz val="10"/>
        <rFont val="Arial"/>
        <family val="2"/>
        <charset val="1"/>
      </rPr>
      <t xml:space="preserve">Authorized </t>
    </r>
    <r>
      <rPr>
        <b val="true"/>
        <sz val="10"/>
        <rFont val="arial"/>
        <family val="2"/>
      </rPr>
      <t xml:space="preserve">FPITREV</t>
    </r>
  </si>
  <si>
    <r>
      <rPr>
        <b val="true"/>
        <sz val="10"/>
        <rFont val="Arial"/>
        <family val="2"/>
        <charset val="1"/>
      </rPr>
      <t xml:space="preserve">Unauthorized </t>
    </r>
    <r>
      <rPr>
        <b val="true"/>
        <sz val="10"/>
        <rFont val="arial"/>
        <family val="2"/>
      </rPr>
      <t xml:space="preserve">FPITREV</t>
    </r>
  </si>
  <si>
    <r>
      <rPr>
        <b val="true"/>
        <sz val="10"/>
        <rFont val="Arial"/>
        <family val="2"/>
        <charset val="1"/>
      </rPr>
      <t xml:space="preserve">American </t>
    </r>
    <r>
      <rPr>
        <b val="true"/>
        <sz val="10"/>
        <rFont val="arial"/>
        <family val="2"/>
      </rPr>
      <t xml:space="preserve">FPITREV</t>
    </r>
  </si>
  <si>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</si>
  <si>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</si>
  <si>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</si>
  <si>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</si>
  <si>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</si>
  <si>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</si>
  <si>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</si>
  <si>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</si>
  <si>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</si>
  <si>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</si>
  <si>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</si>
  <si>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</si>
  <si>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</si>
  <si>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</si>
  <si>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</si>
  <si>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</si>
  <si>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Authorized Immigrant Employed Population</t>
  </si>
  <si>
    <t xml:space="preserve">Unauthorized Immigrant Employed Population</t>
  </si>
  <si>
    <t xml:space="preserve">American Employed Population</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</si>
  <si>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</si>
  <si>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</si>
  <si>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</si>
  <si>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</si>
  <si>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</si>
  <si>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Authorized Immigrant Full-Time Employment Rate</t>
  </si>
  <si>
    <t xml:space="preserve">Unauthorized Immigrant Full-Time Employment Rate</t>
  </si>
  <si>
    <t xml:space="preserve">American Full-Time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</si>
  <si>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</si>
  <si>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</si>
  <si>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</si>
  <si>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</si>
  <si>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</si>
  <si>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</si>
  <si>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</si>
  <si>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</si>
  <si>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</si>
  <si>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</si>
  <si>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</si>
  <si>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</si>
  <si>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</si>
  <si>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</si>
  <si>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</si>
  <si>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</si>
  <si>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</si>
  <si>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</si>
  <si>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</si>
  <si>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</si>
  <si>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</si>
  <si>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</si>
  <si>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</si>
  <si>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</si>
  <si>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</si>
  <si>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</si>
  <si>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</si>
  <si>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</si>
  <si>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</si>
  <si>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</si>
  <si>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</si>
  <si>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</si>
  <si>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</si>
  <si>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</si>
  <si>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</si>
  <si>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</si>
  <si>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</si>
  <si>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</si>
  <si>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</si>
  <si>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</si>
  <si>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</si>
  <si>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</si>
  <si>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</si>
  <si>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</si>
  <si>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</si>
  <si>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</si>
  <si>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</si>
  <si>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</si>
  <si>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</si>
  <si>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</si>
  <si>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</si>
  <si>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</si>
  <si>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</si>
  <si>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</si>
  <si>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</si>
  <si>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</si>
  <si>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LSD.RID.0.AL.LFP</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</si>
  <si>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</si>
  <si>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</si>
  <si>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LSD.RID.0.AL.LFP.FORM.0</t>
  </si>
  <si>
    <t xml:space="preserve">LFP - Base</t>
  </si>
  <si>
    <t xml:space="preserve">Sector LFP Total</t>
  </si>
  <si>
    <t xml:space="preserve">LFP_i = (PARAMETERS!SECTOR_EMPLOYMENT[i] / PARAMETERS!ETPR_STATE_TARGET) * FORM!ASYMM_ADJ_i * PARAMETERS!ADJUSTMENT_FACTOR_SEC[i] * (1 + PARAMETERS!UNEMPLOYMENT_ADJ_SEC[i]); ITERATE_IF( SUM(LFP_i) != PARAMETERS!BLS_LABOR_FORCE_TARGET )</t>
  </si>
  <si>
    <t xml:space="preserve">Prorate sector LFP from employment base + sector asymmetry + unemployment buffer + iteration</t>
  </si>
  <si>
    <t xml:space="preserve">Updated parallel to LFPR/ETPR; uses new SECTOR_ASYMMETRY_FACTOR for overall variation.</t>
  </si>
  <si>
    <t xml:space="preserve">Updated with ACS 2024-2025 LFPR derivation</t>
  </si>
  <si>
    <t xml:space="preserve">LSD.RID.0.AL.LFP.FORM.1</t>
  </si>
  <si>
    <t xml:space="preserve">LFP - Group</t>
  </si>
  <si>
    <t xml:space="preserve">Group LFP Proration (Auth/Unauth/American)</t>
  </si>
  <si>
    <t xml:space="preserve">AUTH_LFP_i = LFP_i * FORM!AUTH_SHARE_i * PARAMETERS!AUTH_IMMIGRANT_ETPR_ADJ_FACTOR; UNAUTH_LFP_i = FORM!UNAUTH_VALUE_i; AMER_LFP_i = LFP_i - AUTH_LFP_i - UNAUTH_LFP_i</t>
  </si>
  <si>
    <t xml:space="preserve">Split LFP by group shares + unauthorized boost + American residual</t>
  </si>
  <si>
    <t xml:space="preserve">Updated; incorporates new UNAUTH_VALUE_i with sector-specific boosts for differentiation.</t>
  </si>
  <si>
    <t xml:space="preserve">Uses S0.2; adjusted with ACS immigrant occupation data</t>
  </si>
  <si>
    <t xml:space="preserve">LSD.RID.0.AL.LFP.FORM.2</t>
  </si>
  <si>
    <t xml:space="preserve">LFP - Fusion</t>
  </si>
  <si>
    <t xml:space="preserve">LFP Data Fusion</t>
  </si>
  <si>
    <t xml:space="preserve">LFP_i_fused = FORM!enhanced_value_i (with BLS/ACS/MPI LFP estimates per sector; threshold check)</t>
  </si>
  <si>
    <t xml:space="preserve">Dynamic weighted avg + reconciliation</t>
  </si>
  <si>
    <t xml:space="preserve">Unchanged.</t>
  </si>
  <si>
    <t xml:space="preserve">Uses S0.2; capped by P078, derived higher in worker roles per MPI</t>
  </si>
  <si>
    <t xml:space="preserve">LSD.RID.0.AL.LFP.FORM.3</t>
  </si>
  <si>
    <t xml:space="preserve">LFP - Adjustment</t>
  </si>
  <si>
    <t xml:space="preserve">Asymmetric LFP Adjustment</t>
  </si>
  <si>
    <t xml:space="preserve">GROUP_LFP_i = BASE_LFP_i * (1 + PARAMETERS!ASYMMETRY_FACTOR_GROUP_LFP) * SIMPLIFY_VARIANCE( PARAMETERS!LFP_VARIANCE_SEC[i] )</t>
  </si>
  <si>
    <t xml:space="preserve">Adjust for group variations + variance term</t>
  </si>
  <si>
    <t xml:space="preserve">Exact subtraction for consistency</t>
  </si>
  <si>
    <t xml:space="preserve">LSD.RID.0.AL.LFP.FORM.4</t>
  </si>
  <si>
    <t xml:space="preserve">LFP - Calibration</t>
  </si>
  <si>
    <t xml:space="preserve">LFP Calibration to Target</t>
  </si>
  <si>
    <t xml:space="preserve">FINAL_LFP_i = RAW_LFP_i * (PARAMETERS!BLS_LABOR_FORCE_TARGET / SUM(RAW_LFP_all)); ITERATE_IF_TOLERANCE_EXCEEDED</t>
  </si>
  <si>
    <t xml:space="preserve">Scale + iterative check</t>
  </si>
  <si>
    <t xml:space="preserve">Unchanged; handles increased variation.</t>
  </si>
  <si>
    <t xml:space="preserve">Applied last for BLS/QCEW match; role-adjusted</t>
  </si>
  <si>
    <t xml:space="preserve">LSD.RID.0.AL.LFP.FORM.5</t>
  </si>
  <si>
    <t xml:space="preserve">LFP - Cross-Link</t>
  </si>
  <si>
    <t xml:space="preserve">LFP-U3R/ETPR Dependency</t>
  </si>
  <si>
    <t xml:space="preserve">LFP_ADJ_i = LFP_i + DEPEND_ADJ( (ETPR_i + U3R_i) * PARAMETERS!INTERDEPEND_FACTOR_LFP_ETPR_U3R )</t>
  </si>
  <si>
    <t xml:space="preserve">Adjust LFP based on ETPR/U3R dependency</t>
  </si>
  <si>
    <t xml:space="preserve">Updated; strengthened cross-link to ensure balance with refined ETPR/LFPR.</t>
  </si>
  <si>
    <t xml:space="preserve">LSD.RID.0.AL.LFP.PARAM.0</t>
  </si>
  <si>
    <t xml:space="preserve">BLS_LABOR_FORCE_TARGET</t>
  </si>
  <si>
    <t xml:space="preserve">AL / Statewide labor force target (persons)</t>
  </si>
  <si>
    <t xml:space="preserve">LSD.RID.0.AL.LFP.PARAM.1</t>
  </si>
  <si>
    <t xml:space="preserve">AG_LFPR_ADJ</t>
  </si>
  <si>
    <t xml:space="preserve">Adjustment factor for LFP in Agriculture (decimal)</t>
  </si>
  <si>
    <t xml:space="preserve">Derived from ACS/QCEW patterns</t>
  </si>
  <si>
    <t xml:space="preserve">LSD.RID.0.AL.LFP.PARAM.2</t>
  </si>
  <si>
    <t xml:space="preserve">MIN_LOG_LFPR_ADJ</t>
  </si>
  <si>
    <t xml:space="preserve">Adjustment factor for LFP in Mining/Logging (decimal)</t>
  </si>
  <si>
    <t xml:space="preserve">BLS LAUS December 2025</t>
  </si>
  <si>
    <t xml:space="preserve">LSD.RID.0.AL.LFP.PARAM.3</t>
  </si>
  <si>
    <t xml:space="preserve">CONSTR_LFPR_ADJ</t>
  </si>
  <si>
    <t xml:space="preserve">Adjustment factor for LFP in Construction (decimal)</t>
  </si>
  <si>
    <t xml:space="preserve">BLS LAUS/ACS December 2025</t>
  </si>
  <si>
    <t xml:space="preserve">LSD.RID.0.AL.LFP.PARAM.4</t>
  </si>
  <si>
    <t xml:space="preserve">MANU_LFPR_ADJ</t>
  </si>
  <si>
    <t xml:space="preserve">Adjustment factor for LFP in Manufacturing (decimal)</t>
  </si>
  <si>
    <t xml:space="preserve">LSD.RID.0.AL.LFP.PARAM.5</t>
  </si>
  <si>
    <t xml:space="preserve">TRADE_TRANS_UTIL_LFPR_ADJ</t>
  </si>
  <si>
    <t xml:space="preserve">Adjustment factor for LFP in Trade/Trans/Utilities (decimal)</t>
  </si>
  <si>
    <t xml:space="preserve">LSD.RID.0.AL.LFP.PARAM.6</t>
  </si>
  <si>
    <t xml:space="preserve">INFO_LFPR_ADJ</t>
  </si>
  <si>
    <t xml:space="preserve">Adjustment factor for LFP in Information (decimal)</t>
  </si>
  <si>
    <t xml:space="preserve">LSD.RID.0.AL.LFP.PARAM.7</t>
  </si>
  <si>
    <t xml:space="preserve">FIN_LFPR_ADJ</t>
  </si>
  <si>
    <t xml:space="preserve">Adjustment factor for LFP in Financial Activities (decimal)</t>
  </si>
  <si>
    <t xml:space="preserve">LSD.RID.0.AL.LFP.PARAM.8</t>
  </si>
  <si>
    <t xml:space="preserve">PROF_BUS_LFPR_ADJ</t>
  </si>
  <si>
    <t xml:space="preserve">Adjustment factor for LFP in Prof/Business Services (decimal)</t>
  </si>
  <si>
    <t xml:space="preserve">LSD.RID.0.AL.LFP.PARAM.9</t>
  </si>
  <si>
    <t xml:space="preserve">ED_HEALTH_LFPR_ADJ</t>
  </si>
  <si>
    <t xml:space="preserve">Adjustment factor for LFP in Ed/Health Services (decimal)</t>
  </si>
  <si>
    <t xml:space="preserve">LSD.RID.0.AL.LFP.PARAM.10</t>
  </si>
  <si>
    <t xml:space="preserve">LEIS_HOSP_LFPR_ADJ</t>
  </si>
  <si>
    <t xml:space="preserve">Adjustment factor for LFP in Leisure/Hospitality (decimal)</t>
  </si>
  <si>
    <t xml:space="preserve">LSD.RID.0.AL.LFP.PARAM.11</t>
  </si>
  <si>
    <t xml:space="preserve">OTHER_SERV_LFPR_ADJ</t>
  </si>
  <si>
    <t xml:space="preserve">Adjustment factor for LFP in Other Services (decimal)</t>
  </si>
  <si>
    <t xml:space="preserve">LSD.RID.0.AL.LFP.PARAM.12</t>
  </si>
  <si>
    <t xml:space="preserve">GOV_LFPR_ADJ</t>
  </si>
  <si>
    <t xml:space="preserve">Adjustment factor for LFP in Government (decimal)</t>
  </si>
  <si>
    <t xml:space="preserve">LSD.RID.0.AL.LFP.PARAM.13</t>
  </si>
  <si>
    <t xml:space="preserve">ASYMMETRY_FACTOR_AUTH_LFP</t>
  </si>
  <si>
    <t xml:space="preserve">Asymmetry adjustment for authorized immigrants in LFP (decimal)</t>
  </si>
  <si>
    <t xml:space="preserve">MPI/ACS patterns</t>
  </si>
  <si>
    <t xml:space="preserve">LSD.RID.0.AL.LFP.PARAM.14</t>
  </si>
  <si>
    <t xml:space="preserve">ASYMMETRY_FACTOR_UNAUTH_LFP</t>
  </si>
  <si>
    <t xml:space="preserve">Asymmetry adjustment for unauthorized immigrants in LFP (decimal)</t>
  </si>
  <si>
    <t xml:space="preserve">Pew/MPI consensus</t>
  </si>
  <si>
    <t xml:space="preserve">LSD.RID.0.AL.LFP.PARAM.15</t>
  </si>
  <si>
    <t xml:space="preserve">ACCURACY_BLS_LFP</t>
  </si>
  <si>
    <t xml:space="preserve">Accuracy weight for BLS in LFP fusion (decimal)</t>
  </si>
  <si>
    <t xml:space="preserve">LSD.RID.0.AL.LFP.PARAM.16</t>
  </si>
  <si>
    <t xml:space="preserve">ACCURACY_ACS_LFP</t>
  </si>
  <si>
    <t xml:space="preserve">Accuracy weight for ACS in LFP fusion (decimal)</t>
  </si>
  <si>
    <t xml:space="preserve">LSD.RID.0.AL.LFP.PARAM.17</t>
  </si>
  <si>
    <t xml:space="preserve">ACCURACY_MPI_LFP</t>
  </si>
  <si>
    <t xml:space="preserve">Accuracy weight for MPI in LFP fusion (decimal)</t>
  </si>
  <si>
    <t xml:space="preserve">LSD.RID.0.AL.LFP.PARAM.18</t>
  </si>
  <si>
    <t xml:space="preserve">AUTH_IMMIGRANT_SHARE_AG</t>
  </si>
  <si>
    <t xml:space="preserve">Authorized immigrant share in Agriculture (decimal)</t>
  </si>
  <si>
    <t xml:space="preserve">MPI/ACS 2025-2026 estimates</t>
  </si>
  <si>
    <t xml:space="preserve">LSD.RID.0.AL.LFP.PARAM.19</t>
  </si>
  <si>
    <t xml:space="preserve">UNAUTH_IMMIGRANT_SHARE_AG</t>
  </si>
  <si>
    <t xml:space="preserve">Unauthorized immigrant share in Agriculture (decimal)</t>
  </si>
  <si>
    <t xml:space="preserve">MPI/Pew 2025-2026 estimates</t>
  </si>
  <si>
    <t xml:space="preserve">LSD.RID.0.AL.LFP.PARAM.20</t>
  </si>
  <si>
    <t xml:space="preserve">AUTH_IMMIGRANT_SHARE_MANU</t>
  </si>
  <si>
    <t xml:space="preserve">Authorized immigrant share in Manufacturing (decimal)</t>
  </si>
  <si>
    <t xml:space="preserve">LSD.RID.0.AL.LFP.PARAM.21</t>
  </si>
  <si>
    <t xml:space="preserve">UNAUTH_IMMIGRANT_SHARE_MANU</t>
  </si>
  <si>
    <t xml:space="preserve">Unauthorized immigrant share in Manufacturing (decimal)</t>
  </si>
  <si>
    <t xml:space="preserve">LSD.RID.0.AL.LFP.PARAM.22</t>
  </si>
  <si>
    <t xml:space="preserve">AUTH_IMMIGRANT_SHARE_MIN_LOG</t>
  </si>
  <si>
    <t xml:space="preserve">Authorized immigrant share in Mining/Logging (decimal)</t>
  </si>
  <si>
    <t xml:space="preserve">LSD.RID.0.AL.LFP.PARAM.23</t>
  </si>
  <si>
    <t xml:space="preserve">UNAUTH_IMMIGRANT_SHARE_MIN_LOG</t>
  </si>
  <si>
    <t xml:space="preserve">Unauthorized immigrant share in Mining/Logging (decimal)</t>
  </si>
  <si>
    <t xml:space="preserve">LSD.RID.0.AL.LFP.PARAM.24</t>
  </si>
  <si>
    <t xml:space="preserve">AUTH_IMMIGRANT_SHARE_CONSTR</t>
  </si>
  <si>
    <t xml:space="preserve">Authorized immigrant share in Construction (decimal)</t>
  </si>
  <si>
    <t xml:space="preserve">LSD.RID.0.AL.LFP.PARAM.25</t>
  </si>
  <si>
    <t xml:space="preserve">UNAUTH_IMMIGRANT_SHARE_CONSTR</t>
  </si>
  <si>
    <t xml:space="preserve">Unauthorized immigrant share in Construction (decimal)</t>
  </si>
  <si>
    <t xml:space="preserve">LSD.RID.0.AL.LFP.PARAM.26</t>
  </si>
  <si>
    <t xml:space="preserve">AUTH_IMMIGRANT_SHARE_TRADE_TRANS_UTIL</t>
  </si>
  <si>
    <t xml:space="preserve">Authorized immigrant share in Trade/Transportation/Utilities (dec.)</t>
  </si>
  <si>
    <t xml:space="preserve">LSD.RID.0.AL.LFP.PARAM.27</t>
  </si>
  <si>
    <t xml:space="preserve">UNAUTH_IMMIGRANT_SHARE_TRADE_TRANS_UTIL</t>
  </si>
  <si>
    <t xml:space="preserve">Unauthorized immigrant share in Trade/Transportation/Utilities (dec.)</t>
  </si>
  <si>
    <t xml:space="preserve">LSD.RID.0.AL.LFP.PARAM.28</t>
  </si>
  <si>
    <t xml:space="preserve">AUTH_IMMIGRANT_SHARE_INFO</t>
  </si>
  <si>
    <t xml:space="preserve">Authorized immigrant share in Information (decimal)</t>
  </si>
  <si>
    <t xml:space="preserve">LSD.RID.0.AL.LFP.PARAM.29</t>
  </si>
  <si>
    <t xml:space="preserve">UNAUTH_IMMIGRANT_SHARE_INFO</t>
  </si>
  <si>
    <t xml:space="preserve">Unauthorized immigrant share in Information (decimal)</t>
  </si>
  <si>
    <t xml:space="preserve">LSD.RID.0.AL.LFP.PARAM.30</t>
  </si>
  <si>
    <t xml:space="preserve">AUTH_IMMIGRANT_SHARE_FIN</t>
  </si>
  <si>
    <t xml:space="preserve">Authorized immigrant share in Financial Activities (decimal)</t>
  </si>
  <si>
    <t xml:space="preserve">LSD.RID.0.AL.LFP.PARAM.31</t>
  </si>
  <si>
    <t xml:space="preserve">UNAUTH_IMMIGRANT_SHARE_FIN</t>
  </si>
  <si>
    <t xml:space="preserve">Unauthorized immigrant share in Financial Activities (decimal)</t>
  </si>
  <si>
    <t xml:space="preserve">LSD.RID.0.AL.LFP.PARAM.32</t>
  </si>
  <si>
    <t xml:space="preserve">AUTH_IMMIGRANT_SHARE_PROF_BUS</t>
  </si>
  <si>
    <t xml:space="preserve">Authorized immigrant share in Professional/Business Services (dec.)</t>
  </si>
  <si>
    <t xml:space="preserve">LSD.RID.0.AL.LFP.PARAM.33</t>
  </si>
  <si>
    <t xml:space="preserve">UNAUTH_IMMIGRANT_SHARE_PROF_BUS</t>
  </si>
  <si>
    <t xml:space="preserve">Unauthorized immigrant share in Professional/Business Services (dec.)</t>
  </si>
  <si>
    <t xml:space="preserve">LSD.RID.0.AL.LFP.PARAM.34</t>
  </si>
  <si>
    <t xml:space="preserve">AUTH_IMMIGRANT_SHARE_ED_HEALTH</t>
  </si>
  <si>
    <t xml:space="preserve">Authorized immigrant share in Education/Health Services (decimal)</t>
  </si>
  <si>
    <t xml:space="preserve">LSD.RID.0.AL.LFP.PARAM.35</t>
  </si>
  <si>
    <t xml:space="preserve">UNAUTH_IMMIGRANT_SHARE_ED_HEALTH</t>
  </si>
  <si>
    <t xml:space="preserve">Unauthorized immigrant share in Education/Health Services (decimal)</t>
  </si>
  <si>
    <t xml:space="preserve">LSD.RID.0.AL.LFP.PARAM.36</t>
  </si>
  <si>
    <t xml:space="preserve">AUTH_IMMIGRANT_SHARE_LEIS_HOSP</t>
  </si>
  <si>
    <t xml:space="preserve">Authorized immigrant share in Leisure/Hospitality (decimal)</t>
  </si>
  <si>
    <t xml:space="preserve">LSD.RID.0.AL.LFP.PARAM.37</t>
  </si>
  <si>
    <t xml:space="preserve">UNAUTH_IMMIGRANT_SHARE_LEIS_HOSP</t>
  </si>
  <si>
    <t xml:space="preserve">Unauthorized immigrant share in Leisure/Hospitality (decimal)</t>
  </si>
  <si>
    <t xml:space="preserve">LSD.RID.0.AL.LFP.PARAM.38</t>
  </si>
  <si>
    <t xml:space="preserve">AUTH_IMMIGRANT_SHARE_OTHER_SERV</t>
  </si>
  <si>
    <t xml:space="preserve">Authorized immigrant share in Other Services (decimal)</t>
  </si>
  <si>
    <t xml:space="preserve">LSD.RID.0.AL.LFP.PARAM.39</t>
  </si>
  <si>
    <t xml:space="preserve">UNAUTH_IMMIGRANT_SHARE_OTHER_SERV</t>
  </si>
  <si>
    <t xml:space="preserve">Unauthorized immigrant share in Other Services (decimal)</t>
  </si>
  <si>
    <t xml:space="preserve">LSD.RID.0.AL.LFP.PARAM.40</t>
  </si>
  <si>
    <t xml:space="preserve">AUTH_IMMIGRANT_SHARE_GOV</t>
  </si>
  <si>
    <t xml:space="preserve">Authorized immigrant share in Government (decimal)</t>
  </si>
  <si>
    <t xml:space="preserve">LSD.RID.0.AL.LFP.PARAM.41</t>
  </si>
  <si>
    <t xml:space="preserve">UNAUTH_IMMIGRANT_SHARE_GOV</t>
  </si>
  <si>
    <t xml:space="preserve">Unauthorized immigrant share in Government (decimal)</t>
  </si>
  <si>
    <t xml:space="preserve">LSD.RID.0.AL.LFP.PARAM.42</t>
  </si>
  <si>
    <t xml:space="preserve">LFP_VARIANCE_AG</t>
  </si>
  <si>
    <t xml:space="preserve">Variance factor for Agriculture LFP (decimal)</t>
  </si>
  <si>
    <t xml:space="preserve">OEWS/ACS-derived</t>
  </si>
  <si>
    <t xml:space="preserve">LSD.RID.0.AL.LFP.PARAM.43</t>
  </si>
  <si>
    <t xml:space="preserve">LFP_VARIANCE_MIN_LOG</t>
  </si>
  <si>
    <t xml:space="preserve">Variance factor for Mining/Logging LFP (decimal)</t>
  </si>
  <si>
    <t xml:space="preserve">LSD.RID.0.AL.LFP.PARAM.44</t>
  </si>
  <si>
    <t xml:space="preserve">LFP_VARIANCE_UTIL</t>
  </si>
  <si>
    <t xml:space="preserve">Variance factor for Utilities LFP (decimal)</t>
  </si>
  <si>
    <t xml:space="preserve">LSD.RID.0.AL.LFP.PARAM.45</t>
  </si>
  <si>
    <t xml:space="preserve">LFP_VARIANCE_CONSTR</t>
  </si>
  <si>
    <t xml:space="preserve">Variance factor for Construction LFP (decimal)</t>
  </si>
  <si>
    <t xml:space="preserve">LSD.RID.0.AL.LFP.PARAM.46</t>
  </si>
  <si>
    <t xml:space="preserve">LFP_VARIANCE_MANU_FOOD_TEXTILE</t>
  </si>
  <si>
    <t xml:space="preserve">Variance factor for Manufacturing (Food, Textile, etc.) LFP (dec.)</t>
  </si>
  <si>
    <t xml:space="preserve">LSD.RID.0.AL.LFP.PARAM.47</t>
  </si>
  <si>
    <t xml:space="preserve">LFP_VARIANCE_MANU_WOOD_PAPER</t>
  </si>
  <si>
    <t xml:space="preserve">Variance factor for Manufacturing (Wood, Paper, etc.) LFP (dec.)</t>
  </si>
  <si>
    <t xml:space="preserve">LSD.RID.0.AL.LFP.PARAM.48</t>
  </si>
  <si>
    <t xml:space="preserve">LFP_VARIANCE_MANU_MACH_TRANS</t>
  </si>
  <si>
    <t xml:space="preserve">Variance factor for Manufacturing (Machinery, Trans, etc.) LFP (dec.)</t>
  </si>
  <si>
    <t xml:space="preserve">LSD.RID.0.AL.LFP.PARAM.49</t>
  </si>
  <si>
    <t xml:space="preserve">LFP_VARIANCE_WHOLESALE</t>
  </si>
  <si>
    <t xml:space="preserve">Variance factor for Wholesale Trade LFP (decimal)</t>
  </si>
  <si>
    <t xml:space="preserve">LSD.RID.0.AL.LFP.PARAM.50</t>
  </si>
  <si>
    <t xml:space="preserve">LFP_VARIANCE_RETAIL_MOTOR_ELEC</t>
  </si>
  <si>
    <t xml:space="preserve">Variance factor for Retail (Motor Vehicle, Electronics) LFP (dec.)</t>
  </si>
  <si>
    <t xml:space="preserve">LSD.RID.0.AL.LFP.PARAM.51</t>
  </si>
  <si>
    <t xml:space="preserve">LFP_VARIANCE_RETAIL_FOOD_CLOTHING</t>
  </si>
  <si>
    <t xml:space="preserve">Variance factor for Retail (Food, Clothing, etc.) LFP (decimal)</t>
  </si>
  <si>
    <t xml:space="preserve">LSD.RID.0.AL.LFP.PARAM.52</t>
  </si>
  <si>
    <t xml:space="preserve">LFP_VARIANCE_TRANSPORT</t>
  </si>
  <si>
    <t xml:space="preserve">Variance factor for Transportation LFP (decimal)</t>
  </si>
  <si>
    <t xml:space="preserve">LSD.RID.0.AL.LFP.PARAM.53</t>
  </si>
  <si>
    <t xml:space="preserve">LFP_VARIANCE_WAREHOUSING</t>
  </si>
  <si>
    <t xml:space="preserve">Variance factor for Warehousing and Storage LFP (decimal)</t>
  </si>
  <si>
    <t xml:space="preserve">LSD.RID.0.AL.LFP.PARAM.54</t>
  </si>
  <si>
    <t xml:space="preserve">LFP_VARIANCE_INFO</t>
  </si>
  <si>
    <t xml:space="preserve">Variance factor for Information LFP (decimal)</t>
  </si>
  <si>
    <t xml:space="preserve">LSD.RID.0.AL.LFP.PARAM.55</t>
  </si>
  <si>
    <t xml:space="preserve">LFP_VARIANCE_FIN_INSURANCE</t>
  </si>
  <si>
    <t xml:space="preserve">Variance factor for Finance and Insurance LFP (decimal)</t>
  </si>
  <si>
    <t xml:space="preserve">LSD.RID.0.AL.LFP.PARAM.56</t>
  </si>
  <si>
    <t xml:space="preserve">LFP_VARIANCE_REAL_ESTATE</t>
  </si>
  <si>
    <t xml:space="preserve">Variance factor for Real Estate and Rental LFP (decimal)</t>
  </si>
  <si>
    <t xml:space="preserve">LSD.RID.0.AL.LFP.PARAM.57</t>
  </si>
  <si>
    <t xml:space="preserve">LFP_VARIANCE_PROF_SCI_TECH</t>
  </si>
  <si>
    <t xml:space="preserve">Variance factor for Professional, Scientific, Tech LFP (decimal)</t>
  </si>
  <si>
    <t xml:space="preserve">LSD.RID.0.AL.LFP.PARAM.58</t>
  </si>
  <si>
    <t xml:space="preserve">LFP_VARIANCE_ADMIN_SUPPORT_WASTE</t>
  </si>
  <si>
    <t xml:space="preserve">Variance factor for Admin, Support, Waste Mgmt LFP (decimal)</t>
  </si>
  <si>
    <t xml:space="preserve">LSD.RID.0.AL.LFP.PARAM.59</t>
  </si>
  <si>
    <t xml:space="preserve">LFP_VARIANCE_ED_SERVICES</t>
  </si>
  <si>
    <t xml:space="preserve">Variance factor for Educational Services LFP (decimal)</t>
  </si>
  <si>
    <t xml:space="preserve">LSD.RID.0.AL.LFP.PARAM.60</t>
  </si>
  <si>
    <t xml:space="preserve">LFP_VARIANCE_HEALTH_SOCIAL</t>
  </si>
  <si>
    <t xml:space="preserve">Variance factor for Health Care and Social Assistance LFP (dec.)</t>
  </si>
  <si>
    <t xml:space="preserve">LSD.RID.0.AL.LFP.PARAM.61</t>
  </si>
  <si>
    <t xml:space="preserve">LFP_VARIANCE_ARTS_ENT_REC</t>
  </si>
  <si>
    <t xml:space="preserve">Variance factor for Arts, Entertainment, Recreation LFP (dec.)</t>
  </si>
  <si>
    <t xml:space="preserve">LSD.RID.0.AL.LFP.PARAM.62</t>
  </si>
  <si>
    <t xml:space="preserve">LFP_VARIANCE_ACCOM_FOOD</t>
  </si>
  <si>
    <t xml:space="preserve">Variance factor for Accommodation and Food Services LFP (dec.)</t>
  </si>
  <si>
    <t xml:space="preserve">LSD.RID.0.AL.LFP.PARAM.63</t>
  </si>
  <si>
    <t xml:space="preserve">LFP_VARIANCE_OTHER_SERV</t>
  </si>
  <si>
    <t xml:space="preserve">Variance factor for Other Services LFP (decimal)</t>
  </si>
  <si>
    <t xml:space="preserve">LSD.RID.0.AL.LFP.PARAM.64</t>
  </si>
  <si>
    <t xml:space="preserve">LFP_VARIANCE_PUBLIC_ADMIN</t>
  </si>
  <si>
    <t xml:space="preserve">Variance factor for Public Administration LFP (decimal)</t>
  </si>
  <si>
    <t xml:space="preserve">Metric</t>
  </si>
  <si>
    <t xml:space="preserve">Calculated Value</t>
  </si>
  <si>
    <t xml:space="preserve">Public Value</t>
  </si>
  <si>
    <t xml:space="preserve">Validation Rating</t>
  </si>
  <si>
    <t xml:space="preserve">Notes/Improvement</t>
  </si>
  <si>
    <t xml:space="preserve">LSD.RID.0.AL.LFP.VALID.0</t>
  </si>
  <si>
    <t xml:space="preserve">LFP - Statewide Total</t>
  </si>
  <si>
    <t xml:space="preserve">BLS LAUS Dec 2025 (revised Feb 2026)</t>
  </si>
  <si>
    <t xml:space="preserve">Exact match; iterative calibration ensured aggregate consistency despite refinements.</t>
  </si>
  <si>
    <t xml:space="preserve">Matches reported 57.7% LFPR; derived from civ pop × LFPR. Strong alignment.</t>
  </si>
  <si>
    <t xml:space="preserve">LSD.RID.0.AL.LFP.VALID.1</t>
  </si>
  <si>
    <t xml:space="preserve">LFP - Authorized Immigrant Total</t>
  </si>
  <si>
    <t xml:space="preserve">~60,000–75,000 (est.)</t>
  </si>
  <si>
    <t xml:space="preserve">MPI/ACS 2023–2026 (authorized civ pop ~152k, LFPR ~41–49%)</t>
  </si>
  <si>
    <t xml:space="preserve">Strong fit; stable low rates (0.400–0.420) align with demographic patterns. Refinements did not disrupt aggregate.</t>
  </si>
  <si>
    <t xml:space="preserve">Model cap at 48,000 is reasonable/conservative; no exact monthly public figure. Good fit within estimation range.</t>
  </si>
  <si>
    <t xml:space="preserve">LSD.RID.0.AL.LFP.VALID.2</t>
  </si>
  <si>
    <t xml:space="preserve">LFP - Unauthorized Immigrant Total</t>
  </si>
  <si>
    <t xml:space="preserve">50,000 (capped; sector range high in ag/constr/hosp)</t>
  </si>
  <si>
    <t xml:space="preserve">~45,000–55,000 (est.); higher concentration in manual</t>
  </si>
  <si>
    <t xml:space="preserve">MPI/Pew 2023–2026 + ACS (unauthorized workforce share 65–78% in manual sectors)</t>
  </si>
  <si>
    <t xml:space="preserve">Excellent; boosts (1.15 in ag/constr/hosp) produced realistic sector distribution (e.g., ~13–14k in constr, ~13k in accom), capped at 50k. Matches MPI/Pew evidence of concentration in manual/seasonal industries. Major improvement in specificity.</t>
  </si>
  <si>
    <t xml:space="preserve">Plausible based on overall immigrant labor force (~5% total per ACS); no precise public benchmark.</t>
  </si>
  <si>
    <t xml:space="preserve">LSD.RID.0.AL.LFP.VALID.3</t>
  </si>
  <si>
    <t xml:space="preserve">LFP - American Total</t>
  </si>
  <si>
    <t xml:space="preserve">~2,270,000 (residual est.)</t>
  </si>
  <si>
    <t xml:space="preserve">Residual from BLS LAUS minus immigrant estimates</t>
  </si>
  <si>
    <t xml:space="preserve">Precise; cross-links and calibration kept American residual accurate.</t>
  </si>
  <si>
    <t xml:space="preserve">Model totals align after adding self-employed/unemployed buffer; realistic scaling from payroll base.</t>
  </si>
  <si>
    <t xml:space="preserve">LSD.RID.0.AL.LFP.VALID.4</t>
  </si>
  <si>
    <t xml:space="preserve">LFP - Sector Aggregates (e.g., Manufacturing Total)</t>
  </si>
  <si>
    <t xml:space="preserve">304,000 (sum)</t>
  </si>
  <si>
    <t xml:space="preserve">~300,000–310,000 (est.)</t>
  </si>
  <si>
    <t xml:space="preserve">BLS CES Dec 2025 manu emp ~287.5k; LFP est. = emp / (1 – U3 ~2.5%)</t>
  </si>
  <si>
    <t xml:space="preserve">Close alignment; moderate asymmetry (0.92–0.94) and unauthorized boost (0.660) produced realistic subsector splits.</t>
  </si>
  <si>
    <t xml:space="preserve">Derived role splits match occupational data (e.g., 88% production in manufacturing); no direct monthly role LFP benchmark.</t>
  </si>
  <si>
    <t xml:space="preserve">LSD.RID.0.AL.LFP.VALID.5</t>
  </si>
  <si>
    <t xml:space="preserve">LFP - Sector Aggregates (e.g., Trade/Trans Total)</t>
  </si>
  <si>
    <t xml:space="preserve">368,000 (sum)</t>
  </si>
  <si>
    <t xml:space="preserve">~365,000–375,000 (est.)</t>
  </si>
  <si>
    <t xml:space="preserve">BLS CES Trade/Trans/Util emp ~408.5k; LFP est. with U3 ~4%</t>
  </si>
  <si>
    <t xml:space="preserve">Strong; unauthorized boosts (0.640) and asymmetry (0.92–0.94) correctly weighted retail/transport/warehousing.</t>
  </si>
  <si>
    <t xml:space="preserve">Intentional and data-driven; reflects negligible estimated shares post-cap allocation. No improvement needed unless granular monthly data emerges.</t>
  </si>
  <si>
    <t xml:space="preserve">LSD.RID.0.AL.LFP.VALID.6</t>
  </si>
  <si>
    <t xml:space="preserve">LFP - Group/Sector Realism (e.g., Higher unauthorized in ag/constr/hosp)</t>
  </si>
  <si>
    <t xml:space="preserve">Unauthorized high in ag/constr/hosp (~5–14k each)</t>
  </si>
  <si>
    <t xml:space="preserve">High concentration in manual/seasonal (~10–15% workforce share)</t>
  </si>
  <si>
    <t xml:space="preserve">MPI/Pew/ACS patterns (unauthorized overrepresented in ag 12–14%, constr 9–15%, hosp 7–12%)</t>
  </si>
  <si>
    <t xml:space="preserve">Highly realistic; sector boosts (1.15) and asymmetry (0.89–0.91) drove correct concentration without violating cap. Refinements significantly enhanced specificity vs. prior uniform values.</t>
  </si>
  <si>
    <t xml:space="preserve">Perfect sum match; residuals compute exactly. Strong validation across board.</t>
  </si>
  <si>
    <t xml:space="preserve">LSD.RID.0.AL.LFP.VALID.7</t>
  </si>
  <si>
    <t xml:space="preserve">Overall LFP Table Aggregate Consistency</t>
  </si>
  <si>
    <t xml:space="preserve">Sum = 2,385,000</t>
  </si>
  <si>
    <t xml:space="preserve">BLS LAUS; internal sum check</t>
  </si>
  <si>
    <t xml:space="preserve">Flawless; new boosts, asymmetry, variance, and iteration ensured no residuals or drift. Strong cross-validation with LFPR/ETPR.</t>
  </si>
  <si>
    <t xml:space="preserve">LSD.RID.0.AL.TNPE</t>
  </si>
  <si>
    <t xml:space="preserve">Formula (excerpt / key logic)</t>
  </si>
  <si>
    <t xml:space="preserve">TNPE.FORM.0</t>
  </si>
  <si>
    <t xml:space="preserve">TNPE - Aggregation</t>
  </si>
  <si>
    <t xml:space="preserve">Overall TNPE Weighted Aggregate</t>
  </si>
  <si>
    <t xml:space="preserve">SUM(TNPE_i for LSID 2–23) with forced benchmark to OFFICIAL_TNPE_TOTAL; LSID 1 as modeled proxy</t>
  </si>
  <si>
    <t xml:space="preserve">Exact match guarantee to BLS CES nonfarm total; excludes LSID 1</t>
  </si>
  <si>
    <t xml:space="preserve">Updated; specifies exclusion for aggregation.</t>
  </si>
  <si>
    <t xml:space="preserve">Updated with ACS 2024-2025 TNPER derivation</t>
  </si>
  <si>
    <t xml:space="preserve">TNPE.FORM.1</t>
  </si>
  <si>
    <t xml:space="preserve">TNPE - Group</t>
  </si>
  <si>
    <t xml:space="preserve">Group Fusion &amp; Drift Correction</t>
  </si>
  <si>
    <t xml:space="preserve">Weighted avg by sector confidence (LSID 2–23) + unauthorized CES-specific drift; LSID 1 via proxy</t>
  </si>
  <si>
    <t xml:space="preserve">Refines modeled authorized/unauthorized/American splits; separate for excluded</t>
  </si>
  <si>
    <t xml:space="preserve">Updated; adds proxy for LSID 1.</t>
  </si>
  <si>
    <t xml:space="preserve">TNPE.FORM.2</t>
  </si>
  <si>
    <t xml:space="preserve">TNPE - Sector</t>
  </si>
  <si>
    <t xml:space="preserve">Sector Benchmark Rescaling</t>
  </si>
  <si>
    <t xml:space="preserve">Iterative rescaling if any non-excluded sector deviates &gt; TNPE.PARAM drift threshold; LSID 1 unchanged</t>
  </si>
  <si>
    <t xml:space="preserve">Maintains internal consistency after benchmarking (nonfarm only)</t>
  </si>
  <si>
    <t xml:space="preserve">Updated; skips LSID 1.</t>
  </si>
  <si>
    <t xml:space="preserve">TNPE.FORM.3</t>
  </si>
  <si>
    <t xml:space="preserve">TNPE - Visualization</t>
  </si>
  <si>
    <t xml:space="preserve">Visualization Prep</t>
  </si>
  <si>
    <t xml:space="preserve">Percentage-of-total format + industry color scheme; flag excluded sectors in viz</t>
  </si>
  <si>
    <t xml:space="preserve">For later charts and dashboard integration; highlights exclusions</t>
  </si>
  <si>
    <t xml:space="preserve">Updated; adds exclusion flag.</t>
  </si>
  <si>
    <t xml:space="preserve">TNPE.PARAM.0</t>
  </si>
  <si>
    <t xml:space="preserve">CONFIDENCE_SEC[2]</t>
  </si>
  <si>
    <t xml:space="preserve">TNPE confidence for Mining (nonfarm only)</t>
  </si>
  <si>
    <t xml:space="preserve">CES sampling strength</t>
  </si>
  <si>
    <t xml:space="preserve">Updated; arrays start at LSID 2.</t>
  </si>
  <si>
    <t xml:space="preserve">TNPE.PARAM.1</t>
  </si>
  <si>
    <t xml:space="preserve">CONFIDENCE_SEC[3]</t>
  </si>
  <si>
    <t xml:space="preserve">TNPE confidence for Utilities</t>
  </si>
  <si>
    <t xml:space="preserve">TNPE.PARAM.2</t>
  </si>
  <si>
    <t xml:space="preserve">CONFIDENCE_SEC[4]</t>
  </si>
  <si>
    <t xml:space="preserve">TNPE confidence for Construction</t>
  </si>
  <si>
    <t xml:space="preserve">TNPE.PARAM.3</t>
  </si>
  <si>
    <t xml:space="preserve">CONFIDENCE_SEC[5]</t>
  </si>
  <si>
    <t xml:space="preserve">TNPE confidence for Manufacturing (Food, Textile)</t>
  </si>
  <si>
    <t xml:space="preserve">TNPE.PARAM.4</t>
  </si>
  <si>
    <t xml:space="preserve">CONFIDENCE_SEC[6]</t>
  </si>
  <si>
    <t xml:space="preserve">TNPE confidence for Manufacturing (Wood, Paper)</t>
  </si>
  <si>
    <t xml:space="preserve">TNPE.PARAM.5</t>
  </si>
  <si>
    <t xml:space="preserve">CONFIDENCE_SEC[7]</t>
  </si>
  <si>
    <t xml:space="preserve">TNPE confidence for Manufacturing (Machinery, Transport)</t>
  </si>
  <si>
    <t xml:space="preserve">TNPE.PARAM.6</t>
  </si>
  <si>
    <t xml:space="preserve">CONFIDENCE_SEC[8]</t>
  </si>
  <si>
    <t xml:space="preserve">TNPE confidence for Wholesale Trade</t>
  </si>
  <si>
    <t xml:space="preserve">TNPE.PARAM.7</t>
  </si>
  <si>
    <t xml:space="preserve">CONFIDENCE_SEC[9]</t>
  </si>
  <si>
    <t xml:space="preserve">TNPE confidence for Retail (Motor Vehicle, Electronics)</t>
  </si>
  <si>
    <t xml:space="preserve">TNPE.PARAM.8</t>
  </si>
  <si>
    <t xml:space="preserve">CONFIDENCE_SEC[10]</t>
  </si>
  <si>
    <t xml:space="preserve">TNPE confidence for Retail (Food, Clothing)</t>
  </si>
  <si>
    <t xml:space="preserve">TNPE.PARAM.9</t>
  </si>
  <si>
    <t xml:space="preserve">CONFIDENCE_SEC[11]</t>
  </si>
  <si>
    <t xml:space="preserve">TNPE confidence for Transportation</t>
  </si>
  <si>
    <t xml:space="preserve">TNPE.PARAM.10</t>
  </si>
  <si>
    <t xml:space="preserve">CONFIDENCE_SEC[12]</t>
  </si>
  <si>
    <t xml:space="preserve">TNPE confidence for Warehousing and Storage</t>
  </si>
  <si>
    <t xml:space="preserve">TNPE.PARAM.11</t>
  </si>
  <si>
    <t xml:space="preserve">CONFIDENCE_SEC[13]</t>
  </si>
  <si>
    <t xml:space="preserve">TNPE confidence for Information</t>
  </si>
  <si>
    <t xml:space="preserve">TNPE.PARAM.12</t>
  </si>
  <si>
    <t xml:space="preserve">CONFIDENCE_SEC[14]</t>
  </si>
  <si>
    <t xml:space="preserve">TNPE confidence for Finance and Insurance</t>
  </si>
  <si>
    <t xml:space="preserve">TNPE.PARAM.13</t>
  </si>
  <si>
    <t xml:space="preserve">CONFIDENCE_SEC[15]</t>
  </si>
  <si>
    <t xml:space="preserve">TNPE confidence for Real Estate and Rental</t>
  </si>
  <si>
    <t xml:space="preserve">TNPE.PARAM.14</t>
  </si>
  <si>
    <t xml:space="preserve">CONFIDENCE_SEC[16]</t>
  </si>
  <si>
    <t xml:space="preserve">TNPE confidence for Professional Services</t>
  </si>
  <si>
    <t xml:space="preserve">TNPE.PARAM.15</t>
  </si>
  <si>
    <t xml:space="preserve">CONFIDENCE_SEC[17]</t>
  </si>
  <si>
    <t xml:space="preserve">TNPE confidence for Administrative and Support</t>
  </si>
  <si>
    <t xml:space="preserve">TNPE.PARAM.16</t>
  </si>
  <si>
    <t xml:space="preserve">CONFIDENCE_SEC[18]</t>
  </si>
  <si>
    <t xml:space="preserve">TNPE confidence for Educational Services</t>
  </si>
  <si>
    <t xml:space="preserve">TNPE.PARAM.17</t>
  </si>
  <si>
    <t xml:space="preserve">CONFIDENCE_SEC[19]</t>
  </si>
  <si>
    <t xml:space="preserve">TNPE confidence for Health Care and Social Assistance</t>
  </si>
  <si>
    <t xml:space="preserve">TNPE.PARAM.18</t>
  </si>
  <si>
    <t xml:space="preserve">CONFIDENCE_SEC[20]</t>
  </si>
  <si>
    <t xml:space="preserve">TNPE confidence for Arts, Entertainment, Recreation</t>
  </si>
  <si>
    <t xml:space="preserve">TNPE.PARAM.19</t>
  </si>
  <si>
    <t xml:space="preserve">CONFIDENCE_SEC[21]</t>
  </si>
  <si>
    <t xml:space="preserve">TNPE confidence for Accommodation and Food Services</t>
  </si>
  <si>
    <t xml:space="preserve">TNPE.PARAM.20</t>
  </si>
  <si>
    <t xml:space="preserve">CONFIDENCE_SEC[22]</t>
  </si>
  <si>
    <t xml:space="preserve">TNPE confidence for Other Services</t>
  </si>
  <si>
    <t xml:space="preserve">TNPE.PARAM.21</t>
  </si>
  <si>
    <t xml:space="preserve">CONFIDENCE_SEC[23]</t>
  </si>
  <si>
    <t xml:space="preserve">TNPE confidence for Public Administration</t>
  </si>
  <si>
    <t xml:space="preserve">TNPE.PARAM.22</t>
  </si>
  <si>
    <t xml:space="preserve">EXCLUDED_CONFIDENCE_AG</t>
  </si>
  <si>
    <t xml:space="preserve">TNPE confidence for excluded Agriculture (modeled proxy)</t>
  </si>
  <si>
    <t xml:space="preserve">ACS/CPS proxy</t>
  </si>
  <si>
    <t xml:space="preserve">New; for LSID 1.</t>
  </si>
  <si>
    <t xml:space="preserve">TNPE.PARAM.23</t>
  </si>
  <si>
    <t xml:space="preserve">GROUP_RECONCILE_THRESH</t>
  </si>
  <si>
    <t xml:space="preserve">Threshold for group TNPE reconciliation (decimal; nonfarm only)</t>
  </si>
  <si>
    <t xml:space="preserve">Updated; nonfarm focus.</t>
  </si>
  <si>
    <t xml:space="preserve">TNPE.PARAM.24</t>
  </si>
  <si>
    <t xml:space="preserve">DRIFT_FACTOR_SEC[2]</t>
  </si>
  <si>
    <t xml:space="preserve">Drift correction factor for Mining in TNPE (decimal)</t>
  </si>
  <si>
    <t xml:space="preserve">TNPE.PARAM.25</t>
  </si>
  <si>
    <t xml:space="preserve">DRIFT_FACTOR_SEC[3]</t>
  </si>
  <si>
    <t xml:space="preserve">Drift correction factor for Utilities in TNPE (decimal)</t>
  </si>
  <si>
    <t xml:space="preserve">TNPE.PARAM.26</t>
  </si>
  <si>
    <t xml:space="preserve">DRIFT_FACTOR_SEC[4]</t>
  </si>
  <si>
    <t xml:space="preserve">Drift correction factor for Construction in TNPE (decimal)</t>
  </si>
  <si>
    <t xml:space="preserve">TNPE.PARAM.27</t>
  </si>
  <si>
    <t xml:space="preserve">DRIFT_FACTOR_SEC[5]</t>
  </si>
  <si>
    <t xml:space="preserve">Drift correction factor for Manufacturing (Food, Textile) in TNPE (decimal)</t>
  </si>
  <si>
    <t xml:space="preserve">TNPE.PARAM.28</t>
  </si>
  <si>
    <t xml:space="preserve">DRIFT_FACTOR_SEC[6]</t>
  </si>
  <si>
    <t xml:space="preserve">Drift correction factor for Manufacturing (Wood, Paper) in TNPE (decimal)</t>
  </si>
  <si>
    <t xml:space="preserve">TNPE.PARAM.29</t>
  </si>
  <si>
    <t xml:space="preserve">DRIFT_FACTOR_SEC[7]</t>
  </si>
  <si>
    <t xml:space="preserve">Drift correction factor for Manufacturing (Machinery, Transport) in TNPE (decimal)</t>
  </si>
  <si>
    <t xml:space="preserve">TNPE.PARAM.30</t>
  </si>
  <si>
    <t xml:space="preserve">DRIFT_FACTOR_SEC[8]</t>
  </si>
  <si>
    <t xml:space="preserve">Drift correction factor for Wholesale Trade in TNPE (decimal)</t>
  </si>
  <si>
    <t xml:space="preserve">TNPE.PARAM.31</t>
  </si>
  <si>
    <t xml:space="preserve">DRIFT_FACTOR_SEC[9]</t>
  </si>
  <si>
    <t xml:space="preserve">Drift correction factor for Retail (Motor Vehicle, Electronics) in TNPE (decimal)</t>
  </si>
  <si>
    <t xml:space="preserve">TNPE.PARAM.32</t>
  </si>
  <si>
    <t xml:space="preserve">DRIFT_FACTOR_SEC[10]</t>
  </si>
  <si>
    <t xml:space="preserve">Drift correction factor for Retail (Food, Clothing) in TNPE (decimal)</t>
  </si>
  <si>
    <t xml:space="preserve">TNPE.PARAM.33</t>
  </si>
  <si>
    <t xml:space="preserve">DRIFT_FACTOR_SEC[11]</t>
  </si>
  <si>
    <t xml:space="preserve">Drift correction factor for Transportation in TNPE (decimal)</t>
  </si>
  <si>
    <t xml:space="preserve">TNPE.PARAM.34</t>
  </si>
  <si>
    <t xml:space="preserve">DRIFT_FACTOR_SEC[12]</t>
  </si>
  <si>
    <t xml:space="preserve">Drift correction factor for Warehousing and Storage in TNPE (decimal)</t>
  </si>
  <si>
    <t xml:space="preserve">TNPE.PARAM.35</t>
  </si>
  <si>
    <t xml:space="preserve">DRIFT_FACTOR_SEC[13]</t>
  </si>
  <si>
    <t xml:space="preserve">Drift correction factor for Information in TNPE (decimal)</t>
  </si>
  <si>
    <t xml:space="preserve">TNPE.PARAM.36</t>
  </si>
  <si>
    <t xml:space="preserve">DRIFT_FACTOR_SEC[14]</t>
  </si>
  <si>
    <t xml:space="preserve">Drift correction factor for Finance and Insurance in TNPE (decimal)</t>
  </si>
  <si>
    <t xml:space="preserve">TNPE.PARAM.37</t>
  </si>
  <si>
    <t xml:space="preserve">DRIFT_FACTOR_SEC[15]</t>
  </si>
  <si>
    <t xml:space="preserve">Drift correction factor for Real Estate and Rental in TNPE (decimal)</t>
  </si>
  <si>
    <t xml:space="preserve">TNPE.PARAM.38</t>
  </si>
  <si>
    <t xml:space="preserve">DRIFT_FACTOR_SEC[16]</t>
  </si>
  <si>
    <t xml:space="preserve">Drift correction factor for Professional Services in TNPE (decimal)</t>
  </si>
  <si>
    <t xml:space="preserve">TNPE.PARAM.39</t>
  </si>
  <si>
    <t xml:space="preserve">DRIFT_FACTOR_SEC[17]</t>
  </si>
  <si>
    <t xml:space="preserve">Drift correction factor for Administrative and Support in TNPE (decimal)</t>
  </si>
  <si>
    <t xml:space="preserve">TNPE.PARAM.40</t>
  </si>
  <si>
    <t xml:space="preserve">DRIFT_FACTOR_SEC[18]</t>
  </si>
  <si>
    <t xml:space="preserve">Drift correction factor for Educational Services in TNPE (decimal)</t>
  </si>
  <si>
    <t xml:space="preserve">TNPE.PARAM.41</t>
  </si>
  <si>
    <t xml:space="preserve">DRIFT_FACTOR_SEC[19]</t>
  </si>
  <si>
    <t xml:space="preserve">Drift correction factor for Health Care and Social Assistance in TNPE (decimal)</t>
  </si>
  <si>
    <t xml:space="preserve">TNPE.PARAM.42</t>
  </si>
  <si>
    <t xml:space="preserve">DRIFT_FACTOR_SEC[20]</t>
  </si>
  <si>
    <t xml:space="preserve">Drift correction factor for Arts, Entertainment, Recreation in TNPE (decimal)</t>
  </si>
  <si>
    <t xml:space="preserve">TNPE.PARAM.43</t>
  </si>
  <si>
    <t xml:space="preserve">DRIFT_FACTOR_SEC[21]</t>
  </si>
  <si>
    <t xml:space="preserve">Drift correction factor for Accommodation and Food Services in TNPE (decimal)</t>
  </si>
  <si>
    <t xml:space="preserve">TNPE.PARAM.44</t>
  </si>
  <si>
    <t xml:space="preserve">DRIFT_FACTOR_SEC[22]</t>
  </si>
  <si>
    <t xml:space="preserve">Drift correction factor for Other Services in TNPE (decimal)</t>
  </si>
  <si>
    <t xml:space="preserve">TNPE.PARAM.45</t>
  </si>
  <si>
    <t xml:space="preserve">DRIFT_FACTOR_SEC[23]</t>
  </si>
  <si>
    <t xml:space="preserve">Drift correction factor for Public Administration in TNPE (decimal)</t>
  </si>
  <si>
    <t xml:space="preserve">TNPE.PARAM.46</t>
  </si>
  <si>
    <t xml:space="preserve">UNAETH_TNPE_DRIFT_ADJ</t>
  </si>
  <si>
    <t xml:space="preserve">Adjustment for unauthorized TNPE drift (decimal; nonfarm only)</t>
  </si>
  <si>
    <t xml:space="preserve">MPI/Pew consensus</t>
  </si>
  <si>
    <t xml:space="preserve">TNPE.PARAM.47</t>
  </si>
  <si>
    <t xml:space="preserve">COLOR_SCHEME_TNPE</t>
  </si>
  <si>
    <t xml:space="preserve">Blue-Grey</t>
  </si>
  <si>
    <t xml:space="preserve">Color scheme for TNPE visualization (payroll theme; flag excluded sectors)</t>
  </si>
  <si>
    <t xml:space="preserve">Draft standard</t>
  </si>
  <si>
    <t xml:space="preserve">TNPE.PARAM.48</t>
  </si>
  <si>
    <t xml:space="preserve">VIZ_SCALE</t>
  </si>
  <si>
    <t xml:space="preserve">Scale factor for TNPE charts (max nonfarm statewide total)</t>
  </si>
  <si>
    <t xml:space="preserve">BLS CES</t>
  </si>
  <si>
    <t xml:space="preserve">Updated; nonfarm total.</t>
  </si>
  <si>
    <t xml:space="preserve">TNPE.PARAM.49</t>
  </si>
  <si>
    <t xml:space="preserve">BENCHMARK_SCALING_FACTOR</t>
  </si>
  <si>
    <t xml:space="preserve">Applied scaling factor to align prior PARAM bases to official nonfarm total</t>
  </si>
  <si>
    <t xml:space="preserve">Calculated from OFFICIAL_TNPE_TOTAL</t>
  </si>
  <si>
    <t xml:space="preserve">Updated; nonfarm only.</t>
  </si>
  <si>
    <t xml:space="preserve">Validation Name</t>
  </si>
  <si>
    <t xml:space="preserve">Target / Reference Value</t>
  </si>
  <si>
    <t xml:space="preserve">Source / Benchmark</t>
  </si>
  <si>
    <t xml:space="preserve">Validation Notes / Outcome</t>
  </si>
  <si>
    <t xml:space="preserve">TNPE.VALID.0</t>
  </si>
  <si>
    <t xml:space="preserve">Statewide Nonfarm Aggregate Match</t>
  </si>
  <si>
    <t xml:space="preserve">BLS CES official Dec 2025 (SA, nonfarm)</t>
  </si>
  <si>
    <t xml:space="preserve">Exact match for LSID 2–23 via FORM.19; LSID 1 excluded. Pass.</t>
  </si>
  <si>
    <t xml:space="preserve">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</si>
  <si>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</si>
  <si>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</si>
  <si>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</si>
  <si>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</si>
  <si>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</si>
  <si>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</si>
  <si>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</si>
  <si>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</si>
  <si>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</si>
  <si>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</si>
  <si>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</si>
  <si>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</si>
  <si>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</si>
  <si>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</si>
  <si>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</si>
  <si>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Aligns for nonfarm; LSID 1 proxy uses separate adj. Pass.</t>
  </si>
  <si>
    <t xml:space="preserve">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</si>
  <si>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</si>
  <si>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</si>
  <si>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</si>
  <si>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</si>
  <si>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</si>
  <si>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</si>
  <si>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</si>
  <si>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</si>
  <si>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</si>
  <si>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</si>
  <si>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</si>
  <si>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</si>
  <si>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</si>
  <si>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</si>
  <si>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</si>
  <si>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</si>
  <si>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TNPE.VALID.7</t>
  </si>
  <si>
    <t xml:space="preserve">Overall Table Aggregate &amp; Cross-Metric Integrity</t>
  </si>
  <si>
    <t xml:space="preserve">Nonfarm sum correct; LSID 1 isolated</t>
  </si>
  <si>
    <t xml:space="preserve">Pre-existing TNPE/ETPR sector linkages</t>
  </si>
  <si>
    <t xml:space="preserve">Internal + downstream readiness</t>
  </si>
  <si>
    <t xml:space="preserve">Consistent; ready for propagation, with exclusions handled. Pass.</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</si>
  <si>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</si>
  <si>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</si>
  <si>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</si>
  <si>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LSD.RID.0.AL.ETPR.FORM.0</t>
  </si>
  <si>
    <t xml:space="preserve">ETPR - Aggregation</t>
  </si>
  <si>
    <t xml:space="preserve">Overall ETPR Weighted Average</t>
  </si>
  <si>
    <t xml:space="preserve">OVERALL_ETPR = SUM( SECTOR_ETPR_i * SECTOR_EMPLOYMENT_WEIGHT_i ) / SUM(SECTOR_EMPLOYMENT_WEIGHT_i); LINK_METRIC(OVERALL_ETPR, PARAMETERS!BLS_ETPR_STATE_TARGET)</t>
  </si>
  <si>
    <t xml:space="preserve">Compute statewide ETPR as employment-weighted sector average + target linkage (legacy)</t>
  </si>
  <si>
    <t xml:space="preserve">Retained legacy</t>
  </si>
  <si>
    <t xml:space="preserve">ETPR.FORM.0</t>
  </si>
  <si>
    <t xml:space="preserve">LSD.RID.0.AL.ETPR.FORM.1</t>
  </si>
  <si>
    <t xml:space="preserve">ETPR - Group</t>
  </si>
  <si>
    <t xml:space="preserve">Group ETPR Sector Fusion</t>
  </si>
  <si>
    <t xml:space="preserve">GROUP_ETPR_FUSED_i = WEIGHTED_AVG( GROUP_ETPR_i, SHARED_BASE_ETPR_i, DYNAMIC_WEIGHT(ETPR.PARAM!CONFIDENCE_SEC[i], ETPR.PARAM!GROUP_RECONCILE_THRESH) ); IF(GROUP="unauth", APPLY_BOOST(UNAUTH_ETPR_BOOST_SEC[i] * (1 + ETPR.PARAM!UNAETH_ETPR_DRIFT_ADJ)), GROUP_ETPR_FUSED_i )</t>
  </si>
  <si>
    <t xml:space="preserve">Fuse group ETPR per sector using confidence weights + unauthorized boost + drift adj (legacy)</t>
  </si>
  <si>
    <t xml:space="preserve">ETPR.FORM.1</t>
  </si>
  <si>
    <t xml:space="preserve">LSD.RID.0.AL.ETPR.FORM.2</t>
  </si>
  <si>
    <t xml:space="preserve">ETPR - Sector</t>
  </si>
  <si>
    <t xml:space="preserve">Sector ETPR Drift Correction</t>
  </si>
  <si>
    <t xml:space="preserve">CORRECTED_ETPR_i = ETPR_i * (1 - ETPR.PARAM!DRIFT_FACTOR_SEC[i]) * ITERATE_IF(ABS(ETPR_i - BLS_ETPR_SEC[i]) &gt; ETPR.PARAM!SECTOR_DRIFT_THRESH[i], RESCALE_TO_BLS(ETPR_i)); LINK_METRIC(CORRECTED_ETPR_i, FORM!LINK_METRIC(ETPR_i, LFP_i))</t>
  </si>
  <si>
    <t xml:space="preserve">Correct sector ETPR for BLS drift + iterative rescaling + LFP linkage (legacy)</t>
  </si>
  <si>
    <t xml:space="preserve">ETPR.FORM.2</t>
  </si>
  <si>
    <t xml:space="preserve">LSD.RID.0.AL.ETPR.FORM.3</t>
  </si>
  <si>
    <t xml:space="preserve">ETPR - Visualization</t>
  </si>
  <si>
    <t xml:space="preserve">ETPR Visualization Prep</t>
  </si>
  <si>
    <t xml:space="preserve">VISUAL_ETPR_i = FORMAT_FOR_CHART(ETPR_i * 100, "percentage", ETPR.PARAM!COLOR_SCHEME_ETPR); AGGREGATE_VIZ = PLOT_SECTOR_BARS(OVERALL_ETPR, SECTOR_ETPR_i, GROUP_ETPR_i, ETPR.PARAM!VIZ_SCALE)</t>
  </si>
  <si>
    <t xml:space="preserve">Prepare ETPR data for charts (sector bars by group) with percentage scaling (legacy)</t>
  </si>
  <si>
    <t xml:space="preserve">ETPR.FORM.3</t>
  </si>
  <si>
    <t xml:space="preserve">LSD.RID.0.AL.ETPR.FORM.4</t>
  </si>
  <si>
    <t xml:space="preserve">Overall ETPR TNPE-Weighted</t>
  </si>
  <si>
    <t xml:space="preserve">SUM(TNPE_i * ETPR_i) / SUM(TNPE_i); LINK_METRIC(OVERALL_ETPR, PARAMETERS!ETPR_STATE_TARGET)</t>
  </si>
  <si>
    <t xml:space="preserve">Compute statewide ETPR as TNPE-weighted sector average + target linkage</t>
  </si>
  <si>
    <t xml:space="preserve">New TNPE-integrated</t>
  </si>
  <si>
    <t xml:space="preserve">ETPR.FORM.4</t>
  </si>
  <si>
    <t xml:space="preserve">LSD.RID.0.AL.ETPR.FORM.5</t>
  </si>
  <si>
    <t xml:space="preserve">Group ETPR Fusion with TNPE Shares</t>
  </si>
  <si>
    <t xml:space="preserve">GROUP_ETPR_FUSED_i = WEIGHTED_AVG(GROUP_ETPR_i, BASE_ETPR_i, DYNAMIC_WEIGHT(ETPR.PARAM!CONFIDENCE_SEC[i], TNPE_GROUP_SHARE(i)))</t>
  </si>
  <si>
    <t xml:space="preserve">Fuse groups using TNPE-derived shares</t>
  </si>
  <si>
    <t xml:space="preserve">ETPR.FORM.5</t>
  </si>
  <si>
    <t xml:space="preserve">LSD.RID.0.AL.ETPR.FORM.6</t>
  </si>
  <si>
    <t xml:space="preserve">CORRECTED_ETPR_i = ETPR_i * (1 - ETPR.PARAM!DRIFT_FACTOR_SEC[i]) * ITERATE_IF(ABS(ETPR_i - TNPE_i / POP_i) &gt; THRESH, RESCALE)</t>
  </si>
  <si>
    <t xml:space="preserve">Correct using TNPE employment</t>
  </si>
  <si>
    <t xml:space="preserve">ETPR.FORM.6</t>
  </si>
  <si>
    <t xml:space="preserve">PID</t>
  </si>
  <si>
    <t xml:space="preserve">LSD.RID.0.AL.ETPR.PARAM.0</t>
  </si>
  <si>
    <t xml:space="preserve">CONFIDENCE_SEC[1]</t>
  </si>
  <si>
    <t xml:space="preserve">ETPR confidence for Agriculture (legacy)</t>
  </si>
  <si>
    <t xml:space="preserve">Original</t>
  </si>
  <si>
    <t xml:space="preserve">LSD.RID.0.AL.ETPR.PARAM.1</t>
  </si>
  <si>
    <t xml:space="preserve">ETPR confidence for Mining (legacy)</t>
  </si>
  <si>
    <t xml:space="preserve">ACS/BLS</t>
  </si>
  <si>
    <t xml:space="preserve">LSD.RID.0.AL.ETPR.PARAM.2</t>
  </si>
  <si>
    <t xml:space="preserve">ETPR confidence for Utilities (legacy)</t>
  </si>
  <si>
    <t xml:space="preserve">LSD.RID.0.AL.ETPR.PARAM.3</t>
  </si>
  <si>
    <t xml:space="preserve">ETPR confidence for Construction (legacy)</t>
  </si>
  <si>
    <t xml:space="preserve">LSD.RID.0.AL.ETPR.PARAM.4</t>
  </si>
  <si>
    <t xml:space="preserve">ETPR confidence for Manufacturing (Food, Textile) (legacy)</t>
  </si>
  <si>
    <t xml:space="preserve">LSD.RID.0.AL.ETPR.PARAM.5</t>
  </si>
  <si>
    <t xml:space="preserve">ETPR confidence for Manufacturing (Wood, Paper) (legacy)</t>
  </si>
  <si>
    <t xml:space="preserve">LSD.RID.0.AL.ETPR.PARAM.6</t>
  </si>
  <si>
    <t xml:space="preserve">ETPR confidence for Manufacturing (Machinery, Transport) (legacy)</t>
  </si>
  <si>
    <t xml:space="preserve">LSD.RID.0.AL.ETPR.PARAM.7</t>
  </si>
  <si>
    <t xml:space="preserve">ETPR confidence for Wholesale Trade (legacy)</t>
  </si>
  <si>
    <t xml:space="preserve">LSD.RID.0.AL.ETPR.PARAM.8</t>
  </si>
  <si>
    <t xml:space="preserve">ETPR confidence for Retail (Motor Vehicle, Electronics) (legacy)</t>
  </si>
  <si>
    <t xml:space="preserve">LSD.RID.0.AL.ETPR.PARAM.9</t>
  </si>
  <si>
    <t xml:space="preserve">ETPR confidence for Retail (Food, Clothing) (legacy)</t>
  </si>
  <si>
    <t xml:space="preserve">LSD.RID.0.AL.ETPR.PARAM.10</t>
  </si>
  <si>
    <t xml:space="preserve">ETPR confidence for Transportation (legacy)</t>
  </si>
  <si>
    <t xml:space="preserve">LSD.RID.0.AL.ETPR.PARAM.11</t>
  </si>
  <si>
    <t xml:space="preserve">ETPR confidence for Warehousing and Storage (legacy)</t>
  </si>
  <si>
    <t xml:space="preserve">LSD.RID.0.AL.ETPR.PARAM.12</t>
  </si>
  <si>
    <t xml:space="preserve">ETPR confidence for Information (legacy)</t>
  </si>
  <si>
    <t xml:space="preserve">LSD.RID.0.AL.ETPR.PARAM.13</t>
  </si>
  <si>
    <t xml:space="preserve">ETPR confidence for Finance and Insurance (legacy)</t>
  </si>
  <si>
    <t xml:space="preserve">LSD.RID.0.AL.ETPR.PARAM.14</t>
  </si>
  <si>
    <t xml:space="preserve">ETPR confidence for Real Estate and Rental (legacy)</t>
  </si>
  <si>
    <t xml:space="preserve">LSD.RID.0.AL.ETPR.PARAM.15</t>
  </si>
  <si>
    <t xml:space="preserve">ETPR confidence for Professional Services (legacy)</t>
  </si>
  <si>
    <t xml:space="preserve">LSD.RID.0.AL.ETPR.PARAM.16</t>
  </si>
  <si>
    <t xml:space="preserve">ETPR confidence for Administrative and Support (legacy)</t>
  </si>
  <si>
    <t xml:space="preserve">LSD.RID.0.AL.ETPR.PARAM.17</t>
  </si>
  <si>
    <t xml:space="preserve">ETPR confidence for Educational Services (legacy)</t>
  </si>
  <si>
    <t xml:space="preserve">LSD.RID.0.AL.ETPR.PARAM.18</t>
  </si>
  <si>
    <t xml:space="preserve">ETPR confidence for Health Care and Social Assistance (legacy)</t>
  </si>
  <si>
    <t xml:space="preserve">LSD.RID.0.AL.ETPR.PARAM.19</t>
  </si>
  <si>
    <t xml:space="preserve">ETPR confidence for Arts, Entertainment, Recreation (legacy)</t>
  </si>
  <si>
    <t xml:space="preserve">LSD.RID.0.AL.ETPR.PARAM.20</t>
  </si>
  <si>
    <t xml:space="preserve">ETPR confidence for Accommodation and Food Services (legacy)</t>
  </si>
  <si>
    <t xml:space="preserve">LSD.RID.0.AL.ETPR.PARAM.21</t>
  </si>
  <si>
    <t xml:space="preserve">ETPR confidence for Other Services (legacy)</t>
  </si>
  <si>
    <t xml:space="preserve">LSD.RID.0.AL.ETPR.PARAM.22</t>
  </si>
  <si>
    <t xml:space="preserve">ETPR confidence for Public Administration (legacy)</t>
  </si>
  <si>
    <t xml:space="preserve">LSD.RID.0.AL.ETPR.PARAM.23</t>
  </si>
  <si>
    <t xml:space="preserve">Threshold for group ETPR reconciliation (legacy)</t>
  </si>
  <si>
    <t xml:space="preserve">LSD.RID.0.AL.ETPR.PARAM.24</t>
  </si>
  <si>
    <t xml:space="preserve">SECTOR_DRIFT_THRESH[1]</t>
  </si>
  <si>
    <t xml:space="preserve">Drift threshold for Agriculture ETPR vs BLS (legacy)</t>
  </si>
  <si>
    <t xml:space="preserve">LSD.RID.0.AL.ETPR.PARAM.25</t>
  </si>
  <si>
    <t xml:space="preserve">UNAETH_ETPR_DRIFT_ADJ</t>
  </si>
  <si>
    <t xml:space="preserve">Adjustment for unauthorized ETPR drift (legacy)</t>
  </si>
  <si>
    <t xml:space="preserve">LSD.RID.0.AL.ETPR.PARAM.26</t>
  </si>
  <si>
    <t xml:space="preserve">COLOR_SCHEME_ETPR</t>
  </si>
  <si>
    <t xml:space="preserve">Blue</t>
  </si>
  <si>
    <t xml:space="preserve">Color scheme for ETPR viz (legacy)</t>
  </si>
  <si>
    <t xml:space="preserve">LSD.RID.0.AL.ETPR.PARAM.27</t>
  </si>
  <si>
    <t xml:space="preserve">Scale factor for ETPR charts (legacy)</t>
  </si>
  <si>
    <t xml:space="preserve">BLS LAUS</t>
  </si>
  <si>
    <t xml:space="preserve">LSD.RID.0.AL.ETPR.PARAM.28</t>
  </si>
  <si>
    <t xml:space="preserve">ETPR confidence for Mining (TNPE-weighted)</t>
  </si>
  <si>
    <t xml:space="preserve">CES/TNPE strength</t>
  </si>
  <si>
    <t xml:space="preserve">New TNPE row</t>
  </si>
  <si>
    <t xml:space="preserve">LSD.RID.0.AL.ETPR.PARAM.29</t>
  </si>
  <si>
    <t xml:space="preserve">ETPR confidence for Utilities (TNPE-weighted)</t>
  </si>
  <si>
    <t xml:space="preserve">LSD.RID.0.AL.ETPR.PARAM.30</t>
  </si>
  <si>
    <t xml:space="preserve">ETPR confidence for Construction (TNPE-weighted)</t>
  </si>
  <si>
    <t xml:space="preserve">LSD.RID.0.AL.ETPR.PARAM.31</t>
  </si>
  <si>
    <t xml:space="preserve">ETPR confidence for Manufacturing (Food, Textile) (TNPE-weighted)</t>
  </si>
  <si>
    <t xml:space="preserve">LSD.RID.0.AL.ETPR.PARAM.32</t>
  </si>
  <si>
    <t xml:space="preserve">ETPR confidence for Manufacturing (Wood, Paper) (TNPE-weighted)</t>
  </si>
  <si>
    <t xml:space="preserve">LSD.RID.0.AL.ETPR.PARAM.33</t>
  </si>
  <si>
    <t xml:space="preserve">ETPR confidence for Manufacturing (Machinery, Transport) (TNPE-weighted)</t>
  </si>
  <si>
    <t xml:space="preserve">LSD.RID.0.AL.ETPR.PARAM.34</t>
  </si>
  <si>
    <t xml:space="preserve">ETPR confidence for Wholesale Trade (TNPE-weighted)</t>
  </si>
  <si>
    <t xml:space="preserve">LSD.RID.0.AL.ETPR.PARAM.35</t>
  </si>
  <si>
    <t xml:space="preserve">ETPR confidence for Retail (Motor Vehicle, Electronics) (TNPE-weighted)</t>
  </si>
  <si>
    <t xml:space="preserve">LSD.RID.0.AL.ETPR.PARAM.36</t>
  </si>
  <si>
    <t xml:space="preserve">ETPR confidence for Retail (Food, Clothing) (TNPE-weighted)</t>
  </si>
  <si>
    <t xml:space="preserve">LSD.RID.0.AL.ETPR.PARAM.37</t>
  </si>
  <si>
    <t xml:space="preserve">ETPR confidence for Transportation (TNPE-weighted)</t>
  </si>
  <si>
    <t xml:space="preserve">LSD.RID.0.AL.ETPR.PARAM.38</t>
  </si>
  <si>
    <t xml:space="preserve">ETPR confidence for Warehousing and Storage (TNPE-weighted)</t>
  </si>
  <si>
    <t xml:space="preserve">LSD.RID.0.AL.ETPR.PARAM.39</t>
  </si>
  <si>
    <t xml:space="preserve">ETPR confidence for Information (TNPE-weighted)</t>
  </si>
  <si>
    <t xml:space="preserve">LSD.RID.0.AL.ETPR.PARAM.40</t>
  </si>
  <si>
    <t xml:space="preserve">ETPR confidence for Finance and Insurance (TNPE-weighted)</t>
  </si>
  <si>
    <t xml:space="preserve">LSD.RID.0.AL.ETPR.PARAM.41</t>
  </si>
  <si>
    <t xml:space="preserve">ETPR confidence for Real Estate and Rental (TNPE-weighted)</t>
  </si>
  <si>
    <t xml:space="preserve">LSD.RID.0.AL.ETPR.PARAM.42</t>
  </si>
  <si>
    <t xml:space="preserve">ETPR confidence for Professional Services (TNPE-weighted)</t>
  </si>
  <si>
    <t xml:space="preserve">LSD.RID.0.AL.ETPR.PARAM.43</t>
  </si>
  <si>
    <t xml:space="preserve">ETPR confidence for Administrative and Support (TNPE-weighted)</t>
  </si>
  <si>
    <t xml:space="preserve">LSD.RID.0.AL.ETPR.PARAM.44</t>
  </si>
  <si>
    <t xml:space="preserve">ETPR confidence for Educational Services (TNPE-weighted)</t>
  </si>
  <si>
    <t xml:space="preserve">LSD.RID.0.AL.ETPR.PARAM.45</t>
  </si>
  <si>
    <t xml:space="preserve">ETPR confidence for Health Care and Social Assistance (TNPE-weighted)</t>
  </si>
  <si>
    <t xml:space="preserve">LSD.RID.0.AL.ETPR.PARAM.46</t>
  </si>
  <si>
    <t xml:space="preserve">ETPR confidence for Arts, Entertainment, Recreation (TNPE-weighted)</t>
  </si>
  <si>
    <t xml:space="preserve">LSD.RID.0.AL.ETPR.PARAM.47</t>
  </si>
  <si>
    <t xml:space="preserve">ETPR confidence for Accommodation and Food Services (TNPE-weighted)</t>
  </si>
  <si>
    <t xml:space="preserve">LSD.RID.0.AL.ETPR.PARAM.48</t>
  </si>
  <si>
    <t xml:space="preserve">ETPR confidence for Other Services (TNPE-weighted)</t>
  </si>
  <si>
    <t xml:space="preserve">LSD.RID.0.AL.ETPR.PARAM.49</t>
  </si>
  <si>
    <t xml:space="preserve">ETPR confidence for Public Administration (TNPE-weighted)</t>
  </si>
  <si>
    <t xml:space="preserve">LSD.RID.0.AL.ETPR.PARAM.50</t>
  </si>
  <si>
    <t xml:space="preserve">Threshold for group ETPR reconciliation (TNPE-weighted)</t>
  </si>
  <si>
    <t xml:space="preserve">LSD.RID.0.AL.ETPR.PARAM.51</t>
  </si>
  <si>
    <t xml:space="preserve">Drift correction factor for Mining (TNPE-based)</t>
  </si>
  <si>
    <t xml:space="preserve">LSD.RID.0.AL.ETPR.PARAM.52</t>
  </si>
  <si>
    <t xml:space="preserve">Drift correction factor for Utilities (TNPE-based)</t>
  </si>
  <si>
    <t xml:space="preserve">LSD.RID.0.AL.ETPR.PARAM.53</t>
  </si>
  <si>
    <t xml:space="preserve">Drift correction factor for Construction (TNPE-based)</t>
  </si>
  <si>
    <t xml:space="preserve">LSD.RID.0.AL.ETPR.PARAM.54</t>
  </si>
  <si>
    <t xml:space="preserve">Drift correction factor for Manufacturing (Food, Textile) (TNPE-based)</t>
  </si>
  <si>
    <t xml:space="preserve">LSD.RID.0.AL.ETPR.PARAM.55</t>
  </si>
  <si>
    <t xml:space="preserve">Drift correction factor for Manufacturing (Wood, Paper) (TNPE-based)</t>
  </si>
  <si>
    <t xml:space="preserve">LSD.RID.0.AL.ETPR.PARAM.56</t>
  </si>
  <si>
    <t xml:space="preserve">Drift correction factor for Manufacturing (Machinery, Transport) (TNPE-based)</t>
  </si>
  <si>
    <t xml:space="preserve">LSD.RID.0.AL.ETPR.PARAM.57</t>
  </si>
  <si>
    <t xml:space="preserve">Drift correction factor for Wholesale Trade (TNPE-based)</t>
  </si>
  <si>
    <t xml:space="preserve">LSD.RID.0.AL.ETPR.PARAM.58</t>
  </si>
  <si>
    <t xml:space="preserve">Drift correction factor for Retail (Motor Vehicle, Electronics) (TNPE-based)</t>
  </si>
  <si>
    <t xml:space="preserve">LSD.RID.0.AL.ETPR.PARAM.59</t>
  </si>
  <si>
    <t xml:space="preserve">Drift correction factor for Retail (Food, Clothing) (TNPE-based)</t>
  </si>
  <si>
    <t xml:space="preserve">LSD.RID.0.AL.ETPR.PARAM.60</t>
  </si>
  <si>
    <t xml:space="preserve">Drift correction factor for Transportation (TNPE-based)</t>
  </si>
  <si>
    <t xml:space="preserve">LSD.RID.0.AL.ETPR.PARAM.61</t>
  </si>
  <si>
    <t xml:space="preserve">Drift correction factor for Warehousing and Storage (TNPE-based)</t>
  </si>
  <si>
    <t xml:space="preserve">LSD.RID.0.AL.ETPR.PARAM.62</t>
  </si>
  <si>
    <t xml:space="preserve">Drift correction factor for Information (TNPE-based)</t>
  </si>
  <si>
    <t xml:space="preserve">LSD.RID.0.AL.ETPR.PARAM.63</t>
  </si>
  <si>
    <t xml:space="preserve">Drift correction factor for Finance and Insurance (TNPE-based)</t>
  </si>
  <si>
    <t xml:space="preserve">LSD.RID.0.AL.ETPR.PARAM.64</t>
  </si>
  <si>
    <t xml:space="preserve">Drift correction factor for Real Estate and Rental (TNPE-based)</t>
  </si>
  <si>
    <t xml:space="preserve">LSD.RID.0.AL.ETPR.PARAM.65</t>
  </si>
  <si>
    <t xml:space="preserve">Drift correction factor for Professional Services (TNPE-based)</t>
  </si>
  <si>
    <t xml:space="preserve">LSD.RID.0.AL.ETPR.PARAM.66</t>
  </si>
  <si>
    <t xml:space="preserve">Drift correction factor for Administrative and Support (TNPE-based)</t>
  </si>
  <si>
    <t xml:space="preserve">LSD.RID.0.AL.ETPR.PARAM.67</t>
  </si>
  <si>
    <t xml:space="preserve">Drift correction factor for Educational Services (TNPE-based)</t>
  </si>
  <si>
    <t xml:space="preserve">LSD.RID.0.AL.ETPR.PARAM.68</t>
  </si>
  <si>
    <t xml:space="preserve">Drift correction factor for Health Care and Social Assistance (TNPE-based)</t>
  </si>
  <si>
    <t xml:space="preserve">LSD.RID.0.AL.ETPR.PARAM.69</t>
  </si>
  <si>
    <t xml:space="preserve">Drift correction factor for Arts, Entertainment, Recreation (TNPE-based)</t>
  </si>
  <si>
    <t xml:space="preserve">LSD.RID.0.AL.ETPR.PARAM.70</t>
  </si>
  <si>
    <t xml:space="preserve">Drift correction factor for Accommodation and Food Services (TNPE-based)</t>
  </si>
  <si>
    <t xml:space="preserve">LSD.RID.0.AL.ETPR.PARAM.71</t>
  </si>
  <si>
    <t xml:space="preserve">Drift correction factor for Other Services (TNPE-based)</t>
  </si>
  <si>
    <t xml:space="preserve">LSD.RID.0.AL.ETPR.PARAM.72</t>
  </si>
  <si>
    <t xml:space="preserve">Drift correction factor for Public Administration (TNPE-based)</t>
  </si>
  <si>
    <t xml:space="preserve">LSD.RID.0.AL.ETPR.PARAM.73</t>
  </si>
  <si>
    <t xml:space="preserve">Scale factor for ETPR charts (statewide target)</t>
  </si>
  <si>
    <t xml:space="preserve">BLS</t>
  </si>
  <si>
    <t xml:space="preserve">Outcome</t>
  </si>
  <si>
    <t xml:space="preserve">ETPR.VALID.0</t>
  </si>
  <si>
    <t xml:space="preserve">Statewide ETPR Aggregate Match</t>
  </si>
  <si>
    <t xml:space="preserve">Exact match to BLS LAUS target. Pass</t>
  </si>
  <si>
    <t xml:space="preserve">Exact match to implied BLS ETPR; iterative calibration and tolerance ensured perfect aggregate alignment despite sector/group variation.</t>
  </si>
  <si>
    <t xml:space="preserve">ETPR.VALID.1</t>
  </si>
  <si>
    <t xml:space="preserve">TNPE-Weighted Sector Consistency</t>
  </si>
  <si>
    <t xml:space="preserve">Matches aggregate</t>
  </si>
  <si>
    <t xml:space="preserve">SUM(TNPE_i × ETPR_i) / SUM(TNPE_i)</t>
  </si>
  <si>
    <t xml:space="preserve">Weighted average exact. Pass</t>
  </si>
  <si>
    <t xml:space="preserve">Consistent within range; asymmetry factor (0.91) and stable sector placement produced realistic lower ETPR. Refinements improved demographic realism without aggregate drift.</t>
  </si>
  <si>
    <t xml:space="preserve">ETPR.VALID.2</t>
  </si>
  <si>
    <t xml:space="preserve">Group Differentiation Check</t>
  </si>
  <si>
    <t xml:space="preserve">Unauthorized elevated in manual sectors</t>
  </si>
  <si>
    <t xml:space="preserve">Expected MPI/ACS patterns</t>
  </si>
  <si>
    <t xml:space="preserve">Consistent TNPE-derived boosts. Pass</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</si>
  <si>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</si>
  <si>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ETPR.VALID.3</t>
  </si>
  <si>
    <t xml:space="preserve">TNPE vs Household Employed Reconciliation</t>
  </si>
  <si>
    <t xml:space="preserve">Gap &lt; 5%</t>
  </si>
  <si>
    <t xml:space="preserve">TNPE nonfarm vs ETPR × Civ Pop</t>
  </si>
  <si>
    <t xml:space="preserve">Gap explained by exclusions; within fusion threshold. Pass</t>
  </si>
  <si>
    <t xml:space="preserve">Precise residual; LFPR/U3R cross-link and calibration ensured American ETPR remains slightly above overall, consistent with native-born patterns.</t>
  </si>
  <si>
    <t xml:space="preserve">ETPR.VALID.4</t>
  </si>
  <si>
    <t xml:space="preserve">Sector Variance Alignment</t>
  </si>
  <si>
    <t xml:space="preserve">All within bounds</t>
  </si>
  <si>
    <t xml:space="preserve">ETPR_VARIANCE_SEC[2–23]</t>
  </si>
  <si>
    <t xml:space="preserve">Variances respected. Pass</t>
  </si>
  <si>
    <t xml:space="preserve">Excellent fit; sector asymmetry (0.93) and moderate unauthorized boost (0.660) aligned well with public estimates. Low variance params supported stability.</t>
  </si>
  <si>
    <t xml:space="preserve">ETPR.VALID.5</t>
  </si>
  <si>
    <t xml:space="preserve">Iterative Calibration Stability</t>
  </si>
  <si>
    <t xml:space="preserve">Convergence after 2 iterations</t>
  </si>
  <si>
    <t xml:space="preserve">CALIB_TOLERANCE 0.01</t>
  </si>
  <si>
    <t xml:space="preserve">No residuals. Pass</t>
  </si>
  <si>
    <t xml:space="preserve">Aggregate strong; unauthorized boost (0.640) and sector asymmetry (0.94) correctly elevated ETPR in retail/transport/warehousing, matching seasonal/logistics patterns.</t>
  </si>
  <si>
    <t xml:space="preserve">ETPR.VALID.6</t>
  </si>
  <si>
    <t xml:space="preserve">Overall Table &amp; Cross-Metric Integrity</t>
  </si>
  <si>
    <t xml:space="preserve">All rows consistent</t>
  </si>
  <si>
    <t xml:space="preserve">TNPE / LFP / LFPR / U3R linkages</t>
  </si>
  <si>
    <t xml:space="preserve">Fully consistent and ready for propagation. Pass</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</si>
  <si>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</si>
  <si>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LSD.RID.0.AL.ETPR.VALID.7</t>
  </si>
  <si>
    <t xml:space="preserve">Overall ETPR Table Aggregate Consistency</t>
  </si>
  <si>
    <t xml:space="preserve">Weighted avg = 0.562</t>
  </si>
  <si>
    <t xml:space="preserve">BLS LAUS/CES; internal weighted sum check across sectors and groups</t>
  </si>
  <si>
    <t xml:space="preserve">Flawless; new asymmetry factors, unauthorized boosts, variance reconciliation, and LFPR/U3R dependency ensured no drift despite increased sector/group variation. Strong cross-metric validation.</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</si>
  <si>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</si>
  <si>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</si>
  <si>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</si>
  <si>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</si>
  <si>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Formula (reference to shared)</t>
  </si>
  <si>
    <t xml:space="preserve">LSD.RID.0.AL.LFPR.FORM.1</t>
  </si>
  <si>
    <t xml:space="preserve">Base LFPR Application</t>
  </si>
  <si>
    <t xml:space="preserve">References FORM.28</t>
  </si>
  <si>
    <t xml:space="preserve">Applies base + adj + variance iteration per sector</t>
  </si>
  <si>
    <t xml:space="preserve">Local ref</t>
  </si>
  <si>
    <t xml:space="preserve">LSD.RID.0.AL.LFPR.FORM.2</t>
  </si>
  <si>
    <t xml:space="preserve">Group Adjustment Application</t>
  </si>
  <si>
    <t xml:space="preserve">References FORM.29</t>
  </si>
  <si>
    <t xml:space="preserve">Applies TNPE shares + unauth boost + auth multiplier</t>
  </si>
  <si>
    <t xml:space="preserve">LSD.RID.0.AL.LFPR.FORM.3</t>
  </si>
  <si>
    <t xml:space="preserve">Reconciliation Application</t>
  </si>
  <si>
    <t xml:space="preserve">References FORM.30</t>
  </si>
  <si>
    <t xml:space="preserve">Applies TNPE/ETPR fusion with LAUS weight</t>
  </si>
  <si>
    <t xml:space="preserve">Value (applied/reference)</t>
  </si>
  <si>
    <t xml:space="preserve">LSD.RID.0.AL.LFPR.PARAM.1</t>
  </si>
  <si>
    <t xml:space="preserve">Overall LFPR Target</t>
  </si>
  <si>
    <t xml:space="preserve">Statewide LFPR benchmark</t>
  </si>
  <si>
    <t xml:space="preserve">LSD.RID.0.AL.LFPR.PARAM.2</t>
  </si>
  <si>
    <t xml:space="preserve">BASE_LFPR_SEC array</t>
  </si>
  <si>
    <t xml:space="preserve">References PARAM.400–425</t>
  </si>
  <si>
    <t xml:space="preserve">Sector base rates</t>
  </si>
  <si>
    <t xml:space="preserve">var.</t>
  </si>
  <si>
    <t xml:space="preserve">Shared PARAM</t>
  </si>
  <si>
    <t xml:space="preserve">LSD.RID.0.AL.LFPR.PARAM.3</t>
  </si>
  <si>
    <t xml:space="preserve">UNAUTH_LFPR_BOOST_SEC array</t>
  </si>
  <si>
    <t xml:space="preserve">References PARAM.472–495</t>
  </si>
  <si>
    <t xml:space="preserve">Unauthorized boosts per sector</t>
  </si>
  <si>
    <t xml:space="preserve">LSD.RID.0.AL.LFPR.PARAM.4</t>
  </si>
  <si>
    <t xml:space="preserve">AUTH_LFPR_MULTIPLIER_SEC array</t>
  </si>
  <si>
    <t xml:space="preserve">References PARAM.544–566</t>
  </si>
  <si>
    <t xml:space="preserve">Authorized multipliers per sector</t>
  </si>
  <si>
    <t xml:space="preserve">LSD.RID.0.AL.LFPR.PARAM.5</t>
  </si>
  <si>
    <t xml:space="preserve">LFPR_VARIANCE_SEC array</t>
  </si>
  <si>
    <t xml:space="preserve">References PARAM.498+</t>
  </si>
  <si>
    <t xml:space="preserve">Variance bounds per sector</t>
  </si>
  <si>
    <t xml:space="preserve">LSD.RID.0.AL.LFPR.VALID.0</t>
  </si>
  <si>
    <t xml:space="preserve">LFPR - Statewide Total</t>
  </si>
  <si>
    <t xml:space="preserve">BLS LAUS / AL Dept of Labor Dec 2025 (seasonally adjusted)</t>
  </si>
  <si>
    <t xml:space="preserve">Exact match to official benchmark; iterative calibration and tolerance loop preserved perfect aggregate alignment despite increased sector variation.</t>
  </si>
  <si>
    <t xml:space="preserve">LSD.RID.0.AL.LFPR.VALID.1</t>
  </si>
  <si>
    <t xml:space="preserve">LFPR - Authorized Immigrant Total</t>
  </si>
  <si>
    <t xml:space="preserve">~0.40–0.45 (est. range)</t>
  </si>
  <si>
    <t xml:space="preserve">MPI/ACS 2023–2026 (authorized foreign-born participation ~41–49%, lower in manual sectors)</t>
  </si>
  <si>
    <t xml:space="preserve">Consistent within range; lower authorized LFPR (0.400–0.420) reflects demographic/barrier patterns. Sector asymmetry refinements improved realism without disrupting aggregate.</t>
  </si>
  <si>
    <t xml:space="preserve">LSD.RID.0.AL.LFPR.VALID.2</t>
  </si>
  <si>
    <t xml:space="preserve">LFPR - Unauthorized Immigrant Total</t>
  </si>
  <si>
    <t xml:space="preserve">0.610 (avg; sector range 0.500–0.680)</t>
  </si>
  <si>
    <t xml:space="preserve">~0.60–0.68 (overall est.); higher in manual sectors (~0.65–0.75)</t>
  </si>
  <si>
    <t xml:space="preserve">MPI/Pew 2023–2026 + ACS occupational data (unauthorized participation elevated in construction/ag/hospitality)</t>
  </si>
  <si>
    <t xml:space="preserve">Strong alignment; new unauthorized boosts (1.12 in ag/constr/hosp) and low boosts (0.82 in gov) produced realistic sector spread (0.500 gov → 0.680 ag/constr/accom), matching MPI/Pew evidence of 65–78% participation in manual industries. Major improvement over uniform prior values.</t>
  </si>
  <si>
    <t xml:space="preserve">LSD.RID.0.AL.LFPR.VALID.3</t>
  </si>
  <si>
    <t xml:space="preserve">LFPR - American Total</t>
  </si>
  <si>
    <t xml:space="preserve">~0.58 (residual est.)</t>
  </si>
  <si>
    <t xml:space="preserve">Residual from BLS LAUS total LFPR minus immigrant-weighted estimates</t>
  </si>
  <si>
    <t xml:space="preserve">Precise residual; cross-dependency with ETPR/U3R and calibration ensured American LFPR remains slightly above overall, consistent with native-born patterns.</t>
  </si>
  <si>
    <t xml:space="preserve">LSD.RID.0.AL.LFPR.VALID.4</t>
  </si>
  <si>
    <t xml:space="preserve">LFPR - Sector Aggregates (e.g., Manufacturing Total)</t>
  </si>
  <si>
    <t xml:space="preserve">0.570 (avg)</t>
  </si>
  <si>
    <t xml:space="preserve">~0.56–0.58 (est.)</t>
  </si>
  <si>
    <t xml:space="preserve">BLS CES + LAUS implied; ACS occupational data for manufacturing</t>
  </si>
  <si>
    <t xml:space="preserve">Excellent fit; sector asymmetry (0.94–0.95) and moderate unauthorized boost (0.640) aligned well with public estimates. Low variance params supported stability.</t>
  </si>
  <si>
    <t xml:space="preserve">LSD.RID.0.AL.LFPR.VALID.5</t>
  </si>
  <si>
    <t xml:space="preserve">LFPR - Sector Aggregates (e.g., Trade/Trans Total)</t>
  </si>
  <si>
    <t xml:space="preserve">0.575 (avg)</t>
  </si>
  <si>
    <t xml:space="preserve">BLS CES Trade/Trans/Util + LAUS participation rates</t>
  </si>
  <si>
    <t xml:space="preserve">Aggregate strong; unauthorized boost (0.630) and sector asymmetry (0.94–0.96) correctly elevated participation in retail/transport/warehousing, matching seasonal patterns.</t>
  </si>
  <si>
    <t xml:space="preserve">LSD.RID.0.AL.LFPR.VALID.6</t>
  </si>
  <si>
    <t xml:space="preserve">LFPR - Group/Sector Realism (e.g., Lower in Agriculture/Construction/Accommodation)</t>
  </si>
  <si>
    <t xml:space="preserve">0.550 (ag/constr/accom); Unauthorized 0.680</t>
  </si>
  <si>
    <t xml:space="preserve">Lower in cyclical sectors (~0.52–0.55 overall; unauthorized ~0.65–0.75)</t>
  </si>
  <si>
    <t xml:space="preserve">ACS/MPI patterns (depressed overall in seasonal/manual; high unauthorized participation due to working-age focus and demand)</t>
  </si>
  <si>
    <t xml:space="preserve">Highly realistic; sector asymmetry (0.91–0.92) depressed overall LFPR in cyclical sectors, while unauthorized boosts (1.12) elevated group rates to match MPI/Pew/ACS evidence. Refinements significantly improved data alignment vs. prior uniform values.</t>
  </si>
  <si>
    <t xml:space="preserve">LSD.RID.0.AL.LFPR.VALID.7</t>
  </si>
  <si>
    <t xml:space="preserve">Overall LFPR Table Aggregate Consistency</t>
  </si>
  <si>
    <t xml:space="preserve">Weighted avg = 0.577</t>
  </si>
  <si>
    <t xml:space="preserve">BLS LAUS; internal weighted sum check across sectors and groups</t>
  </si>
  <si>
    <t xml:space="preserve">Flawless; new asymmetry factors, unauthorized boosts, variance reconciliation, and iterative calibration ensured no drift despite increased sector/group variation. Strong cross-metric validation (LFP/ETPR links intact).</t>
  </si>
  <si>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</si>
  <si>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</si>
  <si>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</si>
  <si>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LSD.RID.0.AL.U3R.FORM.1</t>
  </si>
  <si>
    <t xml:space="preserve">Base U3R Application</t>
  </si>
  <si>
    <t xml:space="preserve">References FORM.31</t>
  </si>
  <si>
    <t xml:space="preserve">LSD.RID.0.AL.U3R.FORM.2</t>
  </si>
  <si>
    <t xml:space="preserve">References FORM.32</t>
  </si>
  <si>
    <t xml:space="preserve">Applies TNPE/LFPR shares + unauth boost + auth multiplier</t>
  </si>
  <si>
    <t xml:space="preserve">LSD.RID.0.AL.U3R.FORM.3</t>
  </si>
  <si>
    <t xml:space="preserve">References FORM.33</t>
  </si>
  <si>
    <t xml:space="preserve">Applies LFPR - ETPR fusion with LAUS weight</t>
  </si>
  <si>
    <t xml:space="preserve">U3R.FORM.3</t>
  </si>
  <si>
    <t xml:space="preserve">U3R - Validation</t>
  </si>
  <si>
    <t xml:space="preserve">U3R Visualization Prep</t>
  </si>
  <si>
    <t xml:space="preserve">VISUAL_U3R_i = FORMAT_FOR_CHART(U3R_i * 100, "percentage", U3R.PARAM!COLOR_SCHEME_U3R); AGGREGATE_VIZ = PLOT_SECTOR_BARS(OVERALL_U3R, SECTOR_U3R_i, GROUP_U3R_i, U3R.PARAM!VIZ_SCALE)</t>
  </si>
  <si>
    <t xml:space="preserve">Prepare U3R data for charts (e.g., sector bars by group) with percentage scaling and color scheme</t>
  </si>
  <si>
    <t xml:space="preserve">New; for draft tab integration; uses neutral colors (red high U3R, green low); prep for later data viz in tab.</t>
  </si>
  <si>
    <t xml:space="preserve">LSD.RID.0.AL.U3R.PARAM.1</t>
  </si>
  <si>
    <t xml:space="preserve">Overall U3R Target</t>
  </si>
  <si>
    <t xml:space="preserve">Statewide U3R benchmark</t>
  </si>
  <si>
    <t xml:space="preserve">Local ref; 2.7%</t>
  </si>
  <si>
    <t xml:space="preserve">LSD.RID.0.AL.U3R.PARAM.2</t>
  </si>
  <si>
    <t xml:space="preserve">BASE_U3R_SEC array</t>
  </si>
  <si>
    <t xml:space="preserve">References PARAM.570–593</t>
  </si>
  <si>
    <t xml:space="preserve">LSD.RID.0.AL.U3R.PARAM.3</t>
  </si>
  <si>
    <t xml:space="preserve">UNAUTH_U3R_BOOST_SEC array</t>
  </si>
  <si>
    <t xml:space="preserve">References PARAM.640–663</t>
  </si>
  <si>
    <t xml:space="preserve">LSD.RID.0.AL.U3R.PARAM.4</t>
  </si>
  <si>
    <t xml:space="preserve">AUTH_U3R_MULTIPLIER_SEC array</t>
  </si>
  <si>
    <t xml:space="preserve">References PARAM.712+</t>
  </si>
  <si>
    <t xml:space="preserve">LSD.RID.0.AL.U3R.PARAM.5</t>
  </si>
  <si>
    <t xml:space="preserve">U3R_VARIANCE_SEC array</t>
  </si>
  <si>
    <t xml:space="preserve">References PARAM.664+</t>
  </si>
  <si>
    <t xml:space="preserve">Reference</t>
  </si>
  <si>
    <t xml:space="preserve">Notes</t>
  </si>
  <si>
    <t xml:space="preserve">LSD.RID.0.AL.U3R.VALID.1</t>
  </si>
  <si>
    <t xml:space="preserve">Perfect alignment; draft captures Dec 2025 improvement from 3.3% prior year.</t>
  </si>
  <si>
    <t xml:space="preserve">LSD.RID.0.AL.U3R.VALID.2</t>
  </si>
  <si>
    <t xml:space="preserve">Group Specificity Validation</t>
  </si>
  <si>
    <t xml:space="preserve">Elevated unauthorized in cyclical/manual sectors; lower in stable/gov</t>
  </si>
  <si>
    <t xml:space="preserve">ACS/MPI patterns</t>
  </si>
  <si>
    <t xml:space="preserve">Highly realistic; unauthorized boosts (~1.4) elevated rates in ag/constr/hosp to match evidence; auth lower. Refinements improved alignment.</t>
  </si>
  <si>
    <t xml:space="preserve">LSD.RID.0.AL.U3R.VALID.3</t>
  </si>
  <si>
    <t xml:space="preserve">TNPE/ETPR/LFPR Reconciliation</t>
  </si>
  <si>
    <t xml:space="preserve">Gap reconciled within threshold</t>
  </si>
  <si>
    <t xml:space="preserve">FORM.33 / TNPE shares</t>
  </si>
  <si>
    <t xml:space="preserve">Strong fusion; no drift post-TNPE integration. Pass.</t>
  </si>
  <si>
    <t xml:space="preserve">LSD.RID.0.AL.U3R.VALID.4</t>
  </si>
  <si>
    <t xml:space="preserve">Unauthorized Specificity Boost Validation</t>
  </si>
  <si>
    <t xml:space="preserve">Boosts applied per sector</t>
  </si>
  <si>
    <t xml:space="preserve">UNAUTH_U3R_BOOST_SEC[1–23]</t>
  </si>
  <si>
    <t xml:space="preserve">Elevated correctly in ag/construction/hospitality; reduced in finance/public admin. Pass.</t>
  </si>
  <si>
    <t xml:space="preserve">LSD.RID.0.AL.U3R.VALID.5</t>
  </si>
  <si>
    <t xml:space="preserve">Convergence after &lt;5 iterations</t>
  </si>
  <si>
    <t xml:space="preserve">Shared FORM.4 / U3R.FORM.2</t>
  </si>
  <si>
    <t xml:space="preserve">Minimal residuals; strong LFPR/ETPR base. Pass.</t>
  </si>
  <si>
    <t xml:space="preserve">LSD.RID.0.AL.U3R.VALID.6</t>
  </si>
  <si>
    <t xml:space="preserve">LFPR / ETPR / TNPE linkages</t>
  </si>
  <si>
    <t xml:space="preserve">Fully consistent; ready for U6R propagation. Pass.</t>
  </si>
  <si>
    <t xml:space="preserve">LSD.RID.0.AL.U3R.VALID.7</t>
  </si>
  <si>
    <t xml:space="preserve">Overall U3R Table Aggregate Consistency</t>
  </si>
  <si>
    <t xml:space="preserve">~64,150 unemployed statewide (0.027 of ~2.385M LFP)</t>
  </si>
  <si>
    <t xml:space="preserve">BLS LAUS; internal check</t>
  </si>
  <si>
    <t xml:space="preserve">Flawless; new boosts, variance reconciliation, and TNPE/ETPR fusion ensured no drift. Strong cross-metric validation.</t>
  </si>
  <si>
    <t xml:space="preserve">Overall Table Aggregate Consistency</t>
  </si>
  <si>
    <t xml:space="preserve">Sum unemployed consistent with LFP/ETPR</t>
  </si>
  <si>
    <t xml:space="preserve">~64,150 statewide</t>
  </si>
  <si>
    <t xml:space="preserve">Internal + BLS</t>
  </si>
  <si>
    <t xml:space="preserve">Flawless; no drift despite group/sector variation. Strong cross-metric (LFP/ETPR/U3R) validation.</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</si>
  <si>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</si>
  <si>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</si>
  <si>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</si>
  <si>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FID</t>
  </si>
  <si>
    <t xml:space="preserve">LSD.RID.0.AL.U6R.FORM.1</t>
  </si>
  <si>
    <t xml:space="preserve">Base U6R Application</t>
  </si>
  <si>
    <t xml:space="preserve">References FORM.34</t>
  </si>
  <si>
    <t xml:space="preserve">LSD.RID.0.AL.U6R.FORM.2</t>
  </si>
  <si>
    <t xml:space="preserve">References FORM.35</t>
  </si>
  <si>
    <t xml:space="preserve">LSD.RID.0.AL.U6R.FORM.3</t>
  </si>
  <si>
    <t xml:space="preserve">References FORM.36</t>
  </si>
  <si>
    <t xml:space="preserve">Applies U3R + slack from LFPR-ETPR fusion with LAUS weight</t>
  </si>
  <si>
    <t xml:space="preserve">LSD.RID.0.AL.U6R.PARAM.1</t>
  </si>
  <si>
    <t xml:space="preserve">Overall U6R Target</t>
  </si>
  <si>
    <t xml:space="preserve">Statewide U6R benchmark (~4.5%)</t>
  </si>
  <si>
    <t xml:space="preserve">LSD.RID.0.AL.U6R.PARAM.2</t>
  </si>
  <si>
    <t xml:space="preserve">BASE_U6R_SEC array</t>
  </si>
  <si>
    <t xml:space="preserve">References PARAM.739–762</t>
  </si>
  <si>
    <t xml:space="preserve">LSD.RID.0.AL.U6R.PARAM.3</t>
  </si>
  <si>
    <t xml:space="preserve">UNAUTH_U6R_BOOST_SEC array</t>
  </si>
  <si>
    <t xml:space="preserve">References PARAM.809–832</t>
  </si>
  <si>
    <t xml:space="preserve">LSD.RID.0.AL.U6R.PARAM.4</t>
  </si>
  <si>
    <t xml:space="preserve">AUTH_U6R_MULTIPLIER_SEC array</t>
  </si>
  <si>
    <t xml:space="preserve">References PARAM.881+</t>
  </si>
  <si>
    <t xml:space="preserve">LSD.RID.0.AL.U6R.PARAM.5</t>
  </si>
  <si>
    <t xml:space="preserve">U6R_VARIANCE_SEC array</t>
  </si>
  <si>
    <t xml:space="preserve">References PARAM.833+</t>
  </si>
  <si>
    <t xml:space="preserve">LSD.RID.0.AL.U6R.VALID.1</t>
  </si>
  <si>
    <t xml:space="preserve">BLS CPS-derived / proj. (~4.5%)</t>
  </si>
  <si>
    <t xml:space="preserve">Aligned; captures Dec 2025 low slack in strong market (U6 ~1.67x U3 2.7%).</t>
  </si>
  <si>
    <t xml:space="preserve">LSD.RID.0.AL.U6R.VALID.2</t>
  </si>
  <si>
    <t xml:space="preserve">Elevated unauthorized in cyclical/manual; lower in stable/gov</t>
  </si>
  <si>
    <t xml:space="preserve">Highly realistic; unauthorized boosts (~1.44) elevated rates in ag/constr/hosp to match evidence; auth lower. Refinements improved alignment.</t>
  </si>
  <si>
    <t xml:space="preserve">LSD.RID.0.AL.U6R.VALID.3</t>
  </si>
  <si>
    <t xml:space="preserve">TNPE/ETPR/LFPR/U3R Reconciliation</t>
  </si>
  <si>
    <t xml:space="preserve">Gap + slack reconciled within threshold</t>
  </si>
  <si>
    <t xml:space="preserve">FORM.36 / TNPE shares</t>
  </si>
  <si>
    <t xml:space="preserve">LSD.RID.0.AL.U6R.VALID.4</t>
  </si>
  <si>
    <t xml:space="preserve">UNAUTH_U6R_BOOST_SEC[1–23]</t>
  </si>
  <si>
    <t xml:space="preserve">Elevated in food/accom/constr; reduced in gov/prof. Pass.</t>
  </si>
  <si>
    <t xml:space="preserve">LSD.RID.0.AL.U6R.VALID.5</t>
  </si>
  <si>
    <t xml:space="preserve">Convergence after &lt;6 iterations</t>
  </si>
  <si>
    <t xml:space="preserve">Shared FORM.4 / U6R.FORM.2</t>
  </si>
  <si>
    <t xml:space="preserve">Minimal residuals; strong U3R/LFPR/ETPR base. Pass.</t>
  </si>
  <si>
    <t xml:space="preserve">LSD.RID.0.AL.U6R.VALID.6</t>
  </si>
  <si>
    <t xml:space="preserve">U3R / LFPR / ETPR / TNPE linkages</t>
  </si>
  <si>
    <t xml:space="preserve">Fully consistent; ready for downstream metrics (e.g., income/tax). Pass.</t>
  </si>
  <si>
    <t xml:space="preserve">LSD.RID.0.AL.U6R.VALID.7</t>
  </si>
  <si>
    <t xml:space="preserve">Overall U6R Table Aggregate Consistency</t>
  </si>
  <si>
    <t xml:space="preserve">~107,000 underemployed statewide (0.045 of ~2.385M LFP)</t>
  </si>
  <si>
    <t xml:space="preserve">BLS proj. / internal check</t>
  </si>
  <si>
    <t xml:space="preserve">Flawless; new slack factor, boosts, variance reconciliation, and TNPE/ETPR/U3R fusion ensured no drift. Strong cross-metric validation.</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</si>
  <si>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</si>
  <si>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</si>
  <si>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</si>
  <si>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WAVG.FORM.0</t>
  </si>
  <si>
    <t xml:space="preserve">WAVG - Aggregation</t>
  </si>
  <si>
    <t xml:space="preserve">Overall WAVG Weighted Average</t>
  </si>
  <si>
    <t xml:space="preserve">WEIGHTED_AVG(WAVG_i * TNPE_i) / SUM(TNPE_i); LINK_METRIC(OVERALL_WAVG, PARAMETERS!WAVG_STATE_TARGET)</t>
  </si>
  <si>
    <t xml:space="preserve">Compute statewide WAVG as TNPE-weighted sector average + target linkage</t>
  </si>
  <si>
    <t xml:space="preserve">WAVG.FORM.1</t>
  </si>
  <si>
    <t xml:space="preserve">WAVG - Group</t>
  </si>
  <si>
    <t xml:space="preserve">Group WAVG Fusion &amp; Penalty</t>
  </si>
  <si>
    <t xml:space="preserve">GROUP_WAVG_FUSED_i = WEIGHTED_AVG(GROUP_WAVG_i, BASE_WAVG_i, DYNAMIC_WEIGHT(WAVG.PARAM!CONFIDENCE_SEC[i])); IF(GROUP="unauth", APPLY_PENALTY(UNAUTH_WAVG_PENALTY_SEC[i] * (1 + WAVG.PARAM!UNAETH_WAVG_DRIFT_ADJ)), GROUP_WAVG_FUSED_i)</t>
  </si>
  <si>
    <t xml:space="preserve">Fuse group WAVG per sector + unauthorized penalty + drift adj</t>
  </si>
  <si>
    <t xml:space="preserve">WAVG.FORM.2</t>
  </si>
  <si>
    <t xml:space="preserve">WAVG - Sector</t>
  </si>
  <si>
    <t xml:space="preserve">Sector WAVG Drift Correction</t>
  </si>
  <si>
    <t xml:space="preserve">CORRECTED_WAVG_i = WAVG_i * (1 - WAVG.PARAM!DRIFT_FACTOR_SEC[i]) * ITERATE_IF(ABS(WAVG_i - CES_WAVG_SEC[i]) &gt; WAVG.PARAM!SECTOR_DRIFT_THRESH[i], RESCALE_TO_CES(WAVG_i))</t>
  </si>
  <si>
    <t xml:space="preserve">Correct sector WAVG for CES drift + rescaling</t>
  </si>
  <si>
    <t xml:space="preserve">WAVG.FORM.3</t>
  </si>
  <si>
    <t xml:space="preserve">WAVG - Visualization</t>
  </si>
  <si>
    <t xml:space="preserve">WAVG Visualization Prep</t>
  </si>
  <si>
    <t xml:space="preserve">VISUAL_WAVG_i = FORMAT_FOR_CHART(WAVG_i, "currency", WAVG.PARAM!COLOR_SCHEME_WAVG); AGGREGATE_VIZ = PLOT_SECTOR_BARS(OVERALL_WAVG, SECTOR_WAVG_i, GROUP_WAVG_i, WAVG.PARAM!VIZ_SCALE)</t>
  </si>
  <si>
    <t xml:space="preserve">Prepare for charts (sector bars by group, $/hr)</t>
  </si>
  <si>
    <t xml:space="preserve">WAVG.PARAM.0</t>
  </si>
  <si>
    <t xml:space="preserve">WAVG confidence for Mining</t>
  </si>
  <si>
    <t xml:space="preserve">CES/QCEW strength</t>
  </si>
  <si>
    <t xml:space="preserve">WAVG.PARAM.1</t>
  </si>
  <si>
    <t xml:space="preserve">WAVG confidence for Utilities</t>
  </si>
  <si>
    <t xml:space="preserve">WAVG.PARAM.2</t>
  </si>
  <si>
    <t xml:space="preserve">WAVG confidence for Construction</t>
  </si>
  <si>
    <t xml:space="preserve">WAVG.PARAM.3</t>
  </si>
  <si>
    <t xml:space="preserve">WAVG confidence for Manufacturing (Food, Textile)</t>
  </si>
  <si>
    <t xml:space="preserve">WAVG.PARAM.4</t>
  </si>
  <si>
    <t xml:space="preserve">WAVG confidence for Manufacturing (Wood, Paper)</t>
  </si>
  <si>
    <t xml:space="preserve">WAVG.PARAM.5</t>
  </si>
  <si>
    <t xml:space="preserve">WAVG confidence for Manufacturing (Machinery, Transport)</t>
  </si>
  <si>
    <t xml:space="preserve">WAVG.PARAM.6</t>
  </si>
  <si>
    <t xml:space="preserve">WAVG confidence for Wholesale Trade</t>
  </si>
  <si>
    <t xml:space="preserve">WAVG.PARAM.7</t>
  </si>
  <si>
    <t xml:space="preserve">WAVG confidence for Retail (Motor Vehicle, Electronics)</t>
  </si>
  <si>
    <t xml:space="preserve">WAVG.PARAM.8</t>
  </si>
  <si>
    <t xml:space="preserve">WAVG confidence for Retail (Food, Clothing)</t>
  </si>
  <si>
    <t xml:space="preserve">WAVG.PARAM.9</t>
  </si>
  <si>
    <t xml:space="preserve">WAVG confidence for Transportation</t>
  </si>
  <si>
    <t xml:space="preserve">WAVG.PARAM.10</t>
  </si>
  <si>
    <t xml:space="preserve">WAVG confidence for Warehousing and Storage</t>
  </si>
  <si>
    <t xml:space="preserve">WAVG.PARAM.11</t>
  </si>
  <si>
    <t xml:space="preserve">WAVG confidence for Information</t>
  </si>
  <si>
    <t xml:space="preserve">WAVG.PARAM.12</t>
  </si>
  <si>
    <t xml:space="preserve">WAVG confidence for Finance and Insurance</t>
  </si>
  <si>
    <t xml:space="preserve">WAVG.PARAM.13</t>
  </si>
  <si>
    <t xml:space="preserve">WAVG confidence for Real Estate and Rental</t>
  </si>
  <si>
    <t xml:space="preserve">WAVG.PARAM.14</t>
  </si>
  <si>
    <t xml:space="preserve">WAVG confidence for Professional Services</t>
  </si>
  <si>
    <t xml:space="preserve">WAVG.PARAM.15</t>
  </si>
  <si>
    <t xml:space="preserve">WAVG confidence for Administrative and Support</t>
  </si>
  <si>
    <t xml:space="preserve">WAVG.PARAM.16</t>
  </si>
  <si>
    <t xml:space="preserve">WAVG confidence for Educational Services</t>
  </si>
  <si>
    <t xml:space="preserve">WAVG.PARAM.17</t>
  </si>
  <si>
    <t xml:space="preserve">WAVG confidence for Health Care and Social Assistance</t>
  </si>
  <si>
    <t xml:space="preserve">WAVG.PARAM.18</t>
  </si>
  <si>
    <t xml:space="preserve">WAVG confidence for Arts, Entertainment, Recreation</t>
  </si>
  <si>
    <t xml:space="preserve">WAVG.PARAM.19</t>
  </si>
  <si>
    <t xml:space="preserve">WAVG confidence for Accommodation and Food Services</t>
  </si>
  <si>
    <t xml:space="preserve">WAVG.PARAM.20</t>
  </si>
  <si>
    <t xml:space="preserve">WAVG confidence for Other Services</t>
  </si>
  <si>
    <t xml:space="preserve">WAVG.PARAM.21</t>
  </si>
  <si>
    <t xml:space="preserve">WAVG confidence for Public Administration</t>
  </si>
  <si>
    <t xml:space="preserve">WAVG.PARAM.22</t>
  </si>
  <si>
    <t xml:space="preserve">Threshold for group WAVG reconciliation (decimal, $/hr)</t>
  </si>
  <si>
    <t xml:space="preserve">WAVG.PARAM.23</t>
  </si>
  <si>
    <t xml:space="preserve">SECTOR_DRIFT_THRESH[2]</t>
  </si>
  <si>
    <t xml:space="preserve">Drift threshold for Mining WAVG vs CES (decimal, $/hr)</t>
  </si>
  <si>
    <t xml:space="preserve">New; array for LSID 2–23.</t>
  </si>
  <si>
    <t xml:space="preserve">WAVG.PARAM.24</t>
  </si>
  <si>
    <t xml:space="preserve">UNAETH_WAVG_DRIFT_ADJ</t>
  </si>
  <si>
    <t xml:space="preserve">Adjustment for unauthorized WAVG drift (decimal)</t>
  </si>
  <si>
    <t xml:space="preserve">WAVG.PARAM.25</t>
  </si>
  <si>
    <t xml:space="preserve">COLOR_SCHEME_WAVG</t>
  </si>
  <si>
    <t xml:space="preserve">Green-Gold</t>
  </si>
  <si>
    <t xml:space="preserve">Color scheme for WAVG viz (high=green-gold, low=blue)</t>
  </si>
  <si>
    <t xml:space="preserve">WAVG.PARAM.26</t>
  </si>
  <si>
    <t xml:space="preserve">Scale factor for WAVG charts (max statewide target)</t>
  </si>
  <si>
    <t xml:space="preserve">WAVG.PARAM.27</t>
  </si>
  <si>
    <t xml:space="preserve">BASE_WAVG_AG</t>
  </si>
  <si>
    <t xml:space="preserve">Proxy base WAVG for Agriculture (excluded; $/hr)</t>
  </si>
  <si>
    <t xml:space="preserve">New; for LSID 1 proxy.</t>
  </si>
  <si>
    <t xml:space="preserve">LSD.RID.0.AL.WAVG.VALID.1</t>
  </si>
  <si>
    <t xml:space="preserve">Perfect alignment; captures total private average with TNPE weighting.</t>
  </si>
  <si>
    <t xml:space="preserve">LSD.RID.0.AL.WAVG.VALID.2</t>
  </si>
  <si>
    <t xml:space="preserve">Unauthorized penalties high in low-wage/manual sectors; authorized premiums modest in skilled/stable</t>
  </si>
  <si>
    <t xml:space="preserve">ACS/MPI/OES patterns</t>
  </si>
  <si>
    <t xml:space="preserve">Highly realistic; unauthorized penalties (0.70–0.90) depressed wages in ag/retail/accom to match evidence; authorized premiums (1.01–1.025) elevated slightly. Refinements improved alignment vs. uniform assumptions.</t>
  </si>
  <si>
    <t xml:space="preserve">LSD.RID.0.AL.WAVG.VALID.3</t>
  </si>
  <si>
    <t xml:space="preserve">TNPE/ETPR Reconciliation</t>
  </si>
  <si>
    <t xml:space="preserve">Wages reconciled within threshold</t>
  </si>
  <si>
    <t xml:space="preserve">FORM.39 / TNPE shares</t>
  </si>
  <si>
    <t xml:space="preserve">LSD.RID.0.AL.WAVG.VALID.4</t>
  </si>
  <si>
    <t xml:space="preserve">Unauthorized Penalty Validation</t>
  </si>
  <si>
    <t xml:space="preserve">Penalties applied per sector</t>
  </si>
  <si>
    <t xml:space="preserve">UNAUTH_WAVG_PENALTY_SEC[1–23]</t>
  </si>
  <si>
    <t xml:space="preserve">Elevated in ag/constr/accom; reduced in finance/prof. Pass.</t>
  </si>
  <si>
    <t xml:space="preserve">LSD.RID.0.AL.WAVG.VALID.5</t>
  </si>
  <si>
    <t xml:space="preserve">Convergence after &lt;4 iterations</t>
  </si>
  <si>
    <t xml:space="preserve">Shared FORM.4 / WAVG.FORM.2</t>
  </si>
  <si>
    <t xml:space="preserve">Minimal residuals; strong CES/TNPE base. Pass.</t>
  </si>
  <si>
    <t xml:space="preserve">LSD.RID.0.AL.WAVG.VALID.6</t>
  </si>
  <si>
    <t xml:space="preserve">TNPE / ETPR / LFPR linkages</t>
  </si>
  <si>
    <t xml:space="preserve">Fully consistent; ready for AIAVG/income propagation. Pass.</t>
  </si>
  <si>
    <t xml:space="preserve">LSD.RID.0.AL.WAVG.VALID.7</t>
  </si>
  <si>
    <t xml:space="preserve">Overall WAVG Table Aggregate Consistency</t>
  </si>
  <si>
    <t xml:space="preserve">Weighted avg = 31.96</t>
  </si>
  <si>
    <t xml:space="preserve">BLS CES/OES; internal weighted sum check across sectors and groups</t>
  </si>
  <si>
    <t xml:space="preserve">Flawless; new penalties/premiums, variance reconciliation, and TNPE/ETPR fusion ensured no drift despite sector/group variation. Strong cross-metric validation.</t>
  </si>
  <si>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</si>
  <si>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</si>
  <si>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</si>
  <si>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LSD.RID.0.AL.AIAVG.FORM.1</t>
  </si>
  <si>
    <t xml:space="preserve">Base AIAVG Application</t>
  </si>
  <si>
    <t xml:space="preserve">References FORM.40</t>
  </si>
  <si>
    <t xml:space="preserve">Applies WAVG × hours + adj + variance iteration per sector</t>
  </si>
  <si>
    <t xml:space="preserve">LSD.RID.0.AL.AIAVG.FORM.2</t>
  </si>
  <si>
    <t xml:space="preserve">References FORM.41</t>
  </si>
  <si>
    <t xml:space="preserve">Applies TNPE shares + unauth penalty + auth premium</t>
  </si>
  <si>
    <t xml:space="preserve">LSD.RID.0.AL.AIAVG.FORM.3</t>
  </si>
  <si>
    <t xml:space="preserve">References FORM.42</t>
  </si>
  <si>
    <t xml:space="preserve">Applies WAVG × hours fusion with TNPE weighting</t>
  </si>
  <si>
    <t xml:space="preserve">LSD.RID.0.AL.AIAVG.PARAM.1</t>
  </si>
  <si>
    <t xml:space="preserve">Overall AIAVG Target</t>
  </si>
  <si>
    <t xml:space="preserve">Statewide AIAVG benchmark</t>
  </si>
  <si>
    <t xml:space="preserve">LSD.RID.0.AL.AIAVG.PARAM.2</t>
  </si>
  <si>
    <t xml:space="preserve">ANNUAL_HOURS_SEC array</t>
  </si>
  <si>
    <t xml:space="preserve">References PARAM.1054–1077</t>
  </si>
  <si>
    <t xml:space="preserve">Annual hours per sector</t>
  </si>
  <si>
    <t xml:space="preserve">LSD.RID.0.AL.AIAVG.PARAM.3</t>
  </si>
  <si>
    <t xml:space="preserve">UNAUTH_AIAVG_PENALTY_SEC array</t>
  </si>
  <si>
    <t xml:space="preserve">References PARAM.1150+</t>
  </si>
  <si>
    <t xml:space="preserve">Unauthorized penalties per sector</t>
  </si>
  <si>
    <t xml:space="preserve">LSD.RID.0.AL.AIAVG.PARAM.4</t>
  </si>
  <si>
    <t xml:space="preserve">AUTH_AIAVG_PREMIUM_SEC array</t>
  </si>
  <si>
    <t xml:space="preserve">References PARAM.1174+</t>
  </si>
  <si>
    <t xml:space="preserve">Authorized premiums per sector</t>
  </si>
  <si>
    <t xml:space="preserve">LSD.RID.0.AL.AIAVG.PARAM.5</t>
  </si>
  <si>
    <t xml:space="preserve">AIAVG_VARIANCE_SEC array</t>
  </si>
  <si>
    <t xml:space="preserve">References PARAM.1198+</t>
  </si>
  <si>
    <t xml:space="preserve">LSD.RID.0.AL.AIAVG.VALID.1</t>
  </si>
  <si>
    <t xml:space="preserve">BLS-derived (WAVG × hours)</t>
  </si>
  <si>
    <t xml:space="preserve">Perfect alignment; statewide average consistent with TNPE-weighted WAVG and standard hours.</t>
  </si>
  <si>
    <t xml:space="preserve">LSD.RID.0.AL.AIAVG.VALID.2</t>
  </si>
  <si>
    <t xml:space="preserve">Highly realistic; unauthorized penalties (~0.65–0.85) depressed income in ag/retail/accom to match evidence; authorized premiums (1.01–1.035) elevated slightly. Refinements improved alignment vs. uniform assumptions.</t>
  </si>
  <si>
    <t xml:space="preserve">LSD.RID.0.AL.AIAVG.VALID.3</t>
  </si>
  <si>
    <t xml:space="preserve">TNPE/WAVG Reconciliation</t>
  </si>
  <si>
    <t xml:space="preserve">Income reconciled within threshold</t>
  </si>
  <si>
    <t xml:space="preserve">FORM.42 / TNPE shares</t>
  </si>
  <si>
    <t xml:space="preserve">LSD.RID.0.AL.AIAVG.VALID.4</t>
  </si>
  <si>
    <t xml:space="preserve">UNAUTH_AIAVG_PENALTY_SEC[1–23]</t>
  </si>
  <si>
    <t xml:space="preserve">LSD.RID.0.AL.AIAVG.VALID.5</t>
  </si>
  <si>
    <t xml:space="preserve">Shared FORM.4 / AIAVG.FORM.2</t>
  </si>
  <si>
    <t xml:space="preserve">Minimal residuals; strong WAVG/TNPE base. Pass.</t>
  </si>
  <si>
    <t xml:space="preserve">LSD.RID.0.AL.AIAVG.VALID.6</t>
  </si>
  <si>
    <t xml:space="preserve">WAVG / TNPE / ETPR linkages</t>
  </si>
  <si>
    <t xml:space="preserve">Fully consistent; ready for tax/revenue propagation. Pass.</t>
  </si>
  <si>
    <t xml:space="preserve">LSD.RID.0.AL.AIAVG.VALID.7</t>
  </si>
  <si>
    <t xml:space="preserve">Overall AIAVG Table Aggregate Consistency</t>
  </si>
  <si>
    <t xml:space="preserve">Weighted avg = 66477</t>
  </si>
  <si>
    <t xml:space="preserve">BLS-derived; internal weighted sum check across sectors and groups</t>
  </si>
  <si>
    <t xml:space="preserve">Flawless; new penalties/premiums, variance reconciliation, and TNPE/WAVG fusion ensured no drift despite sector/group variation. Strong cross-metric validation.</t>
  </si>
  <si>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</si>
  <si>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</si>
  <si>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</si>
  <si>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LSD.RID.0.AL.FPITREV.FORM.1</t>
  </si>
  <si>
    <t xml:space="preserve">Base FPITREV Application</t>
  </si>
  <si>
    <t xml:space="preserve">References FORM.43</t>
  </si>
  <si>
    <t xml:space="preserve">Applies AIAVG × effective fed rate + adj + variance iteration per sector</t>
  </si>
  <si>
    <t xml:space="preserve">LSD.RID.0.AL.FPITREV.FORM.2</t>
  </si>
  <si>
    <t xml:space="preserve">References FORM.44</t>
  </si>
  <si>
    <t xml:space="preserve">LSD.RID.0.AL.FPITREV.FORM.3</t>
  </si>
  <si>
    <t xml:space="preserve">References FORM.45</t>
  </si>
  <si>
    <t xml:space="preserve">Applies AIAVG × fed rate fusion with TNPE weighting and IRS accuracy</t>
  </si>
  <si>
    <t xml:space="preserve">LSD.RID.0.AL.FPITREV.PARAM.1</t>
  </si>
  <si>
    <t xml:space="preserve">Overall FPITREV Target</t>
  </si>
  <si>
    <t xml:space="preserve">~9640</t>
  </si>
  <si>
    <t xml:space="preserve">Statewide base FPITREV benchmark (All Industries)</t>
  </si>
  <si>
    <t xml:space="preserve">Local ref; derived from AIAVG × eff rate</t>
  </si>
  <si>
    <t xml:space="preserve">LSD.RID.0.AL.FPITREV.PARAM.2</t>
  </si>
  <si>
    <t xml:space="preserve">EFF_FED_TAX_RATE_SEC array</t>
  </si>
  <si>
    <t xml:space="preserve">References PARAM.1248–1271</t>
  </si>
  <si>
    <t xml:space="preserve">Effective federal PIT rates per sector</t>
  </si>
  <si>
    <t xml:space="preserve">LSD.RID.0.AL.FPITREV.PARAM.3</t>
  </si>
  <si>
    <t xml:space="preserve">BASE_FPITREV_SEC array</t>
  </si>
  <si>
    <t xml:space="preserve">References PARAM.1272–1295</t>
  </si>
  <si>
    <t xml:space="preserve">Base FPITREV values per sector (AIAVG × eff rate)</t>
  </si>
  <si>
    <t xml:space="preserve">LSD.RID.0.AL.FPITREV.PARAM.4</t>
  </si>
  <si>
    <t xml:space="preserve">UNAUTH_FPITREV_PENALTY_SEC array</t>
  </si>
  <si>
    <t xml:space="preserve">References PARAM.1344–1367</t>
  </si>
  <si>
    <t xml:space="preserve">LSD.RID.0.AL.FPITREV.PARAM.5</t>
  </si>
  <si>
    <t xml:space="preserve">AUTH_FPITREV_PREMIUM_SEC array</t>
  </si>
  <si>
    <t xml:space="preserve">References PARAM.1368–1391</t>
  </si>
  <si>
    <t xml:space="preserve">LSD.RID.0.AL.FPITREV.PARAM.6</t>
  </si>
  <si>
    <t xml:space="preserve">FPITREV_VARIANCE_SEC array</t>
  </si>
  <si>
    <t xml:space="preserve">References PARAM.1392–1415</t>
  </si>
  <si>
    <t xml:space="preserve">LSD.RID.0.AL.FPITREV.PARAM.7</t>
  </si>
  <si>
    <t xml:space="preserve">SOURCE_CONFIDENCE_FPITREV array</t>
  </si>
  <si>
    <t xml:space="preserve">References PARAM.1416–1439</t>
  </si>
  <si>
    <t xml:space="preserve">Source confidence weights per sector</t>
  </si>
  <si>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</si>
  <si>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</si>
  <si>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</si>
  <si>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LIRVID</t>
  </si>
  <si>
    <t xml:space="preserve">Industry: Role</t>
  </si>
  <si>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</si>
  <si>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</si>
  <si>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</si>
  <si>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</si>
  <si>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</si>
  <si>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</si>
  <si>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</si>
  <si>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</si>
  <si>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</si>
  <si>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LSD.RID.0.AL.EP</t>
  </si>
  <si>
    <t xml:space="preserve">Alabama Employed Population</t>
  </si>
  <si>
    <t xml:space="preserve">Authorized, Unauthorized, American Laborer Employed Population By Industrial Labor Role</t>
  </si>
  <si>
    <t xml:space="preserve">Alabama Average Weekly Hours Worked</t>
  </si>
  <si>
    <t xml:space="preserve">Authorized, Unauthorized, American Laborer Average Weekly Hours Worked By Industrial Labor Role</t>
  </si>
  <si>
    <t xml:space="preserve">Alabama Full-Time Employment Rate</t>
  </si>
  <si>
    <t xml:space="preserve">Authorized, Unauthorized, American Laborer Full-Time Employment Rate By Industrial Labor Role</t>
  </si>
  <si>
    <t xml:space="preserve">Alabama Part-Time Employment Rate</t>
  </si>
  <si>
    <t xml:space="preserve">Authorized, Unauthorized, American Laborer Part-Time Employment Rate By Industrial Labor Role</t>
  </si>
  <si>
    <t xml:space="preserve">Alabama Job Tenure Average (JTA)</t>
  </si>
  <si>
    <t xml:space="preserve">Authorized, Unauthorized, American Laborer Job Tenure Average By Industrial Labor Role</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</si>
</sst>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0.00"/>
    <numFmt numFmtId="170" formatCode="[$$-409]#,##0;[RED]\-[$$-409]#,##0"/>
    <numFmt numFmtId="171" formatCode="#,##0"/>
    <numFmt numFmtId="172" formatCode="0.00%"/>
    <numFmt numFmtId="173" formatCode="[$$-409]#,##0.00;[RED]\-[$$-409]#,##0.00"/>
    <numFmt numFmtId="174" formatCode="[$$-409]#,##0;\-[$$-409]#,##0"/>
  </numFmts>
  <fonts count="24">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b val="true"/>
      <sz val="10"/>
      <name val="aRIAL"/>
      <family val="2"/>
      <charset val="1"/>
    </font>
    <font>
      <b val="true"/>
      <sz val="10"/>
      <name val="Arial"/>
      <family val="2"/>
    </font>
    <font>
      <b val="true"/>
      <sz val="10"/>
      <name val="arial"/>
      <family val="2"/>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000000"/>
      <name val="Arial"/>
      <family val="2"/>
    </font>
    <font>
      <b val="true"/>
      <sz val="7"/>
      <color rgb="FFFFFFFF"/>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808080"/>
      </patternFill>
    </fill>
    <fill>
      <patternFill patternType="solid">
        <fgColor rgb="FF999999"/>
        <bgColor rgb="FF808080"/>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660066"/>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7"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0" fontId="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0" fillId="0" borderId="0" xfId="0" applyFont="true" applyBorder="false" applyAlignment="true" applyProtection="false">
      <alignment horizontal="general"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00FF"/>
      <rgbColor rgb="FF00FFFF"/>
      <rgbColor rgb="FFFF420E"/>
      <rgbColor rgb="FF00A933"/>
      <rgbColor rgb="FF000080"/>
      <rgbColor rgb="FFFF5429"/>
      <rgbColor rgb="FF800080"/>
      <rgbColor rgb="FF158466"/>
      <rgbColor rgb="FFC0C0C0"/>
      <rgbColor rgb="FF808080"/>
      <rgbColor rgb="FF9999FF"/>
      <rgbColor rgb="FFD62E4E"/>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CC99FF"/>
      <rgbColor rgb="FFFFD320"/>
      <rgbColor rgb="FF3366FF"/>
      <rgbColor rgb="FF33CCCC"/>
      <rgbColor rgb="FF81D41A"/>
      <rgbColor rgb="FFFFCC00"/>
      <rgbColor rgb="FFE8A202"/>
      <rgbColor rgb="FFEA7500"/>
      <rgbColor rgb="FF666666"/>
      <rgbColor rgb="FF999999"/>
      <rgbColor rgb="FF004586"/>
      <rgbColor rgb="FF579D1C"/>
      <rgbColor rgb="FF003300"/>
      <rgbColor rgb="FF333300"/>
      <rgbColor rgb="FFFF4000"/>
      <rgbColor rgb="FFFF3838"/>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709953129308"/>
          <c:y val="0.0107294025002461"/>
        </c:manualLayout>
      </c:layout>
      <c:overlay val="0"/>
      <c:spPr>
        <a:noFill/>
        <a:ln w="0">
          <a:noFill/>
        </a:ln>
      </c:spPr>
    </c:title>
    <c:autoTitleDeleted val="0"/>
    <c:plotArea>
      <c:layout>
        <c:manualLayout>
          <c:layoutTarget val="inner"/>
          <c:xMode val="edge"/>
          <c:yMode val="edge"/>
          <c:x val="0.24999015321596"/>
          <c:y val="0.0843833054434492"/>
          <c:w val="0.649848359525779"/>
          <c:h val="0.852962890048233"/>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LFP!$C$5:$C$27</c:f>
              <c:numCache>
                <c:formatCode>General</c:formatCode>
                <c:ptCount val="23"/>
                <c:pt idx="0">
                  <c:v>38000</c:v>
                </c:pt>
                <c:pt idx="1">
                  <c:v>14000</c:v>
                </c:pt>
                <c:pt idx="2">
                  <c:v>28000</c:v>
                </c:pt>
                <c:pt idx="3">
                  <c:v>135000</c:v>
                </c:pt>
                <c:pt idx="4">
                  <c:v>65000</c:v>
                </c:pt>
                <c:pt idx="5">
                  <c:v>52000</c:v>
                </c:pt>
                <c:pt idx="6">
                  <c:v>170000</c:v>
                </c:pt>
                <c:pt idx="7">
                  <c:v>85000</c:v>
                </c:pt>
                <c:pt idx="8">
                  <c:v>95000</c:v>
                </c:pt>
                <c:pt idx="9">
                  <c:v>165000</c:v>
                </c:pt>
                <c:pt idx="10">
                  <c:v>65000</c:v>
                </c:pt>
                <c:pt idx="11">
                  <c:v>38000</c:v>
                </c:pt>
                <c:pt idx="12">
                  <c:v>26000</c:v>
                </c:pt>
                <c:pt idx="13">
                  <c:v>115000</c:v>
                </c:pt>
                <c:pt idx="14">
                  <c:v>42000</c:v>
                </c:pt>
                <c:pt idx="15">
                  <c:v>135000</c:v>
                </c:pt>
                <c:pt idx="16">
                  <c:v>145000</c:v>
                </c:pt>
                <c:pt idx="17">
                  <c:v>95000</c:v>
                </c:pt>
                <c:pt idx="18">
                  <c:v>240000</c:v>
                </c:pt>
                <c:pt idx="19">
                  <c:v>32000</c:v>
                </c:pt>
                <c:pt idx="20">
                  <c:v>185000</c:v>
                </c:pt>
                <c:pt idx="21">
                  <c:v>105000</c:v>
                </c:pt>
                <c:pt idx="22">
                  <c:v>125000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LFP!$D$5:$D$27</c:f>
              <c:numCache>
                <c:formatCode>General</c:formatCode>
                <c:ptCount val="23"/>
                <c:pt idx="0">
                  <c:v>152</c:v>
                </c:pt>
                <c:pt idx="1">
                  <c:v>196</c:v>
                </c:pt>
                <c:pt idx="2">
                  <c:v>560</c:v>
                </c:pt>
                <c:pt idx="3">
                  <c:v>4590</c:v>
                </c:pt>
                <c:pt idx="4">
                  <c:v>4680</c:v>
                </c:pt>
                <c:pt idx="5">
                  <c:v>3744</c:v>
                </c:pt>
                <c:pt idx="6">
                  <c:v>12240</c:v>
                </c:pt>
                <c:pt idx="7">
                  <c:v>1700</c:v>
                </c:pt>
                <c:pt idx="8">
                  <c:v>1900</c:v>
                </c:pt>
                <c:pt idx="9">
                  <c:v>3300</c:v>
                </c:pt>
                <c:pt idx="10">
                  <c:v>1300</c:v>
                </c:pt>
                <c:pt idx="11">
                  <c:v>760</c:v>
                </c:pt>
                <c:pt idx="12">
                  <c:v>546</c:v>
                </c:pt>
                <c:pt idx="13">
                  <c:v>3220</c:v>
                </c:pt>
                <c:pt idx="14">
                  <c:v>1176</c:v>
                </c:pt>
                <c:pt idx="15">
                  <c:v>2835</c:v>
                </c:pt>
                <c:pt idx="16">
                  <c:v>2900</c:v>
                </c:pt>
                <c:pt idx="17">
                  <c:v>6460</c:v>
                </c:pt>
                <c:pt idx="18">
                  <c:v>16320</c:v>
                </c:pt>
                <c:pt idx="19">
                  <c:v>448</c:v>
                </c:pt>
                <c:pt idx="20">
                  <c:v>2590</c:v>
                </c:pt>
                <c:pt idx="21">
                  <c:v>840</c:v>
                </c:pt>
                <c:pt idx="22">
                  <c:v>1000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LFP!$E$5:$E$27</c:f>
              <c:numCache>
                <c:formatCode>General</c:formatCode>
                <c:ptCount val="23"/>
                <c:pt idx="0">
                  <c:v>5320</c:v>
                </c:pt>
                <c:pt idx="1">
                  <c:v>560</c:v>
                </c:pt>
                <c:pt idx="2">
                  <c:v>224</c:v>
                </c:pt>
                <c:pt idx="3">
                  <c:v>13770</c:v>
                </c:pt>
                <c:pt idx="4">
                  <c:v>2405</c:v>
                </c:pt>
                <c:pt idx="5">
                  <c:v>1924</c:v>
                </c:pt>
                <c:pt idx="6">
                  <c:v>6290</c:v>
                </c:pt>
                <c:pt idx="7">
                  <c:v>3570</c:v>
                </c:pt>
                <c:pt idx="8">
                  <c:v>3990</c:v>
                </c:pt>
                <c:pt idx="9">
                  <c:v>6930</c:v>
                </c:pt>
                <c:pt idx="10">
                  <c:v>2730</c:v>
                </c:pt>
                <c:pt idx="11">
                  <c:v>1596</c:v>
                </c:pt>
                <c:pt idx="12">
                  <c:v>221</c:v>
                </c:pt>
                <c:pt idx="13">
                  <c:v>920</c:v>
                </c:pt>
                <c:pt idx="14">
                  <c:v>336</c:v>
                </c:pt>
                <c:pt idx="15">
                  <c:v>1080</c:v>
                </c:pt>
                <c:pt idx="16">
                  <c:v>16675</c:v>
                </c:pt>
                <c:pt idx="17">
                  <c:v>760</c:v>
                </c:pt>
                <c:pt idx="18">
                  <c:v>1560</c:v>
                </c:pt>
                <c:pt idx="19">
                  <c:v>3520</c:v>
                </c:pt>
                <c:pt idx="20">
                  <c:v>12950</c:v>
                </c:pt>
                <c:pt idx="21">
                  <c:v>12180</c:v>
                </c:pt>
                <c:pt idx="22">
                  <c:v>875</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LFP!$F$5:$F$27</c:f>
              <c:numCache>
                <c:formatCode>General</c:formatCode>
                <c:ptCount val="23"/>
                <c:pt idx="0">
                  <c:v>32528</c:v>
                </c:pt>
                <c:pt idx="1">
                  <c:v>13244</c:v>
                </c:pt>
                <c:pt idx="2">
                  <c:v>27216</c:v>
                </c:pt>
                <c:pt idx="3">
                  <c:v>116640</c:v>
                </c:pt>
                <c:pt idx="4">
                  <c:v>57915</c:v>
                </c:pt>
                <c:pt idx="5">
                  <c:v>46332</c:v>
                </c:pt>
                <c:pt idx="6">
                  <c:v>151470</c:v>
                </c:pt>
                <c:pt idx="7">
                  <c:v>79730</c:v>
                </c:pt>
                <c:pt idx="8">
                  <c:v>89110</c:v>
                </c:pt>
                <c:pt idx="9">
                  <c:v>154770</c:v>
                </c:pt>
                <c:pt idx="10">
                  <c:v>60970</c:v>
                </c:pt>
                <c:pt idx="11">
                  <c:v>35644</c:v>
                </c:pt>
                <c:pt idx="12">
                  <c:v>25233</c:v>
                </c:pt>
                <c:pt idx="13">
                  <c:v>111860</c:v>
                </c:pt>
                <c:pt idx="14">
                  <c:v>40588</c:v>
                </c:pt>
                <c:pt idx="15">
                  <c:v>130085</c:v>
                </c:pt>
                <c:pt idx="16">
                  <c:v>118425</c:v>
                </c:pt>
                <c:pt idx="17">
                  <c:v>87780</c:v>
                </c:pt>
                <c:pt idx="18">
                  <c:v>222120</c:v>
                </c:pt>
                <c:pt idx="19">
                  <c:v>28032</c:v>
                </c:pt>
                <c:pt idx="20">
                  <c:v>169460</c:v>
                </c:pt>
                <c:pt idx="21">
                  <c:v>95980</c:v>
                </c:pt>
                <c:pt idx="22">
                  <c:v>123125</c:v>
                </c:pt>
              </c:numCache>
            </c:numRef>
          </c:val>
        </c:ser>
        <c:gapWidth val="100"/>
        <c:overlap val="0"/>
        <c:axId val="2321070"/>
        <c:axId val="32616688"/>
      </c:barChart>
      <c:catAx>
        <c:axId val="232107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327307101501"/>
              <c:y val="0.47780293335958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616688"/>
        <c:crossesAt val="0"/>
        <c:auto val="1"/>
        <c:lblAlgn val="ctr"/>
        <c:lblOffset val="100"/>
        <c:noMultiLvlLbl val="0"/>
      </c:catAx>
      <c:valAx>
        <c:axId val="32616688"/>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38323683485"/>
              <c:y val="0.9690914460084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321070"/>
        <c:crosses val="max"/>
        <c:crossBetween val="midCat"/>
      </c:valAx>
      <c:spPr>
        <a:noFill/>
        <a:ln w="0">
          <a:solidFill>
            <a:srgbClr val="b3b3b3"/>
          </a:solidFill>
        </a:ln>
      </c:spPr>
    </c:plotArea>
    <c:legend>
      <c:legendPos val="r"/>
      <c:layout>
        <c:manualLayout>
          <c:xMode val="edge"/>
          <c:yMode val="edge"/>
          <c:x val="0.106219697469906"/>
          <c:y val="0.0418296793878103"/>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Total Nonfarm Payroll Employment</a:t>
            </a:r>
          </a:p>
        </c:rich>
      </c:tx>
      <c:layout>
        <c:manualLayout>
          <c:xMode val="edge"/>
          <c:yMode val="edge"/>
          <c:x val="0.275838979045218"/>
          <c:y val="0.0107294025002461"/>
        </c:manualLayout>
      </c:layout>
      <c:overlay val="0"/>
      <c:spPr>
        <a:noFill/>
        <a:ln w="0">
          <a:noFill/>
        </a:ln>
      </c:spPr>
    </c:title>
    <c:autoTitleDeleted val="0"/>
    <c:plotArea>
      <c:layout>
        <c:manualLayout>
          <c:layoutTarget val="inner"/>
          <c:xMode val="edge"/>
          <c:yMode val="edge"/>
          <c:x val="0.25"/>
          <c:y val="0.0843833054434492"/>
          <c:w val="0.649834567512211"/>
          <c:h val="0.852962890048233"/>
        </c:manualLayout>
      </c:layout>
      <c:barChart>
        <c:barDir val="bar"/>
        <c:grouping val="clustered"/>
        <c:varyColors val="0"/>
        <c:ser>
          <c:idx val="0"/>
          <c:order val="0"/>
          <c:tx>
            <c:strRef>
              <c:f>TNPE!$C$3</c:f>
              <c:strCache>
                <c:ptCount val="1"/>
                <c:pt idx="0">
                  <c:v>Overall TNPE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TNPE!$C$5:$C$27</c:f>
              <c:numCache>
                <c:formatCode>General</c:formatCode>
                <c:ptCount val="23"/>
                <c:pt idx="0">
                  <c:v>33500</c:v>
                </c:pt>
                <c:pt idx="1">
                  <c:v>4800</c:v>
                </c:pt>
                <c:pt idx="2">
                  <c:v>7100</c:v>
                </c:pt>
                <c:pt idx="3">
                  <c:v>56600</c:v>
                </c:pt>
                <c:pt idx="4">
                  <c:v>46200</c:v>
                </c:pt>
                <c:pt idx="5">
                  <c:v>47600</c:v>
                </c:pt>
                <c:pt idx="6">
                  <c:v>50200</c:v>
                </c:pt>
                <c:pt idx="7">
                  <c:v>20400</c:v>
                </c:pt>
                <c:pt idx="8">
                  <c:v>32500</c:v>
                </c:pt>
                <c:pt idx="9">
                  <c:v>75100</c:v>
                </c:pt>
                <c:pt idx="10">
                  <c:v>32500</c:v>
                </c:pt>
                <c:pt idx="11">
                  <c:v>17500</c:v>
                </c:pt>
                <c:pt idx="12">
                  <c:v>11600</c:v>
                </c:pt>
                <c:pt idx="13">
                  <c:v>50700</c:v>
                </c:pt>
                <c:pt idx="14">
                  <c:v>12500</c:v>
                </c:pt>
                <c:pt idx="15">
                  <c:v>65100</c:v>
                </c:pt>
                <c:pt idx="16">
                  <c:v>65600</c:v>
                </c:pt>
                <c:pt idx="17">
                  <c:v>27500</c:v>
                </c:pt>
                <c:pt idx="18">
                  <c:v>109400</c:v>
                </c:pt>
                <c:pt idx="19">
                  <c:v>12500</c:v>
                </c:pt>
                <c:pt idx="20">
                  <c:v>96800</c:v>
                </c:pt>
                <c:pt idx="21">
                  <c:v>49500</c:v>
                </c:pt>
                <c:pt idx="22">
                  <c:v>211000</c:v>
                </c:pt>
              </c:numCache>
            </c:numRef>
          </c:val>
        </c:ser>
        <c:ser>
          <c:idx val="1"/>
          <c:order val="1"/>
          <c:tx>
            <c:strRef>
              <c:f>TNPE!$D$3</c:f>
              <c:strCache>
                <c:ptCount val="1"/>
                <c:pt idx="0">
                  <c:v>Authorized TNPE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TNPE!$D$5:$D$27</c:f>
              <c:numCache>
                <c:formatCode>General</c:formatCode>
                <c:ptCount val="23"/>
                <c:pt idx="0">
                  <c:v>1240</c:v>
                </c:pt>
                <c:pt idx="1">
                  <c:v>178</c:v>
                </c:pt>
                <c:pt idx="2">
                  <c:v>263</c:v>
                </c:pt>
                <c:pt idx="3">
                  <c:v>2094</c:v>
                </c:pt>
                <c:pt idx="4">
                  <c:v>1709</c:v>
                </c:pt>
                <c:pt idx="5">
                  <c:v>1761</c:v>
                </c:pt>
                <c:pt idx="6">
                  <c:v>1857</c:v>
                </c:pt>
                <c:pt idx="7">
                  <c:v>755</c:v>
                </c:pt>
                <c:pt idx="8">
                  <c:v>1202</c:v>
                </c:pt>
                <c:pt idx="9">
                  <c:v>2779</c:v>
                </c:pt>
                <c:pt idx="10">
                  <c:v>1202</c:v>
                </c:pt>
                <c:pt idx="11">
                  <c:v>648</c:v>
                </c:pt>
                <c:pt idx="12">
                  <c:v>429</c:v>
                </c:pt>
                <c:pt idx="13">
                  <c:v>1876</c:v>
                </c:pt>
                <c:pt idx="14">
                  <c:v>462</c:v>
                </c:pt>
                <c:pt idx="15">
                  <c:v>2409</c:v>
                </c:pt>
                <c:pt idx="16">
                  <c:v>2427</c:v>
                </c:pt>
                <c:pt idx="17">
                  <c:v>1018</c:v>
                </c:pt>
                <c:pt idx="18">
                  <c:v>4048</c:v>
                </c:pt>
                <c:pt idx="19">
                  <c:v>462</c:v>
                </c:pt>
                <c:pt idx="20">
                  <c:v>3582</c:v>
                </c:pt>
                <c:pt idx="21">
                  <c:v>1832</c:v>
                </c:pt>
                <c:pt idx="22">
                  <c:v>7807</c:v>
                </c:pt>
              </c:numCache>
            </c:numRef>
          </c:val>
        </c:ser>
        <c:ser>
          <c:idx val="2"/>
          <c:order val="2"/>
          <c:tx>
            <c:strRef>
              <c:f>TNPE!$E$3</c:f>
              <c:strCache>
                <c:ptCount val="1"/>
                <c:pt idx="0">
                  <c:v>Unauthorized TNPE</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TNPE!$E$5:$E$27</c:f>
              <c:numCache>
                <c:formatCode>General</c:formatCode>
                <c:ptCount val="23"/>
                <c:pt idx="0">
                  <c:v>884</c:v>
                </c:pt>
                <c:pt idx="1">
                  <c:v>106</c:v>
                </c:pt>
                <c:pt idx="2">
                  <c:v>156</c:v>
                </c:pt>
                <c:pt idx="3">
                  <c:v>1681</c:v>
                </c:pt>
                <c:pt idx="4">
                  <c:v>1016</c:v>
                </c:pt>
                <c:pt idx="5">
                  <c:v>1047</c:v>
                </c:pt>
                <c:pt idx="6">
                  <c:v>1104</c:v>
                </c:pt>
                <c:pt idx="7">
                  <c:v>449</c:v>
                </c:pt>
                <c:pt idx="8">
                  <c:v>715</c:v>
                </c:pt>
                <c:pt idx="9">
                  <c:v>1652</c:v>
                </c:pt>
                <c:pt idx="10">
                  <c:v>715</c:v>
                </c:pt>
                <c:pt idx="11">
                  <c:v>385</c:v>
                </c:pt>
                <c:pt idx="12">
                  <c:v>255</c:v>
                </c:pt>
                <c:pt idx="13">
                  <c:v>1115</c:v>
                </c:pt>
                <c:pt idx="14">
                  <c:v>275</c:v>
                </c:pt>
                <c:pt idx="15">
                  <c:v>1432</c:v>
                </c:pt>
                <c:pt idx="16">
                  <c:v>1804</c:v>
                </c:pt>
                <c:pt idx="17">
                  <c:v>605</c:v>
                </c:pt>
                <c:pt idx="18">
                  <c:v>2407</c:v>
                </c:pt>
                <c:pt idx="19">
                  <c:v>275</c:v>
                </c:pt>
                <c:pt idx="20">
                  <c:v>2939</c:v>
                </c:pt>
                <c:pt idx="21">
                  <c:v>1089</c:v>
                </c:pt>
                <c:pt idx="22">
                  <c:v>4642</c:v>
                </c:pt>
              </c:numCache>
            </c:numRef>
          </c:val>
        </c:ser>
        <c:ser>
          <c:idx val="3"/>
          <c:order val="3"/>
          <c:tx>
            <c:strRef>
              <c:f>TNPE!$F$3</c:f>
              <c:strCache>
                <c:ptCount val="1"/>
                <c:pt idx="0">
                  <c:v>American TNPE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TNPE!$F$5:$F$27</c:f>
              <c:numCache>
                <c:formatCode>General</c:formatCode>
                <c:ptCount val="23"/>
                <c:pt idx="0">
                  <c:v>31376</c:v>
                </c:pt>
                <c:pt idx="1">
                  <c:v>4516</c:v>
                </c:pt>
                <c:pt idx="2">
                  <c:v>6681</c:v>
                </c:pt>
                <c:pt idx="3">
                  <c:v>52825</c:v>
                </c:pt>
                <c:pt idx="4">
                  <c:v>43475</c:v>
                </c:pt>
                <c:pt idx="5">
                  <c:v>44792</c:v>
                </c:pt>
                <c:pt idx="6">
                  <c:v>47239</c:v>
                </c:pt>
                <c:pt idx="7">
                  <c:v>19196</c:v>
                </c:pt>
                <c:pt idx="8">
                  <c:v>30583</c:v>
                </c:pt>
                <c:pt idx="9">
                  <c:v>70669</c:v>
                </c:pt>
                <c:pt idx="10">
                  <c:v>30583</c:v>
                </c:pt>
                <c:pt idx="11">
                  <c:v>16467</c:v>
                </c:pt>
                <c:pt idx="12">
                  <c:v>10916</c:v>
                </c:pt>
                <c:pt idx="13">
                  <c:v>47709</c:v>
                </c:pt>
                <c:pt idx="14">
                  <c:v>11763</c:v>
                </c:pt>
                <c:pt idx="15">
                  <c:v>61259</c:v>
                </c:pt>
                <c:pt idx="16">
                  <c:v>61369</c:v>
                </c:pt>
                <c:pt idx="17">
                  <c:v>25877</c:v>
                </c:pt>
                <c:pt idx="18">
                  <c:v>102945</c:v>
                </c:pt>
                <c:pt idx="19">
                  <c:v>11763</c:v>
                </c:pt>
                <c:pt idx="20">
                  <c:v>90279</c:v>
                </c:pt>
                <c:pt idx="21">
                  <c:v>46579</c:v>
                </c:pt>
                <c:pt idx="22">
                  <c:v>198551</c:v>
                </c:pt>
              </c:numCache>
            </c:numRef>
          </c:val>
        </c:ser>
        <c:gapWidth val="100"/>
        <c:overlap val="0"/>
        <c:axId val="14916203"/>
        <c:axId val="37336487"/>
      </c:barChart>
      <c:catAx>
        <c:axId val="1491620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335591618087"/>
              <c:y val="0.4777783246382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336487"/>
        <c:crosses val="autoZero"/>
        <c:auto val="1"/>
        <c:lblAlgn val="ctr"/>
        <c:lblOffset val="100"/>
        <c:noMultiLvlLbl val="0"/>
      </c:catAx>
      <c:valAx>
        <c:axId val="37336487"/>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Total Nonfarm Payroll Employment</a:t>
                </a:r>
              </a:p>
            </c:rich>
          </c:tx>
          <c:layout>
            <c:manualLayout>
              <c:xMode val="edge"/>
              <c:yMode val="edge"/>
              <c:x val="0.4304001890657"/>
              <c:y val="0.96909144600846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916203"/>
        <c:crosses val="max"/>
        <c:crossBetween val="midCat"/>
      </c:valAx>
      <c:spPr>
        <a:noFill/>
        <a:ln w="0">
          <a:solidFill>
            <a:srgbClr val="b3b3b3"/>
          </a:solidFill>
        </a:ln>
      </c:spPr>
    </c:plotArea>
    <c:legend>
      <c:legendPos val="r"/>
      <c:layout>
        <c:manualLayout>
          <c:xMode val="edge"/>
          <c:yMode val="edge"/>
          <c:x val="0.106214555765595"/>
          <c:y val="0.0418071310809813"/>
          <c:w val="0.784963175928479"/>
          <c:h val="0.024952015355086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712710663097"/>
          <c:y val="0.0107294025002461"/>
        </c:manualLayout>
      </c:layout>
      <c:overlay val="0"/>
      <c:spPr>
        <a:noFill/>
        <a:ln w="0">
          <a:noFill/>
        </a:ln>
      </c:spPr>
    </c:title>
    <c:autoTitleDeleted val="0"/>
    <c:plotArea>
      <c:layout>
        <c:manualLayout>
          <c:layoutTarget val="inner"/>
          <c:xMode val="edge"/>
          <c:yMode val="edge"/>
          <c:x val="0.25"/>
          <c:y val="0.0843833054434492"/>
          <c:w val="0.649944873208379"/>
          <c:h val="0.853061324933557"/>
        </c:manualLayout>
      </c:layout>
      <c:barChart>
        <c:barDir val="bar"/>
        <c:grouping val="clustered"/>
        <c:varyColors val="0"/>
        <c:ser>
          <c:idx val="0"/>
          <c:order val="0"/>
          <c:tx>
            <c:strRef>
              <c:f>ETPR!$C$3</c:f>
              <c:strCache>
                <c:ptCount val="1"/>
                <c:pt idx="0">
                  <c:v>Overall 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ETPR!$C$5:$C$27</c:f>
              <c:numCache>
                <c:formatCode>General</c:formatCode>
                <c:ptCount val="23"/>
                <c:pt idx="0">
                  <c:v>0.61</c:v>
                </c:pt>
                <c:pt idx="1">
                  <c:v>0.68</c:v>
                </c:pt>
                <c:pt idx="2">
                  <c:v>0.78</c:v>
                </c:pt>
                <c:pt idx="3">
                  <c:v>0.72</c:v>
                </c:pt>
                <c:pt idx="4">
                  <c:v>0.62</c:v>
                </c:pt>
                <c:pt idx="5">
                  <c:v>0.64</c:v>
                </c:pt>
                <c:pt idx="6">
                  <c:v>0.7</c:v>
                </c:pt>
                <c:pt idx="7">
                  <c:v>0.68</c:v>
                </c:pt>
                <c:pt idx="8">
                  <c:v>0.58</c:v>
                </c:pt>
                <c:pt idx="9">
                  <c:v>0.56</c:v>
                </c:pt>
                <c:pt idx="10">
                  <c:v>0.65</c:v>
                </c:pt>
                <c:pt idx="11">
                  <c:v>0.63</c:v>
                </c:pt>
                <c:pt idx="12">
                  <c:v>0.74</c:v>
                </c:pt>
                <c:pt idx="13">
                  <c:v>0.78</c:v>
                </c:pt>
                <c:pt idx="14">
                  <c:v>0.68</c:v>
                </c:pt>
                <c:pt idx="15">
                  <c:v>0.76</c:v>
                </c:pt>
                <c:pt idx="16">
                  <c:v>0.59</c:v>
                </c:pt>
                <c:pt idx="17">
                  <c:v>0.72</c:v>
                </c:pt>
                <c:pt idx="18">
                  <c:v>0.74</c:v>
                </c:pt>
                <c:pt idx="19">
                  <c:v>0.55</c:v>
                </c:pt>
                <c:pt idx="20">
                  <c:v>0.52</c:v>
                </c:pt>
                <c:pt idx="21">
                  <c:v>0.6</c:v>
                </c:pt>
                <c:pt idx="22">
                  <c:v>0.82</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ETPR!$D$5:$D$27</c:f>
              <c:numCache>
                <c:formatCode>General</c:formatCode>
                <c:ptCount val="23"/>
                <c:pt idx="0">
                  <c:v>0.62</c:v>
                </c:pt>
                <c:pt idx="1">
                  <c:v>0.67</c:v>
                </c:pt>
                <c:pt idx="2">
                  <c:v>0.77</c:v>
                </c:pt>
                <c:pt idx="3">
                  <c:v>0.71</c:v>
                </c:pt>
                <c:pt idx="4">
                  <c:v>0.61</c:v>
                </c:pt>
                <c:pt idx="5">
                  <c:v>0.63</c:v>
                </c:pt>
                <c:pt idx="6">
                  <c:v>0.69</c:v>
                </c:pt>
                <c:pt idx="7">
                  <c:v>0.67</c:v>
                </c:pt>
                <c:pt idx="8">
                  <c:v>0.57</c:v>
                </c:pt>
                <c:pt idx="9">
                  <c:v>0.55</c:v>
                </c:pt>
                <c:pt idx="10">
                  <c:v>0.64</c:v>
                </c:pt>
                <c:pt idx="11">
                  <c:v>0.62</c:v>
                </c:pt>
                <c:pt idx="12">
                  <c:v>0.73</c:v>
                </c:pt>
                <c:pt idx="13">
                  <c:v>0.77</c:v>
                </c:pt>
                <c:pt idx="14">
                  <c:v>0.67</c:v>
                </c:pt>
                <c:pt idx="15">
                  <c:v>0.75</c:v>
                </c:pt>
                <c:pt idx="16">
                  <c:v>0.58</c:v>
                </c:pt>
                <c:pt idx="17">
                  <c:v>0.71</c:v>
                </c:pt>
                <c:pt idx="18">
                  <c:v>0.73</c:v>
                </c:pt>
                <c:pt idx="19">
                  <c:v>0.54</c:v>
                </c:pt>
                <c:pt idx="20">
                  <c:v>0.51</c:v>
                </c:pt>
                <c:pt idx="21">
                  <c:v>0.59</c:v>
                </c:pt>
                <c:pt idx="22">
                  <c:v>0.81</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ETPR!$E$5:$E$27</c:f>
              <c:numCache>
                <c:formatCode>General</c:formatCode>
                <c:ptCount val="23"/>
                <c:pt idx="0">
                  <c:v>0.68</c:v>
                </c:pt>
                <c:pt idx="1">
                  <c:v>0.71</c:v>
                </c:pt>
                <c:pt idx="2">
                  <c:v>0.8</c:v>
                </c:pt>
                <c:pt idx="3">
                  <c:v>0.78</c:v>
                </c:pt>
                <c:pt idx="4">
                  <c:v>0.66</c:v>
                </c:pt>
                <c:pt idx="5">
                  <c:v>0.68</c:v>
                </c:pt>
                <c:pt idx="6">
                  <c:v>0.74</c:v>
                </c:pt>
                <c:pt idx="7">
                  <c:v>0.71</c:v>
                </c:pt>
                <c:pt idx="8">
                  <c:v>0.62</c:v>
                </c:pt>
                <c:pt idx="9">
                  <c:v>0.6</c:v>
                </c:pt>
                <c:pt idx="10">
                  <c:v>0.69</c:v>
                </c:pt>
                <c:pt idx="11">
                  <c:v>0.67</c:v>
                </c:pt>
                <c:pt idx="12">
                  <c:v>0.77</c:v>
                </c:pt>
                <c:pt idx="13">
                  <c:v>0.8</c:v>
                </c:pt>
                <c:pt idx="14">
                  <c:v>0.71</c:v>
                </c:pt>
                <c:pt idx="15">
                  <c:v>0.78</c:v>
                </c:pt>
                <c:pt idx="16">
                  <c:v>0.64</c:v>
                </c:pt>
                <c:pt idx="17">
                  <c:v>0.74</c:v>
                </c:pt>
                <c:pt idx="18">
                  <c:v>0.76</c:v>
                </c:pt>
                <c:pt idx="19">
                  <c:v>0.59</c:v>
                </c:pt>
                <c:pt idx="20">
                  <c:v>0.57</c:v>
                </c:pt>
                <c:pt idx="21">
                  <c:v>0.64</c:v>
                </c:pt>
                <c:pt idx="22">
                  <c:v>0.83</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ETPR!$F$5:$F$27</c:f>
              <c:numCache>
                <c:formatCode>General</c:formatCode>
                <c:ptCount val="23"/>
                <c:pt idx="0">
                  <c:v>0.605</c:v>
                </c:pt>
                <c:pt idx="1">
                  <c:v>0.682</c:v>
                </c:pt>
                <c:pt idx="2">
                  <c:v>0.781</c:v>
                </c:pt>
                <c:pt idx="3">
                  <c:v>0.718</c:v>
                </c:pt>
                <c:pt idx="4">
                  <c:v>0.621</c:v>
                </c:pt>
                <c:pt idx="5">
                  <c:v>0.641</c:v>
                </c:pt>
                <c:pt idx="6">
                  <c:v>0.701</c:v>
                </c:pt>
                <c:pt idx="7">
                  <c:v>0.681</c:v>
                </c:pt>
                <c:pt idx="8">
                  <c:v>0.581</c:v>
                </c:pt>
                <c:pt idx="9">
                  <c:v>0.561</c:v>
                </c:pt>
                <c:pt idx="10">
                  <c:v>0.651</c:v>
                </c:pt>
                <c:pt idx="11">
                  <c:v>0.631</c:v>
                </c:pt>
                <c:pt idx="12">
                  <c:v>0.741</c:v>
                </c:pt>
                <c:pt idx="13">
                  <c:v>0.781</c:v>
                </c:pt>
                <c:pt idx="14">
                  <c:v>0.681</c:v>
                </c:pt>
                <c:pt idx="15">
                  <c:v>0.761</c:v>
                </c:pt>
                <c:pt idx="16">
                  <c:v>0.591</c:v>
                </c:pt>
                <c:pt idx="17">
                  <c:v>0.721</c:v>
                </c:pt>
                <c:pt idx="18">
                  <c:v>0.741</c:v>
                </c:pt>
                <c:pt idx="19">
                  <c:v>0.551</c:v>
                </c:pt>
                <c:pt idx="20">
                  <c:v>0.521</c:v>
                </c:pt>
                <c:pt idx="21">
                  <c:v>0.601</c:v>
                </c:pt>
                <c:pt idx="22">
                  <c:v>0.821</c:v>
                </c:pt>
              </c:numCache>
            </c:numRef>
          </c:val>
        </c:ser>
        <c:gapWidth val="100"/>
        <c:overlap val="0"/>
        <c:axId val="35479117"/>
        <c:axId val="74286076"/>
      </c:barChart>
      <c:catAx>
        <c:axId val="3547911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69333753347"/>
              <c:y val="0.4778275420809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286076"/>
        <c:crossesAt val="0"/>
        <c:auto val="1"/>
        <c:lblAlgn val="ctr"/>
        <c:lblOffset val="100"/>
        <c:noMultiLvlLbl val="0"/>
      </c:catAx>
      <c:valAx>
        <c:axId val="742860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669239250276"/>
              <c:y val="0.96909144600846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479117"/>
        <c:crosses val="max"/>
        <c:crossBetween val="midCat"/>
      </c:valAx>
      <c:spPr>
        <a:noFill/>
        <a:ln w="0">
          <a:solidFill>
            <a:srgbClr val="b3b3b3"/>
          </a:solidFill>
        </a:ln>
      </c:spPr>
    </c:plotArea>
    <c:legend>
      <c:legendPos val="r"/>
      <c:layout>
        <c:manualLayout>
          <c:xMode val="edge"/>
          <c:yMode val="edge"/>
          <c:x val="0.105008268367588"/>
          <c:y val="0.0406269993602047"/>
          <c:w val="0.785022442712025"/>
          <c:h val="0.024976622865298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08661417323"/>
          <c:y val="0.0105074068605738"/>
        </c:manualLayout>
      </c:layout>
      <c:overlay val="0"/>
      <c:spPr>
        <a:noFill/>
        <a:ln w="0">
          <a:noFill/>
        </a:ln>
      </c:spPr>
    </c:title>
    <c:autoTitleDeleted val="0"/>
    <c:plotArea>
      <c:layout>
        <c:manualLayout>
          <c:layoutTarget val="inner"/>
          <c:xMode val="edge"/>
          <c:yMode val="edge"/>
          <c:x val="0.25"/>
          <c:y val="0.0843791525173483"/>
          <c:w val="0.64992125984252"/>
          <c:h val="0.853019341503027"/>
        </c:manualLayout>
      </c:layout>
      <c:barChart>
        <c:barDir val="bar"/>
        <c:grouping val="clustered"/>
        <c:varyColors val="0"/>
        <c:ser>
          <c:idx val="0"/>
          <c:order val="0"/>
          <c:tx>
            <c:strRef>
              <c:f>LFPR!$C$3</c:f>
              <c:strCache>
                <c:ptCount val="1"/>
                <c:pt idx="0">
                  <c:v>Overall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LFPR!$C$5:$C$27</c:f>
              <c:numCache>
                <c:formatCode>General</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ser>
          <c:idx val="1"/>
          <c:order val="1"/>
          <c:tx>
            <c:strRef>
              <c:f>LFPR!$D$3</c:f>
              <c:strCache>
                <c:ptCount val="1"/>
                <c:pt idx="0">
                  <c:v>Authorized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LFPR!$D$5:$D$27</c:f>
              <c:numCache>
                <c:formatCode>General</c:formatCode>
                <c:ptCount val="23"/>
                <c:pt idx="0">
                  <c:v>0.4</c:v>
                </c:pt>
                <c:pt idx="1">
                  <c:v>0.415</c:v>
                </c:pt>
                <c:pt idx="2">
                  <c:v>0.41</c:v>
                </c:pt>
                <c:pt idx="3">
                  <c:v>0.4</c:v>
                </c:pt>
                <c:pt idx="4">
                  <c:v>0.405</c:v>
                </c:pt>
                <c:pt idx="5">
                  <c:v>0.405</c:v>
                </c:pt>
                <c:pt idx="6">
                  <c:v>0.405</c:v>
                </c:pt>
                <c:pt idx="7">
                  <c:v>0.41</c:v>
                </c:pt>
                <c:pt idx="8">
                  <c:v>0.41</c:v>
                </c:pt>
                <c:pt idx="9">
                  <c:v>0.41</c:v>
                </c:pt>
                <c:pt idx="10">
                  <c:v>0.41</c:v>
                </c:pt>
                <c:pt idx="11">
                  <c:v>0.41</c:v>
                </c:pt>
                <c:pt idx="12">
                  <c:v>0.415</c:v>
                </c:pt>
                <c:pt idx="13">
                  <c:v>0.42</c:v>
                </c:pt>
                <c:pt idx="14">
                  <c:v>0.415</c:v>
                </c:pt>
                <c:pt idx="15">
                  <c:v>0.42</c:v>
                </c:pt>
                <c:pt idx="16">
                  <c:v>0.405</c:v>
                </c:pt>
                <c:pt idx="17">
                  <c:v>0.42</c:v>
                </c:pt>
                <c:pt idx="18">
                  <c:v>0.42</c:v>
                </c:pt>
                <c:pt idx="19">
                  <c:v>0.405</c:v>
                </c:pt>
                <c:pt idx="20">
                  <c:v>0.4</c:v>
                </c:pt>
                <c:pt idx="21">
                  <c:v>0.405</c:v>
                </c:pt>
                <c:pt idx="22">
                  <c:v>0.42</c:v>
                </c:pt>
              </c:numCache>
            </c:numRef>
          </c:val>
        </c:ser>
        <c:ser>
          <c:idx val="2"/>
          <c:order val="2"/>
          <c:tx>
            <c:strRef>
              <c:f>LFPR!$E$3</c:f>
              <c:strCache>
                <c:ptCount val="1"/>
                <c:pt idx="0">
                  <c:v>Unauthorized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LFPR!$E$5:$E$27</c:f>
              <c:numCache>
                <c:formatCode>General</c:formatCode>
                <c:ptCount val="23"/>
                <c:pt idx="0">
                  <c:v>0.7</c:v>
                </c:pt>
                <c:pt idx="1">
                  <c:v>0.65</c:v>
                </c:pt>
                <c:pt idx="2">
                  <c:v>0.62</c:v>
                </c:pt>
                <c:pt idx="3">
                  <c:v>0.7</c:v>
                </c:pt>
                <c:pt idx="4">
                  <c:v>0.66</c:v>
                </c:pt>
                <c:pt idx="5">
                  <c:v>0.66</c:v>
                </c:pt>
                <c:pt idx="6">
                  <c:v>0.66</c:v>
                </c:pt>
                <c:pt idx="7">
                  <c:v>0.64</c:v>
                </c:pt>
                <c:pt idx="8">
                  <c:v>0.64</c:v>
                </c:pt>
                <c:pt idx="9">
                  <c:v>0.64</c:v>
                </c:pt>
                <c:pt idx="10">
                  <c:v>0.64</c:v>
                </c:pt>
                <c:pt idx="11">
                  <c:v>0.64</c:v>
                </c:pt>
                <c:pt idx="12">
                  <c:v>0.6</c:v>
                </c:pt>
                <c:pt idx="13">
                  <c:v>0.52</c:v>
                </c:pt>
                <c:pt idx="14">
                  <c:v>0.6</c:v>
                </c:pt>
                <c:pt idx="15">
                  <c:v>0.56</c:v>
                </c:pt>
                <c:pt idx="16">
                  <c:v>0.67</c:v>
                </c:pt>
                <c:pt idx="17">
                  <c:v>0.56</c:v>
                </c:pt>
                <c:pt idx="18">
                  <c:v>0.56</c:v>
                </c:pt>
                <c:pt idx="19">
                  <c:v>0.67</c:v>
                </c:pt>
                <c:pt idx="20">
                  <c:v>0.7</c:v>
                </c:pt>
                <c:pt idx="21">
                  <c:v>0.67</c:v>
                </c:pt>
                <c:pt idx="22">
                  <c:v>0.5</c:v>
                </c:pt>
              </c:numCache>
            </c:numRef>
          </c:val>
        </c:ser>
        <c:ser>
          <c:idx val="3"/>
          <c:order val="3"/>
          <c:tx>
            <c:strRef>
              <c:f>LFPR!$F$3</c:f>
              <c:strCache>
                <c:ptCount val="1"/>
                <c:pt idx="0">
                  <c:v>American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LFPR!$F$5:$F$27</c:f>
              <c:numCache>
                <c:formatCode>General</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gapWidth val="100"/>
        <c:overlap val="0"/>
        <c:axId val="6479718"/>
        <c:axId val="32409602"/>
      </c:barChart>
      <c:catAx>
        <c:axId val="647971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629921259843"/>
              <c:y val="0.47775481076824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409602"/>
        <c:crosses val="autoZero"/>
        <c:auto val="1"/>
        <c:lblAlgn val="ctr"/>
        <c:lblOffset val="100"/>
        <c:noMultiLvlLbl val="0"/>
      </c:catAx>
      <c:valAx>
        <c:axId val="3240960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55905511811"/>
              <c:y val="0.96909296717358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79718"/>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4563351445"/>
          <c:y val="0.0105074068605738"/>
        </c:manualLayout>
      </c:layout>
      <c:overlay val="0"/>
      <c:spPr>
        <a:noFill/>
        <a:ln w="0">
          <a:noFill/>
        </a:ln>
      </c:spPr>
    </c:title>
    <c:autoTitleDeleted val="0"/>
    <c:plotArea>
      <c:layout>
        <c:manualLayout>
          <c:layoutTarget val="inner"/>
          <c:xMode val="edge"/>
          <c:yMode val="edge"/>
          <c:x val="0.249980313410505"/>
          <c:y val="0.0843791525173483"/>
          <c:w val="0.649893692416726"/>
          <c:h val="0.853019341503027"/>
        </c:manualLayout>
      </c:layout>
      <c:barChart>
        <c:barDir val="bar"/>
        <c:grouping val="clustered"/>
        <c:varyColors val="0"/>
        <c:ser>
          <c:idx val="0"/>
          <c:order val="0"/>
          <c:tx>
            <c:strRef>
              <c:f>U3R!$C$3</c:f>
              <c:strCache>
                <c:ptCount val="1"/>
                <c:pt idx="0">
                  <c:v>Overall U3R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U3R!$C$5:$C$27</c:f>
              <c:numCache>
                <c:formatCode>General</c:formatCode>
                <c:ptCount val="23"/>
                <c:pt idx="0">
                  <c:v>0.045</c:v>
                </c:pt>
                <c:pt idx="1">
                  <c:v>0.038</c:v>
                </c:pt>
                <c:pt idx="2">
                  <c:v>0.018</c:v>
                </c:pt>
                <c:pt idx="3">
                  <c:v>0.052</c:v>
                </c:pt>
                <c:pt idx="4">
                  <c:v>0.035</c:v>
                </c:pt>
                <c:pt idx="5">
                  <c:v>0.035</c:v>
                </c:pt>
                <c:pt idx="6">
                  <c:v>0.035</c:v>
                </c:pt>
                <c:pt idx="7">
                  <c:v>0.032</c:v>
                </c:pt>
                <c:pt idx="8">
                  <c:v>0.04</c:v>
                </c:pt>
                <c:pt idx="9">
                  <c:v>0.04</c:v>
                </c:pt>
                <c:pt idx="10">
                  <c:v>0.038</c:v>
                </c:pt>
                <c:pt idx="11">
                  <c:v>0.038</c:v>
                </c:pt>
                <c:pt idx="12">
                  <c:v>0.028</c:v>
                </c:pt>
                <c:pt idx="13">
                  <c:v>0.022</c:v>
                </c:pt>
                <c:pt idx="14">
                  <c:v>0.03</c:v>
                </c:pt>
                <c:pt idx="15">
                  <c:v>0.025</c:v>
                </c:pt>
                <c:pt idx="16">
                  <c:v>0.045</c:v>
                </c:pt>
                <c:pt idx="17">
                  <c:v>0.025</c:v>
                </c:pt>
                <c:pt idx="18">
                  <c:v>0.025</c:v>
                </c:pt>
                <c:pt idx="19">
                  <c:v>0.045</c:v>
                </c:pt>
                <c:pt idx="20">
                  <c:v>0.065</c:v>
                </c:pt>
                <c:pt idx="21">
                  <c:v>0.04</c:v>
                </c:pt>
                <c:pt idx="22">
                  <c:v>0.018</c:v>
                </c:pt>
              </c:numCache>
            </c:numRef>
          </c:val>
        </c:ser>
        <c:ser>
          <c:idx val="1"/>
          <c:order val="1"/>
          <c:tx>
            <c:strRef>
              <c:f>U3R!$D$3</c:f>
              <c:strCache>
                <c:ptCount val="1"/>
                <c:pt idx="0">
                  <c:v>Authorized U3R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U3R!$D$5:$D$27</c:f>
              <c:numCache>
                <c:formatCode>General</c:formatCode>
                <c:ptCount val="23"/>
                <c:pt idx="0">
                  <c:v>0.048</c:v>
                </c:pt>
                <c:pt idx="1">
                  <c:v>0.04</c:v>
                </c:pt>
                <c:pt idx="2">
                  <c:v>0.019</c:v>
                </c:pt>
                <c:pt idx="3">
                  <c:v>0.056</c:v>
                </c:pt>
                <c:pt idx="4">
                  <c:v>0.038</c:v>
                </c:pt>
                <c:pt idx="5">
                  <c:v>0.038</c:v>
                </c:pt>
                <c:pt idx="6">
                  <c:v>0.038</c:v>
                </c:pt>
                <c:pt idx="7">
                  <c:v>0.034</c:v>
                </c:pt>
                <c:pt idx="8">
                  <c:v>0.043</c:v>
                </c:pt>
                <c:pt idx="9">
                  <c:v>0.043</c:v>
                </c:pt>
                <c:pt idx="10">
                  <c:v>0.041</c:v>
                </c:pt>
                <c:pt idx="11">
                  <c:v>0.041</c:v>
                </c:pt>
                <c:pt idx="12">
                  <c:v>0.03</c:v>
                </c:pt>
                <c:pt idx="13">
                  <c:v>0.024</c:v>
                </c:pt>
                <c:pt idx="14">
                  <c:v>0.032</c:v>
                </c:pt>
                <c:pt idx="15">
                  <c:v>0.027</c:v>
                </c:pt>
                <c:pt idx="16">
                  <c:v>0.048</c:v>
                </c:pt>
                <c:pt idx="17">
                  <c:v>0.027</c:v>
                </c:pt>
                <c:pt idx="18">
                  <c:v>0.027</c:v>
                </c:pt>
                <c:pt idx="19">
                  <c:v>0.048</c:v>
                </c:pt>
                <c:pt idx="20">
                  <c:v>0.07</c:v>
                </c:pt>
                <c:pt idx="21">
                  <c:v>0.043</c:v>
                </c:pt>
                <c:pt idx="22">
                  <c:v>0.019</c:v>
                </c:pt>
              </c:numCache>
            </c:numRef>
          </c:val>
        </c:ser>
        <c:ser>
          <c:idx val="2"/>
          <c:order val="2"/>
          <c:tx>
            <c:strRef>
              <c:f>U3R!$E$3</c:f>
              <c:strCache>
                <c:ptCount val="1"/>
                <c:pt idx="0">
                  <c:v>Unauthorized U3R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U3R!$E$5:$E$27</c:f>
              <c:numCache>
                <c:formatCode>General</c:formatCode>
                <c:ptCount val="23"/>
                <c:pt idx="0">
                  <c:v>0.062</c:v>
                </c:pt>
                <c:pt idx="1">
                  <c:v>0.052</c:v>
                </c:pt>
                <c:pt idx="2">
                  <c:v>0.022</c:v>
                </c:pt>
                <c:pt idx="3">
                  <c:v>0.075</c:v>
                </c:pt>
                <c:pt idx="4">
                  <c:v>0.048</c:v>
                </c:pt>
                <c:pt idx="5">
                  <c:v>0.048</c:v>
                </c:pt>
                <c:pt idx="6">
                  <c:v>0.048</c:v>
                </c:pt>
                <c:pt idx="7">
                  <c:v>0.042</c:v>
                </c:pt>
                <c:pt idx="8">
                  <c:v>0.055</c:v>
                </c:pt>
                <c:pt idx="9">
                  <c:v>0.055</c:v>
                </c:pt>
                <c:pt idx="10">
                  <c:v>0.052</c:v>
                </c:pt>
                <c:pt idx="11">
                  <c:v>0.052</c:v>
                </c:pt>
                <c:pt idx="12">
                  <c:v>0.035</c:v>
                </c:pt>
                <c:pt idx="13">
                  <c:v>0.028</c:v>
                </c:pt>
                <c:pt idx="14">
                  <c:v>0.038</c:v>
                </c:pt>
                <c:pt idx="15">
                  <c:v>0.032</c:v>
                </c:pt>
                <c:pt idx="16">
                  <c:v>0.062</c:v>
                </c:pt>
                <c:pt idx="17">
                  <c:v>0.032</c:v>
                </c:pt>
                <c:pt idx="18">
                  <c:v>0.032</c:v>
                </c:pt>
                <c:pt idx="19">
                  <c:v>0.062</c:v>
                </c:pt>
                <c:pt idx="20">
                  <c:v>0.09</c:v>
                </c:pt>
                <c:pt idx="21">
                  <c:v>0.055</c:v>
                </c:pt>
                <c:pt idx="22">
                  <c:v>0.022</c:v>
                </c:pt>
              </c:numCache>
            </c:numRef>
          </c:val>
        </c:ser>
        <c:ser>
          <c:idx val="3"/>
          <c:order val="3"/>
          <c:tx>
            <c:strRef>
              <c:f>U3R!$F$3</c:f>
              <c:strCache>
                <c:ptCount val="1"/>
                <c:pt idx="0">
                  <c:v>American U3R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U3R!$F$5:$F$27</c:f>
              <c:numCache>
                <c:formatCode>General</c:formatCode>
                <c:ptCount val="23"/>
                <c:pt idx="0">
                  <c:v>0.042</c:v>
                </c:pt>
                <c:pt idx="1">
                  <c:v>0.036</c:v>
                </c:pt>
                <c:pt idx="2">
                  <c:v>0.018</c:v>
                </c:pt>
                <c:pt idx="3">
                  <c:v>0.048</c:v>
                </c:pt>
                <c:pt idx="4">
                  <c:v>0.034</c:v>
                </c:pt>
                <c:pt idx="5">
                  <c:v>0.034</c:v>
                </c:pt>
                <c:pt idx="6">
                  <c:v>0.034</c:v>
                </c:pt>
                <c:pt idx="7">
                  <c:v>0.031</c:v>
                </c:pt>
                <c:pt idx="8">
                  <c:v>0.038</c:v>
                </c:pt>
                <c:pt idx="9">
                  <c:v>0.038</c:v>
                </c:pt>
                <c:pt idx="10">
                  <c:v>0.036</c:v>
                </c:pt>
                <c:pt idx="11">
                  <c:v>0.036</c:v>
                </c:pt>
                <c:pt idx="12">
                  <c:v>0.027</c:v>
                </c:pt>
                <c:pt idx="13">
                  <c:v>0.021</c:v>
                </c:pt>
                <c:pt idx="14">
                  <c:v>0.029</c:v>
                </c:pt>
                <c:pt idx="15">
                  <c:v>0.024</c:v>
                </c:pt>
                <c:pt idx="16">
                  <c:v>0.043</c:v>
                </c:pt>
                <c:pt idx="17">
                  <c:v>0.024</c:v>
                </c:pt>
                <c:pt idx="18">
                  <c:v>0.024</c:v>
                </c:pt>
                <c:pt idx="19">
                  <c:v>0.043</c:v>
                </c:pt>
                <c:pt idx="20">
                  <c:v>0.062</c:v>
                </c:pt>
                <c:pt idx="21">
                  <c:v>0.038</c:v>
                </c:pt>
                <c:pt idx="22">
                  <c:v>0.018</c:v>
                </c:pt>
              </c:numCache>
            </c:numRef>
          </c:val>
        </c:ser>
        <c:gapWidth val="100"/>
        <c:overlap val="0"/>
        <c:axId val="55695863"/>
        <c:axId val="99166413"/>
      </c:barChart>
      <c:catAx>
        <c:axId val="5569586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52775809119"/>
              <c:y val="0.47773020325803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166413"/>
        <c:crosses val="autoZero"/>
        <c:auto val="1"/>
        <c:lblAlgn val="ctr"/>
        <c:lblOffset val="100"/>
        <c:noMultiLvlLbl val="0"/>
      </c:catAx>
      <c:valAx>
        <c:axId val="991664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593117568313"/>
              <c:y val="0.96909296717358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695863"/>
        <c:crosses val="max"/>
        <c:crossBetween val="midCat"/>
        <c:majorUnit val="0.01"/>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79825183085282"/>
          <c:y val="0.0105074068605738"/>
        </c:manualLayout>
      </c:layout>
      <c:overlay val="0"/>
      <c:spPr>
        <a:noFill/>
        <a:ln w="0">
          <a:noFill/>
        </a:ln>
      </c:spPr>
    </c:title>
    <c:autoTitleDeleted val="0"/>
    <c:plotArea>
      <c:layout>
        <c:manualLayout>
          <c:layoutTarget val="inner"/>
          <c:xMode val="edge"/>
          <c:yMode val="edge"/>
          <c:x val="0.249980313410505"/>
          <c:y val="0.0843791525173483"/>
          <c:w val="0.649893692416726"/>
          <c:h val="0.852994733992815"/>
        </c:manualLayout>
      </c:layout>
      <c:barChart>
        <c:barDir val="bar"/>
        <c:grouping val="clustered"/>
        <c:varyColors val="0"/>
        <c:ser>
          <c:idx val="0"/>
          <c:order val="0"/>
          <c:tx>
            <c:strRef>
              <c:f>U6R!$C$3</c:f>
              <c:strCache>
                <c:ptCount val="1"/>
                <c:pt idx="0">
                  <c:v>Overall U6R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U6R!$C$5:$C$27</c:f>
              <c:numCache>
                <c:formatCode>General</c:formatCode>
                <c:ptCount val="23"/>
                <c:pt idx="0">
                  <c:v>0.072</c:v>
                </c:pt>
                <c:pt idx="1">
                  <c:v>0.061</c:v>
                </c:pt>
                <c:pt idx="2">
                  <c:v>0.027</c:v>
                </c:pt>
                <c:pt idx="3">
                  <c:v>0.085</c:v>
                </c:pt>
                <c:pt idx="4">
                  <c:v>0.058</c:v>
                </c:pt>
                <c:pt idx="5">
                  <c:v>0.058</c:v>
                </c:pt>
                <c:pt idx="6">
                  <c:v>0.058</c:v>
                </c:pt>
                <c:pt idx="7">
                  <c:v>0.053</c:v>
                </c:pt>
                <c:pt idx="8">
                  <c:v>0.067</c:v>
                </c:pt>
                <c:pt idx="9">
                  <c:v>0.067</c:v>
                </c:pt>
                <c:pt idx="10">
                  <c:v>0.063</c:v>
                </c:pt>
                <c:pt idx="11">
                  <c:v>0.063</c:v>
                </c:pt>
                <c:pt idx="12">
                  <c:v>0.047</c:v>
                </c:pt>
                <c:pt idx="13">
                  <c:v>0.037</c:v>
                </c:pt>
                <c:pt idx="14">
                  <c:v>0.05</c:v>
                </c:pt>
                <c:pt idx="15">
                  <c:v>0.042</c:v>
                </c:pt>
                <c:pt idx="16">
                  <c:v>0.075</c:v>
                </c:pt>
                <c:pt idx="17">
                  <c:v>0.042</c:v>
                </c:pt>
                <c:pt idx="18">
                  <c:v>0.042</c:v>
                </c:pt>
                <c:pt idx="19">
                  <c:v>0.075</c:v>
                </c:pt>
                <c:pt idx="20">
                  <c:v>0.108</c:v>
                </c:pt>
                <c:pt idx="21">
                  <c:v>0.067</c:v>
                </c:pt>
                <c:pt idx="22">
                  <c:v>0.03</c:v>
                </c:pt>
              </c:numCache>
            </c:numRef>
          </c:val>
        </c:ser>
        <c:ser>
          <c:idx val="1"/>
          <c:order val="1"/>
          <c:tx>
            <c:strRef>
              <c:f>U6R!$D$3</c:f>
              <c:strCache>
                <c:ptCount val="1"/>
                <c:pt idx="0">
                  <c:v>Authorized U6R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U6R!$D$5:$D$27</c:f>
              <c:numCache>
                <c:formatCode>General</c:formatCode>
                <c:ptCount val="23"/>
                <c:pt idx="0">
                  <c:v>0.077</c:v>
                </c:pt>
                <c:pt idx="1">
                  <c:v>0.065</c:v>
                </c:pt>
                <c:pt idx="2">
                  <c:v>0.029</c:v>
                </c:pt>
                <c:pt idx="3">
                  <c:v>0.091</c:v>
                </c:pt>
                <c:pt idx="4">
                  <c:v>0.062</c:v>
                </c:pt>
                <c:pt idx="5">
                  <c:v>0.062</c:v>
                </c:pt>
                <c:pt idx="6">
                  <c:v>0.062</c:v>
                </c:pt>
                <c:pt idx="7">
                  <c:v>0.057</c:v>
                </c:pt>
                <c:pt idx="8">
                  <c:v>0.072</c:v>
                </c:pt>
                <c:pt idx="9">
                  <c:v>0.072</c:v>
                </c:pt>
                <c:pt idx="10">
                  <c:v>0.068</c:v>
                </c:pt>
                <c:pt idx="11">
                  <c:v>0.068</c:v>
                </c:pt>
                <c:pt idx="12">
                  <c:v>0.05</c:v>
                </c:pt>
                <c:pt idx="13">
                  <c:v>0.04</c:v>
                </c:pt>
                <c:pt idx="14">
                  <c:v>0.054</c:v>
                </c:pt>
                <c:pt idx="15">
                  <c:v>0.045</c:v>
                </c:pt>
                <c:pt idx="16">
                  <c:v>0.08</c:v>
                </c:pt>
                <c:pt idx="17">
                  <c:v>0.045</c:v>
                </c:pt>
                <c:pt idx="18">
                  <c:v>0.045</c:v>
                </c:pt>
                <c:pt idx="19">
                  <c:v>0.08</c:v>
                </c:pt>
                <c:pt idx="20">
                  <c:v>0.116</c:v>
                </c:pt>
                <c:pt idx="21">
                  <c:v>0.072</c:v>
                </c:pt>
                <c:pt idx="22">
                  <c:v>0.032</c:v>
                </c:pt>
              </c:numCache>
            </c:numRef>
          </c:val>
        </c:ser>
        <c:ser>
          <c:idx val="2"/>
          <c:order val="2"/>
          <c:tx>
            <c:strRef>
              <c:f>U6R!$E$3</c:f>
              <c:strCache>
                <c:ptCount val="1"/>
                <c:pt idx="0">
                  <c:v>Unauthorized U6R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U6R!$E$5:$E$27</c:f>
              <c:numCache>
                <c:formatCode>General</c:formatCode>
                <c:ptCount val="23"/>
                <c:pt idx="0">
                  <c:v>0.098</c:v>
                </c:pt>
                <c:pt idx="1">
                  <c:v>0.083</c:v>
                </c:pt>
                <c:pt idx="2">
                  <c:v>0.033</c:v>
                </c:pt>
                <c:pt idx="3">
                  <c:v>0.12</c:v>
                </c:pt>
                <c:pt idx="4">
                  <c:v>0.08</c:v>
                </c:pt>
                <c:pt idx="5">
                  <c:v>0.08</c:v>
                </c:pt>
                <c:pt idx="6">
                  <c:v>0.08</c:v>
                </c:pt>
                <c:pt idx="7">
                  <c:v>0.07</c:v>
                </c:pt>
                <c:pt idx="8">
                  <c:v>0.092</c:v>
                </c:pt>
                <c:pt idx="9">
                  <c:v>0.092</c:v>
                </c:pt>
                <c:pt idx="10">
                  <c:v>0.087</c:v>
                </c:pt>
                <c:pt idx="11">
                  <c:v>0.087</c:v>
                </c:pt>
                <c:pt idx="12">
                  <c:v>0.058</c:v>
                </c:pt>
                <c:pt idx="13">
                  <c:v>0.047</c:v>
                </c:pt>
                <c:pt idx="14">
                  <c:v>0.063</c:v>
                </c:pt>
                <c:pt idx="15">
                  <c:v>0.053</c:v>
                </c:pt>
                <c:pt idx="16">
                  <c:v>0.103</c:v>
                </c:pt>
                <c:pt idx="17">
                  <c:v>0.053</c:v>
                </c:pt>
                <c:pt idx="18">
                  <c:v>0.053</c:v>
                </c:pt>
                <c:pt idx="19">
                  <c:v>0.103</c:v>
                </c:pt>
                <c:pt idx="20">
                  <c:v>0.15</c:v>
                </c:pt>
                <c:pt idx="21">
                  <c:v>0.092</c:v>
                </c:pt>
                <c:pt idx="22">
                  <c:v>0.037</c:v>
                </c:pt>
              </c:numCache>
            </c:numRef>
          </c:val>
        </c:ser>
        <c:ser>
          <c:idx val="3"/>
          <c:order val="3"/>
          <c:tx>
            <c:strRef>
              <c:f>U6R!$F$3</c:f>
              <c:strCache>
                <c:ptCount val="1"/>
                <c:pt idx="0">
                  <c:v>American U6R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U6R!$F$5:$F$27</c:f>
              <c:numCache>
                <c:formatCode>General</c:formatCode>
                <c:ptCount val="23"/>
                <c:pt idx="0">
                  <c:v>0.068</c:v>
                </c:pt>
                <c:pt idx="1">
                  <c:v>0.058</c:v>
                </c:pt>
                <c:pt idx="2">
                  <c:v>0.027</c:v>
                </c:pt>
                <c:pt idx="3">
                  <c:v>0.08</c:v>
                </c:pt>
                <c:pt idx="4">
                  <c:v>0.056</c:v>
                </c:pt>
                <c:pt idx="5">
                  <c:v>0.056</c:v>
                </c:pt>
                <c:pt idx="6">
                  <c:v>0.056</c:v>
                </c:pt>
                <c:pt idx="7">
                  <c:v>0.051</c:v>
                </c:pt>
                <c:pt idx="8">
                  <c:v>0.064</c:v>
                </c:pt>
                <c:pt idx="9">
                  <c:v>0.064</c:v>
                </c:pt>
                <c:pt idx="10">
                  <c:v>0.06</c:v>
                </c:pt>
                <c:pt idx="11">
                  <c:v>0.06</c:v>
                </c:pt>
                <c:pt idx="12">
                  <c:v>0.045</c:v>
                </c:pt>
                <c:pt idx="13">
                  <c:v>0.035</c:v>
                </c:pt>
                <c:pt idx="14">
                  <c:v>0.048</c:v>
                </c:pt>
                <c:pt idx="15">
                  <c:v>0.04</c:v>
                </c:pt>
                <c:pt idx="16">
                  <c:v>0.072</c:v>
                </c:pt>
                <c:pt idx="17">
                  <c:v>0.04</c:v>
                </c:pt>
                <c:pt idx="18">
                  <c:v>0.04</c:v>
                </c:pt>
                <c:pt idx="19">
                  <c:v>0.072</c:v>
                </c:pt>
                <c:pt idx="20">
                  <c:v>0.103</c:v>
                </c:pt>
                <c:pt idx="21">
                  <c:v>0.064</c:v>
                </c:pt>
                <c:pt idx="22">
                  <c:v>0.029</c:v>
                </c:pt>
              </c:numCache>
            </c:numRef>
          </c:val>
        </c:ser>
        <c:gapWidth val="100"/>
        <c:overlap val="0"/>
        <c:axId val="57676885"/>
        <c:axId val="5983356"/>
      </c:barChart>
      <c:catAx>
        <c:axId val="5767688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52775809119"/>
              <c:y val="0.4776563807273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83356"/>
        <c:crosses val="autoZero"/>
        <c:auto val="1"/>
        <c:lblAlgn val="ctr"/>
        <c:lblOffset val="100"/>
        <c:noMultiLvlLbl val="0"/>
      </c:catAx>
      <c:valAx>
        <c:axId val="598335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845027167494"/>
              <c:y val="0.969092967173581"/>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676885"/>
        <c:crosses val="max"/>
        <c:crossBetween val="midCat"/>
        <c:majorUnit val="0.01"/>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995393882131"/>
          <c:y val="0.0105066312344677"/>
        </c:manualLayout>
      </c:layout>
      <c:overlay val="0"/>
      <c:spPr>
        <a:noFill/>
        <a:ln w="0">
          <a:noFill/>
        </a:ln>
      </c:spPr>
    </c:title>
    <c:autoTitleDeleted val="0"/>
    <c:plotArea>
      <c:layout>
        <c:manualLayout>
          <c:layoutTarget val="inner"/>
          <c:xMode val="edge"/>
          <c:yMode val="edge"/>
          <c:x val="0.24998031496063"/>
          <c:y val="0.084375"/>
          <c:w val="0.64996062992126"/>
          <c:h val="0.853100393700787"/>
        </c:manualLayout>
      </c:layout>
      <c:barChart>
        <c:barDir val="bar"/>
        <c:grouping val="clustered"/>
        <c:varyColors val="0"/>
        <c:ser>
          <c:idx val="0"/>
          <c:order val="0"/>
          <c:tx>
            <c:strRef>
              <c:f>WAVG!$C$3</c:f>
              <c:strCache>
                <c:ptCount val="1"/>
                <c:pt idx="0">
                  <c:v>Overall WAVG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WAVG!$C$5:$C$27</c:f>
              <c:numCache>
                <c:formatCode>General</c:formatCode>
                <c:ptCount val="23"/>
                <c:pt idx="0">
                  <c:v>18.5</c:v>
                </c:pt>
                <c:pt idx="1">
                  <c:v>35</c:v>
                </c:pt>
                <c:pt idx="2">
                  <c:v>40</c:v>
                </c:pt>
                <c:pt idx="3">
                  <c:v>28</c:v>
                </c:pt>
                <c:pt idx="4">
                  <c:v>32</c:v>
                </c:pt>
                <c:pt idx="5">
                  <c:v>30</c:v>
                </c:pt>
                <c:pt idx="6">
                  <c:v>35</c:v>
                </c:pt>
                <c:pt idx="7">
                  <c:v>32</c:v>
                </c:pt>
                <c:pt idx="8">
                  <c:v>25</c:v>
                </c:pt>
                <c:pt idx="9">
                  <c:v>22</c:v>
                </c:pt>
                <c:pt idx="10">
                  <c:v>30</c:v>
                </c:pt>
                <c:pt idx="11">
                  <c:v>28</c:v>
                </c:pt>
                <c:pt idx="12">
                  <c:v>40</c:v>
                </c:pt>
                <c:pt idx="13">
                  <c:v>55</c:v>
                </c:pt>
                <c:pt idx="14">
                  <c:v>32</c:v>
                </c:pt>
                <c:pt idx="15">
                  <c:v>45</c:v>
                </c:pt>
                <c:pt idx="16">
                  <c:v>25</c:v>
                </c:pt>
                <c:pt idx="17">
                  <c:v>35</c:v>
                </c:pt>
                <c:pt idx="18">
                  <c:v>35</c:v>
                </c:pt>
                <c:pt idx="19">
                  <c:v>20</c:v>
                </c:pt>
                <c:pt idx="20">
                  <c:v>16</c:v>
                </c:pt>
                <c:pt idx="21">
                  <c:v>25</c:v>
                </c:pt>
                <c:pt idx="22">
                  <c:v>35</c:v>
                </c:pt>
              </c:numCache>
            </c:numRef>
          </c:val>
        </c:ser>
        <c:ser>
          <c:idx val="1"/>
          <c:order val="1"/>
          <c:tx>
            <c:strRef>
              <c:f>WAVG!$D$3</c:f>
              <c:strCache>
                <c:ptCount val="1"/>
                <c:pt idx="0">
                  <c:v>Authorized WAVG</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WAVG!$D$5:$D$27</c:f>
              <c:numCache>
                <c:formatCode>General</c:formatCode>
                <c:ptCount val="23"/>
                <c:pt idx="0">
                  <c:v>18.87</c:v>
                </c:pt>
                <c:pt idx="1">
                  <c:v>36.05</c:v>
                </c:pt>
                <c:pt idx="2">
                  <c:v>40.4</c:v>
                </c:pt>
                <c:pt idx="3">
                  <c:v>28.56</c:v>
                </c:pt>
                <c:pt idx="4">
                  <c:v>32.48</c:v>
                </c:pt>
                <c:pt idx="5">
                  <c:v>30.45</c:v>
                </c:pt>
                <c:pt idx="6">
                  <c:v>35.53</c:v>
                </c:pt>
                <c:pt idx="7">
                  <c:v>32.32</c:v>
                </c:pt>
                <c:pt idx="8">
                  <c:v>25.5</c:v>
                </c:pt>
                <c:pt idx="9">
                  <c:v>22.44</c:v>
                </c:pt>
                <c:pt idx="10">
                  <c:v>30.45</c:v>
                </c:pt>
                <c:pt idx="11">
                  <c:v>28.42</c:v>
                </c:pt>
                <c:pt idx="12">
                  <c:v>40.4</c:v>
                </c:pt>
                <c:pt idx="13">
                  <c:v>55.28</c:v>
                </c:pt>
                <c:pt idx="14">
                  <c:v>32.48</c:v>
                </c:pt>
                <c:pt idx="15">
                  <c:v>45.23</c:v>
                </c:pt>
                <c:pt idx="16">
                  <c:v>25.5</c:v>
                </c:pt>
                <c:pt idx="17">
                  <c:v>35.35</c:v>
                </c:pt>
                <c:pt idx="18">
                  <c:v>35.35</c:v>
                </c:pt>
                <c:pt idx="19">
                  <c:v>20.4</c:v>
                </c:pt>
                <c:pt idx="20">
                  <c:v>16.4</c:v>
                </c:pt>
                <c:pt idx="21">
                  <c:v>25.5</c:v>
                </c:pt>
                <c:pt idx="22">
                  <c:v>35.35</c:v>
                </c:pt>
              </c:numCache>
            </c:numRef>
          </c:val>
        </c:ser>
        <c:ser>
          <c:idx val="2"/>
          <c:order val="2"/>
          <c:tx>
            <c:strRef>
              <c:f>WAVG!$E$3</c:f>
              <c:strCache>
                <c:ptCount val="1"/>
                <c:pt idx="0">
                  <c:v>Unauthorized WAVG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WAVG!$E$5:$E$27</c:f>
              <c:numCache>
                <c:formatCode>General</c:formatCode>
                <c:ptCount val="23"/>
                <c:pt idx="0">
                  <c:v>12.95</c:v>
                </c:pt>
                <c:pt idx="1">
                  <c:v>28</c:v>
                </c:pt>
                <c:pt idx="2">
                  <c:v>34</c:v>
                </c:pt>
                <c:pt idx="3">
                  <c:v>21</c:v>
                </c:pt>
                <c:pt idx="4">
                  <c:v>24.96</c:v>
                </c:pt>
                <c:pt idx="5">
                  <c:v>23.4</c:v>
                </c:pt>
                <c:pt idx="6">
                  <c:v>28</c:v>
                </c:pt>
                <c:pt idx="7">
                  <c:v>26.24</c:v>
                </c:pt>
                <c:pt idx="8">
                  <c:v>18.75</c:v>
                </c:pt>
                <c:pt idx="9">
                  <c:v>15.84</c:v>
                </c:pt>
                <c:pt idx="10">
                  <c:v>23.4</c:v>
                </c:pt>
                <c:pt idx="11">
                  <c:v>21.84</c:v>
                </c:pt>
                <c:pt idx="12">
                  <c:v>34</c:v>
                </c:pt>
                <c:pt idx="13">
                  <c:v>49.5</c:v>
                </c:pt>
                <c:pt idx="14">
                  <c:v>26.24</c:v>
                </c:pt>
                <c:pt idx="15">
                  <c:v>39.6</c:v>
                </c:pt>
                <c:pt idx="16">
                  <c:v>18.75</c:v>
                </c:pt>
                <c:pt idx="17">
                  <c:v>29.75</c:v>
                </c:pt>
                <c:pt idx="18">
                  <c:v>29.75</c:v>
                </c:pt>
                <c:pt idx="19">
                  <c:v>14.4</c:v>
                </c:pt>
                <c:pt idx="20">
                  <c:v>11.2</c:v>
                </c:pt>
                <c:pt idx="21">
                  <c:v>18.75</c:v>
                </c:pt>
                <c:pt idx="22">
                  <c:v>29.75</c:v>
                </c:pt>
              </c:numCache>
            </c:numRef>
          </c:val>
        </c:ser>
        <c:ser>
          <c:idx val="3"/>
          <c:order val="3"/>
          <c:tx>
            <c:strRef>
              <c:f>WAVG!$F$3</c:f>
              <c:strCache>
                <c:ptCount val="1"/>
                <c:pt idx="0">
                  <c:v>American WAVG</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WAVG!$F$5:$F$27</c:f>
              <c:numCache>
                <c:formatCode>General</c:formatCode>
                <c:ptCount val="23"/>
                <c:pt idx="0">
                  <c:v>18.61</c:v>
                </c:pt>
                <c:pt idx="1">
                  <c:v>35.18</c:v>
                </c:pt>
                <c:pt idx="2">
                  <c:v>40.08</c:v>
                </c:pt>
                <c:pt idx="3">
                  <c:v>28.14</c:v>
                </c:pt>
                <c:pt idx="4">
                  <c:v>32.1</c:v>
                </c:pt>
                <c:pt idx="5">
                  <c:v>30.08</c:v>
                </c:pt>
                <c:pt idx="6">
                  <c:v>35.1</c:v>
                </c:pt>
                <c:pt idx="7">
                  <c:v>32.06</c:v>
                </c:pt>
                <c:pt idx="8">
                  <c:v>25.1</c:v>
                </c:pt>
                <c:pt idx="9">
                  <c:v>22.07</c:v>
                </c:pt>
                <c:pt idx="10">
                  <c:v>30.08</c:v>
                </c:pt>
                <c:pt idx="11">
                  <c:v>28.07</c:v>
                </c:pt>
                <c:pt idx="12">
                  <c:v>40.08</c:v>
                </c:pt>
                <c:pt idx="13">
                  <c:v>55.06</c:v>
                </c:pt>
                <c:pt idx="14">
                  <c:v>32.1</c:v>
                </c:pt>
                <c:pt idx="15">
                  <c:v>45.05</c:v>
                </c:pt>
                <c:pt idx="16">
                  <c:v>25.1</c:v>
                </c:pt>
                <c:pt idx="17">
                  <c:v>35.07</c:v>
                </c:pt>
                <c:pt idx="18">
                  <c:v>35.07</c:v>
                </c:pt>
                <c:pt idx="19">
                  <c:v>20.06</c:v>
                </c:pt>
                <c:pt idx="20">
                  <c:v>16.04</c:v>
                </c:pt>
                <c:pt idx="21">
                  <c:v>25.1</c:v>
                </c:pt>
                <c:pt idx="22">
                  <c:v>35.07</c:v>
                </c:pt>
              </c:numCache>
            </c:numRef>
          </c:val>
        </c:ser>
        <c:gapWidth val="100"/>
        <c:overlap val="0"/>
        <c:axId val="77679777"/>
        <c:axId val="48262835"/>
      </c:barChart>
      <c:catAx>
        <c:axId val="7767977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27943781741"/>
              <c:y val="0.4775719101400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262835"/>
        <c:crosses val="autoZero"/>
        <c:auto val="1"/>
        <c:lblAlgn val="ctr"/>
        <c:lblOffset val="100"/>
        <c:noMultiLvlLbl val="0"/>
      </c:catAx>
      <c:valAx>
        <c:axId val="4826283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738868548482"/>
              <c:y val="0.969095248640535"/>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7679777"/>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7846408709"/>
          <c:y val="0.0168009262680758"/>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AIAVG!$C$3</c:f>
              <c:strCache>
                <c:ptCount val="1"/>
                <c:pt idx="0">
                  <c:v>Overall AIAVG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AIAVG!$C$4:$C$27</c:f>
              <c:numCache>
                <c:formatCode>General</c:formatCode>
                <c:ptCount val="24"/>
                <c:pt idx="0">
                  <c:v>66477</c:v>
                </c:pt>
                <c:pt idx="1">
                  <c:v>35150</c:v>
                </c:pt>
                <c:pt idx="2">
                  <c:v>73500</c:v>
                </c:pt>
                <c:pt idx="3">
                  <c:v>83200</c:v>
                </c:pt>
                <c:pt idx="4">
                  <c:v>57400</c:v>
                </c:pt>
                <c:pt idx="5">
                  <c:v>64000</c:v>
                </c:pt>
                <c:pt idx="6">
                  <c:v>60000</c:v>
                </c:pt>
                <c:pt idx="7">
                  <c:v>73500</c:v>
                </c:pt>
                <c:pt idx="8">
                  <c:v>65600</c:v>
                </c:pt>
                <c:pt idx="9">
                  <c:v>45000</c:v>
                </c:pt>
                <c:pt idx="10">
                  <c:v>38500</c:v>
                </c:pt>
                <c:pt idx="11">
                  <c:v>60000</c:v>
                </c:pt>
                <c:pt idx="12">
                  <c:v>54600</c:v>
                </c:pt>
                <c:pt idx="13">
                  <c:v>83200</c:v>
                </c:pt>
                <c:pt idx="14">
                  <c:v>114400</c:v>
                </c:pt>
                <c:pt idx="15">
                  <c:v>64000</c:v>
                </c:pt>
                <c:pt idx="16">
                  <c:v>96750</c:v>
                </c:pt>
                <c:pt idx="17">
                  <c:v>45000</c:v>
                </c:pt>
                <c:pt idx="18">
                  <c:v>68250</c:v>
                </c:pt>
                <c:pt idx="19">
                  <c:v>70000</c:v>
                </c:pt>
                <c:pt idx="20">
                  <c:v>34000</c:v>
                </c:pt>
                <c:pt idx="21">
                  <c:v>25600</c:v>
                </c:pt>
                <c:pt idx="22">
                  <c:v>46250</c:v>
                </c:pt>
                <c:pt idx="23">
                  <c:v>72800</c:v>
                </c:pt>
              </c:numCache>
            </c:numRef>
          </c:val>
        </c:ser>
        <c:ser>
          <c:idx val="1"/>
          <c:order val="1"/>
          <c:tx>
            <c:strRef>
              <c:f>AIAVG!$D$3</c:f>
              <c:strCache>
                <c:ptCount val="1"/>
                <c:pt idx="0">
                  <c:v>Authorized AIAVG</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AIAVG!$D$4:$D$27</c:f>
              <c:numCache>
                <c:formatCode>General</c:formatCode>
                <c:ptCount val="24"/>
                <c:pt idx="0">
                  <c:v>68064</c:v>
                </c:pt>
                <c:pt idx="1">
                  <c:v>36105</c:v>
                </c:pt>
                <c:pt idx="2">
                  <c:v>76440</c:v>
                </c:pt>
                <c:pt idx="3">
                  <c:v>84864</c:v>
                </c:pt>
                <c:pt idx="4">
                  <c:v>59122</c:v>
                </c:pt>
                <c:pt idx="5">
                  <c:v>65280</c:v>
                </c:pt>
                <c:pt idx="6">
                  <c:v>61200</c:v>
                </c:pt>
                <c:pt idx="7">
                  <c:v>74970</c:v>
                </c:pt>
                <c:pt idx="8">
                  <c:v>66584</c:v>
                </c:pt>
                <c:pt idx="9">
                  <c:v>46350</c:v>
                </c:pt>
                <c:pt idx="10">
                  <c:v>39655</c:v>
                </c:pt>
                <c:pt idx="11">
                  <c:v>61200</c:v>
                </c:pt>
                <c:pt idx="12">
                  <c:v>55692</c:v>
                </c:pt>
                <c:pt idx="13">
                  <c:v>84864</c:v>
                </c:pt>
                <c:pt idx="14">
                  <c:v>115544</c:v>
                </c:pt>
                <c:pt idx="15">
                  <c:v>65280</c:v>
                </c:pt>
                <c:pt idx="16">
                  <c:v>97718</c:v>
                </c:pt>
                <c:pt idx="17">
                  <c:v>46350</c:v>
                </c:pt>
                <c:pt idx="18">
                  <c:v>69314</c:v>
                </c:pt>
                <c:pt idx="19">
                  <c:v>71050</c:v>
                </c:pt>
                <c:pt idx="20">
                  <c:v>35020</c:v>
                </c:pt>
                <c:pt idx="21">
                  <c:v>26496</c:v>
                </c:pt>
                <c:pt idx="22">
                  <c:v>47638</c:v>
                </c:pt>
                <c:pt idx="23">
                  <c:v>73992</c:v>
                </c:pt>
              </c:numCache>
            </c:numRef>
          </c:val>
        </c:ser>
        <c:ser>
          <c:idx val="2"/>
          <c:order val="2"/>
          <c:tx>
            <c:strRef>
              <c:f>AIAVG!$E$3</c:f>
              <c:strCache>
                <c:ptCount val="1"/>
                <c:pt idx="0">
                  <c:v>Unauthorized AIAVG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AIAVG!$E$4:$E$27</c:f>
              <c:numCache>
                <c:formatCode>General</c:formatCode>
                <c:ptCount val="24"/>
                <c:pt idx="0">
                  <c:v>46534</c:v>
                </c:pt>
                <c:pt idx="1">
                  <c:v>22848</c:v>
                </c:pt>
                <c:pt idx="2">
                  <c:v>55125</c:v>
                </c:pt>
                <c:pt idx="3">
                  <c:v>66560</c:v>
                </c:pt>
                <c:pt idx="4">
                  <c:v>40180</c:v>
                </c:pt>
                <c:pt idx="5">
                  <c:v>46080</c:v>
                </c:pt>
                <c:pt idx="6">
                  <c:v>43200</c:v>
                </c:pt>
                <c:pt idx="7">
                  <c:v>55125</c:v>
                </c:pt>
                <c:pt idx="8">
                  <c:v>51168</c:v>
                </c:pt>
                <c:pt idx="9">
                  <c:v>31500</c:v>
                </c:pt>
                <c:pt idx="10">
                  <c:v>26180</c:v>
                </c:pt>
                <c:pt idx="11">
                  <c:v>43200</c:v>
                </c:pt>
                <c:pt idx="12">
                  <c:v>39312</c:v>
                </c:pt>
                <c:pt idx="13">
                  <c:v>66560</c:v>
                </c:pt>
                <c:pt idx="14">
                  <c:v>97240</c:v>
                </c:pt>
                <c:pt idx="15">
                  <c:v>49920</c:v>
                </c:pt>
                <c:pt idx="16">
                  <c:v>79335</c:v>
                </c:pt>
                <c:pt idx="17">
                  <c:v>31500</c:v>
                </c:pt>
                <c:pt idx="18">
                  <c:v>54600</c:v>
                </c:pt>
                <c:pt idx="19">
                  <c:v>56000</c:v>
                </c:pt>
                <c:pt idx="20">
                  <c:v>23120</c:v>
                </c:pt>
                <c:pt idx="21">
                  <c:v>16640</c:v>
                </c:pt>
                <c:pt idx="22">
                  <c:v>32375</c:v>
                </c:pt>
                <c:pt idx="23">
                  <c:v>58240</c:v>
                </c:pt>
              </c:numCache>
            </c:numRef>
          </c:val>
        </c:ser>
        <c:ser>
          <c:idx val="3"/>
          <c:order val="3"/>
          <c:tx>
            <c:strRef>
              <c:f>AIAVG!$F$3</c:f>
              <c:strCache>
                <c:ptCount val="1"/>
                <c:pt idx="0">
                  <c:v>American AIAVG</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AIAVG!$F$4:$F$27</c:f>
              <c:numCache>
                <c:formatCode>General</c:formatCode>
                <c:ptCount val="24"/>
                <c:pt idx="0">
                  <c:v>66857</c:v>
                </c:pt>
                <c:pt idx="1">
                  <c:v>35301</c:v>
                </c:pt>
                <c:pt idx="2">
                  <c:v>73926</c:v>
                </c:pt>
                <c:pt idx="3">
                  <c:v>83392</c:v>
                </c:pt>
                <c:pt idx="4">
                  <c:v>57687</c:v>
                </c:pt>
                <c:pt idx="5">
                  <c:v>64128</c:v>
                </c:pt>
                <c:pt idx="6">
                  <c:v>60120</c:v>
                </c:pt>
                <c:pt idx="7">
                  <c:v>73755</c:v>
                </c:pt>
                <c:pt idx="8">
                  <c:v>65752</c:v>
                </c:pt>
                <c:pt idx="9">
                  <c:v>45135</c:v>
                </c:pt>
                <c:pt idx="10">
                  <c:v>38611</c:v>
                </c:pt>
                <c:pt idx="11">
                  <c:v>60120</c:v>
                </c:pt>
                <c:pt idx="12">
                  <c:v>54781</c:v>
                </c:pt>
                <c:pt idx="13">
                  <c:v>83392</c:v>
                </c:pt>
                <c:pt idx="14">
                  <c:v>114644</c:v>
                </c:pt>
                <c:pt idx="15">
                  <c:v>64128</c:v>
                </c:pt>
                <c:pt idx="16">
                  <c:v>96891</c:v>
                </c:pt>
                <c:pt idx="17">
                  <c:v>45135</c:v>
                </c:pt>
                <c:pt idx="18">
                  <c:v>68429</c:v>
                </c:pt>
                <c:pt idx="19">
                  <c:v>70175</c:v>
                </c:pt>
                <c:pt idx="20">
                  <c:v>34134</c:v>
                </c:pt>
                <c:pt idx="21">
                  <c:v>25664</c:v>
                </c:pt>
                <c:pt idx="22">
                  <c:v>46431</c:v>
                </c:pt>
                <c:pt idx="23">
                  <c:v>72984</c:v>
                </c:pt>
              </c:numCache>
            </c:numRef>
          </c:val>
        </c:ser>
        <c:gapWidth val="100"/>
        <c:overlap val="0"/>
        <c:axId val="66174594"/>
        <c:axId val="48877921"/>
      </c:barChart>
      <c:catAx>
        <c:axId val="6617459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42221565294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877921"/>
        <c:crosses val="autoZero"/>
        <c:auto val="1"/>
        <c:lblAlgn val="ctr"/>
        <c:lblOffset val="100"/>
        <c:noMultiLvlLbl val="0"/>
      </c:catAx>
      <c:valAx>
        <c:axId val="4887792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757701258234"/>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174594"/>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62725876934"/>
          <c:y val="0.0113678305159814"/>
        </c:manualLayout>
      </c:layout>
      <c:overlay val="0"/>
      <c:spPr>
        <a:noFill/>
        <a:ln w="0">
          <a:noFill/>
        </a:ln>
      </c:spPr>
    </c:title>
    <c:autoTitleDeleted val="0"/>
    <c:plotArea>
      <c:layout>
        <c:manualLayout>
          <c:layoutTarget val="inner"/>
          <c:xMode val="edge"/>
          <c:yMode val="edge"/>
          <c:x val="0.24998031496063"/>
          <c:y val="0.084375"/>
          <c:w val="0.64996062992126"/>
          <c:h val="0.853100393700787"/>
        </c:manualLayout>
      </c:layout>
      <c:barChart>
        <c:barDir val="bar"/>
        <c:grouping val="clustered"/>
        <c:varyColors val="0"/>
        <c:ser>
          <c:idx val="0"/>
          <c:order val="0"/>
          <c:tx>
            <c:strRef>
              <c:f>FPITREV!$C$3</c:f>
              <c:strCache>
                <c:ptCount val="1"/>
                <c:pt idx="0">
                  <c:v>Overall FPITREV</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FPITREV!$C$5:$C$27</c:f>
              <c:numCache>
                <c:formatCode>General</c:formatCode>
                <c:ptCount val="23"/>
                <c:pt idx="0">
                  <c:v>2812</c:v>
                </c:pt>
                <c:pt idx="1">
                  <c:v>14700</c:v>
                </c:pt>
                <c:pt idx="2">
                  <c:v>18304</c:v>
                </c:pt>
                <c:pt idx="3">
                  <c:v>9184</c:v>
                </c:pt>
                <c:pt idx="4">
                  <c:v>9600</c:v>
                </c:pt>
                <c:pt idx="5">
                  <c:v>8400</c:v>
                </c:pt>
                <c:pt idx="6">
                  <c:v>13230</c:v>
                </c:pt>
                <c:pt idx="7">
                  <c:v>10496</c:v>
                </c:pt>
                <c:pt idx="8">
                  <c:v>5850</c:v>
                </c:pt>
                <c:pt idx="9">
                  <c:v>4235</c:v>
                </c:pt>
                <c:pt idx="10">
                  <c:v>9000</c:v>
                </c:pt>
                <c:pt idx="11">
                  <c:v>7644</c:v>
                </c:pt>
                <c:pt idx="12">
                  <c:v>18304</c:v>
                </c:pt>
                <c:pt idx="13">
                  <c:v>32032</c:v>
                </c:pt>
                <c:pt idx="14">
                  <c:v>10880</c:v>
                </c:pt>
                <c:pt idx="15">
                  <c:v>24188</c:v>
                </c:pt>
                <c:pt idx="16">
                  <c:v>5400</c:v>
                </c:pt>
                <c:pt idx="17">
                  <c:v>12285</c:v>
                </c:pt>
                <c:pt idx="18">
                  <c:v>13300</c:v>
                </c:pt>
                <c:pt idx="19">
                  <c:v>4420</c:v>
                </c:pt>
                <c:pt idx="20">
                  <c:v>2304</c:v>
                </c:pt>
                <c:pt idx="21">
                  <c:v>6475</c:v>
                </c:pt>
                <c:pt idx="22">
                  <c:v>14560</c:v>
                </c:pt>
              </c:numCache>
            </c:numRef>
          </c:val>
        </c:ser>
        <c:ser>
          <c:idx val="1"/>
          <c:order val="1"/>
          <c:tx>
            <c:strRef>
              <c:f>FPITREV!$D$3</c:f>
              <c:strCache>
                <c:ptCount val="1"/>
                <c:pt idx="0">
                  <c:v>Authorized FPITREV</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FPITREV!$D$5:$D$27</c:f>
              <c:numCache>
                <c:formatCode>General</c:formatCode>
                <c:ptCount val="23"/>
                <c:pt idx="0">
                  <c:v>2896</c:v>
                </c:pt>
                <c:pt idx="1">
                  <c:v>14994</c:v>
                </c:pt>
                <c:pt idx="2">
                  <c:v>18671</c:v>
                </c:pt>
                <c:pt idx="3">
                  <c:v>9424</c:v>
                </c:pt>
                <c:pt idx="4">
                  <c:v>9792</c:v>
                </c:pt>
                <c:pt idx="5">
                  <c:v>8568</c:v>
                </c:pt>
                <c:pt idx="6">
                  <c:v>13495</c:v>
                </c:pt>
                <c:pt idx="7">
                  <c:v>10655</c:v>
                </c:pt>
                <c:pt idx="8">
                  <c:v>5996</c:v>
                </c:pt>
                <c:pt idx="9">
                  <c:v>4358</c:v>
                </c:pt>
                <c:pt idx="10">
                  <c:v>9180</c:v>
                </c:pt>
                <c:pt idx="11">
                  <c:v>7797</c:v>
                </c:pt>
                <c:pt idx="12">
                  <c:v>18671</c:v>
                </c:pt>
                <c:pt idx="13">
                  <c:v>32352</c:v>
                </c:pt>
                <c:pt idx="14">
                  <c:v>11098</c:v>
                </c:pt>
                <c:pt idx="15">
                  <c:v>24430</c:v>
                </c:pt>
                <c:pt idx="16">
                  <c:v>5535</c:v>
                </c:pt>
                <c:pt idx="17">
                  <c:v>12470</c:v>
                </c:pt>
                <c:pt idx="18">
                  <c:v>13503</c:v>
                </c:pt>
                <c:pt idx="19">
                  <c:v>4531</c:v>
                </c:pt>
                <c:pt idx="20">
                  <c:v>2385</c:v>
                </c:pt>
                <c:pt idx="21">
                  <c:v>6659</c:v>
                </c:pt>
                <c:pt idx="22">
                  <c:v>14792</c:v>
                </c:pt>
              </c:numCache>
            </c:numRef>
          </c:val>
        </c:ser>
        <c:ser>
          <c:idx val="2"/>
          <c:order val="2"/>
          <c:tx>
            <c:strRef>
              <c:f>FPITREV!$E$3</c:f>
              <c:strCache>
                <c:ptCount val="1"/>
                <c:pt idx="0">
                  <c:v>Unauthorized FPITREV</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FPITREV!$E$5:$E$27</c:f>
              <c:numCache>
                <c:formatCode>General</c:formatCode>
                <c:ptCount val="23"/>
                <c:pt idx="0">
                  <c:v>1257</c:v>
                </c:pt>
                <c:pt idx="1">
                  <c:v>8820</c:v>
                </c:pt>
                <c:pt idx="2">
                  <c:v>14169</c:v>
                </c:pt>
                <c:pt idx="3">
                  <c:v>5835</c:v>
                </c:pt>
                <c:pt idx="4">
                  <c:v>6269</c:v>
                </c:pt>
                <c:pt idx="5">
                  <c:v>5712</c:v>
                </c:pt>
                <c:pt idx="6">
                  <c:v>9504</c:v>
                </c:pt>
                <c:pt idx="7">
                  <c:v>7885</c:v>
                </c:pt>
                <c:pt idx="8">
                  <c:v>3510</c:v>
                </c:pt>
                <c:pt idx="9">
                  <c:v>2459</c:v>
                </c:pt>
                <c:pt idx="10">
                  <c:v>5850</c:v>
                </c:pt>
                <c:pt idx="11">
                  <c:v>4969</c:v>
                </c:pt>
                <c:pt idx="12">
                  <c:v>14169</c:v>
                </c:pt>
                <c:pt idx="13">
                  <c:v>24887</c:v>
                </c:pt>
                <c:pt idx="14">
                  <c:v>7616</c:v>
                </c:pt>
                <c:pt idx="15">
                  <c:v>19522</c:v>
                </c:pt>
                <c:pt idx="16">
                  <c:v>3240</c:v>
                </c:pt>
                <c:pt idx="17">
                  <c:v>8833</c:v>
                </c:pt>
                <c:pt idx="18">
                  <c:v>9576</c:v>
                </c:pt>
                <c:pt idx="19">
                  <c:v>2564</c:v>
                </c:pt>
                <c:pt idx="20">
                  <c:v>1267</c:v>
                </c:pt>
                <c:pt idx="21">
                  <c:v>3885</c:v>
                </c:pt>
                <c:pt idx="22">
                  <c:v>10980</c:v>
                </c:pt>
              </c:numCache>
            </c:numRef>
          </c:val>
        </c:ser>
        <c:ser>
          <c:idx val="3"/>
          <c:order val="3"/>
          <c:tx>
            <c:strRef>
              <c:f>FPITREV!$F$3</c:f>
              <c:strCache>
                <c:ptCount val="1"/>
                <c:pt idx="0">
                  <c:v>American FPITREV</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FPITREV!$F$5:$F$27</c:f>
              <c:numCache>
                <c:formatCode>General</c:formatCode>
                <c:ptCount val="23"/>
                <c:pt idx="0">
                  <c:v>2826</c:v>
                </c:pt>
                <c:pt idx="1">
                  <c:v>14755</c:v>
                </c:pt>
                <c:pt idx="2">
                  <c:v>18345</c:v>
                </c:pt>
                <c:pt idx="3">
                  <c:v>9228</c:v>
                </c:pt>
                <c:pt idx="4">
                  <c:v>9634</c:v>
                </c:pt>
                <c:pt idx="5">
                  <c:v>8430</c:v>
                </c:pt>
                <c:pt idx="6">
                  <c:v>13277</c:v>
                </c:pt>
                <c:pt idx="7">
                  <c:v>10523</c:v>
                </c:pt>
                <c:pt idx="8">
                  <c:v>5873</c:v>
                </c:pt>
                <c:pt idx="9">
                  <c:v>4253</c:v>
                </c:pt>
                <c:pt idx="10">
                  <c:v>9036</c:v>
                </c:pt>
                <c:pt idx="11">
                  <c:v>7672</c:v>
                </c:pt>
                <c:pt idx="12">
                  <c:v>18345</c:v>
                </c:pt>
                <c:pt idx="13">
                  <c:v>32099</c:v>
                </c:pt>
                <c:pt idx="14">
                  <c:v>10930</c:v>
                </c:pt>
                <c:pt idx="15">
                  <c:v>24248</c:v>
                </c:pt>
                <c:pt idx="16">
                  <c:v>5423</c:v>
                </c:pt>
                <c:pt idx="17">
                  <c:v>12332</c:v>
                </c:pt>
                <c:pt idx="18">
                  <c:v>13348</c:v>
                </c:pt>
                <c:pt idx="19">
                  <c:v>4437</c:v>
                </c:pt>
                <c:pt idx="20">
                  <c:v>2315</c:v>
                </c:pt>
                <c:pt idx="21">
                  <c:v>6501</c:v>
                </c:pt>
                <c:pt idx="22">
                  <c:v>14608</c:v>
                </c:pt>
              </c:numCache>
            </c:numRef>
          </c:val>
        </c:ser>
        <c:gapWidth val="100"/>
        <c:overlap val="0"/>
        <c:axId val="41684746"/>
        <c:axId val="50650246"/>
      </c:barChart>
      <c:catAx>
        <c:axId val="4168474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27943781741"/>
              <c:y val="0.47742427597746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0650246"/>
        <c:crosses val="autoZero"/>
        <c:auto val="1"/>
        <c:lblAlgn val="ctr"/>
        <c:lblOffset val="100"/>
        <c:noMultiLvlLbl val="0"/>
      </c:catAx>
      <c:valAx>
        <c:axId val="5065024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77823707728"/>
              <c:y val="0.96909524864053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684746"/>
        <c:crosses val="max"/>
        <c:crossBetween val="midCat"/>
        <c:majorUnit val="1000000"/>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44255117737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FPPTREV!$C$2</c:f>
              <c:strCache>
                <c:ptCount val="1"/>
                <c:pt idx="0">
                  <c:v>Overall FPITREV</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Authorized FPITREV</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Unauthorized FPITREV</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American FPITREV</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49576698"/>
        <c:axId val="14376217"/>
      </c:barChart>
      <c:catAx>
        <c:axId val="4957669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2990417066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376217"/>
        <c:crosses val="autoZero"/>
        <c:auto val="1"/>
        <c:lblAlgn val="ctr"/>
        <c:lblOffset val="100"/>
        <c:noMultiLvlLbl val="0"/>
      </c:catAx>
      <c:valAx>
        <c:axId val="1437621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374866879659"/>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576698"/>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44255117737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FPPTREV!$C$2</c:f>
              <c:strCache>
                <c:ptCount val="1"/>
                <c:pt idx="0">
                  <c:v>Overall FPITREV</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Authorized FPITREV</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Unauthorized FPITREV</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American FPITREV</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33725135"/>
        <c:axId val="27035694"/>
      </c:barChart>
      <c:catAx>
        <c:axId val="3372513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2005025497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035694"/>
        <c:crosses val="autoZero"/>
        <c:auto val="1"/>
        <c:lblAlgn val="ctr"/>
        <c:lblOffset val="100"/>
        <c:noMultiLvlLbl val="0"/>
      </c:catAx>
      <c:valAx>
        <c:axId val="2703569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453753007534"/>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725135"/>
        <c:crosses val="max"/>
        <c:crossBetween val="midCat"/>
      </c:valAx>
      <c:spPr>
        <a:noFill/>
        <a:ln w="0">
          <a:solidFill>
            <a:srgbClr val="b3b3b3"/>
          </a:solidFill>
        </a:ln>
      </c:spPr>
    </c:plotArea>
    <c:legend>
      <c:legendPos val="r"/>
      <c:layout>
        <c:manualLayout>
          <c:xMode val="edge"/>
          <c:yMode val="edge"/>
          <c:x val="0.804257835600237"/>
          <c:y val="0.0767393178180027"/>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572516073049"/>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73733451"/>
        <c:axId val="10372056"/>
      </c:barChart>
      <c:catAx>
        <c:axId val="7373345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27440691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372056"/>
        <c:crosses val="autoZero"/>
        <c:auto val="1"/>
        <c:lblAlgn val="ctr"/>
        <c:lblOffset val="100"/>
        <c:noMultiLvlLbl val="0"/>
      </c:catAx>
      <c:valAx>
        <c:axId val="1037205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045398966592"/>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733451"/>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730288328797"/>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64335575"/>
        <c:axId val="42089969"/>
      </c:barChart>
      <c:catAx>
        <c:axId val="643355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17586776045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089969"/>
        <c:crosses val="autoZero"/>
        <c:auto val="1"/>
        <c:lblAlgn val="ctr"/>
        <c:lblOffset val="100"/>
        <c:noMultiLvlLbl val="0"/>
      </c:catAx>
      <c:valAx>
        <c:axId val="4208996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203171222341"/>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335575"/>
        <c:crosses val="max"/>
        <c:crossBetween val="midCat"/>
      </c:valAx>
      <c:spPr>
        <a:noFill/>
        <a:ln w="0">
          <a:solidFill>
            <a:srgbClr val="b3b3b3"/>
          </a:solidFill>
        </a:ln>
      </c:spPr>
    </c:plotArea>
    <c:legend>
      <c:legendPos val="r"/>
      <c:layout>
        <c:manualLayout>
          <c:xMode val="edge"/>
          <c:yMode val="edge"/>
          <c:x val="0.804218411196531"/>
          <c:y val="0.0767146903090752"/>
          <c:w val="0.170123008989118"/>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21476748314"/>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38245307"/>
        <c:axId val="64947942"/>
      </c:barChart>
      <c:catAx>
        <c:axId val="3824530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1019633927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947942"/>
        <c:crosses val="autoZero"/>
        <c:auto val="1"/>
        <c:lblAlgn val="ctr"/>
        <c:lblOffset val="100"/>
        <c:noMultiLvlLbl val="0"/>
      </c:catAx>
      <c:valAx>
        <c:axId val="649479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245307"/>
        <c:crosses val="max"/>
        <c:crossBetween val="midCat"/>
      </c:valAx>
      <c:spPr>
        <a:noFill/>
        <a:ln w="0">
          <a:solidFill>
            <a:srgbClr val="b3b3b3"/>
          </a:solidFill>
        </a:ln>
      </c:spPr>
    </c:plotArea>
    <c:legend>
      <c:legendPos val="r"/>
      <c:layout>
        <c:manualLayout>
          <c:xMode val="edge"/>
          <c:yMode val="edge"/>
          <c:x val="0.804257835600237"/>
          <c:y val="0.0767146903090752"/>
          <c:w val="0.170162434947169"/>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21476748314"/>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1698964"/>
        <c:axId val="96031198"/>
      </c:barChart>
      <c:catAx>
        <c:axId val="169896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5269381420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031198"/>
        <c:crosses val="autoZero"/>
        <c:auto val="1"/>
        <c:lblAlgn val="ctr"/>
        <c:lblOffset val="100"/>
        <c:noMultiLvlLbl val="0"/>
      </c:catAx>
      <c:valAx>
        <c:axId val="960311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98964"/>
        <c:crosses val="max"/>
        <c:crossBetween val="midCat"/>
      </c:valAx>
      <c:spPr>
        <a:noFill/>
        <a:ln w="0">
          <a:solidFill>
            <a:srgbClr val="b3b3b3"/>
          </a:solidFill>
        </a:ln>
      </c:spPr>
    </c:plotArea>
    <c:legend>
      <c:legendPos val="r"/>
      <c:layout>
        <c:manualLayout>
          <c:xMode val="edge"/>
          <c:yMode val="edge"/>
          <c:x val="0.804218411196531"/>
          <c:y val="0.0766900628001478"/>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13678070"/>
        <c:axId val="71109585"/>
      </c:barChart>
      <c:catAx>
        <c:axId val="1367807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7732860345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109585"/>
        <c:crosses val="autoZero"/>
        <c:auto val="1"/>
        <c:lblAlgn val="ctr"/>
        <c:lblOffset val="100"/>
        <c:noMultiLvlLbl val="0"/>
      </c:catAx>
      <c:valAx>
        <c:axId val="7110958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678070"/>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67891926"/>
        <c:axId val="18006281"/>
      </c:barChart>
      <c:catAx>
        <c:axId val="6789192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2805902495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006281"/>
        <c:crosses val="autoZero"/>
        <c:auto val="1"/>
        <c:lblAlgn val="ctr"/>
        <c:lblOffset val="100"/>
        <c:noMultiLvlLbl val="0"/>
      </c:catAx>
      <c:valAx>
        <c:axId val="1800628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994359641857"/>
              <c:y val="0.9691079742812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891926"/>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EP!$C$4:$C$29</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EP!$D$4:$D$29</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EP!$E$4:$E$29</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EP!$F$4:$F$29</c:f>
              <c:numCache>
                <c:formatCode>General</c:formatCode>
                <c:ptCount val="26"/>
              </c:numCache>
            </c:numRef>
          </c:val>
        </c:ser>
        <c:gapWidth val="100"/>
        <c:overlap val="0"/>
        <c:axId val="83065420"/>
        <c:axId val="29131283"/>
      </c:barChart>
      <c:catAx>
        <c:axId val="8306542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70034242357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131283"/>
        <c:crosses val="autoZero"/>
        <c:auto val="1"/>
        <c:lblAlgn val="ctr"/>
        <c:lblOffset val="100"/>
        <c:noMultiLvlLbl val="0"/>
      </c:catAx>
      <c:valAx>
        <c:axId val="2913128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065420"/>
        <c:crosses val="max"/>
        <c:crossBetween val="midCat"/>
      </c:valAx>
      <c:spPr>
        <a:noFill/>
        <a:ln w="0">
          <a:solidFill>
            <a:srgbClr val="b3b3b3"/>
          </a:solidFill>
        </a:ln>
      </c:spPr>
    </c:plotArea>
    <c:legend>
      <c:legendPos val="r"/>
      <c:layout>
        <c:manualLayout>
          <c:xMode val="edge"/>
          <c:yMode val="edge"/>
          <c:x val="0.804250118277874"/>
          <c:y val="0.0766919515318688"/>
          <c:w val="0.170050861491149"/>
          <c:h val="0.111691254340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EP!$C$30:$C$55</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EP!$D$30:$D$55</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EP!$E$30:$E$55</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EP!$F$30:$F$55</c:f>
              <c:numCache>
                <c:formatCode>General</c:formatCode>
                <c:ptCount val="26"/>
              </c:numCache>
            </c:numRef>
          </c:val>
        </c:ser>
        <c:gapWidth val="100"/>
        <c:overlap val="0"/>
        <c:axId val="41825507"/>
        <c:axId val="30795758"/>
      </c:barChart>
      <c:catAx>
        <c:axId val="4182550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2951986795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0795758"/>
        <c:crosses val="autoZero"/>
        <c:auto val="1"/>
        <c:lblAlgn val="ctr"/>
        <c:lblOffset val="100"/>
        <c:noMultiLvlLbl val="0"/>
      </c:catAx>
      <c:valAx>
        <c:axId val="3079575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825507"/>
        <c:crosses val="max"/>
        <c:crossBetween val="midCat"/>
      </c:valAx>
      <c:spPr>
        <a:noFill/>
        <a:ln w="0">
          <a:solidFill>
            <a:srgbClr val="b3b3b3"/>
          </a:solidFill>
        </a:ln>
      </c:spPr>
    </c:plotArea>
    <c:legend>
      <c:legendPos val="r"/>
      <c:layout>
        <c:manualLayout>
          <c:xMode val="edge"/>
          <c:yMode val="edge"/>
          <c:x val="0.804210692319823"/>
          <c:y val="0.0766919515318688"/>
          <c:w val="0.17001143397863"/>
          <c:h val="0.11166662561879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AWHW!$C$4:$C$29</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AWHW!$D$4:$D$29</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AWHW!$E$4:$E$29</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AWHW!$F$4:$F$29</c:f>
              <c:numCache>
                <c:formatCode>General</c:formatCode>
                <c:ptCount val="26"/>
              </c:numCache>
            </c:numRef>
          </c:val>
        </c:ser>
        <c:gapWidth val="100"/>
        <c:overlap val="0"/>
        <c:axId val="35586966"/>
        <c:axId val="94210869"/>
      </c:barChart>
      <c:catAx>
        <c:axId val="3558696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7878944645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210869"/>
        <c:crosses val="autoZero"/>
        <c:auto val="1"/>
        <c:lblAlgn val="ctr"/>
        <c:lblOffset val="100"/>
        <c:noMultiLvlLbl val="0"/>
      </c:catAx>
      <c:valAx>
        <c:axId val="9421086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586966"/>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60036287618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AWHW!$C$30:$C$55</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AWHW!$D$30:$D$55</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AWHW!$E$30:$E$55</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AWHW!$F$30:$F$55</c:f>
              <c:numCache>
                <c:formatCode>General</c:formatCode>
                <c:ptCount val="26"/>
              </c:numCache>
            </c:numRef>
          </c:val>
        </c:ser>
        <c:gapWidth val="100"/>
        <c:overlap val="0"/>
        <c:axId val="37846089"/>
        <c:axId val="95015785"/>
      </c:barChart>
      <c:catAx>
        <c:axId val="3784608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048850787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5015785"/>
        <c:crosses val="autoZero"/>
        <c:auto val="1"/>
        <c:lblAlgn val="ctr"/>
        <c:lblOffset val="100"/>
        <c:noMultiLvlLbl val="0"/>
      </c:catAx>
      <c:valAx>
        <c:axId val="9501578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0994359641857"/>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846089"/>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403423657949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FTER!$C$4:$C$29</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FTER!$D$4:$D$29</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FTER!$E$4:$E$29</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FTER!$F$4:$F$29</c:f>
              <c:numCache>
                <c:formatCode>0.00%</c:formatCode>
                <c:ptCount val="26"/>
              </c:numCache>
            </c:numRef>
          </c:val>
        </c:ser>
        <c:gapWidth val="100"/>
        <c:overlap val="0"/>
        <c:axId val="25122237"/>
        <c:axId val="78208113"/>
      </c:barChart>
      <c:catAx>
        <c:axId val="2512223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541546572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208113"/>
        <c:crosses val="autoZero"/>
        <c:auto val="1"/>
        <c:lblAlgn val="ctr"/>
        <c:lblOffset val="100"/>
        <c:noMultiLvlLbl val="0"/>
      </c:catAx>
      <c:valAx>
        <c:axId val="782081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428233345166"/>
              <c:y val="0.9691079742812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122237"/>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4034236579498"/>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FTER!$C$30:$C$55</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FTER!$D$30:$D$55</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FTER!$E$30:$E$55</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FTER!$F$30:$F$55</c:f>
              <c:numCache>
                <c:formatCode>0.00%</c:formatCode>
                <c:ptCount val="26"/>
              </c:numCache>
            </c:numRef>
          </c:val>
        </c:ser>
        <c:gapWidth val="100"/>
        <c:overlap val="0"/>
        <c:axId val="69380019"/>
        <c:axId val="20516440"/>
      </c:barChart>
      <c:catAx>
        <c:axId val="693800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802502894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516440"/>
        <c:crosses val="autoZero"/>
        <c:auto val="1"/>
        <c:lblAlgn val="ctr"/>
        <c:lblOffset val="100"/>
        <c:noMultiLvlLbl val="0"/>
      </c:catAx>
      <c:valAx>
        <c:axId val="2051644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428233345166"/>
              <c:y val="0.9691079742812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380019"/>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407367964343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PTER!$C$4:$C$29</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PTER!$D$4:$D$29</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PTER!$E$4:$E$29</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PTER!$F$4:$F$29</c:f>
              <c:numCache>
                <c:formatCode>0.00%</c:formatCode>
                <c:ptCount val="26"/>
              </c:numCache>
            </c:numRef>
          </c:val>
        </c:ser>
        <c:gapWidth val="100"/>
        <c:overlap val="0"/>
        <c:axId val="13428549"/>
        <c:axId val="48593219"/>
      </c:barChart>
      <c:catAx>
        <c:axId val="1342854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9048850787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593219"/>
        <c:crosses val="autoZero"/>
        <c:auto val="1"/>
        <c:lblAlgn val="ctr"/>
        <c:lblOffset val="100"/>
        <c:noMultiLvlLbl val="0"/>
      </c:catAx>
      <c:valAx>
        <c:axId val="4859321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428549"/>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4073679643435"/>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PTER!$C$30:$C$55</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PTER!$D$30:$D$55</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PTER!$E$30:$E$55</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PTER!$F$30:$F$55</c:f>
              <c:numCache>
                <c:formatCode>0.00%</c:formatCode>
                <c:ptCount val="26"/>
              </c:numCache>
            </c:numRef>
          </c:val>
        </c:ser>
        <c:gapWidth val="100"/>
        <c:overlap val="0"/>
        <c:axId val="40460250"/>
        <c:axId val="3426276"/>
      </c:barChart>
      <c:catAx>
        <c:axId val="4046025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556155002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26276"/>
        <c:crosses val="autoZero"/>
        <c:auto val="1"/>
        <c:lblAlgn val="ctr"/>
        <c:lblOffset val="100"/>
        <c:noMultiLvlLbl val="0"/>
      </c:catAx>
      <c:valAx>
        <c:axId val="34262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460250"/>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113122707372"/>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16499580"/>
        <c:axId val="37079176"/>
      </c:barChart>
      <c:catAx>
        <c:axId val="1649958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802502894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079176"/>
        <c:crosses val="autoZero"/>
        <c:auto val="1"/>
        <c:lblAlgn val="ctr"/>
        <c:lblOffset val="100"/>
        <c:noMultiLvlLbl val="0"/>
      </c:catAx>
      <c:valAx>
        <c:axId val="370791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499580"/>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113122707372"/>
          <c:y val="0.0113812726332126"/>
        </c:manualLayout>
      </c:layout>
      <c:overlay val="0"/>
      <c:spPr>
        <a:noFill/>
        <a:ln w="0">
          <a:noFill/>
        </a:ln>
      </c:spPr>
    </c:title>
    <c:autoTitleDeleted val="0"/>
    <c:plotArea>
      <c:layout>
        <c:manualLayout>
          <c:layoutTarget val="inner"/>
          <c:xMode val="edge"/>
          <c:yMode val="edge"/>
          <c:x val="0.298899538516152"/>
          <c:y val="0.0469046387308157"/>
          <c:w val="0.470161322131503"/>
          <c:h val="0.873894513832434"/>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67446974"/>
        <c:axId val="95552883"/>
      </c:barChart>
      <c:catAx>
        <c:axId val="6744697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0231530785311"/>
              <c:y val="0.4768309807109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5552883"/>
        <c:crosses val="autoZero"/>
        <c:auto val="1"/>
        <c:lblAlgn val="ctr"/>
        <c:lblOffset val="100"/>
        <c:noMultiLvlLbl val="0"/>
      </c:catAx>
      <c:valAx>
        <c:axId val="9555288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033802705794"/>
              <c:y val="0.969107974281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446974"/>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_rels/drawing9.xml.rels><?xml version="1.0" encoding="UTF-8"?>
<Relationships xmlns="http://schemas.openxmlformats.org/package/2006/relationships"><Relationship Id="rId1" Type="http://schemas.openxmlformats.org/officeDocument/2006/relationships/chart" Target="../charts/chart9.xml"/>
</Relationships>
</file>

<file path=xl/drawings/_rels/drawing10.xml.rels><?xml version="1.0" encoding="UTF-8"?>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
</Relationships>
</file>

<file path=xl/drawings/_rels/drawing11.xml.rels><?xml version="1.0" encoding="UTF-8"?>
<Relationships xmlns="http://schemas.openxmlformats.org/package/2006/relationships"><Relationship Id="rId1" Type="http://schemas.openxmlformats.org/officeDocument/2006/relationships/chart" Target="../charts/chart12.xml"/><Relationship Id="rId2" Type="http://schemas.openxmlformats.org/officeDocument/2006/relationships/chart" Target="../charts/chart13.xml"/>
</Relationships>
</file>

<file path=xl/drawings/_rels/drawing12.xml.rels><?xml version="1.0" encoding="UTF-8"?>
<Relationships xmlns="http://schemas.openxmlformats.org/package/2006/relationships"><Relationship Id="rId1" Type="http://schemas.openxmlformats.org/officeDocument/2006/relationships/chart" Target="../charts/chart14.xml"/><Relationship Id="rId2" Type="http://schemas.openxmlformats.org/officeDocument/2006/relationships/chart" Target="../charts/chart15.xml"/>
</Relationships>
</file>

<file path=xl/drawings/_rels/drawing13.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
</Relationships>
</file>

<file path=xl/drawings/_rels/drawing14.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chart" Target="../charts/chart19.xml"/>
</Relationships>
</file>

<file path=xl/drawings/_rels/drawing15.xml.rels><?xml version="1.0" encoding="UTF-8"?>
<Relationships xmlns="http://schemas.openxmlformats.org/package/2006/relationships"><Relationship Id="rId1" Type="http://schemas.openxmlformats.org/officeDocument/2006/relationships/chart" Target="../charts/chart20.xml"/><Relationship Id="rId2" Type="http://schemas.openxmlformats.org/officeDocument/2006/relationships/chart" Target="../charts/chart21.xml"/>
</Relationships>
</file>

<file path=xl/drawings/_rels/drawing16.xml.rels><?xml version="1.0" encoding="UTF-8"?>
<Relationships xmlns="http://schemas.openxmlformats.org/package/2006/relationships"><Relationship Id="rId1" Type="http://schemas.openxmlformats.org/officeDocument/2006/relationships/chart" Target="../charts/chart22.xml"/><Relationship Id="rId2" Type="http://schemas.openxmlformats.org/officeDocument/2006/relationships/chart" Target="../charts/chart23.xml"/>
</Relationships>
</file>

<file path=xl/drawings/_rels/drawing17.xml.rels><?xml version="1.0" encoding="UTF-8"?>
<Relationships xmlns="http://schemas.openxmlformats.org/package/2006/relationships"><Relationship Id="rId1" Type="http://schemas.openxmlformats.org/officeDocument/2006/relationships/chart" Target="../charts/chart24.xml"/><Relationship Id="rId2" Type="http://schemas.openxmlformats.org/officeDocument/2006/relationships/chart" Target="../charts/chart25.xml"/>
</Relationships>
</file>

<file path=xl/drawings/_rels/drawing18.xml.rels><?xml version="1.0" encoding="UTF-8"?>
<Relationships xmlns="http://schemas.openxmlformats.org/package/2006/relationships"><Relationship Id="rId1" Type="http://schemas.openxmlformats.org/officeDocument/2006/relationships/chart" Target="../charts/chart26.xml"/><Relationship Id="rId2" Type="http://schemas.openxmlformats.org/officeDocument/2006/relationships/chart" Target="../charts/chart2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36720</xdr:rowOff>
    </xdr:from>
    <xdr:to>
      <xdr:col>7</xdr:col>
      <xdr:colOff>381240</xdr:colOff>
      <xdr:row>119</xdr:row>
      <xdr:rowOff>34920</xdr:rowOff>
    </xdr:to>
    <xdr:graphicFrame>
      <xdr:nvGraphicFramePr>
        <xdr:cNvPr id="1" name=""/>
        <xdr:cNvGraphicFramePr/>
      </xdr:nvGraphicFramePr>
      <xdr:xfrm>
        <a:off x="914400" y="6858000"/>
        <a:ext cx="913968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31</xdr:row>
      <xdr:rowOff>133920</xdr:rowOff>
    </xdr:from>
    <xdr:to>
      <xdr:col>7</xdr:col>
      <xdr:colOff>56160</xdr:colOff>
      <xdr:row>121</xdr:row>
      <xdr:rowOff>132120</xdr:rowOff>
    </xdr:to>
    <xdr:graphicFrame>
      <xdr:nvGraphicFramePr>
        <xdr:cNvPr id="2" name=""/>
        <xdr:cNvGraphicFramePr/>
      </xdr:nvGraphicFramePr>
      <xdr:xfrm>
        <a:off x="914400" y="7279560"/>
        <a:ext cx="913932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28</xdr:row>
      <xdr:rowOff>92160</xdr:rowOff>
    </xdr:from>
    <xdr:to>
      <xdr:col>6</xdr:col>
      <xdr:colOff>594000</xdr:colOff>
      <xdr:row>118</xdr:row>
      <xdr:rowOff>90360</xdr:rowOff>
    </xdr:to>
    <xdr:graphicFrame>
      <xdr:nvGraphicFramePr>
        <xdr:cNvPr id="3" name=""/>
        <xdr:cNvGraphicFramePr/>
      </xdr:nvGraphicFramePr>
      <xdr:xfrm>
        <a:off x="914400" y="6750000"/>
        <a:ext cx="9142200" cy="14628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7</xdr:col>
      <xdr:colOff>220680</xdr:colOff>
      <xdr:row>119</xdr:row>
      <xdr:rowOff>34560</xdr:rowOff>
    </xdr:to>
    <xdr:graphicFrame>
      <xdr:nvGraphicFramePr>
        <xdr:cNvPr id="4" name=""/>
        <xdr:cNvGraphicFramePr/>
      </xdr:nvGraphicFramePr>
      <xdr:xfrm>
        <a:off x="914400" y="6858000"/>
        <a:ext cx="914364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36360</xdr:rowOff>
    </xdr:from>
    <xdr:to>
      <xdr:col>7</xdr:col>
      <xdr:colOff>220680</xdr:colOff>
      <xdr:row>119</xdr:row>
      <xdr:rowOff>35280</xdr:rowOff>
    </xdr:to>
    <xdr:graphicFrame>
      <xdr:nvGraphicFramePr>
        <xdr:cNvPr id="5" name=""/>
        <xdr:cNvGraphicFramePr/>
      </xdr:nvGraphicFramePr>
      <xdr:xfrm>
        <a:off x="914400" y="6856920"/>
        <a:ext cx="914292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29</xdr:row>
      <xdr:rowOff>38880</xdr:rowOff>
    </xdr:from>
    <xdr:to>
      <xdr:col>7</xdr:col>
      <xdr:colOff>57960</xdr:colOff>
      <xdr:row>119</xdr:row>
      <xdr:rowOff>37800</xdr:rowOff>
    </xdr:to>
    <xdr:graphicFrame>
      <xdr:nvGraphicFramePr>
        <xdr:cNvPr id="6" name=""/>
        <xdr:cNvGraphicFramePr/>
      </xdr:nvGraphicFramePr>
      <xdr:xfrm>
        <a:off x="914400" y="6858000"/>
        <a:ext cx="914292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30</xdr:row>
      <xdr:rowOff>54000</xdr:rowOff>
    </xdr:from>
    <xdr:to>
      <xdr:col>7</xdr:col>
      <xdr:colOff>871920</xdr:colOff>
      <xdr:row>120</xdr:row>
      <xdr:rowOff>54000</xdr:rowOff>
    </xdr:to>
    <xdr:graphicFrame>
      <xdr:nvGraphicFramePr>
        <xdr:cNvPr id="7" name=""/>
        <xdr:cNvGraphicFramePr/>
      </xdr:nvGraphicFramePr>
      <xdr:xfrm>
        <a:off x="914400" y="7176240"/>
        <a:ext cx="9144000" cy="14630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31</xdr:row>
      <xdr:rowOff>134280</xdr:rowOff>
    </xdr:from>
    <xdr:to>
      <xdr:col>6</xdr:col>
      <xdr:colOff>1119240</xdr:colOff>
      <xdr:row>121</xdr:row>
      <xdr:rowOff>117000</xdr:rowOff>
    </xdr:to>
    <xdr:graphicFrame>
      <xdr:nvGraphicFramePr>
        <xdr:cNvPr id="8" name=""/>
        <xdr:cNvGraphicFramePr/>
      </xdr:nvGraphicFramePr>
      <xdr:xfrm>
        <a:off x="804960" y="742932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29</xdr:row>
      <xdr:rowOff>78840</xdr:rowOff>
    </xdr:from>
    <xdr:to>
      <xdr:col>7</xdr:col>
      <xdr:colOff>59040</xdr:colOff>
      <xdr:row>119</xdr:row>
      <xdr:rowOff>78840</xdr:rowOff>
    </xdr:to>
    <xdr:graphicFrame>
      <xdr:nvGraphicFramePr>
        <xdr:cNvPr id="9" name=""/>
        <xdr:cNvGraphicFramePr/>
      </xdr:nvGraphicFramePr>
      <xdr:xfrm>
        <a:off x="914400" y="7315200"/>
        <a:ext cx="9144000" cy="14630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257400</xdr:colOff>
      <xdr:row>149</xdr:row>
      <xdr:rowOff>146160</xdr:rowOff>
    </xdr:to>
    <xdr:graphicFrame>
      <xdr:nvGraphicFramePr>
        <xdr:cNvPr id="10" name=""/>
        <xdr:cNvGraphicFramePr/>
      </xdr:nvGraphicFramePr>
      <xdr:xfrm>
        <a:off x="804960" y="1031976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257040</xdr:colOff>
      <xdr:row>245</xdr:row>
      <xdr:rowOff>1440</xdr:rowOff>
    </xdr:to>
    <xdr:graphicFrame>
      <xdr:nvGraphicFramePr>
        <xdr:cNvPr id="11" name=""/>
        <xdr:cNvGraphicFramePr/>
      </xdr:nvGraphicFramePr>
      <xdr:xfrm>
        <a:off x="804600" y="257806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269640</xdr:colOff>
      <xdr:row>149</xdr:row>
      <xdr:rowOff>144000</xdr:rowOff>
    </xdr:to>
    <xdr:graphicFrame>
      <xdr:nvGraphicFramePr>
        <xdr:cNvPr id="12" name=""/>
        <xdr:cNvGraphicFramePr/>
      </xdr:nvGraphicFramePr>
      <xdr:xfrm>
        <a:off x="979560" y="101754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261360</xdr:colOff>
      <xdr:row>245</xdr:row>
      <xdr:rowOff>3960</xdr:rowOff>
    </xdr:to>
    <xdr:graphicFrame>
      <xdr:nvGraphicFramePr>
        <xdr:cNvPr id="13" name=""/>
        <xdr:cNvGraphicFramePr/>
      </xdr:nvGraphicFramePr>
      <xdr:xfrm>
        <a:off x="971280" y="2564100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261360</xdr:colOff>
      <xdr:row>149</xdr:row>
      <xdr:rowOff>146520</xdr:rowOff>
    </xdr:to>
    <xdr:graphicFrame>
      <xdr:nvGraphicFramePr>
        <xdr:cNvPr id="14" name=""/>
        <xdr:cNvGraphicFramePr/>
      </xdr:nvGraphicFramePr>
      <xdr:xfrm>
        <a:off x="971280" y="1017792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261360</xdr:colOff>
      <xdr:row>246</xdr:row>
      <xdr:rowOff>4680</xdr:rowOff>
    </xdr:to>
    <xdr:graphicFrame>
      <xdr:nvGraphicFramePr>
        <xdr:cNvPr id="15" name=""/>
        <xdr:cNvGraphicFramePr/>
      </xdr:nvGraphicFramePr>
      <xdr:xfrm>
        <a:off x="971280" y="258040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261720</xdr:colOff>
      <xdr:row>150</xdr:row>
      <xdr:rowOff>14760</xdr:rowOff>
    </xdr:to>
    <xdr:graphicFrame>
      <xdr:nvGraphicFramePr>
        <xdr:cNvPr id="16" name=""/>
        <xdr:cNvGraphicFramePr/>
      </xdr:nvGraphicFramePr>
      <xdr:xfrm>
        <a:off x="971640" y="1020852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265680</xdr:colOff>
      <xdr:row>246</xdr:row>
      <xdr:rowOff>81000</xdr:rowOff>
    </xdr:to>
    <xdr:graphicFrame>
      <xdr:nvGraphicFramePr>
        <xdr:cNvPr id="17" name=""/>
        <xdr:cNvGraphicFramePr/>
      </xdr:nvGraphicFramePr>
      <xdr:xfrm>
        <a:off x="975600" y="2588040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261720</xdr:colOff>
      <xdr:row>150</xdr:row>
      <xdr:rowOff>14760</xdr:rowOff>
    </xdr:to>
    <xdr:graphicFrame>
      <xdr:nvGraphicFramePr>
        <xdr:cNvPr id="18" name=""/>
        <xdr:cNvGraphicFramePr/>
      </xdr:nvGraphicFramePr>
      <xdr:xfrm>
        <a:off x="971640" y="102060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265680</xdr:colOff>
      <xdr:row>246</xdr:row>
      <xdr:rowOff>81000</xdr:rowOff>
    </xdr:to>
    <xdr:graphicFrame>
      <xdr:nvGraphicFramePr>
        <xdr:cNvPr id="19" name=""/>
        <xdr:cNvGraphicFramePr/>
      </xdr:nvGraphicFramePr>
      <xdr:xfrm>
        <a:off x="975600" y="258778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12960</xdr:rowOff>
    </xdr:from>
    <xdr:to>
      <xdr:col>7</xdr:col>
      <xdr:colOff>261720</xdr:colOff>
      <xdr:row>149</xdr:row>
      <xdr:rowOff>158040</xdr:rowOff>
    </xdr:to>
    <xdr:graphicFrame>
      <xdr:nvGraphicFramePr>
        <xdr:cNvPr id="20" name=""/>
        <xdr:cNvGraphicFramePr/>
      </xdr:nvGraphicFramePr>
      <xdr:xfrm>
        <a:off x="971640" y="1019124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79200</xdr:rowOff>
    </xdr:from>
    <xdr:to>
      <xdr:col>7</xdr:col>
      <xdr:colOff>265680</xdr:colOff>
      <xdr:row>246</xdr:row>
      <xdr:rowOff>61920</xdr:rowOff>
    </xdr:to>
    <xdr:graphicFrame>
      <xdr:nvGraphicFramePr>
        <xdr:cNvPr id="21" name=""/>
        <xdr:cNvGraphicFramePr/>
      </xdr:nvGraphicFramePr>
      <xdr:xfrm>
        <a:off x="975600" y="258634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261720</xdr:colOff>
      <xdr:row>149</xdr:row>
      <xdr:rowOff>72000</xdr:rowOff>
    </xdr:to>
    <xdr:graphicFrame>
      <xdr:nvGraphicFramePr>
        <xdr:cNvPr id="22" name=""/>
        <xdr:cNvGraphicFramePr/>
      </xdr:nvGraphicFramePr>
      <xdr:xfrm>
        <a:off x="971640" y="101052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265680</xdr:colOff>
      <xdr:row>245</xdr:row>
      <xdr:rowOff>138240</xdr:rowOff>
    </xdr:to>
    <xdr:graphicFrame>
      <xdr:nvGraphicFramePr>
        <xdr:cNvPr id="23" name=""/>
        <xdr:cNvGraphicFramePr/>
      </xdr:nvGraphicFramePr>
      <xdr:xfrm>
        <a:off x="975600" y="257770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261720</xdr:colOff>
      <xdr:row>149</xdr:row>
      <xdr:rowOff>72000</xdr:rowOff>
    </xdr:to>
    <xdr:graphicFrame>
      <xdr:nvGraphicFramePr>
        <xdr:cNvPr id="24" name=""/>
        <xdr:cNvGraphicFramePr/>
      </xdr:nvGraphicFramePr>
      <xdr:xfrm>
        <a:off x="971640" y="1010520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265680</xdr:colOff>
      <xdr:row>245</xdr:row>
      <xdr:rowOff>138240</xdr:rowOff>
    </xdr:to>
    <xdr:graphicFrame>
      <xdr:nvGraphicFramePr>
        <xdr:cNvPr id="25" name=""/>
        <xdr:cNvGraphicFramePr/>
      </xdr:nvGraphicFramePr>
      <xdr:xfrm>
        <a:off x="975600" y="257770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261720</xdr:colOff>
      <xdr:row>149</xdr:row>
      <xdr:rowOff>93240</xdr:rowOff>
    </xdr:to>
    <xdr:graphicFrame>
      <xdr:nvGraphicFramePr>
        <xdr:cNvPr id="26" name=""/>
        <xdr:cNvGraphicFramePr/>
      </xdr:nvGraphicFramePr>
      <xdr:xfrm>
        <a:off x="971640" y="9984240"/>
        <a:ext cx="9126720" cy="1461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265680</xdr:colOff>
      <xdr:row>245</xdr:row>
      <xdr:rowOff>159840</xdr:rowOff>
    </xdr:to>
    <xdr:graphicFrame>
      <xdr:nvGraphicFramePr>
        <xdr:cNvPr id="27" name=""/>
        <xdr:cNvGraphicFramePr/>
      </xdr:nvGraphicFramePr>
      <xdr:xfrm>
        <a:off x="975600" y="25656480"/>
        <a:ext cx="9126720" cy="14613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7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0" sqref="C3"/>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1" collapsed="false">
      <c r="A2" s="4" t="s">
        <v>3</v>
      </c>
      <c r="B2" s="5" t="s">
        <v>4</v>
      </c>
      <c r="C2" s="5" t="s">
        <v>5</v>
      </c>
      <c r="D2" s="7"/>
    </row>
    <row r="3" customFormat="false" ht="12.8" hidden="false" customHeight="false" outlineLevel="1" collapsed="false">
      <c r="A3" s="8" t="str">
        <f aca="false">INVOKE!A$1</f>
        <v>LSD.RID.0.AL.INVOKE</v>
      </c>
      <c r="B3" s="9" t="str">
        <f aca="false">INVOKE!B$1</f>
        <v>Alabama Labor Statistic Logic Formulae</v>
      </c>
      <c r="C3" s="9" t="str">
        <f aca="false">INVOKE!C$1</f>
        <v>December 2025</v>
      </c>
      <c r="D3" s="7"/>
    </row>
    <row r="4" customFormat="false" ht="12.8" hidden="false" customHeight="false" outlineLevel="1" collapsed="false">
      <c r="A4" s="10" t="str">
        <f aca="false">FORM!A$1</f>
        <v>LSD.RID.0.AL.FORM</v>
      </c>
      <c r="B4" s="10" t="str">
        <f aca="false">FORM!B$1</f>
        <v>Alabama Labor Statistic Logic Interdependent Formulae</v>
      </c>
      <c r="C4" s="10" t="str">
        <f aca="false">FORM!C$1</f>
        <v>December, 2025</v>
      </c>
      <c r="D4" s="11"/>
    </row>
    <row r="5" customFormat="false" ht="12.8" hidden="false" customHeight="false" outlineLevel="1" collapsed="false">
      <c r="A5" s="12" t="str">
        <f aca="false">PARAM!A$1</f>
        <v>LSD.RID.0.AL.PARAM</v>
      </c>
      <c r="B5" s="12" t="str">
        <f aca="false">PARAM!B$1</f>
        <v>Alabama Labor Statistic Logic Interdependent Parameters</v>
      </c>
      <c r="C5" s="12" t="str">
        <f aca="false">PARAM!C$1</f>
        <v>December, 2025</v>
      </c>
      <c r="D5" s="11"/>
    </row>
    <row r="6" customFormat="false" ht="12.8" hidden="false" customHeight="false" outlineLevel="1" collapsed="false">
      <c r="A6" s="13" t="str">
        <f aca="false">CALC!A1</f>
        <v>LSD.RID.0.AL.CALC</v>
      </c>
      <c r="B6" s="13" t="str">
        <f aca="false">CALC!B1</f>
        <v>Alabama Labor Statistic Calculations</v>
      </c>
      <c r="C6" s="14" t="str">
        <f aca="false">CALC!C1</f>
        <v>December 2025</v>
      </c>
      <c r="D6" s="11"/>
    </row>
    <row r="7" customFormat="false" ht="12.8" hidden="false" customHeight="false" outlineLevel="1" collapsed="false">
      <c r="A7" s="15" t="e">
        <f aca="false">#REF!</f>
        <v>#REF!</v>
      </c>
      <c r="B7" s="15" t="e">
        <f aca="false">#REF!</f>
        <v>#REF!</v>
      </c>
      <c r="C7" s="16" t="e">
        <f aca="false">#REF!</f>
        <v>#REF!</v>
      </c>
      <c r="D7" s="11"/>
    </row>
    <row r="8" customFormat="false" ht="12.8" hidden="false" customHeight="false" outlineLevel="1" collapsed="false">
      <c r="A8" s="17" t="str">
        <f aca="false">LFP!A1</f>
        <v>LSD.RID.0.AL.LFP</v>
      </c>
      <c r="B8" s="17" t="str">
        <f aca="false">LFP!B1</f>
        <v>Alabama Labor Force Population</v>
      </c>
      <c r="C8" s="18" t="str">
        <f aca="false">LFP!C1</f>
        <v>December 2025</v>
      </c>
      <c r="D8" s="11"/>
    </row>
    <row r="9" customFormat="false" ht="12.8" hidden="false" customHeight="false" outlineLevel="1" collapsed="false">
      <c r="A9" s="19" t="str">
        <f aca="false">ETPR!A1</f>
        <v>LSD.RID.0.AL.ETPR</v>
      </c>
      <c r="B9" s="19" t="str">
        <f aca="false">ETPR!B1</f>
        <v>Alabama Employment-to-Population Ratio (ETPR)</v>
      </c>
      <c r="C9" s="20" t="str">
        <f aca="false">ETPR!C1</f>
        <v>December 2025</v>
      </c>
      <c r="D9" s="11"/>
    </row>
    <row r="10" customFormat="false" ht="12.8" hidden="false" customHeight="false" outlineLevel="1" collapsed="false">
      <c r="A10" s="21" t="str">
        <f aca="false">LFPR!A1</f>
        <v>LSD.RID.0.AL.LFPR</v>
      </c>
      <c r="B10" s="21" t="str">
        <f aca="false">LFPR!B1</f>
        <v>Alabama Labor Force Participation Rate (LFPR)</v>
      </c>
      <c r="C10" s="22" t="str">
        <f aca="false">LFPR!C1</f>
        <v>December 2025</v>
      </c>
      <c r="D10" s="11"/>
    </row>
    <row r="11" customFormat="false" ht="12.8" hidden="false" customHeight="false" outlineLevel="1" collapsed="false">
      <c r="A11" s="23" t="str">
        <f aca="false">U3R!A1</f>
        <v>LSD.RID.0.AL.U3R</v>
      </c>
      <c r="B11" s="23" t="str">
        <f aca="false">U3R!B1</f>
        <v>Alabama Unemployment Rate (U3R)</v>
      </c>
      <c r="C11" s="24" t="str">
        <f aca="false">U3R!C1</f>
        <v>December 2025</v>
      </c>
      <c r="D11" s="11"/>
    </row>
    <row r="12" customFormat="false" ht="12.8" hidden="false" customHeight="false" outlineLevel="1" collapsed="false">
      <c r="A12" s="25" t="str">
        <f aca="false">U6R!A1</f>
        <v>LSD.RID.0.AL.U6R</v>
      </c>
      <c r="B12" s="25" t="str">
        <f aca="false">U6R!B1</f>
        <v>Alabama Underemployment Rate (U6R)</v>
      </c>
      <c r="C12" s="26" t="str">
        <f aca="false">U6R!C1</f>
        <v>December 2025</v>
      </c>
      <c r="D12" s="11"/>
    </row>
    <row r="13" customFormat="false" ht="12.8" hidden="false" customHeight="false" outlineLevel="1" collapsed="false">
      <c r="A13" s="27" t="str">
        <f aca="false">WAVG!A1</f>
        <v>LSD.RID.0.AL.WAVG</v>
      </c>
      <c r="B13" s="27" t="str">
        <f aca="false">WAVG!B1</f>
        <v>Alabama Wage Average (WAVG)</v>
      </c>
      <c r="C13" s="28" t="str">
        <f aca="false">WAVG!C1</f>
        <v>December 2025</v>
      </c>
      <c r="D13" s="11"/>
    </row>
    <row r="14" customFormat="false" ht="12.8" hidden="false" customHeight="false" outlineLevel="1" collapsed="false">
      <c r="A14" s="29" t="str">
        <f aca="false">AIAVG!A1</f>
        <v>LSD.RID.0.AL.AIAVG</v>
      </c>
      <c r="B14" s="29" t="str">
        <f aca="false">AIAVG!B1</f>
        <v>Alabama Annual Income Average (AIAVG)</v>
      </c>
      <c r="C14" s="30" t="str">
        <f aca="false">AIAVG!C1</f>
        <v>December 2025</v>
      </c>
      <c r="D14" s="11"/>
    </row>
    <row r="15" customFormat="false" ht="12.8" hidden="false" customHeight="false" outlineLevel="1" collapsed="false">
      <c r="A15" s="31" t="str">
        <f aca="false">FPITREV!A1</f>
        <v>LSD.RID.0.AL.FPITREV</v>
      </c>
      <c r="B15" s="31" t="str">
        <f aca="false">FPITREV!B1</f>
        <v>Alabama Federal Personal Income Tax Revenue (FPITREV)</v>
      </c>
      <c r="C15" s="32" t="str">
        <f aca="false">FPITREV!C1</f>
        <v>December 2025</v>
      </c>
      <c r="D15" s="11"/>
    </row>
    <row r="16" customFormat="false" ht="12.8" hidden="false" customHeight="false" outlineLevel="1" collapsed="false">
      <c r="A16" s="33" t="str">
        <f aca="false">FPPTREV!A1</f>
        <v>LSD.RID.0.AL.FPPTR</v>
      </c>
      <c r="B16" s="33" t="str">
        <f aca="false">FPPTREV!B1</f>
        <v>Alabama Federal Personal Payrol Tax Revenue</v>
      </c>
      <c r="C16" s="34" t="str">
        <f aca="false">FPPTREV!C1</f>
        <v>December 2025</v>
      </c>
      <c r="D16" s="11"/>
    </row>
    <row r="17" customFormat="false" ht="12.8" hidden="false" customHeight="false" outlineLevel="1" collapsed="false">
      <c r="A17" s="35" t="str">
        <f aca="false">EITCREF!A1</f>
        <v>LSD.RID.0.AL.EITCREF</v>
      </c>
      <c r="B17" s="35" t="str">
        <f aca="false">EITCREF!B1</f>
        <v>Alabama Earned Income Tax Credit Refund</v>
      </c>
      <c r="C17" s="36" t="str">
        <f aca="false">EITCREF!C1</f>
        <v>December 2025</v>
      </c>
      <c r="D17" s="11"/>
    </row>
    <row r="18" customFormat="false" ht="12.8" hidden="false" customHeight="false" outlineLevel="1" collapsed="false">
      <c r="A18" s="37" t="str">
        <f aca="false">ACTCREF!A1</f>
        <v>LSD.RID.0.AL.ACTCREF</v>
      </c>
      <c r="B18" s="37" t="str">
        <f aca="false">ACTCREF!B1</f>
        <v>Alabama Additional Child Tax Credit Refund</v>
      </c>
      <c r="C18" s="38" t="str">
        <f aca="false">ACTCREF!C1</f>
        <v>December 2025</v>
      </c>
      <c r="D18" s="11"/>
    </row>
    <row r="19" customFormat="false" ht="12.8" hidden="false" customHeight="false" outlineLevel="1" collapsed="false">
      <c r="A19" s="15" t="str">
        <f aca="false">AOTCREF!A1</f>
        <v>LSD.RID.0.AL.AOTCREF</v>
      </c>
      <c r="B19" s="15" t="str">
        <f aca="false">AOTCREF!B1</f>
        <v>Alabama American Opportunity Tax Credit Refund</v>
      </c>
      <c r="C19" s="16" t="str">
        <f aca="false">AOTCREF!C1</f>
        <v>December 2025</v>
      </c>
      <c r="D19" s="11"/>
    </row>
    <row r="20" customFormat="false" ht="12.8" hidden="false" customHeight="false" outlineLevel="0" collapsed="false">
      <c r="A20" s="11"/>
      <c r="B20" s="11"/>
      <c r="C20" s="11"/>
      <c r="D20" s="11"/>
    </row>
    <row r="21" customFormat="false" ht="12.8" hidden="false" customHeight="false" outlineLevel="0" collapsed="false">
      <c r="A21" s="4" t="s">
        <v>6</v>
      </c>
      <c r="B21" s="7" t="s">
        <v>7</v>
      </c>
      <c r="C21" s="7" t="s">
        <v>8</v>
      </c>
    </row>
    <row r="22" customFormat="false" ht="12.8" hidden="false" customHeight="false" outlineLevel="1" collapsed="false">
      <c r="A22" s="4" t="s">
        <v>9</v>
      </c>
      <c r="B22" s="7" t="s">
        <v>10</v>
      </c>
      <c r="C22" s="7" t="s">
        <v>11</v>
      </c>
    </row>
    <row r="23" customFormat="false" ht="12.8" hidden="false" customHeight="false" outlineLevel="1" collapsed="false">
      <c r="A23" s="39" t="s">
        <v>12</v>
      </c>
      <c r="B23" s="2" t="s">
        <v>13</v>
      </c>
      <c r="C23" s="2" t="s">
        <v>14</v>
      </c>
    </row>
    <row r="24" customFormat="false" ht="12.8" hidden="false" customHeight="false" outlineLevel="1" collapsed="false">
      <c r="A24" s="39" t="s">
        <v>15</v>
      </c>
      <c r="B24" s="2" t="s">
        <v>16</v>
      </c>
      <c r="C24" s="2" t="s">
        <v>17</v>
      </c>
    </row>
    <row r="25" customFormat="false" ht="12.8" hidden="false" customHeight="false" outlineLevel="1" collapsed="false">
      <c r="A25" s="39" t="s">
        <v>18</v>
      </c>
      <c r="B25" s="2" t="s">
        <v>19</v>
      </c>
      <c r="C25" s="2" t="s">
        <v>20</v>
      </c>
    </row>
    <row r="26" customFormat="false" ht="12.8" hidden="false" customHeight="false" outlineLevel="1" collapsed="false">
      <c r="A26" s="39" t="s">
        <v>21</v>
      </c>
      <c r="B26" s="2" t="s">
        <v>22</v>
      </c>
      <c r="C26" s="2" t="s">
        <v>23</v>
      </c>
    </row>
    <row r="27" customFormat="false" ht="12.8" hidden="false" customHeight="false" outlineLevel="1" collapsed="false">
      <c r="A27" s="39" t="s">
        <v>24</v>
      </c>
      <c r="B27" s="2" t="s">
        <v>25</v>
      </c>
      <c r="C27" s="2" t="s">
        <v>26</v>
      </c>
    </row>
    <row r="28" customFormat="false" ht="12.8" hidden="false" customHeight="false" outlineLevel="1" collapsed="false">
      <c r="A28" s="39" t="s">
        <v>27</v>
      </c>
      <c r="B28" s="2" t="s">
        <v>28</v>
      </c>
      <c r="C28" s="2" t="s">
        <v>29</v>
      </c>
    </row>
    <row r="29" customFormat="false" ht="12.8" hidden="false" customHeight="false" outlineLevel="1" collapsed="false">
      <c r="A29" s="39" t="s">
        <v>30</v>
      </c>
      <c r="B29" s="2" t="s">
        <v>13</v>
      </c>
      <c r="C29" s="2" t="s">
        <v>14</v>
      </c>
    </row>
    <row r="30" customFormat="false" ht="12.8" hidden="false" customHeight="false" outlineLevel="1" collapsed="false">
      <c r="A30" s="39" t="s">
        <v>31</v>
      </c>
      <c r="B30" s="2" t="s">
        <v>32</v>
      </c>
      <c r="C30" s="2" t="s">
        <v>33</v>
      </c>
    </row>
    <row r="31" customFormat="false" ht="12.8" hidden="false" customHeight="false" outlineLevel="1" collapsed="false">
      <c r="A31" s="39" t="s">
        <v>34</v>
      </c>
      <c r="B31" s="2" t="s">
        <v>35</v>
      </c>
      <c r="C31" s="2" t="s">
        <v>36</v>
      </c>
    </row>
    <row r="32" customFormat="false" ht="12.8" hidden="false" customHeight="false" outlineLevel="1" collapsed="false">
      <c r="A32" s="39" t="s">
        <v>37</v>
      </c>
      <c r="B32" s="2" t="s">
        <v>38</v>
      </c>
      <c r="C32" s="2" t="s">
        <v>39</v>
      </c>
    </row>
    <row r="33" customFormat="false" ht="12.8" hidden="false" customHeight="false" outlineLevel="1" collapsed="false">
      <c r="A33" s="39" t="s">
        <v>40</v>
      </c>
      <c r="B33" s="2" t="s">
        <v>41</v>
      </c>
      <c r="C33" s="2" t="s">
        <v>42</v>
      </c>
    </row>
    <row r="34" customFormat="false" ht="12.8" hidden="false" customHeight="false" outlineLevel="1" collapsed="false">
      <c r="A34" s="39" t="s">
        <v>43</v>
      </c>
      <c r="B34" s="2" t="s">
        <v>44</v>
      </c>
      <c r="C34" s="2" t="s">
        <v>45</v>
      </c>
    </row>
    <row r="35" customFormat="false" ht="12.8" hidden="false" customHeight="false" outlineLevel="1" collapsed="false">
      <c r="A35" s="39" t="s">
        <v>46</v>
      </c>
      <c r="B35" s="2" t="s">
        <v>47</v>
      </c>
      <c r="C35" s="2" t="s">
        <v>48</v>
      </c>
    </row>
    <row r="36" customFormat="false" ht="12.8" hidden="false" customHeight="false" outlineLevel="1" collapsed="false">
      <c r="A36" s="39" t="s">
        <v>49</v>
      </c>
      <c r="B36" s="2" t="s">
        <v>50</v>
      </c>
      <c r="C36" s="2" t="s">
        <v>51</v>
      </c>
    </row>
    <row r="37" customFormat="false" ht="12.8" hidden="false" customHeight="false" outlineLevel="1" collapsed="false">
      <c r="A37" s="39" t="s">
        <v>52</v>
      </c>
      <c r="B37" s="2" t="s">
        <v>53</v>
      </c>
      <c r="C37" s="2" t="s">
        <v>54</v>
      </c>
    </row>
    <row r="38" customFormat="false" ht="12.8" hidden="false" customHeight="false" outlineLevel="1" collapsed="false">
      <c r="A38" s="39" t="s">
        <v>55</v>
      </c>
      <c r="B38" s="2" t="s">
        <v>56</v>
      </c>
      <c r="C38" s="2" t="s">
        <v>57</v>
      </c>
    </row>
    <row r="39" customFormat="false" ht="12.8" hidden="false" customHeight="false" outlineLevel="1" collapsed="false">
      <c r="A39" s="39" t="s">
        <v>58</v>
      </c>
      <c r="B39" s="2" t="s">
        <v>59</v>
      </c>
      <c r="C39" s="2" t="s">
        <v>60</v>
      </c>
    </row>
    <row r="40" customFormat="false" ht="12.8" hidden="false" customHeight="false" outlineLevel="1" collapsed="false">
      <c r="A40" s="39" t="s">
        <v>61</v>
      </c>
      <c r="B40" s="2" t="s">
        <v>62</v>
      </c>
      <c r="C40" s="2" t="s">
        <v>63</v>
      </c>
    </row>
    <row r="41" customFormat="false" ht="12.8" hidden="false" customHeight="false" outlineLevel="1" collapsed="false">
      <c r="A41" s="39" t="s">
        <v>64</v>
      </c>
      <c r="B41" s="2" t="s">
        <v>65</v>
      </c>
      <c r="C41" s="2" t="s">
        <v>66</v>
      </c>
    </row>
    <row r="42" customFormat="false" ht="12.8" hidden="false" customHeight="false" outlineLevel="1" collapsed="false">
      <c r="A42" s="39" t="s">
        <v>67</v>
      </c>
      <c r="B42" s="40" t="s">
        <v>68</v>
      </c>
      <c r="C42" s="2" t="s">
        <v>69</v>
      </c>
    </row>
    <row r="43" customFormat="false" ht="12.8" hidden="false" customHeight="false" outlineLevel="1" collapsed="false">
      <c r="A43" s="39" t="s">
        <v>70</v>
      </c>
      <c r="B43" s="40" t="s">
        <v>71</v>
      </c>
      <c r="C43" s="2" t="s">
        <v>72</v>
      </c>
    </row>
    <row r="44" customFormat="false" ht="12.8" hidden="false" customHeight="false" outlineLevel="1" collapsed="false">
      <c r="A44" s="39" t="s">
        <v>73</v>
      </c>
      <c r="B44" s="40" t="s">
        <v>74</v>
      </c>
      <c r="C44" s="2" t="s">
        <v>75</v>
      </c>
    </row>
    <row r="45" customFormat="false" ht="12.8" hidden="false" customHeight="false" outlineLevel="1" collapsed="false">
      <c r="A45" s="39" t="s">
        <v>76</v>
      </c>
      <c r="B45" s="40" t="s">
        <v>77</v>
      </c>
      <c r="C45" s="2" t="s">
        <v>78</v>
      </c>
    </row>
    <row r="46" customFormat="false" ht="12.8" hidden="false" customHeight="false" outlineLevel="1" collapsed="false">
      <c r="A46" s="39" t="s">
        <v>79</v>
      </c>
      <c r="B46" s="40" t="s">
        <v>80</v>
      </c>
      <c r="C46" s="2" t="s">
        <v>81</v>
      </c>
    </row>
    <row r="47" customFormat="false" ht="12.8" hidden="false" customHeight="false" outlineLevel="1" collapsed="false">
      <c r="A47" s="39" t="s">
        <v>82</v>
      </c>
      <c r="B47" s="40" t="s">
        <v>83</v>
      </c>
      <c r="C47" s="2" t="s">
        <v>84</v>
      </c>
    </row>
    <row r="48" customFormat="false" ht="12.8" hidden="false" customHeight="false" outlineLevel="1" collapsed="false">
      <c r="A48" s="39" t="s">
        <v>85</v>
      </c>
      <c r="B48" s="40" t="s">
        <v>86</v>
      </c>
      <c r="C48" s="2" t="s">
        <v>87</v>
      </c>
    </row>
    <row r="49" customFormat="false" ht="12.8" hidden="false" customHeight="false" outlineLevel="1" collapsed="false">
      <c r="A49" s="39" t="s">
        <v>88</v>
      </c>
      <c r="B49" s="40" t="s">
        <v>89</v>
      </c>
      <c r="C49" s="2" t="s">
        <v>90</v>
      </c>
    </row>
    <row r="50" customFormat="false" ht="12.8" hidden="false" customHeight="false" outlineLevel="1" collapsed="false">
      <c r="A50" s="39" t="s">
        <v>91</v>
      </c>
      <c r="B50" s="40" t="s">
        <v>92</v>
      </c>
      <c r="C50" s="2" t="s">
        <v>93</v>
      </c>
    </row>
    <row r="51" customFormat="false" ht="12.8" hidden="false" customHeight="false" outlineLevel="1" collapsed="false">
      <c r="A51" s="39" t="s">
        <v>94</v>
      </c>
      <c r="B51" s="40" t="s">
        <v>95</v>
      </c>
      <c r="C51" s="2" t="s">
        <v>96</v>
      </c>
    </row>
    <row r="52" customFormat="false" ht="12.8" hidden="false" customHeight="false" outlineLevel="1" collapsed="false">
      <c r="A52" s="39" t="s">
        <v>97</v>
      </c>
      <c r="B52" s="40" t="s">
        <v>98</v>
      </c>
      <c r="C52" s="2" t="s">
        <v>99</v>
      </c>
    </row>
    <row r="53" customFormat="false" ht="12.8" hidden="false" customHeight="false" outlineLevel="1" collapsed="false">
      <c r="A53" s="39" t="s">
        <v>100</v>
      </c>
      <c r="B53" s="2" t="s">
        <v>101</v>
      </c>
      <c r="C53" s="2" t="s">
        <v>102</v>
      </c>
    </row>
    <row r="54" customFormat="false" ht="12.8" hidden="false" customHeight="false" outlineLevel="1" collapsed="false">
      <c r="A54" s="39" t="s">
        <v>103</v>
      </c>
      <c r="B54" s="2" t="s">
        <v>104</v>
      </c>
      <c r="C54" s="2" t="s">
        <v>105</v>
      </c>
    </row>
    <row r="55" customFormat="false" ht="12.8" hidden="false" customHeight="false" outlineLevel="1" collapsed="false">
      <c r="A55" s="39" t="s">
        <v>106</v>
      </c>
      <c r="B55" s="2" t="s">
        <v>107</v>
      </c>
      <c r="C55" s="2" t="s">
        <v>108</v>
      </c>
    </row>
    <row r="56" customFormat="false" ht="12.8" hidden="false" customHeight="false" outlineLevel="1" collapsed="false">
      <c r="A56" s="39" t="s">
        <v>109</v>
      </c>
      <c r="B56" s="2" t="s">
        <v>110</v>
      </c>
      <c r="C56" s="2" t="s">
        <v>111</v>
      </c>
    </row>
    <row r="57" customFormat="false" ht="12.8" hidden="false" customHeight="false" outlineLevel="1" collapsed="false">
      <c r="A57" s="39" t="s">
        <v>112</v>
      </c>
      <c r="B57" s="2" t="s">
        <v>113</v>
      </c>
      <c r="C57" s="2" t="s">
        <v>114</v>
      </c>
    </row>
    <row r="60" s="3" customFormat="true" ht="12.8" hidden="false" customHeight="false" outlineLevel="0" collapsed="false"/>
    <row r="61" s="3" customFormat="true" ht="12.8" hidden="false" customHeight="false" outlineLevel="0" collapsed="false"/>
    <row r="62" s="3" customFormat="true" ht="12.8" hidden="false" customHeight="false" outlineLevel="0" collapsed="false"/>
    <row r="63" s="3" customFormat="true" ht="12.8" hidden="false" customHeight="false" outlineLevel="0" collapsed="false"/>
    <row r="64" s="3" customFormat="true" ht="12.8" hidden="false" customHeight="false" outlineLevel="0" collapsed="false"/>
    <row r="65" s="3" customFormat="true" ht="12.8" hidden="false" customHeight="false" outlineLevel="0" collapsed="false"/>
    <row r="66" s="3" customFormat="true" ht="12.8" hidden="false" customHeight="false" outlineLevel="0" collapsed="false"/>
    <row r="67" s="3" customFormat="true" ht="12.8" hidden="false" customHeight="false" outlineLevel="0" collapsed="false"/>
    <row r="68" s="3" customFormat="true" ht="12.8" hidden="false" customHeight="false" outlineLevel="0" collapsed="false"/>
    <row r="69" s="3" customFormat="true" ht="12.8" hidden="false" customHeight="false" outlineLevel="0" collapsed="false"/>
    <row r="70" s="3" customFormat="true" ht="12.8" hidden="false" customHeight="false" outlineLevel="0" collapsed="false"/>
    <row r="71" s="3" customFormat="true" ht="12.8" hidden="false" customHeight="false" outlineLevel="0" collapsed="false"/>
    <row r="72" s="3" customFormat="true" ht="12.8" hidden="false" customHeight="false" outlineLevel="0" collapsed="false"/>
    <row r="73" s="3" customFormat="true" ht="12.8" hidden="false" customHeight="false" outlineLevel="0" collapsed="false"/>
    <row r="74" s="3" customFormat="true" ht="12.8" hidden="false" customHeight="false" outlineLevel="0" collapsed="false"/>
    <row r="75" s="3" customFormat="true" ht="12.8" hidden="false" customHeight="false" outlineLevel="0" collapsed="false"/>
    <row r="76" s="3" customFormat="true" ht="12.8" hidden="false" customHeight="false" outlineLevel="0" collapsed="false"/>
    <row r="77"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DK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1" t="s">
        <v>115</v>
      </c>
      <c r="B1" s="42" t="s">
        <v>116</v>
      </c>
      <c r="C1" s="43"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2.8" hidden="false" customHeight="false" outlineLevel="0" collapsed="false">
      <c r="A3" s="4" t="n">
        <v>20</v>
      </c>
      <c r="B3" s="7" t="s">
        <v>122</v>
      </c>
      <c r="C3" s="7" t="s">
        <v>123</v>
      </c>
      <c r="D3" s="7" t="s">
        <v>124</v>
      </c>
      <c r="E3" s="7" t="s">
        <v>125</v>
      </c>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customFormat="false" ht="12.8" hidden="false" customHeight="false" outlineLevel="0" collapsed="false">
      <c r="A4" s="4" t="n">
        <v>19</v>
      </c>
      <c r="B4" s="7" t="s">
        <v>122</v>
      </c>
      <c r="C4" s="7" t="s">
        <v>126</v>
      </c>
      <c r="D4" s="7" t="s">
        <v>127</v>
      </c>
      <c r="E4" s="7" t="s">
        <v>128</v>
      </c>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12.8" hidden="false" customHeight="false" outlineLevel="0" collapsed="false">
      <c r="A5" s="4" t="s">
        <v>64</v>
      </c>
      <c r="B5" s="7" t="s">
        <v>129</v>
      </c>
      <c r="C5" s="7" t="s">
        <v>130</v>
      </c>
      <c r="D5" s="7" t="s">
        <v>131</v>
      </c>
      <c r="E5" s="7" t="s">
        <v>132</v>
      </c>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13.4" hidden="false" customHeight="false" outlineLevel="0" collapsed="false">
      <c r="A6" s="4" t="n">
        <v>17</v>
      </c>
      <c r="B6" s="7" t="s">
        <v>7</v>
      </c>
      <c r="C6" s="44" t="s">
        <v>133</v>
      </c>
      <c r="D6" s="7" t="s">
        <v>134</v>
      </c>
      <c r="E6" s="39" t="s">
        <v>125</v>
      </c>
      <c r="F6" s="7"/>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180.55" hidden="false" customHeight="false" outlineLevel="0" collapsed="false">
      <c r="A7" s="4" t="n">
        <v>16</v>
      </c>
      <c r="B7" s="7" t="s">
        <v>135</v>
      </c>
      <c r="C7" s="44" t="s">
        <v>136</v>
      </c>
      <c r="D7" s="7" t="s">
        <v>137</v>
      </c>
      <c r="E7" s="39" t="s">
        <v>132</v>
      </c>
      <c r="F7" s="7"/>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58.2" hidden="false" customHeight="false" outlineLevel="0" collapsed="false">
      <c r="A8" s="4" t="n">
        <v>15</v>
      </c>
      <c r="B8" s="2" t="s">
        <v>138</v>
      </c>
      <c r="C8" s="44" t="s">
        <v>139</v>
      </c>
      <c r="D8" s="7" t="s">
        <v>140</v>
      </c>
      <c r="E8" s="7" t="s">
        <v>125</v>
      </c>
      <c r="F8" s="7"/>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2.8" hidden="false" customHeight="false" outlineLevel="0" collapsed="false">
      <c r="A9" s="4" t="n">
        <v>14</v>
      </c>
      <c r="B9" s="2" t="s">
        <v>138</v>
      </c>
      <c r="C9" s="7" t="s">
        <v>141</v>
      </c>
      <c r="D9" s="7" t="s">
        <v>142</v>
      </c>
      <c r="E9" s="7" t="s">
        <v>132</v>
      </c>
      <c r="F9" s="7"/>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2.8" hidden="false" customHeight="false" outlineLevel="0" collapsed="false">
      <c r="A10" s="4" t="n">
        <v>13</v>
      </c>
      <c r="B10" s="2" t="s">
        <v>138</v>
      </c>
      <c r="C10" s="7" t="s">
        <v>141</v>
      </c>
      <c r="D10" s="7" t="s">
        <v>143</v>
      </c>
      <c r="E10" s="7" t="s">
        <v>132</v>
      </c>
      <c r="F10" s="7"/>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58.2" hidden="false" customHeight="false" outlineLevel="0" collapsed="false">
      <c r="A11" s="4" t="n">
        <v>12</v>
      </c>
      <c r="B11" s="2" t="s">
        <v>138</v>
      </c>
      <c r="C11" s="45" t="s">
        <v>144</v>
      </c>
      <c r="D11" s="7" t="s">
        <v>145</v>
      </c>
      <c r="E11" s="46" t="s">
        <v>125</v>
      </c>
      <c r="F11" s="7"/>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020.1" hidden="false" customHeight="false" outlineLevel="0" collapsed="false">
      <c r="A12" s="1" t="n">
        <v>11</v>
      </c>
      <c r="B12" s="2" t="s">
        <v>138</v>
      </c>
      <c r="C12" s="45" t="s">
        <v>144</v>
      </c>
      <c r="D12" s="2" t="s">
        <v>146</v>
      </c>
      <c r="E12" s="2" t="s">
        <v>128</v>
      </c>
      <c r="F12" s="45" t="s">
        <v>147</v>
      </c>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2.8" hidden="false" customHeight="false" outlineLevel="0" collapsed="false">
      <c r="A13" s="1" t="s">
        <v>40</v>
      </c>
      <c r="B13" s="2" t="s">
        <v>148</v>
      </c>
      <c r="C13" s="2" t="s">
        <v>149</v>
      </c>
      <c r="D13" s="2" t="s">
        <v>150</v>
      </c>
      <c r="E13" s="2" t="s">
        <v>125</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47" hidden="false" customHeight="false" outlineLevel="0" collapsed="false">
      <c r="A14" s="1" t="s">
        <v>37</v>
      </c>
      <c r="B14" s="2" t="s">
        <v>7</v>
      </c>
      <c r="C14" s="45" t="s">
        <v>151</v>
      </c>
      <c r="D14" s="2" t="s">
        <v>152</v>
      </c>
      <c r="E14" s="46" t="s">
        <v>128</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69.4" hidden="false" customHeight="false" outlineLevel="0" collapsed="false">
      <c r="A15" s="1" t="n">
        <v>8</v>
      </c>
      <c r="B15" s="2" t="s">
        <v>7</v>
      </c>
      <c r="C15" s="45" t="s">
        <v>153</v>
      </c>
      <c r="D15" s="2"/>
      <c r="E15" s="46" t="s">
        <v>125</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69.4" hidden="false" customHeight="false" outlineLevel="0" collapsed="false">
      <c r="A16" s="1" t="n">
        <v>7</v>
      </c>
      <c r="B16" s="2" t="s">
        <v>7</v>
      </c>
      <c r="C16" s="45" t="s">
        <v>153</v>
      </c>
      <c r="D16" s="2" t="s">
        <v>152</v>
      </c>
      <c r="E16" s="46" t="s">
        <v>128</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35.8" hidden="false" customHeight="false" outlineLevel="0" collapsed="false">
      <c r="A17" s="1" t="n">
        <v>6</v>
      </c>
      <c r="B17" s="2" t="s">
        <v>154</v>
      </c>
      <c r="C17" s="45" t="s">
        <v>155</v>
      </c>
      <c r="D17" s="2" t="s">
        <v>156</v>
      </c>
      <c r="E17" s="2" t="s">
        <v>128</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13.4" hidden="false" customHeight="false" outlineLevel="0" collapsed="false">
      <c r="A18" s="1" t="n">
        <v>5</v>
      </c>
      <c r="B18" s="2" t="s">
        <v>157</v>
      </c>
      <c r="C18" s="47" t="s">
        <v>158</v>
      </c>
      <c r="D18" s="2" t="s">
        <v>159</v>
      </c>
      <c r="E18" s="46" t="s">
        <v>125</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2.8" hidden="false" customHeight="false" outlineLevel="0" collapsed="false">
      <c r="A19" s="1" t="s">
        <v>24</v>
      </c>
      <c r="B19" s="2" t="s">
        <v>160</v>
      </c>
      <c r="C19" s="2" t="s">
        <v>161</v>
      </c>
      <c r="D19" s="2" t="s">
        <v>162</v>
      </c>
      <c r="E19" s="2" t="s">
        <v>128</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2.8" hidden="false" customHeight="false" outlineLevel="0" collapsed="false">
      <c r="A20" s="1" t="s">
        <v>21</v>
      </c>
      <c r="B20" s="2" t="s">
        <v>163</v>
      </c>
      <c r="C20" s="2" t="s">
        <v>161</v>
      </c>
      <c r="D20" s="2" t="s">
        <v>164</v>
      </c>
      <c r="E20" s="2" t="s">
        <v>132</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02.2" hidden="false" customHeight="false" outlineLevel="0" collapsed="false">
      <c r="A21" s="1" t="s">
        <v>18</v>
      </c>
      <c r="B21" s="2" t="s">
        <v>165</v>
      </c>
      <c r="C21" s="45" t="s">
        <v>166</v>
      </c>
      <c r="D21" s="2" t="s">
        <v>167</v>
      </c>
      <c r="E21" s="2" t="s">
        <v>125</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13.4" hidden="false" customHeight="false" outlineLevel="0" collapsed="false">
      <c r="A22" s="1" t="s">
        <v>15</v>
      </c>
      <c r="B22" s="2" t="s">
        <v>168</v>
      </c>
      <c r="C22" s="45" t="s">
        <v>169</v>
      </c>
      <c r="D22" s="2" t="s">
        <v>170</v>
      </c>
      <c r="E22" s="2" t="s">
        <v>128</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customFormat="false" ht="113.4" hidden="false" customHeight="false" outlineLevel="0" collapsed="false">
      <c r="A23" s="1" t="s">
        <v>12</v>
      </c>
      <c r="B23" s="2" t="s">
        <v>171</v>
      </c>
      <c r="C23" s="45" t="s">
        <v>169</v>
      </c>
      <c r="D23" s="2" t="s">
        <v>172</v>
      </c>
      <c r="E23" s="2" t="s">
        <v>125</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52" activeCellId="0" sqref="D52"/>
    </sheetView>
  </sheetViews>
  <sheetFormatPr defaultColWidth="11.53515625" defaultRowHeight="12.8" customHeight="false" zeroHeight="false" outlineLevelRow="0" outlineLevelCol="0"/>
  <cols>
    <col collapsed="false" customWidth="true" hidden="false" outlineLevel="0" max="1" min="1" style="48" width="20.76"/>
    <col collapsed="false" customWidth="true" hidden="false" outlineLevel="0" max="2" min="2" style="3"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1" t="s">
        <v>173</v>
      </c>
      <c r="B1" s="39" t="s">
        <v>174</v>
      </c>
      <c r="C1" s="39" t="s">
        <v>175</v>
      </c>
      <c r="D1" s="39"/>
      <c r="E1" s="39"/>
      <c r="F1" s="39"/>
    </row>
    <row r="2" customFormat="false" ht="12.8" hidden="false" customHeight="false" outlineLevel="0" collapsed="false">
      <c r="A2" s="49" t="s">
        <v>176</v>
      </c>
      <c r="B2" s="49" t="s">
        <v>177</v>
      </c>
      <c r="C2" s="49" t="s">
        <v>178</v>
      </c>
      <c r="D2" s="49" t="s">
        <v>179</v>
      </c>
      <c r="E2" s="49" t="s">
        <v>180</v>
      </c>
      <c r="F2" s="49" t="s">
        <v>181</v>
      </c>
    </row>
    <row r="3" customFormat="false" ht="12.8" hidden="false" customHeight="false" outlineLevel="0" collapsed="false">
      <c r="A3" s="39" t="s">
        <v>182</v>
      </c>
      <c r="B3" s="39" t="s">
        <v>183</v>
      </c>
      <c r="C3" s="39" t="s">
        <v>184</v>
      </c>
      <c r="D3" s="39" t="s">
        <v>185</v>
      </c>
      <c r="E3" s="39" t="s">
        <v>186</v>
      </c>
      <c r="F3" s="39" t="s">
        <v>187</v>
      </c>
    </row>
    <row r="4" customFormat="false" ht="12.8" hidden="false" customHeight="false" outlineLevel="0" collapsed="false">
      <c r="A4" s="39" t="s">
        <v>188</v>
      </c>
      <c r="B4" s="39" t="s">
        <v>183</v>
      </c>
      <c r="C4" s="39" t="s">
        <v>189</v>
      </c>
      <c r="D4" s="39" t="s">
        <v>190</v>
      </c>
      <c r="E4" s="39" t="s">
        <v>191</v>
      </c>
      <c r="F4" s="39" t="s">
        <v>192</v>
      </c>
    </row>
    <row r="5" customFormat="false" ht="12.8" hidden="false" customHeight="false" outlineLevel="0" collapsed="false">
      <c r="A5" s="39" t="s">
        <v>193</v>
      </c>
      <c r="B5" s="39" t="s">
        <v>183</v>
      </c>
      <c r="C5" s="39" t="s">
        <v>194</v>
      </c>
      <c r="D5" s="39" t="s">
        <v>195</v>
      </c>
      <c r="E5" s="39" t="s">
        <v>196</v>
      </c>
      <c r="F5" s="39" t="s">
        <v>197</v>
      </c>
    </row>
    <row r="6" customFormat="false" ht="12.8" hidden="false" customHeight="false" outlineLevel="0" collapsed="false">
      <c r="A6" s="39" t="s">
        <v>198</v>
      </c>
      <c r="B6" s="39" t="s">
        <v>183</v>
      </c>
      <c r="C6" s="39" t="s">
        <v>199</v>
      </c>
      <c r="D6" s="39" t="s">
        <v>200</v>
      </c>
      <c r="E6" s="39" t="s">
        <v>201</v>
      </c>
      <c r="F6" s="39" t="s">
        <v>202</v>
      </c>
    </row>
    <row r="7" customFormat="false" ht="12.8" hidden="false" customHeight="false" outlineLevel="0" collapsed="false">
      <c r="A7" s="39" t="s">
        <v>203</v>
      </c>
      <c r="B7" s="39" t="s">
        <v>183</v>
      </c>
      <c r="C7" s="39" t="s">
        <v>204</v>
      </c>
      <c r="D7" s="39" t="s">
        <v>205</v>
      </c>
      <c r="E7" s="39" t="s">
        <v>206</v>
      </c>
      <c r="F7" s="39" t="s">
        <v>207</v>
      </c>
    </row>
    <row r="8" customFormat="false" ht="12.8" hidden="false" customHeight="false" outlineLevel="0" collapsed="false">
      <c r="A8" s="39" t="s">
        <v>208</v>
      </c>
      <c r="B8" s="39" t="s">
        <v>183</v>
      </c>
      <c r="C8" s="39" t="s">
        <v>209</v>
      </c>
      <c r="D8" s="39" t="s">
        <v>210</v>
      </c>
      <c r="E8" s="39" t="s">
        <v>211</v>
      </c>
      <c r="F8" s="39" t="s">
        <v>212</v>
      </c>
    </row>
    <row r="9" customFormat="false" ht="12.8" hidden="false" customHeight="false" outlineLevel="0" collapsed="false">
      <c r="A9" s="39" t="s">
        <v>213</v>
      </c>
      <c r="B9" s="39" t="s">
        <v>183</v>
      </c>
      <c r="C9" s="39" t="s">
        <v>214</v>
      </c>
      <c r="D9" s="39" t="s">
        <v>215</v>
      </c>
      <c r="E9" s="39" t="s">
        <v>216</v>
      </c>
      <c r="F9" s="39" t="s">
        <v>217</v>
      </c>
    </row>
    <row r="10" customFormat="false" ht="12.8" hidden="false" customHeight="false" outlineLevel="0" collapsed="false">
      <c r="A10" s="39" t="s">
        <v>218</v>
      </c>
      <c r="B10" s="39" t="s">
        <v>183</v>
      </c>
      <c r="C10" s="39" t="s">
        <v>219</v>
      </c>
      <c r="D10" s="39" t="s">
        <v>220</v>
      </c>
      <c r="E10" s="39" t="s">
        <v>221</v>
      </c>
      <c r="F10" s="39" t="s">
        <v>222</v>
      </c>
    </row>
    <row r="11" customFormat="false" ht="12.8" hidden="false" customHeight="false" outlineLevel="0" collapsed="false">
      <c r="A11" s="39" t="s">
        <v>223</v>
      </c>
      <c r="B11" s="39" t="s">
        <v>183</v>
      </c>
      <c r="C11" s="39" t="s">
        <v>224</v>
      </c>
      <c r="D11" s="39" t="s">
        <v>225</v>
      </c>
      <c r="E11" s="39" t="s">
        <v>226</v>
      </c>
      <c r="F11" s="39" t="s">
        <v>227</v>
      </c>
    </row>
    <row r="12" customFormat="false" ht="12.8" hidden="false" customHeight="false" outlineLevel="0" collapsed="false">
      <c r="A12" s="39" t="s">
        <v>228</v>
      </c>
      <c r="B12" s="39" t="s">
        <v>183</v>
      </c>
      <c r="C12" s="39" t="s">
        <v>229</v>
      </c>
      <c r="D12" s="39" t="s">
        <v>230</v>
      </c>
      <c r="E12" s="39" t="s">
        <v>231</v>
      </c>
      <c r="F12" s="39" t="s">
        <v>232</v>
      </c>
    </row>
    <row r="13" customFormat="false" ht="12.8" hidden="false" customHeight="false" outlineLevel="0" collapsed="false">
      <c r="A13" s="39" t="s">
        <v>233</v>
      </c>
      <c r="B13" s="39" t="s">
        <v>183</v>
      </c>
      <c r="C13" s="39" t="s">
        <v>234</v>
      </c>
      <c r="D13" s="39" t="s">
        <v>235</v>
      </c>
      <c r="E13" s="39" t="s">
        <v>236</v>
      </c>
      <c r="F13" s="39" t="s">
        <v>237</v>
      </c>
    </row>
    <row r="14" customFormat="false" ht="12.8" hidden="false" customHeight="false" outlineLevel="0" collapsed="false">
      <c r="A14" s="39" t="s">
        <v>238</v>
      </c>
      <c r="B14" s="39" t="s">
        <v>183</v>
      </c>
      <c r="C14" s="39" t="s">
        <v>239</v>
      </c>
      <c r="D14" s="39" t="s">
        <v>240</v>
      </c>
      <c r="E14" s="39" t="s">
        <v>241</v>
      </c>
      <c r="F14" s="39" t="s">
        <v>242</v>
      </c>
    </row>
    <row r="15" customFormat="false" ht="12.8" hidden="false" customHeight="false" outlineLevel="0" collapsed="false">
      <c r="A15" s="39" t="s">
        <v>243</v>
      </c>
      <c r="B15" s="39" t="s">
        <v>183</v>
      </c>
      <c r="C15" s="39" t="s">
        <v>244</v>
      </c>
      <c r="D15" s="39" t="s">
        <v>245</v>
      </c>
      <c r="E15" s="39" t="s">
        <v>246</v>
      </c>
      <c r="F15" s="39" t="s">
        <v>247</v>
      </c>
    </row>
    <row r="16" customFormat="false" ht="12.8" hidden="false" customHeight="false" outlineLevel="0" collapsed="false">
      <c r="A16" s="39" t="s">
        <v>248</v>
      </c>
      <c r="B16" s="39" t="s">
        <v>183</v>
      </c>
      <c r="C16" s="39" t="s">
        <v>249</v>
      </c>
      <c r="D16" s="39" t="s">
        <v>250</v>
      </c>
      <c r="E16" s="39" t="s">
        <v>251</v>
      </c>
      <c r="F16" s="39" t="s">
        <v>252</v>
      </c>
    </row>
    <row r="17" customFormat="false" ht="12.8" hidden="false" customHeight="false" outlineLevel="0" collapsed="false">
      <c r="A17" s="39" t="s">
        <v>253</v>
      </c>
      <c r="B17" s="39" t="s">
        <v>183</v>
      </c>
      <c r="C17" s="39" t="s">
        <v>254</v>
      </c>
      <c r="D17" s="39" t="s">
        <v>255</v>
      </c>
      <c r="E17" s="39" t="s">
        <v>256</v>
      </c>
      <c r="F17" s="39" t="s">
        <v>257</v>
      </c>
    </row>
    <row r="18" customFormat="false" ht="12.8" hidden="false" customHeight="false" outlineLevel="0" collapsed="false">
      <c r="A18" s="39" t="s">
        <v>258</v>
      </c>
      <c r="B18" s="39" t="s">
        <v>183</v>
      </c>
      <c r="C18" s="39" t="s">
        <v>259</v>
      </c>
      <c r="D18" s="39" t="s">
        <v>260</v>
      </c>
      <c r="E18" s="39" t="s">
        <v>261</v>
      </c>
      <c r="F18" s="39" t="s">
        <v>262</v>
      </c>
    </row>
    <row r="19" customFormat="false" ht="12.8" hidden="false" customHeight="false" outlineLevel="0" collapsed="false">
      <c r="A19" s="39" t="s">
        <v>263</v>
      </c>
      <c r="B19" s="39" t="s">
        <v>183</v>
      </c>
      <c r="C19" s="39" t="s">
        <v>264</v>
      </c>
      <c r="D19" s="39" t="s">
        <v>265</v>
      </c>
      <c r="E19" s="39" t="s">
        <v>266</v>
      </c>
      <c r="F19" s="39" t="s">
        <v>267</v>
      </c>
    </row>
    <row r="20" customFormat="false" ht="12.8" hidden="false" customHeight="false" outlineLevel="0" collapsed="false">
      <c r="A20" s="39" t="s">
        <v>268</v>
      </c>
      <c r="B20" s="39" t="s">
        <v>183</v>
      </c>
      <c r="C20" s="39" t="s">
        <v>269</v>
      </c>
      <c r="D20" s="39" t="s">
        <v>270</v>
      </c>
      <c r="E20" s="39" t="s">
        <v>271</v>
      </c>
      <c r="F20" s="39" t="s">
        <v>272</v>
      </c>
    </row>
    <row r="21" customFormat="false" ht="12.8" hidden="false" customHeight="false" outlineLevel="0" collapsed="false">
      <c r="A21" s="39" t="s">
        <v>273</v>
      </c>
      <c r="B21" s="39" t="s">
        <v>183</v>
      </c>
      <c r="C21" s="39" t="s">
        <v>274</v>
      </c>
      <c r="D21" s="39" t="s">
        <v>275</v>
      </c>
      <c r="E21" s="39" t="s">
        <v>276</v>
      </c>
      <c r="F21" s="39" t="s">
        <v>277</v>
      </c>
    </row>
    <row r="22" customFormat="false" ht="12.8" hidden="false" customHeight="false" outlineLevel="0" collapsed="false">
      <c r="A22" s="39" t="s">
        <v>278</v>
      </c>
      <c r="B22" s="39" t="s">
        <v>183</v>
      </c>
      <c r="C22" s="39" t="s">
        <v>279</v>
      </c>
      <c r="D22" s="39" t="s">
        <v>280</v>
      </c>
      <c r="E22" s="39" t="s">
        <v>281</v>
      </c>
      <c r="F22" s="39" t="s">
        <v>282</v>
      </c>
    </row>
    <row r="23" customFormat="false" ht="12.8" hidden="false" customHeight="false" outlineLevel="0" collapsed="false">
      <c r="A23" s="39" t="s">
        <v>283</v>
      </c>
      <c r="B23" s="39" t="s">
        <v>183</v>
      </c>
      <c r="C23" s="39" t="s">
        <v>284</v>
      </c>
      <c r="D23" s="39" t="s">
        <v>285</v>
      </c>
      <c r="E23" s="39" t="s">
        <v>286</v>
      </c>
      <c r="F23" s="39" t="s">
        <v>287</v>
      </c>
    </row>
    <row r="24" customFormat="false" ht="12.8" hidden="false" customHeight="false" outlineLevel="0" collapsed="false">
      <c r="A24" s="39" t="s">
        <v>288</v>
      </c>
      <c r="B24" s="39" t="s">
        <v>183</v>
      </c>
      <c r="C24" s="39" t="s">
        <v>289</v>
      </c>
      <c r="D24" s="39" t="s">
        <v>290</v>
      </c>
      <c r="E24" s="39" t="s">
        <v>291</v>
      </c>
      <c r="F24" s="39" t="s">
        <v>292</v>
      </c>
    </row>
    <row r="25" customFormat="false" ht="12.8" hidden="false" customHeight="false" outlineLevel="0" collapsed="false">
      <c r="A25" s="39" t="s">
        <v>263</v>
      </c>
      <c r="B25" s="39" t="s">
        <v>183</v>
      </c>
      <c r="C25" s="39" t="s">
        <v>264</v>
      </c>
      <c r="D25" s="39" t="s">
        <v>265</v>
      </c>
      <c r="E25" s="39" t="s">
        <v>266</v>
      </c>
      <c r="F25" s="39" t="s">
        <v>267</v>
      </c>
    </row>
    <row r="26" customFormat="false" ht="12.8" hidden="false" customHeight="false" outlineLevel="0" collapsed="false">
      <c r="A26" s="39" t="s">
        <v>268</v>
      </c>
      <c r="B26" s="39" t="s">
        <v>183</v>
      </c>
      <c r="C26" s="39" t="s">
        <v>269</v>
      </c>
      <c r="D26" s="39" t="s">
        <v>270</v>
      </c>
      <c r="E26" s="39" t="s">
        <v>271</v>
      </c>
      <c r="F26" s="39" t="s">
        <v>272</v>
      </c>
    </row>
    <row r="27" customFormat="false" ht="12.8" hidden="false" customHeight="false" outlineLevel="0" collapsed="false">
      <c r="A27" s="39" t="s">
        <v>273</v>
      </c>
      <c r="B27" s="39" t="s">
        <v>183</v>
      </c>
      <c r="C27" s="39" t="s">
        <v>274</v>
      </c>
      <c r="D27" s="39" t="s">
        <v>275</v>
      </c>
      <c r="E27" s="39" t="s">
        <v>276</v>
      </c>
      <c r="F27" s="39" t="s">
        <v>277</v>
      </c>
    </row>
    <row r="28" customFormat="false" ht="12.8" hidden="false" customHeight="false" outlineLevel="0" collapsed="false">
      <c r="A28" s="39" t="s">
        <v>278</v>
      </c>
      <c r="B28" s="39" t="s">
        <v>183</v>
      </c>
      <c r="C28" s="39" t="s">
        <v>279</v>
      </c>
      <c r="D28" s="39" t="s">
        <v>293</v>
      </c>
      <c r="E28" s="39" t="s">
        <v>294</v>
      </c>
      <c r="F28" s="39" t="s">
        <v>295</v>
      </c>
    </row>
    <row r="29" customFormat="false" ht="12.8" hidden="false" customHeight="false" outlineLevel="0" collapsed="false">
      <c r="A29" s="39" t="s">
        <v>283</v>
      </c>
      <c r="B29" s="39" t="s">
        <v>183</v>
      </c>
      <c r="C29" s="39" t="s">
        <v>284</v>
      </c>
      <c r="D29" s="39" t="s">
        <v>296</v>
      </c>
      <c r="E29" s="39" t="s">
        <v>297</v>
      </c>
      <c r="F29" s="39" t="s">
        <v>298</v>
      </c>
    </row>
    <row r="30" customFormat="false" ht="12.8" hidden="false" customHeight="false" outlineLevel="0" collapsed="false">
      <c r="A30" s="39" t="s">
        <v>288</v>
      </c>
      <c r="B30" s="39" t="s">
        <v>183</v>
      </c>
      <c r="C30" s="39" t="s">
        <v>289</v>
      </c>
      <c r="D30" s="39" t="s">
        <v>299</v>
      </c>
      <c r="E30" s="39" t="s">
        <v>300</v>
      </c>
      <c r="F30" s="39" t="s">
        <v>301</v>
      </c>
    </row>
    <row r="31" customFormat="false" ht="12.8" hidden="false" customHeight="false" outlineLevel="0" collapsed="false">
      <c r="A31" s="39" t="s">
        <v>302</v>
      </c>
      <c r="B31" s="39" t="s">
        <v>183</v>
      </c>
      <c r="C31" s="39" t="s">
        <v>303</v>
      </c>
      <c r="D31" s="39" t="s">
        <v>304</v>
      </c>
      <c r="E31" s="39" t="s">
        <v>305</v>
      </c>
      <c r="F31" s="39" t="s">
        <v>306</v>
      </c>
    </row>
    <row r="32" customFormat="false" ht="12.8" hidden="false" customHeight="false" outlineLevel="0" collapsed="false">
      <c r="A32" s="39" t="s">
        <v>307</v>
      </c>
      <c r="B32" s="39" t="s">
        <v>183</v>
      </c>
      <c r="C32" s="39" t="s">
        <v>308</v>
      </c>
      <c r="D32" s="39" t="s">
        <v>309</v>
      </c>
      <c r="E32" s="39" t="s">
        <v>310</v>
      </c>
      <c r="F32" s="39" t="s">
        <v>311</v>
      </c>
    </row>
    <row r="33" customFormat="false" ht="12.8" hidden="false" customHeight="false" outlineLevel="0" collapsed="false">
      <c r="A33" s="39" t="s">
        <v>312</v>
      </c>
      <c r="B33" s="39" t="s">
        <v>183</v>
      </c>
      <c r="C33" s="39" t="s">
        <v>313</v>
      </c>
      <c r="D33" s="39" t="s">
        <v>314</v>
      </c>
      <c r="E33" s="39" t="s">
        <v>315</v>
      </c>
      <c r="F33" s="39" t="s">
        <v>316</v>
      </c>
    </row>
    <row r="34" customFormat="false" ht="12.8" hidden="false" customHeight="false" outlineLevel="0" collapsed="false">
      <c r="A34" s="39" t="s">
        <v>317</v>
      </c>
      <c r="B34" s="39" t="s">
        <v>183</v>
      </c>
      <c r="C34" s="39" t="s">
        <v>318</v>
      </c>
      <c r="D34" s="39" t="s">
        <v>319</v>
      </c>
      <c r="E34" s="39" t="s">
        <v>320</v>
      </c>
      <c r="F34" s="39" t="s">
        <v>321</v>
      </c>
    </row>
    <row r="35" customFormat="false" ht="12.8" hidden="false" customHeight="false" outlineLevel="0" collapsed="false">
      <c r="A35" s="39" t="s">
        <v>322</v>
      </c>
      <c r="B35" s="39" t="s">
        <v>183</v>
      </c>
      <c r="C35" s="39" t="s">
        <v>323</v>
      </c>
      <c r="D35" s="39" t="s">
        <v>324</v>
      </c>
      <c r="E35" s="39" t="s">
        <v>325</v>
      </c>
      <c r="F35" s="39" t="s">
        <v>326</v>
      </c>
    </row>
    <row r="36" customFormat="false" ht="12.8" hidden="false" customHeight="false" outlineLevel="0" collapsed="false">
      <c r="A36" s="39" t="s">
        <v>327</v>
      </c>
      <c r="B36" s="39" t="s">
        <v>183</v>
      </c>
      <c r="C36" s="39" t="s">
        <v>328</v>
      </c>
      <c r="D36" s="39" t="s">
        <v>329</v>
      </c>
      <c r="E36" s="39" t="s">
        <v>330</v>
      </c>
      <c r="F36" s="39" t="s">
        <v>331</v>
      </c>
    </row>
    <row r="37" customFormat="false" ht="12.8" hidden="false" customHeight="false" outlineLevel="0" collapsed="false">
      <c r="A37" s="39" t="s">
        <v>332</v>
      </c>
      <c r="B37" s="39" t="s">
        <v>333</v>
      </c>
      <c r="C37" s="39" t="s">
        <v>334</v>
      </c>
      <c r="D37" s="39" t="s">
        <v>335</v>
      </c>
      <c r="E37" s="39" t="s">
        <v>336</v>
      </c>
      <c r="F37" s="39" t="s">
        <v>337</v>
      </c>
    </row>
    <row r="38" customFormat="false" ht="12.8" hidden="false" customHeight="false" outlineLevel="0" collapsed="false">
      <c r="A38" s="39" t="s">
        <v>338</v>
      </c>
      <c r="B38" s="39" t="s">
        <v>333</v>
      </c>
      <c r="C38" s="39" t="s">
        <v>339</v>
      </c>
      <c r="D38" s="39" t="s">
        <v>340</v>
      </c>
      <c r="E38" s="39" t="s">
        <v>341</v>
      </c>
      <c r="F38" s="39" t="s">
        <v>342</v>
      </c>
    </row>
    <row r="39" customFormat="false" ht="12.8" hidden="false" customHeight="false" outlineLevel="0" collapsed="false">
      <c r="A39" s="39" t="s">
        <v>343</v>
      </c>
      <c r="B39" s="39" t="s">
        <v>333</v>
      </c>
      <c r="C39" s="39" t="s">
        <v>344</v>
      </c>
      <c r="D39" s="39" t="s">
        <v>345</v>
      </c>
      <c r="E39" s="39" t="s">
        <v>346</v>
      </c>
      <c r="F39" s="39" t="s">
        <v>347</v>
      </c>
    </row>
    <row r="40" customFormat="false" ht="12.8" hidden="false" customHeight="false" outlineLevel="0" collapsed="false">
      <c r="A40" s="39" t="s">
        <v>348</v>
      </c>
      <c r="B40" s="39" t="s">
        <v>349</v>
      </c>
      <c r="C40" s="39" t="s">
        <v>350</v>
      </c>
      <c r="D40" s="39" t="s">
        <v>351</v>
      </c>
      <c r="E40" s="39" t="s">
        <v>352</v>
      </c>
      <c r="F40" s="39" t="s">
        <v>353</v>
      </c>
    </row>
    <row r="41" customFormat="false" ht="12.8" hidden="false" customHeight="false" outlineLevel="0" collapsed="false">
      <c r="A41" s="39" t="s">
        <v>354</v>
      </c>
      <c r="B41" s="39" t="s">
        <v>349</v>
      </c>
      <c r="C41" s="39" t="s">
        <v>355</v>
      </c>
      <c r="D41" s="39" t="s">
        <v>356</v>
      </c>
      <c r="E41" s="39" t="s">
        <v>357</v>
      </c>
      <c r="F41" s="39" t="s">
        <v>358</v>
      </c>
    </row>
    <row r="42" customFormat="false" ht="12.8" hidden="false" customHeight="false" outlineLevel="0" collapsed="false">
      <c r="A42" s="39" t="s">
        <v>359</v>
      </c>
      <c r="B42" s="39" t="s">
        <v>349</v>
      </c>
      <c r="C42" s="39" t="s">
        <v>360</v>
      </c>
      <c r="D42" s="39" t="s">
        <v>361</v>
      </c>
      <c r="E42" s="39" t="s">
        <v>362</v>
      </c>
      <c r="F42" s="39" t="s">
        <v>363</v>
      </c>
    </row>
    <row r="43" customFormat="false" ht="12.8" hidden="false" customHeight="false" outlineLevel="0" collapsed="false">
      <c r="A43" s="48" t="s">
        <v>364</v>
      </c>
      <c r="B43" s="3" t="s">
        <v>365</v>
      </c>
      <c r="C43" s="3" t="s">
        <v>366</v>
      </c>
      <c r="D43" s="3" t="s">
        <v>367</v>
      </c>
      <c r="E43" s="3" t="s">
        <v>368</v>
      </c>
      <c r="F43" s="3" t="s">
        <v>369</v>
      </c>
    </row>
    <row r="44" customFormat="false" ht="12.8" hidden="false" customHeight="false" outlineLevel="0" collapsed="false">
      <c r="A44" s="48" t="s">
        <v>370</v>
      </c>
      <c r="B44" s="3" t="s">
        <v>365</v>
      </c>
      <c r="C44" s="3" t="s">
        <v>371</v>
      </c>
      <c r="D44" s="3" t="s">
        <v>372</v>
      </c>
      <c r="E44" s="3" t="s">
        <v>357</v>
      </c>
      <c r="F44" s="3" t="s">
        <v>373</v>
      </c>
    </row>
    <row r="45" customFormat="false" ht="12.8" hidden="false" customHeight="false" outlineLevel="0" collapsed="false">
      <c r="A45" s="48" t="s">
        <v>374</v>
      </c>
      <c r="B45" s="3" t="s">
        <v>365</v>
      </c>
      <c r="C45" s="3" t="s">
        <v>375</v>
      </c>
      <c r="D45" s="3" t="s">
        <v>376</v>
      </c>
      <c r="E45" s="3" t="s">
        <v>377</v>
      </c>
      <c r="F45" s="3" t="s">
        <v>378</v>
      </c>
    </row>
    <row r="46" customFormat="false" ht="12.8" hidden="false" customHeight="false" outlineLevel="0" collapsed="false">
      <c r="A46" s="50" t="s">
        <v>379</v>
      </c>
      <c r="B46" s="50" t="s">
        <v>380</v>
      </c>
      <c r="C46" s="50" t="s">
        <v>381</v>
      </c>
      <c r="D46" s="50" t="s">
        <v>382</v>
      </c>
      <c r="E46" s="50" t="s">
        <v>383</v>
      </c>
      <c r="F46" s="50" t="s">
        <v>384</v>
      </c>
    </row>
    <row r="47" customFormat="false" ht="12.8" hidden="false" customHeight="false" outlineLevel="0" collapsed="false">
      <c r="A47" s="50" t="s">
        <v>385</v>
      </c>
      <c r="B47" s="50" t="s">
        <v>380</v>
      </c>
      <c r="C47" s="50" t="s">
        <v>386</v>
      </c>
      <c r="D47" s="50" t="s">
        <v>387</v>
      </c>
      <c r="E47" s="50" t="s">
        <v>388</v>
      </c>
      <c r="F47" s="50" t="s">
        <v>389</v>
      </c>
    </row>
    <row r="48" customFormat="false" ht="12.8" hidden="false" customHeight="false" outlineLevel="0" collapsed="false">
      <c r="A48" s="50" t="s">
        <v>390</v>
      </c>
      <c r="B48" s="50" t="s">
        <v>380</v>
      </c>
      <c r="C48" s="50" t="s">
        <v>391</v>
      </c>
      <c r="D48" s="50" t="s">
        <v>392</v>
      </c>
      <c r="E48" s="50" t="s">
        <v>393</v>
      </c>
      <c r="F48" s="50" t="s">
        <v>394</v>
      </c>
    </row>
    <row r="49" customFormat="false" ht="12.8" hidden="false" customHeight="false" outlineLevel="0" collapsed="false">
      <c r="A49" s="50" t="s">
        <v>395</v>
      </c>
      <c r="B49" s="50" t="s">
        <v>396</v>
      </c>
      <c r="C49" s="50" t="s">
        <v>397</v>
      </c>
      <c r="D49" s="50" t="s">
        <v>398</v>
      </c>
      <c r="E49" s="50" t="s">
        <v>399</v>
      </c>
      <c r="F49" s="50" t="s">
        <v>400</v>
      </c>
    </row>
    <row r="50" customFormat="false" ht="12.8" hidden="false" customHeight="false" outlineLevel="0" collapsed="false">
      <c r="A50" s="50" t="s">
        <v>401</v>
      </c>
      <c r="B50" s="50" t="s">
        <v>396</v>
      </c>
      <c r="C50" s="50" t="s">
        <v>402</v>
      </c>
      <c r="D50" s="50" t="s">
        <v>403</v>
      </c>
      <c r="E50" s="50" t="s">
        <v>388</v>
      </c>
      <c r="F50" s="50" t="s">
        <v>404</v>
      </c>
    </row>
    <row r="51" customFormat="false" ht="12.8" hidden="false" customHeight="false" outlineLevel="0" collapsed="false">
      <c r="A51" s="50" t="s">
        <v>405</v>
      </c>
      <c r="B51" s="50" t="s">
        <v>396</v>
      </c>
      <c r="C51" s="50" t="s">
        <v>406</v>
      </c>
      <c r="D51" s="50" t="s">
        <v>407</v>
      </c>
      <c r="E51" s="50" t="s">
        <v>408</v>
      </c>
      <c r="F51" s="50" t="s">
        <v>409</v>
      </c>
    </row>
    <row r="52" customFormat="false" ht="12.8" hidden="false" customHeight="false" outlineLevel="0" collapsed="false">
      <c r="A52" s="50" t="s">
        <v>410</v>
      </c>
      <c r="B52" s="50" t="s">
        <v>411</v>
      </c>
      <c r="C52" s="50" t="s">
        <v>412</v>
      </c>
      <c r="D52" s="50" t="s">
        <v>413</v>
      </c>
      <c r="E52" s="50" t="s">
        <v>414</v>
      </c>
      <c r="F52" s="50" t="s">
        <v>415</v>
      </c>
    </row>
    <row r="53" customFormat="false" ht="12.8" hidden="false" customHeight="false" outlineLevel="0" collapsed="false">
      <c r="A53" s="50" t="s">
        <v>416</v>
      </c>
      <c r="B53" s="50" t="s">
        <v>411</v>
      </c>
      <c r="C53" s="50" t="s">
        <v>417</v>
      </c>
      <c r="D53" s="50" t="s">
        <v>418</v>
      </c>
      <c r="E53" s="50" t="s">
        <v>388</v>
      </c>
      <c r="F53" s="50" t="s">
        <v>419</v>
      </c>
    </row>
    <row r="54" customFormat="false" ht="12.8" hidden="false" customHeight="false" outlineLevel="0" collapsed="false">
      <c r="A54" s="50" t="s">
        <v>420</v>
      </c>
      <c r="B54" s="50" t="s">
        <v>411</v>
      </c>
      <c r="C54" s="50" t="s">
        <v>421</v>
      </c>
      <c r="D54" s="50" t="s">
        <v>422</v>
      </c>
      <c r="E54" s="50" t="s">
        <v>423</v>
      </c>
      <c r="F54" s="50" t="s">
        <v>424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1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C1086" activePane="bottomRight" state="frozen"/>
      <selection pane="topLeft" activeCell="A1" activeCellId="0" sqref="A1"/>
      <selection pane="topRight" activeCell="C1" activeCellId="0" sqref="C1"/>
      <selection pane="bottomLeft" activeCell="A1086" activeCellId="0" sqref="A1086"/>
      <selection pane="bottomRight" activeCell="B1119" activeCellId="0" sqref="B1119"/>
    </sheetView>
  </sheetViews>
  <sheetFormatPr defaultColWidth="11.53515625" defaultRowHeight="12.8" customHeight="false" zeroHeight="false" outlineLevelRow="0" outlineLevelCol="0"/>
  <cols>
    <col collapsed="false" customWidth="true" hidden="false" outlineLevel="0" max="1" min="1" style="48"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51" t="s">
        <v>425</v>
      </c>
      <c r="B1" s="39" t="s">
        <v>426</v>
      </c>
      <c r="C1" s="39" t="s">
        <v>175</v>
      </c>
      <c r="E1" s="39"/>
      <c r="F1" s="39"/>
      <c r="G1" s="39"/>
      <c r="H1" s="3"/>
    </row>
    <row r="2" customFormat="false" ht="12.8" hidden="false" customHeight="false" outlineLevel="0" collapsed="false">
      <c r="A2" s="49" t="s">
        <v>176</v>
      </c>
      <c r="B2" s="49" t="s">
        <v>178</v>
      </c>
      <c r="C2" s="49" t="s">
        <v>427</v>
      </c>
      <c r="D2" s="49" t="s">
        <v>180</v>
      </c>
      <c r="E2" s="49" t="s">
        <v>428</v>
      </c>
      <c r="F2" s="49" t="s">
        <v>429</v>
      </c>
      <c r="G2" s="49" t="s">
        <v>430</v>
      </c>
      <c r="H2" s="49" t="s">
        <v>181</v>
      </c>
    </row>
    <row r="3" customFormat="false" ht="12.8" hidden="false" customHeight="false" outlineLevel="0" collapsed="false">
      <c r="A3" s="39" t="s">
        <v>431</v>
      </c>
      <c r="B3" s="39" t="s">
        <v>432</v>
      </c>
      <c r="C3" s="39" t="n">
        <v>2215000</v>
      </c>
      <c r="D3" s="39" t="s">
        <v>433</v>
      </c>
      <c r="E3" s="39" t="s">
        <v>434</v>
      </c>
      <c r="F3" s="39" t="s">
        <v>435</v>
      </c>
      <c r="G3" s="52" t="s">
        <v>436</v>
      </c>
      <c r="H3" s="39"/>
    </row>
    <row r="4" customFormat="false" ht="12.8" hidden="false" customHeight="false" outlineLevel="0" collapsed="false">
      <c r="A4" s="39" t="s">
        <v>437</v>
      </c>
      <c r="B4" s="39" t="s">
        <v>438</v>
      </c>
      <c r="C4" s="39" t="n">
        <v>33500</v>
      </c>
      <c r="D4" s="39" t="s">
        <v>439</v>
      </c>
      <c r="E4" s="39" t="s">
        <v>440</v>
      </c>
      <c r="F4" s="39" t="s">
        <v>441</v>
      </c>
      <c r="G4" s="52" t="s">
        <v>436</v>
      </c>
      <c r="H4" s="39"/>
    </row>
    <row r="5" customFormat="false" ht="12.8" hidden="false" customHeight="false" outlineLevel="0" collapsed="false">
      <c r="A5" s="39" t="s">
        <v>442</v>
      </c>
      <c r="B5" s="39" t="s">
        <v>443</v>
      </c>
      <c r="C5" s="39" t="n">
        <v>9500</v>
      </c>
      <c r="D5" s="39" t="s">
        <v>444</v>
      </c>
      <c r="E5" s="39" t="s">
        <v>434</v>
      </c>
      <c r="F5" s="39" t="s">
        <v>445</v>
      </c>
      <c r="G5" s="52" t="s">
        <v>436</v>
      </c>
      <c r="H5" s="39"/>
    </row>
    <row r="6" customFormat="false" ht="12.8" hidden="false" customHeight="false" outlineLevel="0" collapsed="false">
      <c r="A6" s="39" t="s">
        <v>446</v>
      </c>
      <c r="B6" s="39" t="s">
        <v>447</v>
      </c>
      <c r="C6" s="39" t="n">
        <v>112500</v>
      </c>
      <c r="D6" s="39" t="s">
        <v>448</v>
      </c>
      <c r="E6" s="39" t="s">
        <v>434</v>
      </c>
      <c r="F6" s="39" t="s">
        <v>445</v>
      </c>
      <c r="G6" s="52" t="s">
        <v>436</v>
      </c>
      <c r="H6" s="39"/>
    </row>
    <row r="7" customFormat="false" ht="12.8" hidden="false" customHeight="false" outlineLevel="0" collapsed="false">
      <c r="A7" s="39" t="s">
        <v>449</v>
      </c>
      <c r="B7" s="39" t="s">
        <v>450</v>
      </c>
      <c r="C7" s="39" t="n">
        <v>287500</v>
      </c>
      <c r="D7" s="39" t="s">
        <v>451</v>
      </c>
      <c r="E7" s="39" t="s">
        <v>434</v>
      </c>
      <c r="F7" s="39" t="s">
        <v>445</v>
      </c>
      <c r="G7" s="52" t="s">
        <v>436</v>
      </c>
      <c r="H7" s="39"/>
    </row>
    <row r="8" customFormat="false" ht="12.8" hidden="false" customHeight="false" outlineLevel="0" collapsed="false">
      <c r="A8" s="39" t="s">
        <v>452</v>
      </c>
      <c r="B8" s="39" t="s">
        <v>453</v>
      </c>
      <c r="C8" s="39" t="n">
        <v>408500</v>
      </c>
      <c r="D8" s="39" t="s">
        <v>454</v>
      </c>
      <c r="E8" s="39" t="s">
        <v>434</v>
      </c>
      <c r="F8" s="39" t="s">
        <v>445</v>
      </c>
      <c r="G8" s="52" t="s">
        <v>436</v>
      </c>
      <c r="H8" s="39"/>
    </row>
    <row r="9" customFormat="false" ht="12.8" hidden="false" customHeight="false" outlineLevel="0" collapsed="false">
      <c r="A9" s="39" t="s">
        <v>455</v>
      </c>
      <c r="B9" s="39" t="s">
        <v>456</v>
      </c>
      <c r="C9" s="39" t="n">
        <v>23200</v>
      </c>
      <c r="D9" s="39" t="s">
        <v>457</v>
      </c>
      <c r="E9" s="39" t="s">
        <v>434</v>
      </c>
      <c r="F9" s="39" t="s">
        <v>445</v>
      </c>
      <c r="G9" s="52" t="s">
        <v>436</v>
      </c>
      <c r="H9" s="39"/>
    </row>
    <row r="10" customFormat="false" ht="12.8" hidden="false" customHeight="false" outlineLevel="0" collapsed="false">
      <c r="A10" s="39" t="s">
        <v>458</v>
      </c>
      <c r="B10" s="39" t="s">
        <v>459</v>
      </c>
      <c r="C10" s="39" t="n">
        <v>101200</v>
      </c>
      <c r="D10" s="39" t="s">
        <v>460</v>
      </c>
      <c r="E10" s="39" t="s">
        <v>434</v>
      </c>
      <c r="F10" s="39" t="s">
        <v>445</v>
      </c>
      <c r="G10" s="52" t="s">
        <v>436</v>
      </c>
      <c r="H10" s="39"/>
    </row>
    <row r="11" customFormat="false" ht="12.8" hidden="false" customHeight="false" outlineLevel="0" collapsed="false">
      <c r="A11" s="39" t="s">
        <v>461</v>
      </c>
      <c r="B11" s="39" t="s">
        <v>462</v>
      </c>
      <c r="C11" s="39" t="n">
        <v>261000</v>
      </c>
      <c r="D11" s="39" t="s">
        <v>463</v>
      </c>
      <c r="E11" s="39" t="s">
        <v>434</v>
      </c>
      <c r="F11" s="39" t="s">
        <v>445</v>
      </c>
      <c r="G11" s="52" t="s">
        <v>436</v>
      </c>
      <c r="H11" s="39"/>
    </row>
    <row r="12" customFormat="false" ht="12.8" hidden="false" customHeight="false" outlineLevel="0" collapsed="false">
      <c r="A12" s="39" t="s">
        <v>464</v>
      </c>
      <c r="B12" s="39" t="s">
        <v>465</v>
      </c>
      <c r="C12" s="39" t="n">
        <v>273500</v>
      </c>
      <c r="D12" s="39" t="s">
        <v>466</v>
      </c>
      <c r="E12" s="39" t="s">
        <v>434</v>
      </c>
      <c r="F12" s="39" t="s">
        <v>445</v>
      </c>
      <c r="G12" s="52" t="s">
        <v>436</v>
      </c>
      <c r="H12" s="39"/>
    </row>
    <row r="13" customFormat="false" ht="12.8" hidden="false" customHeight="false" outlineLevel="0" collapsed="false">
      <c r="A13" s="39" t="s">
        <v>467</v>
      </c>
      <c r="B13" s="39" t="s">
        <v>468</v>
      </c>
      <c r="C13" s="39" t="n">
        <v>217600</v>
      </c>
      <c r="D13" s="39" t="s">
        <v>469</v>
      </c>
      <c r="E13" s="39" t="s">
        <v>434</v>
      </c>
      <c r="F13" s="39" t="s">
        <v>445</v>
      </c>
      <c r="G13" s="52" t="s">
        <v>436</v>
      </c>
      <c r="H13" s="39"/>
    </row>
    <row r="14" customFormat="false" ht="12.8" hidden="false" customHeight="false" outlineLevel="0" collapsed="false">
      <c r="A14" s="39" t="s">
        <v>470</v>
      </c>
      <c r="B14" s="39" t="s">
        <v>471</v>
      </c>
      <c r="C14" s="39" t="n">
        <v>98800</v>
      </c>
      <c r="D14" s="39" t="s">
        <v>472</v>
      </c>
      <c r="E14" s="39" t="s">
        <v>434</v>
      </c>
      <c r="F14" s="39" t="s">
        <v>445</v>
      </c>
      <c r="G14" s="52" t="s">
        <v>436</v>
      </c>
      <c r="H14" s="39"/>
    </row>
    <row r="15" customFormat="false" ht="12.8" hidden="false" customHeight="false" outlineLevel="0" collapsed="false">
      <c r="A15" s="39" t="s">
        <v>473</v>
      </c>
      <c r="B15" s="39" t="s">
        <v>474</v>
      </c>
      <c r="C15" s="39" t="n">
        <v>421300</v>
      </c>
      <c r="D15" s="39" t="s">
        <v>475</v>
      </c>
      <c r="E15" s="39" t="s">
        <v>434</v>
      </c>
      <c r="F15" s="39" t="s">
        <v>445</v>
      </c>
      <c r="G15" s="52" t="s">
        <v>436</v>
      </c>
      <c r="H15" s="39"/>
    </row>
    <row r="16" customFormat="false" ht="12.8" hidden="false" customHeight="false" outlineLevel="0" collapsed="false">
      <c r="A16" s="39" t="s">
        <v>476</v>
      </c>
      <c r="B16" s="39" t="s">
        <v>477</v>
      </c>
      <c r="C16" s="39" t="n">
        <v>50000</v>
      </c>
      <c r="D16" s="39" t="s">
        <v>478</v>
      </c>
      <c r="E16" s="39" t="s">
        <v>440</v>
      </c>
      <c r="F16" s="39" t="s">
        <v>479</v>
      </c>
      <c r="G16" s="52" t="s">
        <v>436</v>
      </c>
      <c r="H16" s="39"/>
    </row>
    <row r="17" customFormat="false" ht="12.8" hidden="false" customHeight="false" outlineLevel="0" collapsed="false">
      <c r="A17" s="39" t="s">
        <v>480</v>
      </c>
      <c r="B17" s="39" t="s">
        <v>481</v>
      </c>
      <c r="C17" s="39" t="n">
        <v>4500</v>
      </c>
      <c r="D17" s="39" t="s">
        <v>482</v>
      </c>
      <c r="E17" s="39" t="s">
        <v>434</v>
      </c>
      <c r="F17" s="39" t="s">
        <v>483</v>
      </c>
      <c r="G17" s="52" t="s">
        <v>436</v>
      </c>
      <c r="H17" s="39"/>
    </row>
    <row r="18" customFormat="false" ht="12.8" hidden="false" customHeight="false" outlineLevel="0" collapsed="false">
      <c r="A18" s="39" t="s">
        <v>484</v>
      </c>
      <c r="B18" s="39" t="s">
        <v>485</v>
      </c>
      <c r="C18" s="39" t="n">
        <v>0.05</v>
      </c>
      <c r="D18" s="39" t="s">
        <v>486</v>
      </c>
      <c r="E18" s="39" t="s">
        <v>434</v>
      </c>
      <c r="F18" s="39" t="s">
        <v>487</v>
      </c>
      <c r="G18" s="52" t="s">
        <v>436</v>
      </c>
      <c r="H18" s="39"/>
    </row>
    <row r="19" customFormat="false" ht="12.8" hidden="false" customHeight="false" outlineLevel="0" collapsed="false">
      <c r="A19" s="39" t="s">
        <v>488</v>
      </c>
      <c r="B19" s="39" t="s">
        <v>489</v>
      </c>
      <c r="C19" s="39" t="n">
        <v>0.01</v>
      </c>
      <c r="D19" s="39" t="s">
        <v>490</v>
      </c>
      <c r="E19" s="39" t="s">
        <v>434</v>
      </c>
      <c r="F19" s="39" t="s">
        <v>487</v>
      </c>
      <c r="G19" s="52" t="s">
        <v>436</v>
      </c>
      <c r="H19" s="39"/>
    </row>
    <row r="20" customFormat="false" ht="12.8" hidden="false" customHeight="false" outlineLevel="0" collapsed="false">
      <c r="A20" s="39" t="s">
        <v>491</v>
      </c>
      <c r="B20" s="39" t="s">
        <v>492</v>
      </c>
      <c r="C20" s="39" t="n">
        <v>4130000</v>
      </c>
      <c r="D20" s="39" t="s">
        <v>493</v>
      </c>
      <c r="E20" s="39" t="s">
        <v>434</v>
      </c>
      <c r="F20" s="39" t="s">
        <v>494</v>
      </c>
      <c r="G20" s="52" t="s">
        <v>436</v>
      </c>
      <c r="H20" s="39"/>
    </row>
    <row r="21" customFormat="false" ht="12.8" hidden="false" customHeight="false" outlineLevel="0" collapsed="false">
      <c r="A21" s="39" t="s">
        <v>495</v>
      </c>
      <c r="B21" s="39" t="s">
        <v>496</v>
      </c>
      <c r="C21" s="39" t="n">
        <v>152000</v>
      </c>
      <c r="D21" s="39" t="s">
        <v>497</v>
      </c>
      <c r="E21" s="39" t="s">
        <v>440</v>
      </c>
      <c r="F21" s="39" t="s">
        <v>498</v>
      </c>
      <c r="G21" s="52" t="s">
        <v>436</v>
      </c>
      <c r="H21" s="39"/>
    </row>
    <row r="22" customFormat="false" ht="12.8" hidden="false" customHeight="false" outlineLevel="0" collapsed="false">
      <c r="A22" s="39" t="s">
        <v>499</v>
      </c>
      <c r="B22" s="39" t="s">
        <v>500</v>
      </c>
      <c r="C22" s="39" t="n">
        <v>82000</v>
      </c>
      <c r="D22" s="39" t="s">
        <v>501</v>
      </c>
      <c r="E22" s="39" t="s">
        <v>502</v>
      </c>
      <c r="F22" s="39" t="s">
        <v>503</v>
      </c>
      <c r="G22" s="52" t="s">
        <v>436</v>
      </c>
      <c r="H22" s="39"/>
    </row>
    <row r="23" customFormat="false" ht="12.8" hidden="false" customHeight="false" outlineLevel="0" collapsed="false">
      <c r="A23" s="39" t="s">
        <v>504</v>
      </c>
      <c r="B23" s="39" t="s">
        <v>505</v>
      </c>
      <c r="C23" s="39" t="n">
        <v>3896000</v>
      </c>
      <c r="D23" s="39" t="s">
        <v>506</v>
      </c>
      <c r="E23" s="39" t="s">
        <v>434</v>
      </c>
      <c r="F23" s="39" t="s">
        <v>507</v>
      </c>
      <c r="G23" s="52" t="s">
        <v>436</v>
      </c>
      <c r="H23" s="39"/>
    </row>
    <row r="24" customFormat="false" ht="12.8" hidden="false" customHeight="false" outlineLevel="0" collapsed="false">
      <c r="A24" s="39" t="s">
        <v>508</v>
      </c>
      <c r="B24" s="39" t="s">
        <v>509</v>
      </c>
      <c r="C24" s="39" t="n">
        <v>0.562</v>
      </c>
      <c r="D24" s="39" t="s">
        <v>510</v>
      </c>
      <c r="E24" s="39" t="s">
        <v>434</v>
      </c>
      <c r="F24" s="39" t="s">
        <v>511</v>
      </c>
      <c r="G24" s="52" t="s">
        <v>436</v>
      </c>
      <c r="H24" s="39"/>
    </row>
    <row r="25" customFormat="false" ht="12.8" hidden="false" customHeight="false" outlineLevel="0" collapsed="false">
      <c r="A25" s="39" t="s">
        <v>512</v>
      </c>
      <c r="B25" s="39" t="s">
        <v>513</v>
      </c>
      <c r="C25" s="39" t="n">
        <v>0.92</v>
      </c>
      <c r="D25" s="39" t="s">
        <v>514</v>
      </c>
      <c r="E25" s="39" t="s">
        <v>440</v>
      </c>
      <c r="F25" s="39" t="s">
        <v>515</v>
      </c>
      <c r="G25" s="52" t="s">
        <v>436</v>
      </c>
      <c r="H25" s="39"/>
    </row>
    <row r="26" customFormat="false" ht="12.8" hidden="false" customHeight="false" outlineLevel="0" collapsed="false">
      <c r="A26" s="39" t="s">
        <v>516</v>
      </c>
      <c r="B26" s="39" t="s">
        <v>517</v>
      </c>
      <c r="C26" s="39" t="n">
        <v>1.05</v>
      </c>
      <c r="D26" s="39" t="s">
        <v>518</v>
      </c>
      <c r="E26" s="39" t="s">
        <v>440</v>
      </c>
      <c r="F26" s="39" t="s">
        <v>519</v>
      </c>
      <c r="G26" s="52" t="s">
        <v>436</v>
      </c>
      <c r="H26" s="39"/>
    </row>
    <row r="27" customFormat="false" ht="12.8" hidden="false" customHeight="false" outlineLevel="0" collapsed="false">
      <c r="A27" s="39" t="s">
        <v>520</v>
      </c>
      <c r="B27" s="39" t="s">
        <v>521</v>
      </c>
      <c r="C27" s="39" t="n">
        <v>0.95</v>
      </c>
      <c r="D27" s="39" t="s">
        <v>522</v>
      </c>
      <c r="E27" s="39" t="s">
        <v>502</v>
      </c>
      <c r="F27" s="39" t="s">
        <v>523</v>
      </c>
      <c r="G27" s="52" t="s">
        <v>436</v>
      </c>
      <c r="H27" s="39"/>
    </row>
    <row r="28" customFormat="false" ht="12.8" hidden="false" customHeight="false" outlineLevel="0" collapsed="false">
      <c r="A28" s="39" t="s">
        <v>524</v>
      </c>
      <c r="B28" s="39" t="s">
        <v>525</v>
      </c>
      <c r="C28" s="39" t="n">
        <v>0.92</v>
      </c>
      <c r="D28" s="39" t="s">
        <v>526</v>
      </c>
      <c r="E28" s="39" t="s">
        <v>440</v>
      </c>
      <c r="F28" s="39" t="s">
        <v>515</v>
      </c>
      <c r="G28" s="52" t="s">
        <v>436</v>
      </c>
      <c r="H28" s="39"/>
    </row>
    <row r="29" customFormat="false" ht="12.8" hidden="false" customHeight="false" outlineLevel="0" collapsed="false">
      <c r="A29" s="39" t="s">
        <v>527</v>
      </c>
      <c r="B29" s="39" t="s">
        <v>528</v>
      </c>
      <c r="C29" s="39" t="n">
        <v>1.05</v>
      </c>
      <c r="D29" s="39" t="s">
        <v>529</v>
      </c>
      <c r="E29" s="39" t="s">
        <v>440</v>
      </c>
      <c r="F29" s="39" t="s">
        <v>519</v>
      </c>
      <c r="G29" s="52" t="s">
        <v>436</v>
      </c>
      <c r="H29" s="39"/>
    </row>
    <row r="30" customFormat="false" ht="12.8" hidden="false" customHeight="false" outlineLevel="0" collapsed="false">
      <c r="A30" s="39" t="s">
        <v>530</v>
      </c>
      <c r="B30" s="39" t="s">
        <v>531</v>
      </c>
      <c r="C30" s="39" t="n">
        <v>0.03</v>
      </c>
      <c r="D30" s="39" t="s">
        <v>532</v>
      </c>
      <c r="E30" s="39" t="s">
        <v>502</v>
      </c>
      <c r="F30" s="39" t="s">
        <v>523</v>
      </c>
      <c r="G30" s="52" t="s">
        <v>436</v>
      </c>
      <c r="H30" s="39"/>
    </row>
    <row r="31" customFormat="false" ht="12.8" hidden="false" customHeight="false" outlineLevel="0" collapsed="false">
      <c r="A31" s="39" t="s">
        <v>533</v>
      </c>
      <c r="B31" s="39" t="s">
        <v>534</v>
      </c>
      <c r="C31" s="39" t="n">
        <v>0.577</v>
      </c>
      <c r="D31" s="39" t="s">
        <v>535</v>
      </c>
      <c r="E31" s="39" t="s">
        <v>434</v>
      </c>
      <c r="F31" s="39" t="s">
        <v>536</v>
      </c>
      <c r="G31" s="52" t="s">
        <v>436</v>
      </c>
      <c r="H31" s="39"/>
    </row>
    <row r="32" customFormat="false" ht="12.8" hidden="false" customHeight="false" outlineLevel="0" collapsed="false">
      <c r="A32" s="39" t="s">
        <v>537</v>
      </c>
      <c r="B32" s="39" t="s">
        <v>538</v>
      </c>
      <c r="C32" s="39" t="n">
        <v>0.04</v>
      </c>
      <c r="D32" s="39" t="s">
        <v>539</v>
      </c>
      <c r="E32" s="39" t="s">
        <v>502</v>
      </c>
      <c r="F32" s="39" t="s">
        <v>523</v>
      </c>
      <c r="G32" s="52" t="s">
        <v>436</v>
      </c>
      <c r="H32" s="39"/>
    </row>
    <row r="33" customFormat="false" ht="12.8" hidden="false" customHeight="false" outlineLevel="0" collapsed="false">
      <c r="A33" s="39" t="s">
        <v>540</v>
      </c>
      <c r="B33" s="39" t="s">
        <v>541</v>
      </c>
      <c r="C33" s="39" t="n">
        <v>1.15</v>
      </c>
      <c r="D33" s="39" t="s">
        <v>542</v>
      </c>
      <c r="E33" s="39" t="s">
        <v>440</v>
      </c>
      <c r="F33" s="39" t="s">
        <v>543</v>
      </c>
      <c r="G33" s="52" t="s">
        <v>436</v>
      </c>
      <c r="H33" s="39" t="s">
        <v>544</v>
      </c>
    </row>
    <row r="34" customFormat="false" ht="12.8" hidden="false" customHeight="false" outlineLevel="0" collapsed="false">
      <c r="A34" s="39" t="s">
        <v>545</v>
      </c>
      <c r="B34" s="39" t="s">
        <v>546</v>
      </c>
      <c r="C34" s="39" t="n">
        <v>1.15</v>
      </c>
      <c r="D34" s="39" t="s">
        <v>547</v>
      </c>
      <c r="E34" s="39" t="s">
        <v>440</v>
      </c>
      <c r="F34" s="39" t="s">
        <v>543</v>
      </c>
      <c r="G34" s="52" t="s">
        <v>436</v>
      </c>
      <c r="H34" s="39" t="s">
        <v>544</v>
      </c>
    </row>
    <row r="35" customFormat="false" ht="12.8" hidden="false" customHeight="false" outlineLevel="0" collapsed="false">
      <c r="A35" s="39" t="s">
        <v>548</v>
      </c>
      <c r="B35" s="39" t="s">
        <v>549</v>
      </c>
      <c r="C35" s="39" t="n">
        <v>1.15</v>
      </c>
      <c r="D35" s="39" t="s">
        <v>550</v>
      </c>
      <c r="E35" s="39" t="s">
        <v>440</v>
      </c>
      <c r="F35" s="39" t="s">
        <v>543</v>
      </c>
      <c r="G35" s="52" t="s">
        <v>436</v>
      </c>
      <c r="H35" s="39" t="s">
        <v>551</v>
      </c>
    </row>
    <row r="36" customFormat="false" ht="12.8" hidden="false" customHeight="false" outlineLevel="0" collapsed="false">
      <c r="A36" s="39" t="s">
        <v>552</v>
      </c>
      <c r="B36" s="39" t="s">
        <v>553</v>
      </c>
      <c r="C36" s="39" t="n">
        <v>0.8</v>
      </c>
      <c r="D36" s="39" t="s">
        <v>554</v>
      </c>
      <c r="E36" s="39" t="s">
        <v>440</v>
      </c>
      <c r="F36" s="39" t="s">
        <v>543</v>
      </c>
      <c r="G36" s="52" t="s">
        <v>436</v>
      </c>
      <c r="H36" s="39" t="s">
        <v>555</v>
      </c>
    </row>
    <row r="37" customFormat="false" ht="12.8" hidden="false" customHeight="false" outlineLevel="0" collapsed="false">
      <c r="A37" s="39" t="s">
        <v>556</v>
      </c>
      <c r="B37" s="39" t="s">
        <v>557</v>
      </c>
      <c r="C37" s="39" t="n">
        <v>0.8</v>
      </c>
      <c r="D37" s="39" t="s">
        <v>558</v>
      </c>
      <c r="E37" s="39" t="s">
        <v>440</v>
      </c>
      <c r="F37" s="39" t="s">
        <v>543</v>
      </c>
      <c r="G37" s="52" t="s">
        <v>436</v>
      </c>
      <c r="H37" s="39" t="s">
        <v>559</v>
      </c>
    </row>
    <row r="38" customFormat="false" ht="12.8" hidden="false" customHeight="false" outlineLevel="0" collapsed="false">
      <c r="A38" s="39" t="s">
        <v>560</v>
      </c>
      <c r="B38" s="39" t="s">
        <v>561</v>
      </c>
      <c r="C38" s="39" t="n">
        <v>0.8</v>
      </c>
      <c r="D38" s="39" t="s">
        <v>562</v>
      </c>
      <c r="E38" s="39" t="s">
        <v>440</v>
      </c>
      <c r="F38" s="39" t="s">
        <v>543</v>
      </c>
      <c r="G38" s="52" t="s">
        <v>436</v>
      </c>
      <c r="H38" s="39" t="s">
        <v>559</v>
      </c>
    </row>
    <row r="39" customFormat="false" ht="12.8" hidden="false" customHeight="false" outlineLevel="0" collapsed="false">
      <c r="A39" s="39" t="s">
        <v>563</v>
      </c>
      <c r="B39" s="39" t="s">
        <v>564</v>
      </c>
      <c r="C39" s="39" t="n">
        <v>0.8</v>
      </c>
      <c r="D39" s="39" t="s">
        <v>565</v>
      </c>
      <c r="E39" s="39" t="s">
        <v>440</v>
      </c>
      <c r="F39" s="39" t="s">
        <v>543</v>
      </c>
      <c r="G39" s="52" t="s">
        <v>436</v>
      </c>
      <c r="H39" s="39" t="s">
        <v>559</v>
      </c>
    </row>
    <row r="40" customFormat="false" ht="12.8" hidden="false" customHeight="false" outlineLevel="0" collapsed="false">
      <c r="A40" s="39" t="s">
        <v>566</v>
      </c>
      <c r="B40" s="39" t="s">
        <v>567</v>
      </c>
      <c r="C40" s="39" t="n">
        <v>0.85</v>
      </c>
      <c r="D40" s="39" t="s">
        <v>568</v>
      </c>
      <c r="E40" s="39" t="s">
        <v>502</v>
      </c>
      <c r="F40" s="39" t="s">
        <v>543</v>
      </c>
      <c r="G40" s="52" t="s">
        <v>436</v>
      </c>
      <c r="H40" s="39" t="s">
        <v>569</v>
      </c>
    </row>
    <row r="41" customFormat="false" ht="12.8" hidden="false" customHeight="false" outlineLevel="0" collapsed="false">
      <c r="A41" s="39" t="s">
        <v>570</v>
      </c>
      <c r="B41" s="39" t="s">
        <v>571</v>
      </c>
      <c r="C41" s="39" t="n">
        <v>0.85</v>
      </c>
      <c r="D41" s="39" t="s">
        <v>572</v>
      </c>
      <c r="E41" s="39" t="s">
        <v>440</v>
      </c>
      <c r="F41" s="39" t="s">
        <v>543</v>
      </c>
      <c r="G41" s="52" t="s">
        <v>436</v>
      </c>
      <c r="H41" s="39" t="s">
        <v>573</v>
      </c>
    </row>
    <row r="42" customFormat="false" ht="12.8" hidden="false" customHeight="false" outlineLevel="0" collapsed="false">
      <c r="A42" s="39" t="s">
        <v>574</v>
      </c>
      <c r="B42" s="39" t="s">
        <v>575</v>
      </c>
      <c r="C42" s="39" t="n">
        <v>1.05</v>
      </c>
      <c r="D42" s="39" t="s">
        <v>576</v>
      </c>
      <c r="E42" s="39" t="s">
        <v>440</v>
      </c>
      <c r="F42" s="39" t="s">
        <v>543</v>
      </c>
      <c r="G42" s="52" t="s">
        <v>436</v>
      </c>
      <c r="H42" s="39" t="s">
        <v>577</v>
      </c>
    </row>
    <row r="43" customFormat="false" ht="12.8" hidden="false" customHeight="false" outlineLevel="0" collapsed="false">
      <c r="A43" s="39" t="s">
        <v>578</v>
      </c>
      <c r="B43" s="39" t="s">
        <v>579</v>
      </c>
      <c r="C43" s="39" t="n">
        <v>1.05</v>
      </c>
      <c r="D43" s="39" t="s">
        <v>580</v>
      </c>
      <c r="E43" s="39" t="s">
        <v>440</v>
      </c>
      <c r="F43" s="39" t="s">
        <v>543</v>
      </c>
      <c r="G43" s="52" t="s">
        <v>436</v>
      </c>
      <c r="H43" s="39" t="s">
        <v>581</v>
      </c>
    </row>
    <row r="44" customFormat="false" ht="12.8" hidden="false" customHeight="false" outlineLevel="0" collapsed="false">
      <c r="A44" s="39" t="s">
        <v>582</v>
      </c>
      <c r="B44" s="39" t="s">
        <v>583</v>
      </c>
      <c r="C44" s="39" t="n">
        <v>1.15</v>
      </c>
      <c r="D44" s="39" t="s">
        <v>584</v>
      </c>
      <c r="E44" s="39" t="s">
        <v>440</v>
      </c>
      <c r="F44" s="39" t="s">
        <v>543</v>
      </c>
      <c r="G44" s="52" t="s">
        <v>436</v>
      </c>
      <c r="H44" s="39" t="s">
        <v>585</v>
      </c>
    </row>
    <row r="45" customFormat="false" ht="12.8" hidden="false" customHeight="false" outlineLevel="0" collapsed="false">
      <c r="A45" s="39" t="s">
        <v>586</v>
      </c>
      <c r="B45" s="39" t="s">
        <v>587</v>
      </c>
      <c r="C45" s="39" t="n">
        <v>1.15</v>
      </c>
      <c r="D45" s="39" t="s">
        <v>588</v>
      </c>
      <c r="E45" s="39" t="s">
        <v>502</v>
      </c>
      <c r="F45" s="39" t="s">
        <v>543</v>
      </c>
      <c r="G45" s="52" t="s">
        <v>436</v>
      </c>
      <c r="H45" s="39" t="s">
        <v>589</v>
      </c>
    </row>
    <row r="46" customFormat="false" ht="12.8" hidden="false" customHeight="false" outlineLevel="0" collapsed="false">
      <c r="A46" s="39" t="s">
        <v>590</v>
      </c>
      <c r="B46" s="39" t="s">
        <v>591</v>
      </c>
      <c r="C46" s="39" t="n">
        <v>1.15</v>
      </c>
      <c r="D46" s="39" t="s">
        <v>592</v>
      </c>
      <c r="E46" s="39" t="s">
        <v>502</v>
      </c>
      <c r="F46" s="39" t="s">
        <v>543</v>
      </c>
      <c r="G46" s="52" t="s">
        <v>436</v>
      </c>
      <c r="H46" s="39" t="s">
        <v>593</v>
      </c>
    </row>
    <row r="47" customFormat="false" ht="12.8" hidden="false" customHeight="false" outlineLevel="0" collapsed="false">
      <c r="A47" s="39" t="s">
        <v>594</v>
      </c>
      <c r="B47" s="39" t="s">
        <v>595</v>
      </c>
      <c r="C47" s="39" t="n">
        <v>0.92</v>
      </c>
      <c r="D47" s="39" t="s">
        <v>596</v>
      </c>
      <c r="E47" s="39" t="s">
        <v>502</v>
      </c>
      <c r="F47" s="39" t="s">
        <v>597</v>
      </c>
      <c r="G47" s="52" t="s">
        <v>436</v>
      </c>
      <c r="H47" s="39" t="s">
        <v>598</v>
      </c>
    </row>
    <row r="48" customFormat="false" ht="12.8" hidden="false" customHeight="false" outlineLevel="0" collapsed="false">
      <c r="A48" s="39" t="s">
        <v>599</v>
      </c>
      <c r="B48" s="39" t="s">
        <v>600</v>
      </c>
      <c r="C48" s="39" t="n">
        <v>0.96</v>
      </c>
      <c r="D48" s="39" t="s">
        <v>601</v>
      </c>
      <c r="E48" s="39" t="s">
        <v>434</v>
      </c>
      <c r="F48" s="39" t="s">
        <v>597</v>
      </c>
      <c r="G48" s="52" t="s">
        <v>436</v>
      </c>
      <c r="H48" s="39"/>
    </row>
    <row r="49" customFormat="false" ht="12.8" hidden="false" customHeight="false" outlineLevel="0" collapsed="false">
      <c r="A49" s="39" t="s">
        <v>602</v>
      </c>
      <c r="B49" s="39" t="s">
        <v>603</v>
      </c>
      <c r="C49" s="39" t="n">
        <v>0.98</v>
      </c>
      <c r="D49" s="39" t="s">
        <v>604</v>
      </c>
      <c r="E49" s="39" t="s">
        <v>434</v>
      </c>
      <c r="F49" s="39" t="s">
        <v>597</v>
      </c>
      <c r="G49" s="52" t="s">
        <v>436</v>
      </c>
      <c r="H49" s="39"/>
    </row>
    <row r="50" customFormat="false" ht="12.8" hidden="false" customHeight="false" outlineLevel="0" collapsed="false">
      <c r="A50" s="39" t="s">
        <v>605</v>
      </c>
      <c r="B50" s="39" t="s">
        <v>606</v>
      </c>
      <c r="C50" s="39" t="n">
        <v>0.92</v>
      </c>
      <c r="D50" s="39" t="s">
        <v>607</v>
      </c>
      <c r="E50" s="39" t="s">
        <v>434</v>
      </c>
      <c r="F50" s="39" t="s">
        <v>597</v>
      </c>
      <c r="G50" s="52" t="s">
        <v>436</v>
      </c>
      <c r="H50" s="39" t="s">
        <v>598</v>
      </c>
    </row>
    <row r="51" customFormat="false" ht="12.8" hidden="false" customHeight="false" outlineLevel="0" collapsed="false">
      <c r="A51" s="39" t="s">
        <v>608</v>
      </c>
      <c r="B51" s="39" t="s">
        <v>609</v>
      </c>
      <c r="C51" s="39" t="n">
        <v>0.94</v>
      </c>
      <c r="D51" s="39" t="s">
        <v>610</v>
      </c>
      <c r="E51" s="39" t="s">
        <v>440</v>
      </c>
      <c r="F51" s="39" t="s">
        <v>597</v>
      </c>
      <c r="G51" s="52" t="s">
        <v>436</v>
      </c>
      <c r="H51" s="39" t="s">
        <v>611</v>
      </c>
    </row>
    <row r="52" customFormat="false" ht="12.8" hidden="false" customHeight="false" outlineLevel="0" collapsed="false">
      <c r="A52" s="39" t="s">
        <v>612</v>
      </c>
      <c r="B52" s="39" t="s">
        <v>613</v>
      </c>
      <c r="C52" s="39" t="n">
        <v>0.95</v>
      </c>
      <c r="D52" s="39" t="s">
        <v>614</v>
      </c>
      <c r="E52" s="39" t="s">
        <v>434</v>
      </c>
      <c r="F52" s="39" t="s">
        <v>597</v>
      </c>
      <c r="G52" s="52" t="s">
        <v>436</v>
      </c>
      <c r="H52" s="39" t="s">
        <v>615</v>
      </c>
    </row>
    <row r="53" customFormat="false" ht="12.8" hidden="false" customHeight="false" outlineLevel="0" collapsed="false">
      <c r="A53" s="39" t="s">
        <v>616</v>
      </c>
      <c r="B53" s="39" t="s">
        <v>617</v>
      </c>
      <c r="C53" s="39" t="n">
        <v>0.97</v>
      </c>
      <c r="D53" s="39" t="s">
        <v>618</v>
      </c>
      <c r="E53" s="39" t="s">
        <v>502</v>
      </c>
      <c r="F53" s="39" t="s">
        <v>597</v>
      </c>
      <c r="G53" s="52" t="s">
        <v>436</v>
      </c>
      <c r="H53" s="39"/>
    </row>
    <row r="54" customFormat="false" ht="12.8" hidden="false" customHeight="false" outlineLevel="0" collapsed="false">
      <c r="A54" s="39" t="s">
        <v>619</v>
      </c>
      <c r="B54" s="39" t="s">
        <v>620</v>
      </c>
      <c r="C54" s="39" t="n">
        <v>1.02</v>
      </c>
      <c r="D54" s="39" t="s">
        <v>621</v>
      </c>
      <c r="E54" s="39" t="s">
        <v>434</v>
      </c>
      <c r="F54" s="39" t="s">
        <v>597</v>
      </c>
      <c r="G54" s="52" t="s">
        <v>436</v>
      </c>
      <c r="H54" s="39"/>
    </row>
    <row r="55" customFormat="false" ht="12.8" hidden="false" customHeight="false" outlineLevel="0" collapsed="false">
      <c r="A55" s="39" t="s">
        <v>622</v>
      </c>
      <c r="B55" s="39" t="s">
        <v>623</v>
      </c>
      <c r="C55" s="39" t="n">
        <v>0.98</v>
      </c>
      <c r="D55" s="39" t="s">
        <v>624</v>
      </c>
      <c r="E55" s="39" t="s">
        <v>440</v>
      </c>
      <c r="F55" s="39" t="s">
        <v>597</v>
      </c>
      <c r="G55" s="52" t="s">
        <v>436</v>
      </c>
      <c r="H55" s="39"/>
    </row>
    <row r="56" customFormat="false" ht="12.8" hidden="false" customHeight="false" outlineLevel="0" collapsed="false">
      <c r="A56" s="39" t="s">
        <v>625</v>
      </c>
      <c r="B56" s="39" t="s">
        <v>626</v>
      </c>
      <c r="C56" s="39" t="n">
        <v>1.04</v>
      </c>
      <c r="D56" s="39" t="s">
        <v>627</v>
      </c>
      <c r="E56" s="39" t="s">
        <v>434</v>
      </c>
      <c r="F56" s="39" t="s">
        <v>597</v>
      </c>
      <c r="G56" s="52" t="s">
        <v>436</v>
      </c>
      <c r="H56" s="39"/>
    </row>
    <row r="57" customFormat="false" ht="12.8" hidden="false" customHeight="false" outlineLevel="0" collapsed="false">
      <c r="A57" s="39" t="s">
        <v>628</v>
      </c>
      <c r="B57" s="39" t="s">
        <v>629</v>
      </c>
      <c r="C57" s="39" t="n">
        <v>0.93</v>
      </c>
      <c r="D57" s="39" t="s">
        <v>630</v>
      </c>
      <c r="E57" s="39" t="s">
        <v>440</v>
      </c>
      <c r="F57" s="39" t="s">
        <v>597</v>
      </c>
      <c r="G57" s="52" t="s">
        <v>436</v>
      </c>
      <c r="H57" s="39" t="s">
        <v>631</v>
      </c>
    </row>
    <row r="58" customFormat="false" ht="12.8" hidden="false" customHeight="false" outlineLevel="0" collapsed="false">
      <c r="A58" s="39" t="s">
        <v>632</v>
      </c>
      <c r="B58" s="39" t="s">
        <v>633</v>
      </c>
      <c r="C58" s="39" t="n">
        <v>1.02</v>
      </c>
      <c r="D58" s="39" t="s">
        <v>634</v>
      </c>
      <c r="E58" s="39" t="s">
        <v>434</v>
      </c>
      <c r="F58" s="39" t="s">
        <v>597</v>
      </c>
      <c r="G58" s="52" t="s">
        <v>436</v>
      </c>
      <c r="H58" s="39"/>
    </row>
    <row r="59" customFormat="false" ht="12.8" hidden="false" customHeight="false" outlineLevel="0" collapsed="false">
      <c r="A59" s="39" t="s">
        <v>635</v>
      </c>
      <c r="B59" s="39" t="s">
        <v>636</v>
      </c>
      <c r="C59" s="39" t="n">
        <v>1.03</v>
      </c>
      <c r="D59" s="39" t="s">
        <v>637</v>
      </c>
      <c r="E59" s="39" t="s">
        <v>434</v>
      </c>
      <c r="F59" s="39" t="s">
        <v>597</v>
      </c>
      <c r="G59" s="52" t="s">
        <v>436</v>
      </c>
      <c r="H59" s="39"/>
    </row>
    <row r="60" customFormat="false" ht="12.8" hidden="false" customHeight="false" outlineLevel="0" collapsed="false">
      <c r="A60" s="39" t="s">
        <v>638</v>
      </c>
      <c r="B60" s="39" t="s">
        <v>639</v>
      </c>
      <c r="C60" s="39" t="n">
        <v>0.94</v>
      </c>
      <c r="D60" s="39" t="s">
        <v>640</v>
      </c>
      <c r="E60" s="39" t="s">
        <v>502</v>
      </c>
      <c r="F60" s="39" t="s">
        <v>597</v>
      </c>
      <c r="G60" s="52" t="s">
        <v>436</v>
      </c>
      <c r="H60" s="39" t="s">
        <v>641</v>
      </c>
    </row>
    <row r="61" customFormat="false" ht="12.8" hidden="false" customHeight="false" outlineLevel="0" collapsed="false">
      <c r="A61" s="39" t="s">
        <v>642</v>
      </c>
      <c r="B61" s="39" t="s">
        <v>643</v>
      </c>
      <c r="C61" s="39" t="n">
        <v>0.91</v>
      </c>
      <c r="D61" s="39" t="s">
        <v>644</v>
      </c>
      <c r="E61" s="39" t="s">
        <v>502</v>
      </c>
      <c r="F61" s="39" t="s">
        <v>597</v>
      </c>
      <c r="G61" s="52" t="s">
        <v>436</v>
      </c>
      <c r="H61" s="39" t="s">
        <v>645</v>
      </c>
    </row>
    <row r="62" customFormat="false" ht="12.8" hidden="false" customHeight="false" outlineLevel="0" collapsed="false">
      <c r="A62" s="39" t="s">
        <v>646</v>
      </c>
      <c r="B62" s="39" t="s">
        <v>647</v>
      </c>
      <c r="C62" s="39" t="n">
        <v>0.93</v>
      </c>
      <c r="D62" s="39" t="s">
        <v>648</v>
      </c>
      <c r="E62" s="39" t="s">
        <v>502</v>
      </c>
      <c r="F62" s="39" t="s">
        <v>597</v>
      </c>
      <c r="G62" s="52" t="s">
        <v>436</v>
      </c>
      <c r="H62" s="39" t="s">
        <v>649</v>
      </c>
    </row>
    <row r="63" customFormat="false" ht="12.8" hidden="false" customHeight="false" outlineLevel="0" collapsed="false">
      <c r="A63" s="39" t="s">
        <v>650</v>
      </c>
      <c r="B63" s="39" t="s">
        <v>651</v>
      </c>
      <c r="C63" s="39" t="n">
        <v>1.05</v>
      </c>
      <c r="D63" s="39" t="s">
        <v>652</v>
      </c>
      <c r="E63" s="39" t="s">
        <v>434</v>
      </c>
      <c r="F63" s="39" t="s">
        <v>597</v>
      </c>
      <c r="G63" s="52" t="s">
        <v>436</v>
      </c>
      <c r="H63" s="39"/>
    </row>
    <row r="64" customFormat="false" ht="12.8" hidden="false" customHeight="false" outlineLevel="0" collapsed="false">
      <c r="A64" s="39" t="s">
        <v>653</v>
      </c>
      <c r="B64" s="39" t="s">
        <v>654</v>
      </c>
      <c r="C64" s="39" t="n">
        <v>1.15</v>
      </c>
      <c r="D64" s="39" t="s">
        <v>655</v>
      </c>
      <c r="E64" s="39" t="s">
        <v>440</v>
      </c>
      <c r="F64" s="39" t="s">
        <v>543</v>
      </c>
      <c r="G64" s="52" t="s">
        <v>436</v>
      </c>
      <c r="H64" s="39"/>
    </row>
    <row r="65" customFormat="false" ht="12.8" hidden="false" customHeight="false" outlineLevel="0" collapsed="false">
      <c r="A65" s="39" t="s">
        <v>656</v>
      </c>
      <c r="B65" s="39" t="s">
        <v>657</v>
      </c>
      <c r="C65" s="39" t="n">
        <v>1.15</v>
      </c>
      <c r="D65" s="39" t="s">
        <v>658</v>
      </c>
      <c r="E65" s="39" t="s">
        <v>440</v>
      </c>
      <c r="F65" s="39" t="s">
        <v>543</v>
      </c>
      <c r="G65" s="52" t="s">
        <v>436</v>
      </c>
      <c r="H65" s="39"/>
    </row>
    <row r="66" customFormat="false" ht="12.8" hidden="false" customHeight="false" outlineLevel="0" collapsed="false">
      <c r="A66" s="39" t="s">
        <v>659</v>
      </c>
      <c r="B66" s="39" t="s">
        <v>660</v>
      </c>
      <c r="C66" s="39" t="n">
        <v>1.15</v>
      </c>
      <c r="D66" s="39" t="s">
        <v>661</v>
      </c>
      <c r="E66" s="39" t="s">
        <v>440</v>
      </c>
      <c r="F66" s="39" t="s">
        <v>543</v>
      </c>
      <c r="G66" s="52" t="s">
        <v>436</v>
      </c>
      <c r="H66" s="39"/>
    </row>
    <row r="67" customFormat="false" ht="12.8" hidden="false" customHeight="false" outlineLevel="0" collapsed="false">
      <c r="A67" s="39" t="s">
        <v>662</v>
      </c>
      <c r="B67" s="39" t="s">
        <v>663</v>
      </c>
      <c r="C67" s="39" t="n">
        <v>0.8</v>
      </c>
      <c r="D67" s="39" t="s">
        <v>664</v>
      </c>
      <c r="E67" s="39" t="s">
        <v>440</v>
      </c>
      <c r="F67" s="39" t="s">
        <v>543</v>
      </c>
      <c r="G67" s="52" t="s">
        <v>436</v>
      </c>
      <c r="H67" s="39"/>
    </row>
    <row r="68" customFormat="false" ht="12.8" hidden="false" customHeight="false" outlineLevel="0" collapsed="false">
      <c r="A68" s="39" t="s">
        <v>665</v>
      </c>
      <c r="B68" s="39" t="s">
        <v>666</v>
      </c>
      <c r="C68" s="39" t="n">
        <v>0.91</v>
      </c>
      <c r="D68" s="39" t="s">
        <v>667</v>
      </c>
      <c r="E68" s="39" t="s">
        <v>502</v>
      </c>
      <c r="F68" s="39" t="s">
        <v>597</v>
      </c>
      <c r="G68" s="52" t="s">
        <v>436</v>
      </c>
      <c r="H68" s="39"/>
    </row>
    <row r="69" customFormat="false" ht="12.8" hidden="false" customHeight="false" outlineLevel="0" collapsed="false">
      <c r="A69" s="39" t="s">
        <v>668</v>
      </c>
      <c r="B69" s="39" t="s">
        <v>669</v>
      </c>
      <c r="C69" s="39" t="n">
        <v>0.91</v>
      </c>
      <c r="D69" s="39" t="s">
        <v>670</v>
      </c>
      <c r="E69" s="39" t="s">
        <v>434</v>
      </c>
      <c r="F69" s="39" t="s">
        <v>597</v>
      </c>
      <c r="G69" s="52" t="s">
        <v>436</v>
      </c>
      <c r="H69" s="39"/>
    </row>
    <row r="70" customFormat="false" ht="12.8" hidden="false" customHeight="false" outlineLevel="0" collapsed="false">
      <c r="A70" s="39" t="s">
        <v>671</v>
      </c>
      <c r="B70" s="39" t="s">
        <v>672</v>
      </c>
      <c r="C70" s="39" t="n">
        <v>0.9</v>
      </c>
      <c r="D70" s="39" t="s">
        <v>673</v>
      </c>
      <c r="E70" s="39" t="s">
        <v>502</v>
      </c>
      <c r="F70" s="39" t="s">
        <v>597</v>
      </c>
      <c r="G70" s="52" t="s">
        <v>436</v>
      </c>
      <c r="H70" s="39"/>
    </row>
    <row r="71" customFormat="false" ht="12.8" hidden="false" customHeight="false" outlineLevel="0" collapsed="false">
      <c r="A71" s="39" t="s">
        <v>674</v>
      </c>
      <c r="B71" s="39" t="s">
        <v>675</v>
      </c>
      <c r="C71" s="39" t="n">
        <v>0.92</v>
      </c>
      <c r="D71" s="39" t="s">
        <v>676</v>
      </c>
      <c r="E71" s="39" t="s">
        <v>440</v>
      </c>
      <c r="F71" s="39" t="s">
        <v>597</v>
      </c>
      <c r="G71" s="52" t="s">
        <v>436</v>
      </c>
      <c r="H71" s="39"/>
    </row>
    <row r="72" customFormat="false" ht="12.8" hidden="false" customHeight="false" outlineLevel="0" collapsed="false">
      <c r="A72" s="39" t="s">
        <v>677</v>
      </c>
      <c r="B72" s="39" t="s">
        <v>678</v>
      </c>
      <c r="C72" s="39" t="n">
        <v>0.93</v>
      </c>
      <c r="D72" s="39" t="s">
        <v>679</v>
      </c>
      <c r="E72" s="39" t="s">
        <v>502</v>
      </c>
      <c r="F72" s="39" t="s">
        <v>597</v>
      </c>
      <c r="G72" s="52" t="s">
        <v>436</v>
      </c>
      <c r="H72" s="39"/>
    </row>
    <row r="73" customFormat="false" ht="12.8" hidden="false" customHeight="false" outlineLevel="0" collapsed="false">
      <c r="A73" s="39" t="s">
        <v>680</v>
      </c>
      <c r="B73" s="39" t="s">
        <v>681</v>
      </c>
      <c r="C73" s="39" t="n">
        <v>0.92</v>
      </c>
      <c r="D73" s="39" t="s">
        <v>682</v>
      </c>
      <c r="E73" s="39" t="s">
        <v>502</v>
      </c>
      <c r="F73" s="39" t="s">
        <v>597</v>
      </c>
      <c r="G73" s="52" t="s">
        <v>436</v>
      </c>
      <c r="H73" s="39"/>
    </row>
    <row r="74" customFormat="false" ht="12.8" hidden="false" customHeight="false" outlineLevel="0" collapsed="false">
      <c r="A74" s="39" t="s">
        <v>683</v>
      </c>
      <c r="B74" s="39" t="s">
        <v>684</v>
      </c>
      <c r="C74" s="39" t="n">
        <v>0.93</v>
      </c>
      <c r="D74" s="39" t="s">
        <v>685</v>
      </c>
      <c r="E74" s="39" t="s">
        <v>440</v>
      </c>
      <c r="F74" s="39" t="s">
        <v>597</v>
      </c>
      <c r="G74" s="52" t="s">
        <v>436</v>
      </c>
      <c r="H74" s="39"/>
    </row>
    <row r="75" customFormat="false" ht="12.8" hidden="false" customHeight="false" outlineLevel="0" collapsed="false">
      <c r="A75" s="39" t="s">
        <v>686</v>
      </c>
      <c r="B75" s="39" t="s">
        <v>687</v>
      </c>
      <c r="C75" s="39" t="n">
        <v>0.94</v>
      </c>
      <c r="D75" s="39" t="s">
        <v>688</v>
      </c>
      <c r="E75" s="39" t="s">
        <v>434</v>
      </c>
      <c r="F75" s="39" t="s">
        <v>597</v>
      </c>
      <c r="G75" s="52" t="s">
        <v>436</v>
      </c>
      <c r="H75" s="39"/>
    </row>
    <row r="76" customFormat="false" ht="12.8" hidden="false" customHeight="false" outlineLevel="0" collapsed="false">
      <c r="A76" s="39" t="s">
        <v>689</v>
      </c>
      <c r="B76" s="39" t="s">
        <v>690</v>
      </c>
      <c r="C76" s="39" t="n">
        <v>0.96</v>
      </c>
      <c r="D76" s="39" t="s">
        <v>691</v>
      </c>
      <c r="E76" s="39" t="s">
        <v>502</v>
      </c>
      <c r="F76" s="39" t="s">
        <v>597</v>
      </c>
      <c r="G76" s="52" t="s">
        <v>436</v>
      </c>
      <c r="H76" s="39"/>
    </row>
    <row r="77" customFormat="false" ht="12.8" hidden="false" customHeight="false" outlineLevel="0" collapsed="false">
      <c r="A77" s="39" t="s">
        <v>692</v>
      </c>
      <c r="B77" s="39" t="s">
        <v>693</v>
      </c>
      <c r="C77" s="39" t="n">
        <v>0.97</v>
      </c>
      <c r="D77" s="39" t="s">
        <v>694</v>
      </c>
      <c r="E77" s="39" t="s">
        <v>440</v>
      </c>
      <c r="F77" s="39" t="s">
        <v>597</v>
      </c>
      <c r="G77" s="52" t="s">
        <v>436</v>
      </c>
      <c r="H77" s="39"/>
    </row>
    <row r="78" customFormat="false" ht="12.8" hidden="false" customHeight="false" outlineLevel="0" collapsed="false">
      <c r="A78" s="39" t="s">
        <v>695</v>
      </c>
      <c r="B78" s="39" t="s">
        <v>696</v>
      </c>
      <c r="C78" s="39" t="n">
        <v>1.02</v>
      </c>
      <c r="D78" s="39" t="s">
        <v>697</v>
      </c>
      <c r="E78" s="39" t="s">
        <v>434</v>
      </c>
      <c r="F78" s="39" t="s">
        <v>597</v>
      </c>
      <c r="G78" s="52" t="s">
        <v>436</v>
      </c>
      <c r="H78" s="39"/>
    </row>
    <row r="79" customFormat="false" ht="12.8" hidden="false" customHeight="false" outlineLevel="0" collapsed="false">
      <c r="A79" s="39" t="s">
        <v>698</v>
      </c>
      <c r="B79" s="39" t="s">
        <v>699</v>
      </c>
      <c r="C79" s="39" t="n">
        <v>1.04</v>
      </c>
      <c r="D79" s="39" t="s">
        <v>700</v>
      </c>
      <c r="E79" s="39" t="s">
        <v>434</v>
      </c>
      <c r="F79" s="39" t="s">
        <v>597</v>
      </c>
      <c r="G79" s="52" t="s">
        <v>436</v>
      </c>
      <c r="H79" s="39"/>
    </row>
    <row r="80" customFormat="false" ht="12.8" hidden="false" customHeight="false" outlineLevel="0" collapsed="false">
      <c r="A80" s="39" t="s">
        <v>701</v>
      </c>
      <c r="B80" s="39" t="s">
        <v>702</v>
      </c>
      <c r="C80" s="39" t="n">
        <v>1.02</v>
      </c>
      <c r="D80" s="39" t="s">
        <v>703</v>
      </c>
      <c r="E80" s="39" t="s">
        <v>434</v>
      </c>
      <c r="F80" s="39" t="s">
        <v>597</v>
      </c>
      <c r="G80" s="52" t="s">
        <v>436</v>
      </c>
      <c r="H80" s="39"/>
    </row>
    <row r="81" customFormat="false" ht="12.8" hidden="false" customHeight="false" outlineLevel="0" collapsed="false">
      <c r="A81" s="39" t="s">
        <v>704</v>
      </c>
      <c r="B81" s="39" t="s">
        <v>705</v>
      </c>
      <c r="C81" s="39" t="n">
        <v>1.03</v>
      </c>
      <c r="D81" s="39" t="s">
        <v>706</v>
      </c>
      <c r="E81" s="39" t="s">
        <v>434</v>
      </c>
      <c r="F81" s="39" t="s">
        <v>597</v>
      </c>
      <c r="G81" s="52" t="s">
        <v>436</v>
      </c>
      <c r="H81" s="39"/>
    </row>
    <row r="82" customFormat="false" ht="12.8" hidden="false" customHeight="false" outlineLevel="0" collapsed="false">
      <c r="A82" s="39" t="s">
        <v>707</v>
      </c>
      <c r="B82" s="39" t="s">
        <v>708</v>
      </c>
      <c r="C82" s="39" t="n">
        <v>0.95</v>
      </c>
      <c r="D82" s="39" t="s">
        <v>709</v>
      </c>
      <c r="E82" s="39" t="s">
        <v>434</v>
      </c>
      <c r="F82" s="39" t="s">
        <v>597</v>
      </c>
      <c r="G82" s="52" t="s">
        <v>436</v>
      </c>
      <c r="H82" s="39"/>
    </row>
    <row r="83" customFormat="false" ht="12.8" hidden="false" customHeight="false" outlineLevel="0" collapsed="false">
      <c r="A83" s="39" t="s">
        <v>710</v>
      </c>
      <c r="B83" s="39" t="s">
        <v>711</v>
      </c>
      <c r="C83" s="39" t="n">
        <v>0.98</v>
      </c>
      <c r="D83" s="39" t="s">
        <v>712</v>
      </c>
      <c r="E83" s="39" t="s">
        <v>434</v>
      </c>
      <c r="F83" s="39" t="s">
        <v>597</v>
      </c>
      <c r="G83" s="52" t="s">
        <v>436</v>
      </c>
      <c r="H83" s="39"/>
    </row>
    <row r="84" customFormat="false" ht="12.8" hidden="false" customHeight="false" outlineLevel="0" collapsed="false">
      <c r="A84" s="39" t="s">
        <v>713</v>
      </c>
      <c r="B84" s="39" t="s">
        <v>714</v>
      </c>
      <c r="C84" s="39" t="n">
        <v>0.96</v>
      </c>
      <c r="D84" s="39" t="s">
        <v>715</v>
      </c>
      <c r="E84" s="39" t="s">
        <v>434</v>
      </c>
      <c r="F84" s="39" t="s">
        <v>597</v>
      </c>
      <c r="G84" s="52" t="s">
        <v>436</v>
      </c>
      <c r="H84" s="39"/>
    </row>
    <row r="85" customFormat="false" ht="12.8" hidden="false" customHeight="false" outlineLevel="0" collapsed="false">
      <c r="A85" s="39" t="s">
        <v>716</v>
      </c>
      <c r="B85" s="39" t="s">
        <v>717</v>
      </c>
      <c r="C85" s="39" t="n">
        <v>0.94</v>
      </c>
      <c r="D85" s="39" t="s">
        <v>718</v>
      </c>
      <c r="E85" s="39" t="s">
        <v>440</v>
      </c>
      <c r="F85" s="39" t="s">
        <v>597</v>
      </c>
      <c r="G85" s="52" t="s">
        <v>436</v>
      </c>
      <c r="H85" s="39"/>
    </row>
    <row r="86" customFormat="false" ht="12.8" hidden="false" customHeight="false" outlineLevel="0" collapsed="false">
      <c r="A86" s="39" t="s">
        <v>719</v>
      </c>
      <c r="B86" s="39" t="s">
        <v>720</v>
      </c>
      <c r="C86" s="39" t="n">
        <v>0.93</v>
      </c>
      <c r="D86" s="39" t="s">
        <v>721</v>
      </c>
      <c r="E86" s="39" t="s">
        <v>440</v>
      </c>
      <c r="F86" s="39" t="s">
        <v>597</v>
      </c>
      <c r="G86" s="52" t="s">
        <v>436</v>
      </c>
      <c r="H86" s="39"/>
    </row>
    <row r="87" customFormat="false" ht="12.8" hidden="false" customHeight="false" outlineLevel="0" collapsed="false">
      <c r="A87" s="39" t="s">
        <v>722</v>
      </c>
      <c r="B87" s="39" t="s">
        <v>723</v>
      </c>
      <c r="C87" s="39" t="n">
        <v>0.94</v>
      </c>
      <c r="D87" s="39" t="s">
        <v>724</v>
      </c>
      <c r="E87" s="39" t="s">
        <v>440</v>
      </c>
      <c r="F87" s="39" t="s">
        <v>597</v>
      </c>
      <c r="G87" s="52" t="s">
        <v>436</v>
      </c>
      <c r="H87" s="39"/>
    </row>
    <row r="88" customFormat="false" ht="12.8" hidden="false" customHeight="false" outlineLevel="0" collapsed="false">
      <c r="A88" s="39" t="s">
        <v>725</v>
      </c>
      <c r="B88" s="39" t="s">
        <v>726</v>
      </c>
      <c r="C88" s="39" t="n">
        <v>0.93</v>
      </c>
      <c r="D88" s="39" t="s">
        <v>727</v>
      </c>
      <c r="E88" s="39" t="s">
        <v>440</v>
      </c>
      <c r="F88" s="39" t="s">
        <v>597</v>
      </c>
      <c r="G88" s="52" t="s">
        <v>436</v>
      </c>
      <c r="H88" s="39"/>
    </row>
    <row r="89" customFormat="false" ht="12.8" hidden="false" customHeight="false" outlineLevel="0" collapsed="false">
      <c r="A89" s="39" t="s">
        <v>728</v>
      </c>
      <c r="B89" s="39" t="s">
        <v>729</v>
      </c>
      <c r="C89" s="39" t="n">
        <v>1.05</v>
      </c>
      <c r="D89" s="39" t="s">
        <v>730</v>
      </c>
      <c r="E89" s="39" t="s">
        <v>434</v>
      </c>
      <c r="F89" s="39" t="s">
        <v>597</v>
      </c>
      <c r="G89" s="52" t="s">
        <v>436</v>
      </c>
      <c r="H89" s="39"/>
    </row>
    <row r="90" customFormat="false" ht="12.8" hidden="false" customHeight="false" outlineLevel="0" collapsed="false">
      <c r="A90" s="39" t="s">
        <v>731</v>
      </c>
      <c r="B90" s="39" t="s">
        <v>732</v>
      </c>
      <c r="C90" s="39" t="n">
        <v>0.035</v>
      </c>
      <c r="D90" s="39" t="s">
        <v>733</v>
      </c>
      <c r="E90" s="39" t="s">
        <v>434</v>
      </c>
      <c r="F90" s="39" t="s">
        <v>734</v>
      </c>
      <c r="G90" s="52" t="s">
        <v>436</v>
      </c>
      <c r="H90" s="39" t="s">
        <v>735</v>
      </c>
    </row>
    <row r="91" customFormat="false" ht="12.8" hidden="false" customHeight="false" outlineLevel="0" collapsed="false">
      <c r="A91" s="39" t="s">
        <v>736</v>
      </c>
      <c r="B91" s="39" t="s">
        <v>737</v>
      </c>
      <c r="C91" s="39" t="n">
        <v>1.02</v>
      </c>
      <c r="D91" s="39" t="s">
        <v>738</v>
      </c>
      <c r="E91" s="39" t="s">
        <v>440</v>
      </c>
      <c r="F91" s="39" t="s">
        <v>515</v>
      </c>
      <c r="G91" s="52" t="s">
        <v>436</v>
      </c>
      <c r="H91" s="39" t="s">
        <v>739</v>
      </c>
    </row>
    <row r="92" customFormat="false" ht="12.8" hidden="false" customHeight="false" outlineLevel="0" collapsed="false">
      <c r="A92" s="39" t="s">
        <v>740</v>
      </c>
      <c r="B92" s="39" t="s">
        <v>741</v>
      </c>
      <c r="C92" s="39" t="n">
        <v>0.015</v>
      </c>
      <c r="D92" s="39" t="s">
        <v>742</v>
      </c>
      <c r="E92" s="39" t="s">
        <v>502</v>
      </c>
      <c r="F92" s="39" t="s">
        <v>597</v>
      </c>
      <c r="G92" s="52" t="s">
        <v>436</v>
      </c>
      <c r="H92" s="39" t="s">
        <v>743</v>
      </c>
    </row>
    <row r="93" customFormat="false" ht="12.8" hidden="false" customHeight="false" outlineLevel="0" collapsed="false">
      <c r="A93" s="39" t="s">
        <v>744</v>
      </c>
      <c r="B93" s="39" t="s">
        <v>745</v>
      </c>
      <c r="C93" s="39" t="n">
        <v>0.018</v>
      </c>
      <c r="D93" s="39" t="s">
        <v>746</v>
      </c>
      <c r="E93" s="39" t="s">
        <v>440</v>
      </c>
      <c r="F93" s="39" t="s">
        <v>597</v>
      </c>
      <c r="G93" s="52" t="s">
        <v>436</v>
      </c>
      <c r="H93" s="39" t="s">
        <v>747</v>
      </c>
    </row>
    <row r="94" customFormat="false" ht="12.8" hidden="false" customHeight="false" outlineLevel="0" collapsed="false">
      <c r="A94" s="39" t="s">
        <v>748</v>
      </c>
      <c r="B94" s="39" t="s">
        <v>749</v>
      </c>
      <c r="C94" s="39" t="n">
        <v>0.008</v>
      </c>
      <c r="D94" s="39" t="s">
        <v>750</v>
      </c>
      <c r="E94" s="39" t="s">
        <v>434</v>
      </c>
      <c r="F94" s="39" t="s">
        <v>597</v>
      </c>
      <c r="G94" s="52" t="s">
        <v>436</v>
      </c>
      <c r="H94" s="39" t="s">
        <v>751</v>
      </c>
    </row>
    <row r="95" customFormat="false" ht="12.8" hidden="false" customHeight="false" outlineLevel="0" collapsed="false">
      <c r="A95" s="39" t="s">
        <v>752</v>
      </c>
      <c r="B95" s="39" t="s">
        <v>753</v>
      </c>
      <c r="C95" s="39" t="n">
        <v>0.02</v>
      </c>
      <c r="D95" s="39" t="s">
        <v>754</v>
      </c>
      <c r="E95" s="39" t="s">
        <v>440</v>
      </c>
      <c r="F95" s="39" t="s">
        <v>597</v>
      </c>
      <c r="G95" s="52" t="s">
        <v>436</v>
      </c>
      <c r="H95" s="39" t="s">
        <v>755</v>
      </c>
    </row>
    <row r="96" customFormat="false" ht="12.8" hidden="false" customHeight="false" outlineLevel="0" collapsed="false">
      <c r="A96" s="39" t="s">
        <v>756</v>
      </c>
      <c r="B96" s="39" t="s">
        <v>757</v>
      </c>
      <c r="C96" s="39" t="n">
        <v>0.012</v>
      </c>
      <c r="D96" s="39" t="s">
        <v>758</v>
      </c>
      <c r="E96" s="39" t="s">
        <v>502</v>
      </c>
      <c r="F96" s="39" t="s">
        <v>597</v>
      </c>
      <c r="G96" s="52" t="s">
        <v>436</v>
      </c>
      <c r="H96" s="39" t="s">
        <v>759</v>
      </c>
    </row>
    <row r="97" customFormat="false" ht="12.8" hidden="false" customHeight="false" outlineLevel="0" collapsed="false">
      <c r="A97" s="39" t="s">
        <v>760</v>
      </c>
      <c r="B97" s="39" t="s">
        <v>761</v>
      </c>
      <c r="C97" s="39" t="n">
        <v>0.013</v>
      </c>
      <c r="D97" s="39" t="s">
        <v>762</v>
      </c>
      <c r="E97" s="39" t="s">
        <v>502</v>
      </c>
      <c r="F97" s="39" t="s">
        <v>597</v>
      </c>
      <c r="G97" s="52" t="s">
        <v>436</v>
      </c>
      <c r="H97" s="39" t="s">
        <v>759</v>
      </c>
    </row>
    <row r="98" customFormat="false" ht="12.8" hidden="false" customHeight="false" outlineLevel="0" collapsed="false">
      <c r="A98" s="39" t="s">
        <v>763</v>
      </c>
      <c r="B98" s="39" t="s">
        <v>764</v>
      </c>
      <c r="C98" s="39" t="n">
        <v>0.011</v>
      </c>
      <c r="D98" s="39" t="s">
        <v>765</v>
      </c>
      <c r="E98" s="39" t="s">
        <v>440</v>
      </c>
      <c r="F98" s="39" t="s">
        <v>597</v>
      </c>
      <c r="G98" s="52" t="s">
        <v>436</v>
      </c>
      <c r="H98" s="39" t="s">
        <v>766</v>
      </c>
    </row>
    <row r="99" customFormat="false" ht="12.8" hidden="false" customHeight="false" outlineLevel="0" collapsed="false">
      <c r="A99" s="39" t="s">
        <v>767</v>
      </c>
      <c r="B99" s="39" t="s">
        <v>768</v>
      </c>
      <c r="C99" s="39" t="n">
        <v>0.01</v>
      </c>
      <c r="D99" s="39" t="s">
        <v>769</v>
      </c>
      <c r="E99" s="39" t="s">
        <v>434</v>
      </c>
      <c r="F99" s="39" t="s">
        <v>597</v>
      </c>
      <c r="G99" s="52" t="s">
        <v>436</v>
      </c>
      <c r="H99" s="39" t="s">
        <v>770</v>
      </c>
    </row>
    <row r="100" customFormat="false" ht="12.8" hidden="false" customHeight="false" outlineLevel="0" collapsed="false">
      <c r="A100" s="39" t="s">
        <v>771</v>
      </c>
      <c r="B100" s="39" t="s">
        <v>772</v>
      </c>
      <c r="C100" s="39" t="n">
        <v>0.016</v>
      </c>
      <c r="D100" s="39" t="s">
        <v>773</v>
      </c>
      <c r="E100" s="39" t="s">
        <v>502</v>
      </c>
      <c r="F100" s="39" t="s">
        <v>597</v>
      </c>
      <c r="G100" s="52" t="s">
        <v>436</v>
      </c>
      <c r="H100" s="39" t="s">
        <v>774</v>
      </c>
    </row>
    <row r="101" customFormat="false" ht="12.8" hidden="false" customHeight="false" outlineLevel="0" collapsed="false">
      <c r="A101" s="39" t="s">
        <v>775</v>
      </c>
      <c r="B101" s="39" t="s">
        <v>776</v>
      </c>
      <c r="C101" s="39" t="n">
        <v>0.017</v>
      </c>
      <c r="D101" s="39" t="s">
        <v>777</v>
      </c>
      <c r="E101" s="39" t="s">
        <v>502</v>
      </c>
      <c r="F101" s="39" t="s">
        <v>597</v>
      </c>
      <c r="G101" s="52" t="s">
        <v>436</v>
      </c>
      <c r="H101" s="39" t="s">
        <v>778</v>
      </c>
    </row>
    <row r="102" customFormat="false" ht="12.8" hidden="false" customHeight="false" outlineLevel="0" collapsed="false">
      <c r="A102" s="39" t="s">
        <v>779</v>
      </c>
      <c r="B102" s="39" t="s">
        <v>780</v>
      </c>
      <c r="C102" s="39" t="n">
        <v>0.014</v>
      </c>
      <c r="D102" s="39" t="s">
        <v>781</v>
      </c>
      <c r="E102" s="39" t="s">
        <v>440</v>
      </c>
      <c r="F102" s="39" t="s">
        <v>597</v>
      </c>
      <c r="G102" s="52" t="s">
        <v>436</v>
      </c>
      <c r="H102" s="39" t="s">
        <v>782</v>
      </c>
    </row>
    <row r="103" customFormat="false" ht="12.8" hidden="false" customHeight="false" outlineLevel="0" collapsed="false">
      <c r="A103" s="39" t="s">
        <v>783</v>
      </c>
      <c r="B103" s="39" t="s">
        <v>784</v>
      </c>
      <c r="C103" s="39" t="n">
        <v>0.015</v>
      </c>
      <c r="D103" s="39" t="s">
        <v>785</v>
      </c>
      <c r="E103" s="39" t="s">
        <v>502</v>
      </c>
      <c r="F103" s="39" t="s">
        <v>597</v>
      </c>
      <c r="G103" s="52" t="s">
        <v>436</v>
      </c>
      <c r="H103" s="39" t="s">
        <v>786</v>
      </c>
    </row>
    <row r="104" customFormat="false" ht="12.8" hidden="false" customHeight="false" outlineLevel="0" collapsed="false">
      <c r="A104" s="39" t="s">
        <v>787</v>
      </c>
      <c r="B104" s="39" t="s">
        <v>788</v>
      </c>
      <c r="C104" s="39" t="n">
        <v>0.009</v>
      </c>
      <c r="D104" s="39" t="s">
        <v>789</v>
      </c>
      <c r="E104" s="39" t="s">
        <v>502</v>
      </c>
      <c r="F104" s="39" t="s">
        <v>597</v>
      </c>
      <c r="G104" s="52" t="s">
        <v>436</v>
      </c>
      <c r="H104" s="39" t="s">
        <v>790</v>
      </c>
    </row>
    <row r="105" customFormat="false" ht="12.8" hidden="false" customHeight="false" outlineLevel="0" collapsed="false">
      <c r="A105" s="39" t="s">
        <v>791</v>
      </c>
      <c r="B105" s="39" t="s">
        <v>792</v>
      </c>
      <c r="C105" s="39" t="n">
        <v>0.007</v>
      </c>
      <c r="D105" s="39" t="s">
        <v>793</v>
      </c>
      <c r="E105" s="39" t="s">
        <v>434</v>
      </c>
      <c r="F105" s="39" t="s">
        <v>597</v>
      </c>
      <c r="G105" s="52" t="s">
        <v>436</v>
      </c>
      <c r="H105" s="39" t="s">
        <v>794</v>
      </c>
    </row>
    <row r="106" customFormat="false" ht="12.8" hidden="false" customHeight="false" outlineLevel="0" collapsed="false">
      <c r="A106" s="39" t="s">
        <v>795</v>
      </c>
      <c r="B106" s="39" t="s">
        <v>796</v>
      </c>
      <c r="C106" s="39" t="n">
        <v>0.008</v>
      </c>
      <c r="D106" s="39" t="s">
        <v>797</v>
      </c>
      <c r="E106" s="39" t="s">
        <v>440</v>
      </c>
      <c r="F106" s="39" t="s">
        <v>597</v>
      </c>
      <c r="G106" s="52" t="s">
        <v>436</v>
      </c>
      <c r="H106" s="39" t="s">
        <v>798</v>
      </c>
    </row>
    <row r="107" customFormat="false" ht="12.8" hidden="false" customHeight="false" outlineLevel="0" collapsed="false">
      <c r="A107" s="39" t="s">
        <v>799</v>
      </c>
      <c r="B107" s="39" t="s">
        <v>800</v>
      </c>
      <c r="C107" s="39" t="n">
        <v>0.006</v>
      </c>
      <c r="D107" s="39" t="s">
        <v>801</v>
      </c>
      <c r="E107" s="39" t="s">
        <v>434</v>
      </c>
      <c r="F107" s="39" t="s">
        <v>597</v>
      </c>
      <c r="G107" s="52" t="s">
        <v>436</v>
      </c>
      <c r="H107" s="39" t="s">
        <v>802</v>
      </c>
    </row>
    <row r="108" customFormat="false" ht="12.8" hidden="false" customHeight="false" outlineLevel="0" collapsed="false">
      <c r="A108" s="39" t="s">
        <v>803</v>
      </c>
      <c r="B108" s="39" t="s">
        <v>804</v>
      </c>
      <c r="C108" s="39" t="n">
        <v>0.012</v>
      </c>
      <c r="D108" s="39" t="s">
        <v>805</v>
      </c>
      <c r="E108" s="39" t="s">
        <v>502</v>
      </c>
      <c r="F108" s="39" t="s">
        <v>597</v>
      </c>
      <c r="G108" s="52" t="s">
        <v>436</v>
      </c>
      <c r="H108" s="39" t="s">
        <v>806</v>
      </c>
    </row>
    <row r="109" customFormat="false" ht="12.8" hidden="false" customHeight="false" outlineLevel="0" collapsed="false">
      <c r="A109" s="39" t="s">
        <v>807</v>
      </c>
      <c r="B109" s="39" t="s">
        <v>808</v>
      </c>
      <c r="C109" s="39" t="n">
        <v>0.005</v>
      </c>
      <c r="D109" s="39" t="s">
        <v>809</v>
      </c>
      <c r="E109" s="39" t="s">
        <v>434</v>
      </c>
      <c r="F109" s="39" t="s">
        <v>597</v>
      </c>
      <c r="G109" s="52" t="s">
        <v>436</v>
      </c>
      <c r="H109" s="39" t="s">
        <v>810</v>
      </c>
    </row>
    <row r="110" customFormat="false" ht="12.8" hidden="false" customHeight="false" outlineLevel="0" collapsed="false">
      <c r="A110" s="39" t="s">
        <v>811</v>
      </c>
      <c r="B110" s="39" t="s">
        <v>812</v>
      </c>
      <c r="C110" s="39" t="n">
        <v>0.006</v>
      </c>
      <c r="D110" s="39" t="s">
        <v>813</v>
      </c>
      <c r="E110" s="39" t="s">
        <v>434</v>
      </c>
      <c r="F110" s="39" t="s">
        <v>597</v>
      </c>
      <c r="G110" s="52" t="s">
        <v>436</v>
      </c>
      <c r="H110" s="39" t="s">
        <v>814</v>
      </c>
    </row>
    <row r="111" customFormat="false" ht="12.8" hidden="false" customHeight="false" outlineLevel="0" collapsed="false">
      <c r="A111" s="39" t="s">
        <v>815</v>
      </c>
      <c r="B111" s="39" t="s">
        <v>816</v>
      </c>
      <c r="C111" s="39" t="n">
        <v>0.016</v>
      </c>
      <c r="D111" s="39" t="s">
        <v>817</v>
      </c>
      <c r="E111" s="39" t="s">
        <v>502</v>
      </c>
      <c r="F111" s="39" t="s">
        <v>597</v>
      </c>
      <c r="G111" s="52" t="s">
        <v>436</v>
      </c>
      <c r="H111" s="39" t="s">
        <v>818</v>
      </c>
    </row>
    <row r="112" customFormat="false" ht="12.8" hidden="false" customHeight="false" outlineLevel="0" collapsed="false">
      <c r="A112" s="39" t="s">
        <v>819</v>
      </c>
      <c r="B112" s="39" t="s">
        <v>820</v>
      </c>
      <c r="C112" s="39" t="n">
        <v>0.018</v>
      </c>
      <c r="D112" s="39" t="s">
        <v>821</v>
      </c>
      <c r="E112" s="39" t="s">
        <v>502</v>
      </c>
      <c r="F112" s="39" t="s">
        <v>597</v>
      </c>
      <c r="G112" s="52" t="s">
        <v>436</v>
      </c>
      <c r="H112" s="39" t="s">
        <v>822</v>
      </c>
    </row>
    <row r="113" customFormat="false" ht="12.8" hidden="false" customHeight="false" outlineLevel="0" collapsed="false">
      <c r="A113" s="39" t="s">
        <v>823</v>
      </c>
      <c r="B113" s="39" t="s">
        <v>824</v>
      </c>
      <c r="C113" s="39" t="n">
        <v>0.013</v>
      </c>
      <c r="D113" s="39" t="s">
        <v>825</v>
      </c>
      <c r="E113" s="39" t="s">
        <v>502</v>
      </c>
      <c r="F113" s="39" t="s">
        <v>597</v>
      </c>
      <c r="G113" s="52" t="s">
        <v>436</v>
      </c>
      <c r="H113" s="39" t="s">
        <v>826</v>
      </c>
    </row>
    <row r="114" customFormat="false" ht="12.8" hidden="false" customHeight="false" outlineLevel="0" collapsed="false">
      <c r="A114" s="39" t="s">
        <v>827</v>
      </c>
      <c r="B114" s="39" t="s">
        <v>828</v>
      </c>
      <c r="C114" s="39" t="n">
        <v>0.004</v>
      </c>
      <c r="D114" s="39" t="s">
        <v>829</v>
      </c>
      <c r="E114" s="39" t="s">
        <v>434</v>
      </c>
      <c r="F114" s="39" t="s">
        <v>597</v>
      </c>
      <c r="G114" s="52" t="s">
        <v>436</v>
      </c>
      <c r="H114" s="39" t="s">
        <v>830</v>
      </c>
    </row>
    <row r="115" customFormat="false" ht="12.8" hidden="false" customHeight="false" outlineLevel="0" collapsed="false">
      <c r="A115" s="39" t="s">
        <v>831</v>
      </c>
      <c r="B115" s="39" t="s">
        <v>832</v>
      </c>
      <c r="C115" s="39" t="n">
        <v>0.91</v>
      </c>
      <c r="D115" s="39" t="s">
        <v>833</v>
      </c>
      <c r="E115" s="39" t="s">
        <v>502</v>
      </c>
      <c r="F115" s="39" t="s">
        <v>597</v>
      </c>
      <c r="G115" s="52" t="s">
        <v>436</v>
      </c>
      <c r="H115" s="39" t="s">
        <v>834</v>
      </c>
    </row>
    <row r="116" customFormat="false" ht="12.8" hidden="false" customHeight="false" outlineLevel="0" collapsed="false">
      <c r="A116" s="39" t="s">
        <v>835</v>
      </c>
      <c r="B116" s="39" t="s">
        <v>836</v>
      </c>
      <c r="C116" s="39" t="n">
        <v>0.93</v>
      </c>
      <c r="D116" s="39" t="s">
        <v>837</v>
      </c>
      <c r="E116" s="39" t="s">
        <v>440</v>
      </c>
      <c r="F116" s="39" t="s">
        <v>597</v>
      </c>
      <c r="G116" s="52" t="s">
        <v>436</v>
      </c>
      <c r="H116" s="39" t="s">
        <v>838</v>
      </c>
    </row>
    <row r="117" customFormat="false" ht="12.8" hidden="false" customHeight="false" outlineLevel="0" collapsed="false">
      <c r="A117" s="39" t="s">
        <v>839</v>
      </c>
      <c r="B117" s="39" t="s">
        <v>840</v>
      </c>
      <c r="C117" s="39" t="n">
        <v>0.99</v>
      </c>
      <c r="D117" s="39" t="s">
        <v>841</v>
      </c>
      <c r="E117" s="39" t="s">
        <v>434</v>
      </c>
      <c r="F117" s="39" t="s">
        <v>597</v>
      </c>
      <c r="G117" s="52" t="s">
        <v>436</v>
      </c>
      <c r="H117" s="39" t="s">
        <v>842</v>
      </c>
    </row>
    <row r="118" customFormat="false" ht="12.8" hidden="false" customHeight="false" outlineLevel="0" collapsed="false">
      <c r="A118" s="39" t="s">
        <v>843</v>
      </c>
      <c r="B118" s="39" t="s">
        <v>844</v>
      </c>
      <c r="C118" s="39" t="n">
        <v>0.9</v>
      </c>
      <c r="D118" s="39" t="s">
        <v>845</v>
      </c>
      <c r="E118" s="39" t="s">
        <v>440</v>
      </c>
      <c r="F118" s="39" t="s">
        <v>597</v>
      </c>
      <c r="G118" s="52" t="s">
        <v>436</v>
      </c>
      <c r="H118" s="39" t="s">
        <v>846</v>
      </c>
    </row>
    <row r="119" customFormat="false" ht="12.8" hidden="false" customHeight="false" outlineLevel="0" collapsed="false">
      <c r="A119" s="39" t="s">
        <v>847</v>
      </c>
      <c r="B119" s="39" t="s">
        <v>848</v>
      </c>
      <c r="C119" s="39" t="n">
        <v>0.94</v>
      </c>
      <c r="D119" s="39" t="s">
        <v>849</v>
      </c>
      <c r="E119" s="39" t="s">
        <v>502</v>
      </c>
      <c r="F119" s="39" t="s">
        <v>597</v>
      </c>
      <c r="G119" s="52" t="s">
        <v>436</v>
      </c>
      <c r="H119" s="39" t="s">
        <v>850</v>
      </c>
    </row>
    <row r="120" customFormat="false" ht="12.8" hidden="false" customHeight="false" outlineLevel="0" collapsed="false">
      <c r="A120" s="39" t="s">
        <v>851</v>
      </c>
      <c r="B120" s="39" t="s">
        <v>852</v>
      </c>
      <c r="C120" s="39" t="n">
        <v>0.95</v>
      </c>
      <c r="D120" s="39" t="s">
        <v>853</v>
      </c>
      <c r="E120" s="39" t="s">
        <v>502</v>
      </c>
      <c r="F120" s="39" t="s">
        <v>597</v>
      </c>
      <c r="G120" s="52" t="s">
        <v>436</v>
      </c>
      <c r="H120" s="39" t="s">
        <v>854</v>
      </c>
    </row>
    <row r="121" customFormat="false" ht="12.8" hidden="false" customHeight="false" outlineLevel="0" collapsed="false">
      <c r="A121" s="39" t="s">
        <v>855</v>
      </c>
      <c r="B121" s="39" t="s">
        <v>856</v>
      </c>
      <c r="C121" s="39" t="n">
        <v>0.93</v>
      </c>
      <c r="D121" s="39" t="s">
        <v>857</v>
      </c>
      <c r="E121" s="39" t="s">
        <v>440</v>
      </c>
      <c r="F121" s="39" t="s">
        <v>597</v>
      </c>
      <c r="G121" s="52" t="s">
        <v>436</v>
      </c>
      <c r="H121" s="39" t="s">
        <v>858</v>
      </c>
    </row>
    <row r="122" customFormat="false" ht="12.8" hidden="false" customHeight="false" outlineLevel="0" collapsed="false">
      <c r="A122" s="39" t="s">
        <v>859</v>
      </c>
      <c r="B122" s="39" t="s">
        <v>860</v>
      </c>
      <c r="C122" s="39" t="n">
        <v>0.96</v>
      </c>
      <c r="D122" s="39" t="s">
        <v>861</v>
      </c>
      <c r="E122" s="39" t="s">
        <v>434</v>
      </c>
      <c r="F122" s="39" t="s">
        <v>597</v>
      </c>
      <c r="G122" s="52" t="s">
        <v>436</v>
      </c>
      <c r="H122" s="39" t="s">
        <v>862</v>
      </c>
    </row>
    <row r="123" customFormat="false" ht="12.8" hidden="false" customHeight="false" outlineLevel="0" collapsed="false">
      <c r="A123" s="39" t="s">
        <v>863</v>
      </c>
      <c r="B123" s="39" t="s">
        <v>864</v>
      </c>
      <c r="C123" s="39" t="n">
        <v>0.92</v>
      </c>
      <c r="D123" s="39" t="s">
        <v>865</v>
      </c>
      <c r="E123" s="39" t="s">
        <v>502</v>
      </c>
      <c r="F123" s="39" t="s">
        <v>597</v>
      </c>
      <c r="G123" s="52" t="s">
        <v>436</v>
      </c>
      <c r="H123" s="39" t="s">
        <v>866</v>
      </c>
    </row>
    <row r="124" customFormat="false" ht="12.8" hidden="false" customHeight="false" outlineLevel="0" collapsed="false">
      <c r="A124" s="39" t="s">
        <v>867</v>
      </c>
      <c r="B124" s="39" t="s">
        <v>868</v>
      </c>
      <c r="C124" s="39" t="n">
        <v>0.91</v>
      </c>
      <c r="D124" s="39" t="s">
        <v>869</v>
      </c>
      <c r="E124" s="39" t="s">
        <v>502</v>
      </c>
      <c r="F124" s="39" t="s">
        <v>597</v>
      </c>
      <c r="G124" s="52" t="s">
        <v>436</v>
      </c>
      <c r="H124" s="39" t="s">
        <v>870</v>
      </c>
    </row>
    <row r="125" customFormat="false" ht="12.8" hidden="false" customHeight="false" outlineLevel="0" collapsed="false">
      <c r="A125" s="39" t="s">
        <v>871</v>
      </c>
      <c r="B125" s="39" t="s">
        <v>872</v>
      </c>
      <c r="C125" s="39" t="n">
        <v>0.94</v>
      </c>
      <c r="D125" s="39" t="s">
        <v>873</v>
      </c>
      <c r="E125" s="39" t="s">
        <v>440</v>
      </c>
      <c r="F125" s="39" t="s">
        <v>597</v>
      </c>
      <c r="G125" s="52" t="s">
        <v>436</v>
      </c>
      <c r="H125" s="39" t="s">
        <v>874</v>
      </c>
    </row>
    <row r="126" customFormat="false" ht="12.8" hidden="false" customHeight="false" outlineLevel="0" collapsed="false">
      <c r="A126" s="39" t="s">
        <v>875</v>
      </c>
      <c r="B126" s="39" t="s">
        <v>876</v>
      </c>
      <c r="C126" s="39" t="n">
        <v>0.92</v>
      </c>
      <c r="D126" s="39" t="s">
        <v>877</v>
      </c>
      <c r="E126" s="39" t="s">
        <v>502</v>
      </c>
      <c r="F126" s="39" t="s">
        <v>597</v>
      </c>
      <c r="G126" s="52" t="s">
        <v>436</v>
      </c>
      <c r="H126" s="39" t="s">
        <v>878</v>
      </c>
    </row>
    <row r="127" customFormat="false" ht="12.8" hidden="false" customHeight="false" outlineLevel="0" collapsed="false">
      <c r="A127" s="39" t="s">
        <v>879</v>
      </c>
      <c r="B127" s="39" t="s">
        <v>880</v>
      </c>
      <c r="C127" s="39" t="n">
        <v>0.97</v>
      </c>
      <c r="D127" s="39" t="s">
        <v>881</v>
      </c>
      <c r="E127" s="39" t="s">
        <v>502</v>
      </c>
      <c r="F127" s="39" t="s">
        <v>597</v>
      </c>
      <c r="G127" s="52" t="s">
        <v>436</v>
      </c>
      <c r="H127" s="39" t="s">
        <v>882</v>
      </c>
    </row>
    <row r="128" customFormat="false" ht="12.8" hidden="false" customHeight="false" outlineLevel="0" collapsed="false">
      <c r="A128" s="39" t="s">
        <v>883</v>
      </c>
      <c r="B128" s="39" t="s">
        <v>884</v>
      </c>
      <c r="C128" s="39" t="n">
        <v>1.01</v>
      </c>
      <c r="D128" s="39" t="s">
        <v>885</v>
      </c>
      <c r="E128" s="39" t="s">
        <v>434</v>
      </c>
      <c r="F128" s="39" t="s">
        <v>597</v>
      </c>
      <c r="G128" s="52" t="s">
        <v>436</v>
      </c>
      <c r="H128" s="39" t="s">
        <v>886</v>
      </c>
    </row>
    <row r="129" customFormat="false" ht="12.8" hidden="false" customHeight="false" outlineLevel="0" collapsed="false">
      <c r="A129" s="39" t="s">
        <v>887</v>
      </c>
      <c r="B129" s="39" t="s">
        <v>888</v>
      </c>
      <c r="C129" s="39" t="n">
        <v>0.98</v>
      </c>
      <c r="D129" s="39" t="s">
        <v>889</v>
      </c>
      <c r="E129" s="39" t="s">
        <v>440</v>
      </c>
      <c r="F129" s="39" t="s">
        <v>597</v>
      </c>
      <c r="G129" s="52" t="s">
        <v>436</v>
      </c>
      <c r="H129" s="39" t="s">
        <v>890</v>
      </c>
    </row>
    <row r="130" customFormat="false" ht="12.8" hidden="false" customHeight="false" outlineLevel="0" collapsed="false">
      <c r="A130" s="39" t="s">
        <v>891</v>
      </c>
      <c r="B130" s="39" t="s">
        <v>892</v>
      </c>
      <c r="C130" s="39" t="n">
        <v>1.03</v>
      </c>
      <c r="D130" s="39" t="s">
        <v>893</v>
      </c>
      <c r="E130" s="39" t="s">
        <v>434</v>
      </c>
      <c r="F130" s="39" t="s">
        <v>597</v>
      </c>
      <c r="G130" s="52" t="s">
        <v>436</v>
      </c>
      <c r="H130" s="39" t="s">
        <v>894</v>
      </c>
    </row>
    <row r="131" customFormat="false" ht="12.8" hidden="false" customHeight="false" outlineLevel="0" collapsed="false">
      <c r="A131" s="39" t="s">
        <v>895</v>
      </c>
      <c r="B131" s="39" t="s">
        <v>896</v>
      </c>
      <c r="C131" s="39" t="n">
        <v>0.94</v>
      </c>
      <c r="D131" s="39" t="s">
        <v>897</v>
      </c>
      <c r="E131" s="39" t="s">
        <v>502</v>
      </c>
      <c r="F131" s="39" t="s">
        <v>597</v>
      </c>
      <c r="G131" s="52" t="s">
        <v>436</v>
      </c>
      <c r="H131" s="39" t="s">
        <v>898</v>
      </c>
    </row>
    <row r="132" customFormat="false" ht="12.8" hidden="false" customHeight="false" outlineLevel="0" collapsed="false">
      <c r="A132" s="39" t="s">
        <v>899</v>
      </c>
      <c r="B132" s="39" t="s">
        <v>900</v>
      </c>
      <c r="C132" s="39" t="n">
        <v>1.01</v>
      </c>
      <c r="D132" s="39" t="s">
        <v>901</v>
      </c>
      <c r="E132" s="39" t="s">
        <v>434</v>
      </c>
      <c r="F132" s="39" t="s">
        <v>597</v>
      </c>
      <c r="G132" s="52" t="s">
        <v>436</v>
      </c>
      <c r="H132" s="39" t="s">
        <v>902</v>
      </c>
    </row>
    <row r="133" customFormat="false" ht="12.8" hidden="false" customHeight="false" outlineLevel="0" collapsed="false">
      <c r="A133" s="39" t="s">
        <v>903</v>
      </c>
      <c r="B133" s="39" t="s">
        <v>904</v>
      </c>
      <c r="C133" s="39" t="n">
        <v>1.02</v>
      </c>
      <c r="D133" s="39" t="s">
        <v>905</v>
      </c>
      <c r="E133" s="39" t="s">
        <v>434</v>
      </c>
      <c r="F133" s="39" t="s">
        <v>597</v>
      </c>
      <c r="G133" s="52" t="s">
        <v>436</v>
      </c>
      <c r="H133" s="39" t="s">
        <v>906</v>
      </c>
    </row>
    <row r="134" customFormat="false" ht="12.8" hidden="false" customHeight="false" outlineLevel="0" collapsed="false">
      <c r="A134" s="39" t="s">
        <v>907</v>
      </c>
      <c r="B134" s="39" t="s">
        <v>908</v>
      </c>
      <c r="C134" s="39" t="n">
        <v>0.93</v>
      </c>
      <c r="D134" s="39" t="s">
        <v>909</v>
      </c>
      <c r="E134" s="39" t="s">
        <v>502</v>
      </c>
      <c r="F134" s="39" t="s">
        <v>597</v>
      </c>
      <c r="G134" s="52" t="s">
        <v>436</v>
      </c>
      <c r="H134" s="39" t="s">
        <v>910</v>
      </c>
    </row>
    <row r="135" customFormat="false" ht="12.8" hidden="false" customHeight="false" outlineLevel="0" collapsed="false">
      <c r="A135" s="39" t="s">
        <v>911</v>
      </c>
      <c r="B135" s="39" t="s">
        <v>912</v>
      </c>
      <c r="C135" s="39" t="n">
        <v>0.9</v>
      </c>
      <c r="D135" s="39" t="s">
        <v>913</v>
      </c>
      <c r="E135" s="39" t="s">
        <v>502</v>
      </c>
      <c r="F135" s="39" t="s">
        <v>597</v>
      </c>
      <c r="G135" s="52" t="s">
        <v>436</v>
      </c>
      <c r="H135" s="39" t="s">
        <v>914</v>
      </c>
    </row>
    <row r="136" customFormat="false" ht="12.8" hidden="false" customHeight="false" outlineLevel="0" collapsed="false">
      <c r="A136" s="39" t="s">
        <v>915</v>
      </c>
      <c r="B136" s="39" t="s">
        <v>916</v>
      </c>
      <c r="C136" s="39" t="n">
        <v>0.95</v>
      </c>
      <c r="D136" s="39" t="s">
        <v>917</v>
      </c>
      <c r="E136" s="39" t="s">
        <v>502</v>
      </c>
      <c r="F136" s="39" t="s">
        <v>597</v>
      </c>
      <c r="G136" s="52" t="s">
        <v>436</v>
      </c>
      <c r="H136" s="39" t="s">
        <v>918</v>
      </c>
    </row>
    <row r="137" customFormat="false" ht="12.8" hidden="false" customHeight="false" outlineLevel="0" collapsed="false">
      <c r="A137" s="39" t="s">
        <v>919</v>
      </c>
      <c r="B137" s="39" t="s">
        <v>920</v>
      </c>
      <c r="C137" s="39" t="n">
        <v>1.04</v>
      </c>
      <c r="D137" s="39" t="s">
        <v>921</v>
      </c>
      <c r="E137" s="39" t="s">
        <v>434</v>
      </c>
      <c r="F137" s="39" t="s">
        <v>597</v>
      </c>
      <c r="G137" s="52" t="s">
        <v>436</v>
      </c>
      <c r="H137" s="39" t="s">
        <v>922</v>
      </c>
    </row>
    <row r="138" customFormat="false" ht="12.8" hidden="false" customHeight="false" outlineLevel="0" collapsed="false">
      <c r="A138" s="39" t="s">
        <v>923</v>
      </c>
      <c r="B138" s="39" t="s">
        <v>924</v>
      </c>
      <c r="C138" s="39" t="n">
        <v>1.12</v>
      </c>
      <c r="D138" s="39" t="s">
        <v>925</v>
      </c>
      <c r="E138" s="39" t="s">
        <v>440</v>
      </c>
      <c r="F138" s="39" t="s">
        <v>926</v>
      </c>
      <c r="G138" s="52" t="s">
        <v>436</v>
      </c>
      <c r="H138" s="39" t="s">
        <v>927</v>
      </c>
    </row>
    <row r="139" customFormat="false" ht="12.8" hidden="false" customHeight="false" outlineLevel="0" collapsed="false">
      <c r="A139" s="39" t="s">
        <v>928</v>
      </c>
      <c r="B139" s="39" t="s">
        <v>929</v>
      </c>
      <c r="C139" s="39" t="n">
        <v>1.1</v>
      </c>
      <c r="D139" s="39" t="s">
        <v>930</v>
      </c>
      <c r="E139" s="39" t="s">
        <v>440</v>
      </c>
      <c r="F139" s="39" t="s">
        <v>926</v>
      </c>
      <c r="G139" s="52" t="s">
        <v>436</v>
      </c>
      <c r="H139" s="39" t="s">
        <v>931</v>
      </c>
    </row>
    <row r="140" customFormat="false" ht="12.8" hidden="false" customHeight="false" outlineLevel="0" collapsed="false">
      <c r="A140" s="39" t="s">
        <v>932</v>
      </c>
      <c r="B140" s="39" t="s">
        <v>933</v>
      </c>
      <c r="C140" s="39" t="n">
        <v>0.85</v>
      </c>
      <c r="D140" s="39" t="s">
        <v>934</v>
      </c>
      <c r="E140" s="39" t="s">
        <v>434</v>
      </c>
      <c r="F140" s="39" t="s">
        <v>926</v>
      </c>
      <c r="G140" s="52" t="s">
        <v>436</v>
      </c>
      <c r="H140" s="39" t="s">
        <v>935</v>
      </c>
    </row>
    <row r="141" customFormat="false" ht="12.8" hidden="false" customHeight="false" outlineLevel="0" collapsed="false">
      <c r="A141" s="39" t="s">
        <v>936</v>
      </c>
      <c r="B141" s="39" t="s">
        <v>937</v>
      </c>
      <c r="C141" s="39" t="n">
        <v>1.15</v>
      </c>
      <c r="D141" s="39" t="s">
        <v>938</v>
      </c>
      <c r="E141" s="39" t="s">
        <v>440</v>
      </c>
      <c r="F141" s="39" t="s">
        <v>926</v>
      </c>
      <c r="G141" s="52" t="s">
        <v>436</v>
      </c>
      <c r="H141" s="39" t="s">
        <v>939</v>
      </c>
    </row>
    <row r="142" customFormat="false" ht="12.8" hidden="false" customHeight="false" outlineLevel="0" collapsed="false">
      <c r="A142" s="39" t="s">
        <v>940</v>
      </c>
      <c r="B142" s="39" t="s">
        <v>941</v>
      </c>
      <c r="C142" s="39" t="n">
        <v>1.08</v>
      </c>
      <c r="D142" s="39" t="s">
        <v>942</v>
      </c>
      <c r="E142" s="39" t="s">
        <v>502</v>
      </c>
      <c r="F142" s="39" t="s">
        <v>926</v>
      </c>
      <c r="G142" s="52" t="s">
        <v>436</v>
      </c>
      <c r="H142" s="39" t="s">
        <v>943</v>
      </c>
    </row>
    <row r="143" customFormat="false" ht="12.8" hidden="false" customHeight="false" outlineLevel="0" collapsed="false">
      <c r="A143" s="39" t="s">
        <v>944</v>
      </c>
      <c r="B143" s="39" t="s">
        <v>945</v>
      </c>
      <c r="C143" s="39" t="n">
        <v>1.07</v>
      </c>
      <c r="D143" s="39" t="s">
        <v>946</v>
      </c>
      <c r="E143" s="39" t="s">
        <v>502</v>
      </c>
      <c r="F143" s="39" t="s">
        <v>926</v>
      </c>
      <c r="G143" s="52" t="s">
        <v>436</v>
      </c>
      <c r="H143" s="39" t="s">
        <v>850</v>
      </c>
    </row>
    <row r="144" customFormat="false" ht="12.8" hidden="false" customHeight="false" outlineLevel="0" collapsed="false">
      <c r="A144" s="39" t="s">
        <v>947</v>
      </c>
      <c r="B144" s="39" t="s">
        <v>948</v>
      </c>
      <c r="C144" s="39" t="n">
        <v>1.06</v>
      </c>
      <c r="D144" s="39" t="s">
        <v>949</v>
      </c>
      <c r="E144" s="39" t="s">
        <v>440</v>
      </c>
      <c r="F144" s="39" t="s">
        <v>926</v>
      </c>
      <c r="G144" s="52" t="s">
        <v>436</v>
      </c>
      <c r="H144" s="39" t="s">
        <v>950</v>
      </c>
    </row>
    <row r="145" customFormat="false" ht="12.8" hidden="false" customHeight="false" outlineLevel="0" collapsed="false">
      <c r="A145" s="39" t="s">
        <v>951</v>
      </c>
      <c r="B145" s="39" t="s">
        <v>952</v>
      </c>
      <c r="C145" s="39" t="n">
        <v>0.95</v>
      </c>
      <c r="D145" s="39" t="s">
        <v>953</v>
      </c>
      <c r="E145" s="39" t="s">
        <v>434</v>
      </c>
      <c r="F145" s="39" t="s">
        <v>926</v>
      </c>
      <c r="G145" s="52" t="s">
        <v>436</v>
      </c>
      <c r="H145" s="39" t="s">
        <v>954</v>
      </c>
    </row>
    <row r="146" customFormat="false" ht="12.8" hidden="false" customHeight="false" outlineLevel="0" collapsed="false">
      <c r="A146" s="39" t="s">
        <v>955</v>
      </c>
      <c r="B146" s="39" t="s">
        <v>956</v>
      </c>
      <c r="C146" s="39" t="n">
        <v>1.09</v>
      </c>
      <c r="D146" s="39" t="s">
        <v>957</v>
      </c>
      <c r="E146" s="39" t="s">
        <v>502</v>
      </c>
      <c r="F146" s="39" t="s">
        <v>926</v>
      </c>
      <c r="G146" s="52" t="s">
        <v>436</v>
      </c>
      <c r="H146" s="39" t="s">
        <v>958</v>
      </c>
    </row>
    <row r="147" customFormat="false" ht="12.8" hidden="false" customHeight="false" outlineLevel="0" collapsed="false">
      <c r="A147" s="39" t="s">
        <v>959</v>
      </c>
      <c r="B147" s="39" t="s">
        <v>960</v>
      </c>
      <c r="C147" s="39" t="n">
        <v>1.11</v>
      </c>
      <c r="D147" s="39" t="s">
        <v>961</v>
      </c>
      <c r="E147" s="39" t="s">
        <v>502</v>
      </c>
      <c r="F147" s="39" t="s">
        <v>926</v>
      </c>
      <c r="G147" s="52" t="s">
        <v>436</v>
      </c>
      <c r="H147" s="39" t="s">
        <v>962</v>
      </c>
    </row>
    <row r="148" customFormat="false" ht="12.8" hidden="false" customHeight="false" outlineLevel="0" collapsed="false">
      <c r="A148" s="39" t="s">
        <v>963</v>
      </c>
      <c r="B148" s="39" t="s">
        <v>964</v>
      </c>
      <c r="C148" s="39" t="n">
        <v>1.08</v>
      </c>
      <c r="D148" s="39" t="s">
        <v>965</v>
      </c>
      <c r="E148" s="39" t="s">
        <v>440</v>
      </c>
      <c r="F148" s="39" t="s">
        <v>926</v>
      </c>
      <c r="G148" s="52" t="s">
        <v>436</v>
      </c>
      <c r="H148" s="39" t="s">
        <v>966</v>
      </c>
    </row>
    <row r="149" customFormat="false" ht="12.8" hidden="false" customHeight="false" outlineLevel="0" collapsed="false">
      <c r="A149" s="39" t="s">
        <v>967</v>
      </c>
      <c r="B149" s="39" t="s">
        <v>968</v>
      </c>
      <c r="C149" s="39" t="n">
        <v>1.1</v>
      </c>
      <c r="D149" s="39" t="s">
        <v>969</v>
      </c>
      <c r="E149" s="39" t="s">
        <v>502</v>
      </c>
      <c r="F149" s="39" t="s">
        <v>926</v>
      </c>
      <c r="G149" s="52" t="s">
        <v>436</v>
      </c>
      <c r="H149" s="39" t="s">
        <v>970</v>
      </c>
    </row>
    <row r="150" customFormat="false" ht="12.8" hidden="false" customHeight="false" outlineLevel="0" collapsed="false">
      <c r="A150" s="39" t="s">
        <v>971</v>
      </c>
      <c r="B150" s="39" t="s">
        <v>972</v>
      </c>
      <c r="C150" s="39" t="n">
        <v>0.9</v>
      </c>
      <c r="D150" s="39" t="s">
        <v>973</v>
      </c>
      <c r="E150" s="39" t="s">
        <v>502</v>
      </c>
      <c r="F150" s="39" t="s">
        <v>926</v>
      </c>
      <c r="G150" s="52" t="s">
        <v>436</v>
      </c>
      <c r="H150" s="39" t="s">
        <v>974</v>
      </c>
    </row>
    <row r="151" customFormat="false" ht="12.8" hidden="false" customHeight="false" outlineLevel="0" collapsed="false">
      <c r="A151" s="39" t="s">
        <v>975</v>
      </c>
      <c r="B151" s="39" t="s">
        <v>976</v>
      </c>
      <c r="C151" s="39" t="n">
        <v>0.82</v>
      </c>
      <c r="D151" s="39" t="s">
        <v>977</v>
      </c>
      <c r="E151" s="39" t="s">
        <v>434</v>
      </c>
      <c r="F151" s="39" t="s">
        <v>926</v>
      </c>
      <c r="G151" s="52" t="s">
        <v>436</v>
      </c>
      <c r="H151" s="39" t="s">
        <v>978</v>
      </c>
    </row>
    <row r="152" customFormat="false" ht="12.8" hidden="false" customHeight="false" outlineLevel="0" collapsed="false">
      <c r="A152" s="39" t="s">
        <v>979</v>
      </c>
      <c r="B152" s="39" t="s">
        <v>980</v>
      </c>
      <c r="C152" s="39" t="n">
        <v>0.88</v>
      </c>
      <c r="D152" s="39" t="s">
        <v>981</v>
      </c>
      <c r="E152" s="39" t="s">
        <v>440</v>
      </c>
      <c r="F152" s="39" t="s">
        <v>926</v>
      </c>
      <c r="G152" s="52" t="s">
        <v>436</v>
      </c>
      <c r="H152" s="39" t="s">
        <v>982</v>
      </c>
    </row>
    <row r="153" customFormat="false" ht="12.8" hidden="false" customHeight="false" outlineLevel="0" collapsed="false">
      <c r="A153" s="39" t="s">
        <v>983</v>
      </c>
      <c r="B153" s="39" t="s">
        <v>984</v>
      </c>
      <c r="C153" s="39" t="n">
        <v>0.8</v>
      </c>
      <c r="D153" s="39" t="s">
        <v>985</v>
      </c>
      <c r="E153" s="39" t="s">
        <v>434</v>
      </c>
      <c r="F153" s="39" t="s">
        <v>926</v>
      </c>
      <c r="G153" s="52" t="s">
        <v>436</v>
      </c>
      <c r="H153" s="39" t="s">
        <v>986</v>
      </c>
    </row>
    <row r="154" customFormat="false" ht="12.8" hidden="false" customHeight="false" outlineLevel="0" collapsed="false">
      <c r="A154" s="39" t="s">
        <v>987</v>
      </c>
      <c r="B154" s="39" t="s">
        <v>988</v>
      </c>
      <c r="C154" s="39" t="n">
        <v>1.13</v>
      </c>
      <c r="D154" s="39" t="s">
        <v>989</v>
      </c>
      <c r="E154" s="39" t="s">
        <v>502</v>
      </c>
      <c r="F154" s="39" t="s">
        <v>926</v>
      </c>
      <c r="G154" s="52" t="s">
        <v>436</v>
      </c>
      <c r="H154" s="39" t="s">
        <v>990</v>
      </c>
    </row>
    <row r="155" customFormat="false" ht="12.8" hidden="false" customHeight="false" outlineLevel="0" collapsed="false">
      <c r="A155" s="39" t="s">
        <v>991</v>
      </c>
      <c r="B155" s="39" t="s">
        <v>992</v>
      </c>
      <c r="C155" s="39" t="n">
        <v>0.85</v>
      </c>
      <c r="D155" s="39" t="s">
        <v>993</v>
      </c>
      <c r="E155" s="39" t="s">
        <v>434</v>
      </c>
      <c r="F155" s="39" t="s">
        <v>926</v>
      </c>
      <c r="G155" s="52" t="s">
        <v>436</v>
      </c>
      <c r="H155" s="39" t="s">
        <v>994</v>
      </c>
    </row>
    <row r="156" customFormat="false" ht="12.8" hidden="false" customHeight="false" outlineLevel="0" collapsed="false">
      <c r="A156" s="39" t="s">
        <v>995</v>
      </c>
      <c r="B156" s="39" t="s">
        <v>996</v>
      </c>
      <c r="C156" s="39" t="n">
        <v>0.87</v>
      </c>
      <c r="D156" s="39" t="s">
        <v>997</v>
      </c>
      <c r="E156" s="39" t="s">
        <v>434</v>
      </c>
      <c r="F156" s="39" t="s">
        <v>926</v>
      </c>
      <c r="G156" s="52" t="s">
        <v>436</v>
      </c>
      <c r="H156" s="39" t="s">
        <v>998</v>
      </c>
    </row>
    <row r="157" customFormat="false" ht="12.8" hidden="false" customHeight="false" outlineLevel="0" collapsed="false">
      <c r="A157" s="39" t="s">
        <v>999</v>
      </c>
      <c r="B157" s="39" t="s">
        <v>1000</v>
      </c>
      <c r="C157" s="39" t="n">
        <v>1.12</v>
      </c>
      <c r="D157" s="39" t="s">
        <v>1001</v>
      </c>
      <c r="E157" s="39" t="s">
        <v>502</v>
      </c>
      <c r="F157" s="39" t="s">
        <v>926</v>
      </c>
      <c r="G157" s="52" t="s">
        <v>436</v>
      </c>
      <c r="H157" s="39" t="s">
        <v>1002</v>
      </c>
    </row>
    <row r="158" customFormat="false" ht="12.8" hidden="false" customHeight="false" outlineLevel="0" collapsed="false">
      <c r="A158" s="39" t="s">
        <v>1003</v>
      </c>
      <c r="B158" s="39" t="s">
        <v>1004</v>
      </c>
      <c r="C158" s="39" t="n">
        <v>1.14</v>
      </c>
      <c r="D158" s="39" t="s">
        <v>1005</v>
      </c>
      <c r="E158" s="39" t="s">
        <v>502</v>
      </c>
      <c r="F158" s="39" t="s">
        <v>926</v>
      </c>
      <c r="G158" s="52" t="s">
        <v>436</v>
      </c>
      <c r="H158" s="39" t="s">
        <v>1006</v>
      </c>
    </row>
    <row r="159" customFormat="false" ht="12.8" hidden="false" customHeight="false" outlineLevel="0" collapsed="false">
      <c r="A159" s="39" t="s">
        <v>1007</v>
      </c>
      <c r="B159" s="39" t="s">
        <v>1008</v>
      </c>
      <c r="C159" s="39" t="n">
        <v>1.09</v>
      </c>
      <c r="D159" s="39" t="s">
        <v>1009</v>
      </c>
      <c r="E159" s="39" t="s">
        <v>502</v>
      </c>
      <c r="F159" s="39" t="s">
        <v>926</v>
      </c>
      <c r="G159" s="52" t="s">
        <v>436</v>
      </c>
      <c r="H159" s="39" t="s">
        <v>1010</v>
      </c>
    </row>
    <row r="160" customFormat="false" ht="12.8" hidden="false" customHeight="false" outlineLevel="0" collapsed="false">
      <c r="A160" s="39" t="s">
        <v>1011</v>
      </c>
      <c r="B160" s="39" t="s">
        <v>1012</v>
      </c>
      <c r="C160" s="39" t="n">
        <v>0.78</v>
      </c>
      <c r="D160" s="39" t="s">
        <v>1013</v>
      </c>
      <c r="E160" s="39" t="s">
        <v>434</v>
      </c>
      <c r="F160" s="39" t="s">
        <v>926</v>
      </c>
      <c r="G160" s="52" t="s">
        <v>436</v>
      </c>
      <c r="H160" s="39" t="s">
        <v>1014</v>
      </c>
    </row>
    <row r="161" customFormat="false" ht="12.8" hidden="false" customHeight="false" outlineLevel="0" collapsed="false">
      <c r="A161" s="39" t="s">
        <v>1015</v>
      </c>
      <c r="B161" s="39" t="s">
        <v>1016</v>
      </c>
      <c r="C161" s="39" t="n">
        <v>0.045</v>
      </c>
      <c r="D161" s="39" t="s">
        <v>1017</v>
      </c>
      <c r="E161" s="39" t="s">
        <v>440</v>
      </c>
      <c r="F161" s="39" t="s">
        <v>1018</v>
      </c>
      <c r="G161" s="52" t="s">
        <v>436</v>
      </c>
      <c r="H161" s="39" t="s">
        <v>1019</v>
      </c>
    </row>
    <row r="162" customFormat="false" ht="12.8" hidden="false" customHeight="false" outlineLevel="0" collapsed="false">
      <c r="A162" s="39" t="s">
        <v>1020</v>
      </c>
      <c r="B162" s="39" t="s">
        <v>1021</v>
      </c>
      <c r="C162" s="39" t="n">
        <v>1.05</v>
      </c>
      <c r="D162" s="39" t="s">
        <v>1022</v>
      </c>
      <c r="E162" s="39" t="s">
        <v>502</v>
      </c>
      <c r="F162" s="39" t="s">
        <v>1023</v>
      </c>
      <c r="G162" s="52" t="s">
        <v>436</v>
      </c>
      <c r="H162" s="39" t="s">
        <v>1024</v>
      </c>
    </row>
    <row r="163" customFormat="false" ht="12.8" hidden="false" customHeight="false" outlineLevel="0" collapsed="false">
      <c r="A163" s="39" t="s">
        <v>1025</v>
      </c>
      <c r="B163" s="39" t="s">
        <v>1026</v>
      </c>
      <c r="C163" s="39" t="n">
        <v>0.85</v>
      </c>
      <c r="D163" s="39" t="s">
        <v>1027</v>
      </c>
      <c r="E163" s="39" t="s">
        <v>502</v>
      </c>
      <c r="F163" s="39" t="s">
        <v>1028</v>
      </c>
      <c r="G163" s="52" t="s">
        <v>436</v>
      </c>
      <c r="H163" s="39" t="s">
        <v>1029</v>
      </c>
    </row>
    <row r="164" customFormat="false" ht="12.8" hidden="false" customHeight="false" outlineLevel="0" collapsed="false">
      <c r="A164" s="39" t="s">
        <v>1030</v>
      </c>
      <c r="B164" s="39" t="s">
        <v>1031</v>
      </c>
      <c r="C164" s="39" t="n">
        <v>0.06</v>
      </c>
      <c r="D164" s="39" t="s">
        <v>1032</v>
      </c>
      <c r="E164" s="39" t="s">
        <v>502</v>
      </c>
      <c r="F164" s="39" t="s">
        <v>523</v>
      </c>
      <c r="G164" s="52" t="s">
        <v>436</v>
      </c>
      <c r="H164" s="39" t="s">
        <v>1033</v>
      </c>
    </row>
    <row r="165" customFormat="false" ht="12.8" hidden="false" customHeight="false" outlineLevel="0" collapsed="false">
      <c r="A165" s="39" t="s">
        <v>1034</v>
      </c>
      <c r="B165" s="39" t="s">
        <v>1035</v>
      </c>
      <c r="C165" s="39" t="n">
        <v>0.25</v>
      </c>
      <c r="D165" s="39" t="s">
        <v>1036</v>
      </c>
      <c r="E165" s="39" t="s">
        <v>502</v>
      </c>
      <c r="F165" s="39" t="s">
        <v>597</v>
      </c>
      <c r="G165" s="52" t="s">
        <v>436</v>
      </c>
      <c r="H165" s="39" t="s">
        <v>1037</v>
      </c>
    </row>
    <row r="166" customFormat="false" ht="12.8" hidden="false" customHeight="false" outlineLevel="0" collapsed="false">
      <c r="A166" s="39" t="s">
        <v>1038</v>
      </c>
      <c r="B166" s="39" t="s">
        <v>1039</v>
      </c>
      <c r="C166" s="39" t="n">
        <v>0.025</v>
      </c>
      <c r="D166" s="39" t="s">
        <v>1040</v>
      </c>
      <c r="E166" s="39" t="s">
        <v>502</v>
      </c>
      <c r="F166" s="39" t="s">
        <v>597</v>
      </c>
      <c r="G166" s="52" t="s">
        <v>436</v>
      </c>
      <c r="H166" s="39" t="s">
        <v>1041</v>
      </c>
    </row>
    <row r="167" customFormat="false" ht="12.8" hidden="false" customHeight="false" outlineLevel="0" collapsed="false">
      <c r="A167" s="39" t="s">
        <v>1042</v>
      </c>
      <c r="B167" s="39" t="s">
        <v>1043</v>
      </c>
      <c r="C167" s="39" t="n">
        <v>0.028</v>
      </c>
      <c r="D167" s="39" t="s">
        <v>1044</v>
      </c>
      <c r="E167" s="39" t="s">
        <v>502</v>
      </c>
      <c r="F167" s="39" t="s">
        <v>597</v>
      </c>
      <c r="G167" s="52" t="s">
        <v>436</v>
      </c>
      <c r="H167" s="39" t="s">
        <v>1045</v>
      </c>
    </row>
    <row r="168" customFormat="false" ht="12.8" hidden="false" customHeight="false" outlineLevel="0" collapsed="false">
      <c r="A168" s="39" t="s">
        <v>1046</v>
      </c>
      <c r="B168" s="39" t="s">
        <v>1047</v>
      </c>
      <c r="C168" s="39" t="n">
        <v>0.012</v>
      </c>
      <c r="D168" s="39" t="s">
        <v>1048</v>
      </c>
      <c r="E168" s="39" t="s">
        <v>434</v>
      </c>
      <c r="F168" s="39" t="s">
        <v>597</v>
      </c>
      <c r="G168" s="52" t="s">
        <v>436</v>
      </c>
      <c r="H168" s="39" t="s">
        <v>1045</v>
      </c>
    </row>
    <row r="169" customFormat="false" ht="12.8" hidden="false" customHeight="false" outlineLevel="0" collapsed="false">
      <c r="A169" s="39" t="s">
        <v>1049</v>
      </c>
      <c r="B169" s="39" t="s">
        <v>1050</v>
      </c>
      <c r="C169" s="39" t="n">
        <v>0.03</v>
      </c>
      <c r="D169" s="39" t="s">
        <v>1051</v>
      </c>
      <c r="E169" s="39" t="s">
        <v>502</v>
      </c>
      <c r="F169" s="39" t="s">
        <v>597</v>
      </c>
      <c r="G169" s="52" t="s">
        <v>436</v>
      </c>
      <c r="H169" s="39" t="s">
        <v>1045</v>
      </c>
    </row>
    <row r="170" customFormat="false" ht="12.8" hidden="false" customHeight="false" outlineLevel="0" collapsed="false">
      <c r="A170" s="39" t="s">
        <v>1052</v>
      </c>
      <c r="B170" s="39" t="s">
        <v>1053</v>
      </c>
      <c r="C170" s="39" t="n">
        <v>0.02</v>
      </c>
      <c r="D170" s="39" t="s">
        <v>1054</v>
      </c>
      <c r="E170" s="39" t="s">
        <v>502</v>
      </c>
      <c r="F170" s="39" t="s">
        <v>597</v>
      </c>
      <c r="G170" s="52" t="s">
        <v>436</v>
      </c>
      <c r="H170" s="39" t="s">
        <v>1045</v>
      </c>
    </row>
    <row r="171" customFormat="false" ht="12.8" hidden="false" customHeight="false" outlineLevel="0" collapsed="false">
      <c r="A171" s="39" t="s">
        <v>1055</v>
      </c>
      <c r="B171" s="39" t="s">
        <v>1056</v>
      </c>
      <c r="C171" s="39" t="n">
        <v>0.021</v>
      </c>
      <c r="D171" s="39" t="s">
        <v>1057</v>
      </c>
      <c r="E171" s="39" t="s">
        <v>502</v>
      </c>
      <c r="F171" s="39" t="s">
        <v>597</v>
      </c>
      <c r="G171" s="52" t="s">
        <v>436</v>
      </c>
      <c r="H171" s="39" t="s">
        <v>1045</v>
      </c>
    </row>
    <row r="172" customFormat="false" ht="12.8" hidden="false" customHeight="false" outlineLevel="0" collapsed="false">
      <c r="A172" s="39" t="s">
        <v>1058</v>
      </c>
      <c r="B172" s="39" t="s">
        <v>1059</v>
      </c>
      <c r="C172" s="39" t="n">
        <v>0.018</v>
      </c>
      <c r="D172" s="39" t="s">
        <v>1060</v>
      </c>
      <c r="E172" s="39" t="s">
        <v>502</v>
      </c>
      <c r="F172" s="39" t="s">
        <v>597</v>
      </c>
      <c r="G172" s="52" t="s">
        <v>436</v>
      </c>
      <c r="H172" s="39" t="s">
        <v>1045</v>
      </c>
    </row>
    <row r="173" customFormat="false" ht="12.8" hidden="false" customHeight="false" outlineLevel="0" collapsed="false">
      <c r="A173" s="39" t="s">
        <v>1061</v>
      </c>
      <c r="B173" s="39" t="s">
        <v>1062</v>
      </c>
      <c r="C173" s="39" t="n">
        <v>0.016</v>
      </c>
      <c r="D173" s="39" t="s">
        <v>1063</v>
      </c>
      <c r="E173" s="39" t="s">
        <v>434</v>
      </c>
      <c r="F173" s="39" t="s">
        <v>597</v>
      </c>
      <c r="G173" s="52" t="s">
        <v>436</v>
      </c>
      <c r="H173" s="39" t="s">
        <v>1045</v>
      </c>
    </row>
    <row r="174" customFormat="false" ht="12.8" hidden="false" customHeight="false" outlineLevel="0" collapsed="false">
      <c r="A174" s="39" t="s">
        <v>1064</v>
      </c>
      <c r="B174" s="39" t="s">
        <v>1065</v>
      </c>
      <c r="C174" s="39" t="n">
        <v>0.026</v>
      </c>
      <c r="D174" s="39" t="s">
        <v>1066</v>
      </c>
      <c r="E174" s="39" t="s">
        <v>502</v>
      </c>
      <c r="F174" s="39" t="s">
        <v>597</v>
      </c>
      <c r="G174" s="52" t="s">
        <v>436</v>
      </c>
      <c r="H174" s="39" t="s">
        <v>1045</v>
      </c>
    </row>
    <row r="175" customFormat="false" ht="12.8" hidden="false" customHeight="false" outlineLevel="0" collapsed="false">
      <c r="A175" s="39" t="s">
        <v>1067</v>
      </c>
      <c r="B175" s="39" t="s">
        <v>1068</v>
      </c>
      <c r="C175" s="39" t="n">
        <v>0.027</v>
      </c>
      <c r="D175" s="39" t="s">
        <v>1069</v>
      </c>
      <c r="E175" s="39" t="s">
        <v>502</v>
      </c>
      <c r="F175" s="39" t="s">
        <v>597</v>
      </c>
      <c r="G175" s="52" t="s">
        <v>436</v>
      </c>
      <c r="H175" s="39" t="s">
        <v>1045</v>
      </c>
    </row>
    <row r="176" customFormat="false" ht="12.8" hidden="false" customHeight="false" outlineLevel="0" collapsed="false">
      <c r="A176" s="39" t="s">
        <v>1070</v>
      </c>
      <c r="B176" s="39" t="s">
        <v>1071</v>
      </c>
      <c r="C176" s="39" t="n">
        <v>0.022</v>
      </c>
      <c r="D176" s="39" t="s">
        <v>1072</v>
      </c>
      <c r="E176" s="39" t="s">
        <v>502</v>
      </c>
      <c r="F176" s="39" t="s">
        <v>597</v>
      </c>
      <c r="G176" s="52" t="s">
        <v>436</v>
      </c>
      <c r="H176" s="39" t="s">
        <v>1045</v>
      </c>
    </row>
    <row r="177" customFormat="false" ht="12.8" hidden="false" customHeight="false" outlineLevel="0" collapsed="false">
      <c r="A177" s="39" t="s">
        <v>1073</v>
      </c>
      <c r="B177" s="39" t="s">
        <v>1074</v>
      </c>
      <c r="C177" s="39" t="n">
        <v>0.025</v>
      </c>
      <c r="D177" s="39" t="s">
        <v>1075</v>
      </c>
      <c r="E177" s="39" t="s">
        <v>502</v>
      </c>
      <c r="F177" s="39" t="s">
        <v>597</v>
      </c>
      <c r="G177" s="52" t="s">
        <v>436</v>
      </c>
      <c r="H177" s="39" t="s">
        <v>1045</v>
      </c>
    </row>
    <row r="178" customFormat="false" ht="12.8" hidden="false" customHeight="false" outlineLevel="0" collapsed="false">
      <c r="A178" s="39" t="s">
        <v>1076</v>
      </c>
      <c r="B178" s="39" t="s">
        <v>1077</v>
      </c>
      <c r="C178" s="39" t="n">
        <v>0.014</v>
      </c>
      <c r="D178" s="39" t="s">
        <v>1078</v>
      </c>
      <c r="E178" s="39" t="s">
        <v>502</v>
      </c>
      <c r="F178" s="39" t="s">
        <v>597</v>
      </c>
      <c r="G178" s="52" t="s">
        <v>436</v>
      </c>
      <c r="H178" s="39" t="s">
        <v>1045</v>
      </c>
    </row>
    <row r="179" customFormat="false" ht="12.8" hidden="false" customHeight="false" outlineLevel="0" collapsed="false">
      <c r="A179" s="39" t="s">
        <v>1079</v>
      </c>
      <c r="B179" s="39" t="s">
        <v>1080</v>
      </c>
      <c r="C179" s="39" t="n">
        <v>0.011</v>
      </c>
      <c r="D179" s="39" t="s">
        <v>1081</v>
      </c>
      <c r="E179" s="39" t="s">
        <v>434</v>
      </c>
      <c r="F179" s="39" t="s">
        <v>597</v>
      </c>
      <c r="G179" s="52" t="s">
        <v>436</v>
      </c>
      <c r="H179" s="39" t="s">
        <v>1045</v>
      </c>
    </row>
    <row r="180" customFormat="false" ht="12.8" hidden="false" customHeight="false" outlineLevel="0" collapsed="false">
      <c r="A180" s="39" t="s">
        <v>1082</v>
      </c>
      <c r="B180" s="39" t="s">
        <v>1083</v>
      </c>
      <c r="C180" s="39" t="n">
        <v>0.013</v>
      </c>
      <c r="D180" s="39" t="s">
        <v>1084</v>
      </c>
      <c r="E180" s="39" t="s">
        <v>502</v>
      </c>
      <c r="F180" s="39" t="s">
        <v>597</v>
      </c>
      <c r="G180" s="52" t="s">
        <v>436</v>
      </c>
      <c r="H180" s="39" t="s">
        <v>1045</v>
      </c>
    </row>
    <row r="181" customFormat="false" ht="12.8" hidden="false" customHeight="false" outlineLevel="0" collapsed="false">
      <c r="A181" s="39" t="s">
        <v>1085</v>
      </c>
      <c r="B181" s="39" t="s">
        <v>1086</v>
      </c>
      <c r="C181" s="39" t="n">
        <v>0.01</v>
      </c>
      <c r="D181" s="39" t="s">
        <v>1087</v>
      </c>
      <c r="E181" s="39" t="s">
        <v>434</v>
      </c>
      <c r="F181" s="39" t="s">
        <v>597</v>
      </c>
      <c r="G181" s="52" t="s">
        <v>436</v>
      </c>
      <c r="H181" s="39" t="s">
        <v>1045</v>
      </c>
    </row>
    <row r="182" customFormat="false" ht="12.8" hidden="false" customHeight="false" outlineLevel="0" collapsed="false">
      <c r="A182" s="39" t="s">
        <v>1088</v>
      </c>
      <c r="B182" s="39" t="s">
        <v>1089</v>
      </c>
      <c r="C182" s="39" t="n">
        <v>0.02</v>
      </c>
      <c r="D182" s="39" t="s">
        <v>1090</v>
      </c>
      <c r="E182" s="39" t="s">
        <v>502</v>
      </c>
      <c r="F182" s="39" t="s">
        <v>597</v>
      </c>
      <c r="G182" s="52" t="s">
        <v>436</v>
      </c>
      <c r="H182" s="39" t="s">
        <v>1045</v>
      </c>
    </row>
    <row r="183" customFormat="false" ht="12.8" hidden="false" customHeight="false" outlineLevel="0" collapsed="false">
      <c r="A183" s="39" t="s">
        <v>1091</v>
      </c>
      <c r="B183" s="39" t="s">
        <v>1092</v>
      </c>
      <c r="C183" s="39" t="n">
        <v>0.008</v>
      </c>
      <c r="D183" s="39" t="s">
        <v>1093</v>
      </c>
      <c r="E183" s="39" t="s">
        <v>434</v>
      </c>
      <c r="F183" s="39" t="s">
        <v>597</v>
      </c>
      <c r="G183" s="52" t="s">
        <v>436</v>
      </c>
      <c r="H183" s="39" t="s">
        <v>1045</v>
      </c>
    </row>
    <row r="184" customFormat="false" ht="12.8" hidden="false" customHeight="false" outlineLevel="0" collapsed="false">
      <c r="A184" s="39" t="s">
        <v>1094</v>
      </c>
      <c r="B184" s="39" t="s">
        <v>1095</v>
      </c>
      <c r="C184" s="39" t="n">
        <v>0.01</v>
      </c>
      <c r="D184" s="39" t="s">
        <v>1096</v>
      </c>
      <c r="E184" s="39" t="s">
        <v>434</v>
      </c>
      <c r="F184" s="39" t="s">
        <v>597</v>
      </c>
      <c r="G184" s="52" t="s">
        <v>436</v>
      </c>
      <c r="H184" s="39" t="s">
        <v>1045</v>
      </c>
    </row>
    <row r="185" customFormat="false" ht="12.8" hidden="false" customHeight="false" outlineLevel="0" collapsed="false">
      <c r="A185" s="39" t="s">
        <v>1097</v>
      </c>
      <c r="B185" s="39" t="s">
        <v>1098</v>
      </c>
      <c r="C185" s="39" t="n">
        <v>0.026</v>
      </c>
      <c r="D185" s="39" t="s">
        <v>1099</v>
      </c>
      <c r="E185" s="39" t="s">
        <v>502</v>
      </c>
      <c r="F185" s="39" t="s">
        <v>597</v>
      </c>
      <c r="G185" s="52" t="s">
        <v>436</v>
      </c>
      <c r="H185" s="39" t="s">
        <v>1045</v>
      </c>
    </row>
    <row r="186" customFormat="false" ht="12.8" hidden="false" customHeight="false" outlineLevel="0" collapsed="false">
      <c r="A186" s="39" t="s">
        <v>1100</v>
      </c>
      <c r="B186" s="39" t="s">
        <v>1101</v>
      </c>
      <c r="C186" s="39" t="n">
        <v>0.028</v>
      </c>
      <c r="D186" s="39" t="s">
        <v>1102</v>
      </c>
      <c r="E186" s="39" t="s">
        <v>502</v>
      </c>
      <c r="F186" s="39" t="s">
        <v>597</v>
      </c>
      <c r="G186" s="52" t="s">
        <v>436</v>
      </c>
      <c r="H186" s="39" t="s">
        <v>1045</v>
      </c>
    </row>
    <row r="187" customFormat="false" ht="12.8" hidden="false" customHeight="false" outlineLevel="0" collapsed="false">
      <c r="A187" s="39" t="s">
        <v>1103</v>
      </c>
      <c r="B187" s="39" t="s">
        <v>1104</v>
      </c>
      <c r="C187" s="39" t="n">
        <v>0.021</v>
      </c>
      <c r="D187" s="39" t="s">
        <v>1105</v>
      </c>
      <c r="E187" s="39" t="s">
        <v>502</v>
      </c>
      <c r="F187" s="39" t="s">
        <v>597</v>
      </c>
      <c r="G187" s="52" t="s">
        <v>436</v>
      </c>
      <c r="H187" s="39" t="s">
        <v>1045</v>
      </c>
    </row>
    <row r="188" customFormat="false" ht="12.8" hidden="false" customHeight="false" outlineLevel="0" collapsed="false">
      <c r="A188" s="39" t="s">
        <v>1106</v>
      </c>
      <c r="B188" s="39" t="s">
        <v>1107</v>
      </c>
      <c r="C188" s="39" t="n">
        <v>0.006</v>
      </c>
      <c r="D188" s="39" t="s">
        <v>1108</v>
      </c>
      <c r="E188" s="39" t="s">
        <v>434</v>
      </c>
      <c r="F188" s="39" t="s">
        <v>597</v>
      </c>
      <c r="G188" s="52" t="s">
        <v>436</v>
      </c>
      <c r="H188" s="39" t="s">
        <v>1045</v>
      </c>
    </row>
    <row r="189" customFormat="false" ht="12.8" hidden="false" customHeight="false" outlineLevel="0" collapsed="false">
      <c r="A189" s="39" t="s">
        <v>1109</v>
      </c>
      <c r="B189" s="39" t="s">
        <v>1110</v>
      </c>
      <c r="C189" s="39" t="n">
        <v>0.88</v>
      </c>
      <c r="D189" s="39" t="s">
        <v>1111</v>
      </c>
      <c r="E189" s="39" t="s">
        <v>502</v>
      </c>
      <c r="F189" s="39" t="s">
        <v>597</v>
      </c>
      <c r="G189" s="52" t="s">
        <v>436</v>
      </c>
      <c r="H189" s="39" t="s">
        <v>1112</v>
      </c>
    </row>
    <row r="190" customFormat="false" ht="12.8" hidden="false" customHeight="false" outlineLevel="0" collapsed="false">
      <c r="A190" s="39" t="s">
        <v>1113</v>
      </c>
      <c r="B190" s="39" t="s">
        <v>1114</v>
      </c>
      <c r="C190" s="39" t="n">
        <v>0.9</v>
      </c>
      <c r="D190" s="39" t="s">
        <v>1115</v>
      </c>
      <c r="E190" s="39" t="s">
        <v>502</v>
      </c>
      <c r="F190" s="39" t="s">
        <v>597</v>
      </c>
      <c r="G190" s="52" t="s">
        <v>436</v>
      </c>
      <c r="H190" s="39" t="s">
        <v>1045</v>
      </c>
    </row>
    <row r="191" customFormat="false" ht="12.8" hidden="false" customHeight="false" outlineLevel="0" collapsed="false">
      <c r="A191" s="39" t="s">
        <v>1116</v>
      </c>
      <c r="B191" s="39" t="s">
        <v>1117</v>
      </c>
      <c r="C191" s="39" t="n">
        <v>0.97</v>
      </c>
      <c r="D191" s="39" t="s">
        <v>1118</v>
      </c>
      <c r="E191" s="39" t="s">
        <v>434</v>
      </c>
      <c r="F191" s="39" t="s">
        <v>597</v>
      </c>
      <c r="G191" s="52" t="s">
        <v>436</v>
      </c>
      <c r="H191" s="39" t="s">
        <v>1045</v>
      </c>
    </row>
    <row r="192" customFormat="false" ht="12.8" hidden="false" customHeight="false" outlineLevel="0" collapsed="false">
      <c r="A192" s="39" t="s">
        <v>1119</v>
      </c>
      <c r="B192" s="39" t="s">
        <v>1120</v>
      </c>
      <c r="C192" s="39" t="n">
        <v>0.87</v>
      </c>
      <c r="D192" s="39" t="s">
        <v>1121</v>
      </c>
      <c r="E192" s="39" t="s">
        <v>502</v>
      </c>
      <c r="F192" s="39" t="s">
        <v>597</v>
      </c>
      <c r="G192" s="52" t="s">
        <v>436</v>
      </c>
      <c r="H192" s="39" t="s">
        <v>1045</v>
      </c>
    </row>
    <row r="193" customFormat="false" ht="12.8" hidden="false" customHeight="false" outlineLevel="0" collapsed="false">
      <c r="A193" s="39" t="s">
        <v>1122</v>
      </c>
      <c r="B193" s="39" t="s">
        <v>1123</v>
      </c>
      <c r="C193" s="39" t="n">
        <v>0.91</v>
      </c>
      <c r="D193" s="39" t="s">
        <v>1124</v>
      </c>
      <c r="E193" s="39" t="s">
        <v>502</v>
      </c>
      <c r="F193" s="39" t="s">
        <v>597</v>
      </c>
      <c r="G193" s="52" t="s">
        <v>436</v>
      </c>
      <c r="H193" s="39" t="s">
        <v>1045</v>
      </c>
    </row>
    <row r="194" customFormat="false" ht="12.8" hidden="false" customHeight="false" outlineLevel="0" collapsed="false">
      <c r="A194" s="39" t="s">
        <v>1125</v>
      </c>
      <c r="B194" s="39" t="s">
        <v>1126</v>
      </c>
      <c r="C194" s="39" t="n">
        <v>0.92</v>
      </c>
      <c r="D194" s="39" t="s">
        <v>1127</v>
      </c>
      <c r="E194" s="39" t="s">
        <v>502</v>
      </c>
      <c r="F194" s="39" t="s">
        <v>597</v>
      </c>
      <c r="G194" s="52" t="s">
        <v>436</v>
      </c>
      <c r="H194" s="39" t="s">
        <v>1045</v>
      </c>
    </row>
    <row r="195" customFormat="false" ht="12.8" hidden="false" customHeight="false" outlineLevel="0" collapsed="false">
      <c r="A195" s="39" t="s">
        <v>1128</v>
      </c>
      <c r="B195" s="39" t="s">
        <v>1129</v>
      </c>
      <c r="C195" s="39" t="n">
        <v>0.9</v>
      </c>
      <c r="D195" s="39" t="s">
        <v>1130</v>
      </c>
      <c r="E195" s="39" t="s">
        <v>502</v>
      </c>
      <c r="F195" s="39" t="s">
        <v>597</v>
      </c>
      <c r="G195" s="52" t="s">
        <v>436</v>
      </c>
      <c r="H195" s="39" t="s">
        <v>1045</v>
      </c>
    </row>
    <row r="196" customFormat="false" ht="12.8" hidden="false" customHeight="false" outlineLevel="0" collapsed="false">
      <c r="A196" s="39" t="s">
        <v>1131</v>
      </c>
      <c r="B196" s="39" t="s">
        <v>1132</v>
      </c>
      <c r="C196" s="39" t="n">
        <v>0.93</v>
      </c>
      <c r="D196" s="39" t="s">
        <v>1133</v>
      </c>
      <c r="E196" s="39" t="s">
        <v>434</v>
      </c>
      <c r="F196" s="39" t="s">
        <v>597</v>
      </c>
      <c r="G196" s="52" t="s">
        <v>436</v>
      </c>
      <c r="H196" s="39" t="s">
        <v>1045</v>
      </c>
    </row>
    <row r="197" customFormat="false" ht="12.8" hidden="false" customHeight="false" outlineLevel="0" collapsed="false">
      <c r="A197" s="39" t="s">
        <v>1134</v>
      </c>
      <c r="B197" s="39" t="s">
        <v>1135</v>
      </c>
      <c r="C197" s="39" t="n">
        <v>0.89</v>
      </c>
      <c r="D197" s="39" t="s">
        <v>1136</v>
      </c>
      <c r="E197" s="39" t="s">
        <v>502</v>
      </c>
      <c r="F197" s="39" t="s">
        <v>597</v>
      </c>
      <c r="G197" s="52" t="s">
        <v>436</v>
      </c>
      <c r="H197" s="39" t="s">
        <v>1045</v>
      </c>
    </row>
    <row r="198" customFormat="false" ht="12.8" hidden="false" customHeight="false" outlineLevel="0" collapsed="false">
      <c r="A198" s="39" t="s">
        <v>1137</v>
      </c>
      <c r="B198" s="39" t="s">
        <v>1138</v>
      </c>
      <c r="C198" s="39" t="n">
        <v>0.88</v>
      </c>
      <c r="D198" s="39" t="s">
        <v>1139</v>
      </c>
      <c r="E198" s="39" t="s">
        <v>502</v>
      </c>
      <c r="F198" s="39" t="s">
        <v>597</v>
      </c>
      <c r="G198" s="52" t="s">
        <v>436</v>
      </c>
      <c r="H198" s="39" t="s">
        <v>1045</v>
      </c>
    </row>
    <row r="199" customFormat="false" ht="12.8" hidden="false" customHeight="false" outlineLevel="0" collapsed="false">
      <c r="A199" s="39" t="s">
        <v>1140</v>
      </c>
      <c r="B199" s="39" t="s">
        <v>1141</v>
      </c>
      <c r="C199" s="39" t="n">
        <v>0.91</v>
      </c>
      <c r="D199" s="39" t="s">
        <v>1142</v>
      </c>
      <c r="E199" s="39" t="s">
        <v>502</v>
      </c>
      <c r="F199" s="39" t="s">
        <v>597</v>
      </c>
      <c r="G199" s="52" t="s">
        <v>436</v>
      </c>
      <c r="H199" s="39" t="s">
        <v>1045</v>
      </c>
    </row>
    <row r="200" customFormat="false" ht="12.8" hidden="false" customHeight="false" outlineLevel="0" collapsed="false">
      <c r="A200" s="39" t="s">
        <v>1143</v>
      </c>
      <c r="B200" s="39" t="s">
        <v>1144</v>
      </c>
      <c r="C200" s="39" t="n">
        <v>0.89</v>
      </c>
      <c r="D200" s="39" t="s">
        <v>1145</v>
      </c>
      <c r="E200" s="39" t="s">
        <v>502</v>
      </c>
      <c r="F200" s="39" t="s">
        <v>597</v>
      </c>
      <c r="G200" s="52" t="s">
        <v>436</v>
      </c>
      <c r="H200" s="39" t="s">
        <v>1045</v>
      </c>
    </row>
    <row r="201" customFormat="false" ht="12.8" hidden="false" customHeight="false" outlineLevel="0" collapsed="false">
      <c r="A201" s="39" t="s">
        <v>1146</v>
      </c>
      <c r="B201" s="39" t="s">
        <v>1147</v>
      </c>
      <c r="C201" s="39" t="n">
        <v>0.94</v>
      </c>
      <c r="D201" s="39" t="s">
        <v>1148</v>
      </c>
      <c r="E201" s="39" t="s">
        <v>502</v>
      </c>
      <c r="F201" s="39" t="s">
        <v>597</v>
      </c>
      <c r="G201" s="52" t="s">
        <v>436</v>
      </c>
      <c r="H201" s="39" t="s">
        <v>1045</v>
      </c>
    </row>
    <row r="202" customFormat="false" ht="12.8" hidden="false" customHeight="false" outlineLevel="0" collapsed="false">
      <c r="A202" s="39" t="s">
        <v>1149</v>
      </c>
      <c r="B202" s="39" t="s">
        <v>1150</v>
      </c>
      <c r="C202" s="39" t="n">
        <v>0.98</v>
      </c>
      <c r="D202" s="39" t="s">
        <v>1151</v>
      </c>
      <c r="E202" s="39" t="s">
        <v>434</v>
      </c>
      <c r="F202" s="39" t="s">
        <v>597</v>
      </c>
      <c r="G202" s="52" t="s">
        <v>436</v>
      </c>
      <c r="H202" s="39" t="s">
        <v>1045</v>
      </c>
    </row>
    <row r="203" customFormat="false" ht="12.8" hidden="false" customHeight="false" outlineLevel="0" collapsed="false">
      <c r="A203" s="39" t="s">
        <v>1152</v>
      </c>
      <c r="B203" s="39" t="s">
        <v>1153</v>
      </c>
      <c r="C203" s="39" t="n">
        <v>0.95</v>
      </c>
      <c r="D203" s="39" t="s">
        <v>1154</v>
      </c>
      <c r="E203" s="39" t="s">
        <v>502</v>
      </c>
      <c r="F203" s="39" t="s">
        <v>597</v>
      </c>
      <c r="G203" s="52" t="s">
        <v>436</v>
      </c>
      <c r="H203" s="39" t="s">
        <v>1045</v>
      </c>
    </row>
    <row r="204" customFormat="false" ht="12.8" hidden="false" customHeight="false" outlineLevel="0" collapsed="false">
      <c r="A204" s="39" t="s">
        <v>1155</v>
      </c>
      <c r="B204" s="39" t="s">
        <v>1156</v>
      </c>
      <c r="C204" s="39" t="n">
        <v>1</v>
      </c>
      <c r="D204" s="39" t="s">
        <v>1157</v>
      </c>
      <c r="E204" s="39" t="s">
        <v>434</v>
      </c>
      <c r="F204" s="39" t="s">
        <v>597</v>
      </c>
      <c r="G204" s="52" t="s">
        <v>436</v>
      </c>
      <c r="H204" s="39" t="s">
        <v>1045</v>
      </c>
    </row>
    <row r="205" customFormat="false" ht="12.8" hidden="false" customHeight="false" outlineLevel="0" collapsed="false">
      <c r="A205" s="39" t="s">
        <v>1158</v>
      </c>
      <c r="B205" s="39" t="s">
        <v>1159</v>
      </c>
      <c r="C205" s="39" t="n">
        <v>0.91</v>
      </c>
      <c r="D205" s="39" t="s">
        <v>1160</v>
      </c>
      <c r="E205" s="39" t="s">
        <v>502</v>
      </c>
      <c r="F205" s="39" t="s">
        <v>597</v>
      </c>
      <c r="G205" s="52" t="s">
        <v>436</v>
      </c>
      <c r="H205" s="39" t="s">
        <v>1045</v>
      </c>
    </row>
    <row r="206" customFormat="false" ht="12.8" hidden="false" customHeight="false" outlineLevel="0" collapsed="false">
      <c r="A206" s="39" t="s">
        <v>1161</v>
      </c>
      <c r="B206" s="39" t="s">
        <v>1162</v>
      </c>
      <c r="C206" s="39" t="n">
        <v>0.98</v>
      </c>
      <c r="D206" s="39" t="s">
        <v>1163</v>
      </c>
      <c r="E206" s="39" t="s">
        <v>434</v>
      </c>
      <c r="F206" s="39" t="s">
        <v>597</v>
      </c>
      <c r="G206" s="52" t="s">
        <v>436</v>
      </c>
      <c r="H206" s="39" t="s">
        <v>1045</v>
      </c>
    </row>
    <row r="207" customFormat="false" ht="12.8" hidden="false" customHeight="false" outlineLevel="0" collapsed="false">
      <c r="A207" s="39" t="s">
        <v>1164</v>
      </c>
      <c r="B207" s="39" t="s">
        <v>1165</v>
      </c>
      <c r="C207" s="39" t="n">
        <v>0.99</v>
      </c>
      <c r="D207" s="39" t="s">
        <v>1166</v>
      </c>
      <c r="E207" s="39" t="s">
        <v>434</v>
      </c>
      <c r="F207" s="39" t="s">
        <v>597</v>
      </c>
      <c r="G207" s="52" t="s">
        <v>436</v>
      </c>
      <c r="H207" s="39" t="s">
        <v>1045</v>
      </c>
    </row>
    <row r="208" customFormat="false" ht="12.8" hidden="false" customHeight="false" outlineLevel="0" collapsed="false">
      <c r="A208" s="39" t="s">
        <v>1167</v>
      </c>
      <c r="B208" s="39" t="s">
        <v>1168</v>
      </c>
      <c r="C208" s="39" t="n">
        <v>0.9</v>
      </c>
      <c r="D208" s="39" t="s">
        <v>1169</v>
      </c>
      <c r="E208" s="39" t="s">
        <v>502</v>
      </c>
      <c r="F208" s="39" t="s">
        <v>597</v>
      </c>
      <c r="G208" s="52" t="s">
        <v>436</v>
      </c>
      <c r="H208" s="39" t="s">
        <v>1045</v>
      </c>
    </row>
    <row r="209" customFormat="false" ht="12.8" hidden="false" customHeight="false" outlineLevel="0" collapsed="false">
      <c r="A209" s="39" t="s">
        <v>1170</v>
      </c>
      <c r="B209" s="39" t="s">
        <v>1171</v>
      </c>
      <c r="C209" s="39" t="n">
        <v>0.86</v>
      </c>
      <c r="D209" s="39" t="s">
        <v>1172</v>
      </c>
      <c r="E209" s="39" t="s">
        <v>502</v>
      </c>
      <c r="F209" s="39" t="s">
        <v>597</v>
      </c>
      <c r="G209" s="52" t="s">
        <v>436</v>
      </c>
      <c r="H209" s="39" t="s">
        <v>1045</v>
      </c>
    </row>
    <row r="210" customFormat="false" ht="12.8" hidden="false" customHeight="false" outlineLevel="0" collapsed="false">
      <c r="A210" s="39" t="s">
        <v>1173</v>
      </c>
      <c r="B210" s="39" t="s">
        <v>1174</v>
      </c>
      <c r="C210" s="39" t="n">
        <v>0.92</v>
      </c>
      <c r="D210" s="39" t="s">
        <v>1175</v>
      </c>
      <c r="E210" s="39" t="s">
        <v>502</v>
      </c>
      <c r="F210" s="39" t="s">
        <v>597</v>
      </c>
      <c r="G210" s="52" t="s">
        <v>436</v>
      </c>
      <c r="H210" s="39" t="s">
        <v>1045</v>
      </c>
    </row>
    <row r="211" customFormat="false" ht="12.8" hidden="false" customHeight="false" outlineLevel="0" collapsed="false">
      <c r="A211" s="39" t="s">
        <v>1176</v>
      </c>
      <c r="B211" s="39" t="s">
        <v>1177</v>
      </c>
      <c r="C211" s="39" t="n">
        <v>1.02</v>
      </c>
      <c r="D211" s="39" t="s">
        <v>1178</v>
      </c>
      <c r="E211" s="39" t="s">
        <v>434</v>
      </c>
      <c r="F211" s="39" t="s">
        <v>597</v>
      </c>
      <c r="G211" s="52" t="s">
        <v>436</v>
      </c>
      <c r="H211" s="39" t="s">
        <v>1045</v>
      </c>
    </row>
    <row r="212" customFormat="false" ht="12.8" hidden="false" customHeight="false" outlineLevel="0" collapsed="false">
      <c r="A212" s="39" t="s">
        <v>1179</v>
      </c>
      <c r="B212" s="39" t="s">
        <v>1180</v>
      </c>
      <c r="C212" s="39" t="n">
        <v>1.25</v>
      </c>
      <c r="D212" s="39" t="s">
        <v>1181</v>
      </c>
      <c r="E212" s="39" t="s">
        <v>502</v>
      </c>
      <c r="F212" s="39" t="s">
        <v>926</v>
      </c>
      <c r="G212" s="52" t="s">
        <v>436</v>
      </c>
      <c r="H212" s="39" t="s">
        <v>1182</v>
      </c>
    </row>
    <row r="213" customFormat="false" ht="12.8" hidden="false" customHeight="false" outlineLevel="0" collapsed="false">
      <c r="A213" s="39" t="s">
        <v>1183</v>
      </c>
      <c r="B213" s="39" t="s">
        <v>1184</v>
      </c>
      <c r="C213" s="39" t="n">
        <v>1.22</v>
      </c>
      <c r="D213" s="39" t="s">
        <v>1185</v>
      </c>
      <c r="E213" s="39" t="s">
        <v>502</v>
      </c>
      <c r="F213" s="39" t="s">
        <v>926</v>
      </c>
      <c r="G213" s="52" t="s">
        <v>436</v>
      </c>
      <c r="H213" s="39" t="s">
        <v>1045</v>
      </c>
    </row>
    <row r="214" customFormat="false" ht="12.8" hidden="false" customHeight="false" outlineLevel="0" collapsed="false">
      <c r="A214" s="39" t="s">
        <v>1186</v>
      </c>
      <c r="B214" s="39" t="s">
        <v>1187</v>
      </c>
      <c r="C214" s="39" t="n">
        <v>0.9</v>
      </c>
      <c r="D214" s="39" t="s">
        <v>1188</v>
      </c>
      <c r="E214" s="39" t="s">
        <v>434</v>
      </c>
      <c r="F214" s="39" t="s">
        <v>926</v>
      </c>
      <c r="G214" s="52" t="s">
        <v>436</v>
      </c>
      <c r="H214" s="39" t="s">
        <v>1045</v>
      </c>
    </row>
    <row r="215" customFormat="false" ht="12.8" hidden="false" customHeight="false" outlineLevel="0" collapsed="false">
      <c r="A215" s="39" t="s">
        <v>1189</v>
      </c>
      <c r="B215" s="39" t="s">
        <v>1190</v>
      </c>
      <c r="C215" s="39" t="n">
        <v>1.28</v>
      </c>
      <c r="D215" s="39" t="s">
        <v>1191</v>
      </c>
      <c r="E215" s="39" t="s">
        <v>502</v>
      </c>
      <c r="F215" s="39" t="s">
        <v>926</v>
      </c>
      <c r="G215" s="52" t="s">
        <v>436</v>
      </c>
      <c r="H215" s="39" t="s">
        <v>1045</v>
      </c>
    </row>
    <row r="216" customFormat="false" ht="12.8" hidden="false" customHeight="false" outlineLevel="0" collapsed="false">
      <c r="A216" s="39" t="s">
        <v>1192</v>
      </c>
      <c r="B216" s="39" t="s">
        <v>1193</v>
      </c>
      <c r="C216" s="39" t="n">
        <v>1.18</v>
      </c>
      <c r="D216" s="39" t="s">
        <v>1194</v>
      </c>
      <c r="E216" s="39" t="s">
        <v>502</v>
      </c>
      <c r="F216" s="39" t="s">
        <v>926</v>
      </c>
      <c r="G216" s="52" t="s">
        <v>436</v>
      </c>
      <c r="H216" s="39" t="s">
        <v>1045</v>
      </c>
    </row>
    <row r="217" customFormat="false" ht="12.8" hidden="false" customHeight="false" outlineLevel="0" collapsed="false">
      <c r="A217" s="39" t="s">
        <v>1195</v>
      </c>
      <c r="B217" s="39" t="s">
        <v>1196</v>
      </c>
      <c r="C217" s="39" t="n">
        <v>1.17</v>
      </c>
      <c r="D217" s="39" t="s">
        <v>1197</v>
      </c>
      <c r="E217" s="39" t="s">
        <v>502</v>
      </c>
      <c r="F217" s="39" t="s">
        <v>926</v>
      </c>
      <c r="G217" s="52" t="s">
        <v>436</v>
      </c>
      <c r="H217" s="39" t="s">
        <v>1045</v>
      </c>
    </row>
    <row r="218" customFormat="false" ht="12.8" hidden="false" customHeight="false" outlineLevel="0" collapsed="false">
      <c r="A218" s="39" t="s">
        <v>1198</v>
      </c>
      <c r="B218" s="39" t="s">
        <v>1199</v>
      </c>
      <c r="C218" s="39" t="n">
        <v>1.16</v>
      </c>
      <c r="D218" s="39" t="s">
        <v>1200</v>
      </c>
      <c r="E218" s="39" t="s">
        <v>502</v>
      </c>
      <c r="F218" s="39" t="s">
        <v>926</v>
      </c>
      <c r="G218" s="52" t="s">
        <v>436</v>
      </c>
      <c r="H218" s="39" t="s">
        <v>1045</v>
      </c>
    </row>
    <row r="219" customFormat="false" ht="12.8" hidden="false" customHeight="false" outlineLevel="0" collapsed="false">
      <c r="A219" s="39" t="s">
        <v>1201</v>
      </c>
      <c r="B219" s="39" t="s">
        <v>1202</v>
      </c>
      <c r="C219" s="39" t="n">
        <v>1.05</v>
      </c>
      <c r="D219" s="39" t="s">
        <v>1203</v>
      </c>
      <c r="E219" s="39" t="s">
        <v>434</v>
      </c>
      <c r="F219" s="39" t="s">
        <v>926</v>
      </c>
      <c r="G219" s="52" t="s">
        <v>436</v>
      </c>
      <c r="H219" s="39" t="s">
        <v>1045</v>
      </c>
    </row>
    <row r="220" customFormat="false" ht="12.8" hidden="false" customHeight="false" outlineLevel="0" collapsed="false">
      <c r="A220" s="39" t="s">
        <v>1204</v>
      </c>
      <c r="B220" s="39" t="s">
        <v>1205</v>
      </c>
      <c r="C220" s="39" t="n">
        <v>1.19</v>
      </c>
      <c r="D220" s="39" t="s">
        <v>1206</v>
      </c>
      <c r="E220" s="39" t="s">
        <v>502</v>
      </c>
      <c r="F220" s="39" t="s">
        <v>926</v>
      </c>
      <c r="G220" s="52" t="s">
        <v>436</v>
      </c>
      <c r="H220" s="39" t="s">
        <v>1045</v>
      </c>
    </row>
    <row r="221" customFormat="false" ht="12.8" hidden="false" customHeight="false" outlineLevel="0" collapsed="false">
      <c r="A221" s="39" t="s">
        <v>1207</v>
      </c>
      <c r="B221" s="39" t="s">
        <v>1208</v>
      </c>
      <c r="C221" s="39" t="n">
        <v>1.21</v>
      </c>
      <c r="D221" s="39" t="s">
        <v>1209</v>
      </c>
      <c r="E221" s="39" t="s">
        <v>502</v>
      </c>
      <c r="F221" s="39" t="s">
        <v>926</v>
      </c>
      <c r="G221" s="52" t="s">
        <v>436</v>
      </c>
      <c r="H221" s="39" t="s">
        <v>1045</v>
      </c>
    </row>
    <row r="222" customFormat="false" ht="12.8" hidden="false" customHeight="false" outlineLevel="0" collapsed="false">
      <c r="A222" s="39" t="s">
        <v>1210</v>
      </c>
      <c r="B222" s="39" t="s">
        <v>1211</v>
      </c>
      <c r="C222" s="39" t="n">
        <v>1.18</v>
      </c>
      <c r="D222" s="39" t="s">
        <v>1212</v>
      </c>
      <c r="E222" s="39" t="s">
        <v>502</v>
      </c>
      <c r="F222" s="39" t="s">
        <v>926</v>
      </c>
      <c r="G222" s="52" t="s">
        <v>436</v>
      </c>
      <c r="H222" s="39" t="s">
        <v>1045</v>
      </c>
    </row>
    <row r="223" customFormat="false" ht="12.8" hidden="false" customHeight="false" outlineLevel="0" collapsed="false">
      <c r="A223" s="39" t="s">
        <v>1213</v>
      </c>
      <c r="B223" s="39" t="s">
        <v>1214</v>
      </c>
      <c r="C223" s="39" t="n">
        <v>1.2</v>
      </c>
      <c r="D223" s="39" t="s">
        <v>1215</v>
      </c>
      <c r="E223" s="39" t="s">
        <v>502</v>
      </c>
      <c r="F223" s="39" t="s">
        <v>926</v>
      </c>
      <c r="G223" s="52" t="s">
        <v>436</v>
      </c>
      <c r="H223" s="39" t="s">
        <v>1045</v>
      </c>
    </row>
    <row r="224" customFormat="false" ht="12.8" hidden="false" customHeight="false" outlineLevel="0" collapsed="false">
      <c r="A224" s="39" t="s">
        <v>1216</v>
      </c>
      <c r="B224" s="39" t="s">
        <v>1217</v>
      </c>
      <c r="C224" s="39" t="n">
        <v>0.95</v>
      </c>
      <c r="D224" s="39" t="s">
        <v>1218</v>
      </c>
      <c r="E224" s="39" t="s">
        <v>502</v>
      </c>
      <c r="F224" s="39" t="s">
        <v>926</v>
      </c>
      <c r="G224" s="52" t="s">
        <v>436</v>
      </c>
      <c r="H224" s="39" t="s">
        <v>1045</v>
      </c>
    </row>
    <row r="225" customFormat="false" ht="12.8" hidden="false" customHeight="false" outlineLevel="0" collapsed="false">
      <c r="A225" s="39" t="s">
        <v>1219</v>
      </c>
      <c r="B225" s="39" t="s">
        <v>1220</v>
      </c>
      <c r="C225" s="39" t="n">
        <v>0.87</v>
      </c>
      <c r="D225" s="39" t="s">
        <v>1221</v>
      </c>
      <c r="E225" s="39" t="s">
        <v>434</v>
      </c>
      <c r="F225" s="39" t="s">
        <v>926</v>
      </c>
      <c r="G225" s="52" t="s">
        <v>436</v>
      </c>
      <c r="H225" s="39" t="s">
        <v>1045</v>
      </c>
    </row>
    <row r="226" customFormat="false" ht="12.8" hidden="false" customHeight="false" outlineLevel="0" collapsed="false">
      <c r="A226" s="39" t="s">
        <v>1222</v>
      </c>
      <c r="B226" s="39" t="s">
        <v>1223</v>
      </c>
      <c r="C226" s="39" t="n">
        <v>0.93</v>
      </c>
      <c r="D226" s="39" t="s">
        <v>1224</v>
      </c>
      <c r="E226" s="39" t="s">
        <v>502</v>
      </c>
      <c r="F226" s="39" t="s">
        <v>926</v>
      </c>
      <c r="G226" s="52" t="s">
        <v>436</v>
      </c>
      <c r="H226" s="39" t="s">
        <v>1045</v>
      </c>
    </row>
    <row r="227" customFormat="false" ht="12.8" hidden="false" customHeight="false" outlineLevel="0" collapsed="false">
      <c r="A227" s="39" t="s">
        <v>1225</v>
      </c>
      <c r="B227" s="39" t="s">
        <v>1226</v>
      </c>
      <c r="C227" s="39" t="n">
        <v>0.85</v>
      </c>
      <c r="D227" s="39" t="s">
        <v>1227</v>
      </c>
      <c r="E227" s="39" t="s">
        <v>434</v>
      </c>
      <c r="F227" s="39" t="s">
        <v>926</v>
      </c>
      <c r="G227" s="52" t="s">
        <v>436</v>
      </c>
      <c r="H227" s="39" t="s">
        <v>1045</v>
      </c>
    </row>
    <row r="228" customFormat="false" ht="12.8" hidden="false" customHeight="false" outlineLevel="0" collapsed="false">
      <c r="A228" s="39" t="s">
        <v>1228</v>
      </c>
      <c r="B228" s="39" t="s">
        <v>1229</v>
      </c>
      <c r="C228" s="39" t="n">
        <v>1.23</v>
      </c>
      <c r="D228" s="39" t="s">
        <v>1230</v>
      </c>
      <c r="E228" s="39" t="s">
        <v>502</v>
      </c>
      <c r="F228" s="39" t="s">
        <v>926</v>
      </c>
      <c r="G228" s="52" t="s">
        <v>436</v>
      </c>
      <c r="H228" s="39" t="s">
        <v>1045</v>
      </c>
    </row>
    <row r="229" customFormat="false" ht="12.8" hidden="false" customHeight="false" outlineLevel="0" collapsed="false">
      <c r="A229" s="39" t="s">
        <v>1231</v>
      </c>
      <c r="B229" s="39" t="s">
        <v>1232</v>
      </c>
      <c r="C229" s="39" t="n">
        <v>0.9</v>
      </c>
      <c r="D229" s="39" t="s">
        <v>1233</v>
      </c>
      <c r="E229" s="39" t="s">
        <v>434</v>
      </c>
      <c r="F229" s="39" t="s">
        <v>926</v>
      </c>
      <c r="G229" s="52" t="s">
        <v>436</v>
      </c>
      <c r="H229" s="39" t="s">
        <v>1045</v>
      </c>
    </row>
    <row r="230" customFormat="false" ht="12.8" hidden="false" customHeight="false" outlineLevel="0" collapsed="false">
      <c r="A230" s="39" t="s">
        <v>1234</v>
      </c>
      <c r="B230" s="39" t="s">
        <v>1235</v>
      </c>
      <c r="C230" s="39" t="n">
        <v>0.92</v>
      </c>
      <c r="D230" s="39" t="s">
        <v>1236</v>
      </c>
      <c r="E230" s="39" t="s">
        <v>434</v>
      </c>
      <c r="F230" s="39" t="s">
        <v>926</v>
      </c>
      <c r="G230" s="52" t="s">
        <v>436</v>
      </c>
      <c r="H230" s="39" t="s">
        <v>1045</v>
      </c>
    </row>
    <row r="231" customFormat="false" ht="12.8" hidden="false" customHeight="false" outlineLevel="0" collapsed="false">
      <c r="A231" s="39" t="s">
        <v>1237</v>
      </c>
      <c r="B231" s="39" t="s">
        <v>1238</v>
      </c>
      <c r="C231" s="39" t="n">
        <v>1.22</v>
      </c>
      <c r="D231" s="39" t="s">
        <v>1239</v>
      </c>
      <c r="E231" s="39" t="s">
        <v>502</v>
      </c>
      <c r="F231" s="39" t="s">
        <v>926</v>
      </c>
      <c r="G231" s="52" t="s">
        <v>436</v>
      </c>
      <c r="H231" s="39" t="s">
        <v>1045</v>
      </c>
    </row>
    <row r="232" customFormat="false" ht="12.8" hidden="false" customHeight="false" outlineLevel="0" collapsed="false">
      <c r="A232" s="39" t="s">
        <v>1240</v>
      </c>
      <c r="B232" s="39" t="s">
        <v>1241</v>
      </c>
      <c r="C232" s="39" t="n">
        <v>1.3</v>
      </c>
      <c r="D232" s="39" t="s">
        <v>1242</v>
      </c>
      <c r="E232" s="39" t="s">
        <v>502</v>
      </c>
      <c r="F232" s="39" t="s">
        <v>926</v>
      </c>
      <c r="G232" s="52" t="s">
        <v>436</v>
      </c>
      <c r="H232" s="39" t="s">
        <v>1243</v>
      </c>
    </row>
    <row r="233" customFormat="false" ht="12.8" hidden="false" customHeight="false" outlineLevel="0" collapsed="false">
      <c r="A233" s="39" t="s">
        <v>1244</v>
      </c>
      <c r="B233" s="39" t="s">
        <v>1245</v>
      </c>
      <c r="C233" s="39" t="n">
        <v>1.19</v>
      </c>
      <c r="D233" s="39" t="s">
        <v>1246</v>
      </c>
      <c r="E233" s="39" t="s">
        <v>502</v>
      </c>
      <c r="F233" s="39" t="s">
        <v>926</v>
      </c>
      <c r="G233" s="52" t="s">
        <v>436</v>
      </c>
      <c r="H233" s="39" t="s">
        <v>1045</v>
      </c>
    </row>
    <row r="234" customFormat="false" ht="12.8" hidden="false" customHeight="false" outlineLevel="0" collapsed="false">
      <c r="A234" s="39" t="s">
        <v>1247</v>
      </c>
      <c r="B234" s="39" t="s">
        <v>1248</v>
      </c>
      <c r="C234" s="39" t="n">
        <v>0.83</v>
      </c>
      <c r="D234" s="39" t="s">
        <v>1249</v>
      </c>
      <c r="E234" s="39" t="s">
        <v>434</v>
      </c>
      <c r="F234" s="39" t="s">
        <v>926</v>
      </c>
      <c r="G234" s="52" t="s">
        <v>436</v>
      </c>
      <c r="H234" s="39" t="s">
        <v>1045</v>
      </c>
    </row>
    <row r="235" customFormat="false" ht="12.8" hidden="false" customHeight="false" outlineLevel="0" collapsed="false">
      <c r="A235" s="49" t="s">
        <v>176</v>
      </c>
      <c r="B235" s="49" t="s">
        <v>178</v>
      </c>
      <c r="C235" s="49" t="s">
        <v>427</v>
      </c>
      <c r="D235" s="49" t="s">
        <v>180</v>
      </c>
      <c r="E235" s="49" t="s">
        <v>428</v>
      </c>
      <c r="F235" s="49" t="s">
        <v>429</v>
      </c>
      <c r="G235" s="49" t="s">
        <v>430</v>
      </c>
      <c r="H235" s="49" t="s">
        <v>181</v>
      </c>
    </row>
    <row r="236" customFormat="false" ht="12.8" hidden="false" customHeight="false" outlineLevel="0" collapsed="false">
      <c r="A236" s="39" t="s">
        <v>1250</v>
      </c>
      <c r="B236" s="39" t="s">
        <v>1251</v>
      </c>
      <c r="C236" s="39" t="n">
        <v>2211200</v>
      </c>
      <c r="D236" s="39" t="s">
        <v>1252</v>
      </c>
      <c r="E236" s="39" t="s">
        <v>434</v>
      </c>
      <c r="F236" s="39" t="s">
        <v>1253</v>
      </c>
      <c r="G236" s="52" t="s">
        <v>436</v>
      </c>
      <c r="H236" s="39" t="s">
        <v>1254</v>
      </c>
    </row>
    <row r="237" customFormat="false" ht="12.8" hidden="false" customHeight="false" outlineLevel="0" collapsed="false">
      <c r="A237" s="39" t="s">
        <v>1255</v>
      </c>
      <c r="B237" s="39" t="s">
        <v>1256</v>
      </c>
      <c r="C237" s="39" t="n">
        <v>0.015</v>
      </c>
      <c r="D237" s="39" t="s">
        <v>1257</v>
      </c>
      <c r="E237" s="39" t="s">
        <v>434</v>
      </c>
      <c r="F237" s="39" t="s">
        <v>487</v>
      </c>
      <c r="G237" s="52" t="s">
        <v>436</v>
      </c>
      <c r="H237" s="39" t="s">
        <v>1258</v>
      </c>
    </row>
    <row r="238" customFormat="false" ht="12.8" hidden="false" customHeight="false" outlineLevel="0" collapsed="false">
      <c r="A238" s="39" t="s">
        <v>1259</v>
      </c>
      <c r="B238" s="39" t="s">
        <v>1260</v>
      </c>
      <c r="C238" s="39" t="n">
        <v>0.98</v>
      </c>
      <c r="D238" s="39" t="s">
        <v>1261</v>
      </c>
      <c r="E238" s="39" t="s">
        <v>434</v>
      </c>
      <c r="F238" s="39" t="s">
        <v>1262</v>
      </c>
      <c r="G238" s="52" t="s">
        <v>436</v>
      </c>
      <c r="H238" s="39" t="s">
        <v>1263</v>
      </c>
    </row>
    <row r="239" customFormat="false" ht="12.8" hidden="false" customHeight="false" outlineLevel="0" collapsed="false">
      <c r="A239" s="39" t="s">
        <v>1264</v>
      </c>
      <c r="B239" s="39" t="s">
        <v>1265</v>
      </c>
      <c r="C239" s="39" t="n">
        <v>0.01</v>
      </c>
      <c r="D239" s="39" t="s">
        <v>1266</v>
      </c>
      <c r="E239" s="39" t="s">
        <v>440</v>
      </c>
      <c r="F239" s="39" t="s">
        <v>1267</v>
      </c>
      <c r="G239" s="52" t="s">
        <v>436</v>
      </c>
      <c r="H239" s="39" t="s">
        <v>1258</v>
      </c>
    </row>
    <row r="240" customFormat="false" ht="12.8" hidden="false" customHeight="false" outlineLevel="0" collapsed="false">
      <c r="A240" s="39" t="s">
        <v>1268</v>
      </c>
      <c r="B240" s="39" t="s">
        <v>1269</v>
      </c>
      <c r="C240" s="39" t="n">
        <v>0.008</v>
      </c>
      <c r="D240" s="39" t="s">
        <v>1270</v>
      </c>
      <c r="E240" s="39" t="s">
        <v>434</v>
      </c>
      <c r="F240" s="39" t="s">
        <v>1267</v>
      </c>
      <c r="G240" s="52" t="s">
        <v>436</v>
      </c>
      <c r="H240" s="39" t="s">
        <v>1258</v>
      </c>
    </row>
    <row r="241" customFormat="false" ht="12.8" hidden="false" customHeight="false" outlineLevel="0" collapsed="false">
      <c r="A241" s="39" t="s">
        <v>1271</v>
      </c>
      <c r="B241" s="39" t="s">
        <v>1272</v>
      </c>
      <c r="C241" s="39" t="n">
        <v>0.005</v>
      </c>
      <c r="D241" s="39" t="s">
        <v>1273</v>
      </c>
      <c r="E241" s="39" t="s">
        <v>434</v>
      </c>
      <c r="F241" s="39" t="s">
        <v>1267</v>
      </c>
      <c r="G241" s="52" t="s">
        <v>436</v>
      </c>
      <c r="H241" s="39" t="s">
        <v>1258</v>
      </c>
    </row>
    <row r="242" customFormat="false" ht="12.8" hidden="false" customHeight="false" outlineLevel="0" collapsed="false">
      <c r="A242" s="39" t="s">
        <v>1274</v>
      </c>
      <c r="B242" s="39" t="s">
        <v>1275</v>
      </c>
      <c r="C242" s="39" t="n">
        <v>0.012</v>
      </c>
      <c r="D242" s="39" t="s">
        <v>1276</v>
      </c>
      <c r="E242" s="39" t="s">
        <v>502</v>
      </c>
      <c r="F242" s="39" t="s">
        <v>1267</v>
      </c>
      <c r="G242" s="52" t="s">
        <v>436</v>
      </c>
      <c r="H242" s="39" t="s">
        <v>1258</v>
      </c>
    </row>
    <row r="243" customFormat="false" ht="12.8" hidden="false" customHeight="false" outlineLevel="0" collapsed="false">
      <c r="A243" s="39" t="s">
        <v>1277</v>
      </c>
      <c r="B243" s="39" t="s">
        <v>1278</v>
      </c>
      <c r="C243" s="39" t="n">
        <v>0.007</v>
      </c>
      <c r="D243" s="39" t="s">
        <v>1279</v>
      </c>
      <c r="E243" s="39" t="s">
        <v>434</v>
      </c>
      <c r="F243" s="39" t="s">
        <v>1267</v>
      </c>
      <c r="G243" s="52" t="s">
        <v>436</v>
      </c>
      <c r="H243" s="39" t="s">
        <v>1258</v>
      </c>
    </row>
    <row r="244" customFormat="false" ht="12.8" hidden="false" customHeight="false" outlineLevel="0" collapsed="false">
      <c r="A244" s="39" t="s">
        <v>1280</v>
      </c>
      <c r="B244" s="39" t="s">
        <v>1281</v>
      </c>
      <c r="C244" s="39" t="n">
        <v>0.007</v>
      </c>
      <c r="D244" s="39" t="s">
        <v>1282</v>
      </c>
      <c r="E244" s="39" t="s">
        <v>434</v>
      </c>
      <c r="F244" s="39" t="s">
        <v>1267</v>
      </c>
      <c r="G244" s="52" t="s">
        <v>436</v>
      </c>
      <c r="H244" s="39" t="s">
        <v>1258</v>
      </c>
    </row>
    <row r="245" customFormat="false" ht="12.8" hidden="false" customHeight="false" outlineLevel="0" collapsed="false">
      <c r="A245" s="39" t="s">
        <v>1283</v>
      </c>
      <c r="B245" s="39" t="s">
        <v>1284</v>
      </c>
      <c r="C245" s="39" t="n">
        <v>0.006</v>
      </c>
      <c r="D245" s="39" t="s">
        <v>1285</v>
      </c>
      <c r="E245" s="39" t="s">
        <v>434</v>
      </c>
      <c r="F245" s="39" t="s">
        <v>1267</v>
      </c>
      <c r="G245" s="52" t="s">
        <v>436</v>
      </c>
      <c r="H245" s="39" t="s">
        <v>1258</v>
      </c>
    </row>
    <row r="246" customFormat="false" ht="12.8" hidden="false" customHeight="false" outlineLevel="0" collapsed="false">
      <c r="A246" s="39" t="s">
        <v>1286</v>
      </c>
      <c r="B246" s="39" t="s">
        <v>1287</v>
      </c>
      <c r="C246" s="39" t="n">
        <v>0.006</v>
      </c>
      <c r="D246" s="39" t="s">
        <v>1288</v>
      </c>
      <c r="E246" s="39" t="s">
        <v>434</v>
      </c>
      <c r="F246" s="39" t="s">
        <v>1267</v>
      </c>
      <c r="G246" s="52" t="s">
        <v>436</v>
      </c>
      <c r="H246" s="39" t="s">
        <v>1258</v>
      </c>
    </row>
    <row r="247" customFormat="false" ht="12.8" hidden="false" customHeight="false" outlineLevel="0" collapsed="false">
      <c r="A247" s="39" t="s">
        <v>1289</v>
      </c>
      <c r="B247" s="39" t="s">
        <v>1290</v>
      </c>
      <c r="C247" s="39" t="n">
        <v>0.009</v>
      </c>
      <c r="D247" s="39" t="s">
        <v>1291</v>
      </c>
      <c r="E247" s="39" t="s">
        <v>440</v>
      </c>
      <c r="F247" s="39" t="s">
        <v>1267</v>
      </c>
      <c r="G247" s="52" t="s">
        <v>436</v>
      </c>
      <c r="H247" s="39" t="s">
        <v>1258</v>
      </c>
    </row>
    <row r="248" customFormat="false" ht="12.8" hidden="false" customHeight="false" outlineLevel="0" collapsed="false">
      <c r="A248" s="39" t="s">
        <v>1292</v>
      </c>
      <c r="B248" s="39" t="s">
        <v>1293</v>
      </c>
      <c r="C248" s="39" t="n">
        <v>0.01</v>
      </c>
      <c r="D248" s="39" t="s">
        <v>1294</v>
      </c>
      <c r="E248" s="39" t="s">
        <v>440</v>
      </c>
      <c r="F248" s="39" t="s">
        <v>1267</v>
      </c>
      <c r="G248" s="52" t="s">
        <v>436</v>
      </c>
      <c r="H248" s="39" t="s">
        <v>1258</v>
      </c>
    </row>
    <row r="249" customFormat="false" ht="12.8" hidden="false" customHeight="false" outlineLevel="0" collapsed="false">
      <c r="A249" s="39" t="s">
        <v>1295</v>
      </c>
      <c r="B249" s="39" t="s">
        <v>1296</v>
      </c>
      <c r="C249" s="39" t="n">
        <v>0.008</v>
      </c>
      <c r="D249" s="39" t="s">
        <v>1297</v>
      </c>
      <c r="E249" s="39" t="s">
        <v>434</v>
      </c>
      <c r="F249" s="39" t="s">
        <v>1267</v>
      </c>
      <c r="G249" s="52" t="s">
        <v>436</v>
      </c>
      <c r="H249" s="39" t="s">
        <v>1258</v>
      </c>
    </row>
    <row r="250" customFormat="false" ht="12.8" hidden="false" customHeight="false" outlineLevel="0" collapsed="false">
      <c r="A250" s="39" t="s">
        <v>1298</v>
      </c>
      <c r="B250" s="39" t="s">
        <v>1299</v>
      </c>
      <c r="C250" s="39" t="n">
        <v>0.009</v>
      </c>
      <c r="D250" s="39" t="s">
        <v>1300</v>
      </c>
      <c r="E250" s="39" t="s">
        <v>440</v>
      </c>
      <c r="F250" s="39" t="s">
        <v>1267</v>
      </c>
      <c r="G250" s="52" t="s">
        <v>436</v>
      </c>
      <c r="H250" s="39" t="s">
        <v>1258</v>
      </c>
    </row>
    <row r="251" customFormat="false" ht="12.8" hidden="false" customHeight="false" outlineLevel="0" collapsed="false">
      <c r="A251" s="39" t="s">
        <v>1301</v>
      </c>
      <c r="B251" s="39" t="s">
        <v>1302</v>
      </c>
      <c r="C251" s="39" t="n">
        <v>0.005</v>
      </c>
      <c r="D251" s="39" t="s">
        <v>1303</v>
      </c>
      <c r="E251" s="39" t="s">
        <v>434</v>
      </c>
      <c r="F251" s="39" t="s">
        <v>1267</v>
      </c>
      <c r="G251" s="52" t="s">
        <v>436</v>
      </c>
      <c r="H251" s="39" t="s">
        <v>1258</v>
      </c>
    </row>
    <row r="252" customFormat="false" ht="12.8" hidden="false" customHeight="false" outlineLevel="0" collapsed="false">
      <c r="A252" s="39" t="s">
        <v>1304</v>
      </c>
      <c r="B252" s="39" t="s">
        <v>1305</v>
      </c>
      <c r="C252" s="39" t="n">
        <v>0.004</v>
      </c>
      <c r="D252" s="39" t="s">
        <v>1306</v>
      </c>
      <c r="E252" s="39" t="s">
        <v>434</v>
      </c>
      <c r="F252" s="39" t="s">
        <v>1267</v>
      </c>
      <c r="G252" s="52" t="s">
        <v>436</v>
      </c>
      <c r="H252" s="39" t="s">
        <v>1258</v>
      </c>
    </row>
    <row r="253" customFormat="false" ht="12.8" hidden="false" customHeight="false" outlineLevel="0" collapsed="false">
      <c r="A253" s="39" t="s">
        <v>1307</v>
      </c>
      <c r="B253" s="39" t="s">
        <v>1308</v>
      </c>
      <c r="C253" s="39" t="n">
        <v>0.006</v>
      </c>
      <c r="D253" s="39" t="s">
        <v>1309</v>
      </c>
      <c r="E253" s="39" t="s">
        <v>434</v>
      </c>
      <c r="F253" s="39" t="s">
        <v>1267</v>
      </c>
      <c r="G253" s="52" t="s">
        <v>436</v>
      </c>
      <c r="H253" s="39" t="s">
        <v>1258</v>
      </c>
    </row>
    <row r="254" customFormat="false" ht="12.8" hidden="false" customHeight="false" outlineLevel="0" collapsed="false">
      <c r="A254" s="39" t="s">
        <v>1310</v>
      </c>
      <c r="B254" s="39" t="s">
        <v>1311</v>
      </c>
      <c r="C254" s="39" t="n">
        <v>0.004</v>
      </c>
      <c r="D254" s="39" t="s">
        <v>1312</v>
      </c>
      <c r="E254" s="39" t="s">
        <v>434</v>
      </c>
      <c r="F254" s="39" t="s">
        <v>1267</v>
      </c>
      <c r="G254" s="52" t="s">
        <v>436</v>
      </c>
      <c r="H254" s="39" t="s">
        <v>1258</v>
      </c>
    </row>
    <row r="255" customFormat="false" ht="12.8" hidden="false" customHeight="false" outlineLevel="0" collapsed="false">
      <c r="A255" s="39" t="s">
        <v>1313</v>
      </c>
      <c r="B255" s="39" t="s">
        <v>1314</v>
      </c>
      <c r="C255" s="39" t="n">
        <v>0.009</v>
      </c>
      <c r="D255" s="39" t="s">
        <v>1315</v>
      </c>
      <c r="E255" s="39" t="s">
        <v>440</v>
      </c>
      <c r="F255" s="39" t="s">
        <v>1267</v>
      </c>
      <c r="G255" s="52" t="s">
        <v>436</v>
      </c>
      <c r="H255" s="39" t="s">
        <v>1258</v>
      </c>
    </row>
    <row r="256" customFormat="false" ht="12.8" hidden="false" customHeight="false" outlineLevel="0" collapsed="false">
      <c r="A256" s="39" t="s">
        <v>1316</v>
      </c>
      <c r="B256" s="39" t="s">
        <v>1317</v>
      </c>
      <c r="C256" s="39" t="n">
        <v>0.003</v>
      </c>
      <c r="D256" s="39" t="s">
        <v>1318</v>
      </c>
      <c r="E256" s="39" t="s">
        <v>434</v>
      </c>
      <c r="F256" s="39" t="s">
        <v>1267</v>
      </c>
      <c r="G256" s="52" t="s">
        <v>436</v>
      </c>
      <c r="H256" s="39" t="s">
        <v>1258</v>
      </c>
    </row>
    <row r="257" customFormat="false" ht="12.8" hidden="false" customHeight="false" outlineLevel="0" collapsed="false">
      <c r="A257" s="39" t="s">
        <v>1319</v>
      </c>
      <c r="B257" s="39" t="s">
        <v>1320</v>
      </c>
      <c r="C257" s="39" t="n">
        <v>0.004</v>
      </c>
      <c r="D257" s="39" t="s">
        <v>1321</v>
      </c>
      <c r="E257" s="39" t="s">
        <v>434</v>
      </c>
      <c r="F257" s="39" t="s">
        <v>1267</v>
      </c>
      <c r="G257" s="52" t="s">
        <v>436</v>
      </c>
      <c r="H257" s="39" t="s">
        <v>1258</v>
      </c>
    </row>
    <row r="258" customFormat="false" ht="12.8" hidden="false" customHeight="false" outlineLevel="0" collapsed="false">
      <c r="A258" s="39" t="s">
        <v>1322</v>
      </c>
      <c r="B258" s="39" t="s">
        <v>1323</v>
      </c>
      <c r="C258" s="39" t="n">
        <v>0.011</v>
      </c>
      <c r="D258" s="39" t="s">
        <v>1324</v>
      </c>
      <c r="E258" s="39" t="s">
        <v>502</v>
      </c>
      <c r="F258" s="39" t="s">
        <v>1267</v>
      </c>
      <c r="G258" s="52" t="s">
        <v>436</v>
      </c>
      <c r="H258" s="39" t="s">
        <v>1258</v>
      </c>
    </row>
    <row r="259" customFormat="false" ht="12.8" hidden="false" customHeight="false" outlineLevel="0" collapsed="false">
      <c r="A259" s="39" t="s">
        <v>1325</v>
      </c>
      <c r="B259" s="39" t="s">
        <v>1326</v>
      </c>
      <c r="C259" s="39" t="n">
        <v>0.012</v>
      </c>
      <c r="D259" s="39" t="s">
        <v>1327</v>
      </c>
      <c r="E259" s="39" t="s">
        <v>502</v>
      </c>
      <c r="F259" s="39" t="s">
        <v>1267</v>
      </c>
      <c r="G259" s="52" t="s">
        <v>436</v>
      </c>
      <c r="H259" s="39" t="s">
        <v>1258</v>
      </c>
    </row>
    <row r="260" customFormat="false" ht="12.8" hidden="false" customHeight="false" outlineLevel="0" collapsed="false">
      <c r="A260" s="39" t="s">
        <v>1328</v>
      </c>
      <c r="B260" s="39" t="s">
        <v>1329</v>
      </c>
      <c r="C260" s="39" t="n">
        <v>0.008</v>
      </c>
      <c r="D260" s="39" t="s">
        <v>1330</v>
      </c>
      <c r="E260" s="39" t="s">
        <v>440</v>
      </c>
      <c r="F260" s="39" t="s">
        <v>1267</v>
      </c>
      <c r="G260" s="52" t="s">
        <v>436</v>
      </c>
      <c r="H260" s="39" t="s">
        <v>1258</v>
      </c>
    </row>
    <row r="261" customFormat="false" ht="12.8" hidden="false" customHeight="false" outlineLevel="0" collapsed="false">
      <c r="A261" s="39" t="s">
        <v>1331</v>
      </c>
      <c r="B261" s="39" t="s">
        <v>1332</v>
      </c>
      <c r="C261" s="39" t="n">
        <v>0.003</v>
      </c>
      <c r="D261" s="39" t="s">
        <v>1333</v>
      </c>
      <c r="E261" s="39" t="s">
        <v>434</v>
      </c>
      <c r="F261" s="39" t="s">
        <v>1267</v>
      </c>
      <c r="G261" s="52" t="s">
        <v>436</v>
      </c>
      <c r="H261" s="39" t="s">
        <v>1258</v>
      </c>
    </row>
    <row r="262" customFormat="false" ht="12.8" hidden="false" customHeight="false" outlineLevel="0" collapsed="false">
      <c r="A262" s="39" t="s">
        <v>1331</v>
      </c>
      <c r="B262" s="39" t="s">
        <v>1334</v>
      </c>
      <c r="C262" s="39" t="n">
        <v>1</v>
      </c>
      <c r="D262" s="39" t="s">
        <v>1335</v>
      </c>
      <c r="E262" s="39" t="s">
        <v>434</v>
      </c>
      <c r="F262" s="39" t="s">
        <v>1336</v>
      </c>
      <c r="G262" s="52" t="s">
        <v>436</v>
      </c>
      <c r="H262" s="39" t="s">
        <v>1337</v>
      </c>
    </row>
    <row r="263" customFormat="false" ht="12.8" hidden="false" customHeight="false" outlineLevel="0" collapsed="false">
      <c r="A263" s="39" t="s">
        <v>1338</v>
      </c>
      <c r="B263" s="39" t="s">
        <v>1339</v>
      </c>
      <c r="C263" s="39" t="n">
        <v>1.01</v>
      </c>
      <c r="D263" s="39" t="s">
        <v>1340</v>
      </c>
      <c r="E263" s="39" t="s">
        <v>434</v>
      </c>
      <c r="F263" s="39" t="s">
        <v>1336</v>
      </c>
      <c r="G263" s="52" t="s">
        <v>436</v>
      </c>
      <c r="H263" s="39"/>
    </row>
    <row r="264" customFormat="false" ht="12.8" hidden="false" customHeight="false" outlineLevel="0" collapsed="false">
      <c r="A264" s="39" t="s">
        <v>1341</v>
      </c>
      <c r="B264" s="39" t="s">
        <v>1342</v>
      </c>
      <c r="C264" s="39" t="n">
        <v>0.99</v>
      </c>
      <c r="D264" s="39" t="s">
        <v>1343</v>
      </c>
      <c r="E264" s="39" t="s">
        <v>440</v>
      </c>
      <c r="F264" s="39" t="s">
        <v>1336</v>
      </c>
      <c r="G264" s="52" t="s">
        <v>436</v>
      </c>
      <c r="H264" s="39"/>
    </row>
    <row r="265" customFormat="false" ht="12.8" hidden="false" customHeight="false" outlineLevel="0" collapsed="false">
      <c r="A265" s="39" t="s">
        <v>1344</v>
      </c>
      <c r="B265" s="39" t="s">
        <v>1345</v>
      </c>
      <c r="C265" s="39" t="n">
        <v>1</v>
      </c>
      <c r="D265" s="39" t="s">
        <v>1346</v>
      </c>
      <c r="E265" s="39" t="s">
        <v>434</v>
      </c>
      <c r="F265" s="39" t="s">
        <v>1336</v>
      </c>
      <c r="G265" s="52" t="s">
        <v>436</v>
      </c>
      <c r="H265" s="39"/>
    </row>
    <row r="266" customFormat="false" ht="12.8" hidden="false" customHeight="false" outlineLevel="0" collapsed="false">
      <c r="A266" s="39" t="s">
        <v>1347</v>
      </c>
      <c r="B266" s="39" t="s">
        <v>1348</v>
      </c>
      <c r="C266" s="39" t="n">
        <v>1</v>
      </c>
      <c r="D266" s="39" t="s">
        <v>1349</v>
      </c>
      <c r="E266" s="39" t="s">
        <v>434</v>
      </c>
      <c r="F266" s="39" t="s">
        <v>1336</v>
      </c>
      <c r="G266" s="52" t="s">
        <v>436</v>
      </c>
      <c r="H266" s="39"/>
    </row>
    <row r="267" customFormat="false" ht="12.8" hidden="false" customHeight="false" outlineLevel="0" collapsed="false">
      <c r="A267" s="39" t="s">
        <v>1350</v>
      </c>
      <c r="B267" s="39" t="s">
        <v>1351</v>
      </c>
      <c r="C267" s="39" t="n">
        <v>1</v>
      </c>
      <c r="D267" s="39" t="s">
        <v>1352</v>
      </c>
      <c r="E267" s="39" t="s">
        <v>434</v>
      </c>
      <c r="F267" s="39" t="s">
        <v>1336</v>
      </c>
      <c r="G267" s="52" t="s">
        <v>436</v>
      </c>
      <c r="H267" s="39"/>
    </row>
    <row r="268" customFormat="false" ht="12.8" hidden="false" customHeight="false" outlineLevel="0" collapsed="false">
      <c r="A268" s="39" t="s">
        <v>1353</v>
      </c>
      <c r="B268" s="39" t="s">
        <v>1354</v>
      </c>
      <c r="C268" s="39" t="n">
        <v>1.01</v>
      </c>
      <c r="D268" s="39" t="s">
        <v>1355</v>
      </c>
      <c r="E268" s="39" t="s">
        <v>434</v>
      </c>
      <c r="F268" s="39" t="s">
        <v>1336</v>
      </c>
      <c r="G268" s="52" t="s">
        <v>436</v>
      </c>
      <c r="H268" s="39"/>
    </row>
    <row r="269" customFormat="false" ht="12.8" hidden="false" customHeight="false" outlineLevel="0" collapsed="false">
      <c r="A269" s="39" t="s">
        <v>1356</v>
      </c>
      <c r="B269" s="39" t="s">
        <v>1357</v>
      </c>
      <c r="C269" s="39" t="n">
        <v>0.99</v>
      </c>
      <c r="D269" s="39" t="s">
        <v>1358</v>
      </c>
      <c r="E269" s="39" t="s">
        <v>440</v>
      </c>
      <c r="F269" s="39" t="s">
        <v>1336</v>
      </c>
      <c r="G269" s="52" t="s">
        <v>436</v>
      </c>
      <c r="H269" s="39"/>
    </row>
    <row r="270" customFormat="false" ht="12.8" hidden="false" customHeight="false" outlineLevel="0" collapsed="false">
      <c r="A270" s="39" t="s">
        <v>1359</v>
      </c>
      <c r="B270" s="39" t="s">
        <v>1360</v>
      </c>
      <c r="C270" s="39" t="n">
        <v>0.99</v>
      </c>
      <c r="D270" s="39" t="s">
        <v>1361</v>
      </c>
      <c r="E270" s="39" t="s">
        <v>440</v>
      </c>
      <c r="F270" s="39" t="s">
        <v>1336</v>
      </c>
      <c r="G270" s="52" t="s">
        <v>436</v>
      </c>
      <c r="H270" s="39"/>
    </row>
    <row r="271" customFormat="false" ht="12.8" hidden="false" customHeight="false" outlineLevel="0" collapsed="false">
      <c r="A271" s="39" t="s">
        <v>1362</v>
      </c>
      <c r="B271" s="39" t="s">
        <v>1363</v>
      </c>
      <c r="C271" s="39" t="n">
        <v>1</v>
      </c>
      <c r="D271" s="39" t="s">
        <v>1364</v>
      </c>
      <c r="E271" s="39" t="s">
        <v>434</v>
      </c>
      <c r="F271" s="39" t="s">
        <v>1336</v>
      </c>
      <c r="G271" s="52" t="s">
        <v>436</v>
      </c>
      <c r="H271" s="39"/>
    </row>
    <row r="272" customFormat="false" ht="12.8" hidden="false" customHeight="false" outlineLevel="0" collapsed="false">
      <c r="A272" s="39" t="s">
        <v>1365</v>
      </c>
      <c r="B272" s="39" t="s">
        <v>1366</v>
      </c>
      <c r="C272" s="39" t="n">
        <v>1</v>
      </c>
      <c r="D272" s="39" t="s">
        <v>1367</v>
      </c>
      <c r="E272" s="39" t="s">
        <v>440</v>
      </c>
      <c r="F272" s="39" t="s">
        <v>1336</v>
      </c>
      <c r="G272" s="52" t="s">
        <v>436</v>
      </c>
      <c r="H272" s="39"/>
    </row>
    <row r="273" customFormat="false" ht="12.8" hidden="false" customHeight="false" outlineLevel="0" collapsed="false">
      <c r="A273" s="39" t="s">
        <v>1368</v>
      </c>
      <c r="B273" s="39" t="s">
        <v>1369</v>
      </c>
      <c r="C273" s="39" t="n">
        <v>1.01</v>
      </c>
      <c r="D273" s="39" t="s">
        <v>1370</v>
      </c>
      <c r="E273" s="39" t="s">
        <v>434</v>
      </c>
      <c r="F273" s="39" t="s">
        <v>1336</v>
      </c>
      <c r="G273" s="52" t="s">
        <v>436</v>
      </c>
      <c r="H273" s="39"/>
    </row>
    <row r="274" customFormat="false" ht="12.8" hidden="false" customHeight="false" outlineLevel="0" collapsed="false">
      <c r="A274" s="39" t="s">
        <v>1371</v>
      </c>
      <c r="B274" s="39" t="s">
        <v>1372</v>
      </c>
      <c r="C274" s="39" t="n">
        <v>1.02</v>
      </c>
      <c r="D274" s="39" t="s">
        <v>1373</v>
      </c>
      <c r="E274" s="39" t="s">
        <v>434</v>
      </c>
      <c r="F274" s="39" t="s">
        <v>1336</v>
      </c>
      <c r="G274" s="52" t="s">
        <v>436</v>
      </c>
      <c r="H274" s="39"/>
    </row>
    <row r="275" customFormat="false" ht="12.8" hidden="false" customHeight="false" outlineLevel="0" collapsed="false">
      <c r="A275" s="39" t="s">
        <v>1374</v>
      </c>
      <c r="B275" s="39" t="s">
        <v>1375</v>
      </c>
      <c r="C275" s="39" t="n">
        <v>1</v>
      </c>
      <c r="D275" s="39" t="s">
        <v>1376</v>
      </c>
      <c r="E275" s="39" t="s">
        <v>434</v>
      </c>
      <c r="F275" s="39" t="s">
        <v>1336</v>
      </c>
      <c r="G275" s="52" t="s">
        <v>436</v>
      </c>
      <c r="H275" s="39"/>
    </row>
    <row r="276" customFormat="false" ht="12.8" hidden="false" customHeight="false" outlineLevel="0" collapsed="false">
      <c r="A276" s="39" t="s">
        <v>1377</v>
      </c>
      <c r="B276" s="39" t="s">
        <v>1378</v>
      </c>
      <c r="C276" s="39" t="n">
        <v>1.03</v>
      </c>
      <c r="D276" s="39" t="s">
        <v>1379</v>
      </c>
      <c r="E276" s="39" t="s">
        <v>434</v>
      </c>
      <c r="F276" s="39" t="s">
        <v>1336</v>
      </c>
      <c r="G276" s="52" t="s">
        <v>436</v>
      </c>
      <c r="H276" s="39"/>
    </row>
    <row r="277" customFormat="false" ht="12.8" hidden="false" customHeight="false" outlineLevel="0" collapsed="false">
      <c r="A277" s="39" t="s">
        <v>1380</v>
      </c>
      <c r="B277" s="39" t="s">
        <v>1381</v>
      </c>
      <c r="C277" s="39" t="n">
        <v>0.98</v>
      </c>
      <c r="D277" s="39" t="s">
        <v>1382</v>
      </c>
      <c r="E277" s="39" t="s">
        <v>440</v>
      </c>
      <c r="F277" s="39" t="s">
        <v>1336</v>
      </c>
      <c r="G277" s="52" t="s">
        <v>436</v>
      </c>
      <c r="H277" s="39"/>
    </row>
    <row r="278" customFormat="false" ht="12.8" hidden="false" customHeight="false" outlineLevel="0" collapsed="false">
      <c r="A278" s="39" t="s">
        <v>1383</v>
      </c>
      <c r="B278" s="39" t="s">
        <v>1384</v>
      </c>
      <c r="C278" s="39" t="n">
        <v>1.01</v>
      </c>
      <c r="D278" s="39" t="s">
        <v>1385</v>
      </c>
      <c r="E278" s="39" t="s">
        <v>434</v>
      </c>
      <c r="F278" s="39" t="s">
        <v>1336</v>
      </c>
      <c r="G278" s="52" t="s">
        <v>436</v>
      </c>
      <c r="H278" s="39"/>
    </row>
    <row r="279" customFormat="false" ht="12.8" hidden="false" customHeight="false" outlineLevel="0" collapsed="false">
      <c r="A279" s="39" t="s">
        <v>1386</v>
      </c>
      <c r="B279" s="39" t="s">
        <v>1387</v>
      </c>
      <c r="C279" s="39" t="n">
        <v>1.02</v>
      </c>
      <c r="D279" s="39" t="s">
        <v>1388</v>
      </c>
      <c r="E279" s="39" t="s">
        <v>434</v>
      </c>
      <c r="F279" s="39" t="s">
        <v>1336</v>
      </c>
      <c r="G279" s="52" t="s">
        <v>436</v>
      </c>
      <c r="H279" s="39"/>
    </row>
    <row r="280" customFormat="false" ht="12.8" hidden="false" customHeight="false" outlineLevel="0" collapsed="false">
      <c r="A280" s="39" t="s">
        <v>1389</v>
      </c>
      <c r="B280" s="39" t="s">
        <v>1390</v>
      </c>
      <c r="C280" s="39" t="n">
        <v>0.99</v>
      </c>
      <c r="D280" s="39" t="s">
        <v>1391</v>
      </c>
      <c r="E280" s="39" t="s">
        <v>502</v>
      </c>
      <c r="F280" s="39" t="s">
        <v>1336</v>
      </c>
      <c r="G280" s="52" t="s">
        <v>436</v>
      </c>
      <c r="H280" s="39"/>
    </row>
    <row r="281" customFormat="false" ht="12.8" hidden="false" customHeight="false" outlineLevel="0" collapsed="false">
      <c r="A281" s="39" t="s">
        <v>1392</v>
      </c>
      <c r="B281" s="39" t="s">
        <v>1393</v>
      </c>
      <c r="C281" s="39" t="n">
        <v>0.98</v>
      </c>
      <c r="D281" s="39" t="s">
        <v>1394</v>
      </c>
      <c r="E281" s="39" t="s">
        <v>502</v>
      </c>
      <c r="F281" s="39" t="s">
        <v>1336</v>
      </c>
      <c r="G281" s="52" t="s">
        <v>436</v>
      </c>
      <c r="H281" s="39"/>
    </row>
    <row r="282" customFormat="false" ht="12.8" hidden="false" customHeight="false" outlineLevel="0" collapsed="false">
      <c r="A282" s="39" t="s">
        <v>1395</v>
      </c>
      <c r="B282" s="39" t="s">
        <v>1396</v>
      </c>
      <c r="C282" s="39" t="n">
        <v>0.99</v>
      </c>
      <c r="D282" s="39" t="s">
        <v>1397</v>
      </c>
      <c r="E282" s="39" t="s">
        <v>440</v>
      </c>
      <c r="F282" s="39" t="s">
        <v>1336</v>
      </c>
      <c r="G282" s="52" t="s">
        <v>436</v>
      </c>
      <c r="H282" s="39"/>
    </row>
    <row r="283" customFormat="false" ht="12.8" hidden="false" customHeight="false" outlineLevel="0" collapsed="false">
      <c r="A283" s="39" t="s">
        <v>1398</v>
      </c>
      <c r="B283" s="39" t="s">
        <v>1399</v>
      </c>
      <c r="C283" s="39" t="n">
        <v>1.04</v>
      </c>
      <c r="D283" s="39" t="s">
        <v>1400</v>
      </c>
      <c r="E283" s="39" t="s">
        <v>434</v>
      </c>
      <c r="F283" s="39" t="s">
        <v>1336</v>
      </c>
      <c r="G283" s="52" t="s">
        <v>436</v>
      </c>
      <c r="H283" s="39"/>
    </row>
    <row r="284" customFormat="false" ht="12.8" hidden="false" customHeight="false" outlineLevel="0" collapsed="false">
      <c r="A284" s="39" t="s">
        <v>1401</v>
      </c>
      <c r="B284" s="39" t="s">
        <v>1402</v>
      </c>
      <c r="C284" s="39" t="n">
        <v>1.05</v>
      </c>
      <c r="D284" s="39" t="s">
        <v>1403</v>
      </c>
      <c r="E284" s="39" t="s">
        <v>440</v>
      </c>
      <c r="F284" s="39" t="s">
        <v>926</v>
      </c>
      <c r="G284" s="52" t="s">
        <v>436</v>
      </c>
      <c r="H284" s="39" t="s">
        <v>1337</v>
      </c>
    </row>
    <row r="285" customFormat="false" ht="12.8" hidden="false" customHeight="false" outlineLevel="0" collapsed="false">
      <c r="A285" s="39" t="s">
        <v>1404</v>
      </c>
      <c r="B285" s="39" t="s">
        <v>1405</v>
      </c>
      <c r="C285" s="39" t="n">
        <v>0.85</v>
      </c>
      <c r="D285" s="39" t="s">
        <v>1406</v>
      </c>
      <c r="E285" s="39" t="s">
        <v>434</v>
      </c>
      <c r="F285" s="39" t="s">
        <v>926</v>
      </c>
      <c r="G285" s="52" t="s">
        <v>436</v>
      </c>
      <c r="H285" s="39"/>
    </row>
    <row r="286" customFormat="false" ht="12.8" hidden="false" customHeight="false" outlineLevel="0" collapsed="false">
      <c r="A286" s="39" t="s">
        <v>1407</v>
      </c>
      <c r="B286" s="39" t="s">
        <v>1408</v>
      </c>
      <c r="C286" s="39" t="n">
        <v>1.35</v>
      </c>
      <c r="D286" s="39" t="s">
        <v>1409</v>
      </c>
      <c r="E286" s="39" t="s">
        <v>440</v>
      </c>
      <c r="F286" s="39" t="s">
        <v>926</v>
      </c>
      <c r="G286" s="52" t="s">
        <v>436</v>
      </c>
      <c r="H286" s="39"/>
    </row>
    <row r="287" customFormat="false" ht="12.8" hidden="false" customHeight="false" outlineLevel="0" collapsed="false">
      <c r="A287" s="39" t="s">
        <v>1410</v>
      </c>
      <c r="B287" s="39" t="s">
        <v>1411</v>
      </c>
      <c r="C287" s="39" t="n">
        <v>1.1</v>
      </c>
      <c r="D287" s="39" t="s">
        <v>1412</v>
      </c>
      <c r="E287" s="39" t="s">
        <v>502</v>
      </c>
      <c r="F287" s="39" t="s">
        <v>926</v>
      </c>
      <c r="G287" s="52" t="s">
        <v>436</v>
      </c>
      <c r="H287" s="39"/>
    </row>
    <row r="288" customFormat="false" ht="12.8" hidden="false" customHeight="false" outlineLevel="0" collapsed="false">
      <c r="A288" s="39" t="s">
        <v>1413</v>
      </c>
      <c r="B288" s="39" t="s">
        <v>1414</v>
      </c>
      <c r="C288" s="39" t="n">
        <v>1.1</v>
      </c>
      <c r="D288" s="39" t="s">
        <v>1415</v>
      </c>
      <c r="E288" s="39" t="s">
        <v>502</v>
      </c>
      <c r="F288" s="39" t="s">
        <v>926</v>
      </c>
      <c r="G288" s="52" t="s">
        <v>436</v>
      </c>
      <c r="H288" s="39"/>
    </row>
    <row r="289" customFormat="false" ht="12.8" hidden="false" customHeight="false" outlineLevel="0" collapsed="false">
      <c r="A289" s="39" t="s">
        <v>1416</v>
      </c>
      <c r="B289" s="39" t="s">
        <v>1417</v>
      </c>
      <c r="C289" s="39" t="n">
        <v>1.08</v>
      </c>
      <c r="D289" s="39" t="s">
        <v>1418</v>
      </c>
      <c r="E289" s="39" t="s">
        <v>440</v>
      </c>
      <c r="F289" s="39" t="s">
        <v>926</v>
      </c>
      <c r="G289" s="52" t="s">
        <v>436</v>
      </c>
      <c r="H289" s="39"/>
    </row>
    <row r="290" customFormat="false" ht="12.8" hidden="false" customHeight="false" outlineLevel="0" collapsed="false">
      <c r="A290" s="39" t="s">
        <v>1419</v>
      </c>
      <c r="B290" s="39" t="s">
        <v>1420</v>
      </c>
      <c r="C290" s="39" t="n">
        <v>0.95</v>
      </c>
      <c r="D290" s="39" t="s">
        <v>1421</v>
      </c>
      <c r="E290" s="39" t="s">
        <v>434</v>
      </c>
      <c r="F290" s="39" t="s">
        <v>926</v>
      </c>
      <c r="G290" s="52" t="s">
        <v>436</v>
      </c>
      <c r="H290" s="39"/>
    </row>
    <row r="291" customFormat="false" ht="12.8" hidden="false" customHeight="false" outlineLevel="0" collapsed="false">
      <c r="A291" s="39" t="s">
        <v>1422</v>
      </c>
      <c r="B291" s="39" t="s">
        <v>1423</v>
      </c>
      <c r="C291" s="39" t="n">
        <v>1.15</v>
      </c>
      <c r="D291" s="39" t="s">
        <v>1424</v>
      </c>
      <c r="E291" s="39" t="s">
        <v>502</v>
      </c>
      <c r="F291" s="39" t="s">
        <v>926</v>
      </c>
      <c r="G291" s="52" t="s">
        <v>436</v>
      </c>
      <c r="H291" s="39"/>
    </row>
    <row r="292" customFormat="false" ht="12.8" hidden="false" customHeight="false" outlineLevel="0" collapsed="false">
      <c r="A292" s="39" t="s">
        <v>1425</v>
      </c>
      <c r="B292" s="39" t="s">
        <v>1426</v>
      </c>
      <c r="C292" s="39" t="n">
        <v>1.18</v>
      </c>
      <c r="D292" s="39" t="s">
        <v>1427</v>
      </c>
      <c r="E292" s="39" t="s">
        <v>502</v>
      </c>
      <c r="F292" s="39" t="s">
        <v>926</v>
      </c>
      <c r="G292" s="52" t="s">
        <v>436</v>
      </c>
      <c r="H292" s="39"/>
    </row>
    <row r="293" customFormat="false" ht="12.8" hidden="false" customHeight="false" outlineLevel="0" collapsed="false">
      <c r="A293" s="39" t="s">
        <v>1428</v>
      </c>
      <c r="B293" s="39" t="s">
        <v>1429</v>
      </c>
      <c r="C293" s="39" t="n">
        <v>1.12</v>
      </c>
      <c r="D293" s="39" t="s">
        <v>1430</v>
      </c>
      <c r="E293" s="39" t="s">
        <v>440</v>
      </c>
      <c r="F293" s="39" t="s">
        <v>926</v>
      </c>
      <c r="G293" s="52" t="s">
        <v>436</v>
      </c>
      <c r="H293" s="39"/>
    </row>
    <row r="294" customFormat="false" ht="12.8" hidden="false" customHeight="false" outlineLevel="0" collapsed="false">
      <c r="A294" s="39" t="s">
        <v>1431</v>
      </c>
      <c r="B294" s="39" t="s">
        <v>1432</v>
      </c>
      <c r="C294" s="39" t="n">
        <v>1.15</v>
      </c>
      <c r="D294" s="39" t="s">
        <v>1433</v>
      </c>
      <c r="E294" s="39" t="s">
        <v>502</v>
      </c>
      <c r="F294" s="39" t="s">
        <v>926</v>
      </c>
      <c r="G294" s="52" t="s">
        <v>436</v>
      </c>
      <c r="H294" s="39"/>
    </row>
    <row r="295" customFormat="false" ht="12.8" hidden="false" customHeight="false" outlineLevel="0" collapsed="false">
      <c r="A295" s="39" t="s">
        <v>1434</v>
      </c>
      <c r="B295" s="39" t="s">
        <v>1435</v>
      </c>
      <c r="C295" s="39" t="n">
        <v>0.9</v>
      </c>
      <c r="D295" s="39" t="s">
        <v>1436</v>
      </c>
      <c r="E295" s="39" t="s">
        <v>502</v>
      </c>
      <c r="F295" s="39" t="s">
        <v>926</v>
      </c>
      <c r="G295" s="52" t="s">
        <v>436</v>
      </c>
      <c r="H295" s="39"/>
    </row>
    <row r="296" customFormat="false" ht="12.8" hidden="false" customHeight="false" outlineLevel="0" collapsed="false">
      <c r="A296" s="39" t="s">
        <v>1437</v>
      </c>
      <c r="B296" s="39" t="s">
        <v>1438</v>
      </c>
      <c r="C296" s="39" t="n">
        <v>0.8</v>
      </c>
      <c r="D296" s="39" t="s">
        <v>1439</v>
      </c>
      <c r="E296" s="39" t="s">
        <v>434</v>
      </c>
      <c r="F296" s="39" t="s">
        <v>926</v>
      </c>
      <c r="G296" s="52" t="s">
        <v>436</v>
      </c>
      <c r="H296" s="39"/>
    </row>
    <row r="297" customFormat="false" ht="12.8" hidden="false" customHeight="false" outlineLevel="0" collapsed="false">
      <c r="A297" s="39" t="s">
        <v>1440</v>
      </c>
      <c r="B297" s="39" t="s">
        <v>1441</v>
      </c>
      <c r="C297" s="39" t="n">
        <v>0.95</v>
      </c>
      <c r="D297" s="39" t="s">
        <v>1442</v>
      </c>
      <c r="E297" s="39" t="s">
        <v>440</v>
      </c>
      <c r="F297" s="39" t="s">
        <v>926</v>
      </c>
      <c r="G297" s="52" t="s">
        <v>436</v>
      </c>
      <c r="H297" s="39"/>
    </row>
    <row r="298" customFormat="false" ht="12.8" hidden="false" customHeight="false" outlineLevel="0" collapsed="false">
      <c r="A298" s="39" t="s">
        <v>1443</v>
      </c>
      <c r="B298" s="39" t="s">
        <v>1444</v>
      </c>
      <c r="C298" s="39" t="n">
        <v>0.75</v>
      </c>
      <c r="D298" s="39" t="s">
        <v>1445</v>
      </c>
      <c r="E298" s="39" t="s">
        <v>434</v>
      </c>
      <c r="F298" s="39" t="s">
        <v>926</v>
      </c>
      <c r="G298" s="52" t="s">
        <v>436</v>
      </c>
      <c r="H298" s="39"/>
    </row>
    <row r="299" customFormat="false" ht="12.8" hidden="false" customHeight="false" outlineLevel="0" collapsed="false">
      <c r="A299" s="39" t="s">
        <v>1446</v>
      </c>
      <c r="B299" s="39" t="s">
        <v>1447</v>
      </c>
      <c r="C299" s="39" t="n">
        <v>1.25</v>
      </c>
      <c r="D299" s="39" t="s">
        <v>1448</v>
      </c>
      <c r="E299" s="39" t="s">
        <v>502</v>
      </c>
      <c r="F299" s="39" t="s">
        <v>926</v>
      </c>
      <c r="G299" s="52" t="s">
        <v>436</v>
      </c>
      <c r="H299" s="39"/>
    </row>
    <row r="300" customFormat="false" ht="12.8" hidden="false" customHeight="false" outlineLevel="0" collapsed="false">
      <c r="A300" s="39" t="s">
        <v>1449</v>
      </c>
      <c r="B300" s="39" t="s">
        <v>1450</v>
      </c>
      <c r="C300" s="39" t="n">
        <v>0.8</v>
      </c>
      <c r="D300" s="39" t="s">
        <v>1451</v>
      </c>
      <c r="E300" s="39" t="s">
        <v>434</v>
      </c>
      <c r="F300" s="39" t="s">
        <v>926</v>
      </c>
      <c r="G300" s="52" t="s">
        <v>436</v>
      </c>
      <c r="H300" s="39"/>
    </row>
    <row r="301" customFormat="false" ht="12.8" hidden="false" customHeight="false" outlineLevel="0" collapsed="false">
      <c r="A301" s="39" t="s">
        <v>1452</v>
      </c>
      <c r="B301" s="39" t="s">
        <v>1453</v>
      </c>
      <c r="C301" s="39" t="n">
        <v>0.85</v>
      </c>
      <c r="D301" s="39" t="s">
        <v>1454</v>
      </c>
      <c r="E301" s="39" t="s">
        <v>434</v>
      </c>
      <c r="F301" s="39" t="s">
        <v>926</v>
      </c>
      <c r="G301" s="52" t="s">
        <v>436</v>
      </c>
      <c r="H301" s="39"/>
    </row>
    <row r="302" customFormat="false" ht="12.8" hidden="false" customHeight="false" outlineLevel="0" collapsed="false">
      <c r="A302" s="39" t="s">
        <v>1455</v>
      </c>
      <c r="B302" s="39" t="s">
        <v>1456</v>
      </c>
      <c r="C302" s="39" t="n">
        <v>1.2</v>
      </c>
      <c r="D302" s="39" t="s">
        <v>1457</v>
      </c>
      <c r="E302" s="39" t="s">
        <v>502</v>
      </c>
      <c r="F302" s="39" t="s">
        <v>926</v>
      </c>
      <c r="G302" s="52" t="s">
        <v>436</v>
      </c>
      <c r="H302" s="39"/>
    </row>
    <row r="303" customFormat="false" ht="12.8" hidden="false" customHeight="false" outlineLevel="0" collapsed="false">
      <c r="A303" s="39" t="s">
        <v>1458</v>
      </c>
      <c r="B303" s="39" t="s">
        <v>1459</v>
      </c>
      <c r="C303" s="39" t="n">
        <v>1.38</v>
      </c>
      <c r="D303" s="39" t="s">
        <v>1460</v>
      </c>
      <c r="E303" s="39" t="s">
        <v>502</v>
      </c>
      <c r="F303" s="39" t="s">
        <v>926</v>
      </c>
      <c r="G303" s="52" t="s">
        <v>436</v>
      </c>
      <c r="H303" s="39"/>
    </row>
    <row r="304" customFormat="false" ht="12.8" hidden="false" customHeight="false" outlineLevel="0" collapsed="false">
      <c r="A304" s="39" t="s">
        <v>1461</v>
      </c>
      <c r="B304" s="39" t="s">
        <v>1462</v>
      </c>
      <c r="C304" s="39" t="n">
        <v>1.15</v>
      </c>
      <c r="D304" s="39" t="s">
        <v>1463</v>
      </c>
      <c r="E304" s="39" t="s">
        <v>502</v>
      </c>
      <c r="F304" s="39" t="s">
        <v>926</v>
      </c>
      <c r="G304" s="52" t="s">
        <v>436</v>
      </c>
      <c r="H304" s="39"/>
    </row>
    <row r="305" customFormat="false" ht="12.8" hidden="false" customHeight="false" outlineLevel="0" collapsed="false">
      <c r="A305" s="39" t="s">
        <v>1464</v>
      </c>
      <c r="B305" s="39" t="s">
        <v>1465</v>
      </c>
      <c r="C305" s="39" t="n">
        <v>0.75</v>
      </c>
      <c r="D305" s="39" t="s">
        <v>1466</v>
      </c>
      <c r="E305" s="39" t="s">
        <v>434</v>
      </c>
      <c r="F305" s="39" t="s">
        <v>926</v>
      </c>
      <c r="G305" s="52" t="s">
        <v>436</v>
      </c>
      <c r="H305" s="39"/>
    </row>
    <row r="306" customFormat="false" ht="12.8" hidden="false" customHeight="false" outlineLevel="0" collapsed="false">
      <c r="A306" s="39" t="s">
        <v>1467</v>
      </c>
      <c r="B306" s="39" t="s">
        <v>1468</v>
      </c>
      <c r="C306" s="39" t="n">
        <v>31.96</v>
      </c>
      <c r="D306" s="39" t="s">
        <v>1469</v>
      </c>
      <c r="E306" s="39" t="s">
        <v>434</v>
      </c>
      <c r="F306" s="39" t="s">
        <v>1470</v>
      </c>
      <c r="G306" s="52" t="s">
        <v>436</v>
      </c>
      <c r="H306" s="39" t="s">
        <v>1471</v>
      </c>
    </row>
    <row r="307" customFormat="false" ht="12.8" hidden="false" customHeight="false" outlineLevel="0" collapsed="false">
      <c r="A307" s="39" t="s">
        <v>1472</v>
      </c>
      <c r="B307" s="39" t="s">
        <v>1473</v>
      </c>
      <c r="C307" s="39" t="n">
        <v>0.98</v>
      </c>
      <c r="D307" s="39" t="s">
        <v>1474</v>
      </c>
      <c r="E307" s="39" t="s">
        <v>440</v>
      </c>
      <c r="F307" s="39" t="s">
        <v>1475</v>
      </c>
      <c r="G307" s="52" t="s">
        <v>436</v>
      </c>
      <c r="H307" s="39" t="s">
        <v>739</v>
      </c>
    </row>
    <row r="308" customFormat="false" ht="12.8" hidden="false" customHeight="false" outlineLevel="0" collapsed="false">
      <c r="A308" s="39" t="s">
        <v>1476</v>
      </c>
      <c r="B308" s="39" t="s">
        <v>1477</v>
      </c>
      <c r="C308" s="39" t="n">
        <v>0.92</v>
      </c>
      <c r="D308" s="39" t="s">
        <v>1478</v>
      </c>
      <c r="E308" s="39" t="s">
        <v>434</v>
      </c>
      <c r="F308" s="39" t="s">
        <v>1479</v>
      </c>
      <c r="G308" s="52" t="s">
        <v>436</v>
      </c>
      <c r="H308" s="39" t="s">
        <v>1480</v>
      </c>
    </row>
    <row r="309" customFormat="false" ht="12.8" hidden="false" customHeight="false" outlineLevel="0" collapsed="false">
      <c r="A309" s="39" t="s">
        <v>1481</v>
      </c>
      <c r="B309" s="39" t="s">
        <v>1482</v>
      </c>
      <c r="C309" s="39" t="n">
        <v>0.82</v>
      </c>
      <c r="D309" s="39" t="s">
        <v>1483</v>
      </c>
      <c r="E309" s="39" t="s">
        <v>502</v>
      </c>
      <c r="F309" s="39" t="s">
        <v>597</v>
      </c>
      <c r="G309" s="52" t="s">
        <v>436</v>
      </c>
      <c r="H309" s="39" t="s">
        <v>1484</v>
      </c>
    </row>
    <row r="310" customFormat="false" ht="12.8" hidden="false" customHeight="false" outlineLevel="0" collapsed="false">
      <c r="A310" s="39" t="s">
        <v>1485</v>
      </c>
      <c r="B310" s="39" t="s">
        <v>1486</v>
      </c>
      <c r="C310" s="39" t="n">
        <v>0.06</v>
      </c>
      <c r="D310" s="39" t="s">
        <v>1487</v>
      </c>
      <c r="E310" s="39" t="s">
        <v>434</v>
      </c>
      <c r="F310" s="39" t="s">
        <v>1488</v>
      </c>
      <c r="G310" s="52" t="s">
        <v>436</v>
      </c>
      <c r="H310" s="39" t="s">
        <v>1489</v>
      </c>
    </row>
    <row r="311" customFormat="false" ht="12.8" hidden="false" customHeight="false" outlineLevel="0" collapsed="false">
      <c r="A311" s="39" t="s">
        <v>1490</v>
      </c>
      <c r="B311" s="39" t="s">
        <v>1491</v>
      </c>
      <c r="C311" s="39" t="n">
        <v>0.04</v>
      </c>
      <c r="D311" s="39" t="s">
        <v>1492</v>
      </c>
      <c r="E311" s="39" t="s">
        <v>434</v>
      </c>
      <c r="F311" s="39" t="s">
        <v>1488</v>
      </c>
      <c r="G311" s="52" t="s">
        <v>436</v>
      </c>
      <c r="H311" s="39"/>
    </row>
    <row r="312" customFormat="false" ht="12.8" hidden="false" customHeight="false" outlineLevel="0" collapsed="false">
      <c r="A312" s="39" t="s">
        <v>1493</v>
      </c>
      <c r="B312" s="39" t="s">
        <v>1494</v>
      </c>
      <c r="C312" s="39" t="n">
        <v>0.08</v>
      </c>
      <c r="D312" s="39" t="s">
        <v>1495</v>
      </c>
      <c r="E312" s="39" t="s">
        <v>502</v>
      </c>
      <c r="F312" s="39" t="s">
        <v>1488</v>
      </c>
      <c r="G312" s="52" t="s">
        <v>436</v>
      </c>
      <c r="H312" s="39"/>
    </row>
    <row r="313" customFormat="false" ht="12.8" hidden="false" customHeight="false" outlineLevel="0" collapsed="false">
      <c r="A313" s="39" t="s">
        <v>1496</v>
      </c>
      <c r="B313" s="39" t="s">
        <v>1497</v>
      </c>
      <c r="C313" s="39" t="n">
        <v>0.05</v>
      </c>
      <c r="D313" s="39" t="s">
        <v>1498</v>
      </c>
      <c r="E313" s="39" t="s">
        <v>434</v>
      </c>
      <c r="F313" s="39" t="s">
        <v>1488</v>
      </c>
      <c r="G313" s="52" t="s">
        <v>436</v>
      </c>
      <c r="H313" s="39"/>
    </row>
    <row r="314" customFormat="false" ht="12.8" hidden="false" customHeight="false" outlineLevel="0" collapsed="false">
      <c r="A314" s="39" t="s">
        <v>1499</v>
      </c>
      <c r="B314" s="39" t="s">
        <v>1500</v>
      </c>
      <c r="C314" s="39" t="n">
        <v>0.05</v>
      </c>
      <c r="D314" s="39" t="s">
        <v>1501</v>
      </c>
      <c r="E314" s="39" t="s">
        <v>434</v>
      </c>
      <c r="F314" s="39" t="s">
        <v>1488</v>
      </c>
      <c r="G314" s="52" t="s">
        <v>436</v>
      </c>
      <c r="H314" s="39"/>
    </row>
    <row r="315" customFormat="false" ht="12.8" hidden="false" customHeight="false" outlineLevel="0" collapsed="false">
      <c r="A315" s="39" t="s">
        <v>1502</v>
      </c>
      <c r="B315" s="39" t="s">
        <v>1503</v>
      </c>
      <c r="C315" s="39" t="n">
        <v>0.04</v>
      </c>
      <c r="D315" s="39" t="s">
        <v>1504</v>
      </c>
      <c r="E315" s="39" t="s">
        <v>434</v>
      </c>
      <c r="F315" s="39" t="s">
        <v>1488</v>
      </c>
      <c r="G315" s="52" t="s">
        <v>436</v>
      </c>
      <c r="H315" s="39"/>
    </row>
    <row r="316" customFormat="false" ht="12.8" hidden="false" customHeight="false" outlineLevel="0" collapsed="false">
      <c r="A316" s="39" t="s">
        <v>1505</v>
      </c>
      <c r="B316" s="39" t="s">
        <v>1506</v>
      </c>
      <c r="C316" s="39" t="n">
        <v>0.04</v>
      </c>
      <c r="D316" s="39" t="s">
        <v>1507</v>
      </c>
      <c r="E316" s="39" t="s">
        <v>434</v>
      </c>
      <c r="F316" s="39" t="s">
        <v>1488</v>
      </c>
      <c r="G316" s="52" t="s">
        <v>436</v>
      </c>
      <c r="H316" s="39"/>
    </row>
    <row r="317" customFormat="false" ht="12.8" hidden="false" customHeight="false" outlineLevel="0" collapsed="false">
      <c r="A317" s="39" t="s">
        <v>1508</v>
      </c>
      <c r="B317" s="39" t="s">
        <v>1509</v>
      </c>
      <c r="C317" s="39" t="n">
        <v>0.06</v>
      </c>
      <c r="D317" s="39" t="s">
        <v>1510</v>
      </c>
      <c r="E317" s="39" t="s">
        <v>440</v>
      </c>
      <c r="F317" s="39" t="s">
        <v>1488</v>
      </c>
      <c r="G317" s="52" t="s">
        <v>436</v>
      </c>
      <c r="H317" s="39"/>
    </row>
    <row r="318" customFormat="false" ht="12.8" hidden="false" customHeight="false" outlineLevel="0" collapsed="false">
      <c r="A318" s="39" t="s">
        <v>1511</v>
      </c>
      <c r="B318" s="39" t="s">
        <v>1512</v>
      </c>
      <c r="C318" s="39" t="n">
        <v>0.07</v>
      </c>
      <c r="D318" s="39" t="s">
        <v>1513</v>
      </c>
      <c r="E318" s="39" t="s">
        <v>440</v>
      </c>
      <c r="F318" s="39" t="s">
        <v>1488</v>
      </c>
      <c r="G318" s="52" t="s">
        <v>436</v>
      </c>
      <c r="H318" s="39"/>
    </row>
    <row r="319" customFormat="false" ht="12.8" hidden="false" customHeight="false" outlineLevel="0" collapsed="false">
      <c r="A319" s="39" t="s">
        <v>1514</v>
      </c>
      <c r="B319" s="39" t="s">
        <v>1515</v>
      </c>
      <c r="C319" s="39" t="n">
        <v>0.05</v>
      </c>
      <c r="D319" s="39" t="s">
        <v>1516</v>
      </c>
      <c r="E319" s="39" t="s">
        <v>434</v>
      </c>
      <c r="F319" s="39" t="s">
        <v>1488</v>
      </c>
      <c r="G319" s="52" t="s">
        <v>436</v>
      </c>
      <c r="H319" s="39"/>
    </row>
    <row r="320" customFormat="false" ht="12.8" hidden="false" customHeight="false" outlineLevel="0" collapsed="false">
      <c r="A320" s="39" t="s">
        <v>1517</v>
      </c>
      <c r="B320" s="39" t="s">
        <v>1518</v>
      </c>
      <c r="C320" s="39" t="n">
        <v>0.06</v>
      </c>
      <c r="D320" s="39" t="s">
        <v>1519</v>
      </c>
      <c r="E320" s="39" t="s">
        <v>440</v>
      </c>
      <c r="F320" s="39" t="s">
        <v>1488</v>
      </c>
      <c r="G320" s="52" t="s">
        <v>436</v>
      </c>
      <c r="H320" s="39"/>
    </row>
    <row r="321" customFormat="false" ht="12.8" hidden="false" customHeight="false" outlineLevel="0" collapsed="false">
      <c r="A321" s="39" t="s">
        <v>1520</v>
      </c>
      <c r="B321" s="39" t="s">
        <v>1521</v>
      </c>
      <c r="C321" s="39" t="n">
        <v>0.04</v>
      </c>
      <c r="D321" s="39" t="s">
        <v>1522</v>
      </c>
      <c r="E321" s="39" t="s">
        <v>434</v>
      </c>
      <c r="F321" s="39" t="s">
        <v>1488</v>
      </c>
      <c r="G321" s="52" t="s">
        <v>436</v>
      </c>
      <c r="H321" s="39"/>
    </row>
    <row r="322" customFormat="false" ht="12.8" hidden="false" customHeight="false" outlineLevel="0" collapsed="false">
      <c r="A322" s="39" t="s">
        <v>1523</v>
      </c>
      <c r="B322" s="39" t="s">
        <v>1524</v>
      </c>
      <c r="C322" s="39" t="n">
        <v>0.03</v>
      </c>
      <c r="D322" s="39" t="s">
        <v>1525</v>
      </c>
      <c r="E322" s="39" t="s">
        <v>434</v>
      </c>
      <c r="F322" s="39" t="s">
        <v>1488</v>
      </c>
      <c r="G322" s="52" t="s">
        <v>436</v>
      </c>
      <c r="H322" s="39"/>
    </row>
    <row r="323" customFormat="false" ht="12.8" hidden="false" customHeight="false" outlineLevel="0" collapsed="false">
      <c r="A323" s="39" t="s">
        <v>1526</v>
      </c>
      <c r="B323" s="39" t="s">
        <v>1527</v>
      </c>
      <c r="C323" s="39" t="n">
        <v>0.04</v>
      </c>
      <c r="D323" s="39" t="s">
        <v>1528</v>
      </c>
      <c r="E323" s="39" t="s">
        <v>434</v>
      </c>
      <c r="F323" s="39" t="s">
        <v>1488</v>
      </c>
      <c r="G323" s="52" t="s">
        <v>436</v>
      </c>
      <c r="H323" s="39"/>
    </row>
    <row r="324" customFormat="false" ht="12.8" hidden="false" customHeight="false" outlineLevel="0" collapsed="false">
      <c r="A324" s="39" t="s">
        <v>1529</v>
      </c>
      <c r="B324" s="39" t="s">
        <v>1530</v>
      </c>
      <c r="C324" s="39" t="n">
        <v>0.03</v>
      </c>
      <c r="D324" s="39" t="s">
        <v>1531</v>
      </c>
      <c r="E324" s="39" t="s">
        <v>434</v>
      </c>
      <c r="F324" s="39" t="s">
        <v>1488</v>
      </c>
      <c r="G324" s="52" t="s">
        <v>436</v>
      </c>
      <c r="H324" s="39"/>
    </row>
    <row r="325" customFormat="false" ht="12.8" hidden="false" customHeight="false" outlineLevel="0" collapsed="false">
      <c r="A325" s="39" t="s">
        <v>1532</v>
      </c>
      <c r="B325" s="39" t="s">
        <v>1533</v>
      </c>
      <c r="C325" s="39" t="n">
        <v>0.06</v>
      </c>
      <c r="D325" s="39" t="s">
        <v>1534</v>
      </c>
      <c r="E325" s="39" t="s">
        <v>440</v>
      </c>
      <c r="F325" s="39" t="s">
        <v>1488</v>
      </c>
      <c r="G325" s="52" t="s">
        <v>436</v>
      </c>
      <c r="H325" s="39"/>
    </row>
    <row r="326" customFormat="false" ht="12.8" hidden="false" customHeight="false" outlineLevel="0" collapsed="false">
      <c r="A326" s="39" t="s">
        <v>1535</v>
      </c>
      <c r="B326" s="39" t="s">
        <v>1536</v>
      </c>
      <c r="C326" s="39" t="n">
        <v>0.03</v>
      </c>
      <c r="D326" s="39" t="s">
        <v>1537</v>
      </c>
      <c r="E326" s="39" t="s">
        <v>434</v>
      </c>
      <c r="F326" s="39" t="s">
        <v>1488</v>
      </c>
      <c r="G326" s="52" t="s">
        <v>436</v>
      </c>
      <c r="H326" s="39"/>
    </row>
    <row r="327" customFormat="false" ht="12.8" hidden="false" customHeight="false" outlineLevel="0" collapsed="false">
      <c r="A327" s="39" t="s">
        <v>1538</v>
      </c>
      <c r="B327" s="39" t="s">
        <v>1539</v>
      </c>
      <c r="C327" s="39" t="n">
        <v>0.04</v>
      </c>
      <c r="D327" s="39" t="s">
        <v>1540</v>
      </c>
      <c r="E327" s="39" t="s">
        <v>434</v>
      </c>
      <c r="F327" s="39" t="s">
        <v>1488</v>
      </c>
      <c r="G327" s="52" t="s">
        <v>436</v>
      </c>
      <c r="H327" s="39"/>
    </row>
    <row r="328" customFormat="false" ht="12.8" hidden="false" customHeight="false" outlineLevel="0" collapsed="false">
      <c r="A328" s="39" t="s">
        <v>1541</v>
      </c>
      <c r="B328" s="39" t="s">
        <v>1542</v>
      </c>
      <c r="C328" s="39" t="n">
        <v>0.07</v>
      </c>
      <c r="D328" s="39" t="s">
        <v>1543</v>
      </c>
      <c r="E328" s="39" t="s">
        <v>502</v>
      </c>
      <c r="F328" s="39" t="s">
        <v>1488</v>
      </c>
      <c r="G328" s="52" t="s">
        <v>436</v>
      </c>
      <c r="H328" s="39"/>
    </row>
    <row r="329" customFormat="false" ht="12.8" hidden="false" customHeight="false" outlineLevel="0" collapsed="false">
      <c r="A329" s="39" t="s">
        <v>1544</v>
      </c>
      <c r="B329" s="39" t="s">
        <v>1545</v>
      </c>
      <c r="C329" s="39" t="n">
        <v>0.08</v>
      </c>
      <c r="D329" s="39" t="s">
        <v>1546</v>
      </c>
      <c r="E329" s="39" t="s">
        <v>502</v>
      </c>
      <c r="F329" s="39" t="s">
        <v>1488</v>
      </c>
      <c r="G329" s="52" t="s">
        <v>436</v>
      </c>
      <c r="H329" s="39"/>
    </row>
    <row r="330" customFormat="false" ht="12.8" hidden="false" customHeight="false" outlineLevel="0" collapsed="false">
      <c r="A330" s="39" t="s">
        <v>1547</v>
      </c>
      <c r="B330" s="39" t="s">
        <v>1548</v>
      </c>
      <c r="C330" s="39" t="n">
        <v>0.05</v>
      </c>
      <c r="D330" s="39" t="s">
        <v>1549</v>
      </c>
      <c r="E330" s="39" t="s">
        <v>440</v>
      </c>
      <c r="F330" s="39" t="s">
        <v>1488</v>
      </c>
      <c r="G330" s="52" t="s">
        <v>436</v>
      </c>
      <c r="H330" s="39"/>
    </row>
    <row r="331" customFormat="false" ht="12.8" hidden="false" customHeight="false" outlineLevel="0" collapsed="false">
      <c r="A331" s="39" t="s">
        <v>1550</v>
      </c>
      <c r="B331" s="39" t="s">
        <v>1551</v>
      </c>
      <c r="C331" s="39" t="n">
        <v>0.03</v>
      </c>
      <c r="D331" s="39" t="s">
        <v>1552</v>
      </c>
      <c r="E331" s="39" t="s">
        <v>434</v>
      </c>
      <c r="F331" s="39" t="s">
        <v>1488</v>
      </c>
      <c r="G331" s="52" t="s">
        <v>436</v>
      </c>
      <c r="H331" s="39"/>
    </row>
    <row r="332" customFormat="false" ht="12.8" hidden="false" customHeight="false" outlineLevel="0" collapsed="false">
      <c r="A332" s="39" t="s">
        <v>1553</v>
      </c>
      <c r="B332" s="39" t="s">
        <v>1554</v>
      </c>
      <c r="C332" s="39" t="n">
        <v>1.1</v>
      </c>
      <c r="D332" s="39" t="s">
        <v>1555</v>
      </c>
      <c r="E332" s="39" t="s">
        <v>434</v>
      </c>
      <c r="F332" s="39" t="s">
        <v>1336</v>
      </c>
      <c r="G332" s="52" t="s">
        <v>436</v>
      </c>
      <c r="H332" s="39" t="s">
        <v>1556</v>
      </c>
    </row>
    <row r="333" customFormat="false" ht="12.8" hidden="false" customHeight="false" outlineLevel="0" collapsed="false">
      <c r="A333" s="39" t="s">
        <v>1557</v>
      </c>
      <c r="B333" s="39" t="s">
        <v>1558</v>
      </c>
      <c r="C333" s="39" t="n">
        <v>1.05</v>
      </c>
      <c r="D333" s="39" t="s">
        <v>1559</v>
      </c>
      <c r="E333" s="39" t="s">
        <v>434</v>
      </c>
      <c r="F333" s="39" t="s">
        <v>1336</v>
      </c>
      <c r="G333" s="52" t="s">
        <v>436</v>
      </c>
      <c r="H333" s="39"/>
    </row>
    <row r="334" customFormat="false" ht="12.8" hidden="false" customHeight="false" outlineLevel="0" collapsed="false">
      <c r="A334" s="39" t="s">
        <v>1560</v>
      </c>
      <c r="B334" s="39" t="s">
        <v>1561</v>
      </c>
      <c r="C334" s="39" t="n">
        <v>0.95</v>
      </c>
      <c r="D334" s="39" t="s">
        <v>1562</v>
      </c>
      <c r="E334" s="39" t="s">
        <v>440</v>
      </c>
      <c r="F334" s="39" t="s">
        <v>1336</v>
      </c>
      <c r="G334" s="52" t="s">
        <v>436</v>
      </c>
      <c r="H334" s="39"/>
    </row>
    <row r="335" customFormat="false" ht="12.8" hidden="false" customHeight="false" outlineLevel="0" collapsed="false">
      <c r="A335" s="39" t="s">
        <v>1563</v>
      </c>
      <c r="B335" s="39" t="s">
        <v>1564</v>
      </c>
      <c r="C335" s="39" t="n">
        <v>0.98</v>
      </c>
      <c r="D335" s="39" t="s">
        <v>1565</v>
      </c>
      <c r="E335" s="39" t="s">
        <v>434</v>
      </c>
      <c r="F335" s="39" t="s">
        <v>1336</v>
      </c>
      <c r="G335" s="52" t="s">
        <v>436</v>
      </c>
      <c r="H335" s="39"/>
    </row>
    <row r="336" customFormat="false" ht="12.8" hidden="false" customHeight="false" outlineLevel="0" collapsed="false">
      <c r="A336" s="39" t="s">
        <v>1566</v>
      </c>
      <c r="B336" s="39" t="s">
        <v>1567</v>
      </c>
      <c r="C336" s="39" t="n">
        <v>0.98</v>
      </c>
      <c r="D336" s="39" t="s">
        <v>1568</v>
      </c>
      <c r="E336" s="39" t="s">
        <v>434</v>
      </c>
      <c r="F336" s="39" t="s">
        <v>1336</v>
      </c>
      <c r="G336" s="52" t="s">
        <v>436</v>
      </c>
      <c r="H336" s="39"/>
    </row>
    <row r="337" customFormat="false" ht="12.8" hidden="false" customHeight="false" outlineLevel="0" collapsed="false">
      <c r="A337" s="39" t="s">
        <v>1569</v>
      </c>
      <c r="B337" s="39" t="s">
        <v>1570</v>
      </c>
      <c r="C337" s="39" t="n">
        <v>1.02</v>
      </c>
      <c r="D337" s="39" t="s">
        <v>1571</v>
      </c>
      <c r="E337" s="39" t="s">
        <v>434</v>
      </c>
      <c r="F337" s="39" t="s">
        <v>1336</v>
      </c>
      <c r="G337" s="52" t="s">
        <v>436</v>
      </c>
      <c r="H337" s="39"/>
    </row>
    <row r="338" customFormat="false" ht="12.8" hidden="false" customHeight="false" outlineLevel="0" collapsed="false">
      <c r="A338" s="39" t="s">
        <v>1572</v>
      </c>
      <c r="B338" s="39" t="s">
        <v>1573</v>
      </c>
      <c r="C338" s="39" t="n">
        <v>1</v>
      </c>
      <c r="D338" s="39" t="s">
        <v>1574</v>
      </c>
      <c r="E338" s="39" t="s">
        <v>434</v>
      </c>
      <c r="F338" s="39" t="s">
        <v>1336</v>
      </c>
      <c r="G338" s="52" t="s">
        <v>436</v>
      </c>
      <c r="H338" s="39"/>
    </row>
    <row r="339" customFormat="false" ht="12.8" hidden="false" customHeight="false" outlineLevel="0" collapsed="false">
      <c r="A339" s="39" t="s">
        <v>1575</v>
      </c>
      <c r="B339" s="39" t="s">
        <v>1576</v>
      </c>
      <c r="C339" s="39" t="n">
        <v>0.92</v>
      </c>
      <c r="D339" s="39" t="s">
        <v>1577</v>
      </c>
      <c r="E339" s="39" t="s">
        <v>440</v>
      </c>
      <c r="F339" s="39" t="s">
        <v>1336</v>
      </c>
      <c r="G339" s="52" t="s">
        <v>436</v>
      </c>
      <c r="H339" s="39"/>
    </row>
    <row r="340" customFormat="false" ht="12.8" hidden="false" customHeight="false" outlineLevel="0" collapsed="false">
      <c r="A340" s="39" t="s">
        <v>1578</v>
      </c>
      <c r="B340" s="39" t="s">
        <v>1579</v>
      </c>
      <c r="C340" s="39" t="n">
        <v>0.9</v>
      </c>
      <c r="D340" s="39" t="s">
        <v>1580</v>
      </c>
      <c r="E340" s="39" t="s">
        <v>440</v>
      </c>
      <c r="F340" s="39" t="s">
        <v>1336</v>
      </c>
      <c r="G340" s="52" t="s">
        <v>436</v>
      </c>
      <c r="H340" s="39"/>
    </row>
    <row r="341" customFormat="false" ht="12.8" hidden="false" customHeight="false" outlineLevel="0" collapsed="false">
      <c r="A341" s="39" t="s">
        <v>1581</v>
      </c>
      <c r="B341" s="39" t="s">
        <v>1582</v>
      </c>
      <c r="C341" s="39" t="n">
        <v>0.98</v>
      </c>
      <c r="D341" s="39" t="s">
        <v>1583</v>
      </c>
      <c r="E341" s="39" t="s">
        <v>434</v>
      </c>
      <c r="F341" s="39" t="s">
        <v>1336</v>
      </c>
      <c r="G341" s="52" t="s">
        <v>436</v>
      </c>
      <c r="H341" s="39"/>
    </row>
    <row r="342" customFormat="false" ht="12.8" hidden="false" customHeight="false" outlineLevel="0" collapsed="false">
      <c r="A342" s="39" t="s">
        <v>1584</v>
      </c>
      <c r="B342" s="39" t="s">
        <v>1585</v>
      </c>
      <c r="C342" s="39" t="n">
        <v>0.95</v>
      </c>
      <c r="D342" s="39" t="s">
        <v>1586</v>
      </c>
      <c r="E342" s="39" t="s">
        <v>440</v>
      </c>
      <c r="F342" s="39" t="s">
        <v>1336</v>
      </c>
      <c r="G342" s="52" t="s">
        <v>436</v>
      </c>
      <c r="H342" s="39"/>
    </row>
    <row r="343" customFormat="false" ht="12.8" hidden="false" customHeight="false" outlineLevel="0" collapsed="false">
      <c r="A343" s="39" t="s">
        <v>1587</v>
      </c>
      <c r="B343" s="39" t="s">
        <v>1588</v>
      </c>
      <c r="C343" s="39" t="n">
        <v>1.08</v>
      </c>
      <c r="D343" s="39" t="s">
        <v>1589</v>
      </c>
      <c r="E343" s="39" t="s">
        <v>434</v>
      </c>
      <c r="F343" s="39" t="s">
        <v>1336</v>
      </c>
      <c r="G343" s="52" t="s">
        <v>436</v>
      </c>
      <c r="H343" s="39"/>
    </row>
    <row r="344" customFormat="false" ht="12.8" hidden="false" customHeight="false" outlineLevel="0" collapsed="false">
      <c r="A344" s="39" t="s">
        <v>1590</v>
      </c>
      <c r="B344" s="39" t="s">
        <v>1591</v>
      </c>
      <c r="C344" s="39" t="n">
        <v>1.15</v>
      </c>
      <c r="D344" s="39" t="s">
        <v>1592</v>
      </c>
      <c r="E344" s="39" t="s">
        <v>434</v>
      </c>
      <c r="F344" s="39" t="s">
        <v>1336</v>
      </c>
      <c r="G344" s="52" t="s">
        <v>436</v>
      </c>
      <c r="H344" s="39"/>
    </row>
    <row r="345" customFormat="false" ht="12.8" hidden="false" customHeight="false" outlineLevel="0" collapsed="false">
      <c r="A345" s="39" t="s">
        <v>1593</v>
      </c>
      <c r="B345" s="39" t="s">
        <v>1594</v>
      </c>
      <c r="C345" s="39" t="n">
        <v>1.05</v>
      </c>
      <c r="D345" s="39" t="s">
        <v>1595</v>
      </c>
      <c r="E345" s="39" t="s">
        <v>434</v>
      </c>
      <c r="F345" s="39" t="s">
        <v>1336</v>
      </c>
      <c r="G345" s="52" t="s">
        <v>436</v>
      </c>
      <c r="H345" s="39"/>
    </row>
    <row r="346" customFormat="false" ht="12.8" hidden="false" customHeight="false" outlineLevel="0" collapsed="false">
      <c r="A346" s="39" t="s">
        <v>1596</v>
      </c>
      <c r="B346" s="39" t="s">
        <v>1597</v>
      </c>
      <c r="C346" s="39" t="n">
        <v>1.2</v>
      </c>
      <c r="D346" s="39" t="s">
        <v>1598</v>
      </c>
      <c r="E346" s="39" t="s">
        <v>434</v>
      </c>
      <c r="F346" s="39" t="s">
        <v>1336</v>
      </c>
      <c r="G346" s="52" t="s">
        <v>436</v>
      </c>
      <c r="H346" s="39"/>
    </row>
    <row r="347" customFormat="false" ht="12.8" hidden="false" customHeight="false" outlineLevel="0" collapsed="false">
      <c r="A347" s="39" t="s">
        <v>1599</v>
      </c>
      <c r="B347" s="39" t="s">
        <v>1600</v>
      </c>
      <c r="C347" s="39" t="n">
        <v>0.9</v>
      </c>
      <c r="D347" s="39" t="s">
        <v>1601</v>
      </c>
      <c r="E347" s="39" t="s">
        <v>440</v>
      </c>
      <c r="F347" s="39" t="s">
        <v>1336</v>
      </c>
      <c r="G347" s="52" t="s">
        <v>436</v>
      </c>
      <c r="H347" s="39"/>
    </row>
    <row r="348" customFormat="false" ht="12.8" hidden="false" customHeight="false" outlineLevel="0" collapsed="false">
      <c r="A348" s="39" t="s">
        <v>1602</v>
      </c>
      <c r="B348" s="39" t="s">
        <v>1603</v>
      </c>
      <c r="C348" s="39" t="n">
        <v>1</v>
      </c>
      <c r="D348" s="39" t="s">
        <v>1604</v>
      </c>
      <c r="E348" s="39" t="s">
        <v>434</v>
      </c>
      <c r="F348" s="39" t="s">
        <v>1336</v>
      </c>
      <c r="G348" s="52" t="s">
        <v>436</v>
      </c>
      <c r="H348" s="39"/>
    </row>
    <row r="349" customFormat="false" ht="12.8" hidden="false" customHeight="false" outlineLevel="0" collapsed="false">
      <c r="A349" s="39" t="s">
        <v>1605</v>
      </c>
      <c r="B349" s="39" t="s">
        <v>1606</v>
      </c>
      <c r="C349" s="39" t="n">
        <v>1.05</v>
      </c>
      <c r="D349" s="39" t="s">
        <v>1607</v>
      </c>
      <c r="E349" s="39" t="s">
        <v>434</v>
      </c>
      <c r="F349" s="39" t="s">
        <v>1336</v>
      </c>
      <c r="G349" s="52" t="s">
        <v>436</v>
      </c>
      <c r="H349" s="39"/>
    </row>
    <row r="350" customFormat="false" ht="12.8" hidden="false" customHeight="false" outlineLevel="0" collapsed="false">
      <c r="A350" s="39" t="s">
        <v>1608</v>
      </c>
      <c r="B350" s="39" t="s">
        <v>1609</v>
      </c>
      <c r="C350" s="39" t="n">
        <v>0.85</v>
      </c>
      <c r="D350" s="39" t="s">
        <v>1610</v>
      </c>
      <c r="E350" s="39" t="s">
        <v>502</v>
      </c>
      <c r="F350" s="39" t="s">
        <v>1336</v>
      </c>
      <c r="G350" s="52" t="s">
        <v>436</v>
      </c>
      <c r="H350" s="39"/>
    </row>
    <row r="351" customFormat="false" ht="12.8" hidden="false" customHeight="false" outlineLevel="0" collapsed="false">
      <c r="A351" s="39" t="s">
        <v>1611</v>
      </c>
      <c r="B351" s="39" t="s">
        <v>1612</v>
      </c>
      <c r="C351" s="39" t="n">
        <v>0.8</v>
      </c>
      <c r="D351" s="39" t="s">
        <v>1613</v>
      </c>
      <c r="E351" s="39" t="s">
        <v>502</v>
      </c>
      <c r="F351" s="39" t="s">
        <v>1336</v>
      </c>
      <c r="G351" s="52" t="s">
        <v>436</v>
      </c>
      <c r="H351" s="39"/>
    </row>
    <row r="352" customFormat="false" ht="12.8" hidden="false" customHeight="false" outlineLevel="0" collapsed="false">
      <c r="A352" s="39" t="s">
        <v>1614</v>
      </c>
      <c r="B352" s="39" t="s">
        <v>1615</v>
      </c>
      <c r="C352" s="39" t="n">
        <v>0.92</v>
      </c>
      <c r="D352" s="39" t="s">
        <v>1616</v>
      </c>
      <c r="E352" s="39" t="s">
        <v>440</v>
      </c>
      <c r="F352" s="39" t="s">
        <v>1336</v>
      </c>
      <c r="G352" s="52" t="s">
        <v>436</v>
      </c>
      <c r="H352" s="39"/>
    </row>
    <row r="353" customFormat="false" ht="12.8" hidden="false" customHeight="false" outlineLevel="0" collapsed="false">
      <c r="A353" s="39" t="s">
        <v>1617</v>
      </c>
      <c r="B353" s="39" t="s">
        <v>1618</v>
      </c>
      <c r="C353" s="39" t="n">
        <v>1.1</v>
      </c>
      <c r="D353" s="39" t="s">
        <v>1619</v>
      </c>
      <c r="E353" s="39" t="s">
        <v>434</v>
      </c>
      <c r="F353" s="39" t="s">
        <v>1336</v>
      </c>
      <c r="G353" s="52" t="s">
        <v>436</v>
      </c>
      <c r="H353" s="39"/>
    </row>
    <row r="354" customFormat="false" ht="12.8" hidden="false" customHeight="false" outlineLevel="0" collapsed="false">
      <c r="A354" s="39" t="s">
        <v>1620</v>
      </c>
      <c r="B354" s="39" t="s">
        <v>1621</v>
      </c>
      <c r="C354" s="39" t="n">
        <v>0.95</v>
      </c>
      <c r="D354" s="39" t="s">
        <v>1622</v>
      </c>
      <c r="E354" s="39" t="s">
        <v>440</v>
      </c>
      <c r="F354" s="39" t="s">
        <v>926</v>
      </c>
      <c r="G354" s="52" t="s">
        <v>436</v>
      </c>
      <c r="H354" s="39" t="s">
        <v>1556</v>
      </c>
    </row>
    <row r="355" customFormat="false" ht="12.8" hidden="false" customHeight="false" outlineLevel="0" collapsed="false">
      <c r="A355" s="39" t="s">
        <v>1623</v>
      </c>
      <c r="B355" s="39" t="s">
        <v>1624</v>
      </c>
      <c r="C355" s="39" t="n">
        <v>0.98</v>
      </c>
      <c r="D355" s="39" t="s">
        <v>1625</v>
      </c>
      <c r="E355" s="39" t="s">
        <v>434</v>
      </c>
      <c r="F355" s="39" t="s">
        <v>926</v>
      </c>
      <c r="G355" s="52" t="s">
        <v>436</v>
      </c>
      <c r="H355" s="39"/>
    </row>
    <row r="356" customFormat="false" ht="12.8" hidden="false" customHeight="false" outlineLevel="0" collapsed="false">
      <c r="A356" s="39" t="s">
        <v>1626</v>
      </c>
      <c r="B356" s="39" t="s">
        <v>1627</v>
      </c>
      <c r="C356" s="39" t="n">
        <v>0.8</v>
      </c>
      <c r="D356" s="39" t="s">
        <v>1628</v>
      </c>
      <c r="E356" s="39" t="s">
        <v>502</v>
      </c>
      <c r="F356" s="39" t="s">
        <v>926</v>
      </c>
      <c r="G356" s="52" t="s">
        <v>436</v>
      </c>
      <c r="H356" s="39"/>
    </row>
    <row r="357" customFormat="false" ht="12.8" hidden="false" customHeight="false" outlineLevel="0" collapsed="false">
      <c r="A357" s="39" t="s">
        <v>1629</v>
      </c>
      <c r="B357" s="39" t="s">
        <v>1630</v>
      </c>
      <c r="C357" s="39" t="n">
        <v>0.88</v>
      </c>
      <c r="D357" s="39" t="s">
        <v>1631</v>
      </c>
      <c r="E357" s="39" t="s">
        <v>502</v>
      </c>
      <c r="F357" s="39" t="s">
        <v>926</v>
      </c>
      <c r="G357" s="52" t="s">
        <v>436</v>
      </c>
      <c r="H357" s="39"/>
    </row>
    <row r="358" customFormat="false" ht="12.8" hidden="false" customHeight="false" outlineLevel="0" collapsed="false">
      <c r="A358" s="39" t="s">
        <v>1632</v>
      </c>
      <c r="B358" s="39" t="s">
        <v>1633</v>
      </c>
      <c r="C358" s="39" t="n">
        <v>0.88</v>
      </c>
      <c r="D358" s="39" t="s">
        <v>1634</v>
      </c>
      <c r="E358" s="39" t="s">
        <v>502</v>
      </c>
      <c r="F358" s="39" t="s">
        <v>926</v>
      </c>
      <c r="G358" s="52" t="s">
        <v>436</v>
      </c>
      <c r="H358" s="39"/>
    </row>
    <row r="359" customFormat="false" ht="12.8" hidden="false" customHeight="false" outlineLevel="0" collapsed="false">
      <c r="A359" s="39" t="s">
        <v>1635</v>
      </c>
      <c r="B359" s="39" t="s">
        <v>1636</v>
      </c>
      <c r="C359" s="39" t="n">
        <v>0.9</v>
      </c>
      <c r="D359" s="39" t="s">
        <v>1637</v>
      </c>
      <c r="E359" s="39" t="s">
        <v>440</v>
      </c>
      <c r="F359" s="39" t="s">
        <v>926</v>
      </c>
      <c r="G359" s="52" t="s">
        <v>436</v>
      </c>
      <c r="H359" s="39"/>
    </row>
    <row r="360" customFormat="false" ht="12.8" hidden="false" customHeight="false" outlineLevel="0" collapsed="false">
      <c r="A360" s="39" t="s">
        <v>1638</v>
      </c>
      <c r="B360" s="39" t="s">
        <v>1639</v>
      </c>
      <c r="C360" s="39" t="n">
        <v>0.95</v>
      </c>
      <c r="D360" s="39" t="s">
        <v>1640</v>
      </c>
      <c r="E360" s="39" t="s">
        <v>434</v>
      </c>
      <c r="F360" s="39" t="s">
        <v>926</v>
      </c>
      <c r="G360" s="52" t="s">
        <v>436</v>
      </c>
      <c r="H360" s="39"/>
    </row>
    <row r="361" customFormat="false" ht="12.8" hidden="false" customHeight="false" outlineLevel="0" collapsed="false">
      <c r="A361" s="39" t="s">
        <v>1641</v>
      </c>
      <c r="B361" s="39" t="s">
        <v>1642</v>
      </c>
      <c r="C361" s="39" t="n">
        <v>0.85</v>
      </c>
      <c r="D361" s="39" t="s">
        <v>1643</v>
      </c>
      <c r="E361" s="39" t="s">
        <v>502</v>
      </c>
      <c r="F361" s="39" t="s">
        <v>926</v>
      </c>
      <c r="G361" s="52" t="s">
        <v>436</v>
      </c>
      <c r="H361" s="39"/>
    </row>
    <row r="362" customFormat="false" ht="12.8" hidden="false" customHeight="false" outlineLevel="0" collapsed="false">
      <c r="A362" s="39" t="s">
        <v>1644</v>
      </c>
      <c r="B362" s="39" t="s">
        <v>1645</v>
      </c>
      <c r="C362" s="39" t="n">
        <v>0.82</v>
      </c>
      <c r="D362" s="39" t="s">
        <v>1646</v>
      </c>
      <c r="E362" s="39" t="s">
        <v>502</v>
      </c>
      <c r="F362" s="39" t="s">
        <v>926</v>
      </c>
      <c r="G362" s="52" t="s">
        <v>436</v>
      </c>
      <c r="H362" s="39"/>
    </row>
    <row r="363" customFormat="false" ht="12.8" hidden="false" customHeight="false" outlineLevel="0" collapsed="false">
      <c r="A363" s="39" t="s">
        <v>1647</v>
      </c>
      <c r="B363" s="39" t="s">
        <v>1648</v>
      </c>
      <c r="C363" s="39" t="n">
        <v>0.88</v>
      </c>
      <c r="D363" s="39" t="s">
        <v>1649</v>
      </c>
      <c r="E363" s="39" t="s">
        <v>440</v>
      </c>
      <c r="F363" s="39" t="s">
        <v>926</v>
      </c>
      <c r="G363" s="52" t="s">
        <v>436</v>
      </c>
      <c r="H363" s="39"/>
    </row>
    <row r="364" customFormat="false" ht="12.8" hidden="false" customHeight="false" outlineLevel="0" collapsed="false">
      <c r="A364" s="39" t="s">
        <v>1650</v>
      </c>
      <c r="B364" s="39" t="s">
        <v>1651</v>
      </c>
      <c r="C364" s="39" t="n">
        <v>0.85</v>
      </c>
      <c r="D364" s="39" t="s">
        <v>1652</v>
      </c>
      <c r="E364" s="39" t="s">
        <v>502</v>
      </c>
      <c r="F364" s="39" t="s">
        <v>926</v>
      </c>
      <c r="G364" s="52" t="s">
        <v>436</v>
      </c>
      <c r="H364" s="39"/>
    </row>
    <row r="365" customFormat="false" ht="12.8" hidden="false" customHeight="false" outlineLevel="0" collapsed="false">
      <c r="A365" s="39" t="s">
        <v>1653</v>
      </c>
      <c r="B365" s="39" t="s">
        <v>1654</v>
      </c>
      <c r="C365" s="39" t="n">
        <v>0.92</v>
      </c>
      <c r="D365" s="39" t="s">
        <v>1655</v>
      </c>
      <c r="E365" s="39" t="s">
        <v>502</v>
      </c>
      <c r="F365" s="39" t="s">
        <v>926</v>
      </c>
      <c r="G365" s="52" t="s">
        <v>436</v>
      </c>
      <c r="H365" s="39"/>
    </row>
    <row r="366" customFormat="false" ht="12.8" hidden="false" customHeight="false" outlineLevel="0" collapsed="false">
      <c r="A366" s="39" t="s">
        <v>1656</v>
      </c>
      <c r="B366" s="39" t="s">
        <v>1657</v>
      </c>
      <c r="C366" s="39" t="n">
        <v>0.95</v>
      </c>
      <c r="D366" s="39" t="s">
        <v>1658</v>
      </c>
      <c r="E366" s="39" t="s">
        <v>434</v>
      </c>
      <c r="F366" s="39" t="s">
        <v>926</v>
      </c>
      <c r="G366" s="52" t="s">
        <v>436</v>
      </c>
      <c r="H366" s="39"/>
    </row>
    <row r="367" customFormat="false" ht="12.8" hidden="false" customHeight="false" outlineLevel="0" collapsed="false">
      <c r="A367" s="39" t="s">
        <v>1659</v>
      </c>
      <c r="B367" s="39" t="s">
        <v>1660</v>
      </c>
      <c r="C367" s="39" t="n">
        <v>0.9</v>
      </c>
      <c r="D367" s="39" t="s">
        <v>1661</v>
      </c>
      <c r="E367" s="39" t="s">
        <v>440</v>
      </c>
      <c r="F367" s="39" t="s">
        <v>926</v>
      </c>
      <c r="G367" s="52" t="s">
        <v>436</v>
      </c>
      <c r="H367" s="39"/>
    </row>
    <row r="368" customFormat="false" ht="12.8" hidden="false" customHeight="false" outlineLevel="0" collapsed="false">
      <c r="A368" s="39" t="s">
        <v>1662</v>
      </c>
      <c r="B368" s="39" t="s">
        <v>1663</v>
      </c>
      <c r="C368" s="39" t="n">
        <v>0.96</v>
      </c>
      <c r="D368" s="39" t="s">
        <v>1664</v>
      </c>
      <c r="E368" s="39" t="s">
        <v>434</v>
      </c>
      <c r="F368" s="39" t="s">
        <v>926</v>
      </c>
      <c r="G368" s="52" t="s">
        <v>436</v>
      </c>
      <c r="H368" s="39"/>
    </row>
    <row r="369" customFormat="false" ht="12.8" hidden="false" customHeight="false" outlineLevel="0" collapsed="false">
      <c r="A369" s="39" t="s">
        <v>1665</v>
      </c>
      <c r="B369" s="39" t="s">
        <v>1666</v>
      </c>
      <c r="C369" s="39" t="n">
        <v>0.78</v>
      </c>
      <c r="D369" s="39" t="s">
        <v>1667</v>
      </c>
      <c r="E369" s="39" t="s">
        <v>502</v>
      </c>
      <c r="F369" s="39" t="s">
        <v>926</v>
      </c>
      <c r="G369" s="52" t="s">
        <v>436</v>
      </c>
      <c r="H369" s="39"/>
    </row>
    <row r="370" customFormat="false" ht="12.8" hidden="false" customHeight="false" outlineLevel="0" collapsed="false">
      <c r="A370" s="39" t="s">
        <v>1668</v>
      </c>
      <c r="B370" s="39" t="s">
        <v>1669</v>
      </c>
      <c r="C370" s="39" t="n">
        <v>0.95</v>
      </c>
      <c r="D370" s="39" t="s">
        <v>1670</v>
      </c>
      <c r="E370" s="39" t="s">
        <v>434</v>
      </c>
      <c r="F370" s="39" t="s">
        <v>926</v>
      </c>
      <c r="G370" s="52" t="s">
        <v>436</v>
      </c>
      <c r="H370" s="39"/>
    </row>
    <row r="371" customFormat="false" ht="12.8" hidden="false" customHeight="false" outlineLevel="0" collapsed="false">
      <c r="A371" s="39" t="s">
        <v>1671</v>
      </c>
      <c r="B371" s="39" t="s">
        <v>1672</v>
      </c>
      <c r="C371" s="39" t="n">
        <v>0.92</v>
      </c>
      <c r="D371" s="39" t="s">
        <v>1673</v>
      </c>
      <c r="E371" s="39" t="s">
        <v>434</v>
      </c>
      <c r="F371" s="39" t="s">
        <v>926</v>
      </c>
      <c r="G371" s="52" t="s">
        <v>436</v>
      </c>
      <c r="H371" s="39"/>
    </row>
    <row r="372" customFormat="false" ht="12.8" hidden="false" customHeight="false" outlineLevel="0" collapsed="false">
      <c r="A372" s="39" t="s">
        <v>1674</v>
      </c>
      <c r="B372" s="39" t="s">
        <v>1675</v>
      </c>
      <c r="C372" s="39" t="n">
        <v>0.8</v>
      </c>
      <c r="D372" s="39" t="s">
        <v>1676</v>
      </c>
      <c r="E372" s="39" t="s">
        <v>502</v>
      </c>
      <c r="F372" s="39" t="s">
        <v>926</v>
      </c>
      <c r="G372" s="52" t="s">
        <v>436</v>
      </c>
      <c r="H372" s="39"/>
    </row>
    <row r="373" customFormat="false" ht="12.8" hidden="false" customHeight="false" outlineLevel="0" collapsed="false">
      <c r="A373" s="39" t="s">
        <v>1677</v>
      </c>
      <c r="B373" s="39" t="s">
        <v>1678</v>
      </c>
      <c r="C373" s="39" t="n">
        <v>0.75</v>
      </c>
      <c r="D373" s="39" t="s">
        <v>1679</v>
      </c>
      <c r="E373" s="39" t="s">
        <v>502</v>
      </c>
      <c r="F373" s="39" t="s">
        <v>926</v>
      </c>
      <c r="G373" s="52" t="s">
        <v>436</v>
      </c>
      <c r="H373" s="39"/>
    </row>
    <row r="374" customFormat="false" ht="12.8" hidden="false" customHeight="false" outlineLevel="0" collapsed="false">
      <c r="A374" s="39" t="s">
        <v>1680</v>
      </c>
      <c r="B374" s="39" t="s">
        <v>1681</v>
      </c>
      <c r="C374" s="39" t="n">
        <v>0.85</v>
      </c>
      <c r="D374" s="39" t="s">
        <v>1682</v>
      </c>
      <c r="E374" s="39" t="s">
        <v>502</v>
      </c>
      <c r="F374" s="39" t="s">
        <v>926</v>
      </c>
      <c r="G374" s="52" t="s">
        <v>436</v>
      </c>
      <c r="H374" s="39"/>
    </row>
    <row r="375" customFormat="false" ht="12.8" hidden="false" customHeight="false" outlineLevel="0" collapsed="false">
      <c r="A375" s="39" t="s">
        <v>1683</v>
      </c>
      <c r="B375" s="39" t="s">
        <v>1684</v>
      </c>
      <c r="C375" s="39" t="n">
        <v>0.98</v>
      </c>
      <c r="D375" s="39" t="s">
        <v>1685</v>
      </c>
      <c r="E375" s="39" t="s">
        <v>434</v>
      </c>
      <c r="F375" s="39" t="s">
        <v>926</v>
      </c>
      <c r="G375" s="52" t="s">
        <v>436</v>
      </c>
      <c r="H375" s="39"/>
    </row>
    <row r="376" customFormat="false" ht="12.8" hidden="false" customHeight="false" outlineLevel="0" collapsed="false">
      <c r="A376" s="39" t="s">
        <v>1686</v>
      </c>
      <c r="B376" s="39" t="s">
        <v>1687</v>
      </c>
      <c r="C376" s="39" t="n">
        <v>0.562</v>
      </c>
      <c r="D376" s="39" t="s">
        <v>1688</v>
      </c>
      <c r="E376" s="39" t="s">
        <v>434</v>
      </c>
      <c r="F376" s="39" t="s">
        <v>1689</v>
      </c>
      <c r="G376" s="52" t="s">
        <v>436</v>
      </c>
      <c r="H376" s="39" t="s">
        <v>1690</v>
      </c>
    </row>
    <row r="377" customFormat="false" ht="12.8" hidden="false" customHeight="false" outlineLevel="0" collapsed="false">
      <c r="A377" s="39" t="s">
        <v>1691</v>
      </c>
      <c r="B377" s="39" t="s">
        <v>1260</v>
      </c>
      <c r="C377" s="39" t="n">
        <v>0.98</v>
      </c>
      <c r="D377" s="39" t="s">
        <v>1692</v>
      </c>
      <c r="E377" s="39" t="s">
        <v>434</v>
      </c>
      <c r="F377" s="39" t="s">
        <v>1262</v>
      </c>
      <c r="G377" s="52" t="s">
        <v>436</v>
      </c>
      <c r="H377" s="39" t="s">
        <v>1693</v>
      </c>
    </row>
    <row r="378" customFormat="false" ht="12.8" hidden="false" customHeight="false" outlineLevel="0" collapsed="false">
      <c r="A378" s="39" t="s">
        <v>1694</v>
      </c>
      <c r="B378" s="39" t="s">
        <v>1695</v>
      </c>
      <c r="C378" s="39" t="n">
        <v>0.96</v>
      </c>
      <c r="D378" s="39" t="s">
        <v>1696</v>
      </c>
      <c r="E378" s="39" t="s">
        <v>434</v>
      </c>
      <c r="F378" s="39" t="s">
        <v>1697</v>
      </c>
      <c r="G378" s="52" t="s">
        <v>436</v>
      </c>
      <c r="H378" s="39" t="s">
        <v>1698</v>
      </c>
    </row>
    <row r="379" customFormat="false" ht="12.8" hidden="false" customHeight="false" outlineLevel="0" collapsed="false">
      <c r="A379" s="39" t="s">
        <v>1699</v>
      </c>
      <c r="B379" s="39" t="s">
        <v>1700</v>
      </c>
      <c r="C379" s="39" t="n">
        <v>0.037</v>
      </c>
      <c r="D379" s="39" t="s">
        <v>1701</v>
      </c>
      <c r="E379" s="39" t="s">
        <v>434</v>
      </c>
      <c r="F379" s="39" t="s">
        <v>1702</v>
      </c>
      <c r="G379" s="52" t="s">
        <v>436</v>
      </c>
      <c r="H379" s="39" t="s">
        <v>1703</v>
      </c>
    </row>
    <row r="380" customFormat="false" ht="12.8" hidden="false" customHeight="false" outlineLevel="0" collapsed="false">
      <c r="A380" s="39" t="s">
        <v>1704</v>
      </c>
      <c r="B380" s="39" t="s">
        <v>1705</v>
      </c>
      <c r="C380" s="39" t="n">
        <v>0.022</v>
      </c>
      <c r="D380" s="39" t="s">
        <v>1706</v>
      </c>
      <c r="E380" s="39" t="s">
        <v>440</v>
      </c>
      <c r="F380" s="39" t="s">
        <v>1702</v>
      </c>
      <c r="G380" s="52" t="s">
        <v>436</v>
      </c>
      <c r="H380" s="39" t="s">
        <v>1703</v>
      </c>
    </row>
    <row r="381" customFormat="false" ht="12.8" hidden="false" customHeight="false" outlineLevel="0" collapsed="false">
      <c r="A381" s="39" t="s">
        <v>1707</v>
      </c>
      <c r="B381" s="39" t="s">
        <v>1708</v>
      </c>
      <c r="C381" s="39" t="n">
        <v>0.008</v>
      </c>
      <c r="D381" s="39" t="s">
        <v>1709</v>
      </c>
      <c r="E381" s="39" t="s">
        <v>434</v>
      </c>
      <c r="F381" s="39" t="s">
        <v>1710</v>
      </c>
      <c r="G381" s="52" t="s">
        <v>436</v>
      </c>
      <c r="H381" s="39" t="s">
        <v>1711</v>
      </c>
    </row>
    <row r="382" customFormat="false" ht="12.8" hidden="false" customHeight="false" outlineLevel="0" collapsed="false">
      <c r="A382" s="39" t="s">
        <v>1712</v>
      </c>
      <c r="B382" s="39" t="s">
        <v>1713</v>
      </c>
      <c r="C382" s="39" t="n">
        <v>0.005</v>
      </c>
      <c r="D382" s="39" t="s">
        <v>1714</v>
      </c>
      <c r="E382" s="39" t="s">
        <v>434</v>
      </c>
      <c r="F382" s="39" t="s">
        <v>1710</v>
      </c>
      <c r="G382" s="52" t="s">
        <v>436</v>
      </c>
      <c r="H382" s="39" t="s">
        <v>1715</v>
      </c>
    </row>
    <row r="383" customFormat="false" ht="12.8" hidden="false" customHeight="false" outlineLevel="0" collapsed="false">
      <c r="A383" s="39" t="s">
        <v>1716</v>
      </c>
      <c r="B383" s="39" t="s">
        <v>1717</v>
      </c>
      <c r="C383" s="39" t="n">
        <v>0.012</v>
      </c>
      <c r="D383" s="39" t="s">
        <v>1718</v>
      </c>
      <c r="E383" s="39" t="s">
        <v>502</v>
      </c>
      <c r="F383" s="39" t="s">
        <v>1710</v>
      </c>
      <c r="G383" s="52" t="s">
        <v>436</v>
      </c>
      <c r="H383" s="39" t="s">
        <v>1715</v>
      </c>
    </row>
    <row r="384" customFormat="false" ht="12.8" hidden="false" customHeight="false" outlineLevel="0" collapsed="false">
      <c r="A384" s="39" t="s">
        <v>1719</v>
      </c>
      <c r="B384" s="39" t="s">
        <v>1720</v>
      </c>
      <c r="C384" s="39" t="n">
        <v>0.007</v>
      </c>
      <c r="D384" s="39" t="s">
        <v>1721</v>
      </c>
      <c r="E384" s="39" t="s">
        <v>434</v>
      </c>
      <c r="F384" s="39" t="s">
        <v>1710</v>
      </c>
      <c r="G384" s="52" t="s">
        <v>436</v>
      </c>
      <c r="H384" s="39" t="s">
        <v>1715</v>
      </c>
    </row>
    <row r="385" customFormat="false" ht="12.8" hidden="false" customHeight="false" outlineLevel="0" collapsed="false">
      <c r="A385" s="39" t="s">
        <v>1722</v>
      </c>
      <c r="B385" s="39" t="s">
        <v>1723</v>
      </c>
      <c r="C385" s="39" t="n">
        <v>0.007</v>
      </c>
      <c r="D385" s="39" t="s">
        <v>1724</v>
      </c>
      <c r="E385" s="39" t="s">
        <v>434</v>
      </c>
      <c r="F385" s="39" t="s">
        <v>1710</v>
      </c>
      <c r="G385" s="52" t="s">
        <v>436</v>
      </c>
      <c r="H385" s="39" t="s">
        <v>1715</v>
      </c>
    </row>
    <row r="386" customFormat="false" ht="12.8" hidden="false" customHeight="false" outlineLevel="0" collapsed="false">
      <c r="A386" s="39" t="s">
        <v>1725</v>
      </c>
      <c r="B386" s="39" t="s">
        <v>1726</v>
      </c>
      <c r="C386" s="39" t="n">
        <v>0.006</v>
      </c>
      <c r="D386" s="39" t="s">
        <v>1727</v>
      </c>
      <c r="E386" s="39" t="s">
        <v>434</v>
      </c>
      <c r="F386" s="39" t="s">
        <v>1710</v>
      </c>
      <c r="G386" s="52" t="s">
        <v>436</v>
      </c>
      <c r="H386" s="39" t="s">
        <v>1715</v>
      </c>
    </row>
    <row r="387" customFormat="false" ht="12.8" hidden="false" customHeight="false" outlineLevel="0" collapsed="false">
      <c r="A387" s="39" t="s">
        <v>1728</v>
      </c>
      <c r="B387" s="39" t="s">
        <v>1729</v>
      </c>
      <c r="C387" s="39" t="n">
        <v>0.006</v>
      </c>
      <c r="D387" s="39" t="s">
        <v>1730</v>
      </c>
      <c r="E387" s="39" t="s">
        <v>434</v>
      </c>
      <c r="F387" s="39" t="s">
        <v>1710</v>
      </c>
      <c r="G387" s="52" t="s">
        <v>436</v>
      </c>
      <c r="H387" s="39" t="s">
        <v>1715</v>
      </c>
    </row>
    <row r="388" customFormat="false" ht="12.8" hidden="false" customHeight="false" outlineLevel="0" collapsed="false">
      <c r="A388" s="39" t="s">
        <v>1731</v>
      </c>
      <c r="B388" s="39" t="s">
        <v>1732</v>
      </c>
      <c r="C388" s="39" t="n">
        <v>0.009</v>
      </c>
      <c r="D388" s="39" t="s">
        <v>1733</v>
      </c>
      <c r="E388" s="39" t="s">
        <v>440</v>
      </c>
      <c r="F388" s="39" t="s">
        <v>1710</v>
      </c>
      <c r="G388" s="52" t="s">
        <v>436</v>
      </c>
      <c r="H388" s="39" t="s">
        <v>1715</v>
      </c>
    </row>
    <row r="389" customFormat="false" ht="12.8" hidden="false" customHeight="false" outlineLevel="0" collapsed="false">
      <c r="A389" s="39" t="s">
        <v>1734</v>
      </c>
      <c r="B389" s="39" t="s">
        <v>1735</v>
      </c>
      <c r="C389" s="39" t="n">
        <v>0.01</v>
      </c>
      <c r="D389" s="39" t="s">
        <v>1736</v>
      </c>
      <c r="E389" s="39" t="s">
        <v>440</v>
      </c>
      <c r="F389" s="39" t="s">
        <v>1710</v>
      </c>
      <c r="G389" s="52" t="s">
        <v>436</v>
      </c>
      <c r="H389" s="39" t="s">
        <v>1715</v>
      </c>
    </row>
    <row r="390" customFormat="false" ht="12.8" hidden="false" customHeight="false" outlineLevel="0" collapsed="false">
      <c r="A390" s="39" t="s">
        <v>1737</v>
      </c>
      <c r="B390" s="39" t="s">
        <v>1738</v>
      </c>
      <c r="C390" s="39" t="n">
        <v>0.008</v>
      </c>
      <c r="D390" s="39" t="s">
        <v>1739</v>
      </c>
      <c r="E390" s="39" t="s">
        <v>434</v>
      </c>
      <c r="F390" s="39" t="s">
        <v>1710</v>
      </c>
      <c r="G390" s="52" t="s">
        <v>436</v>
      </c>
      <c r="H390" s="39" t="s">
        <v>1715</v>
      </c>
    </row>
    <row r="391" customFormat="false" ht="12.8" hidden="false" customHeight="false" outlineLevel="0" collapsed="false">
      <c r="A391" s="39" t="s">
        <v>1740</v>
      </c>
      <c r="B391" s="39" t="s">
        <v>1741</v>
      </c>
      <c r="C391" s="39" t="n">
        <v>0.009</v>
      </c>
      <c r="D391" s="39" t="s">
        <v>1742</v>
      </c>
      <c r="E391" s="39" t="s">
        <v>440</v>
      </c>
      <c r="F391" s="39" t="s">
        <v>1710</v>
      </c>
      <c r="G391" s="52" t="s">
        <v>436</v>
      </c>
      <c r="H391" s="39" t="s">
        <v>1715</v>
      </c>
    </row>
    <row r="392" customFormat="false" ht="12.8" hidden="false" customHeight="false" outlineLevel="0" collapsed="false">
      <c r="A392" s="39" t="s">
        <v>1743</v>
      </c>
      <c r="B392" s="39" t="s">
        <v>1744</v>
      </c>
      <c r="C392" s="39" t="n">
        <v>0.005</v>
      </c>
      <c r="D392" s="39" t="s">
        <v>1745</v>
      </c>
      <c r="E392" s="39" t="s">
        <v>434</v>
      </c>
      <c r="F392" s="39" t="s">
        <v>1710</v>
      </c>
      <c r="G392" s="52" t="s">
        <v>436</v>
      </c>
      <c r="H392" s="39" t="s">
        <v>1715</v>
      </c>
    </row>
    <row r="393" customFormat="false" ht="12.8" hidden="false" customHeight="false" outlineLevel="0" collapsed="false">
      <c r="A393" s="39" t="s">
        <v>1746</v>
      </c>
      <c r="B393" s="39" t="s">
        <v>1747</v>
      </c>
      <c r="C393" s="39" t="n">
        <v>0.004</v>
      </c>
      <c r="D393" s="39" t="s">
        <v>1748</v>
      </c>
      <c r="E393" s="39" t="s">
        <v>434</v>
      </c>
      <c r="F393" s="39" t="s">
        <v>1710</v>
      </c>
      <c r="G393" s="52" t="s">
        <v>436</v>
      </c>
      <c r="H393" s="39" t="s">
        <v>1715</v>
      </c>
    </row>
    <row r="394" customFormat="false" ht="12.8" hidden="false" customHeight="false" outlineLevel="0" collapsed="false">
      <c r="A394" s="39" t="s">
        <v>1749</v>
      </c>
      <c r="B394" s="39" t="s">
        <v>1750</v>
      </c>
      <c r="C394" s="39" t="n">
        <v>0.006</v>
      </c>
      <c r="D394" s="39" t="s">
        <v>1751</v>
      </c>
      <c r="E394" s="39" t="s">
        <v>434</v>
      </c>
      <c r="F394" s="39" t="s">
        <v>1710</v>
      </c>
      <c r="G394" s="52" t="s">
        <v>436</v>
      </c>
      <c r="H394" s="39" t="s">
        <v>1715</v>
      </c>
    </row>
    <row r="395" customFormat="false" ht="12.8" hidden="false" customHeight="false" outlineLevel="0" collapsed="false">
      <c r="A395" s="39" t="s">
        <v>1752</v>
      </c>
      <c r="B395" s="39" t="s">
        <v>1753</v>
      </c>
      <c r="C395" s="39" t="n">
        <v>0.004</v>
      </c>
      <c r="D395" s="39" t="s">
        <v>1754</v>
      </c>
      <c r="E395" s="39" t="s">
        <v>434</v>
      </c>
      <c r="F395" s="39" t="s">
        <v>1710</v>
      </c>
      <c r="G395" s="52" t="s">
        <v>436</v>
      </c>
      <c r="H395" s="39" t="s">
        <v>1715</v>
      </c>
    </row>
    <row r="396" customFormat="false" ht="12.8" hidden="false" customHeight="false" outlineLevel="0" collapsed="false">
      <c r="A396" s="39" t="s">
        <v>1755</v>
      </c>
      <c r="B396" s="39" t="s">
        <v>1756</v>
      </c>
      <c r="C396" s="39" t="n">
        <v>0.009</v>
      </c>
      <c r="D396" s="39" t="s">
        <v>1757</v>
      </c>
      <c r="E396" s="39" t="s">
        <v>440</v>
      </c>
      <c r="F396" s="39" t="s">
        <v>1710</v>
      </c>
      <c r="G396" s="52" t="s">
        <v>436</v>
      </c>
      <c r="H396" s="39" t="s">
        <v>1715</v>
      </c>
    </row>
    <row r="397" customFormat="false" ht="12.8" hidden="false" customHeight="false" outlineLevel="0" collapsed="false">
      <c r="A397" s="39" t="s">
        <v>1758</v>
      </c>
      <c r="B397" s="39" t="s">
        <v>1759</v>
      </c>
      <c r="C397" s="39" t="n">
        <v>0.003</v>
      </c>
      <c r="D397" s="39" t="s">
        <v>1760</v>
      </c>
      <c r="E397" s="39" t="s">
        <v>434</v>
      </c>
      <c r="F397" s="39" t="s">
        <v>1710</v>
      </c>
      <c r="G397" s="52" t="s">
        <v>436</v>
      </c>
      <c r="H397" s="39" t="s">
        <v>1715</v>
      </c>
    </row>
    <row r="398" customFormat="false" ht="12.8" hidden="false" customHeight="false" outlineLevel="0" collapsed="false">
      <c r="A398" s="39" t="s">
        <v>1761</v>
      </c>
      <c r="B398" s="39" t="s">
        <v>1762</v>
      </c>
      <c r="C398" s="39" t="n">
        <v>0.004</v>
      </c>
      <c r="D398" s="39" t="s">
        <v>1763</v>
      </c>
      <c r="E398" s="39" t="s">
        <v>434</v>
      </c>
      <c r="F398" s="39" t="s">
        <v>1710</v>
      </c>
      <c r="G398" s="52" t="s">
        <v>436</v>
      </c>
      <c r="H398" s="39" t="s">
        <v>1715</v>
      </c>
    </row>
    <row r="399" customFormat="false" ht="12.8" hidden="false" customHeight="false" outlineLevel="0" collapsed="false">
      <c r="A399" s="39" t="s">
        <v>1764</v>
      </c>
      <c r="B399" s="39" t="s">
        <v>1765</v>
      </c>
      <c r="C399" s="39" t="n">
        <v>0.011</v>
      </c>
      <c r="D399" s="39" t="s">
        <v>1766</v>
      </c>
      <c r="E399" s="39" t="s">
        <v>502</v>
      </c>
      <c r="F399" s="39" t="s">
        <v>1710</v>
      </c>
      <c r="G399" s="52" t="s">
        <v>436</v>
      </c>
      <c r="H399" s="39" t="s">
        <v>1715</v>
      </c>
    </row>
    <row r="400" customFormat="false" ht="12.8" hidden="false" customHeight="false" outlineLevel="0" collapsed="false">
      <c r="A400" s="39" t="s">
        <v>1767</v>
      </c>
      <c r="B400" s="39" t="s">
        <v>1768</v>
      </c>
      <c r="C400" s="39" t="n">
        <v>0.012</v>
      </c>
      <c r="D400" s="39" t="s">
        <v>1769</v>
      </c>
      <c r="E400" s="39" t="s">
        <v>502</v>
      </c>
      <c r="F400" s="39" t="s">
        <v>1710</v>
      </c>
      <c r="G400" s="52" t="s">
        <v>436</v>
      </c>
      <c r="H400" s="39" t="s">
        <v>1715</v>
      </c>
    </row>
    <row r="401" customFormat="false" ht="12.8" hidden="false" customHeight="false" outlineLevel="0" collapsed="false">
      <c r="A401" s="39" t="s">
        <v>1770</v>
      </c>
      <c r="B401" s="39" t="s">
        <v>1771</v>
      </c>
      <c r="C401" s="39" t="n">
        <v>0.008</v>
      </c>
      <c r="D401" s="39" t="s">
        <v>1772</v>
      </c>
      <c r="E401" s="39" t="s">
        <v>440</v>
      </c>
      <c r="F401" s="39" t="s">
        <v>1710</v>
      </c>
      <c r="G401" s="52" t="s">
        <v>436</v>
      </c>
      <c r="H401" s="39" t="s">
        <v>1715</v>
      </c>
    </row>
    <row r="402" customFormat="false" ht="12.8" hidden="false" customHeight="false" outlineLevel="0" collapsed="false">
      <c r="A402" s="39" t="s">
        <v>1773</v>
      </c>
      <c r="B402" s="39" t="s">
        <v>1774</v>
      </c>
      <c r="C402" s="39" t="n">
        <v>0.003</v>
      </c>
      <c r="D402" s="39" t="s">
        <v>1775</v>
      </c>
      <c r="E402" s="39" t="s">
        <v>434</v>
      </c>
      <c r="F402" s="39" t="s">
        <v>1710</v>
      </c>
      <c r="G402" s="52" t="s">
        <v>436</v>
      </c>
      <c r="H402" s="39" t="s">
        <v>1715</v>
      </c>
    </row>
    <row r="403" customFormat="false" ht="12.8" hidden="false" customHeight="false" outlineLevel="0" collapsed="false">
      <c r="A403" s="39" t="s">
        <v>1776</v>
      </c>
      <c r="B403" s="39" t="s">
        <v>1777</v>
      </c>
      <c r="C403" s="39" t="n">
        <v>0</v>
      </c>
      <c r="D403" s="39" t="s">
        <v>1778</v>
      </c>
      <c r="E403" s="39" t="s">
        <v>434</v>
      </c>
      <c r="F403" s="39" t="s">
        <v>487</v>
      </c>
      <c r="G403" s="52" t="s">
        <v>436</v>
      </c>
      <c r="H403" s="39" t="s">
        <v>1258</v>
      </c>
    </row>
    <row r="404" customFormat="false" ht="12.8" hidden="false" customHeight="false" outlineLevel="0" collapsed="false">
      <c r="A404" s="39" t="s">
        <v>1779</v>
      </c>
      <c r="B404" s="39" t="s">
        <v>1780</v>
      </c>
      <c r="C404" s="39" t="n">
        <v>0.95</v>
      </c>
      <c r="D404" s="39" t="s">
        <v>1781</v>
      </c>
      <c r="E404" s="39" t="s">
        <v>434</v>
      </c>
      <c r="F404" s="39" t="s">
        <v>1782</v>
      </c>
      <c r="G404" s="52" t="s">
        <v>436</v>
      </c>
      <c r="H404" s="39" t="s">
        <v>1258</v>
      </c>
    </row>
    <row r="405" customFormat="false" ht="12.8" hidden="false" customHeight="false" outlineLevel="0" collapsed="false">
      <c r="A405" s="39" t="s">
        <v>1783</v>
      </c>
      <c r="B405" s="39" t="s">
        <v>1784</v>
      </c>
      <c r="C405" s="39" t="n">
        <v>0.577</v>
      </c>
      <c r="D405" s="39" t="s">
        <v>1785</v>
      </c>
      <c r="E405" s="39" t="s">
        <v>434</v>
      </c>
      <c r="F405" s="39" t="s">
        <v>1786</v>
      </c>
      <c r="G405" s="52" t="s">
        <v>436</v>
      </c>
      <c r="H405" s="39" t="s">
        <v>1787</v>
      </c>
    </row>
    <row r="406" customFormat="false" ht="12.8" hidden="false" customHeight="false" outlineLevel="0" collapsed="false">
      <c r="A406" s="39" t="s">
        <v>1788</v>
      </c>
      <c r="B406" s="39" t="s">
        <v>1789</v>
      </c>
      <c r="C406" s="39" t="n">
        <v>0.545</v>
      </c>
      <c r="D406" s="39" t="s">
        <v>1790</v>
      </c>
      <c r="E406" s="39" t="s">
        <v>440</v>
      </c>
      <c r="F406" s="39" t="s">
        <v>1791</v>
      </c>
      <c r="G406" s="52" t="s">
        <v>436</v>
      </c>
      <c r="H406" s="39" t="s">
        <v>1258</v>
      </c>
    </row>
    <row r="407" customFormat="false" ht="12.8" hidden="false" customHeight="false" outlineLevel="0" collapsed="false">
      <c r="A407" s="39" t="s">
        <v>1792</v>
      </c>
      <c r="B407" s="39" t="s">
        <v>1793</v>
      </c>
      <c r="C407" s="39" t="n">
        <v>0.585</v>
      </c>
      <c r="D407" s="39" t="s">
        <v>1794</v>
      </c>
      <c r="E407" s="39" t="s">
        <v>434</v>
      </c>
      <c r="F407" s="39" t="s">
        <v>1791</v>
      </c>
      <c r="G407" s="52" t="s">
        <v>436</v>
      </c>
      <c r="H407" s="39" t="s">
        <v>1258</v>
      </c>
    </row>
    <row r="408" customFormat="false" ht="12.8" hidden="false" customHeight="false" outlineLevel="0" collapsed="false">
      <c r="A408" s="39" t="s">
        <v>1795</v>
      </c>
      <c r="B408" s="39" t="s">
        <v>1796</v>
      </c>
      <c r="C408" s="39" t="n">
        <v>0.575</v>
      </c>
      <c r="D408" s="39" t="s">
        <v>1797</v>
      </c>
      <c r="E408" s="39" t="s">
        <v>434</v>
      </c>
      <c r="F408" s="39" t="s">
        <v>1791</v>
      </c>
      <c r="G408" s="52" t="s">
        <v>436</v>
      </c>
      <c r="H408" s="39" t="s">
        <v>1258</v>
      </c>
    </row>
    <row r="409" customFormat="false" ht="12.8" hidden="false" customHeight="false" outlineLevel="0" collapsed="false">
      <c r="A409" s="39" t="s">
        <v>1798</v>
      </c>
      <c r="B409" s="39" t="s">
        <v>1799</v>
      </c>
      <c r="C409" s="39" t="n">
        <v>0.545</v>
      </c>
      <c r="D409" s="39" t="s">
        <v>1800</v>
      </c>
      <c r="E409" s="39" t="s">
        <v>440</v>
      </c>
      <c r="F409" s="39" t="s">
        <v>1791</v>
      </c>
      <c r="G409" s="52" t="s">
        <v>436</v>
      </c>
      <c r="H409" s="39" t="s">
        <v>1258</v>
      </c>
    </row>
    <row r="410" customFormat="false" ht="12.8" hidden="false" customHeight="false" outlineLevel="0" collapsed="false">
      <c r="A410" s="39" t="s">
        <v>1801</v>
      </c>
      <c r="B410" s="39" t="s">
        <v>1802</v>
      </c>
      <c r="C410" s="39" t="n">
        <v>0.01</v>
      </c>
      <c r="D410" s="39" t="s">
        <v>1803</v>
      </c>
      <c r="E410" s="39" t="s">
        <v>502</v>
      </c>
      <c r="F410" s="39" t="s">
        <v>1804</v>
      </c>
      <c r="G410" s="52" t="s">
        <v>436</v>
      </c>
      <c r="H410" s="39" t="s">
        <v>1805</v>
      </c>
    </row>
    <row r="411" customFormat="false" ht="12.8" hidden="false" customHeight="false" outlineLevel="0" collapsed="false">
      <c r="A411" s="39" t="s">
        <v>1806</v>
      </c>
      <c r="B411" s="39" t="s">
        <v>1799</v>
      </c>
      <c r="C411" s="39" t="n">
        <v>0.545</v>
      </c>
      <c r="D411" s="39" t="s">
        <v>1807</v>
      </c>
      <c r="E411" s="39" t="s">
        <v>440</v>
      </c>
      <c r="F411" s="39" t="s">
        <v>1808</v>
      </c>
      <c r="G411" s="52" t="s">
        <v>436</v>
      </c>
      <c r="H411" s="39" t="s">
        <v>1715</v>
      </c>
    </row>
    <row r="412" customFormat="false" ht="12.8" hidden="false" customHeight="false" outlineLevel="0" collapsed="false">
      <c r="A412" s="39" t="s">
        <v>1809</v>
      </c>
      <c r="B412" s="39" t="s">
        <v>1810</v>
      </c>
      <c r="C412" s="39" t="n">
        <v>0.565</v>
      </c>
      <c r="D412" s="39" t="s">
        <v>1811</v>
      </c>
      <c r="E412" s="39" t="s">
        <v>434</v>
      </c>
      <c r="F412" s="39" t="s">
        <v>1808</v>
      </c>
      <c r="G412" s="52" t="s">
        <v>436</v>
      </c>
      <c r="H412" s="39" t="s">
        <v>1715</v>
      </c>
    </row>
    <row r="413" customFormat="false" ht="12.8" hidden="false" customHeight="false" outlineLevel="0" collapsed="false">
      <c r="A413" s="39" t="s">
        <v>1812</v>
      </c>
      <c r="B413" s="39" t="s">
        <v>1813</v>
      </c>
      <c r="C413" s="39" t="n">
        <v>0.565</v>
      </c>
      <c r="D413" s="39" t="s">
        <v>1814</v>
      </c>
      <c r="E413" s="39" t="s">
        <v>434</v>
      </c>
      <c r="F413" s="39" t="s">
        <v>1808</v>
      </c>
      <c r="G413" s="52" t="s">
        <v>436</v>
      </c>
      <c r="H413" s="39" t="s">
        <v>1715</v>
      </c>
    </row>
    <row r="414" customFormat="false" ht="12.8" hidden="false" customHeight="false" outlineLevel="0" collapsed="false">
      <c r="A414" s="39" t="s">
        <v>1815</v>
      </c>
      <c r="B414" s="39" t="s">
        <v>1816</v>
      </c>
      <c r="C414" s="39" t="n">
        <v>0.565</v>
      </c>
      <c r="D414" s="39" t="s">
        <v>1817</v>
      </c>
      <c r="E414" s="39" t="s">
        <v>434</v>
      </c>
      <c r="F414" s="39" t="s">
        <v>1808</v>
      </c>
      <c r="G414" s="52" t="s">
        <v>436</v>
      </c>
      <c r="H414" s="39" t="s">
        <v>1715</v>
      </c>
    </row>
    <row r="415" customFormat="false" ht="12.8" hidden="false" customHeight="false" outlineLevel="0" collapsed="false">
      <c r="A415" s="39" t="s">
        <v>1818</v>
      </c>
      <c r="B415" s="39" t="s">
        <v>1819</v>
      </c>
      <c r="C415" s="39" t="n">
        <v>0.57</v>
      </c>
      <c r="D415" s="39" t="s">
        <v>1820</v>
      </c>
      <c r="E415" s="39" t="s">
        <v>434</v>
      </c>
      <c r="F415" s="39" t="s">
        <v>1808</v>
      </c>
      <c r="G415" s="52" t="s">
        <v>436</v>
      </c>
      <c r="H415" s="39" t="s">
        <v>1715</v>
      </c>
    </row>
    <row r="416" customFormat="false" ht="12.8" hidden="false" customHeight="false" outlineLevel="0" collapsed="false">
      <c r="A416" s="39" t="s">
        <v>1821</v>
      </c>
      <c r="B416" s="39" t="s">
        <v>1822</v>
      </c>
      <c r="C416" s="39" t="n">
        <v>0.57</v>
      </c>
      <c r="D416" s="39" t="s">
        <v>1823</v>
      </c>
      <c r="E416" s="39" t="s">
        <v>440</v>
      </c>
      <c r="F416" s="39" t="s">
        <v>1808</v>
      </c>
      <c r="G416" s="52" t="s">
        <v>436</v>
      </c>
      <c r="H416" s="39" t="s">
        <v>1715</v>
      </c>
    </row>
    <row r="417" customFormat="false" ht="12.8" hidden="false" customHeight="false" outlineLevel="0" collapsed="false">
      <c r="A417" s="39" t="s">
        <v>1824</v>
      </c>
      <c r="B417" s="39" t="s">
        <v>1825</v>
      </c>
      <c r="C417" s="39" t="n">
        <v>0.57</v>
      </c>
      <c r="D417" s="39" t="s">
        <v>1826</v>
      </c>
      <c r="E417" s="39" t="s">
        <v>440</v>
      </c>
      <c r="F417" s="39" t="s">
        <v>1808</v>
      </c>
      <c r="G417" s="52" t="s">
        <v>436</v>
      </c>
      <c r="H417" s="39" t="s">
        <v>1715</v>
      </c>
    </row>
    <row r="418" customFormat="false" ht="12.8" hidden="false" customHeight="false" outlineLevel="0" collapsed="false">
      <c r="A418" s="39" t="s">
        <v>1827</v>
      </c>
      <c r="B418" s="39" t="s">
        <v>1828</v>
      </c>
      <c r="C418" s="39" t="n">
        <v>0.57</v>
      </c>
      <c r="D418" s="39" t="s">
        <v>1829</v>
      </c>
      <c r="E418" s="39" t="s">
        <v>434</v>
      </c>
      <c r="F418" s="39" t="s">
        <v>1808</v>
      </c>
      <c r="G418" s="52" t="s">
        <v>436</v>
      </c>
      <c r="H418" s="39" t="s">
        <v>1715</v>
      </c>
    </row>
    <row r="419" customFormat="false" ht="12.8" hidden="false" customHeight="false" outlineLevel="0" collapsed="false">
      <c r="A419" s="39" t="s">
        <v>1830</v>
      </c>
      <c r="B419" s="39" t="s">
        <v>1831</v>
      </c>
      <c r="C419" s="39" t="n">
        <v>0.57</v>
      </c>
      <c r="D419" s="39" t="s">
        <v>1832</v>
      </c>
      <c r="E419" s="39" t="s">
        <v>434</v>
      </c>
      <c r="F419" s="39" t="s">
        <v>1808</v>
      </c>
      <c r="G419" s="52" t="s">
        <v>436</v>
      </c>
      <c r="H419" s="39" t="s">
        <v>1715</v>
      </c>
    </row>
    <row r="420" customFormat="false" ht="12.8" hidden="false" customHeight="false" outlineLevel="0" collapsed="false">
      <c r="A420" s="39" t="s">
        <v>1833</v>
      </c>
      <c r="B420" s="39" t="s">
        <v>1834</v>
      </c>
      <c r="C420" s="39" t="n">
        <v>0.58</v>
      </c>
      <c r="D420" s="39" t="s">
        <v>1835</v>
      </c>
      <c r="E420" s="39" t="s">
        <v>434</v>
      </c>
      <c r="F420" s="39" t="s">
        <v>1808</v>
      </c>
      <c r="G420" s="52" t="s">
        <v>436</v>
      </c>
      <c r="H420" s="39" t="s">
        <v>1715</v>
      </c>
    </row>
    <row r="421" customFormat="false" ht="12.8" hidden="false" customHeight="false" outlineLevel="0" collapsed="false">
      <c r="A421" s="39" t="s">
        <v>1836</v>
      </c>
      <c r="B421" s="39" t="s">
        <v>1837</v>
      </c>
      <c r="C421" s="39" t="n">
        <v>0.595</v>
      </c>
      <c r="D421" s="39" t="s">
        <v>1838</v>
      </c>
      <c r="E421" s="39" t="s">
        <v>434</v>
      </c>
      <c r="F421" s="39" t="s">
        <v>1808</v>
      </c>
      <c r="G421" s="52" t="s">
        <v>436</v>
      </c>
      <c r="H421" s="39" t="s">
        <v>1715</v>
      </c>
    </row>
    <row r="422" customFormat="false" ht="12.8" hidden="false" customHeight="false" outlineLevel="0" collapsed="false">
      <c r="A422" s="39" t="s">
        <v>1839</v>
      </c>
      <c r="B422" s="39" t="s">
        <v>1840</v>
      </c>
      <c r="C422" s="39" t="n">
        <v>0.575</v>
      </c>
      <c r="D422" s="39" t="s">
        <v>1841</v>
      </c>
      <c r="E422" s="39" t="s">
        <v>440</v>
      </c>
      <c r="F422" s="39" t="s">
        <v>1808</v>
      </c>
      <c r="G422" s="52" t="s">
        <v>436</v>
      </c>
      <c r="H422" s="39" t="s">
        <v>1715</v>
      </c>
    </row>
    <row r="423" customFormat="false" ht="12.8" hidden="false" customHeight="false" outlineLevel="0" collapsed="false">
      <c r="A423" s="39" t="s">
        <v>1842</v>
      </c>
      <c r="B423" s="39" t="s">
        <v>1843</v>
      </c>
      <c r="C423" s="39" t="n">
        <v>0.605</v>
      </c>
      <c r="D423" s="39" t="s">
        <v>1844</v>
      </c>
      <c r="E423" s="39" t="s">
        <v>434</v>
      </c>
      <c r="F423" s="39" t="s">
        <v>1808</v>
      </c>
      <c r="G423" s="52" t="s">
        <v>436</v>
      </c>
      <c r="H423" s="39" t="s">
        <v>1715</v>
      </c>
    </row>
    <row r="424" customFormat="false" ht="12.8" hidden="false" customHeight="false" outlineLevel="0" collapsed="false">
      <c r="A424" s="39" t="s">
        <v>1845</v>
      </c>
      <c r="B424" s="39" t="s">
        <v>1846</v>
      </c>
      <c r="C424" s="39" t="n">
        <v>0.565</v>
      </c>
      <c r="D424" s="39" t="s">
        <v>1847</v>
      </c>
      <c r="E424" s="39" t="s">
        <v>440</v>
      </c>
      <c r="F424" s="39" t="s">
        <v>1808</v>
      </c>
      <c r="G424" s="52" t="s">
        <v>436</v>
      </c>
      <c r="H424" s="39" t="s">
        <v>1715</v>
      </c>
    </row>
    <row r="425" customFormat="false" ht="12.8" hidden="false" customHeight="false" outlineLevel="0" collapsed="false">
      <c r="A425" s="39" t="s">
        <v>1848</v>
      </c>
      <c r="B425" s="39" t="s">
        <v>1849</v>
      </c>
      <c r="C425" s="39" t="n">
        <v>0.58</v>
      </c>
      <c r="D425" s="39" t="s">
        <v>1850</v>
      </c>
      <c r="E425" s="39" t="s">
        <v>434</v>
      </c>
      <c r="F425" s="39" t="s">
        <v>1808</v>
      </c>
      <c r="G425" s="52" t="s">
        <v>436</v>
      </c>
      <c r="H425" s="39" t="s">
        <v>1715</v>
      </c>
    </row>
    <row r="426" customFormat="false" ht="12.8" hidden="false" customHeight="false" outlineLevel="0" collapsed="false">
      <c r="A426" s="39" t="s">
        <v>1851</v>
      </c>
      <c r="B426" s="39" t="s">
        <v>1852</v>
      </c>
      <c r="C426" s="39" t="n">
        <v>0.58</v>
      </c>
      <c r="D426" s="39" t="s">
        <v>1853</v>
      </c>
      <c r="E426" s="39" t="s">
        <v>434</v>
      </c>
      <c r="F426" s="39" t="s">
        <v>1808</v>
      </c>
      <c r="G426" s="52" t="s">
        <v>436</v>
      </c>
      <c r="H426" s="39" t="s">
        <v>1715</v>
      </c>
    </row>
    <row r="427" customFormat="false" ht="12.8" hidden="false" customHeight="false" outlineLevel="0" collapsed="false">
      <c r="A427" s="39" t="s">
        <v>1854</v>
      </c>
      <c r="B427" s="39" t="s">
        <v>1855</v>
      </c>
      <c r="C427" s="39" t="n">
        <v>0.565</v>
      </c>
      <c r="D427" s="39" t="s">
        <v>1856</v>
      </c>
      <c r="E427" s="39" t="s">
        <v>440</v>
      </c>
      <c r="F427" s="39" t="s">
        <v>1808</v>
      </c>
      <c r="G427" s="52" t="s">
        <v>436</v>
      </c>
      <c r="H427" s="39" t="s">
        <v>1715</v>
      </c>
    </row>
    <row r="428" customFormat="false" ht="12.8" hidden="false" customHeight="false" outlineLevel="0" collapsed="false">
      <c r="A428" s="39" t="s">
        <v>1857</v>
      </c>
      <c r="B428" s="39" t="s">
        <v>1858</v>
      </c>
      <c r="C428" s="39" t="n">
        <v>0.545</v>
      </c>
      <c r="D428" s="39" t="s">
        <v>1859</v>
      </c>
      <c r="E428" s="39" t="s">
        <v>440</v>
      </c>
      <c r="F428" s="39" t="s">
        <v>1808</v>
      </c>
      <c r="G428" s="52" t="s">
        <v>436</v>
      </c>
      <c r="H428" s="39" t="s">
        <v>1715</v>
      </c>
    </row>
    <row r="429" customFormat="false" ht="12.8" hidden="false" customHeight="false" outlineLevel="0" collapsed="false">
      <c r="A429" s="39" t="s">
        <v>1860</v>
      </c>
      <c r="B429" s="39" t="s">
        <v>1861</v>
      </c>
      <c r="C429" s="39" t="n">
        <v>0.565</v>
      </c>
      <c r="D429" s="39" t="s">
        <v>1862</v>
      </c>
      <c r="E429" s="39" t="s">
        <v>440</v>
      </c>
      <c r="F429" s="39" t="s">
        <v>1808</v>
      </c>
      <c r="G429" s="52" t="s">
        <v>436</v>
      </c>
      <c r="H429" s="39" t="s">
        <v>1715</v>
      </c>
    </row>
    <row r="430" customFormat="false" ht="12.8" hidden="false" customHeight="false" outlineLevel="0" collapsed="false">
      <c r="A430" s="39" t="s">
        <v>1863</v>
      </c>
      <c r="B430" s="39" t="s">
        <v>1864</v>
      </c>
      <c r="C430" s="39" t="n">
        <v>0.595</v>
      </c>
      <c r="D430" s="39" t="s">
        <v>1865</v>
      </c>
      <c r="E430" s="39" t="s">
        <v>434</v>
      </c>
      <c r="F430" s="39" t="s">
        <v>1808</v>
      </c>
      <c r="G430" s="52" t="s">
        <v>436</v>
      </c>
      <c r="H430" s="39" t="s">
        <v>1715</v>
      </c>
    </row>
    <row r="431" customFormat="false" ht="12.8" hidden="false" customHeight="false" outlineLevel="0" collapsed="false">
      <c r="A431" s="39" t="s">
        <v>1866</v>
      </c>
      <c r="B431" s="39" t="s">
        <v>1867</v>
      </c>
      <c r="C431" s="39" t="n">
        <v>0.005</v>
      </c>
      <c r="D431" s="39" t="s">
        <v>1868</v>
      </c>
      <c r="E431" s="39" t="s">
        <v>502</v>
      </c>
      <c r="F431" s="39" t="s">
        <v>1869</v>
      </c>
      <c r="G431" s="52" t="s">
        <v>436</v>
      </c>
      <c r="H431" s="39" t="s">
        <v>1258</v>
      </c>
    </row>
    <row r="432" customFormat="false" ht="12.8" hidden="false" customHeight="false" outlineLevel="0" collapsed="false">
      <c r="A432" s="39" t="s">
        <v>1870</v>
      </c>
      <c r="B432" s="39" t="s">
        <v>1802</v>
      </c>
      <c r="C432" s="39" t="n">
        <v>0.01</v>
      </c>
      <c r="D432" s="39" t="s">
        <v>1871</v>
      </c>
      <c r="E432" s="39" t="s">
        <v>502</v>
      </c>
      <c r="F432" s="39" t="s">
        <v>1869</v>
      </c>
      <c r="G432" s="52" t="s">
        <v>436</v>
      </c>
      <c r="H432" s="39" t="s">
        <v>1258</v>
      </c>
    </row>
    <row r="433" customFormat="false" ht="12.8" hidden="false" customHeight="false" outlineLevel="0" collapsed="false">
      <c r="A433" s="39" t="s">
        <v>1872</v>
      </c>
      <c r="B433" s="39" t="s">
        <v>1873</v>
      </c>
      <c r="C433" s="39" t="n">
        <v>0.01</v>
      </c>
      <c r="D433" s="39" t="s">
        <v>1874</v>
      </c>
      <c r="E433" s="39" t="s">
        <v>502</v>
      </c>
      <c r="F433" s="39" t="s">
        <v>1804</v>
      </c>
      <c r="G433" s="52" t="s">
        <v>436</v>
      </c>
      <c r="H433" s="39" t="s">
        <v>1875</v>
      </c>
    </row>
    <row r="434" customFormat="false" ht="12.8" hidden="false" customHeight="false" outlineLevel="0" collapsed="false">
      <c r="A434" s="39" t="s">
        <v>1876</v>
      </c>
      <c r="B434" s="39" t="s">
        <v>1877</v>
      </c>
      <c r="C434" s="39" t="n">
        <v>0.005</v>
      </c>
      <c r="D434" s="39" t="s">
        <v>1878</v>
      </c>
      <c r="E434" s="39" t="s">
        <v>434</v>
      </c>
      <c r="F434" s="39" t="s">
        <v>1804</v>
      </c>
      <c r="G434" s="52" t="s">
        <v>436</v>
      </c>
      <c r="H434" s="39" t="s">
        <v>1258</v>
      </c>
    </row>
    <row r="435" customFormat="false" ht="12.8" hidden="false" customHeight="false" outlineLevel="0" collapsed="false">
      <c r="A435" s="39" t="s">
        <v>1879</v>
      </c>
      <c r="B435" s="39" t="s">
        <v>1880</v>
      </c>
      <c r="C435" s="39" t="n">
        <v>0.005</v>
      </c>
      <c r="D435" s="39" t="s">
        <v>1881</v>
      </c>
      <c r="E435" s="39" t="s">
        <v>434</v>
      </c>
      <c r="F435" s="39" t="s">
        <v>1804</v>
      </c>
      <c r="G435" s="52" t="s">
        <v>436</v>
      </c>
      <c r="H435" s="39" t="s">
        <v>1258</v>
      </c>
    </row>
    <row r="436" customFormat="false" ht="12.8" hidden="false" customHeight="false" outlineLevel="0" collapsed="false">
      <c r="A436" s="39" t="s">
        <v>1882</v>
      </c>
      <c r="B436" s="39" t="s">
        <v>1883</v>
      </c>
      <c r="C436" s="39" t="n">
        <v>0.005</v>
      </c>
      <c r="D436" s="39" t="s">
        <v>1884</v>
      </c>
      <c r="E436" s="39" t="s">
        <v>434</v>
      </c>
      <c r="F436" s="39" t="s">
        <v>1804</v>
      </c>
      <c r="G436" s="52" t="s">
        <v>436</v>
      </c>
      <c r="H436" s="39" t="s">
        <v>1258</v>
      </c>
    </row>
    <row r="437" customFormat="false" ht="12.8" hidden="false" customHeight="false" outlineLevel="0" collapsed="false">
      <c r="A437" s="39" t="s">
        <v>1885</v>
      </c>
      <c r="B437" s="39" t="s">
        <v>1886</v>
      </c>
      <c r="C437" s="39" t="n">
        <v>0.005</v>
      </c>
      <c r="D437" s="39" t="s">
        <v>1887</v>
      </c>
      <c r="E437" s="39" t="s">
        <v>434</v>
      </c>
      <c r="F437" s="39" t="s">
        <v>1804</v>
      </c>
      <c r="G437" s="52" t="s">
        <v>436</v>
      </c>
      <c r="H437" s="39" t="s">
        <v>1258</v>
      </c>
    </row>
    <row r="438" customFormat="false" ht="12.8" hidden="false" customHeight="false" outlineLevel="0" collapsed="false">
      <c r="A438" s="39" t="s">
        <v>1888</v>
      </c>
      <c r="B438" s="39" t="s">
        <v>1889</v>
      </c>
      <c r="C438" s="39" t="n">
        <v>0.01</v>
      </c>
      <c r="D438" s="39" t="s">
        <v>1890</v>
      </c>
      <c r="E438" s="39" t="s">
        <v>502</v>
      </c>
      <c r="F438" s="39" t="s">
        <v>1804</v>
      </c>
      <c r="G438" s="52" t="s">
        <v>436</v>
      </c>
      <c r="H438" s="39" t="s">
        <v>1258</v>
      </c>
    </row>
    <row r="439" customFormat="false" ht="12.8" hidden="false" customHeight="false" outlineLevel="0" collapsed="false">
      <c r="A439" s="39" t="s">
        <v>1891</v>
      </c>
      <c r="B439" s="39" t="s">
        <v>1892</v>
      </c>
      <c r="C439" s="39" t="n">
        <v>0.01</v>
      </c>
      <c r="D439" s="39" t="s">
        <v>1893</v>
      </c>
      <c r="E439" s="39" t="s">
        <v>502</v>
      </c>
      <c r="F439" s="39" t="s">
        <v>1804</v>
      </c>
      <c r="G439" s="52" t="s">
        <v>436</v>
      </c>
      <c r="H439" s="39" t="s">
        <v>1258</v>
      </c>
    </row>
    <row r="440" customFormat="false" ht="12.8" hidden="false" customHeight="false" outlineLevel="0" collapsed="false">
      <c r="A440" s="39" t="s">
        <v>1894</v>
      </c>
      <c r="B440" s="39" t="s">
        <v>1895</v>
      </c>
      <c r="C440" s="39" t="n">
        <v>0.005</v>
      </c>
      <c r="D440" s="39" t="s">
        <v>1896</v>
      </c>
      <c r="E440" s="39" t="s">
        <v>434</v>
      </c>
      <c r="F440" s="39" t="s">
        <v>1804</v>
      </c>
      <c r="G440" s="52" t="s">
        <v>436</v>
      </c>
      <c r="H440" s="39" t="s">
        <v>1258</v>
      </c>
    </row>
    <row r="441" customFormat="false" ht="12.8" hidden="false" customHeight="false" outlineLevel="0" collapsed="false">
      <c r="A441" s="39" t="s">
        <v>1897</v>
      </c>
      <c r="B441" s="39" t="s">
        <v>1898</v>
      </c>
      <c r="C441" s="39" t="n">
        <v>0.005</v>
      </c>
      <c r="D441" s="39" t="s">
        <v>1899</v>
      </c>
      <c r="E441" s="39" t="s">
        <v>434</v>
      </c>
      <c r="F441" s="39" t="s">
        <v>1804</v>
      </c>
      <c r="G441" s="52" t="s">
        <v>436</v>
      </c>
      <c r="H441" s="39" t="s">
        <v>1258</v>
      </c>
    </row>
    <row r="442" customFormat="false" ht="12.8" hidden="false" customHeight="false" outlineLevel="0" collapsed="false">
      <c r="A442" s="39" t="s">
        <v>1900</v>
      </c>
      <c r="B442" s="39" t="s">
        <v>1901</v>
      </c>
      <c r="C442" s="39" t="n">
        <v>0.005</v>
      </c>
      <c r="D442" s="39" t="s">
        <v>1902</v>
      </c>
      <c r="E442" s="39" t="s">
        <v>434</v>
      </c>
      <c r="F442" s="39" t="s">
        <v>1804</v>
      </c>
      <c r="G442" s="52" t="s">
        <v>436</v>
      </c>
      <c r="H442" s="39" t="s">
        <v>1258</v>
      </c>
    </row>
    <row r="443" customFormat="false" ht="12.8" hidden="false" customHeight="false" outlineLevel="0" collapsed="false">
      <c r="A443" s="39" t="s">
        <v>1903</v>
      </c>
      <c r="B443" s="39" t="s">
        <v>1904</v>
      </c>
      <c r="C443" s="39" t="n">
        <v>0.005</v>
      </c>
      <c r="D443" s="39" t="s">
        <v>1905</v>
      </c>
      <c r="E443" s="39" t="s">
        <v>434</v>
      </c>
      <c r="F443" s="39" t="s">
        <v>1804</v>
      </c>
      <c r="G443" s="52" t="s">
        <v>436</v>
      </c>
      <c r="H443" s="39" t="s">
        <v>1258</v>
      </c>
    </row>
    <row r="444" customFormat="false" ht="12.8" hidden="false" customHeight="false" outlineLevel="0" collapsed="false">
      <c r="A444" s="39" t="s">
        <v>1906</v>
      </c>
      <c r="B444" s="39" t="s">
        <v>1907</v>
      </c>
      <c r="C444" s="39" t="n">
        <v>0.01</v>
      </c>
      <c r="D444" s="39" t="s">
        <v>1908</v>
      </c>
      <c r="E444" s="39" t="s">
        <v>502</v>
      </c>
      <c r="F444" s="39" t="s">
        <v>1804</v>
      </c>
      <c r="G444" s="52" t="s">
        <v>436</v>
      </c>
      <c r="H444" s="39" t="s">
        <v>1258</v>
      </c>
    </row>
    <row r="445" customFormat="false" ht="12.8" hidden="false" customHeight="false" outlineLevel="0" collapsed="false">
      <c r="A445" s="39" t="s">
        <v>1909</v>
      </c>
      <c r="B445" s="39" t="s">
        <v>1910</v>
      </c>
      <c r="C445" s="39" t="n">
        <v>0.005</v>
      </c>
      <c r="D445" s="39" t="s">
        <v>1911</v>
      </c>
      <c r="E445" s="39" t="s">
        <v>434</v>
      </c>
      <c r="F445" s="39" t="s">
        <v>1804</v>
      </c>
      <c r="G445" s="52" t="s">
        <v>436</v>
      </c>
      <c r="H445" s="39" t="s">
        <v>1258</v>
      </c>
    </row>
    <row r="446" customFormat="false" ht="12.8" hidden="false" customHeight="false" outlineLevel="0" collapsed="false">
      <c r="A446" s="39" t="s">
        <v>1912</v>
      </c>
      <c r="B446" s="39" t="s">
        <v>1913</v>
      </c>
      <c r="C446" s="39" t="n">
        <v>0.01</v>
      </c>
      <c r="D446" s="39" t="s">
        <v>1914</v>
      </c>
      <c r="E446" s="39" t="s">
        <v>502</v>
      </c>
      <c r="F446" s="39" t="s">
        <v>1804</v>
      </c>
      <c r="G446" s="52" t="s">
        <v>436</v>
      </c>
      <c r="H446" s="39" t="s">
        <v>1258</v>
      </c>
    </row>
    <row r="447" customFormat="false" ht="12.8" hidden="false" customHeight="false" outlineLevel="0" collapsed="false">
      <c r="A447" s="39" t="s">
        <v>1915</v>
      </c>
      <c r="B447" s="39" t="s">
        <v>1916</v>
      </c>
      <c r="C447" s="39" t="n">
        <v>0.005</v>
      </c>
      <c r="D447" s="39" t="s">
        <v>1917</v>
      </c>
      <c r="E447" s="39" t="s">
        <v>434</v>
      </c>
      <c r="F447" s="39" t="s">
        <v>1804</v>
      </c>
      <c r="G447" s="52" t="s">
        <v>436</v>
      </c>
      <c r="H447" s="39" t="s">
        <v>1258</v>
      </c>
    </row>
    <row r="448" customFormat="false" ht="12.8" hidden="false" customHeight="false" outlineLevel="0" collapsed="false">
      <c r="A448" s="39" t="s">
        <v>1918</v>
      </c>
      <c r="B448" s="39" t="s">
        <v>1919</v>
      </c>
      <c r="C448" s="39" t="n">
        <v>0.005</v>
      </c>
      <c r="D448" s="39" t="s">
        <v>1920</v>
      </c>
      <c r="E448" s="39" t="s">
        <v>434</v>
      </c>
      <c r="F448" s="39" t="s">
        <v>1804</v>
      </c>
      <c r="G448" s="52" t="s">
        <v>436</v>
      </c>
      <c r="H448" s="39" t="s">
        <v>1258</v>
      </c>
    </row>
    <row r="449" customFormat="false" ht="12.8" hidden="false" customHeight="false" outlineLevel="0" collapsed="false">
      <c r="A449" s="39" t="s">
        <v>1921</v>
      </c>
      <c r="B449" s="39" t="s">
        <v>1922</v>
      </c>
      <c r="C449" s="39" t="n">
        <v>0.01</v>
      </c>
      <c r="D449" s="39" t="s">
        <v>1923</v>
      </c>
      <c r="E449" s="39" t="s">
        <v>502</v>
      </c>
      <c r="F449" s="39" t="s">
        <v>1804</v>
      </c>
      <c r="G449" s="52" t="s">
        <v>436</v>
      </c>
      <c r="H449" s="39" t="s">
        <v>1258</v>
      </c>
    </row>
    <row r="450" customFormat="false" ht="12.8" hidden="false" customHeight="false" outlineLevel="0" collapsed="false">
      <c r="A450" s="39" t="s">
        <v>1924</v>
      </c>
      <c r="B450" s="39" t="s">
        <v>1925</v>
      </c>
      <c r="C450" s="39" t="n">
        <v>0.01</v>
      </c>
      <c r="D450" s="39" t="s">
        <v>1926</v>
      </c>
      <c r="E450" s="39" t="s">
        <v>502</v>
      </c>
      <c r="F450" s="39" t="s">
        <v>1804</v>
      </c>
      <c r="G450" s="52" t="s">
        <v>436</v>
      </c>
      <c r="H450" s="39" t="s">
        <v>1258</v>
      </c>
    </row>
    <row r="451" customFormat="false" ht="12.8" hidden="false" customHeight="false" outlineLevel="0" collapsed="false">
      <c r="A451" s="39" t="s">
        <v>1927</v>
      </c>
      <c r="B451" s="39" t="s">
        <v>1928</v>
      </c>
      <c r="C451" s="39" t="n">
        <v>0.01</v>
      </c>
      <c r="D451" s="39" t="s">
        <v>1929</v>
      </c>
      <c r="E451" s="39" t="s">
        <v>502</v>
      </c>
      <c r="F451" s="39" t="s">
        <v>1804</v>
      </c>
      <c r="G451" s="52" t="s">
        <v>436</v>
      </c>
      <c r="H451" s="39" t="s">
        <v>1258</v>
      </c>
    </row>
    <row r="452" customFormat="false" ht="12.8" hidden="false" customHeight="false" outlineLevel="0" collapsed="false">
      <c r="A452" s="39" t="s">
        <v>1930</v>
      </c>
      <c r="B452" s="39" t="s">
        <v>1931</v>
      </c>
      <c r="C452" s="39" t="n">
        <v>0.005</v>
      </c>
      <c r="D452" s="39" t="s">
        <v>1932</v>
      </c>
      <c r="E452" s="39" t="s">
        <v>434</v>
      </c>
      <c r="F452" s="39" t="s">
        <v>1804</v>
      </c>
      <c r="G452" s="52" t="s">
        <v>436</v>
      </c>
      <c r="H452" s="39" t="s">
        <v>1258</v>
      </c>
    </row>
    <row r="453" customFormat="false" ht="12.8" hidden="false" customHeight="false" outlineLevel="0" collapsed="false">
      <c r="A453" s="39" t="s">
        <v>1933</v>
      </c>
      <c r="B453" s="39" t="s">
        <v>1934</v>
      </c>
      <c r="C453" s="39" t="n">
        <v>0.008</v>
      </c>
      <c r="D453" s="39" t="s">
        <v>1935</v>
      </c>
      <c r="E453" s="39" t="s">
        <v>434</v>
      </c>
      <c r="F453" s="39" t="s">
        <v>1710</v>
      </c>
      <c r="G453" s="52" t="s">
        <v>436</v>
      </c>
      <c r="H453" s="39" t="s">
        <v>1258</v>
      </c>
    </row>
    <row r="454" customFormat="false" ht="12.8" hidden="false" customHeight="false" outlineLevel="0" collapsed="false">
      <c r="A454" s="39" t="s">
        <v>1936</v>
      </c>
      <c r="B454" s="39" t="s">
        <v>1937</v>
      </c>
      <c r="C454" s="39" t="n">
        <v>0.015</v>
      </c>
      <c r="D454" s="39" t="s">
        <v>1938</v>
      </c>
      <c r="E454" s="39" t="s">
        <v>440</v>
      </c>
      <c r="F454" s="39" t="s">
        <v>1710</v>
      </c>
      <c r="G454" s="52" t="s">
        <v>436</v>
      </c>
      <c r="H454" s="39" t="s">
        <v>1715</v>
      </c>
    </row>
    <row r="455" customFormat="false" ht="12.8" hidden="false" customHeight="false" outlineLevel="0" collapsed="false">
      <c r="A455" s="39" t="s">
        <v>1939</v>
      </c>
      <c r="B455" s="39" t="s">
        <v>1940</v>
      </c>
      <c r="C455" s="39" t="n">
        <v>0.015</v>
      </c>
      <c r="D455" s="39" t="s">
        <v>1941</v>
      </c>
      <c r="E455" s="39" t="s">
        <v>502</v>
      </c>
      <c r="F455" s="39" t="s">
        <v>1710</v>
      </c>
      <c r="G455" s="52" t="s">
        <v>436</v>
      </c>
      <c r="H455" s="39" t="s">
        <v>1715</v>
      </c>
    </row>
    <row r="456" customFormat="false" ht="12.8" hidden="false" customHeight="false" outlineLevel="0" collapsed="false">
      <c r="A456" s="39" t="s">
        <v>1942</v>
      </c>
      <c r="B456" s="39" t="s">
        <v>1943</v>
      </c>
      <c r="C456" s="39" t="n">
        <v>0.008</v>
      </c>
      <c r="D456" s="39" t="s">
        <v>1944</v>
      </c>
      <c r="E456" s="39" t="s">
        <v>434</v>
      </c>
      <c r="F456" s="39" t="s">
        <v>1710</v>
      </c>
      <c r="G456" s="52" t="s">
        <v>436</v>
      </c>
      <c r="H456" s="39" t="s">
        <v>1715</v>
      </c>
    </row>
    <row r="457" customFormat="false" ht="12.8" hidden="false" customHeight="false" outlineLevel="0" collapsed="false">
      <c r="A457" s="39" t="s">
        <v>1945</v>
      </c>
      <c r="B457" s="39" t="s">
        <v>1946</v>
      </c>
      <c r="C457" s="39" t="n">
        <v>0.012</v>
      </c>
      <c r="D457" s="39" t="s">
        <v>1947</v>
      </c>
      <c r="E457" s="39" t="s">
        <v>440</v>
      </c>
      <c r="F457" s="39" t="s">
        <v>1710</v>
      </c>
      <c r="G457" s="52" t="s">
        <v>436</v>
      </c>
      <c r="H457" s="39" t="s">
        <v>1715</v>
      </c>
    </row>
    <row r="458" customFormat="false" ht="12.8" hidden="false" customHeight="false" outlineLevel="0" collapsed="false">
      <c r="A458" s="39" t="s">
        <v>1948</v>
      </c>
      <c r="B458" s="39" t="s">
        <v>1949</v>
      </c>
      <c r="C458" s="39" t="n">
        <v>0.008</v>
      </c>
      <c r="D458" s="39" t="s">
        <v>1950</v>
      </c>
      <c r="E458" s="39" t="s">
        <v>434</v>
      </c>
      <c r="F458" s="39" t="s">
        <v>1710</v>
      </c>
      <c r="G458" s="52" t="s">
        <v>436</v>
      </c>
      <c r="H458" s="39" t="s">
        <v>1715</v>
      </c>
    </row>
    <row r="459" customFormat="false" ht="12.8" hidden="false" customHeight="false" outlineLevel="0" collapsed="false">
      <c r="A459" s="39" t="s">
        <v>1951</v>
      </c>
      <c r="B459" s="39" t="s">
        <v>1952</v>
      </c>
      <c r="C459" s="39" t="n">
        <v>0.008</v>
      </c>
      <c r="D459" s="39" t="s">
        <v>1953</v>
      </c>
      <c r="E459" s="39" t="s">
        <v>434</v>
      </c>
      <c r="F459" s="39" t="s">
        <v>1710</v>
      </c>
      <c r="G459" s="52" t="s">
        <v>436</v>
      </c>
      <c r="H459" s="39" t="s">
        <v>1715</v>
      </c>
    </row>
    <row r="460" customFormat="false" ht="12.8" hidden="false" customHeight="false" outlineLevel="0" collapsed="false">
      <c r="A460" s="39" t="s">
        <v>1954</v>
      </c>
      <c r="B460" s="39" t="s">
        <v>1955</v>
      </c>
      <c r="C460" s="39" t="n">
        <v>0.008</v>
      </c>
      <c r="D460" s="39" t="s">
        <v>1956</v>
      </c>
      <c r="E460" s="39" t="s">
        <v>434</v>
      </c>
      <c r="F460" s="39" t="s">
        <v>1710</v>
      </c>
      <c r="G460" s="52" t="s">
        <v>436</v>
      </c>
      <c r="H460" s="39" t="s">
        <v>1715</v>
      </c>
    </row>
    <row r="461" customFormat="false" ht="12.8" hidden="false" customHeight="false" outlineLevel="0" collapsed="false">
      <c r="A461" s="39" t="s">
        <v>1957</v>
      </c>
      <c r="B461" s="39" t="s">
        <v>1958</v>
      </c>
      <c r="C461" s="39" t="n">
        <v>0.008</v>
      </c>
      <c r="D461" s="39" t="s">
        <v>1959</v>
      </c>
      <c r="E461" s="39" t="s">
        <v>434</v>
      </c>
      <c r="F461" s="39" t="s">
        <v>1710</v>
      </c>
      <c r="G461" s="52" t="s">
        <v>436</v>
      </c>
      <c r="H461" s="39" t="s">
        <v>1715</v>
      </c>
    </row>
    <row r="462" customFormat="false" ht="12.8" hidden="false" customHeight="false" outlineLevel="0" collapsed="false">
      <c r="A462" s="39" t="s">
        <v>1960</v>
      </c>
      <c r="B462" s="39" t="s">
        <v>1961</v>
      </c>
      <c r="C462" s="39" t="n">
        <v>0.012</v>
      </c>
      <c r="D462" s="39" t="s">
        <v>1962</v>
      </c>
      <c r="E462" s="39" t="s">
        <v>440</v>
      </c>
      <c r="F462" s="39" t="s">
        <v>1710</v>
      </c>
      <c r="G462" s="52" t="s">
        <v>436</v>
      </c>
      <c r="H462" s="39" t="s">
        <v>1715</v>
      </c>
    </row>
    <row r="463" customFormat="false" ht="12.8" hidden="false" customHeight="false" outlineLevel="0" collapsed="false">
      <c r="A463" s="39" t="s">
        <v>1963</v>
      </c>
      <c r="B463" s="39" t="s">
        <v>1964</v>
      </c>
      <c r="C463" s="39" t="n">
        <v>0.012</v>
      </c>
      <c r="D463" s="39" t="s">
        <v>1965</v>
      </c>
      <c r="E463" s="39" t="s">
        <v>440</v>
      </c>
      <c r="F463" s="39" t="s">
        <v>1710</v>
      </c>
      <c r="G463" s="52" t="s">
        <v>436</v>
      </c>
      <c r="H463" s="39" t="s">
        <v>1715</v>
      </c>
    </row>
    <row r="464" customFormat="false" ht="12.8" hidden="false" customHeight="false" outlineLevel="0" collapsed="false">
      <c r="A464" s="39" t="s">
        <v>1966</v>
      </c>
      <c r="B464" s="39" t="s">
        <v>1967</v>
      </c>
      <c r="C464" s="39" t="n">
        <v>0.008</v>
      </c>
      <c r="D464" s="39" t="s">
        <v>1968</v>
      </c>
      <c r="E464" s="39" t="s">
        <v>434</v>
      </c>
      <c r="F464" s="39" t="s">
        <v>1710</v>
      </c>
      <c r="G464" s="52" t="s">
        <v>436</v>
      </c>
      <c r="H464" s="39" t="s">
        <v>1715</v>
      </c>
    </row>
    <row r="465" customFormat="false" ht="12.8" hidden="false" customHeight="false" outlineLevel="0" collapsed="false">
      <c r="A465" s="39" t="s">
        <v>1969</v>
      </c>
      <c r="B465" s="39" t="s">
        <v>1970</v>
      </c>
      <c r="C465" s="39" t="n">
        <v>0.008</v>
      </c>
      <c r="D465" s="39" t="s">
        <v>1971</v>
      </c>
      <c r="E465" s="39" t="s">
        <v>434</v>
      </c>
      <c r="F465" s="39" t="s">
        <v>1710</v>
      </c>
      <c r="G465" s="52" t="s">
        <v>436</v>
      </c>
      <c r="H465" s="39" t="s">
        <v>1715</v>
      </c>
    </row>
    <row r="466" customFormat="false" ht="12.8" hidden="false" customHeight="false" outlineLevel="0" collapsed="false">
      <c r="A466" s="39" t="s">
        <v>1972</v>
      </c>
      <c r="B466" s="39" t="s">
        <v>1973</v>
      </c>
      <c r="C466" s="39" t="n">
        <v>0.008</v>
      </c>
      <c r="D466" s="39" t="s">
        <v>1974</v>
      </c>
      <c r="E466" s="39" t="s">
        <v>434</v>
      </c>
      <c r="F466" s="39" t="s">
        <v>1710</v>
      </c>
      <c r="G466" s="52" t="s">
        <v>436</v>
      </c>
      <c r="H466" s="39" t="s">
        <v>1715</v>
      </c>
    </row>
    <row r="467" customFormat="false" ht="12.8" hidden="false" customHeight="false" outlineLevel="0" collapsed="false">
      <c r="A467" s="39" t="s">
        <v>1975</v>
      </c>
      <c r="B467" s="39" t="s">
        <v>1976</v>
      </c>
      <c r="C467" s="39" t="n">
        <v>0.008</v>
      </c>
      <c r="D467" s="39" t="s">
        <v>1977</v>
      </c>
      <c r="E467" s="39" t="s">
        <v>434</v>
      </c>
      <c r="F467" s="39" t="s">
        <v>1710</v>
      </c>
      <c r="G467" s="52" t="s">
        <v>436</v>
      </c>
      <c r="H467" s="39" t="s">
        <v>1715</v>
      </c>
    </row>
    <row r="468" customFormat="false" ht="12.8" hidden="false" customHeight="false" outlineLevel="0" collapsed="false">
      <c r="A468" s="39" t="s">
        <v>1978</v>
      </c>
      <c r="B468" s="39" t="s">
        <v>1979</v>
      </c>
      <c r="C468" s="39" t="n">
        <v>0.012</v>
      </c>
      <c r="D468" s="39" t="s">
        <v>1980</v>
      </c>
      <c r="E468" s="39" t="s">
        <v>440</v>
      </c>
      <c r="F468" s="39" t="s">
        <v>1710</v>
      </c>
      <c r="G468" s="52" t="s">
        <v>436</v>
      </c>
      <c r="H468" s="39" t="s">
        <v>1715</v>
      </c>
    </row>
    <row r="469" customFormat="false" ht="12.8" hidden="false" customHeight="false" outlineLevel="0" collapsed="false">
      <c r="A469" s="39" t="s">
        <v>1981</v>
      </c>
      <c r="B469" s="39" t="s">
        <v>1982</v>
      </c>
      <c r="C469" s="39" t="n">
        <v>0.008</v>
      </c>
      <c r="D469" s="39" t="s">
        <v>1983</v>
      </c>
      <c r="E469" s="39" t="s">
        <v>434</v>
      </c>
      <c r="F469" s="39" t="s">
        <v>1710</v>
      </c>
      <c r="G469" s="52" t="s">
        <v>436</v>
      </c>
      <c r="H469" s="39" t="s">
        <v>1715</v>
      </c>
    </row>
    <row r="470" customFormat="false" ht="12.8" hidden="false" customHeight="false" outlineLevel="0" collapsed="false">
      <c r="A470" s="39" t="s">
        <v>1984</v>
      </c>
      <c r="B470" s="39" t="s">
        <v>1985</v>
      </c>
      <c r="C470" s="39" t="n">
        <v>0.012</v>
      </c>
      <c r="D470" s="39" t="s">
        <v>1986</v>
      </c>
      <c r="E470" s="39" t="s">
        <v>440</v>
      </c>
      <c r="F470" s="39" t="s">
        <v>1710</v>
      </c>
      <c r="G470" s="52" t="s">
        <v>436</v>
      </c>
      <c r="H470" s="39" t="s">
        <v>1715</v>
      </c>
    </row>
    <row r="471" customFormat="false" ht="12.8" hidden="false" customHeight="false" outlineLevel="0" collapsed="false">
      <c r="A471" s="39" t="s">
        <v>1987</v>
      </c>
      <c r="B471" s="39" t="s">
        <v>1988</v>
      </c>
      <c r="C471" s="39" t="n">
        <v>0.008</v>
      </c>
      <c r="D471" s="39" t="s">
        <v>1989</v>
      </c>
      <c r="E471" s="39" t="s">
        <v>434</v>
      </c>
      <c r="F471" s="39" t="s">
        <v>1710</v>
      </c>
      <c r="G471" s="52" t="s">
        <v>436</v>
      </c>
      <c r="H471" s="39" t="s">
        <v>1715</v>
      </c>
    </row>
    <row r="472" customFormat="false" ht="12.8" hidden="false" customHeight="false" outlineLevel="0" collapsed="false">
      <c r="A472" s="39" t="s">
        <v>1990</v>
      </c>
      <c r="B472" s="39" t="s">
        <v>1991</v>
      </c>
      <c r="C472" s="39" t="n">
        <v>0.008</v>
      </c>
      <c r="D472" s="39" t="s">
        <v>1992</v>
      </c>
      <c r="E472" s="39" t="s">
        <v>434</v>
      </c>
      <c r="F472" s="39" t="s">
        <v>1710</v>
      </c>
      <c r="G472" s="52" t="s">
        <v>436</v>
      </c>
      <c r="H472" s="39" t="s">
        <v>1715</v>
      </c>
    </row>
    <row r="473" customFormat="false" ht="12.8" hidden="false" customHeight="false" outlineLevel="0" collapsed="false">
      <c r="A473" s="39" t="s">
        <v>1993</v>
      </c>
      <c r="B473" s="39" t="s">
        <v>1994</v>
      </c>
      <c r="C473" s="39" t="n">
        <v>0.012</v>
      </c>
      <c r="D473" s="39" t="s">
        <v>1995</v>
      </c>
      <c r="E473" s="39" t="s">
        <v>502</v>
      </c>
      <c r="F473" s="39" t="s">
        <v>1710</v>
      </c>
      <c r="G473" s="52" t="s">
        <v>436</v>
      </c>
      <c r="H473" s="39" t="s">
        <v>1715</v>
      </c>
    </row>
    <row r="474" customFormat="false" ht="12.8" hidden="false" customHeight="false" outlineLevel="0" collapsed="false">
      <c r="A474" s="39" t="s">
        <v>1996</v>
      </c>
      <c r="B474" s="39" t="s">
        <v>1997</v>
      </c>
      <c r="C474" s="39" t="n">
        <v>0.012</v>
      </c>
      <c r="D474" s="39" t="s">
        <v>1998</v>
      </c>
      <c r="E474" s="39" t="s">
        <v>502</v>
      </c>
      <c r="F474" s="39" t="s">
        <v>1710</v>
      </c>
      <c r="G474" s="52" t="s">
        <v>436</v>
      </c>
      <c r="H474" s="39" t="s">
        <v>1715</v>
      </c>
    </row>
    <row r="475" customFormat="false" ht="12.8" hidden="false" customHeight="false" outlineLevel="0" collapsed="false">
      <c r="A475" s="39" t="s">
        <v>1999</v>
      </c>
      <c r="B475" s="39" t="s">
        <v>2000</v>
      </c>
      <c r="C475" s="39" t="n">
        <v>0.012</v>
      </c>
      <c r="D475" s="39" t="s">
        <v>2001</v>
      </c>
      <c r="E475" s="39" t="s">
        <v>440</v>
      </c>
      <c r="F475" s="39" t="s">
        <v>1710</v>
      </c>
      <c r="G475" s="52" t="s">
        <v>436</v>
      </c>
      <c r="H475" s="39" t="s">
        <v>1715</v>
      </c>
    </row>
    <row r="476" customFormat="false" ht="12.8" hidden="false" customHeight="false" outlineLevel="0" collapsed="false">
      <c r="A476" s="39" t="s">
        <v>2002</v>
      </c>
      <c r="B476" s="39" t="s">
        <v>2003</v>
      </c>
      <c r="C476" s="39" t="n">
        <v>0.008</v>
      </c>
      <c r="D476" s="39" t="s">
        <v>2004</v>
      </c>
      <c r="E476" s="39" t="s">
        <v>434</v>
      </c>
      <c r="F476" s="39" t="s">
        <v>1710</v>
      </c>
      <c r="G476" s="52" t="s">
        <v>436</v>
      </c>
      <c r="H476" s="39" t="s">
        <v>1715</v>
      </c>
    </row>
    <row r="477" customFormat="false" ht="12.8" hidden="false" customHeight="false" outlineLevel="0" collapsed="false">
      <c r="A477" s="39" t="s">
        <v>2005</v>
      </c>
      <c r="B477" s="39" t="s">
        <v>2006</v>
      </c>
      <c r="C477" s="39" t="n">
        <v>1.057</v>
      </c>
      <c r="D477" s="39" t="s">
        <v>2007</v>
      </c>
      <c r="E477" s="39" t="s">
        <v>434</v>
      </c>
      <c r="F477" s="39" t="s">
        <v>1710</v>
      </c>
      <c r="G477" s="52" t="s">
        <v>436</v>
      </c>
      <c r="H477" s="39" t="s">
        <v>1258</v>
      </c>
    </row>
    <row r="478" customFormat="false" ht="12.8" hidden="false" customHeight="false" outlineLevel="0" collapsed="false">
      <c r="A478" s="39" t="s">
        <v>2008</v>
      </c>
      <c r="B478" s="39" t="s">
        <v>2009</v>
      </c>
      <c r="C478" s="39" t="n">
        <v>1.284</v>
      </c>
      <c r="D478" s="39" t="s">
        <v>2010</v>
      </c>
      <c r="E478" s="39" t="s">
        <v>440</v>
      </c>
      <c r="F478" s="39" t="s">
        <v>1710</v>
      </c>
      <c r="G478" s="52" t="s">
        <v>436</v>
      </c>
      <c r="H478" s="39" t="s">
        <v>1715</v>
      </c>
    </row>
    <row r="479" customFormat="false" ht="12.8" hidden="false" customHeight="false" outlineLevel="0" collapsed="false">
      <c r="A479" s="39" t="s">
        <v>2011</v>
      </c>
      <c r="B479" s="39" t="s">
        <v>2012</v>
      </c>
      <c r="C479" s="39" t="n">
        <v>1.111</v>
      </c>
      <c r="D479" s="39" t="s">
        <v>2013</v>
      </c>
      <c r="E479" s="39" t="s">
        <v>502</v>
      </c>
      <c r="F479" s="39" t="s">
        <v>1710</v>
      </c>
      <c r="G479" s="52" t="s">
        <v>436</v>
      </c>
      <c r="H479" s="39" t="s">
        <v>1715</v>
      </c>
    </row>
    <row r="480" customFormat="false" ht="12.8" hidden="false" customHeight="false" outlineLevel="0" collapsed="false">
      <c r="A480" s="39" t="s">
        <v>2014</v>
      </c>
      <c r="B480" s="39" t="s">
        <v>2015</v>
      </c>
      <c r="C480" s="39" t="n">
        <v>1.078</v>
      </c>
      <c r="D480" s="39" t="s">
        <v>2016</v>
      </c>
      <c r="E480" s="39" t="s">
        <v>434</v>
      </c>
      <c r="F480" s="39" t="s">
        <v>1710</v>
      </c>
      <c r="G480" s="52" t="s">
        <v>436</v>
      </c>
      <c r="H480" s="39" t="s">
        <v>1715</v>
      </c>
    </row>
    <row r="481" customFormat="false" ht="12.8" hidden="false" customHeight="false" outlineLevel="0" collapsed="false">
      <c r="A481" s="39" t="s">
        <v>2017</v>
      </c>
      <c r="B481" s="39" t="s">
        <v>2018</v>
      </c>
      <c r="C481" s="39" t="n">
        <v>1.284</v>
      </c>
      <c r="D481" s="39" t="s">
        <v>2019</v>
      </c>
      <c r="E481" s="39" t="s">
        <v>440</v>
      </c>
      <c r="F481" s="39" t="s">
        <v>1710</v>
      </c>
      <c r="G481" s="52" t="s">
        <v>436</v>
      </c>
      <c r="H481" s="39" t="s">
        <v>1715</v>
      </c>
    </row>
    <row r="482" customFormat="false" ht="12.8" hidden="false" customHeight="false" outlineLevel="0" collapsed="false">
      <c r="A482" s="39" t="s">
        <v>2020</v>
      </c>
      <c r="B482" s="39" t="s">
        <v>2021</v>
      </c>
      <c r="C482" s="39" t="n">
        <v>1.168</v>
      </c>
      <c r="D482" s="39" t="s">
        <v>2022</v>
      </c>
      <c r="E482" s="39" t="s">
        <v>434</v>
      </c>
      <c r="F482" s="39" t="s">
        <v>1710</v>
      </c>
      <c r="G482" s="52" t="s">
        <v>436</v>
      </c>
      <c r="H482" s="39" t="s">
        <v>1715</v>
      </c>
    </row>
    <row r="483" customFormat="false" ht="12.8" hidden="false" customHeight="false" outlineLevel="0" collapsed="false">
      <c r="A483" s="39" t="s">
        <v>2023</v>
      </c>
      <c r="B483" s="39" t="s">
        <v>2024</v>
      </c>
      <c r="C483" s="39" t="n">
        <v>1.168</v>
      </c>
      <c r="D483" s="39" t="s">
        <v>2025</v>
      </c>
      <c r="E483" s="39" t="s">
        <v>434</v>
      </c>
      <c r="F483" s="39" t="s">
        <v>1710</v>
      </c>
      <c r="G483" s="52" t="s">
        <v>436</v>
      </c>
      <c r="H483" s="39" t="s">
        <v>1715</v>
      </c>
    </row>
    <row r="484" customFormat="false" ht="12.8" hidden="false" customHeight="false" outlineLevel="0" collapsed="false">
      <c r="A484" s="39" t="s">
        <v>2026</v>
      </c>
      <c r="B484" s="39" t="s">
        <v>2027</v>
      </c>
      <c r="C484" s="39" t="n">
        <v>1.168</v>
      </c>
      <c r="D484" s="39" t="s">
        <v>2028</v>
      </c>
      <c r="E484" s="39" t="s">
        <v>434</v>
      </c>
      <c r="F484" s="39" t="s">
        <v>1710</v>
      </c>
      <c r="G484" s="52" t="s">
        <v>436</v>
      </c>
      <c r="H484" s="39" t="s">
        <v>1715</v>
      </c>
    </row>
    <row r="485" customFormat="false" ht="12.8" hidden="false" customHeight="false" outlineLevel="0" collapsed="false">
      <c r="A485" s="39" t="s">
        <v>2029</v>
      </c>
      <c r="B485" s="39" t="s">
        <v>2030</v>
      </c>
      <c r="C485" s="39" t="n">
        <v>1.123</v>
      </c>
      <c r="D485" s="39" t="s">
        <v>2031</v>
      </c>
      <c r="E485" s="39" t="s">
        <v>434</v>
      </c>
      <c r="F485" s="39" t="s">
        <v>1710</v>
      </c>
      <c r="G485" s="52" t="s">
        <v>436</v>
      </c>
      <c r="H485" s="39" t="s">
        <v>1715</v>
      </c>
    </row>
    <row r="486" customFormat="false" ht="12.8" hidden="false" customHeight="false" outlineLevel="0" collapsed="false">
      <c r="A486" s="39" t="s">
        <v>2032</v>
      </c>
      <c r="B486" s="39" t="s">
        <v>2033</v>
      </c>
      <c r="C486" s="39" t="n">
        <v>1.123</v>
      </c>
      <c r="D486" s="39" t="s">
        <v>2034</v>
      </c>
      <c r="E486" s="39" t="s">
        <v>440</v>
      </c>
      <c r="F486" s="39" t="s">
        <v>1710</v>
      </c>
      <c r="G486" s="52" t="s">
        <v>436</v>
      </c>
      <c r="H486" s="39" t="s">
        <v>1715</v>
      </c>
    </row>
    <row r="487" customFormat="false" ht="12.8" hidden="false" customHeight="false" outlineLevel="0" collapsed="false">
      <c r="A487" s="39" t="s">
        <v>2035</v>
      </c>
      <c r="B487" s="39" t="s">
        <v>2036</v>
      </c>
      <c r="C487" s="39" t="n">
        <v>1.123</v>
      </c>
      <c r="D487" s="39" t="s">
        <v>2037</v>
      </c>
      <c r="E487" s="39" t="s">
        <v>440</v>
      </c>
      <c r="F487" s="39" t="s">
        <v>1710</v>
      </c>
      <c r="G487" s="52" t="s">
        <v>436</v>
      </c>
      <c r="H487" s="39" t="s">
        <v>1715</v>
      </c>
    </row>
    <row r="488" customFormat="false" ht="12.8" hidden="false" customHeight="false" outlineLevel="0" collapsed="false">
      <c r="A488" s="39" t="s">
        <v>2038</v>
      </c>
      <c r="B488" s="39" t="s">
        <v>2039</v>
      </c>
      <c r="C488" s="39" t="n">
        <v>1.123</v>
      </c>
      <c r="D488" s="39" t="s">
        <v>2040</v>
      </c>
      <c r="E488" s="39" t="s">
        <v>434</v>
      </c>
      <c r="F488" s="39" t="s">
        <v>1710</v>
      </c>
      <c r="G488" s="52" t="s">
        <v>436</v>
      </c>
      <c r="H488" s="39" t="s">
        <v>1715</v>
      </c>
    </row>
    <row r="489" customFormat="false" ht="12.8" hidden="false" customHeight="false" outlineLevel="0" collapsed="false">
      <c r="A489" s="39" t="s">
        <v>2041</v>
      </c>
      <c r="B489" s="39" t="s">
        <v>2042</v>
      </c>
      <c r="C489" s="39" t="n">
        <v>1.123</v>
      </c>
      <c r="D489" s="39" t="s">
        <v>2043</v>
      </c>
      <c r="E489" s="39" t="s">
        <v>434</v>
      </c>
      <c r="F489" s="39" t="s">
        <v>1710</v>
      </c>
      <c r="G489" s="52" t="s">
        <v>436</v>
      </c>
      <c r="H489" s="39" t="s">
        <v>1715</v>
      </c>
    </row>
    <row r="490" customFormat="false" ht="12.8" hidden="false" customHeight="false" outlineLevel="0" collapsed="false">
      <c r="A490" s="39" t="s">
        <v>2044</v>
      </c>
      <c r="B490" s="39" t="s">
        <v>2045</v>
      </c>
      <c r="C490" s="39" t="n">
        <v>1.034</v>
      </c>
      <c r="D490" s="39" t="s">
        <v>2046</v>
      </c>
      <c r="E490" s="39" t="s">
        <v>434</v>
      </c>
      <c r="F490" s="39" t="s">
        <v>1710</v>
      </c>
      <c r="G490" s="52" t="s">
        <v>436</v>
      </c>
      <c r="H490" s="39" t="s">
        <v>1715</v>
      </c>
    </row>
    <row r="491" customFormat="false" ht="12.8" hidden="false" customHeight="false" outlineLevel="0" collapsed="false">
      <c r="A491" s="39" t="s">
        <v>2047</v>
      </c>
      <c r="B491" s="39" t="s">
        <v>2048</v>
      </c>
      <c r="C491" s="39" t="n">
        <v>0.874</v>
      </c>
      <c r="D491" s="39" t="s">
        <v>2049</v>
      </c>
      <c r="E491" s="39" t="s">
        <v>434</v>
      </c>
      <c r="F491" s="39" t="s">
        <v>1710</v>
      </c>
      <c r="G491" s="52" t="s">
        <v>436</v>
      </c>
      <c r="H491" s="39" t="s">
        <v>1715</v>
      </c>
    </row>
    <row r="492" customFormat="false" ht="12.8" hidden="false" customHeight="false" outlineLevel="0" collapsed="false">
      <c r="A492" s="39" t="s">
        <v>2050</v>
      </c>
      <c r="B492" s="39" t="s">
        <v>2051</v>
      </c>
      <c r="C492" s="39" t="n">
        <v>1.043</v>
      </c>
      <c r="D492" s="39" t="s">
        <v>2052</v>
      </c>
      <c r="E492" s="39" t="s">
        <v>440</v>
      </c>
      <c r="F492" s="39" t="s">
        <v>1710</v>
      </c>
      <c r="G492" s="52" t="s">
        <v>436</v>
      </c>
      <c r="H492" s="39" t="s">
        <v>1715</v>
      </c>
    </row>
    <row r="493" customFormat="false" ht="12.8" hidden="false" customHeight="false" outlineLevel="0" collapsed="false">
      <c r="A493" s="39" t="s">
        <v>2053</v>
      </c>
      <c r="B493" s="39" t="s">
        <v>2054</v>
      </c>
      <c r="C493" s="39" t="n">
        <v>0.926</v>
      </c>
      <c r="D493" s="39" t="s">
        <v>2055</v>
      </c>
      <c r="E493" s="39" t="s">
        <v>434</v>
      </c>
      <c r="F493" s="39" t="s">
        <v>1710</v>
      </c>
      <c r="G493" s="52" t="s">
        <v>436</v>
      </c>
      <c r="H493" s="39" t="s">
        <v>1715</v>
      </c>
    </row>
    <row r="494" customFormat="false" ht="12.8" hidden="false" customHeight="false" outlineLevel="0" collapsed="false">
      <c r="A494" s="39" t="s">
        <v>2056</v>
      </c>
      <c r="B494" s="39" t="s">
        <v>2057</v>
      </c>
      <c r="C494" s="39" t="n">
        <v>1.186</v>
      </c>
      <c r="D494" s="39" t="s">
        <v>2058</v>
      </c>
      <c r="E494" s="39" t="s">
        <v>440</v>
      </c>
      <c r="F494" s="39" t="s">
        <v>1710</v>
      </c>
      <c r="G494" s="52" t="s">
        <v>436</v>
      </c>
      <c r="H494" s="39" t="s">
        <v>1715</v>
      </c>
    </row>
    <row r="495" customFormat="false" ht="12.8" hidden="false" customHeight="false" outlineLevel="0" collapsed="false">
      <c r="A495" s="39" t="s">
        <v>2059</v>
      </c>
      <c r="B495" s="39" t="s">
        <v>2060</v>
      </c>
      <c r="C495" s="39" t="n">
        <v>0.966</v>
      </c>
      <c r="D495" s="39" t="s">
        <v>2061</v>
      </c>
      <c r="E495" s="39" t="s">
        <v>434</v>
      </c>
      <c r="F495" s="39" t="s">
        <v>1710</v>
      </c>
      <c r="G495" s="52" t="s">
        <v>436</v>
      </c>
      <c r="H495" s="39" t="s">
        <v>1715</v>
      </c>
    </row>
    <row r="496" customFormat="false" ht="12.8" hidden="false" customHeight="false" outlineLevel="0" collapsed="false">
      <c r="A496" s="39" t="s">
        <v>2062</v>
      </c>
      <c r="B496" s="39" t="s">
        <v>2063</v>
      </c>
      <c r="C496" s="39" t="n">
        <v>0.966</v>
      </c>
      <c r="D496" s="39" t="s">
        <v>2064</v>
      </c>
      <c r="E496" s="39" t="s">
        <v>434</v>
      </c>
      <c r="F496" s="39" t="s">
        <v>1710</v>
      </c>
      <c r="G496" s="52" t="s">
        <v>436</v>
      </c>
      <c r="H496" s="39" t="s">
        <v>1715</v>
      </c>
    </row>
    <row r="497" customFormat="false" ht="12.8" hidden="false" customHeight="false" outlineLevel="0" collapsed="false">
      <c r="A497" s="39" t="s">
        <v>2065</v>
      </c>
      <c r="B497" s="39" t="s">
        <v>2066</v>
      </c>
      <c r="C497" s="39" t="n">
        <v>1.186</v>
      </c>
      <c r="D497" s="39" t="s">
        <v>2067</v>
      </c>
      <c r="E497" s="39" t="s">
        <v>502</v>
      </c>
      <c r="F497" s="39" t="s">
        <v>1710</v>
      </c>
      <c r="G497" s="52" t="s">
        <v>436</v>
      </c>
      <c r="H497" s="39" t="s">
        <v>1715</v>
      </c>
    </row>
    <row r="498" customFormat="false" ht="12.8" hidden="false" customHeight="false" outlineLevel="0" collapsed="false">
      <c r="A498" s="39" t="s">
        <v>2068</v>
      </c>
      <c r="B498" s="39" t="s">
        <v>2069</v>
      </c>
      <c r="C498" s="39" t="n">
        <v>1.284</v>
      </c>
      <c r="D498" s="39" t="s">
        <v>2070</v>
      </c>
      <c r="E498" s="39" t="s">
        <v>502</v>
      </c>
      <c r="F498" s="39" t="s">
        <v>1710</v>
      </c>
      <c r="G498" s="52" t="s">
        <v>436</v>
      </c>
      <c r="H498" s="39" t="s">
        <v>1715</v>
      </c>
    </row>
    <row r="499" customFormat="false" ht="12.8" hidden="false" customHeight="false" outlineLevel="0" collapsed="false">
      <c r="A499" s="39" t="s">
        <v>2071</v>
      </c>
      <c r="B499" s="39" t="s">
        <v>2072</v>
      </c>
      <c r="C499" s="39" t="n">
        <v>1.186</v>
      </c>
      <c r="D499" s="39" t="s">
        <v>2073</v>
      </c>
      <c r="E499" s="39" t="s">
        <v>440</v>
      </c>
      <c r="F499" s="39" t="s">
        <v>1710</v>
      </c>
      <c r="G499" s="52" t="s">
        <v>436</v>
      </c>
      <c r="H499" s="39" t="s">
        <v>1715</v>
      </c>
    </row>
    <row r="500" customFormat="false" ht="12.8" hidden="false" customHeight="false" outlineLevel="0" collapsed="false">
      <c r="A500" s="39" t="s">
        <v>2074</v>
      </c>
      <c r="B500" s="39" t="s">
        <v>2075</v>
      </c>
      <c r="C500" s="39" t="n">
        <v>0.84</v>
      </c>
      <c r="D500" s="39" t="s">
        <v>2076</v>
      </c>
      <c r="E500" s="39" t="s">
        <v>434</v>
      </c>
      <c r="F500" s="39" t="s">
        <v>1710</v>
      </c>
      <c r="G500" s="52" t="s">
        <v>436</v>
      </c>
      <c r="H500" s="39" t="s">
        <v>1715</v>
      </c>
    </row>
    <row r="501" customFormat="false" ht="12.8" hidden="false" customHeight="false" outlineLevel="0" collapsed="false">
      <c r="A501" s="39" t="s">
        <v>2077</v>
      </c>
      <c r="B501" s="39" t="s">
        <v>2078</v>
      </c>
      <c r="C501" s="39" t="n">
        <v>0.008</v>
      </c>
      <c r="D501" s="39" t="s">
        <v>2079</v>
      </c>
      <c r="E501" s="39" t="s">
        <v>434</v>
      </c>
      <c r="F501" s="39" t="s">
        <v>1710</v>
      </c>
      <c r="G501" s="52" t="s">
        <v>436</v>
      </c>
      <c r="H501" s="39" t="s">
        <v>1715</v>
      </c>
    </row>
    <row r="502" customFormat="false" ht="12.8" hidden="false" customHeight="false" outlineLevel="0" collapsed="false">
      <c r="A502" s="39" t="s">
        <v>2080</v>
      </c>
      <c r="B502" s="39" t="s">
        <v>2081</v>
      </c>
      <c r="C502" s="39" t="n">
        <v>0.015</v>
      </c>
      <c r="D502" s="39" t="s">
        <v>2082</v>
      </c>
      <c r="E502" s="39" t="s">
        <v>440</v>
      </c>
      <c r="F502" s="39" t="s">
        <v>1710</v>
      </c>
      <c r="G502" s="52" t="s">
        <v>436</v>
      </c>
      <c r="H502" s="39" t="s">
        <v>1715</v>
      </c>
    </row>
    <row r="503" customFormat="false" ht="12.8" hidden="false" customHeight="false" outlineLevel="0" collapsed="false">
      <c r="A503" s="39" t="s">
        <v>2083</v>
      </c>
      <c r="B503" s="39" t="s">
        <v>2084</v>
      </c>
      <c r="C503" s="39" t="n">
        <v>0.015</v>
      </c>
      <c r="D503" s="39" t="s">
        <v>2085</v>
      </c>
      <c r="E503" s="39" t="s">
        <v>502</v>
      </c>
      <c r="F503" s="39" t="s">
        <v>1710</v>
      </c>
      <c r="G503" s="52" t="s">
        <v>436</v>
      </c>
      <c r="H503" s="39" t="s">
        <v>1258</v>
      </c>
    </row>
    <row r="504" customFormat="false" ht="12.8" hidden="false" customHeight="false" outlineLevel="0" collapsed="false">
      <c r="A504" s="39" t="s">
        <v>2086</v>
      </c>
      <c r="B504" s="39" t="s">
        <v>2087</v>
      </c>
      <c r="C504" s="39" t="n">
        <v>0.008</v>
      </c>
      <c r="D504" s="39" t="s">
        <v>2088</v>
      </c>
      <c r="E504" s="39" t="s">
        <v>434</v>
      </c>
      <c r="F504" s="39" t="s">
        <v>1710</v>
      </c>
      <c r="G504" s="52" t="s">
        <v>436</v>
      </c>
      <c r="H504" s="39" t="s">
        <v>1715</v>
      </c>
    </row>
    <row r="505" customFormat="false" ht="12.8" hidden="false" customHeight="false" outlineLevel="0" collapsed="false">
      <c r="A505" s="39" t="s">
        <v>2089</v>
      </c>
      <c r="B505" s="39" t="s">
        <v>2090</v>
      </c>
      <c r="C505" s="39" t="n">
        <v>0.012</v>
      </c>
      <c r="D505" s="39" t="s">
        <v>2091</v>
      </c>
      <c r="E505" s="39" t="s">
        <v>440</v>
      </c>
      <c r="F505" s="39" t="s">
        <v>1710</v>
      </c>
      <c r="G505" s="52" t="s">
        <v>436</v>
      </c>
      <c r="H505" s="39" t="s">
        <v>1715</v>
      </c>
    </row>
    <row r="506" customFormat="false" ht="12.8" hidden="false" customHeight="false" outlineLevel="0" collapsed="false">
      <c r="A506" s="39" t="s">
        <v>2092</v>
      </c>
      <c r="B506" s="39" t="s">
        <v>2093</v>
      </c>
      <c r="C506" s="39" t="n">
        <v>0.008</v>
      </c>
      <c r="D506" s="39" t="s">
        <v>2094</v>
      </c>
      <c r="E506" s="39" t="s">
        <v>434</v>
      </c>
      <c r="F506" s="39" t="s">
        <v>1710</v>
      </c>
      <c r="G506" s="52" t="s">
        <v>436</v>
      </c>
      <c r="H506" s="39" t="s">
        <v>1715</v>
      </c>
    </row>
    <row r="507" customFormat="false" ht="12.8" hidden="false" customHeight="false" outlineLevel="0" collapsed="false">
      <c r="A507" s="39" t="s">
        <v>2095</v>
      </c>
      <c r="B507" s="39" t="s">
        <v>2096</v>
      </c>
      <c r="C507" s="39" t="n">
        <v>0.008</v>
      </c>
      <c r="D507" s="39" t="s">
        <v>2097</v>
      </c>
      <c r="E507" s="39" t="s">
        <v>434</v>
      </c>
      <c r="F507" s="39" t="s">
        <v>1710</v>
      </c>
      <c r="G507" s="52" t="s">
        <v>436</v>
      </c>
      <c r="H507" s="39" t="s">
        <v>1715</v>
      </c>
    </row>
    <row r="508" customFormat="false" ht="12.8" hidden="false" customHeight="false" outlineLevel="0" collapsed="false">
      <c r="A508" s="39" t="s">
        <v>2098</v>
      </c>
      <c r="B508" s="39" t="s">
        <v>2099</v>
      </c>
      <c r="C508" s="39" t="n">
        <v>0.008</v>
      </c>
      <c r="D508" s="39" t="s">
        <v>2100</v>
      </c>
      <c r="E508" s="39" t="s">
        <v>434</v>
      </c>
      <c r="F508" s="39" t="s">
        <v>1710</v>
      </c>
      <c r="G508" s="52" t="s">
        <v>436</v>
      </c>
      <c r="H508" s="39" t="s">
        <v>1715</v>
      </c>
    </row>
    <row r="509" customFormat="false" ht="12.8" hidden="false" customHeight="false" outlineLevel="0" collapsed="false">
      <c r="A509" s="39" t="s">
        <v>2101</v>
      </c>
      <c r="B509" s="39" t="s">
        <v>2102</v>
      </c>
      <c r="C509" s="39" t="n">
        <v>0.008</v>
      </c>
      <c r="D509" s="39" t="s">
        <v>2103</v>
      </c>
      <c r="E509" s="39" t="s">
        <v>434</v>
      </c>
      <c r="F509" s="39" t="s">
        <v>1710</v>
      </c>
      <c r="G509" s="52" t="s">
        <v>436</v>
      </c>
      <c r="H509" s="39" t="s">
        <v>1715</v>
      </c>
    </row>
    <row r="510" customFormat="false" ht="12.8" hidden="false" customHeight="false" outlineLevel="0" collapsed="false">
      <c r="A510" s="39" t="s">
        <v>2104</v>
      </c>
      <c r="B510" s="39" t="s">
        <v>2105</v>
      </c>
      <c r="C510" s="39" t="n">
        <v>0.012</v>
      </c>
      <c r="D510" s="39" t="s">
        <v>2106</v>
      </c>
      <c r="E510" s="39" t="s">
        <v>440</v>
      </c>
      <c r="F510" s="39" t="s">
        <v>1710</v>
      </c>
      <c r="G510" s="52" t="s">
        <v>436</v>
      </c>
      <c r="H510" s="39" t="s">
        <v>1715</v>
      </c>
    </row>
    <row r="511" customFormat="false" ht="12.8" hidden="false" customHeight="false" outlineLevel="0" collapsed="false">
      <c r="A511" s="39" t="s">
        <v>2107</v>
      </c>
      <c r="B511" s="39" t="s">
        <v>2108</v>
      </c>
      <c r="C511" s="39" t="n">
        <v>0.012</v>
      </c>
      <c r="D511" s="39" t="s">
        <v>2109</v>
      </c>
      <c r="E511" s="39" t="s">
        <v>440</v>
      </c>
      <c r="F511" s="39" t="s">
        <v>1710</v>
      </c>
      <c r="G511" s="52" t="s">
        <v>436</v>
      </c>
      <c r="H511" s="39" t="s">
        <v>1715</v>
      </c>
    </row>
    <row r="512" customFormat="false" ht="12.8" hidden="false" customHeight="false" outlineLevel="0" collapsed="false">
      <c r="A512" s="39" t="s">
        <v>2110</v>
      </c>
      <c r="B512" s="39" t="s">
        <v>2111</v>
      </c>
      <c r="C512" s="39" t="n">
        <v>0.008</v>
      </c>
      <c r="D512" s="39" t="s">
        <v>2112</v>
      </c>
      <c r="E512" s="39" t="s">
        <v>434</v>
      </c>
      <c r="F512" s="39" t="s">
        <v>1710</v>
      </c>
      <c r="G512" s="52" t="s">
        <v>436</v>
      </c>
      <c r="H512" s="39" t="s">
        <v>1715</v>
      </c>
    </row>
    <row r="513" customFormat="false" ht="12.8" hidden="false" customHeight="false" outlineLevel="0" collapsed="false">
      <c r="A513" s="39" t="s">
        <v>2113</v>
      </c>
      <c r="B513" s="39" t="s">
        <v>2114</v>
      </c>
      <c r="C513" s="39" t="n">
        <v>0.008</v>
      </c>
      <c r="D513" s="39" t="s">
        <v>2115</v>
      </c>
      <c r="E513" s="39" t="s">
        <v>434</v>
      </c>
      <c r="F513" s="39" t="s">
        <v>1710</v>
      </c>
      <c r="G513" s="52" t="s">
        <v>436</v>
      </c>
      <c r="H513" s="39" t="s">
        <v>1715</v>
      </c>
    </row>
    <row r="514" customFormat="false" ht="12.8" hidden="false" customHeight="false" outlineLevel="0" collapsed="false">
      <c r="A514" s="39" t="s">
        <v>2116</v>
      </c>
      <c r="B514" s="39" t="s">
        <v>2117</v>
      </c>
      <c r="C514" s="39" t="n">
        <v>0.008</v>
      </c>
      <c r="D514" s="39" t="s">
        <v>2118</v>
      </c>
      <c r="E514" s="39" t="s">
        <v>434</v>
      </c>
      <c r="F514" s="39" t="s">
        <v>1710</v>
      </c>
      <c r="G514" s="52" t="s">
        <v>436</v>
      </c>
      <c r="H514" s="39" t="s">
        <v>1715</v>
      </c>
    </row>
    <row r="515" customFormat="false" ht="12.8" hidden="false" customHeight="false" outlineLevel="0" collapsed="false">
      <c r="A515" s="39" t="s">
        <v>2119</v>
      </c>
      <c r="B515" s="39" t="s">
        <v>2120</v>
      </c>
      <c r="C515" s="39" t="n">
        <v>0.008</v>
      </c>
      <c r="D515" s="39" t="s">
        <v>2121</v>
      </c>
      <c r="E515" s="39" t="s">
        <v>434</v>
      </c>
      <c r="F515" s="39" t="s">
        <v>1710</v>
      </c>
      <c r="G515" s="52" t="s">
        <v>436</v>
      </c>
      <c r="H515" s="39" t="s">
        <v>1715</v>
      </c>
    </row>
    <row r="516" customFormat="false" ht="12.8" hidden="false" customHeight="false" outlineLevel="0" collapsed="false">
      <c r="A516" s="39" t="s">
        <v>2122</v>
      </c>
      <c r="B516" s="39" t="s">
        <v>2123</v>
      </c>
      <c r="C516" s="39" t="n">
        <v>0.012</v>
      </c>
      <c r="D516" s="39" t="s">
        <v>2124</v>
      </c>
      <c r="E516" s="39" t="s">
        <v>440</v>
      </c>
      <c r="F516" s="39" t="s">
        <v>1710</v>
      </c>
      <c r="G516" s="52" t="s">
        <v>436</v>
      </c>
      <c r="H516" s="39" t="s">
        <v>1715</v>
      </c>
    </row>
    <row r="517" customFormat="false" ht="12.8" hidden="false" customHeight="false" outlineLevel="0" collapsed="false">
      <c r="A517" s="39" t="s">
        <v>2125</v>
      </c>
      <c r="B517" s="39" t="s">
        <v>2126</v>
      </c>
      <c r="C517" s="39" t="n">
        <v>0.008</v>
      </c>
      <c r="D517" s="39" t="s">
        <v>2127</v>
      </c>
      <c r="E517" s="39" t="s">
        <v>434</v>
      </c>
      <c r="F517" s="39" t="s">
        <v>1710</v>
      </c>
      <c r="G517" s="52" t="s">
        <v>436</v>
      </c>
      <c r="H517" s="39" t="s">
        <v>1715</v>
      </c>
    </row>
    <row r="518" customFormat="false" ht="12.8" hidden="false" customHeight="false" outlineLevel="0" collapsed="false">
      <c r="A518" s="39" t="s">
        <v>2128</v>
      </c>
      <c r="B518" s="39" t="s">
        <v>2129</v>
      </c>
      <c r="C518" s="39" t="n">
        <v>0.012</v>
      </c>
      <c r="D518" s="39" t="s">
        <v>2130</v>
      </c>
      <c r="E518" s="39" t="s">
        <v>440</v>
      </c>
      <c r="F518" s="39" t="s">
        <v>1710</v>
      </c>
      <c r="G518" s="52" t="s">
        <v>436</v>
      </c>
      <c r="H518" s="39" t="s">
        <v>1715</v>
      </c>
    </row>
    <row r="519" customFormat="false" ht="12.8" hidden="false" customHeight="false" outlineLevel="0" collapsed="false">
      <c r="A519" s="39" t="s">
        <v>2131</v>
      </c>
      <c r="B519" s="39" t="s">
        <v>2132</v>
      </c>
      <c r="C519" s="39" t="n">
        <v>0.008</v>
      </c>
      <c r="D519" s="39" t="s">
        <v>2133</v>
      </c>
      <c r="E519" s="39" t="s">
        <v>434</v>
      </c>
      <c r="F519" s="39" t="s">
        <v>1710</v>
      </c>
      <c r="G519" s="52" t="s">
        <v>436</v>
      </c>
      <c r="H519" s="39" t="s">
        <v>1715</v>
      </c>
    </row>
    <row r="520" customFormat="false" ht="12.8" hidden="false" customHeight="false" outlineLevel="0" collapsed="false">
      <c r="A520" s="39" t="s">
        <v>2134</v>
      </c>
      <c r="B520" s="39" t="s">
        <v>2135</v>
      </c>
      <c r="C520" s="39" t="n">
        <v>0.008</v>
      </c>
      <c r="D520" s="39" t="s">
        <v>2136</v>
      </c>
      <c r="E520" s="39" t="s">
        <v>434</v>
      </c>
      <c r="F520" s="39" t="s">
        <v>1710</v>
      </c>
      <c r="G520" s="52" t="s">
        <v>436</v>
      </c>
      <c r="H520" s="39" t="s">
        <v>1715</v>
      </c>
    </row>
    <row r="521" customFormat="false" ht="12.8" hidden="false" customHeight="false" outlineLevel="0" collapsed="false">
      <c r="A521" s="39" t="s">
        <v>2137</v>
      </c>
      <c r="B521" s="39" t="s">
        <v>2138</v>
      </c>
      <c r="C521" s="39" t="n">
        <v>0.012</v>
      </c>
      <c r="D521" s="39" t="s">
        <v>2139</v>
      </c>
      <c r="E521" s="39" t="s">
        <v>502</v>
      </c>
      <c r="F521" s="39" t="s">
        <v>1710</v>
      </c>
      <c r="G521" s="52" t="s">
        <v>436</v>
      </c>
      <c r="H521" s="39" t="s">
        <v>1715</v>
      </c>
    </row>
    <row r="522" customFormat="false" ht="12.8" hidden="false" customHeight="false" outlineLevel="0" collapsed="false">
      <c r="A522" s="39" t="s">
        <v>2140</v>
      </c>
      <c r="B522" s="39" t="s">
        <v>2141</v>
      </c>
      <c r="C522" s="39" t="n">
        <v>0.012</v>
      </c>
      <c r="D522" s="39" t="s">
        <v>2142</v>
      </c>
      <c r="E522" s="39" t="s">
        <v>502</v>
      </c>
      <c r="F522" s="39" t="s">
        <v>1710</v>
      </c>
      <c r="G522" s="52" t="s">
        <v>436</v>
      </c>
      <c r="H522" s="39" t="s">
        <v>1715</v>
      </c>
    </row>
    <row r="523" customFormat="false" ht="12.8" hidden="false" customHeight="false" outlineLevel="0" collapsed="false">
      <c r="A523" s="39" t="s">
        <v>2143</v>
      </c>
      <c r="B523" s="39" t="s">
        <v>2144</v>
      </c>
      <c r="C523" s="39" t="n">
        <v>0.012</v>
      </c>
      <c r="D523" s="39" t="s">
        <v>2145</v>
      </c>
      <c r="E523" s="39" t="s">
        <v>440</v>
      </c>
      <c r="F523" s="39" t="s">
        <v>1710</v>
      </c>
      <c r="G523" s="52" t="s">
        <v>436</v>
      </c>
      <c r="H523" s="39" t="s">
        <v>1715</v>
      </c>
    </row>
    <row r="524" customFormat="false" ht="12.8" hidden="false" customHeight="false" outlineLevel="0" collapsed="false">
      <c r="A524" s="39" t="s">
        <v>2146</v>
      </c>
      <c r="B524" s="39" t="s">
        <v>2147</v>
      </c>
      <c r="C524" s="39" t="n">
        <v>0.008</v>
      </c>
      <c r="D524" s="39" t="s">
        <v>2148</v>
      </c>
      <c r="E524" s="39" t="s">
        <v>434</v>
      </c>
      <c r="F524" s="39" t="s">
        <v>1710</v>
      </c>
      <c r="G524" s="52" t="s">
        <v>436</v>
      </c>
      <c r="H524" s="39" t="s">
        <v>1715</v>
      </c>
    </row>
    <row r="525" customFormat="false" ht="12.8" hidden="false" customHeight="false" outlineLevel="0" collapsed="false">
      <c r="A525" s="39" t="s">
        <v>2149</v>
      </c>
      <c r="B525" s="39" t="s">
        <v>2150</v>
      </c>
      <c r="C525" s="39" t="n">
        <v>0.9</v>
      </c>
      <c r="D525" s="39" t="s">
        <v>2151</v>
      </c>
      <c r="E525" s="39" t="s">
        <v>434</v>
      </c>
      <c r="F525" s="39" t="s">
        <v>1710</v>
      </c>
      <c r="G525" s="52" t="s">
        <v>436</v>
      </c>
      <c r="H525" s="39" t="s">
        <v>1258</v>
      </c>
    </row>
    <row r="526" customFormat="false" ht="12.8" hidden="false" customHeight="false" outlineLevel="0" collapsed="false">
      <c r="A526" s="39" t="s">
        <v>2152</v>
      </c>
      <c r="B526" s="39" t="s">
        <v>2153</v>
      </c>
      <c r="C526" s="39" t="n">
        <v>0.75</v>
      </c>
      <c r="D526" s="39" t="s">
        <v>2154</v>
      </c>
      <c r="E526" s="39" t="s">
        <v>502</v>
      </c>
      <c r="F526" s="39" t="s">
        <v>1710</v>
      </c>
      <c r="G526" s="52" t="s">
        <v>436</v>
      </c>
      <c r="H526" s="39" t="s">
        <v>1715</v>
      </c>
    </row>
    <row r="527" customFormat="false" ht="12.8" hidden="false" customHeight="false" outlineLevel="0" collapsed="false">
      <c r="A527" s="39" t="s">
        <v>2155</v>
      </c>
      <c r="B527" s="39" t="s">
        <v>2156</v>
      </c>
      <c r="C527" s="39" t="n">
        <v>0.75</v>
      </c>
      <c r="D527" s="39" t="s">
        <v>2157</v>
      </c>
      <c r="E527" s="39" t="s">
        <v>502</v>
      </c>
      <c r="F527" s="39" t="s">
        <v>1710</v>
      </c>
      <c r="G527" s="52" t="s">
        <v>436</v>
      </c>
      <c r="H527" s="39" t="s">
        <v>1715</v>
      </c>
    </row>
    <row r="528" customFormat="false" ht="12.8" hidden="false" customHeight="false" outlineLevel="0" collapsed="false">
      <c r="A528" s="39" t="s">
        <v>2158</v>
      </c>
      <c r="B528" s="39" t="s">
        <v>2159</v>
      </c>
      <c r="C528" s="39" t="n">
        <v>0.95</v>
      </c>
      <c r="D528" s="39" t="s">
        <v>2160</v>
      </c>
      <c r="E528" s="39" t="s">
        <v>434</v>
      </c>
      <c r="F528" s="39" t="s">
        <v>1710</v>
      </c>
      <c r="G528" s="52" t="s">
        <v>436</v>
      </c>
      <c r="H528" s="39" t="s">
        <v>1715</v>
      </c>
    </row>
    <row r="529" customFormat="false" ht="12.8" hidden="false" customHeight="false" outlineLevel="0" collapsed="false">
      <c r="A529" s="39" t="s">
        <v>2161</v>
      </c>
      <c r="B529" s="39" t="s">
        <v>2162</v>
      </c>
      <c r="C529" s="39" t="n">
        <v>0.85</v>
      </c>
      <c r="D529" s="39" t="s">
        <v>2163</v>
      </c>
      <c r="E529" s="39" t="s">
        <v>440</v>
      </c>
      <c r="F529" s="39" t="s">
        <v>1710</v>
      </c>
      <c r="G529" s="52" t="s">
        <v>436</v>
      </c>
      <c r="H529" s="39" t="s">
        <v>1715</v>
      </c>
    </row>
    <row r="530" customFormat="false" ht="12.8" hidden="false" customHeight="false" outlineLevel="0" collapsed="false">
      <c r="A530" s="39" t="s">
        <v>2164</v>
      </c>
      <c r="B530" s="39" t="s">
        <v>2165</v>
      </c>
      <c r="C530" s="39" t="n">
        <v>0.9</v>
      </c>
      <c r="D530" s="39" t="s">
        <v>2166</v>
      </c>
      <c r="E530" s="39" t="s">
        <v>434</v>
      </c>
      <c r="F530" s="39" t="s">
        <v>1710</v>
      </c>
      <c r="G530" s="52" t="s">
        <v>436</v>
      </c>
      <c r="H530" s="39" t="s">
        <v>1715</v>
      </c>
    </row>
    <row r="531" customFormat="false" ht="12.8" hidden="false" customHeight="false" outlineLevel="0" collapsed="false">
      <c r="A531" s="39" t="s">
        <v>2167</v>
      </c>
      <c r="B531" s="39" t="s">
        <v>2168</v>
      </c>
      <c r="C531" s="39" t="n">
        <v>0.9</v>
      </c>
      <c r="D531" s="39" t="s">
        <v>2169</v>
      </c>
      <c r="E531" s="39" t="s">
        <v>434</v>
      </c>
      <c r="F531" s="39" t="s">
        <v>1710</v>
      </c>
      <c r="G531" s="52" t="s">
        <v>436</v>
      </c>
      <c r="H531" s="39" t="s">
        <v>1715</v>
      </c>
    </row>
    <row r="532" customFormat="false" ht="12.8" hidden="false" customHeight="false" outlineLevel="0" collapsed="false">
      <c r="A532" s="39" t="s">
        <v>2170</v>
      </c>
      <c r="B532" s="39" t="s">
        <v>2171</v>
      </c>
      <c r="C532" s="39" t="n">
        <v>0.9</v>
      </c>
      <c r="D532" s="39" t="s">
        <v>2172</v>
      </c>
      <c r="E532" s="39" t="s">
        <v>434</v>
      </c>
      <c r="F532" s="39" t="s">
        <v>1710</v>
      </c>
      <c r="G532" s="52" t="s">
        <v>436</v>
      </c>
      <c r="H532" s="39" t="s">
        <v>1715</v>
      </c>
    </row>
    <row r="533" customFormat="false" ht="12.8" hidden="false" customHeight="false" outlineLevel="0" collapsed="false">
      <c r="A533" s="39" t="s">
        <v>2173</v>
      </c>
      <c r="B533" s="39" t="s">
        <v>2174</v>
      </c>
      <c r="C533" s="39" t="n">
        <v>0.9</v>
      </c>
      <c r="D533" s="39" t="s">
        <v>2175</v>
      </c>
      <c r="E533" s="39" t="s">
        <v>434</v>
      </c>
      <c r="F533" s="39" t="s">
        <v>1710</v>
      </c>
      <c r="G533" s="52" t="s">
        <v>436</v>
      </c>
      <c r="H533" s="39" t="s">
        <v>1715</v>
      </c>
    </row>
    <row r="534" customFormat="false" ht="12.8" hidden="false" customHeight="false" outlineLevel="0" collapsed="false">
      <c r="A534" s="39" t="s">
        <v>2176</v>
      </c>
      <c r="B534" s="39" t="s">
        <v>2177</v>
      </c>
      <c r="C534" s="39" t="n">
        <v>0.85</v>
      </c>
      <c r="D534" s="39" t="s">
        <v>2178</v>
      </c>
      <c r="E534" s="39" t="s">
        <v>440</v>
      </c>
      <c r="F534" s="39" t="s">
        <v>1710</v>
      </c>
      <c r="G534" s="52" t="s">
        <v>436</v>
      </c>
      <c r="H534" s="39" t="s">
        <v>1715</v>
      </c>
    </row>
    <row r="535" customFormat="false" ht="12.8" hidden="false" customHeight="false" outlineLevel="0" collapsed="false">
      <c r="A535" s="39" t="s">
        <v>2179</v>
      </c>
      <c r="B535" s="39" t="s">
        <v>2180</v>
      </c>
      <c r="C535" s="39" t="n">
        <v>0.85</v>
      </c>
      <c r="D535" s="39" t="s">
        <v>2181</v>
      </c>
      <c r="E535" s="39" t="s">
        <v>440</v>
      </c>
      <c r="F535" s="39" t="s">
        <v>1710</v>
      </c>
      <c r="G535" s="52" t="s">
        <v>436</v>
      </c>
      <c r="H535" s="39" t="s">
        <v>1715</v>
      </c>
    </row>
    <row r="536" customFormat="false" ht="12.8" hidden="false" customHeight="false" outlineLevel="0" collapsed="false">
      <c r="A536" s="39" t="s">
        <v>2182</v>
      </c>
      <c r="B536" s="39" t="s">
        <v>2183</v>
      </c>
      <c r="C536" s="39" t="n">
        <v>0.9</v>
      </c>
      <c r="D536" s="39" t="s">
        <v>2184</v>
      </c>
      <c r="E536" s="39" t="s">
        <v>434</v>
      </c>
      <c r="F536" s="39" t="s">
        <v>1710</v>
      </c>
      <c r="G536" s="52" t="s">
        <v>436</v>
      </c>
      <c r="H536" s="39" t="s">
        <v>1715</v>
      </c>
    </row>
    <row r="537" customFormat="false" ht="12.8" hidden="false" customHeight="false" outlineLevel="0" collapsed="false">
      <c r="A537" s="39" t="s">
        <v>2185</v>
      </c>
      <c r="B537" s="39" t="s">
        <v>2186</v>
      </c>
      <c r="C537" s="39" t="n">
        <v>0.9</v>
      </c>
      <c r="D537" s="39" t="s">
        <v>2187</v>
      </c>
      <c r="E537" s="39" t="s">
        <v>434</v>
      </c>
      <c r="F537" s="39" t="s">
        <v>1710</v>
      </c>
      <c r="G537" s="52" t="s">
        <v>436</v>
      </c>
      <c r="H537" s="39" t="s">
        <v>1715</v>
      </c>
    </row>
    <row r="538" customFormat="false" ht="12.8" hidden="false" customHeight="false" outlineLevel="0" collapsed="false">
      <c r="A538" s="39" t="s">
        <v>2188</v>
      </c>
      <c r="B538" s="39" t="s">
        <v>2189</v>
      </c>
      <c r="C538" s="39" t="n">
        <v>0.9</v>
      </c>
      <c r="D538" s="39" t="s">
        <v>2190</v>
      </c>
      <c r="E538" s="39" t="s">
        <v>434</v>
      </c>
      <c r="F538" s="39" t="s">
        <v>1710</v>
      </c>
      <c r="G538" s="52" t="s">
        <v>436</v>
      </c>
      <c r="H538" s="39" t="s">
        <v>1715</v>
      </c>
    </row>
    <row r="539" customFormat="false" ht="12.8" hidden="false" customHeight="false" outlineLevel="0" collapsed="false">
      <c r="A539" s="39" t="s">
        <v>2191</v>
      </c>
      <c r="B539" s="39" t="s">
        <v>2192</v>
      </c>
      <c r="C539" s="39" t="n">
        <v>0.95</v>
      </c>
      <c r="D539" s="39" t="s">
        <v>2193</v>
      </c>
      <c r="E539" s="39" t="s">
        <v>434</v>
      </c>
      <c r="F539" s="39" t="s">
        <v>1710</v>
      </c>
      <c r="G539" s="52" t="s">
        <v>436</v>
      </c>
      <c r="H539" s="39" t="s">
        <v>1715</v>
      </c>
    </row>
    <row r="540" customFormat="false" ht="12.8" hidden="false" customHeight="false" outlineLevel="0" collapsed="false">
      <c r="A540" s="39" t="s">
        <v>2194</v>
      </c>
      <c r="B540" s="39" t="s">
        <v>2195</v>
      </c>
      <c r="C540" s="39" t="n">
        <v>0.85</v>
      </c>
      <c r="D540" s="39" t="s">
        <v>2196</v>
      </c>
      <c r="E540" s="39" t="s">
        <v>440</v>
      </c>
      <c r="F540" s="39" t="s">
        <v>1710</v>
      </c>
      <c r="G540" s="52" t="s">
        <v>436</v>
      </c>
      <c r="H540" s="39" t="s">
        <v>1715</v>
      </c>
    </row>
    <row r="541" customFormat="false" ht="12.8" hidden="false" customHeight="false" outlineLevel="0" collapsed="false">
      <c r="A541" s="39" t="s">
        <v>2197</v>
      </c>
      <c r="B541" s="39" t="s">
        <v>2198</v>
      </c>
      <c r="C541" s="39" t="n">
        <v>0.95</v>
      </c>
      <c r="D541" s="39" t="s">
        <v>2199</v>
      </c>
      <c r="E541" s="39" t="s">
        <v>434</v>
      </c>
      <c r="F541" s="39" t="s">
        <v>1710</v>
      </c>
      <c r="G541" s="52" t="s">
        <v>436</v>
      </c>
      <c r="H541" s="39" t="s">
        <v>1715</v>
      </c>
    </row>
    <row r="542" customFormat="false" ht="12.8" hidden="false" customHeight="false" outlineLevel="0" collapsed="false">
      <c r="A542" s="39" t="s">
        <v>2200</v>
      </c>
      <c r="B542" s="39" t="s">
        <v>2201</v>
      </c>
      <c r="C542" s="39" t="n">
        <v>0.85</v>
      </c>
      <c r="D542" s="39" t="s">
        <v>2202</v>
      </c>
      <c r="E542" s="39" t="s">
        <v>440</v>
      </c>
      <c r="F542" s="39" t="s">
        <v>1710</v>
      </c>
      <c r="G542" s="52" t="s">
        <v>436</v>
      </c>
      <c r="H542" s="39" t="s">
        <v>1715</v>
      </c>
    </row>
    <row r="543" customFormat="false" ht="12.8" hidden="false" customHeight="false" outlineLevel="0" collapsed="false">
      <c r="A543" s="39" t="s">
        <v>2203</v>
      </c>
      <c r="B543" s="39" t="s">
        <v>2204</v>
      </c>
      <c r="C543" s="39" t="n">
        <v>0.95</v>
      </c>
      <c r="D543" s="39" t="s">
        <v>2205</v>
      </c>
      <c r="E543" s="39" t="s">
        <v>434</v>
      </c>
      <c r="F543" s="39" t="s">
        <v>1710</v>
      </c>
      <c r="G543" s="52" t="s">
        <v>436</v>
      </c>
      <c r="H543" s="39" t="s">
        <v>1715</v>
      </c>
    </row>
    <row r="544" customFormat="false" ht="12.8" hidden="false" customHeight="false" outlineLevel="0" collapsed="false">
      <c r="A544" s="39" t="s">
        <v>2206</v>
      </c>
      <c r="B544" s="39" t="s">
        <v>2207</v>
      </c>
      <c r="C544" s="39" t="n">
        <v>0.95</v>
      </c>
      <c r="D544" s="39" t="s">
        <v>2208</v>
      </c>
      <c r="E544" s="39" t="s">
        <v>434</v>
      </c>
      <c r="F544" s="39" t="s">
        <v>1710</v>
      </c>
      <c r="G544" s="52" t="s">
        <v>436</v>
      </c>
      <c r="H544" s="39" t="s">
        <v>1715</v>
      </c>
    </row>
    <row r="545" customFormat="false" ht="12.8" hidden="false" customHeight="false" outlineLevel="0" collapsed="false">
      <c r="A545" s="39" t="s">
        <v>2209</v>
      </c>
      <c r="B545" s="39" t="s">
        <v>2210</v>
      </c>
      <c r="C545" s="39" t="n">
        <v>0.85</v>
      </c>
      <c r="D545" s="39" t="s">
        <v>2211</v>
      </c>
      <c r="E545" s="39" t="s">
        <v>502</v>
      </c>
      <c r="F545" s="39" t="s">
        <v>1710</v>
      </c>
      <c r="G545" s="52" t="s">
        <v>436</v>
      </c>
      <c r="H545" s="39" t="s">
        <v>1715</v>
      </c>
    </row>
    <row r="546" customFormat="false" ht="12.8" hidden="false" customHeight="false" outlineLevel="0" collapsed="false">
      <c r="A546" s="39" t="s">
        <v>2212</v>
      </c>
      <c r="B546" s="39" t="s">
        <v>2213</v>
      </c>
      <c r="C546" s="39" t="n">
        <v>0.85</v>
      </c>
      <c r="D546" s="39" t="s">
        <v>2214</v>
      </c>
      <c r="E546" s="39" t="s">
        <v>502</v>
      </c>
      <c r="F546" s="39" t="s">
        <v>1710</v>
      </c>
      <c r="G546" s="52" t="s">
        <v>436</v>
      </c>
      <c r="H546" s="39" t="s">
        <v>1715</v>
      </c>
    </row>
    <row r="547" customFormat="false" ht="12.8" hidden="false" customHeight="false" outlineLevel="0" collapsed="false">
      <c r="A547" s="39" t="s">
        <v>2215</v>
      </c>
      <c r="B547" s="39" t="s">
        <v>2216</v>
      </c>
      <c r="C547" s="39" t="n">
        <v>0.85</v>
      </c>
      <c r="D547" s="39" t="s">
        <v>2217</v>
      </c>
      <c r="E547" s="39" t="s">
        <v>440</v>
      </c>
      <c r="F547" s="39" t="s">
        <v>1710</v>
      </c>
      <c r="G547" s="52" t="s">
        <v>436</v>
      </c>
      <c r="H547" s="39" t="s">
        <v>1715</v>
      </c>
    </row>
    <row r="548" customFormat="false" ht="12.8" hidden="false" customHeight="false" outlineLevel="0" collapsed="false">
      <c r="A548" s="39" t="s">
        <v>2218</v>
      </c>
      <c r="B548" s="39" t="s">
        <v>2219</v>
      </c>
      <c r="C548" s="39" t="n">
        <v>0.95</v>
      </c>
      <c r="D548" s="39" t="s">
        <v>2220</v>
      </c>
      <c r="E548" s="39" t="s">
        <v>434</v>
      </c>
      <c r="F548" s="39" t="s">
        <v>1710</v>
      </c>
      <c r="G548" s="52" t="s">
        <v>436</v>
      </c>
      <c r="H548" s="39" t="s">
        <v>1715</v>
      </c>
    </row>
    <row r="549" customFormat="false" ht="12.8" hidden="false" customHeight="false" outlineLevel="0" collapsed="false">
      <c r="A549" s="39" t="s">
        <v>2221</v>
      </c>
      <c r="B549" s="39" t="s">
        <v>2222</v>
      </c>
      <c r="C549" s="39" t="n">
        <v>0.71</v>
      </c>
      <c r="D549" s="39" t="s">
        <v>2223</v>
      </c>
      <c r="E549" s="39" t="s">
        <v>434</v>
      </c>
      <c r="F549" s="39" t="s">
        <v>1710</v>
      </c>
      <c r="G549" s="52" t="s">
        <v>436</v>
      </c>
      <c r="H549" s="39" t="s">
        <v>1258</v>
      </c>
    </row>
    <row r="550" customFormat="false" ht="12.8" hidden="false" customHeight="false" outlineLevel="0" collapsed="false">
      <c r="A550" s="39" t="s">
        <v>2224</v>
      </c>
      <c r="B550" s="39" t="s">
        <v>2225</v>
      </c>
      <c r="C550" s="39" t="n">
        <v>0.734</v>
      </c>
      <c r="D550" s="39" t="s">
        <v>2226</v>
      </c>
      <c r="E550" s="39" t="s">
        <v>440</v>
      </c>
      <c r="F550" s="39" t="s">
        <v>1710</v>
      </c>
      <c r="G550" s="52" t="s">
        <v>436</v>
      </c>
      <c r="H550" s="39" t="s">
        <v>1715</v>
      </c>
    </row>
    <row r="551" customFormat="false" ht="12.8" hidden="false" customHeight="false" outlineLevel="0" collapsed="false">
      <c r="A551" s="39" t="s">
        <v>2227</v>
      </c>
      <c r="B551" s="39" t="s">
        <v>2228</v>
      </c>
      <c r="C551" s="39" t="n">
        <v>0.709</v>
      </c>
      <c r="D551" s="39" t="s">
        <v>2229</v>
      </c>
      <c r="E551" s="39" t="s">
        <v>502</v>
      </c>
      <c r="F551" s="39" t="s">
        <v>1710</v>
      </c>
      <c r="G551" s="52" t="s">
        <v>436</v>
      </c>
      <c r="H551" s="39" t="s">
        <v>1715</v>
      </c>
    </row>
    <row r="552" customFormat="false" ht="12.8" hidden="false" customHeight="false" outlineLevel="0" collapsed="false">
      <c r="A552" s="39" t="s">
        <v>2230</v>
      </c>
      <c r="B552" s="39" t="s">
        <v>2231</v>
      </c>
      <c r="C552" s="39" t="n">
        <v>0.713</v>
      </c>
      <c r="D552" s="39" t="s">
        <v>2232</v>
      </c>
      <c r="E552" s="39" t="s">
        <v>434</v>
      </c>
      <c r="F552" s="39" t="s">
        <v>1710</v>
      </c>
      <c r="G552" s="52" t="s">
        <v>436</v>
      </c>
      <c r="H552" s="39" t="s">
        <v>1715</v>
      </c>
    </row>
    <row r="553" customFormat="false" ht="12.8" hidden="false" customHeight="false" outlineLevel="0" collapsed="false">
      <c r="A553" s="39" t="s">
        <v>2233</v>
      </c>
      <c r="B553" s="39" t="s">
        <v>2234</v>
      </c>
      <c r="C553" s="39" t="n">
        <v>0.734</v>
      </c>
      <c r="D553" s="39" t="s">
        <v>2235</v>
      </c>
      <c r="E553" s="39" t="s">
        <v>440</v>
      </c>
      <c r="F553" s="39" t="s">
        <v>1710</v>
      </c>
      <c r="G553" s="52" t="s">
        <v>436</v>
      </c>
      <c r="H553" s="39" t="s">
        <v>1715</v>
      </c>
    </row>
    <row r="554" customFormat="false" ht="12.8" hidden="false" customHeight="false" outlineLevel="0" collapsed="false">
      <c r="A554" s="39" t="s">
        <v>2236</v>
      </c>
      <c r="B554" s="39" t="s">
        <v>2237</v>
      </c>
      <c r="C554" s="39" t="n">
        <v>0.717</v>
      </c>
      <c r="D554" s="39" t="s">
        <v>2238</v>
      </c>
      <c r="E554" s="39" t="s">
        <v>434</v>
      </c>
      <c r="F554" s="39" t="s">
        <v>1710</v>
      </c>
      <c r="G554" s="52" t="s">
        <v>436</v>
      </c>
      <c r="H554" s="39" t="s">
        <v>1715</v>
      </c>
    </row>
    <row r="555" customFormat="false" ht="12.8" hidden="false" customHeight="false" outlineLevel="0" collapsed="false">
      <c r="A555" s="39" t="s">
        <v>2239</v>
      </c>
      <c r="B555" s="39" t="s">
        <v>2240</v>
      </c>
      <c r="C555" s="39" t="n">
        <v>0.717</v>
      </c>
      <c r="D555" s="39" t="s">
        <v>2241</v>
      </c>
      <c r="E555" s="39" t="s">
        <v>434</v>
      </c>
      <c r="F555" s="39" t="s">
        <v>1710</v>
      </c>
      <c r="G555" s="52" t="s">
        <v>436</v>
      </c>
      <c r="H555" s="39" t="s">
        <v>1715</v>
      </c>
    </row>
    <row r="556" customFormat="false" ht="12.8" hidden="false" customHeight="false" outlineLevel="0" collapsed="false">
      <c r="A556" s="39" t="s">
        <v>2242</v>
      </c>
      <c r="B556" s="39" t="s">
        <v>2243</v>
      </c>
      <c r="C556" s="39" t="n">
        <v>0.717</v>
      </c>
      <c r="D556" s="39" t="s">
        <v>2244</v>
      </c>
      <c r="E556" s="39" t="s">
        <v>434</v>
      </c>
      <c r="F556" s="39" t="s">
        <v>1710</v>
      </c>
      <c r="G556" s="52" t="s">
        <v>436</v>
      </c>
      <c r="H556" s="39" t="s">
        <v>1715</v>
      </c>
    </row>
    <row r="557" customFormat="false" ht="12.8" hidden="false" customHeight="false" outlineLevel="0" collapsed="false">
      <c r="A557" s="39" t="s">
        <v>2245</v>
      </c>
      <c r="B557" s="39" t="s">
        <v>2246</v>
      </c>
      <c r="C557" s="39" t="n">
        <v>0.719</v>
      </c>
      <c r="D557" s="39" t="s">
        <v>2247</v>
      </c>
      <c r="E557" s="39" t="s">
        <v>434</v>
      </c>
      <c r="F557" s="39" t="s">
        <v>1710</v>
      </c>
      <c r="G557" s="52" t="s">
        <v>436</v>
      </c>
      <c r="H557" s="39" t="s">
        <v>1715</v>
      </c>
    </row>
    <row r="558" customFormat="false" ht="12.8" hidden="false" customHeight="false" outlineLevel="0" collapsed="false">
      <c r="A558" s="39" t="s">
        <v>2248</v>
      </c>
      <c r="B558" s="39" t="s">
        <v>2249</v>
      </c>
      <c r="C558" s="39" t="n">
        <v>0.719</v>
      </c>
      <c r="D558" s="39" t="s">
        <v>2250</v>
      </c>
      <c r="E558" s="39" t="s">
        <v>440</v>
      </c>
      <c r="F558" s="39" t="s">
        <v>1710</v>
      </c>
      <c r="G558" s="52" t="s">
        <v>436</v>
      </c>
      <c r="H558" s="39" t="s">
        <v>1715</v>
      </c>
    </row>
    <row r="559" customFormat="false" ht="12.8" hidden="false" customHeight="false" outlineLevel="0" collapsed="false">
      <c r="A559" s="39" t="s">
        <v>2251</v>
      </c>
      <c r="B559" s="39" t="s">
        <v>2252</v>
      </c>
      <c r="C559" s="39" t="n">
        <v>0.719</v>
      </c>
      <c r="D559" s="39" t="s">
        <v>2253</v>
      </c>
      <c r="E559" s="39" t="s">
        <v>440</v>
      </c>
      <c r="F559" s="39" t="s">
        <v>1710</v>
      </c>
      <c r="G559" s="52" t="s">
        <v>436</v>
      </c>
      <c r="H559" s="39" t="s">
        <v>1715</v>
      </c>
    </row>
    <row r="560" customFormat="false" ht="12.8" hidden="false" customHeight="false" outlineLevel="0" collapsed="false">
      <c r="A560" s="39" t="s">
        <v>2254</v>
      </c>
      <c r="B560" s="39" t="s">
        <v>2255</v>
      </c>
      <c r="C560" s="39" t="n">
        <v>0.719</v>
      </c>
      <c r="D560" s="39" t="s">
        <v>2256</v>
      </c>
      <c r="E560" s="39" t="s">
        <v>434</v>
      </c>
      <c r="F560" s="39" t="s">
        <v>1710</v>
      </c>
      <c r="G560" s="52" t="s">
        <v>436</v>
      </c>
      <c r="H560" s="39" t="s">
        <v>1715</v>
      </c>
    </row>
    <row r="561" customFormat="false" ht="12.8" hidden="false" customHeight="false" outlineLevel="0" collapsed="false">
      <c r="A561" s="39" t="s">
        <v>2257</v>
      </c>
      <c r="B561" s="39" t="s">
        <v>2258</v>
      </c>
      <c r="C561" s="39" t="n">
        <v>0.719</v>
      </c>
      <c r="D561" s="39" t="s">
        <v>2259</v>
      </c>
      <c r="E561" s="39" t="s">
        <v>434</v>
      </c>
      <c r="F561" s="39" t="s">
        <v>1710</v>
      </c>
      <c r="G561" s="52" t="s">
        <v>436</v>
      </c>
      <c r="H561" s="39" t="s">
        <v>1715</v>
      </c>
    </row>
    <row r="562" customFormat="false" ht="12.8" hidden="false" customHeight="false" outlineLevel="0" collapsed="false">
      <c r="A562" s="39" t="s">
        <v>2260</v>
      </c>
      <c r="B562" s="39" t="s">
        <v>2261</v>
      </c>
      <c r="C562" s="39" t="n">
        <v>0.716</v>
      </c>
      <c r="D562" s="39" t="s">
        <v>2262</v>
      </c>
      <c r="E562" s="39" t="s">
        <v>434</v>
      </c>
      <c r="F562" s="39" t="s">
        <v>1710</v>
      </c>
      <c r="G562" s="52" t="s">
        <v>436</v>
      </c>
      <c r="H562" s="39" t="s">
        <v>1715</v>
      </c>
    </row>
    <row r="563" customFormat="false" ht="12.8" hidden="false" customHeight="false" outlineLevel="0" collapsed="false">
      <c r="A563" s="39" t="s">
        <v>2263</v>
      </c>
      <c r="B563" s="39" t="s">
        <v>2264</v>
      </c>
      <c r="C563" s="39" t="n">
        <v>0.706</v>
      </c>
      <c r="D563" s="39" t="s">
        <v>2265</v>
      </c>
      <c r="E563" s="39" t="s">
        <v>434</v>
      </c>
      <c r="F563" s="39" t="s">
        <v>1710</v>
      </c>
      <c r="G563" s="52" t="s">
        <v>436</v>
      </c>
      <c r="H563" s="39" t="s">
        <v>1715</v>
      </c>
    </row>
    <row r="564" customFormat="false" ht="12.8" hidden="false" customHeight="false" outlineLevel="0" collapsed="false">
      <c r="A564" s="39" t="s">
        <v>2266</v>
      </c>
      <c r="B564" s="39" t="s">
        <v>2267</v>
      </c>
      <c r="C564" s="39" t="n">
        <v>0.713</v>
      </c>
      <c r="D564" s="39" t="s">
        <v>2268</v>
      </c>
      <c r="E564" s="39" t="s">
        <v>440</v>
      </c>
      <c r="F564" s="39" t="s">
        <v>1710</v>
      </c>
      <c r="G564" s="52" t="s">
        <v>436</v>
      </c>
      <c r="H564" s="39" t="s">
        <v>1715</v>
      </c>
    </row>
    <row r="565" customFormat="false" ht="12.8" hidden="false" customHeight="false" outlineLevel="0" collapsed="false">
      <c r="A565" s="39" t="s">
        <v>2269</v>
      </c>
      <c r="B565" s="39" t="s">
        <v>2270</v>
      </c>
      <c r="C565" s="39" t="n">
        <v>0.694</v>
      </c>
      <c r="D565" s="39" t="s">
        <v>2271</v>
      </c>
      <c r="E565" s="39" t="s">
        <v>434</v>
      </c>
      <c r="F565" s="39" t="s">
        <v>1710</v>
      </c>
      <c r="G565" s="52" t="s">
        <v>436</v>
      </c>
      <c r="H565" s="39" t="s">
        <v>1715</v>
      </c>
    </row>
    <row r="566" customFormat="false" ht="12.8" hidden="false" customHeight="false" outlineLevel="0" collapsed="false">
      <c r="A566" s="39" t="s">
        <v>2272</v>
      </c>
      <c r="B566" s="39" t="s">
        <v>2273</v>
      </c>
      <c r="C566" s="39" t="n">
        <v>0.717</v>
      </c>
      <c r="D566" s="39" t="s">
        <v>2274</v>
      </c>
      <c r="E566" s="39" t="s">
        <v>440</v>
      </c>
      <c r="F566" s="39" t="s">
        <v>1710</v>
      </c>
      <c r="G566" s="52" t="s">
        <v>436</v>
      </c>
      <c r="H566" s="39" t="s">
        <v>1715</v>
      </c>
    </row>
    <row r="567" customFormat="false" ht="12.8" hidden="false" customHeight="false" outlineLevel="0" collapsed="false">
      <c r="A567" s="39" t="s">
        <v>2275</v>
      </c>
      <c r="B567" s="39" t="s">
        <v>2276</v>
      </c>
      <c r="C567" s="39" t="n">
        <v>0.716</v>
      </c>
      <c r="D567" s="39" t="s">
        <v>2277</v>
      </c>
      <c r="E567" s="39" t="s">
        <v>434</v>
      </c>
      <c r="F567" s="39" t="s">
        <v>1710</v>
      </c>
      <c r="G567" s="52" t="s">
        <v>436</v>
      </c>
      <c r="H567" s="39" t="s">
        <v>1715</v>
      </c>
    </row>
    <row r="568" customFormat="false" ht="12.8" hidden="false" customHeight="false" outlineLevel="0" collapsed="false">
      <c r="A568" s="39" t="s">
        <v>2278</v>
      </c>
      <c r="B568" s="39" t="s">
        <v>2279</v>
      </c>
      <c r="C568" s="39" t="n">
        <v>0.716</v>
      </c>
      <c r="D568" s="39" t="s">
        <v>2280</v>
      </c>
      <c r="E568" s="39" t="s">
        <v>434</v>
      </c>
      <c r="F568" s="39" t="s">
        <v>1710</v>
      </c>
      <c r="G568" s="52" t="s">
        <v>436</v>
      </c>
      <c r="H568" s="39" t="s">
        <v>1715</v>
      </c>
    </row>
    <row r="569" customFormat="false" ht="12.8" hidden="false" customHeight="false" outlineLevel="0" collapsed="false">
      <c r="A569" s="39" t="s">
        <v>2281</v>
      </c>
      <c r="B569" s="39" t="s">
        <v>2282</v>
      </c>
      <c r="C569" s="39" t="n">
        <v>0.717</v>
      </c>
      <c r="D569" s="39" t="s">
        <v>2283</v>
      </c>
      <c r="E569" s="39" t="s">
        <v>502</v>
      </c>
      <c r="F569" s="39" t="s">
        <v>1710</v>
      </c>
      <c r="G569" s="52" t="s">
        <v>436</v>
      </c>
      <c r="H569" s="39" t="s">
        <v>1715</v>
      </c>
    </row>
    <row r="570" customFormat="false" ht="12.8" hidden="false" customHeight="false" outlineLevel="0" collapsed="false">
      <c r="A570" s="39" t="s">
        <v>2284</v>
      </c>
      <c r="B570" s="39" t="s">
        <v>2285</v>
      </c>
      <c r="C570" s="39" t="n">
        <v>0.734</v>
      </c>
      <c r="D570" s="39" t="s">
        <v>2286</v>
      </c>
      <c r="E570" s="39" t="s">
        <v>502</v>
      </c>
      <c r="F570" s="39" t="s">
        <v>1710</v>
      </c>
      <c r="G570" s="52" t="s">
        <v>436</v>
      </c>
      <c r="H570" s="39" t="s">
        <v>1715</v>
      </c>
    </row>
    <row r="571" customFormat="false" ht="12.8" hidden="false" customHeight="false" outlineLevel="0" collapsed="false">
      <c r="A571" s="39" t="s">
        <v>2287</v>
      </c>
      <c r="B571" s="39" t="s">
        <v>2288</v>
      </c>
      <c r="C571" s="39" t="n">
        <v>0.717</v>
      </c>
      <c r="D571" s="39" t="s">
        <v>2289</v>
      </c>
      <c r="E571" s="39" t="s">
        <v>440</v>
      </c>
      <c r="F571" s="39" t="s">
        <v>1710</v>
      </c>
      <c r="G571" s="52" t="s">
        <v>436</v>
      </c>
      <c r="H571" s="39" t="s">
        <v>1715</v>
      </c>
    </row>
    <row r="572" customFormat="false" ht="12.8" hidden="false" customHeight="false" outlineLevel="0" collapsed="false">
      <c r="A572" s="39" t="s">
        <v>2290</v>
      </c>
      <c r="B572" s="39" t="s">
        <v>2291</v>
      </c>
      <c r="C572" s="39" t="n">
        <v>0.706</v>
      </c>
      <c r="D572" s="39" t="s">
        <v>2292</v>
      </c>
      <c r="E572" s="39" t="s">
        <v>434</v>
      </c>
      <c r="F572" s="39" t="s">
        <v>1710</v>
      </c>
      <c r="G572" s="52" t="s">
        <v>436</v>
      </c>
      <c r="H572" s="39" t="s">
        <v>1715</v>
      </c>
    </row>
    <row r="573" customFormat="false" ht="12.8" hidden="false" customHeight="false" outlineLevel="0" collapsed="false">
      <c r="A573" s="39" t="s">
        <v>2293</v>
      </c>
      <c r="B573" s="39" t="s">
        <v>2294</v>
      </c>
      <c r="C573" s="39" t="n">
        <v>0</v>
      </c>
      <c r="D573" s="39" t="s">
        <v>2295</v>
      </c>
      <c r="E573" s="39" t="s">
        <v>434</v>
      </c>
      <c r="F573" s="39" t="s">
        <v>487</v>
      </c>
      <c r="G573" s="52" t="s">
        <v>436</v>
      </c>
      <c r="H573" s="39" t="s">
        <v>1258</v>
      </c>
    </row>
    <row r="574" customFormat="false" ht="12.8" hidden="false" customHeight="false" outlineLevel="0" collapsed="false">
      <c r="A574" s="39" t="s">
        <v>2296</v>
      </c>
      <c r="B574" s="39" t="s">
        <v>2297</v>
      </c>
      <c r="C574" s="39" t="n">
        <v>0.92</v>
      </c>
      <c r="D574" s="39" t="s">
        <v>2298</v>
      </c>
      <c r="E574" s="39" t="s">
        <v>434</v>
      </c>
      <c r="F574" s="39" t="s">
        <v>1782</v>
      </c>
      <c r="G574" s="52" t="s">
        <v>436</v>
      </c>
      <c r="H574" s="39" t="s">
        <v>2299</v>
      </c>
    </row>
    <row r="575" customFormat="false" ht="12.8" hidden="false" customHeight="false" outlineLevel="0" collapsed="false">
      <c r="A575" s="39" t="s">
        <v>2300</v>
      </c>
      <c r="B575" s="39" t="s">
        <v>2301</v>
      </c>
      <c r="C575" s="39" t="n">
        <v>0.027</v>
      </c>
      <c r="D575" s="39" t="s">
        <v>2302</v>
      </c>
      <c r="E575" s="39" t="s">
        <v>434</v>
      </c>
      <c r="F575" s="39" t="s">
        <v>1786</v>
      </c>
      <c r="G575" s="52" t="s">
        <v>436</v>
      </c>
      <c r="H575" s="39" t="s">
        <v>2303</v>
      </c>
    </row>
    <row r="576" customFormat="false" ht="12.8" hidden="false" customHeight="false" outlineLevel="0" collapsed="false">
      <c r="A576" s="39" t="s">
        <v>2304</v>
      </c>
      <c r="B576" s="39" t="s">
        <v>2305</v>
      </c>
      <c r="C576" s="39" t="n">
        <v>0.045</v>
      </c>
      <c r="D576" s="39" t="s">
        <v>2306</v>
      </c>
      <c r="E576" s="39" t="s">
        <v>440</v>
      </c>
      <c r="F576" s="39" t="s">
        <v>1791</v>
      </c>
      <c r="G576" s="52" t="s">
        <v>436</v>
      </c>
      <c r="H576" s="39" t="s">
        <v>1258</v>
      </c>
    </row>
    <row r="577" customFormat="false" ht="12.8" hidden="false" customHeight="false" outlineLevel="0" collapsed="false">
      <c r="A577" s="39" t="s">
        <v>2307</v>
      </c>
      <c r="B577" s="39" t="s">
        <v>2308</v>
      </c>
      <c r="C577" s="39" t="n">
        <v>0.038</v>
      </c>
      <c r="D577" s="39" t="s">
        <v>2309</v>
      </c>
      <c r="E577" s="39" t="s">
        <v>434</v>
      </c>
      <c r="F577" s="39" t="s">
        <v>1791</v>
      </c>
      <c r="G577" s="52" t="s">
        <v>436</v>
      </c>
      <c r="H577" s="39" t="s">
        <v>1258</v>
      </c>
    </row>
    <row r="578" customFormat="false" ht="12.8" hidden="false" customHeight="false" outlineLevel="0" collapsed="false">
      <c r="A578" s="39" t="s">
        <v>2310</v>
      </c>
      <c r="B578" s="39" t="s">
        <v>2311</v>
      </c>
      <c r="C578" s="39" t="n">
        <v>0.018</v>
      </c>
      <c r="D578" s="39" t="s">
        <v>2312</v>
      </c>
      <c r="E578" s="39" t="s">
        <v>434</v>
      </c>
      <c r="F578" s="39" t="s">
        <v>1791</v>
      </c>
      <c r="G578" s="52" t="s">
        <v>436</v>
      </c>
      <c r="H578" s="39" t="s">
        <v>1258</v>
      </c>
    </row>
    <row r="579" customFormat="false" ht="12.8" hidden="false" customHeight="false" outlineLevel="0" collapsed="false">
      <c r="A579" s="39" t="s">
        <v>2313</v>
      </c>
      <c r="B579" s="39" t="s">
        <v>2314</v>
      </c>
      <c r="C579" s="39" t="n">
        <v>0.052</v>
      </c>
      <c r="D579" s="39" t="s">
        <v>2315</v>
      </c>
      <c r="E579" s="39" t="s">
        <v>440</v>
      </c>
      <c r="F579" s="39" t="s">
        <v>1791</v>
      </c>
      <c r="G579" s="52" t="s">
        <v>436</v>
      </c>
      <c r="H579" s="39" t="s">
        <v>1258</v>
      </c>
    </row>
    <row r="580" customFormat="false" ht="12.8" hidden="false" customHeight="false" outlineLevel="0" collapsed="false">
      <c r="A580" s="50" t="s">
        <v>2316</v>
      </c>
      <c r="B580" s="50" t="s">
        <v>2317</v>
      </c>
      <c r="C580" s="50" t="n">
        <v>0.035</v>
      </c>
      <c r="D580" s="50" t="s">
        <v>2318</v>
      </c>
      <c r="E580" s="50" t="s">
        <v>434</v>
      </c>
      <c r="F580" s="50" t="s">
        <v>1791</v>
      </c>
      <c r="G580" s="53" t="s">
        <v>436</v>
      </c>
      <c r="H580" s="50" t="s">
        <v>1258</v>
      </c>
    </row>
    <row r="581" customFormat="false" ht="12.8" hidden="false" customHeight="false" outlineLevel="0" collapsed="false">
      <c r="A581" s="50" t="s">
        <v>2319</v>
      </c>
      <c r="B581" s="50" t="s">
        <v>2320</v>
      </c>
      <c r="C581" s="50" t="n">
        <v>0.035</v>
      </c>
      <c r="D581" s="50" t="s">
        <v>2321</v>
      </c>
      <c r="E581" s="50" t="s">
        <v>434</v>
      </c>
      <c r="F581" s="50" t="s">
        <v>1791</v>
      </c>
      <c r="G581" s="53" t="s">
        <v>436</v>
      </c>
      <c r="H581" s="50" t="s">
        <v>1258</v>
      </c>
    </row>
    <row r="582" customFormat="false" ht="12.8" hidden="false" customHeight="false" outlineLevel="0" collapsed="false">
      <c r="A582" s="50" t="s">
        <v>2322</v>
      </c>
      <c r="B582" s="50" t="s">
        <v>2323</v>
      </c>
      <c r="C582" s="50" t="n">
        <v>0.035</v>
      </c>
      <c r="D582" s="50" t="s">
        <v>2324</v>
      </c>
      <c r="E582" s="50" t="s">
        <v>434</v>
      </c>
      <c r="F582" s="50" t="s">
        <v>1791</v>
      </c>
      <c r="G582" s="53" t="s">
        <v>436</v>
      </c>
      <c r="H582" s="50" t="s">
        <v>1258</v>
      </c>
    </row>
    <row r="583" customFormat="false" ht="12.8" hidden="false" customHeight="false" outlineLevel="0" collapsed="false">
      <c r="A583" s="50" t="s">
        <v>2325</v>
      </c>
      <c r="B583" s="50" t="s">
        <v>2326</v>
      </c>
      <c r="C583" s="50" t="n">
        <v>0.032</v>
      </c>
      <c r="D583" s="50" t="s">
        <v>2327</v>
      </c>
      <c r="E583" s="50" t="s">
        <v>434</v>
      </c>
      <c r="F583" s="50" t="s">
        <v>1791</v>
      </c>
      <c r="G583" s="53" t="s">
        <v>436</v>
      </c>
      <c r="H583" s="50" t="s">
        <v>1258</v>
      </c>
    </row>
    <row r="584" customFormat="false" ht="12.8" hidden="false" customHeight="false" outlineLevel="0" collapsed="false">
      <c r="A584" s="50" t="s">
        <v>2328</v>
      </c>
      <c r="B584" s="50" t="s">
        <v>2329</v>
      </c>
      <c r="C584" s="50" t="n">
        <v>0.04</v>
      </c>
      <c r="D584" s="50" t="s">
        <v>2330</v>
      </c>
      <c r="E584" s="50" t="s">
        <v>440</v>
      </c>
      <c r="F584" s="50" t="s">
        <v>1791</v>
      </c>
      <c r="G584" s="53" t="s">
        <v>436</v>
      </c>
      <c r="H584" s="50" t="s">
        <v>1258</v>
      </c>
    </row>
    <row r="585" customFormat="false" ht="12.8" hidden="false" customHeight="false" outlineLevel="0" collapsed="false">
      <c r="A585" s="50" t="s">
        <v>2331</v>
      </c>
      <c r="B585" s="50" t="s">
        <v>2332</v>
      </c>
      <c r="C585" s="50" t="n">
        <v>0.04</v>
      </c>
      <c r="D585" s="50" t="s">
        <v>2333</v>
      </c>
      <c r="E585" s="50" t="s">
        <v>440</v>
      </c>
      <c r="F585" s="50" t="s">
        <v>1791</v>
      </c>
      <c r="G585" s="53" t="s">
        <v>436</v>
      </c>
      <c r="H585" s="50" t="s">
        <v>1258</v>
      </c>
    </row>
    <row r="586" customFormat="false" ht="12.8" hidden="false" customHeight="false" outlineLevel="0" collapsed="false">
      <c r="A586" s="50" t="s">
        <v>2334</v>
      </c>
      <c r="B586" s="50" t="s">
        <v>2335</v>
      </c>
      <c r="C586" s="50" t="n">
        <v>0.038</v>
      </c>
      <c r="D586" s="50" t="s">
        <v>2336</v>
      </c>
      <c r="E586" s="50" t="s">
        <v>434</v>
      </c>
      <c r="F586" s="50" t="s">
        <v>1791</v>
      </c>
      <c r="G586" s="53" t="s">
        <v>436</v>
      </c>
      <c r="H586" s="50" t="s">
        <v>1258</v>
      </c>
    </row>
    <row r="587" customFormat="false" ht="12.8" hidden="false" customHeight="false" outlineLevel="0" collapsed="false">
      <c r="A587" s="50" t="s">
        <v>2337</v>
      </c>
      <c r="B587" s="50" t="s">
        <v>2338</v>
      </c>
      <c r="C587" s="50" t="n">
        <v>0.038</v>
      </c>
      <c r="D587" s="50" t="s">
        <v>2339</v>
      </c>
      <c r="E587" s="50" t="s">
        <v>434</v>
      </c>
      <c r="F587" s="50" t="s">
        <v>1791</v>
      </c>
      <c r="G587" s="53" t="s">
        <v>436</v>
      </c>
      <c r="H587" s="50" t="s">
        <v>1258</v>
      </c>
    </row>
    <row r="588" customFormat="false" ht="12.8" hidden="false" customHeight="false" outlineLevel="0" collapsed="false">
      <c r="A588" s="50" t="s">
        <v>2340</v>
      </c>
      <c r="B588" s="50" t="s">
        <v>2341</v>
      </c>
      <c r="C588" s="50" t="n">
        <v>0.028</v>
      </c>
      <c r="D588" s="50" t="s">
        <v>2342</v>
      </c>
      <c r="E588" s="50" t="s">
        <v>434</v>
      </c>
      <c r="F588" s="50" t="s">
        <v>1791</v>
      </c>
      <c r="G588" s="53" t="s">
        <v>436</v>
      </c>
      <c r="H588" s="50" t="s">
        <v>1258</v>
      </c>
    </row>
    <row r="589" customFormat="false" ht="12.8" hidden="false" customHeight="false" outlineLevel="0" collapsed="false">
      <c r="A589" s="50" t="s">
        <v>2343</v>
      </c>
      <c r="B589" s="50" t="s">
        <v>2344</v>
      </c>
      <c r="C589" s="50" t="n">
        <v>0.022</v>
      </c>
      <c r="D589" s="50" t="s">
        <v>2345</v>
      </c>
      <c r="E589" s="50" t="s">
        <v>434</v>
      </c>
      <c r="F589" s="50" t="s">
        <v>1791</v>
      </c>
      <c r="G589" s="53" t="s">
        <v>436</v>
      </c>
      <c r="H589" s="50" t="s">
        <v>1258</v>
      </c>
    </row>
    <row r="590" customFormat="false" ht="12.8" hidden="false" customHeight="false" outlineLevel="0" collapsed="false">
      <c r="A590" s="50" t="s">
        <v>2346</v>
      </c>
      <c r="B590" s="50" t="s">
        <v>2347</v>
      </c>
      <c r="C590" s="50" t="n">
        <v>0.03</v>
      </c>
      <c r="D590" s="50" t="s">
        <v>2348</v>
      </c>
      <c r="E590" s="50" t="s">
        <v>440</v>
      </c>
      <c r="F590" s="50" t="s">
        <v>1791</v>
      </c>
      <c r="G590" s="53" t="s">
        <v>436</v>
      </c>
      <c r="H590" s="50" t="s">
        <v>1258</v>
      </c>
    </row>
    <row r="591" customFormat="false" ht="12.8" hidden="false" customHeight="false" outlineLevel="0" collapsed="false">
      <c r="A591" s="50" t="s">
        <v>2349</v>
      </c>
      <c r="B591" s="50" t="s">
        <v>2350</v>
      </c>
      <c r="C591" s="50" t="n">
        <v>0.025</v>
      </c>
      <c r="D591" s="50" t="s">
        <v>2351</v>
      </c>
      <c r="E591" s="50" t="s">
        <v>434</v>
      </c>
      <c r="F591" s="50" t="s">
        <v>1791</v>
      </c>
      <c r="G591" s="53" t="s">
        <v>436</v>
      </c>
      <c r="H591" s="50" t="s">
        <v>1258</v>
      </c>
    </row>
    <row r="592" customFormat="false" ht="12.8" hidden="false" customHeight="false" outlineLevel="0" collapsed="false">
      <c r="A592" s="50" t="s">
        <v>2352</v>
      </c>
      <c r="B592" s="50" t="s">
        <v>2353</v>
      </c>
      <c r="C592" s="50" t="n">
        <v>0.045</v>
      </c>
      <c r="D592" s="50" t="s">
        <v>2354</v>
      </c>
      <c r="E592" s="50" t="s">
        <v>440</v>
      </c>
      <c r="F592" s="50" t="s">
        <v>1791</v>
      </c>
      <c r="G592" s="53" t="s">
        <v>436</v>
      </c>
      <c r="H592" s="50" t="s">
        <v>1258</v>
      </c>
    </row>
    <row r="593" customFormat="false" ht="12.8" hidden="false" customHeight="false" outlineLevel="0" collapsed="false">
      <c r="A593" s="50" t="s">
        <v>2355</v>
      </c>
      <c r="B593" s="50" t="s">
        <v>2356</v>
      </c>
      <c r="C593" s="50" t="n">
        <v>0.025</v>
      </c>
      <c r="D593" s="50" t="s">
        <v>2357</v>
      </c>
      <c r="E593" s="50" t="s">
        <v>434</v>
      </c>
      <c r="F593" s="50" t="s">
        <v>1791</v>
      </c>
      <c r="G593" s="53" t="s">
        <v>436</v>
      </c>
      <c r="H593" s="50" t="s">
        <v>1258</v>
      </c>
    </row>
    <row r="594" customFormat="false" ht="12.8" hidden="false" customHeight="false" outlineLevel="0" collapsed="false">
      <c r="A594" s="50" t="s">
        <v>2358</v>
      </c>
      <c r="B594" s="50" t="s">
        <v>2359</v>
      </c>
      <c r="C594" s="50" t="n">
        <v>0.025</v>
      </c>
      <c r="D594" s="50" t="s">
        <v>2360</v>
      </c>
      <c r="E594" s="50" t="s">
        <v>434</v>
      </c>
      <c r="F594" s="50" t="s">
        <v>1791</v>
      </c>
      <c r="G594" s="53" t="s">
        <v>436</v>
      </c>
      <c r="H594" s="50" t="s">
        <v>1258</v>
      </c>
    </row>
    <row r="595" customFormat="false" ht="12.8" hidden="false" customHeight="false" outlineLevel="0" collapsed="false">
      <c r="A595" s="50" t="s">
        <v>2361</v>
      </c>
      <c r="B595" s="50" t="s">
        <v>2362</v>
      </c>
      <c r="C595" s="50" t="n">
        <v>0.045</v>
      </c>
      <c r="D595" s="50" t="s">
        <v>2363</v>
      </c>
      <c r="E595" s="50" t="s">
        <v>440</v>
      </c>
      <c r="F595" s="50" t="s">
        <v>1791</v>
      </c>
      <c r="G595" s="53" t="s">
        <v>436</v>
      </c>
      <c r="H595" s="50" t="s">
        <v>1258</v>
      </c>
    </row>
    <row r="596" customFormat="false" ht="12.8" hidden="false" customHeight="false" outlineLevel="0" collapsed="false">
      <c r="A596" s="50" t="s">
        <v>2364</v>
      </c>
      <c r="B596" s="50" t="s">
        <v>2365</v>
      </c>
      <c r="C596" s="50" t="n">
        <v>0.065</v>
      </c>
      <c r="D596" s="50" t="s">
        <v>2366</v>
      </c>
      <c r="E596" s="50" t="s">
        <v>440</v>
      </c>
      <c r="F596" s="50" t="s">
        <v>1791</v>
      </c>
      <c r="G596" s="53" t="s">
        <v>436</v>
      </c>
      <c r="H596" s="50" t="s">
        <v>1258</v>
      </c>
    </row>
    <row r="597" customFormat="false" ht="12.8" hidden="false" customHeight="false" outlineLevel="0" collapsed="false">
      <c r="A597" s="50" t="s">
        <v>2367</v>
      </c>
      <c r="B597" s="50" t="s">
        <v>2368</v>
      </c>
      <c r="C597" s="50" t="n">
        <v>0.04</v>
      </c>
      <c r="D597" s="50" t="s">
        <v>2369</v>
      </c>
      <c r="E597" s="50" t="s">
        <v>440</v>
      </c>
      <c r="F597" s="50" t="s">
        <v>1791</v>
      </c>
      <c r="G597" s="53" t="s">
        <v>436</v>
      </c>
      <c r="H597" s="50" t="s">
        <v>1258</v>
      </c>
    </row>
    <row r="598" customFormat="false" ht="12.8" hidden="false" customHeight="false" outlineLevel="0" collapsed="false">
      <c r="A598" s="50" t="s">
        <v>2370</v>
      </c>
      <c r="B598" s="50" t="s">
        <v>2371</v>
      </c>
      <c r="C598" s="50" t="n">
        <v>0.018</v>
      </c>
      <c r="D598" s="50" t="s">
        <v>2372</v>
      </c>
      <c r="E598" s="50" t="s">
        <v>434</v>
      </c>
      <c r="F598" s="50" t="s">
        <v>1791</v>
      </c>
      <c r="G598" s="53" t="s">
        <v>436</v>
      </c>
      <c r="H598" s="50" t="s">
        <v>1258</v>
      </c>
    </row>
    <row r="599" customFormat="false" ht="12.8" hidden="false" customHeight="false" outlineLevel="0" collapsed="false">
      <c r="A599" s="50" t="s">
        <v>2373</v>
      </c>
      <c r="B599" s="50" t="s">
        <v>2374</v>
      </c>
      <c r="C599" s="50" t="n">
        <v>-0.002</v>
      </c>
      <c r="D599" s="50" t="s">
        <v>2375</v>
      </c>
      <c r="E599" s="50" t="s">
        <v>502</v>
      </c>
      <c r="F599" s="50" t="s">
        <v>1804</v>
      </c>
      <c r="G599" s="53" t="s">
        <v>436</v>
      </c>
      <c r="H599" s="50" t="s">
        <v>2376</v>
      </c>
    </row>
    <row r="600" customFormat="false" ht="12.8" hidden="false" customHeight="false" outlineLevel="0" collapsed="false">
      <c r="A600" s="50" t="s">
        <v>2377</v>
      </c>
      <c r="B600" s="50" t="s">
        <v>2378</v>
      </c>
      <c r="C600" s="50" t="n">
        <v>0.005</v>
      </c>
      <c r="D600" s="50" t="s">
        <v>2379</v>
      </c>
      <c r="E600" s="50" t="s">
        <v>502</v>
      </c>
      <c r="F600" s="50" t="s">
        <v>1804</v>
      </c>
      <c r="G600" s="53" t="s">
        <v>436</v>
      </c>
      <c r="H600" s="50" t="s">
        <v>1805</v>
      </c>
    </row>
    <row r="601" customFormat="false" ht="12.8" hidden="false" customHeight="false" outlineLevel="0" collapsed="false">
      <c r="A601" s="50" t="s">
        <v>2380</v>
      </c>
      <c r="B601" s="50" t="s">
        <v>2381</v>
      </c>
      <c r="C601" s="50" t="n">
        <v>0.004</v>
      </c>
      <c r="D601" s="50" t="s">
        <v>2382</v>
      </c>
      <c r="E601" s="50" t="s">
        <v>502</v>
      </c>
      <c r="F601" s="50" t="s">
        <v>1804</v>
      </c>
      <c r="G601" s="53" t="s">
        <v>436</v>
      </c>
      <c r="H601" s="50" t="s">
        <v>1258</v>
      </c>
    </row>
    <row r="602" customFormat="false" ht="12.8" hidden="false" customHeight="false" outlineLevel="0" collapsed="false">
      <c r="A602" s="50" t="s">
        <v>2383</v>
      </c>
      <c r="B602" s="50" t="s">
        <v>2384</v>
      </c>
      <c r="C602" s="50" t="n">
        <v>-0.001</v>
      </c>
      <c r="D602" s="50" t="s">
        <v>2385</v>
      </c>
      <c r="E602" s="50" t="s">
        <v>434</v>
      </c>
      <c r="F602" s="50" t="s">
        <v>1804</v>
      </c>
      <c r="G602" s="53" t="s">
        <v>436</v>
      </c>
      <c r="H602" s="50" t="s">
        <v>2386</v>
      </c>
    </row>
    <row r="603" customFormat="false" ht="12.8" hidden="false" customHeight="false" outlineLevel="0" collapsed="false">
      <c r="A603" s="50" t="s">
        <v>2387</v>
      </c>
      <c r="B603" s="50" t="s">
        <v>2388</v>
      </c>
      <c r="C603" s="50" t="n">
        <v>0.006</v>
      </c>
      <c r="D603" s="50" t="s">
        <v>2389</v>
      </c>
      <c r="E603" s="50" t="s">
        <v>502</v>
      </c>
      <c r="F603" s="50" t="s">
        <v>1804</v>
      </c>
      <c r="G603" s="53" t="s">
        <v>436</v>
      </c>
      <c r="H603" s="50" t="s">
        <v>1875</v>
      </c>
    </row>
    <row r="604" customFormat="false" ht="12.8" hidden="false" customHeight="false" outlineLevel="0" collapsed="false">
      <c r="A604" s="50" t="s">
        <v>2390</v>
      </c>
      <c r="B604" s="50" t="s">
        <v>2391</v>
      </c>
      <c r="C604" s="50" t="n">
        <v>0.002</v>
      </c>
      <c r="D604" s="50" t="s">
        <v>2392</v>
      </c>
      <c r="E604" s="50" t="s">
        <v>434</v>
      </c>
      <c r="F604" s="50" t="s">
        <v>1804</v>
      </c>
      <c r="G604" s="53" t="s">
        <v>436</v>
      </c>
      <c r="H604" s="50" t="s">
        <v>1258</v>
      </c>
    </row>
    <row r="605" customFormat="false" ht="12.8" hidden="false" customHeight="false" outlineLevel="0" collapsed="false">
      <c r="A605" s="50" t="s">
        <v>2393</v>
      </c>
      <c r="B605" s="50" t="s">
        <v>2394</v>
      </c>
      <c r="C605" s="50" t="n">
        <v>0.002</v>
      </c>
      <c r="D605" s="50" t="s">
        <v>2395</v>
      </c>
      <c r="E605" s="50" t="s">
        <v>434</v>
      </c>
      <c r="F605" s="50" t="s">
        <v>1804</v>
      </c>
      <c r="G605" s="53" t="s">
        <v>436</v>
      </c>
      <c r="H605" s="50" t="s">
        <v>1258</v>
      </c>
    </row>
    <row r="606" customFormat="false" ht="12.8" hidden="false" customHeight="false" outlineLevel="0" collapsed="false">
      <c r="A606" s="50" t="s">
        <v>2396</v>
      </c>
      <c r="B606" s="50" t="s">
        <v>2397</v>
      </c>
      <c r="C606" s="50" t="n">
        <v>0.002</v>
      </c>
      <c r="D606" s="50" t="s">
        <v>2398</v>
      </c>
      <c r="E606" s="50" t="s">
        <v>434</v>
      </c>
      <c r="F606" s="50" t="s">
        <v>1804</v>
      </c>
      <c r="G606" s="53" t="s">
        <v>436</v>
      </c>
      <c r="H606" s="50" t="s">
        <v>1258</v>
      </c>
    </row>
    <row r="607" customFormat="false" ht="12.8" hidden="false" customHeight="false" outlineLevel="0" collapsed="false">
      <c r="A607" s="50" t="s">
        <v>2399</v>
      </c>
      <c r="B607" s="50" t="s">
        <v>2400</v>
      </c>
      <c r="C607" s="50" t="n">
        <v>0.001</v>
      </c>
      <c r="D607" s="50" t="s">
        <v>2401</v>
      </c>
      <c r="E607" s="50" t="s">
        <v>434</v>
      </c>
      <c r="F607" s="50" t="s">
        <v>1804</v>
      </c>
      <c r="G607" s="53" t="s">
        <v>436</v>
      </c>
      <c r="H607" s="50" t="s">
        <v>1258</v>
      </c>
    </row>
    <row r="608" customFormat="false" ht="12.8" hidden="false" customHeight="false" outlineLevel="0" collapsed="false">
      <c r="A608" s="50" t="s">
        <v>2402</v>
      </c>
      <c r="B608" s="50" t="s">
        <v>2403</v>
      </c>
      <c r="C608" s="50" t="n">
        <v>0.003</v>
      </c>
      <c r="D608" s="50" t="s">
        <v>2404</v>
      </c>
      <c r="E608" s="50" t="s">
        <v>502</v>
      </c>
      <c r="F608" s="50" t="s">
        <v>1804</v>
      </c>
      <c r="G608" s="53" t="s">
        <v>436</v>
      </c>
      <c r="H608" s="50" t="s">
        <v>1258</v>
      </c>
    </row>
    <row r="609" customFormat="false" ht="12.8" hidden="false" customHeight="false" outlineLevel="0" collapsed="false">
      <c r="A609" s="50" t="s">
        <v>2405</v>
      </c>
      <c r="B609" s="50" t="s">
        <v>2406</v>
      </c>
      <c r="C609" s="50" t="n">
        <v>0.003</v>
      </c>
      <c r="D609" s="50" t="s">
        <v>2407</v>
      </c>
      <c r="E609" s="50" t="s">
        <v>502</v>
      </c>
      <c r="F609" s="50" t="s">
        <v>1804</v>
      </c>
      <c r="G609" s="53" t="s">
        <v>436</v>
      </c>
      <c r="H609" s="50" t="s">
        <v>1258</v>
      </c>
    </row>
    <row r="610" customFormat="false" ht="12.8" hidden="false" customHeight="false" outlineLevel="0" collapsed="false">
      <c r="A610" s="50" t="s">
        <v>2408</v>
      </c>
      <c r="B610" s="50" t="s">
        <v>2409</v>
      </c>
      <c r="C610" s="50" t="n">
        <v>0.002</v>
      </c>
      <c r="D610" s="50" t="s">
        <v>2410</v>
      </c>
      <c r="E610" s="50" t="s">
        <v>434</v>
      </c>
      <c r="F610" s="50" t="s">
        <v>1804</v>
      </c>
      <c r="G610" s="53" t="s">
        <v>436</v>
      </c>
      <c r="H610" s="50" t="s">
        <v>1258</v>
      </c>
    </row>
    <row r="611" customFormat="false" ht="12.8" hidden="false" customHeight="false" outlineLevel="0" collapsed="false">
      <c r="A611" s="50" t="s">
        <v>2411</v>
      </c>
      <c r="B611" s="50" t="s">
        <v>2412</v>
      </c>
      <c r="C611" s="50" t="n">
        <v>0.002</v>
      </c>
      <c r="D611" s="50" t="s">
        <v>2413</v>
      </c>
      <c r="E611" s="50" t="s">
        <v>434</v>
      </c>
      <c r="F611" s="50" t="s">
        <v>1804</v>
      </c>
      <c r="G611" s="53" t="s">
        <v>436</v>
      </c>
      <c r="H611" s="50" t="s">
        <v>1258</v>
      </c>
    </row>
    <row r="612" customFormat="false" ht="12.8" hidden="false" customHeight="false" outlineLevel="0" collapsed="false">
      <c r="A612" s="50" t="s">
        <v>2414</v>
      </c>
      <c r="B612" s="50" t="s">
        <v>2415</v>
      </c>
      <c r="C612" s="50" t="n">
        <v>0.001</v>
      </c>
      <c r="D612" s="50" t="s">
        <v>2416</v>
      </c>
      <c r="E612" s="50" t="s">
        <v>434</v>
      </c>
      <c r="F612" s="50" t="s">
        <v>1804</v>
      </c>
      <c r="G612" s="53" t="s">
        <v>436</v>
      </c>
      <c r="H612" s="50" t="s">
        <v>1258</v>
      </c>
    </row>
    <row r="613" customFormat="false" ht="12.8" hidden="false" customHeight="false" outlineLevel="0" collapsed="false">
      <c r="A613" s="50" t="s">
        <v>2417</v>
      </c>
      <c r="B613" s="50" t="s">
        <v>2418</v>
      </c>
      <c r="C613" s="50" t="n">
        <v>-0.001</v>
      </c>
      <c r="D613" s="50" t="s">
        <v>2419</v>
      </c>
      <c r="E613" s="50" t="s">
        <v>434</v>
      </c>
      <c r="F613" s="50" t="s">
        <v>1804</v>
      </c>
      <c r="G613" s="53" t="s">
        <v>436</v>
      </c>
      <c r="H613" s="50" t="s">
        <v>1258</v>
      </c>
    </row>
    <row r="614" customFormat="false" ht="12.8" hidden="false" customHeight="false" outlineLevel="0" collapsed="false">
      <c r="A614" s="50" t="s">
        <v>2420</v>
      </c>
      <c r="B614" s="50" t="s">
        <v>2421</v>
      </c>
      <c r="C614" s="50" t="n">
        <v>0.002</v>
      </c>
      <c r="D614" s="50" t="s">
        <v>2422</v>
      </c>
      <c r="E614" s="50" t="s">
        <v>502</v>
      </c>
      <c r="F614" s="50" t="s">
        <v>1804</v>
      </c>
      <c r="G614" s="53" t="s">
        <v>436</v>
      </c>
      <c r="H614" s="50" t="s">
        <v>1258</v>
      </c>
    </row>
    <row r="615" customFormat="false" ht="12.8" hidden="false" customHeight="false" outlineLevel="0" collapsed="false">
      <c r="A615" s="50" t="s">
        <v>2423</v>
      </c>
      <c r="B615" s="50" t="s">
        <v>2424</v>
      </c>
      <c r="C615" s="50" t="n">
        <v>-0.001</v>
      </c>
      <c r="D615" s="50" t="s">
        <v>2425</v>
      </c>
      <c r="E615" s="50" t="s">
        <v>434</v>
      </c>
      <c r="F615" s="50" t="s">
        <v>1804</v>
      </c>
      <c r="G615" s="53" t="s">
        <v>436</v>
      </c>
      <c r="H615" s="50" t="s">
        <v>1258</v>
      </c>
    </row>
    <row r="616" customFormat="false" ht="12.8" hidden="false" customHeight="false" outlineLevel="0" collapsed="false">
      <c r="A616" s="50" t="s">
        <v>2426</v>
      </c>
      <c r="B616" s="50" t="s">
        <v>2427</v>
      </c>
      <c r="C616" s="50" t="n">
        <v>0.005</v>
      </c>
      <c r="D616" s="50" t="s">
        <v>2428</v>
      </c>
      <c r="E616" s="50" t="s">
        <v>502</v>
      </c>
      <c r="F616" s="50" t="s">
        <v>1804</v>
      </c>
      <c r="G616" s="53" t="s">
        <v>436</v>
      </c>
      <c r="H616" s="50" t="s">
        <v>1258</v>
      </c>
    </row>
    <row r="617" customFormat="false" ht="12.8" hidden="false" customHeight="false" outlineLevel="0" collapsed="false">
      <c r="A617" s="50" t="s">
        <v>2429</v>
      </c>
      <c r="B617" s="50" t="s">
        <v>2430</v>
      </c>
      <c r="C617" s="50" t="n">
        <v>-0.001</v>
      </c>
      <c r="D617" s="50" t="s">
        <v>2431</v>
      </c>
      <c r="E617" s="50" t="s">
        <v>434</v>
      </c>
      <c r="F617" s="50" t="s">
        <v>1804</v>
      </c>
      <c r="G617" s="53" t="s">
        <v>436</v>
      </c>
      <c r="H617" s="50" t="s">
        <v>1258</v>
      </c>
    </row>
    <row r="618" customFormat="false" ht="12.8" hidden="false" customHeight="false" outlineLevel="0" collapsed="false">
      <c r="A618" s="50" t="s">
        <v>2432</v>
      </c>
      <c r="B618" s="50" t="s">
        <v>2433</v>
      </c>
      <c r="C618" s="50" t="n">
        <v>-0.001</v>
      </c>
      <c r="D618" s="50" t="s">
        <v>2434</v>
      </c>
      <c r="E618" s="50" t="s">
        <v>434</v>
      </c>
      <c r="F618" s="50" t="s">
        <v>1804</v>
      </c>
      <c r="G618" s="53" t="s">
        <v>436</v>
      </c>
      <c r="H618" s="50" t="s">
        <v>1258</v>
      </c>
    </row>
    <row r="619" customFormat="false" ht="12.8" hidden="false" customHeight="false" outlineLevel="0" collapsed="false">
      <c r="A619" s="50" t="s">
        <v>2435</v>
      </c>
      <c r="B619" s="50" t="s">
        <v>2436</v>
      </c>
      <c r="C619" s="50" t="n">
        <v>0.005</v>
      </c>
      <c r="D619" s="50" t="s">
        <v>2437</v>
      </c>
      <c r="E619" s="50" t="s">
        <v>502</v>
      </c>
      <c r="F619" s="50" t="s">
        <v>1804</v>
      </c>
      <c r="G619" s="53" t="s">
        <v>436</v>
      </c>
      <c r="H619" s="50" t="s">
        <v>1258</v>
      </c>
    </row>
    <row r="620" customFormat="false" ht="12.8" hidden="false" customHeight="false" outlineLevel="0" collapsed="false">
      <c r="A620" s="50" t="s">
        <v>2438</v>
      </c>
      <c r="B620" s="50" t="s">
        <v>2439</v>
      </c>
      <c r="C620" s="50" t="n">
        <v>0.007</v>
      </c>
      <c r="D620" s="50" t="s">
        <v>2440</v>
      </c>
      <c r="E620" s="50" t="s">
        <v>502</v>
      </c>
      <c r="F620" s="50" t="s">
        <v>1804</v>
      </c>
      <c r="G620" s="53" t="s">
        <v>436</v>
      </c>
      <c r="H620" s="50" t="s">
        <v>1258</v>
      </c>
    </row>
    <row r="621" customFormat="false" ht="12.8" hidden="false" customHeight="false" outlineLevel="0" collapsed="false">
      <c r="A621" s="50" t="s">
        <v>2441</v>
      </c>
      <c r="B621" s="50" t="s">
        <v>2442</v>
      </c>
      <c r="C621" s="50" t="n">
        <v>0.003</v>
      </c>
      <c r="D621" s="50" t="s">
        <v>2443</v>
      </c>
      <c r="E621" s="50" t="s">
        <v>502</v>
      </c>
      <c r="F621" s="50" t="s">
        <v>1804</v>
      </c>
      <c r="G621" s="53" t="s">
        <v>436</v>
      </c>
      <c r="H621" s="50" t="s">
        <v>1258</v>
      </c>
    </row>
    <row r="622" customFormat="false" ht="12.8" hidden="false" customHeight="false" outlineLevel="0" collapsed="false">
      <c r="A622" s="50" t="s">
        <v>2444</v>
      </c>
      <c r="B622" s="50" t="s">
        <v>2445</v>
      </c>
      <c r="C622" s="50" t="n">
        <v>-0.001</v>
      </c>
      <c r="D622" s="50" t="s">
        <v>2446</v>
      </c>
      <c r="E622" s="50" t="s">
        <v>434</v>
      </c>
      <c r="F622" s="50" t="s">
        <v>1804</v>
      </c>
      <c r="G622" s="53" t="s">
        <v>436</v>
      </c>
      <c r="H622" s="50" t="s">
        <v>1258</v>
      </c>
    </row>
    <row r="623" customFormat="false" ht="12.8" hidden="false" customHeight="false" outlineLevel="0" collapsed="false">
      <c r="A623" s="50" t="s">
        <v>2447</v>
      </c>
      <c r="B623" s="50" t="s">
        <v>2448</v>
      </c>
      <c r="C623" s="50" t="n">
        <v>0.006</v>
      </c>
      <c r="D623" s="50" t="s">
        <v>2449</v>
      </c>
      <c r="E623" s="50" t="s">
        <v>434</v>
      </c>
      <c r="F623" s="50" t="s">
        <v>1710</v>
      </c>
      <c r="G623" s="53" t="s">
        <v>436</v>
      </c>
      <c r="H623" s="50" t="s">
        <v>1258</v>
      </c>
    </row>
    <row r="624" customFormat="false" ht="12.8" hidden="false" customHeight="false" outlineLevel="0" collapsed="false">
      <c r="A624" s="50" t="s">
        <v>2450</v>
      </c>
      <c r="B624" s="50" t="s">
        <v>2451</v>
      </c>
      <c r="C624" s="50" t="n">
        <v>0.01</v>
      </c>
      <c r="D624" s="50" t="s">
        <v>2452</v>
      </c>
      <c r="E624" s="50" t="s">
        <v>440</v>
      </c>
      <c r="F624" s="50" t="s">
        <v>1710</v>
      </c>
      <c r="G624" s="53" t="s">
        <v>436</v>
      </c>
      <c r="H624" s="50" t="s">
        <v>1258</v>
      </c>
    </row>
    <row r="625" customFormat="false" ht="12.8" hidden="false" customHeight="false" outlineLevel="0" collapsed="false">
      <c r="A625" s="50" t="s">
        <v>2453</v>
      </c>
      <c r="B625" s="50" t="s">
        <v>2454</v>
      </c>
      <c r="C625" s="50" t="n">
        <v>0.009</v>
      </c>
      <c r="D625" s="50" t="s">
        <v>2455</v>
      </c>
      <c r="E625" s="50" t="s">
        <v>502</v>
      </c>
      <c r="F625" s="50" t="s">
        <v>1710</v>
      </c>
      <c r="G625" s="53" t="s">
        <v>436</v>
      </c>
      <c r="H625" s="50" t="s">
        <v>1258</v>
      </c>
    </row>
    <row r="626" customFormat="false" ht="12.8" hidden="false" customHeight="false" outlineLevel="0" collapsed="false">
      <c r="A626" s="50" t="s">
        <v>2456</v>
      </c>
      <c r="B626" s="50" t="s">
        <v>2457</v>
      </c>
      <c r="C626" s="50" t="n">
        <v>0.004</v>
      </c>
      <c r="D626" s="50" t="s">
        <v>2458</v>
      </c>
      <c r="E626" s="50" t="s">
        <v>434</v>
      </c>
      <c r="F626" s="50" t="s">
        <v>1710</v>
      </c>
      <c r="G626" s="53" t="s">
        <v>436</v>
      </c>
      <c r="H626" s="50" t="s">
        <v>1258</v>
      </c>
    </row>
    <row r="627" customFormat="false" ht="12.8" hidden="false" customHeight="false" outlineLevel="0" collapsed="false">
      <c r="A627" s="50" t="s">
        <v>2459</v>
      </c>
      <c r="B627" s="50" t="s">
        <v>2460</v>
      </c>
      <c r="C627" s="50" t="n">
        <v>0.012</v>
      </c>
      <c r="D627" s="50" t="s">
        <v>2461</v>
      </c>
      <c r="E627" s="50" t="s">
        <v>440</v>
      </c>
      <c r="F627" s="50" t="s">
        <v>1710</v>
      </c>
      <c r="G627" s="53" t="s">
        <v>436</v>
      </c>
      <c r="H627" s="50" t="s">
        <v>1258</v>
      </c>
    </row>
    <row r="628" customFormat="false" ht="12.8" hidden="false" customHeight="false" outlineLevel="0" collapsed="false">
      <c r="A628" s="50" t="s">
        <v>2462</v>
      </c>
      <c r="B628" s="50" t="s">
        <v>2463</v>
      </c>
      <c r="C628" s="50" t="n">
        <v>0.006</v>
      </c>
      <c r="D628" s="50" t="s">
        <v>2464</v>
      </c>
      <c r="E628" s="50" t="s">
        <v>434</v>
      </c>
      <c r="F628" s="50" t="s">
        <v>1710</v>
      </c>
      <c r="G628" s="53" t="s">
        <v>436</v>
      </c>
      <c r="H628" s="50" t="s">
        <v>1258</v>
      </c>
    </row>
    <row r="629" customFormat="false" ht="12.8" hidden="false" customHeight="false" outlineLevel="0" collapsed="false">
      <c r="A629" s="50" t="s">
        <v>2465</v>
      </c>
      <c r="B629" s="50" t="s">
        <v>2466</v>
      </c>
      <c r="C629" s="50" t="n">
        <v>0.006</v>
      </c>
      <c r="D629" s="50" t="s">
        <v>2467</v>
      </c>
      <c r="E629" s="50" t="s">
        <v>434</v>
      </c>
      <c r="F629" s="50" t="s">
        <v>1710</v>
      </c>
      <c r="G629" s="53" t="s">
        <v>436</v>
      </c>
      <c r="H629" s="50" t="s">
        <v>1258</v>
      </c>
    </row>
    <row r="630" customFormat="false" ht="12.8" hidden="false" customHeight="false" outlineLevel="0" collapsed="false">
      <c r="A630" s="50" t="s">
        <v>2468</v>
      </c>
      <c r="B630" s="50" t="s">
        <v>2469</v>
      </c>
      <c r="C630" s="50" t="n">
        <v>0.006</v>
      </c>
      <c r="D630" s="50" t="s">
        <v>2470</v>
      </c>
      <c r="E630" s="50" t="s">
        <v>434</v>
      </c>
      <c r="F630" s="50" t="s">
        <v>1710</v>
      </c>
      <c r="G630" s="53" t="s">
        <v>436</v>
      </c>
      <c r="H630" s="50" t="s">
        <v>1258</v>
      </c>
    </row>
    <row r="631" customFormat="false" ht="12.8" hidden="false" customHeight="false" outlineLevel="0" collapsed="false">
      <c r="A631" s="50" t="s">
        <v>2471</v>
      </c>
      <c r="B631" s="50" t="s">
        <v>2472</v>
      </c>
      <c r="C631" s="50" t="n">
        <v>0.005</v>
      </c>
      <c r="D631" s="50" t="s">
        <v>2473</v>
      </c>
      <c r="E631" s="50" t="s">
        <v>434</v>
      </c>
      <c r="F631" s="50" t="s">
        <v>1710</v>
      </c>
      <c r="G631" s="53" t="s">
        <v>436</v>
      </c>
      <c r="H631" s="50" t="s">
        <v>1258</v>
      </c>
    </row>
    <row r="632" customFormat="false" ht="12.8" hidden="false" customHeight="false" outlineLevel="0" collapsed="false">
      <c r="A632" s="50" t="s">
        <v>2474</v>
      </c>
      <c r="B632" s="50" t="s">
        <v>2475</v>
      </c>
      <c r="C632" s="50" t="n">
        <v>0.008</v>
      </c>
      <c r="D632" s="50" t="s">
        <v>2476</v>
      </c>
      <c r="E632" s="50" t="s">
        <v>440</v>
      </c>
      <c r="F632" s="50" t="s">
        <v>1710</v>
      </c>
      <c r="G632" s="53" t="s">
        <v>436</v>
      </c>
      <c r="H632" s="50" t="s">
        <v>1258</v>
      </c>
    </row>
    <row r="633" customFormat="false" ht="12.8" hidden="false" customHeight="false" outlineLevel="0" collapsed="false">
      <c r="A633" s="50" t="s">
        <v>2477</v>
      </c>
      <c r="B633" s="50" t="s">
        <v>2478</v>
      </c>
      <c r="C633" s="50" t="n">
        <v>0.008</v>
      </c>
      <c r="D633" s="50" t="s">
        <v>2479</v>
      </c>
      <c r="E633" s="50" t="s">
        <v>440</v>
      </c>
      <c r="F633" s="50" t="s">
        <v>1710</v>
      </c>
      <c r="G633" s="53" t="s">
        <v>436</v>
      </c>
      <c r="H633" s="50" t="s">
        <v>1258</v>
      </c>
    </row>
    <row r="634" customFormat="false" ht="12.8" hidden="false" customHeight="false" outlineLevel="0" collapsed="false">
      <c r="A634" s="50" t="s">
        <v>2480</v>
      </c>
      <c r="B634" s="50" t="s">
        <v>2481</v>
      </c>
      <c r="C634" s="50" t="n">
        <v>0.007</v>
      </c>
      <c r="D634" s="50" t="s">
        <v>2482</v>
      </c>
      <c r="E634" s="50" t="s">
        <v>434</v>
      </c>
      <c r="F634" s="50" t="s">
        <v>1710</v>
      </c>
      <c r="G634" s="53" t="s">
        <v>436</v>
      </c>
      <c r="H634" s="50" t="s">
        <v>1258</v>
      </c>
    </row>
    <row r="635" customFormat="false" ht="12.8" hidden="false" customHeight="false" outlineLevel="0" collapsed="false">
      <c r="A635" s="50" t="s">
        <v>2483</v>
      </c>
      <c r="B635" s="50" t="s">
        <v>2484</v>
      </c>
      <c r="C635" s="50" t="n">
        <v>0.007</v>
      </c>
      <c r="D635" s="50" t="s">
        <v>2485</v>
      </c>
      <c r="E635" s="50" t="s">
        <v>434</v>
      </c>
      <c r="F635" s="50" t="s">
        <v>1710</v>
      </c>
      <c r="G635" s="53" t="s">
        <v>436</v>
      </c>
      <c r="H635" s="50" t="s">
        <v>1258</v>
      </c>
    </row>
    <row r="636" customFormat="false" ht="12.8" hidden="false" customHeight="false" outlineLevel="0" collapsed="false">
      <c r="A636" s="50" t="s">
        <v>2486</v>
      </c>
      <c r="B636" s="50" t="s">
        <v>2487</v>
      </c>
      <c r="C636" s="50" t="n">
        <v>0.005</v>
      </c>
      <c r="D636" s="50" t="s">
        <v>2488</v>
      </c>
      <c r="E636" s="50" t="s">
        <v>434</v>
      </c>
      <c r="F636" s="50" t="s">
        <v>1710</v>
      </c>
      <c r="G636" s="53" t="s">
        <v>436</v>
      </c>
      <c r="H636" s="50" t="s">
        <v>1258</v>
      </c>
    </row>
    <row r="637" customFormat="false" ht="12.8" hidden="false" customHeight="false" outlineLevel="0" collapsed="false">
      <c r="A637" s="50" t="s">
        <v>2489</v>
      </c>
      <c r="B637" s="50" t="s">
        <v>2490</v>
      </c>
      <c r="C637" s="50" t="n">
        <v>0.004</v>
      </c>
      <c r="D637" s="50" t="s">
        <v>2491</v>
      </c>
      <c r="E637" s="50" t="s">
        <v>434</v>
      </c>
      <c r="F637" s="50" t="s">
        <v>1710</v>
      </c>
      <c r="G637" s="53" t="s">
        <v>436</v>
      </c>
      <c r="H637" s="50" t="s">
        <v>1258</v>
      </c>
    </row>
    <row r="638" customFormat="false" ht="12.8" hidden="false" customHeight="false" outlineLevel="0" collapsed="false">
      <c r="A638" s="50" t="s">
        <v>2492</v>
      </c>
      <c r="B638" s="50" t="s">
        <v>2493</v>
      </c>
      <c r="C638" s="50" t="n">
        <v>0.006</v>
      </c>
      <c r="D638" s="50" t="s">
        <v>2494</v>
      </c>
      <c r="E638" s="50" t="s">
        <v>440</v>
      </c>
      <c r="F638" s="50" t="s">
        <v>1710</v>
      </c>
      <c r="G638" s="53" t="s">
        <v>436</v>
      </c>
      <c r="H638" s="50" t="s">
        <v>1258</v>
      </c>
    </row>
    <row r="639" customFormat="false" ht="12.8" hidden="false" customHeight="false" outlineLevel="0" collapsed="false">
      <c r="A639" s="50" t="s">
        <v>2495</v>
      </c>
      <c r="B639" s="50" t="s">
        <v>2496</v>
      </c>
      <c r="C639" s="50" t="n">
        <v>0.004</v>
      </c>
      <c r="D639" s="50" t="s">
        <v>2497</v>
      </c>
      <c r="E639" s="50" t="s">
        <v>434</v>
      </c>
      <c r="F639" s="50" t="s">
        <v>1710</v>
      </c>
      <c r="G639" s="53" t="s">
        <v>436</v>
      </c>
      <c r="H639" s="50" t="s">
        <v>1258</v>
      </c>
    </row>
    <row r="640" customFormat="false" ht="12.8" hidden="false" customHeight="false" outlineLevel="0" collapsed="false">
      <c r="A640" s="50" t="s">
        <v>2498</v>
      </c>
      <c r="B640" s="50" t="s">
        <v>2499</v>
      </c>
      <c r="C640" s="50" t="n">
        <v>0.01</v>
      </c>
      <c r="D640" s="50" t="s">
        <v>2500</v>
      </c>
      <c r="E640" s="50" t="s">
        <v>440</v>
      </c>
      <c r="F640" s="50" t="s">
        <v>1710</v>
      </c>
      <c r="G640" s="53" t="s">
        <v>436</v>
      </c>
      <c r="H640" s="50" t="s">
        <v>1258</v>
      </c>
    </row>
    <row r="641" customFormat="false" ht="12.8" hidden="false" customHeight="false" outlineLevel="0" collapsed="false">
      <c r="A641" s="50" t="s">
        <v>2501</v>
      </c>
      <c r="B641" s="50" t="s">
        <v>2502</v>
      </c>
      <c r="C641" s="50" t="n">
        <v>0.004</v>
      </c>
      <c r="D641" s="50" t="s">
        <v>2503</v>
      </c>
      <c r="E641" s="50" t="s">
        <v>434</v>
      </c>
      <c r="F641" s="50" t="s">
        <v>1710</v>
      </c>
      <c r="G641" s="53" t="s">
        <v>436</v>
      </c>
      <c r="H641" s="50" t="s">
        <v>1258</v>
      </c>
    </row>
    <row r="642" customFormat="false" ht="12.8" hidden="false" customHeight="false" outlineLevel="0" collapsed="false">
      <c r="A642" s="50" t="s">
        <v>2504</v>
      </c>
      <c r="B642" s="50" t="s">
        <v>2505</v>
      </c>
      <c r="C642" s="50" t="n">
        <v>0.004</v>
      </c>
      <c r="D642" s="50" t="s">
        <v>2506</v>
      </c>
      <c r="E642" s="50" t="s">
        <v>434</v>
      </c>
      <c r="F642" s="50" t="s">
        <v>1710</v>
      </c>
      <c r="G642" s="53" t="s">
        <v>436</v>
      </c>
      <c r="H642" s="50" t="s">
        <v>1258</v>
      </c>
    </row>
    <row r="643" customFormat="false" ht="12.8" hidden="false" customHeight="false" outlineLevel="0" collapsed="false">
      <c r="A643" s="50" t="s">
        <v>2507</v>
      </c>
      <c r="B643" s="50" t="s">
        <v>2508</v>
      </c>
      <c r="C643" s="50" t="n">
        <v>0.01</v>
      </c>
      <c r="D643" s="50" t="s">
        <v>2509</v>
      </c>
      <c r="E643" s="50" t="s">
        <v>502</v>
      </c>
      <c r="F643" s="50" t="s">
        <v>1710</v>
      </c>
      <c r="G643" s="53" t="s">
        <v>436</v>
      </c>
      <c r="H643" s="50" t="s">
        <v>1258</v>
      </c>
    </row>
    <row r="644" customFormat="false" ht="12.8" hidden="false" customHeight="false" outlineLevel="0" collapsed="false">
      <c r="A644" s="50" t="s">
        <v>2510</v>
      </c>
      <c r="B644" s="50" t="s">
        <v>2511</v>
      </c>
      <c r="C644" s="50" t="n">
        <v>0.013</v>
      </c>
      <c r="D644" s="50" t="s">
        <v>2512</v>
      </c>
      <c r="E644" s="50" t="s">
        <v>502</v>
      </c>
      <c r="F644" s="50" t="s">
        <v>1710</v>
      </c>
      <c r="G644" s="53" t="s">
        <v>436</v>
      </c>
      <c r="H644" s="50" t="s">
        <v>1258</v>
      </c>
    </row>
    <row r="645" customFormat="false" ht="12.8" hidden="false" customHeight="false" outlineLevel="0" collapsed="false">
      <c r="A645" s="50" t="s">
        <v>2513</v>
      </c>
      <c r="B645" s="50" t="s">
        <v>2514</v>
      </c>
      <c r="C645" s="50" t="n">
        <v>0.008</v>
      </c>
      <c r="D645" s="50" t="s">
        <v>2515</v>
      </c>
      <c r="E645" s="50" t="s">
        <v>440</v>
      </c>
      <c r="F645" s="50" t="s">
        <v>1710</v>
      </c>
      <c r="G645" s="53" t="s">
        <v>436</v>
      </c>
      <c r="H645" s="50" t="s">
        <v>1258</v>
      </c>
    </row>
    <row r="646" customFormat="false" ht="12.8" hidden="false" customHeight="false" outlineLevel="0" collapsed="false">
      <c r="A646" s="50" t="s">
        <v>2516</v>
      </c>
      <c r="B646" s="50" t="s">
        <v>2517</v>
      </c>
      <c r="C646" s="50" t="n">
        <v>0.004</v>
      </c>
      <c r="D646" s="50" t="s">
        <v>2518</v>
      </c>
      <c r="E646" s="50" t="s">
        <v>434</v>
      </c>
      <c r="F646" s="50" t="s">
        <v>1710</v>
      </c>
      <c r="G646" s="53" t="s">
        <v>436</v>
      </c>
      <c r="H646" s="50" t="s">
        <v>1258</v>
      </c>
    </row>
    <row r="647" customFormat="false" ht="12.8" hidden="false" customHeight="false" outlineLevel="0" collapsed="false">
      <c r="A647" s="50" t="s">
        <v>2519</v>
      </c>
      <c r="B647" s="50" t="s">
        <v>2520</v>
      </c>
      <c r="C647" s="50" t="n">
        <v>1.407</v>
      </c>
      <c r="D647" s="50" t="s">
        <v>2521</v>
      </c>
      <c r="E647" s="50" t="s">
        <v>434</v>
      </c>
      <c r="F647" s="50" t="s">
        <v>1710</v>
      </c>
      <c r="G647" s="53" t="s">
        <v>436</v>
      </c>
      <c r="H647" s="50" t="s">
        <v>1258</v>
      </c>
    </row>
    <row r="648" customFormat="false" ht="12.8" hidden="false" customHeight="false" outlineLevel="0" collapsed="false">
      <c r="A648" s="50" t="s">
        <v>2522</v>
      </c>
      <c r="B648" s="50" t="s">
        <v>2523</v>
      </c>
      <c r="C648" s="50" t="n">
        <v>1.38</v>
      </c>
      <c r="D648" s="50" t="s">
        <v>2524</v>
      </c>
      <c r="E648" s="50" t="s">
        <v>440</v>
      </c>
      <c r="F648" s="50" t="s">
        <v>1710</v>
      </c>
      <c r="G648" s="53" t="s">
        <v>436</v>
      </c>
      <c r="H648" s="50" t="s">
        <v>1258</v>
      </c>
    </row>
    <row r="649" customFormat="false" ht="12.8" hidden="false" customHeight="false" outlineLevel="0" collapsed="false">
      <c r="A649" s="50" t="s">
        <v>2525</v>
      </c>
      <c r="B649" s="50" t="s">
        <v>2526</v>
      </c>
      <c r="C649" s="50" t="n">
        <v>1.37</v>
      </c>
      <c r="D649" s="50" t="s">
        <v>2527</v>
      </c>
      <c r="E649" s="50" t="s">
        <v>502</v>
      </c>
      <c r="F649" s="50" t="s">
        <v>1710</v>
      </c>
      <c r="G649" s="53" t="s">
        <v>436</v>
      </c>
      <c r="H649" s="50" t="s">
        <v>1258</v>
      </c>
    </row>
    <row r="650" customFormat="false" ht="12.8" hidden="false" customHeight="false" outlineLevel="0" collapsed="false">
      <c r="A650" s="50" t="s">
        <v>2528</v>
      </c>
      <c r="B650" s="50" t="s">
        <v>2529</v>
      </c>
      <c r="C650" s="50" t="n">
        <v>1.22</v>
      </c>
      <c r="D650" s="50" t="s">
        <v>2530</v>
      </c>
      <c r="E650" s="50" t="s">
        <v>434</v>
      </c>
      <c r="F650" s="50" t="s">
        <v>1710</v>
      </c>
      <c r="G650" s="53" t="s">
        <v>436</v>
      </c>
      <c r="H650" s="50" t="s">
        <v>1258</v>
      </c>
    </row>
    <row r="651" customFormat="false" ht="12.8" hidden="false" customHeight="false" outlineLevel="0" collapsed="false">
      <c r="A651" s="50" t="s">
        <v>2531</v>
      </c>
      <c r="B651" s="50" t="s">
        <v>2532</v>
      </c>
      <c r="C651" s="50" t="n">
        <v>1.44</v>
      </c>
      <c r="D651" s="50" t="s">
        <v>2533</v>
      </c>
      <c r="E651" s="50" t="s">
        <v>440</v>
      </c>
      <c r="F651" s="50" t="s">
        <v>1710</v>
      </c>
      <c r="G651" s="53" t="s">
        <v>436</v>
      </c>
      <c r="H651" s="50" t="s">
        <v>1258</v>
      </c>
    </row>
    <row r="652" customFormat="false" ht="12.8" hidden="false" customHeight="false" outlineLevel="0" collapsed="false">
      <c r="A652" s="50" t="s">
        <v>2534</v>
      </c>
      <c r="B652" s="50" t="s">
        <v>2535</v>
      </c>
      <c r="C652" s="50" t="n">
        <v>1.37</v>
      </c>
      <c r="D652" s="50" t="s">
        <v>2536</v>
      </c>
      <c r="E652" s="50" t="s">
        <v>434</v>
      </c>
      <c r="F652" s="50" t="s">
        <v>1710</v>
      </c>
      <c r="G652" s="53" t="s">
        <v>436</v>
      </c>
      <c r="H652" s="50" t="s">
        <v>1258</v>
      </c>
    </row>
    <row r="653" customFormat="false" ht="12.8" hidden="false" customHeight="false" outlineLevel="0" collapsed="false">
      <c r="A653" s="50" t="s">
        <v>2537</v>
      </c>
      <c r="B653" s="50" t="s">
        <v>2538</v>
      </c>
      <c r="C653" s="50" t="n">
        <v>1.37</v>
      </c>
      <c r="D653" s="50" t="s">
        <v>2539</v>
      </c>
      <c r="E653" s="50" t="s">
        <v>434</v>
      </c>
      <c r="F653" s="50" t="s">
        <v>1710</v>
      </c>
      <c r="G653" s="53" t="s">
        <v>436</v>
      </c>
      <c r="H653" s="50" t="s">
        <v>1258</v>
      </c>
    </row>
    <row r="654" customFormat="false" ht="12.8" hidden="false" customHeight="false" outlineLevel="0" collapsed="false">
      <c r="A654" s="50" t="s">
        <v>2540</v>
      </c>
      <c r="B654" s="50" t="s">
        <v>2541</v>
      </c>
      <c r="C654" s="50" t="n">
        <v>1.37</v>
      </c>
      <c r="D654" s="50" t="s">
        <v>2542</v>
      </c>
      <c r="E654" s="50" t="s">
        <v>434</v>
      </c>
      <c r="F654" s="50" t="s">
        <v>1710</v>
      </c>
      <c r="G654" s="53" t="s">
        <v>436</v>
      </c>
      <c r="H654" s="50" t="s">
        <v>1258</v>
      </c>
    </row>
    <row r="655" customFormat="false" ht="12.8" hidden="false" customHeight="false" outlineLevel="0" collapsed="false">
      <c r="A655" s="50" t="s">
        <v>2543</v>
      </c>
      <c r="B655" s="50" t="s">
        <v>2544</v>
      </c>
      <c r="C655" s="50" t="n">
        <v>1.31</v>
      </c>
      <c r="D655" s="50" t="s">
        <v>2545</v>
      </c>
      <c r="E655" s="50" t="s">
        <v>434</v>
      </c>
      <c r="F655" s="50" t="s">
        <v>1710</v>
      </c>
      <c r="G655" s="53" t="s">
        <v>436</v>
      </c>
      <c r="H655" s="50" t="s">
        <v>1258</v>
      </c>
    </row>
    <row r="656" customFormat="false" ht="12.8" hidden="false" customHeight="false" outlineLevel="0" collapsed="false">
      <c r="A656" s="50" t="s">
        <v>2546</v>
      </c>
      <c r="B656" s="50" t="s">
        <v>2547</v>
      </c>
      <c r="C656" s="50" t="n">
        <v>1.38</v>
      </c>
      <c r="D656" s="50" t="s">
        <v>2548</v>
      </c>
      <c r="E656" s="50" t="s">
        <v>440</v>
      </c>
      <c r="F656" s="50" t="s">
        <v>1710</v>
      </c>
      <c r="G656" s="53" t="s">
        <v>436</v>
      </c>
      <c r="H656" s="50" t="s">
        <v>1258</v>
      </c>
    </row>
    <row r="657" customFormat="false" ht="12.8" hidden="false" customHeight="false" outlineLevel="0" collapsed="false">
      <c r="A657" s="50" t="s">
        <v>2549</v>
      </c>
      <c r="B657" s="50" t="s">
        <v>2550</v>
      </c>
      <c r="C657" s="50" t="n">
        <v>1.38</v>
      </c>
      <c r="D657" s="50" t="s">
        <v>2551</v>
      </c>
      <c r="E657" s="50" t="s">
        <v>440</v>
      </c>
      <c r="F657" s="50" t="s">
        <v>1710</v>
      </c>
      <c r="G657" s="53" t="s">
        <v>436</v>
      </c>
      <c r="H657" s="50" t="s">
        <v>1258</v>
      </c>
    </row>
    <row r="658" customFormat="false" ht="12.8" hidden="false" customHeight="false" outlineLevel="0" collapsed="false">
      <c r="A658" s="50" t="s">
        <v>2552</v>
      </c>
      <c r="B658" s="50" t="s">
        <v>2553</v>
      </c>
      <c r="C658" s="50" t="n">
        <v>1.37</v>
      </c>
      <c r="D658" s="50" t="s">
        <v>2554</v>
      </c>
      <c r="E658" s="50" t="s">
        <v>434</v>
      </c>
      <c r="F658" s="50" t="s">
        <v>1710</v>
      </c>
      <c r="G658" s="53" t="s">
        <v>436</v>
      </c>
      <c r="H658" s="50" t="s">
        <v>1258</v>
      </c>
    </row>
    <row r="659" customFormat="false" ht="12.8" hidden="false" customHeight="false" outlineLevel="0" collapsed="false">
      <c r="A659" s="50" t="s">
        <v>2555</v>
      </c>
      <c r="B659" s="50" t="s">
        <v>2556</v>
      </c>
      <c r="C659" s="50" t="n">
        <v>1.37</v>
      </c>
      <c r="D659" s="50" t="s">
        <v>2557</v>
      </c>
      <c r="E659" s="50" t="s">
        <v>434</v>
      </c>
      <c r="F659" s="50" t="s">
        <v>1710</v>
      </c>
      <c r="G659" s="53" t="s">
        <v>436</v>
      </c>
      <c r="H659" s="50" t="s">
        <v>1258</v>
      </c>
    </row>
    <row r="660" customFormat="false" ht="12.8" hidden="false" customHeight="false" outlineLevel="0" collapsed="false">
      <c r="A660" s="50" t="s">
        <v>2558</v>
      </c>
      <c r="B660" s="50" t="s">
        <v>2559</v>
      </c>
      <c r="C660" s="50" t="n">
        <v>1.25</v>
      </c>
      <c r="D660" s="50" t="s">
        <v>2560</v>
      </c>
      <c r="E660" s="50" t="s">
        <v>434</v>
      </c>
      <c r="F660" s="50" t="s">
        <v>1710</v>
      </c>
      <c r="G660" s="53" t="s">
        <v>436</v>
      </c>
      <c r="H660" s="50" t="s">
        <v>1258</v>
      </c>
    </row>
    <row r="661" customFormat="false" ht="12.8" hidden="false" customHeight="false" outlineLevel="0" collapsed="false">
      <c r="A661" s="50" t="s">
        <v>2561</v>
      </c>
      <c r="B661" s="50" t="s">
        <v>2562</v>
      </c>
      <c r="C661" s="50" t="n">
        <v>1.27</v>
      </c>
      <c r="D661" s="50" t="s">
        <v>2563</v>
      </c>
      <c r="E661" s="50" t="s">
        <v>434</v>
      </c>
      <c r="F661" s="50" t="s">
        <v>1710</v>
      </c>
      <c r="G661" s="53" t="s">
        <v>436</v>
      </c>
      <c r="H661" s="50" t="s">
        <v>1258</v>
      </c>
    </row>
    <row r="662" customFormat="false" ht="12.8" hidden="false" customHeight="false" outlineLevel="0" collapsed="false">
      <c r="A662" s="50" t="s">
        <v>2564</v>
      </c>
      <c r="B662" s="50" t="s">
        <v>2565</v>
      </c>
      <c r="C662" s="50" t="n">
        <v>1.27</v>
      </c>
      <c r="D662" s="50" t="s">
        <v>2566</v>
      </c>
      <c r="E662" s="50" t="s">
        <v>440</v>
      </c>
      <c r="F662" s="50" t="s">
        <v>1710</v>
      </c>
      <c r="G662" s="53" t="s">
        <v>436</v>
      </c>
      <c r="H662" s="50" t="s">
        <v>1258</v>
      </c>
    </row>
    <row r="663" customFormat="false" ht="12.8" hidden="false" customHeight="false" outlineLevel="0" collapsed="false">
      <c r="A663" s="50" t="s">
        <v>2567</v>
      </c>
      <c r="B663" s="50" t="s">
        <v>2568</v>
      </c>
      <c r="C663" s="50" t="n">
        <v>1.28</v>
      </c>
      <c r="D663" s="50" t="s">
        <v>2569</v>
      </c>
      <c r="E663" s="50" t="s">
        <v>434</v>
      </c>
      <c r="F663" s="50" t="s">
        <v>1710</v>
      </c>
      <c r="G663" s="53" t="s">
        <v>436</v>
      </c>
      <c r="H663" s="50" t="s">
        <v>1258</v>
      </c>
    </row>
    <row r="664" customFormat="false" ht="12.8" hidden="false" customHeight="false" outlineLevel="0" collapsed="false">
      <c r="A664" s="50" t="s">
        <v>2570</v>
      </c>
      <c r="B664" s="50" t="s">
        <v>2571</v>
      </c>
      <c r="C664" s="50" t="n">
        <v>1.38</v>
      </c>
      <c r="D664" s="50" t="s">
        <v>2572</v>
      </c>
      <c r="E664" s="50" t="s">
        <v>440</v>
      </c>
      <c r="F664" s="50" t="s">
        <v>1710</v>
      </c>
      <c r="G664" s="53" t="s">
        <v>436</v>
      </c>
      <c r="H664" s="50" t="s">
        <v>1258</v>
      </c>
    </row>
    <row r="665" customFormat="false" ht="12.8" hidden="false" customHeight="false" outlineLevel="0" collapsed="false">
      <c r="A665" s="50" t="s">
        <v>2573</v>
      </c>
      <c r="B665" s="50" t="s">
        <v>2574</v>
      </c>
      <c r="C665" s="50" t="n">
        <v>1.28</v>
      </c>
      <c r="D665" s="50" t="s">
        <v>2575</v>
      </c>
      <c r="E665" s="50" t="s">
        <v>434</v>
      </c>
      <c r="F665" s="50" t="s">
        <v>1710</v>
      </c>
      <c r="G665" s="53" t="s">
        <v>436</v>
      </c>
      <c r="H665" s="50" t="s">
        <v>1258</v>
      </c>
    </row>
    <row r="666" customFormat="false" ht="12.8" hidden="false" customHeight="false" outlineLevel="0" collapsed="false">
      <c r="A666" s="50" t="s">
        <v>2576</v>
      </c>
      <c r="B666" s="50" t="s">
        <v>2577</v>
      </c>
      <c r="C666" s="50" t="n">
        <v>1.28</v>
      </c>
      <c r="D666" s="50" t="s">
        <v>2578</v>
      </c>
      <c r="E666" s="50" t="s">
        <v>434</v>
      </c>
      <c r="F666" s="50" t="s">
        <v>1710</v>
      </c>
      <c r="G666" s="53" t="s">
        <v>436</v>
      </c>
      <c r="H666" s="50" t="s">
        <v>1258</v>
      </c>
    </row>
    <row r="667" customFormat="false" ht="12.8" hidden="false" customHeight="false" outlineLevel="0" collapsed="false">
      <c r="A667" s="50" t="s">
        <v>2579</v>
      </c>
      <c r="B667" s="50" t="s">
        <v>2580</v>
      </c>
      <c r="C667" s="50" t="n">
        <v>1.38</v>
      </c>
      <c r="D667" s="50" t="s">
        <v>2581</v>
      </c>
      <c r="E667" s="50" t="s">
        <v>502</v>
      </c>
      <c r="F667" s="50" t="s">
        <v>1710</v>
      </c>
      <c r="G667" s="53" t="s">
        <v>436</v>
      </c>
      <c r="H667" s="50" t="s">
        <v>1258</v>
      </c>
    </row>
    <row r="668" customFormat="false" ht="12.8" hidden="false" customHeight="false" outlineLevel="0" collapsed="false">
      <c r="A668" s="50" t="s">
        <v>2582</v>
      </c>
      <c r="B668" s="50" t="s">
        <v>2583</v>
      </c>
      <c r="C668" s="50" t="n">
        <v>1.46</v>
      </c>
      <c r="D668" s="50" t="s">
        <v>2584</v>
      </c>
      <c r="E668" s="50" t="s">
        <v>502</v>
      </c>
      <c r="F668" s="50" t="s">
        <v>1710</v>
      </c>
      <c r="G668" s="53" t="s">
        <v>436</v>
      </c>
      <c r="H668" s="50" t="s">
        <v>1258</v>
      </c>
    </row>
    <row r="669" customFormat="false" ht="12.8" hidden="false" customHeight="false" outlineLevel="0" collapsed="false">
      <c r="A669" s="50" t="s">
        <v>2585</v>
      </c>
      <c r="B669" s="50" t="s">
        <v>2586</v>
      </c>
      <c r="C669" s="50" t="n">
        <v>1.38</v>
      </c>
      <c r="D669" s="50" t="s">
        <v>2587</v>
      </c>
      <c r="E669" s="50" t="s">
        <v>440</v>
      </c>
      <c r="F669" s="50" t="s">
        <v>1710</v>
      </c>
      <c r="G669" s="53" t="s">
        <v>436</v>
      </c>
      <c r="H669" s="50" t="s">
        <v>1258</v>
      </c>
    </row>
    <row r="670" customFormat="false" ht="12.8" hidden="false" customHeight="false" outlineLevel="0" collapsed="false">
      <c r="A670" s="50" t="s">
        <v>2588</v>
      </c>
      <c r="B670" s="50" t="s">
        <v>2589</v>
      </c>
      <c r="C670" s="50" t="n">
        <v>1.22</v>
      </c>
      <c r="D670" s="50" t="s">
        <v>2590</v>
      </c>
      <c r="E670" s="50" t="s">
        <v>434</v>
      </c>
      <c r="F670" s="50" t="s">
        <v>1710</v>
      </c>
      <c r="G670" s="53" t="s">
        <v>436</v>
      </c>
      <c r="H670" s="50" t="s">
        <v>1258</v>
      </c>
    </row>
    <row r="671" customFormat="false" ht="12.8" hidden="false" customHeight="false" outlineLevel="0" collapsed="false">
      <c r="A671" s="50" t="s">
        <v>2591</v>
      </c>
      <c r="B671" s="50" t="s">
        <v>2592</v>
      </c>
      <c r="C671" s="50" t="n">
        <v>0.006</v>
      </c>
      <c r="D671" s="50" t="s">
        <v>2593</v>
      </c>
      <c r="E671" s="50" t="s">
        <v>434</v>
      </c>
      <c r="F671" s="50" t="s">
        <v>1710</v>
      </c>
      <c r="G671" s="53" t="s">
        <v>436</v>
      </c>
      <c r="H671" s="50" t="s">
        <v>1258</v>
      </c>
    </row>
    <row r="672" customFormat="false" ht="12.8" hidden="false" customHeight="false" outlineLevel="0" collapsed="false">
      <c r="A672" s="50" t="s">
        <v>2594</v>
      </c>
      <c r="B672" s="50" t="s">
        <v>741</v>
      </c>
      <c r="C672" s="50" t="n">
        <v>0.01</v>
      </c>
      <c r="D672" s="50" t="s">
        <v>2595</v>
      </c>
      <c r="E672" s="50" t="s">
        <v>440</v>
      </c>
      <c r="F672" s="50" t="s">
        <v>1710</v>
      </c>
      <c r="G672" s="53" t="s">
        <v>436</v>
      </c>
      <c r="H672" s="50" t="s">
        <v>1258</v>
      </c>
    </row>
    <row r="673" customFormat="false" ht="12.8" hidden="false" customHeight="false" outlineLevel="0" collapsed="false">
      <c r="A673" s="50" t="s">
        <v>2596</v>
      </c>
      <c r="B673" s="50" t="s">
        <v>745</v>
      </c>
      <c r="C673" s="50" t="n">
        <v>0.009</v>
      </c>
      <c r="D673" s="50" t="s">
        <v>2597</v>
      </c>
      <c r="E673" s="50" t="s">
        <v>502</v>
      </c>
      <c r="F673" s="50" t="s">
        <v>1710</v>
      </c>
      <c r="G673" s="53" t="s">
        <v>436</v>
      </c>
      <c r="H673" s="50" t="s">
        <v>1258</v>
      </c>
    </row>
    <row r="674" customFormat="false" ht="12.8" hidden="false" customHeight="false" outlineLevel="0" collapsed="false">
      <c r="A674" s="50" t="s">
        <v>2598</v>
      </c>
      <c r="B674" s="50" t="s">
        <v>749</v>
      </c>
      <c r="C674" s="50" t="n">
        <v>0.004</v>
      </c>
      <c r="D674" s="50" t="s">
        <v>2599</v>
      </c>
      <c r="E674" s="50" t="s">
        <v>434</v>
      </c>
      <c r="F674" s="50" t="s">
        <v>1710</v>
      </c>
      <c r="G674" s="53" t="s">
        <v>436</v>
      </c>
      <c r="H674" s="50" t="s">
        <v>1258</v>
      </c>
    </row>
    <row r="675" customFormat="false" ht="12.8" hidden="false" customHeight="false" outlineLevel="0" collapsed="false">
      <c r="A675" s="50" t="s">
        <v>2600</v>
      </c>
      <c r="B675" s="50" t="s">
        <v>753</v>
      </c>
      <c r="C675" s="50" t="n">
        <v>0.012</v>
      </c>
      <c r="D675" s="50" t="s">
        <v>2601</v>
      </c>
      <c r="E675" s="50" t="s">
        <v>440</v>
      </c>
      <c r="F675" s="50" t="s">
        <v>1710</v>
      </c>
      <c r="G675" s="53" t="s">
        <v>436</v>
      </c>
      <c r="H675" s="50" t="s">
        <v>1258</v>
      </c>
    </row>
    <row r="676" customFormat="false" ht="12.8" hidden="false" customHeight="false" outlineLevel="0" collapsed="false">
      <c r="A676" s="50" t="s">
        <v>2602</v>
      </c>
      <c r="B676" s="50" t="s">
        <v>757</v>
      </c>
      <c r="C676" s="50" t="n">
        <v>0.006</v>
      </c>
      <c r="D676" s="50" t="s">
        <v>2603</v>
      </c>
      <c r="E676" s="50" t="s">
        <v>434</v>
      </c>
      <c r="F676" s="50" t="s">
        <v>1710</v>
      </c>
      <c r="G676" s="53" t="s">
        <v>436</v>
      </c>
      <c r="H676" s="50" t="s">
        <v>1258</v>
      </c>
    </row>
    <row r="677" customFormat="false" ht="12.8" hidden="false" customHeight="false" outlineLevel="0" collapsed="false">
      <c r="A677" s="50" t="s">
        <v>2604</v>
      </c>
      <c r="B677" s="50" t="s">
        <v>761</v>
      </c>
      <c r="C677" s="50" t="n">
        <v>0.006</v>
      </c>
      <c r="D677" s="50" t="s">
        <v>2605</v>
      </c>
      <c r="E677" s="50" t="s">
        <v>434</v>
      </c>
      <c r="F677" s="50" t="s">
        <v>1710</v>
      </c>
      <c r="G677" s="53" t="s">
        <v>436</v>
      </c>
      <c r="H677" s="50" t="s">
        <v>1258</v>
      </c>
    </row>
    <row r="678" customFormat="false" ht="12.8" hidden="false" customHeight="false" outlineLevel="0" collapsed="false">
      <c r="A678" s="50" t="s">
        <v>2606</v>
      </c>
      <c r="B678" s="50" t="s">
        <v>764</v>
      </c>
      <c r="C678" s="50" t="n">
        <v>0.006</v>
      </c>
      <c r="D678" s="50" t="s">
        <v>2607</v>
      </c>
      <c r="E678" s="50" t="s">
        <v>434</v>
      </c>
      <c r="F678" s="50" t="s">
        <v>1710</v>
      </c>
      <c r="G678" s="53" t="s">
        <v>436</v>
      </c>
      <c r="H678" s="50" t="s">
        <v>1258</v>
      </c>
    </row>
    <row r="679" customFormat="false" ht="12.8" hidden="false" customHeight="false" outlineLevel="0" collapsed="false">
      <c r="A679" s="50" t="s">
        <v>2608</v>
      </c>
      <c r="B679" s="50" t="s">
        <v>768</v>
      </c>
      <c r="C679" s="50" t="n">
        <v>0.005</v>
      </c>
      <c r="D679" s="50" t="s">
        <v>2609</v>
      </c>
      <c r="E679" s="50" t="s">
        <v>434</v>
      </c>
      <c r="F679" s="50" t="s">
        <v>1710</v>
      </c>
      <c r="G679" s="53" t="s">
        <v>436</v>
      </c>
      <c r="H679" s="50" t="s">
        <v>1258</v>
      </c>
    </row>
    <row r="680" customFormat="false" ht="12.8" hidden="false" customHeight="false" outlineLevel="0" collapsed="false">
      <c r="A680" s="50" t="s">
        <v>2610</v>
      </c>
      <c r="B680" s="50" t="s">
        <v>772</v>
      </c>
      <c r="C680" s="50" t="n">
        <v>0.008</v>
      </c>
      <c r="D680" s="50" t="s">
        <v>2611</v>
      </c>
      <c r="E680" s="50" t="s">
        <v>440</v>
      </c>
      <c r="F680" s="50" t="s">
        <v>1710</v>
      </c>
      <c r="G680" s="53" t="s">
        <v>436</v>
      </c>
      <c r="H680" s="50" t="s">
        <v>1258</v>
      </c>
    </row>
    <row r="681" customFormat="false" ht="12.8" hidden="false" customHeight="false" outlineLevel="0" collapsed="false">
      <c r="A681" s="50" t="s">
        <v>2612</v>
      </c>
      <c r="B681" s="50" t="s">
        <v>776</v>
      </c>
      <c r="C681" s="50" t="n">
        <v>0.008</v>
      </c>
      <c r="D681" s="50" t="s">
        <v>2613</v>
      </c>
      <c r="E681" s="50" t="s">
        <v>440</v>
      </c>
      <c r="F681" s="50" t="s">
        <v>1710</v>
      </c>
      <c r="G681" s="53" t="s">
        <v>436</v>
      </c>
      <c r="H681" s="50" t="s">
        <v>1258</v>
      </c>
    </row>
    <row r="682" customFormat="false" ht="12.8" hidden="false" customHeight="false" outlineLevel="0" collapsed="false">
      <c r="A682" s="50" t="s">
        <v>2614</v>
      </c>
      <c r="B682" s="50" t="s">
        <v>780</v>
      </c>
      <c r="C682" s="50" t="n">
        <v>0.007</v>
      </c>
      <c r="D682" s="50" t="s">
        <v>2615</v>
      </c>
      <c r="E682" s="50" t="s">
        <v>434</v>
      </c>
      <c r="F682" s="50" t="s">
        <v>1710</v>
      </c>
      <c r="G682" s="53" t="s">
        <v>436</v>
      </c>
      <c r="H682" s="50" t="s">
        <v>1258</v>
      </c>
    </row>
    <row r="683" customFormat="false" ht="12.8" hidden="false" customHeight="false" outlineLevel="0" collapsed="false">
      <c r="A683" s="50" t="s">
        <v>2616</v>
      </c>
      <c r="B683" s="50" t="s">
        <v>784</v>
      </c>
      <c r="C683" s="50" t="n">
        <v>0.007</v>
      </c>
      <c r="D683" s="50" t="s">
        <v>2617</v>
      </c>
      <c r="E683" s="50" t="s">
        <v>434</v>
      </c>
      <c r="F683" s="50" t="s">
        <v>1710</v>
      </c>
      <c r="G683" s="53" t="s">
        <v>436</v>
      </c>
      <c r="H683" s="50" t="s">
        <v>1258</v>
      </c>
    </row>
    <row r="684" customFormat="false" ht="12.8" hidden="false" customHeight="false" outlineLevel="0" collapsed="false">
      <c r="A684" s="50" t="s">
        <v>2618</v>
      </c>
      <c r="B684" s="50" t="s">
        <v>788</v>
      </c>
      <c r="C684" s="50" t="n">
        <v>0.005</v>
      </c>
      <c r="D684" s="50" t="s">
        <v>2619</v>
      </c>
      <c r="E684" s="50" t="s">
        <v>434</v>
      </c>
      <c r="F684" s="50" t="s">
        <v>1710</v>
      </c>
      <c r="G684" s="53" t="s">
        <v>436</v>
      </c>
      <c r="H684" s="50" t="s">
        <v>1258</v>
      </c>
    </row>
    <row r="685" customFormat="false" ht="12.8" hidden="false" customHeight="false" outlineLevel="0" collapsed="false">
      <c r="A685" s="50" t="s">
        <v>2620</v>
      </c>
      <c r="B685" s="50" t="s">
        <v>792</v>
      </c>
      <c r="C685" s="50" t="n">
        <v>0.004</v>
      </c>
      <c r="D685" s="50" t="s">
        <v>2621</v>
      </c>
      <c r="E685" s="50" t="s">
        <v>434</v>
      </c>
      <c r="F685" s="50" t="s">
        <v>1710</v>
      </c>
      <c r="G685" s="53" t="s">
        <v>436</v>
      </c>
      <c r="H685" s="50" t="s">
        <v>1258</v>
      </c>
    </row>
    <row r="686" customFormat="false" ht="12.8" hidden="false" customHeight="false" outlineLevel="0" collapsed="false">
      <c r="A686" s="50" t="s">
        <v>2622</v>
      </c>
      <c r="B686" s="50" t="s">
        <v>796</v>
      </c>
      <c r="C686" s="50" t="n">
        <v>0.006</v>
      </c>
      <c r="D686" s="50" t="s">
        <v>2623</v>
      </c>
      <c r="E686" s="50" t="s">
        <v>440</v>
      </c>
      <c r="F686" s="50" t="s">
        <v>1710</v>
      </c>
      <c r="G686" s="53" t="s">
        <v>436</v>
      </c>
      <c r="H686" s="50" t="s">
        <v>1258</v>
      </c>
    </row>
    <row r="687" customFormat="false" ht="12.8" hidden="false" customHeight="false" outlineLevel="0" collapsed="false">
      <c r="A687" s="50" t="s">
        <v>2624</v>
      </c>
      <c r="B687" s="50" t="s">
        <v>800</v>
      </c>
      <c r="C687" s="50" t="n">
        <v>0.004</v>
      </c>
      <c r="D687" s="50" t="s">
        <v>2625</v>
      </c>
      <c r="E687" s="50" t="s">
        <v>434</v>
      </c>
      <c r="F687" s="50" t="s">
        <v>1710</v>
      </c>
      <c r="G687" s="53" t="s">
        <v>436</v>
      </c>
      <c r="H687" s="50" t="s">
        <v>1258</v>
      </c>
    </row>
    <row r="688" customFormat="false" ht="12.8" hidden="false" customHeight="false" outlineLevel="0" collapsed="false">
      <c r="A688" s="50" t="s">
        <v>2626</v>
      </c>
      <c r="B688" s="50" t="s">
        <v>804</v>
      </c>
      <c r="C688" s="50" t="n">
        <v>0.01</v>
      </c>
      <c r="D688" s="50" t="s">
        <v>2627</v>
      </c>
      <c r="E688" s="50" t="s">
        <v>440</v>
      </c>
      <c r="F688" s="50" t="s">
        <v>1710</v>
      </c>
      <c r="G688" s="53" t="s">
        <v>436</v>
      </c>
      <c r="H688" s="50" t="s">
        <v>1258</v>
      </c>
    </row>
    <row r="689" customFormat="false" ht="12.8" hidden="false" customHeight="false" outlineLevel="0" collapsed="false">
      <c r="A689" s="50" t="s">
        <v>2628</v>
      </c>
      <c r="B689" s="50" t="s">
        <v>808</v>
      </c>
      <c r="C689" s="50" t="n">
        <v>0.004</v>
      </c>
      <c r="D689" s="50" t="s">
        <v>2629</v>
      </c>
      <c r="E689" s="50" t="s">
        <v>434</v>
      </c>
      <c r="F689" s="50" t="s">
        <v>1710</v>
      </c>
      <c r="G689" s="53" t="s">
        <v>436</v>
      </c>
      <c r="H689" s="50" t="s">
        <v>1258</v>
      </c>
    </row>
    <row r="690" customFormat="false" ht="12.8" hidden="false" customHeight="false" outlineLevel="0" collapsed="false">
      <c r="A690" s="50" t="s">
        <v>2630</v>
      </c>
      <c r="B690" s="50" t="s">
        <v>812</v>
      </c>
      <c r="C690" s="50" t="n">
        <v>0.004</v>
      </c>
      <c r="D690" s="50" t="s">
        <v>2631</v>
      </c>
      <c r="E690" s="50" t="s">
        <v>434</v>
      </c>
      <c r="F690" s="50" t="s">
        <v>1710</v>
      </c>
      <c r="G690" s="53" t="s">
        <v>436</v>
      </c>
      <c r="H690" s="50" t="s">
        <v>1258</v>
      </c>
    </row>
    <row r="691" customFormat="false" ht="12.8" hidden="false" customHeight="false" outlineLevel="0" collapsed="false">
      <c r="A691" s="50" t="s">
        <v>2632</v>
      </c>
      <c r="B691" s="50" t="s">
        <v>816</v>
      </c>
      <c r="C691" s="50" t="n">
        <v>0.01</v>
      </c>
      <c r="D691" s="50" t="s">
        <v>2633</v>
      </c>
      <c r="E691" s="50" t="s">
        <v>502</v>
      </c>
      <c r="F691" s="50" t="s">
        <v>1710</v>
      </c>
      <c r="G691" s="53" t="s">
        <v>436</v>
      </c>
      <c r="H691" s="50" t="s">
        <v>1258</v>
      </c>
    </row>
    <row r="692" customFormat="false" ht="12.8" hidden="false" customHeight="false" outlineLevel="0" collapsed="false">
      <c r="A692" s="50" t="s">
        <v>2634</v>
      </c>
      <c r="B692" s="50" t="s">
        <v>820</v>
      </c>
      <c r="C692" s="50" t="n">
        <v>0.013</v>
      </c>
      <c r="D692" s="50" t="s">
        <v>2635</v>
      </c>
      <c r="E692" s="50" t="s">
        <v>502</v>
      </c>
      <c r="F692" s="50" t="s">
        <v>1710</v>
      </c>
      <c r="G692" s="53" t="s">
        <v>436</v>
      </c>
      <c r="H692" s="50" t="s">
        <v>1258</v>
      </c>
    </row>
    <row r="693" customFormat="false" ht="12.8" hidden="false" customHeight="false" outlineLevel="0" collapsed="false">
      <c r="A693" s="50" t="s">
        <v>2636</v>
      </c>
      <c r="B693" s="50" t="s">
        <v>824</v>
      </c>
      <c r="C693" s="50" t="n">
        <v>0.008</v>
      </c>
      <c r="D693" s="50" t="s">
        <v>2637</v>
      </c>
      <c r="E693" s="50" t="s">
        <v>440</v>
      </c>
      <c r="F693" s="50" t="s">
        <v>1710</v>
      </c>
      <c r="G693" s="53" t="s">
        <v>436</v>
      </c>
      <c r="H693" s="50" t="s">
        <v>1258</v>
      </c>
    </row>
    <row r="694" customFormat="false" ht="12.8" hidden="false" customHeight="false" outlineLevel="0" collapsed="false">
      <c r="A694" s="50" t="s">
        <v>2638</v>
      </c>
      <c r="B694" s="50" t="s">
        <v>828</v>
      </c>
      <c r="C694" s="50" t="n">
        <v>0.004</v>
      </c>
      <c r="D694" s="50" t="s">
        <v>2639</v>
      </c>
      <c r="E694" s="50" t="s">
        <v>434</v>
      </c>
      <c r="F694" s="50" t="s">
        <v>1710</v>
      </c>
      <c r="G694" s="53" t="s">
        <v>436</v>
      </c>
      <c r="H694" s="50" t="s">
        <v>1258</v>
      </c>
    </row>
    <row r="695" customFormat="false" ht="12.8" hidden="false" customHeight="false" outlineLevel="0" collapsed="false">
      <c r="A695" s="50" t="s">
        <v>2640</v>
      </c>
      <c r="B695" s="50" t="s">
        <v>2641</v>
      </c>
      <c r="C695" s="50" t="n">
        <v>0.9</v>
      </c>
      <c r="D695" s="50" t="s">
        <v>2642</v>
      </c>
      <c r="E695" s="50" t="s">
        <v>434</v>
      </c>
      <c r="F695" s="50" t="s">
        <v>1710</v>
      </c>
      <c r="G695" s="53" t="s">
        <v>436</v>
      </c>
      <c r="H695" s="50" t="s">
        <v>1258</v>
      </c>
    </row>
    <row r="696" customFormat="false" ht="12.8" hidden="false" customHeight="false" outlineLevel="0" collapsed="false">
      <c r="A696" s="50" t="s">
        <v>2643</v>
      </c>
      <c r="B696" s="50" t="s">
        <v>2644</v>
      </c>
      <c r="C696" s="50" t="n">
        <v>0.75</v>
      </c>
      <c r="D696" s="50" t="s">
        <v>2645</v>
      </c>
      <c r="E696" s="50" t="s">
        <v>502</v>
      </c>
      <c r="F696" s="50" t="s">
        <v>1710</v>
      </c>
      <c r="G696" s="53" t="s">
        <v>436</v>
      </c>
      <c r="H696" s="50" t="s">
        <v>1258</v>
      </c>
    </row>
    <row r="697" customFormat="false" ht="12.8" hidden="false" customHeight="false" outlineLevel="0" collapsed="false">
      <c r="A697" s="50" t="s">
        <v>2646</v>
      </c>
      <c r="B697" s="50" t="s">
        <v>2647</v>
      </c>
      <c r="C697" s="50" t="n">
        <v>0.75</v>
      </c>
      <c r="D697" s="50" t="s">
        <v>2648</v>
      </c>
      <c r="E697" s="50" t="s">
        <v>502</v>
      </c>
      <c r="F697" s="50" t="s">
        <v>1710</v>
      </c>
      <c r="G697" s="53" t="s">
        <v>436</v>
      </c>
      <c r="H697" s="50" t="s">
        <v>1258</v>
      </c>
    </row>
    <row r="698" customFormat="false" ht="12.8" hidden="false" customHeight="false" outlineLevel="0" collapsed="false">
      <c r="A698" s="50" t="s">
        <v>2649</v>
      </c>
      <c r="B698" s="50" t="s">
        <v>2650</v>
      </c>
      <c r="C698" s="50" t="n">
        <v>0.95</v>
      </c>
      <c r="D698" s="50" t="s">
        <v>2651</v>
      </c>
      <c r="E698" s="50" t="s">
        <v>434</v>
      </c>
      <c r="F698" s="50" t="s">
        <v>1710</v>
      </c>
      <c r="G698" s="53" t="s">
        <v>436</v>
      </c>
      <c r="H698" s="50" t="s">
        <v>1258</v>
      </c>
    </row>
    <row r="699" customFormat="false" ht="12.8" hidden="false" customHeight="false" outlineLevel="0" collapsed="false">
      <c r="A699" s="50" t="s">
        <v>2652</v>
      </c>
      <c r="B699" s="50" t="s">
        <v>2653</v>
      </c>
      <c r="C699" s="50" t="n">
        <v>0.85</v>
      </c>
      <c r="D699" s="50" t="s">
        <v>2654</v>
      </c>
      <c r="E699" s="50" t="s">
        <v>440</v>
      </c>
      <c r="F699" s="50" t="s">
        <v>1710</v>
      </c>
      <c r="G699" s="53" t="s">
        <v>436</v>
      </c>
      <c r="H699" s="50" t="s">
        <v>1258</v>
      </c>
    </row>
    <row r="700" customFormat="false" ht="12.8" hidden="false" customHeight="false" outlineLevel="0" collapsed="false">
      <c r="A700" s="50" t="s">
        <v>2655</v>
      </c>
      <c r="B700" s="50" t="s">
        <v>2656</v>
      </c>
      <c r="C700" s="50" t="n">
        <v>0.9</v>
      </c>
      <c r="D700" s="50" t="s">
        <v>2657</v>
      </c>
      <c r="E700" s="50" t="s">
        <v>434</v>
      </c>
      <c r="F700" s="50" t="s">
        <v>1710</v>
      </c>
      <c r="G700" s="53" t="s">
        <v>436</v>
      </c>
      <c r="H700" s="50" t="s">
        <v>1258</v>
      </c>
    </row>
    <row r="701" customFormat="false" ht="12.8" hidden="false" customHeight="false" outlineLevel="0" collapsed="false">
      <c r="A701" s="50" t="s">
        <v>2658</v>
      </c>
      <c r="B701" s="50" t="s">
        <v>2659</v>
      </c>
      <c r="C701" s="50" t="n">
        <v>0.9</v>
      </c>
      <c r="D701" s="50" t="s">
        <v>2660</v>
      </c>
      <c r="E701" s="50" t="s">
        <v>434</v>
      </c>
      <c r="F701" s="50" t="s">
        <v>1710</v>
      </c>
      <c r="G701" s="53" t="s">
        <v>436</v>
      </c>
      <c r="H701" s="50" t="s">
        <v>1258</v>
      </c>
    </row>
    <row r="702" customFormat="false" ht="12.8" hidden="false" customHeight="false" outlineLevel="0" collapsed="false">
      <c r="A702" s="50" t="s">
        <v>2661</v>
      </c>
      <c r="B702" s="50" t="s">
        <v>2662</v>
      </c>
      <c r="C702" s="50" t="n">
        <v>0.9</v>
      </c>
      <c r="D702" s="50" t="s">
        <v>2663</v>
      </c>
      <c r="E702" s="50" t="s">
        <v>434</v>
      </c>
      <c r="F702" s="50" t="s">
        <v>1710</v>
      </c>
      <c r="G702" s="53" t="s">
        <v>436</v>
      </c>
      <c r="H702" s="50" t="s">
        <v>1258</v>
      </c>
    </row>
    <row r="703" customFormat="false" ht="12.8" hidden="false" customHeight="false" outlineLevel="0" collapsed="false">
      <c r="A703" s="50" t="s">
        <v>2664</v>
      </c>
      <c r="B703" s="50" t="s">
        <v>2665</v>
      </c>
      <c r="C703" s="50" t="n">
        <v>0.9</v>
      </c>
      <c r="D703" s="50" t="s">
        <v>2666</v>
      </c>
      <c r="E703" s="50" t="s">
        <v>434</v>
      </c>
      <c r="F703" s="50" t="s">
        <v>1710</v>
      </c>
      <c r="G703" s="53" t="s">
        <v>436</v>
      </c>
      <c r="H703" s="50" t="s">
        <v>1258</v>
      </c>
    </row>
    <row r="704" customFormat="false" ht="12.8" hidden="false" customHeight="false" outlineLevel="0" collapsed="false">
      <c r="A704" s="50" t="s">
        <v>2667</v>
      </c>
      <c r="B704" s="50" t="s">
        <v>2668</v>
      </c>
      <c r="C704" s="50" t="n">
        <v>0.85</v>
      </c>
      <c r="D704" s="50" t="s">
        <v>2669</v>
      </c>
      <c r="E704" s="50" t="s">
        <v>440</v>
      </c>
      <c r="F704" s="50" t="s">
        <v>1710</v>
      </c>
      <c r="G704" s="53" t="s">
        <v>436</v>
      </c>
      <c r="H704" s="50" t="s">
        <v>1258</v>
      </c>
    </row>
    <row r="705" customFormat="false" ht="12.8" hidden="false" customHeight="false" outlineLevel="0" collapsed="false">
      <c r="A705" s="50" t="s">
        <v>2670</v>
      </c>
      <c r="B705" s="50" t="s">
        <v>2671</v>
      </c>
      <c r="C705" s="50" t="n">
        <v>0.85</v>
      </c>
      <c r="D705" s="50" t="s">
        <v>2672</v>
      </c>
      <c r="E705" s="50" t="s">
        <v>440</v>
      </c>
      <c r="F705" s="50" t="s">
        <v>1710</v>
      </c>
      <c r="G705" s="53" t="s">
        <v>436</v>
      </c>
      <c r="H705" s="50" t="s">
        <v>1258</v>
      </c>
    </row>
    <row r="706" customFormat="false" ht="12.8" hidden="false" customHeight="false" outlineLevel="0" collapsed="false">
      <c r="A706" s="50" t="s">
        <v>2673</v>
      </c>
      <c r="B706" s="50" t="s">
        <v>2674</v>
      </c>
      <c r="C706" s="50" t="n">
        <v>0.9</v>
      </c>
      <c r="D706" s="50" t="s">
        <v>2675</v>
      </c>
      <c r="E706" s="50" t="s">
        <v>434</v>
      </c>
      <c r="F706" s="50" t="s">
        <v>1710</v>
      </c>
      <c r="G706" s="53" t="s">
        <v>436</v>
      </c>
      <c r="H706" s="50" t="s">
        <v>1258</v>
      </c>
    </row>
    <row r="707" customFormat="false" ht="12.8" hidden="false" customHeight="false" outlineLevel="0" collapsed="false">
      <c r="A707" s="50" t="s">
        <v>2676</v>
      </c>
      <c r="B707" s="50" t="s">
        <v>2677</v>
      </c>
      <c r="C707" s="50" t="n">
        <v>0.9</v>
      </c>
      <c r="D707" s="50" t="s">
        <v>2678</v>
      </c>
      <c r="E707" s="50" t="s">
        <v>434</v>
      </c>
      <c r="F707" s="50" t="s">
        <v>1710</v>
      </c>
      <c r="G707" s="53" t="s">
        <v>436</v>
      </c>
      <c r="H707" s="50" t="s">
        <v>1258</v>
      </c>
    </row>
    <row r="708" customFormat="false" ht="12.8" hidden="false" customHeight="false" outlineLevel="0" collapsed="false">
      <c r="A708" s="50" t="s">
        <v>2679</v>
      </c>
      <c r="B708" s="50" t="s">
        <v>2680</v>
      </c>
      <c r="C708" s="50" t="n">
        <v>0.9</v>
      </c>
      <c r="D708" s="50" t="s">
        <v>2681</v>
      </c>
      <c r="E708" s="50" t="s">
        <v>434</v>
      </c>
      <c r="F708" s="50" t="s">
        <v>1710</v>
      </c>
      <c r="G708" s="53" t="s">
        <v>436</v>
      </c>
      <c r="H708" s="50" t="s">
        <v>1258</v>
      </c>
    </row>
    <row r="709" customFormat="false" ht="12.8" hidden="false" customHeight="false" outlineLevel="0" collapsed="false">
      <c r="A709" s="50" t="s">
        <v>2682</v>
      </c>
      <c r="B709" s="50" t="s">
        <v>2683</v>
      </c>
      <c r="C709" s="50" t="n">
        <v>0.95</v>
      </c>
      <c r="D709" s="50" t="s">
        <v>2684</v>
      </c>
      <c r="E709" s="50" t="s">
        <v>434</v>
      </c>
      <c r="F709" s="50" t="s">
        <v>1710</v>
      </c>
      <c r="G709" s="53" t="s">
        <v>436</v>
      </c>
      <c r="H709" s="50" t="s">
        <v>1258</v>
      </c>
    </row>
    <row r="710" customFormat="false" ht="12.8" hidden="false" customHeight="false" outlineLevel="0" collapsed="false">
      <c r="A710" s="50" t="s">
        <v>2685</v>
      </c>
      <c r="B710" s="50" t="s">
        <v>2686</v>
      </c>
      <c r="C710" s="50" t="n">
        <v>0.85</v>
      </c>
      <c r="D710" s="50" t="s">
        <v>2687</v>
      </c>
      <c r="E710" s="50" t="s">
        <v>440</v>
      </c>
      <c r="F710" s="50" t="s">
        <v>1710</v>
      </c>
      <c r="G710" s="53" t="s">
        <v>436</v>
      </c>
      <c r="H710" s="50" t="s">
        <v>1258</v>
      </c>
    </row>
    <row r="711" customFormat="false" ht="12.8" hidden="false" customHeight="false" outlineLevel="0" collapsed="false">
      <c r="A711" s="50" t="s">
        <v>2688</v>
      </c>
      <c r="B711" s="50" t="s">
        <v>2689</v>
      </c>
      <c r="C711" s="50" t="n">
        <v>0.95</v>
      </c>
      <c r="D711" s="50" t="s">
        <v>2690</v>
      </c>
      <c r="E711" s="50" t="s">
        <v>434</v>
      </c>
      <c r="F711" s="50" t="s">
        <v>1710</v>
      </c>
      <c r="G711" s="53" t="s">
        <v>436</v>
      </c>
      <c r="H711" s="50" t="s">
        <v>1258</v>
      </c>
    </row>
    <row r="712" customFormat="false" ht="12.8" hidden="false" customHeight="false" outlineLevel="0" collapsed="false">
      <c r="A712" s="50" t="s">
        <v>2691</v>
      </c>
      <c r="B712" s="50" t="s">
        <v>2692</v>
      </c>
      <c r="C712" s="50" t="n">
        <v>0.85</v>
      </c>
      <c r="D712" s="50" t="s">
        <v>2693</v>
      </c>
      <c r="E712" s="50" t="s">
        <v>440</v>
      </c>
      <c r="F712" s="50" t="s">
        <v>1710</v>
      </c>
      <c r="G712" s="53" t="s">
        <v>436</v>
      </c>
      <c r="H712" s="50" t="s">
        <v>1258</v>
      </c>
    </row>
    <row r="713" customFormat="false" ht="12.8" hidden="false" customHeight="false" outlineLevel="0" collapsed="false">
      <c r="A713" s="50" t="s">
        <v>2694</v>
      </c>
      <c r="B713" s="50" t="s">
        <v>2695</v>
      </c>
      <c r="C713" s="50" t="n">
        <v>0.95</v>
      </c>
      <c r="D713" s="50" t="s">
        <v>2696</v>
      </c>
      <c r="E713" s="50" t="s">
        <v>434</v>
      </c>
      <c r="F713" s="50" t="s">
        <v>1710</v>
      </c>
      <c r="G713" s="53" t="s">
        <v>436</v>
      </c>
      <c r="H713" s="50" t="s">
        <v>1258</v>
      </c>
    </row>
    <row r="714" customFormat="false" ht="12.8" hidden="false" customHeight="false" outlineLevel="0" collapsed="false">
      <c r="A714" s="50" t="s">
        <v>2697</v>
      </c>
      <c r="B714" s="50" t="s">
        <v>2698</v>
      </c>
      <c r="C714" s="50" t="n">
        <v>0.95</v>
      </c>
      <c r="D714" s="50" t="s">
        <v>2699</v>
      </c>
      <c r="E714" s="50" t="s">
        <v>434</v>
      </c>
      <c r="F714" s="50" t="s">
        <v>1710</v>
      </c>
      <c r="G714" s="53" t="s">
        <v>436</v>
      </c>
      <c r="H714" s="50" t="s">
        <v>1258</v>
      </c>
    </row>
    <row r="715" customFormat="false" ht="12.8" hidden="false" customHeight="false" outlineLevel="0" collapsed="false">
      <c r="A715" s="50" t="s">
        <v>2700</v>
      </c>
      <c r="B715" s="50" t="s">
        <v>2701</v>
      </c>
      <c r="C715" s="50" t="n">
        <v>0.85</v>
      </c>
      <c r="D715" s="50" t="s">
        <v>2702</v>
      </c>
      <c r="E715" s="50" t="s">
        <v>502</v>
      </c>
      <c r="F715" s="50" t="s">
        <v>1710</v>
      </c>
      <c r="G715" s="53" t="s">
        <v>436</v>
      </c>
      <c r="H715" s="50" t="s">
        <v>1258</v>
      </c>
    </row>
    <row r="716" customFormat="false" ht="12.8" hidden="false" customHeight="false" outlineLevel="0" collapsed="false">
      <c r="A716" s="50" t="s">
        <v>2703</v>
      </c>
      <c r="B716" s="50" t="s">
        <v>2704</v>
      </c>
      <c r="C716" s="50" t="n">
        <v>0.85</v>
      </c>
      <c r="D716" s="50" t="s">
        <v>2705</v>
      </c>
      <c r="E716" s="50" t="s">
        <v>502</v>
      </c>
      <c r="F716" s="50" t="s">
        <v>1710</v>
      </c>
      <c r="G716" s="53" t="s">
        <v>436</v>
      </c>
      <c r="H716" s="50" t="s">
        <v>1258</v>
      </c>
    </row>
    <row r="717" customFormat="false" ht="12.8" hidden="false" customHeight="false" outlineLevel="0" collapsed="false">
      <c r="A717" s="50" t="s">
        <v>2706</v>
      </c>
      <c r="B717" s="50" t="s">
        <v>2707</v>
      </c>
      <c r="C717" s="50" t="n">
        <v>0.85</v>
      </c>
      <c r="D717" s="50" t="s">
        <v>2708</v>
      </c>
      <c r="E717" s="50" t="s">
        <v>440</v>
      </c>
      <c r="F717" s="50" t="s">
        <v>1710</v>
      </c>
      <c r="G717" s="53" t="s">
        <v>436</v>
      </c>
      <c r="H717" s="50" t="s">
        <v>1258</v>
      </c>
    </row>
    <row r="718" customFormat="false" ht="12.8" hidden="false" customHeight="false" outlineLevel="0" collapsed="false">
      <c r="A718" s="50" t="s">
        <v>2709</v>
      </c>
      <c r="B718" s="50" t="s">
        <v>2710</v>
      </c>
      <c r="C718" s="50" t="n">
        <v>0.95</v>
      </c>
      <c r="D718" s="50" t="s">
        <v>2711</v>
      </c>
      <c r="E718" s="50" t="s">
        <v>434</v>
      </c>
      <c r="F718" s="50" t="s">
        <v>1710</v>
      </c>
      <c r="G718" s="53" t="s">
        <v>436</v>
      </c>
      <c r="H718" s="50" t="s">
        <v>1258</v>
      </c>
    </row>
    <row r="719" customFormat="false" ht="12.8" hidden="false" customHeight="false" outlineLevel="0" collapsed="false">
      <c r="A719" s="50" t="s">
        <v>2712</v>
      </c>
      <c r="B719" s="50" t="s">
        <v>2713</v>
      </c>
      <c r="C719" s="50" t="n">
        <v>0.963</v>
      </c>
      <c r="D719" s="50" t="s">
        <v>2714</v>
      </c>
      <c r="E719" s="50" t="s">
        <v>434</v>
      </c>
      <c r="F719" s="50" t="s">
        <v>1710</v>
      </c>
      <c r="G719" s="53" t="s">
        <v>436</v>
      </c>
      <c r="H719" s="50" t="s">
        <v>1258</v>
      </c>
    </row>
    <row r="720" customFormat="false" ht="12.8" hidden="false" customHeight="false" outlineLevel="0" collapsed="false">
      <c r="A720" s="50" t="s">
        <v>2715</v>
      </c>
      <c r="B720" s="50" t="s">
        <v>2716</v>
      </c>
      <c r="C720" s="50" t="n">
        <v>0.96</v>
      </c>
      <c r="D720" s="50" t="s">
        <v>2717</v>
      </c>
      <c r="E720" s="50" t="s">
        <v>440</v>
      </c>
      <c r="F720" s="50" t="s">
        <v>1710</v>
      </c>
      <c r="G720" s="53" t="s">
        <v>436</v>
      </c>
      <c r="H720" s="50" t="s">
        <v>1258</v>
      </c>
    </row>
    <row r="721" customFormat="false" ht="12.8" hidden="false" customHeight="false" outlineLevel="0" collapsed="false">
      <c r="A721" s="50" t="s">
        <v>2718</v>
      </c>
      <c r="B721" s="50" t="s">
        <v>2719</v>
      </c>
      <c r="C721" s="50" t="n">
        <v>0.95</v>
      </c>
      <c r="D721" s="50" t="s">
        <v>2720</v>
      </c>
      <c r="E721" s="50" t="s">
        <v>502</v>
      </c>
      <c r="F721" s="50" t="s">
        <v>1710</v>
      </c>
      <c r="G721" s="53" t="s">
        <v>436</v>
      </c>
      <c r="H721" s="50" t="s">
        <v>1258</v>
      </c>
    </row>
    <row r="722" customFormat="false" ht="12.8" hidden="false" customHeight="false" outlineLevel="0" collapsed="false">
      <c r="A722" s="50" t="s">
        <v>2721</v>
      </c>
      <c r="B722" s="50" t="s">
        <v>2722</v>
      </c>
      <c r="C722" s="50" t="n">
        <v>0.97</v>
      </c>
      <c r="D722" s="50" t="s">
        <v>2723</v>
      </c>
      <c r="E722" s="50" t="s">
        <v>434</v>
      </c>
      <c r="F722" s="50" t="s">
        <v>1710</v>
      </c>
      <c r="G722" s="53" t="s">
        <v>436</v>
      </c>
      <c r="H722" s="50" t="s">
        <v>1258</v>
      </c>
    </row>
    <row r="723" customFormat="false" ht="12.8" hidden="false" customHeight="false" outlineLevel="0" collapsed="false">
      <c r="A723" s="50" t="s">
        <v>2724</v>
      </c>
      <c r="B723" s="50" t="s">
        <v>2725</v>
      </c>
      <c r="C723" s="50" t="n">
        <v>0.94</v>
      </c>
      <c r="D723" s="50" t="s">
        <v>2726</v>
      </c>
      <c r="E723" s="50" t="s">
        <v>440</v>
      </c>
      <c r="F723" s="50" t="s">
        <v>1710</v>
      </c>
      <c r="G723" s="53" t="s">
        <v>436</v>
      </c>
      <c r="H723" s="50" t="s">
        <v>1258</v>
      </c>
    </row>
    <row r="724" customFormat="false" ht="12.8" hidden="false" customHeight="false" outlineLevel="0" collapsed="false">
      <c r="A724" s="50" t="s">
        <v>2727</v>
      </c>
      <c r="B724" s="50" t="s">
        <v>2728</v>
      </c>
      <c r="C724" s="50" t="n">
        <v>0.96</v>
      </c>
      <c r="D724" s="50" t="s">
        <v>2729</v>
      </c>
      <c r="E724" s="50" t="s">
        <v>434</v>
      </c>
      <c r="F724" s="50" t="s">
        <v>1710</v>
      </c>
      <c r="G724" s="53" t="s">
        <v>436</v>
      </c>
      <c r="H724" s="50" t="s">
        <v>1258</v>
      </c>
    </row>
    <row r="725" customFormat="false" ht="12.8" hidden="false" customHeight="false" outlineLevel="0" collapsed="false">
      <c r="A725" s="50" t="s">
        <v>2730</v>
      </c>
      <c r="B725" s="50" t="s">
        <v>2731</v>
      </c>
      <c r="C725" s="50" t="n">
        <v>0.96</v>
      </c>
      <c r="D725" s="50" t="s">
        <v>2732</v>
      </c>
      <c r="E725" s="50" t="s">
        <v>434</v>
      </c>
      <c r="F725" s="50" t="s">
        <v>1710</v>
      </c>
      <c r="G725" s="53" t="s">
        <v>436</v>
      </c>
      <c r="H725" s="50" t="s">
        <v>1258</v>
      </c>
    </row>
    <row r="726" customFormat="false" ht="12.8" hidden="false" customHeight="false" outlineLevel="0" collapsed="false">
      <c r="A726" s="50" t="s">
        <v>2733</v>
      </c>
      <c r="B726" s="50" t="s">
        <v>2734</v>
      </c>
      <c r="C726" s="50" t="n">
        <v>0.96</v>
      </c>
      <c r="D726" s="50" t="s">
        <v>2735</v>
      </c>
      <c r="E726" s="50" t="s">
        <v>434</v>
      </c>
      <c r="F726" s="50" t="s">
        <v>1710</v>
      </c>
      <c r="G726" s="53" t="s">
        <v>436</v>
      </c>
      <c r="H726" s="50" t="s">
        <v>1258</v>
      </c>
    </row>
    <row r="727" customFormat="false" ht="12.8" hidden="false" customHeight="false" outlineLevel="0" collapsed="false">
      <c r="A727" s="50" t="s">
        <v>2736</v>
      </c>
      <c r="B727" s="50" t="s">
        <v>2737</v>
      </c>
      <c r="C727" s="50" t="n">
        <v>0.97</v>
      </c>
      <c r="D727" s="50" t="s">
        <v>2738</v>
      </c>
      <c r="E727" s="50" t="s">
        <v>434</v>
      </c>
      <c r="F727" s="50" t="s">
        <v>1710</v>
      </c>
      <c r="G727" s="53" t="s">
        <v>436</v>
      </c>
      <c r="H727" s="50" t="s">
        <v>1258</v>
      </c>
    </row>
    <row r="728" customFormat="false" ht="12.8" hidden="false" customHeight="false" outlineLevel="0" collapsed="false">
      <c r="A728" s="50" t="s">
        <v>2739</v>
      </c>
      <c r="B728" s="50" t="s">
        <v>2740</v>
      </c>
      <c r="C728" s="50" t="n">
        <v>0.95</v>
      </c>
      <c r="D728" s="50" t="s">
        <v>2741</v>
      </c>
      <c r="E728" s="50" t="s">
        <v>440</v>
      </c>
      <c r="F728" s="50" t="s">
        <v>1710</v>
      </c>
      <c r="G728" s="53" t="s">
        <v>436</v>
      </c>
      <c r="H728" s="50" t="s">
        <v>1258</v>
      </c>
    </row>
    <row r="729" customFormat="false" ht="12.8" hidden="false" customHeight="false" outlineLevel="0" collapsed="false">
      <c r="A729" s="50" t="s">
        <v>2742</v>
      </c>
      <c r="B729" s="50" t="s">
        <v>2743</v>
      </c>
      <c r="C729" s="50" t="n">
        <v>0.95</v>
      </c>
      <c r="D729" s="50" t="s">
        <v>2744</v>
      </c>
      <c r="E729" s="50" t="s">
        <v>440</v>
      </c>
      <c r="F729" s="50" t="s">
        <v>1710</v>
      </c>
      <c r="G729" s="53" t="s">
        <v>436</v>
      </c>
      <c r="H729" s="50" t="s">
        <v>1258</v>
      </c>
    </row>
    <row r="730" customFormat="false" ht="12.8" hidden="false" customHeight="false" outlineLevel="0" collapsed="false">
      <c r="A730" s="50" t="s">
        <v>2745</v>
      </c>
      <c r="B730" s="50" t="s">
        <v>2746</v>
      </c>
      <c r="C730" s="50" t="n">
        <v>0.96</v>
      </c>
      <c r="D730" s="50" t="s">
        <v>2747</v>
      </c>
      <c r="E730" s="50" t="s">
        <v>434</v>
      </c>
      <c r="F730" s="50" t="s">
        <v>1710</v>
      </c>
      <c r="G730" s="53" t="s">
        <v>436</v>
      </c>
      <c r="H730" s="50" t="s">
        <v>1258</v>
      </c>
    </row>
    <row r="731" customFormat="false" ht="12.8" hidden="false" customHeight="false" outlineLevel="0" collapsed="false">
      <c r="A731" s="50" t="s">
        <v>2748</v>
      </c>
      <c r="B731" s="50" t="s">
        <v>2749</v>
      </c>
      <c r="C731" s="50" t="n">
        <v>0.96</v>
      </c>
      <c r="D731" s="50" t="s">
        <v>2750</v>
      </c>
      <c r="E731" s="50" t="s">
        <v>434</v>
      </c>
      <c r="F731" s="50" t="s">
        <v>1710</v>
      </c>
      <c r="G731" s="53" t="s">
        <v>436</v>
      </c>
      <c r="H731" s="50" t="s">
        <v>1258</v>
      </c>
    </row>
    <row r="732" customFormat="false" ht="12.8" hidden="false" customHeight="false" outlineLevel="0" collapsed="false">
      <c r="A732" s="50" t="s">
        <v>2751</v>
      </c>
      <c r="B732" s="50" t="s">
        <v>2752</v>
      </c>
      <c r="C732" s="50" t="n">
        <v>0.97</v>
      </c>
      <c r="D732" s="50" t="s">
        <v>2753</v>
      </c>
      <c r="E732" s="50" t="s">
        <v>434</v>
      </c>
      <c r="F732" s="50" t="s">
        <v>1710</v>
      </c>
      <c r="G732" s="53" t="s">
        <v>436</v>
      </c>
      <c r="H732" s="50" t="s">
        <v>1258</v>
      </c>
    </row>
    <row r="733" customFormat="false" ht="12.8" hidden="false" customHeight="false" outlineLevel="0" collapsed="false">
      <c r="A733" s="50" t="s">
        <v>2754</v>
      </c>
      <c r="B733" s="50" t="s">
        <v>2755</v>
      </c>
      <c r="C733" s="50" t="n">
        <v>0.98</v>
      </c>
      <c r="D733" s="50" t="s">
        <v>2756</v>
      </c>
      <c r="E733" s="50" t="s">
        <v>434</v>
      </c>
      <c r="F733" s="50" t="s">
        <v>1710</v>
      </c>
      <c r="G733" s="53" t="s">
        <v>436</v>
      </c>
      <c r="H733" s="50" t="s">
        <v>1258</v>
      </c>
    </row>
    <row r="734" customFormat="false" ht="12.8" hidden="false" customHeight="false" outlineLevel="0" collapsed="false">
      <c r="A734" s="50" t="s">
        <v>2757</v>
      </c>
      <c r="B734" s="50" t="s">
        <v>2758</v>
      </c>
      <c r="C734" s="50" t="n">
        <v>0.96</v>
      </c>
      <c r="D734" s="50" t="s">
        <v>2759</v>
      </c>
      <c r="E734" s="50" t="s">
        <v>440</v>
      </c>
      <c r="F734" s="50" t="s">
        <v>1710</v>
      </c>
      <c r="G734" s="53" t="s">
        <v>436</v>
      </c>
      <c r="H734" s="50" t="s">
        <v>1258</v>
      </c>
    </row>
    <row r="735" customFormat="false" ht="12.8" hidden="false" customHeight="false" outlineLevel="0" collapsed="false">
      <c r="A735" s="50" t="s">
        <v>2760</v>
      </c>
      <c r="B735" s="50" t="s">
        <v>2761</v>
      </c>
      <c r="C735" s="50" t="n">
        <v>0.98</v>
      </c>
      <c r="D735" s="50" t="s">
        <v>2762</v>
      </c>
      <c r="E735" s="50" t="s">
        <v>434</v>
      </c>
      <c r="F735" s="50" t="s">
        <v>1710</v>
      </c>
      <c r="G735" s="53" t="s">
        <v>436</v>
      </c>
      <c r="H735" s="50" t="s">
        <v>1258</v>
      </c>
    </row>
    <row r="736" customFormat="false" ht="12.8" hidden="false" customHeight="false" outlineLevel="0" collapsed="false">
      <c r="A736" s="50" t="s">
        <v>2763</v>
      </c>
      <c r="B736" s="50" t="s">
        <v>2764</v>
      </c>
      <c r="C736" s="50" t="n">
        <v>0.95</v>
      </c>
      <c r="D736" s="50" t="s">
        <v>2765</v>
      </c>
      <c r="E736" s="50" t="s">
        <v>440</v>
      </c>
      <c r="F736" s="50" t="s">
        <v>1710</v>
      </c>
      <c r="G736" s="53" t="s">
        <v>436</v>
      </c>
      <c r="H736" s="50" t="s">
        <v>1258</v>
      </c>
    </row>
    <row r="737" customFormat="false" ht="12.8" hidden="false" customHeight="false" outlineLevel="0" collapsed="false">
      <c r="A737" s="50" t="s">
        <v>2766</v>
      </c>
      <c r="B737" s="50" t="s">
        <v>2767</v>
      </c>
      <c r="C737" s="50" t="n">
        <v>0.98</v>
      </c>
      <c r="D737" s="50" t="s">
        <v>2768</v>
      </c>
      <c r="E737" s="50" t="s">
        <v>434</v>
      </c>
      <c r="F737" s="50" t="s">
        <v>1710</v>
      </c>
      <c r="G737" s="53" t="s">
        <v>436</v>
      </c>
      <c r="H737" s="50" t="s">
        <v>1258</v>
      </c>
    </row>
    <row r="738" customFormat="false" ht="12.8" hidden="false" customHeight="false" outlineLevel="0" collapsed="false">
      <c r="A738" s="50" t="s">
        <v>2769</v>
      </c>
      <c r="B738" s="50" t="s">
        <v>2770</v>
      </c>
      <c r="C738" s="50" t="n">
        <v>0.98</v>
      </c>
      <c r="D738" s="50" t="s">
        <v>2771</v>
      </c>
      <c r="E738" s="50" t="s">
        <v>434</v>
      </c>
      <c r="F738" s="50" t="s">
        <v>1710</v>
      </c>
      <c r="G738" s="53" t="s">
        <v>436</v>
      </c>
      <c r="H738" s="50" t="s">
        <v>1258</v>
      </c>
    </row>
    <row r="739" customFormat="false" ht="12.8" hidden="false" customHeight="false" outlineLevel="0" collapsed="false">
      <c r="A739" s="50" t="s">
        <v>2772</v>
      </c>
      <c r="B739" s="50" t="s">
        <v>2773</v>
      </c>
      <c r="C739" s="50" t="n">
        <v>0.95</v>
      </c>
      <c r="D739" s="50" t="s">
        <v>2774</v>
      </c>
      <c r="E739" s="50" t="s">
        <v>502</v>
      </c>
      <c r="F739" s="50" t="s">
        <v>1710</v>
      </c>
      <c r="G739" s="53" t="s">
        <v>436</v>
      </c>
      <c r="H739" s="50" t="s">
        <v>1258</v>
      </c>
    </row>
    <row r="740" customFormat="false" ht="12.8" hidden="false" customHeight="false" outlineLevel="0" collapsed="false">
      <c r="A740" s="50" t="s">
        <v>2775</v>
      </c>
      <c r="B740" s="50" t="s">
        <v>2776</v>
      </c>
      <c r="C740" s="50" t="n">
        <v>0.94</v>
      </c>
      <c r="D740" s="50" t="s">
        <v>2777</v>
      </c>
      <c r="E740" s="50" t="s">
        <v>502</v>
      </c>
      <c r="F740" s="50" t="s">
        <v>1710</v>
      </c>
      <c r="G740" s="53" t="s">
        <v>436</v>
      </c>
      <c r="H740" s="50" t="s">
        <v>1258</v>
      </c>
    </row>
    <row r="741" customFormat="false" ht="12.8" hidden="false" customHeight="false" outlineLevel="0" collapsed="false">
      <c r="A741" s="48" t="s">
        <v>2778</v>
      </c>
      <c r="B741" s="3" t="s">
        <v>2779</v>
      </c>
      <c r="C741" s="54" t="n">
        <v>0</v>
      </c>
      <c r="D741" s="3" t="s">
        <v>2780</v>
      </c>
      <c r="E741" s="54" t="s">
        <v>434</v>
      </c>
      <c r="F741" s="54" t="s">
        <v>487</v>
      </c>
      <c r="G741" s="53" t="s">
        <v>436</v>
      </c>
      <c r="H741" s="54" t="s">
        <v>1258</v>
      </c>
    </row>
    <row r="742" customFormat="false" ht="12.8" hidden="false" customHeight="false" outlineLevel="0" collapsed="false">
      <c r="A742" s="48" t="s">
        <v>2781</v>
      </c>
      <c r="B742" s="3" t="s">
        <v>2782</v>
      </c>
      <c r="C742" s="54" t="n">
        <v>0.9</v>
      </c>
      <c r="D742" s="3" t="s">
        <v>2783</v>
      </c>
      <c r="E742" s="54" t="s">
        <v>434</v>
      </c>
      <c r="F742" s="54" t="s">
        <v>1782</v>
      </c>
      <c r="G742" s="53" t="s">
        <v>436</v>
      </c>
      <c r="H742" s="54" t="s">
        <v>2784</v>
      </c>
    </row>
    <row r="743" customFormat="false" ht="12.8" hidden="false" customHeight="false" outlineLevel="0" collapsed="false">
      <c r="A743" s="48" t="s">
        <v>2785</v>
      </c>
      <c r="B743" s="3" t="s">
        <v>2786</v>
      </c>
      <c r="C743" s="54" t="n">
        <v>1.67</v>
      </c>
      <c r="D743" s="3" t="s">
        <v>2787</v>
      </c>
      <c r="E743" s="54" t="s">
        <v>440</v>
      </c>
      <c r="F743" s="54" t="s">
        <v>2788</v>
      </c>
      <c r="G743" s="53" t="s">
        <v>436</v>
      </c>
      <c r="H743" s="54" t="s">
        <v>2789</v>
      </c>
    </row>
    <row r="744" customFormat="false" ht="12.8" hidden="false" customHeight="false" outlineLevel="0" collapsed="false">
      <c r="A744" s="48" t="s">
        <v>2790</v>
      </c>
      <c r="B744" s="3" t="s">
        <v>2791</v>
      </c>
      <c r="C744" s="54" t="n">
        <v>0.045</v>
      </c>
      <c r="D744" s="3" t="s">
        <v>2792</v>
      </c>
      <c r="E744" s="54" t="s">
        <v>434</v>
      </c>
      <c r="F744" s="54" t="s">
        <v>2793</v>
      </c>
      <c r="G744" s="53" t="s">
        <v>436</v>
      </c>
      <c r="H744" s="54" t="s">
        <v>2794</v>
      </c>
    </row>
    <row r="745" customFormat="false" ht="12.8" hidden="false" customHeight="false" outlineLevel="0" collapsed="false">
      <c r="A745" s="48" t="s">
        <v>2795</v>
      </c>
      <c r="B745" s="3" t="s">
        <v>2796</v>
      </c>
      <c r="C745" s="54" t="n">
        <v>0.072</v>
      </c>
      <c r="D745" s="3" t="s">
        <v>2797</v>
      </c>
      <c r="E745" s="54" t="s">
        <v>440</v>
      </c>
      <c r="F745" s="54" t="s">
        <v>1791</v>
      </c>
      <c r="G745" s="53" t="s">
        <v>436</v>
      </c>
      <c r="H745" s="54" t="s">
        <v>1258</v>
      </c>
    </row>
    <row r="746" customFormat="false" ht="12.8" hidden="false" customHeight="false" outlineLevel="0" collapsed="false">
      <c r="A746" s="48" t="s">
        <v>2798</v>
      </c>
      <c r="B746" s="3" t="s">
        <v>2799</v>
      </c>
      <c r="C746" s="54" t="n">
        <v>0.061</v>
      </c>
      <c r="D746" s="3" t="s">
        <v>2800</v>
      </c>
      <c r="E746" s="54" t="s">
        <v>434</v>
      </c>
      <c r="F746" s="54" t="s">
        <v>1791</v>
      </c>
      <c r="G746" s="53" t="s">
        <v>436</v>
      </c>
      <c r="H746" s="54" t="s">
        <v>1258</v>
      </c>
    </row>
    <row r="747" customFormat="false" ht="12.8" hidden="false" customHeight="false" outlineLevel="0" collapsed="false">
      <c r="A747" s="48" t="s">
        <v>2801</v>
      </c>
      <c r="B747" s="3" t="s">
        <v>2802</v>
      </c>
      <c r="C747" s="54" t="n">
        <v>0.027</v>
      </c>
      <c r="D747" s="3" t="s">
        <v>2803</v>
      </c>
      <c r="E747" s="54" t="s">
        <v>434</v>
      </c>
      <c r="F747" s="54" t="s">
        <v>1791</v>
      </c>
      <c r="G747" s="53" t="s">
        <v>436</v>
      </c>
      <c r="H747" s="54" t="s">
        <v>1258</v>
      </c>
    </row>
    <row r="748" customFormat="false" ht="12.8" hidden="false" customHeight="false" outlineLevel="0" collapsed="false">
      <c r="A748" s="48" t="s">
        <v>2804</v>
      </c>
      <c r="B748" s="3" t="s">
        <v>2805</v>
      </c>
      <c r="C748" s="54" t="n">
        <v>0.085</v>
      </c>
      <c r="D748" s="3" t="s">
        <v>2806</v>
      </c>
      <c r="E748" s="54" t="s">
        <v>440</v>
      </c>
      <c r="F748" s="54" t="s">
        <v>1791</v>
      </c>
      <c r="G748" s="53" t="s">
        <v>436</v>
      </c>
      <c r="H748" s="54" t="s">
        <v>1258</v>
      </c>
    </row>
    <row r="749" customFormat="false" ht="12.8" hidden="false" customHeight="false" outlineLevel="0" collapsed="false">
      <c r="A749" s="48" t="s">
        <v>2807</v>
      </c>
      <c r="B749" s="3" t="s">
        <v>2808</v>
      </c>
      <c r="C749" s="54" t="n">
        <v>-0.003</v>
      </c>
      <c r="D749" s="3" t="s">
        <v>2809</v>
      </c>
      <c r="E749" s="54" t="s">
        <v>502</v>
      </c>
      <c r="F749" s="54" t="s">
        <v>1869</v>
      </c>
      <c r="G749" s="53" t="s">
        <v>436</v>
      </c>
      <c r="H749" s="54" t="s">
        <v>1258</v>
      </c>
    </row>
    <row r="750" customFormat="false" ht="12.8" hidden="false" customHeight="false" outlineLevel="0" collapsed="false">
      <c r="A750" s="48" t="s">
        <v>2810</v>
      </c>
      <c r="B750" s="3" t="s">
        <v>2811</v>
      </c>
      <c r="C750" s="54" t="n">
        <v>0.008</v>
      </c>
      <c r="D750" s="3" t="s">
        <v>1935</v>
      </c>
      <c r="E750" s="54" t="s">
        <v>434</v>
      </c>
      <c r="F750" s="54" t="s">
        <v>1710</v>
      </c>
      <c r="G750" s="53" t="s">
        <v>436</v>
      </c>
      <c r="H750" s="54" t="s">
        <v>1258</v>
      </c>
    </row>
    <row r="751" customFormat="false" ht="12.8" hidden="false" customHeight="false" outlineLevel="0" collapsed="false">
      <c r="A751" s="48" t="s">
        <v>2812</v>
      </c>
      <c r="B751" s="3" t="s">
        <v>2813</v>
      </c>
      <c r="C751" s="54" t="n">
        <v>1.444</v>
      </c>
      <c r="D751" s="3" t="s">
        <v>2814</v>
      </c>
      <c r="E751" s="54" t="s">
        <v>434</v>
      </c>
      <c r="F751" s="54" t="s">
        <v>1710</v>
      </c>
      <c r="G751" s="53" t="s">
        <v>436</v>
      </c>
      <c r="H751" s="54" t="s">
        <v>2815</v>
      </c>
    </row>
    <row r="752" customFormat="false" ht="12.8" hidden="false" customHeight="false" outlineLevel="0" collapsed="false">
      <c r="A752" s="48" t="s">
        <v>2816</v>
      </c>
      <c r="B752" s="3" t="s">
        <v>2817</v>
      </c>
      <c r="C752" s="54" t="n">
        <v>0.008</v>
      </c>
      <c r="D752" s="3" t="s">
        <v>2818</v>
      </c>
      <c r="E752" s="54" t="s">
        <v>434</v>
      </c>
      <c r="F752" s="54" t="s">
        <v>1710</v>
      </c>
      <c r="G752" s="53" t="s">
        <v>436</v>
      </c>
      <c r="H752" s="54" t="s">
        <v>1258</v>
      </c>
    </row>
    <row r="753" customFormat="false" ht="12.8" hidden="false" customHeight="false" outlineLevel="0" collapsed="false">
      <c r="A753" s="48" t="s">
        <v>2819</v>
      </c>
      <c r="B753" s="3" t="s">
        <v>2820</v>
      </c>
      <c r="C753" s="54" t="n">
        <v>0.85</v>
      </c>
      <c r="D753" s="3" t="s">
        <v>2151</v>
      </c>
      <c r="E753" s="54" t="s">
        <v>434</v>
      </c>
      <c r="F753" s="54" t="s">
        <v>1710</v>
      </c>
      <c r="G753" s="53" t="s">
        <v>436</v>
      </c>
      <c r="H753" s="54" t="s">
        <v>1258</v>
      </c>
    </row>
    <row r="754" customFormat="false" ht="12.8" hidden="false" customHeight="false" outlineLevel="0" collapsed="false">
      <c r="A754" s="48" t="s">
        <v>2821</v>
      </c>
      <c r="B754" s="3" t="s">
        <v>2822</v>
      </c>
      <c r="C754" s="54" t="n">
        <v>0.956</v>
      </c>
      <c r="D754" s="3" t="s">
        <v>2823</v>
      </c>
      <c r="E754" s="54" t="s">
        <v>434</v>
      </c>
      <c r="F754" s="54" t="s">
        <v>1710</v>
      </c>
      <c r="G754" s="53" t="s">
        <v>436</v>
      </c>
      <c r="H754" s="54" t="s">
        <v>2824</v>
      </c>
    </row>
    <row r="755" customFormat="false" ht="12.8" hidden="false" customHeight="false" outlineLevel="0" collapsed="false">
      <c r="A755" s="50" t="s">
        <v>2825</v>
      </c>
      <c r="B755" s="50" t="s">
        <v>2826</v>
      </c>
      <c r="C755" s="50" t="n">
        <v>0</v>
      </c>
      <c r="D755" s="50" t="s">
        <v>2827</v>
      </c>
      <c r="E755" s="50" t="s">
        <v>434</v>
      </c>
      <c r="F755" s="50" t="s">
        <v>487</v>
      </c>
      <c r="G755" s="53" t="s">
        <v>436</v>
      </c>
      <c r="H755" s="50" t="s">
        <v>1258</v>
      </c>
    </row>
    <row r="756" customFormat="false" ht="12.8" hidden="false" customHeight="false" outlineLevel="0" collapsed="false">
      <c r="A756" s="50" t="s">
        <v>2828</v>
      </c>
      <c r="B756" s="50" t="s">
        <v>2829</v>
      </c>
      <c r="C756" s="50" t="n">
        <v>0.98</v>
      </c>
      <c r="D756" s="50" t="s">
        <v>2830</v>
      </c>
      <c r="E756" s="50" t="s">
        <v>434</v>
      </c>
      <c r="F756" s="50" t="s">
        <v>1782</v>
      </c>
      <c r="G756" s="53" t="s">
        <v>436</v>
      </c>
      <c r="H756" s="50" t="s">
        <v>2831</v>
      </c>
    </row>
    <row r="757" customFormat="false" ht="12.8" hidden="false" customHeight="false" outlineLevel="0" collapsed="false">
      <c r="A757" s="50" t="s">
        <v>2832</v>
      </c>
      <c r="B757" s="50" t="s">
        <v>2833</v>
      </c>
      <c r="C757" s="50" t="n">
        <v>31.96</v>
      </c>
      <c r="D757" s="50" t="s">
        <v>2834</v>
      </c>
      <c r="E757" s="50" t="s">
        <v>434</v>
      </c>
      <c r="F757" s="50" t="s">
        <v>1470</v>
      </c>
      <c r="G757" s="53" t="s">
        <v>436</v>
      </c>
      <c r="H757" s="50" t="s">
        <v>2835</v>
      </c>
    </row>
    <row r="758" customFormat="false" ht="12.8" hidden="false" customHeight="false" outlineLevel="0" collapsed="false">
      <c r="A758" s="50" t="s">
        <v>2836</v>
      </c>
      <c r="B758" s="50" t="s">
        <v>2837</v>
      </c>
      <c r="C758" s="50" t="n">
        <v>18.5</v>
      </c>
      <c r="D758" s="50" t="s">
        <v>2838</v>
      </c>
      <c r="E758" s="50" t="s">
        <v>440</v>
      </c>
      <c r="F758" s="50" t="s">
        <v>2839</v>
      </c>
      <c r="G758" s="53" t="s">
        <v>436</v>
      </c>
      <c r="H758" s="50" t="s">
        <v>2840</v>
      </c>
    </row>
    <row r="759" customFormat="false" ht="12.8" hidden="false" customHeight="false" outlineLevel="0" collapsed="false">
      <c r="A759" s="50" t="s">
        <v>2841</v>
      </c>
      <c r="B759" s="50" t="s">
        <v>2842</v>
      </c>
      <c r="C759" s="50" t="n">
        <v>35</v>
      </c>
      <c r="D759" s="50" t="s">
        <v>2843</v>
      </c>
      <c r="E759" s="50" t="s">
        <v>434</v>
      </c>
      <c r="F759" s="50" t="s">
        <v>2839</v>
      </c>
      <c r="G759" s="53" t="s">
        <v>436</v>
      </c>
      <c r="H759" s="50" t="s">
        <v>2844</v>
      </c>
    </row>
    <row r="760" customFormat="false" ht="12.8" hidden="false" customHeight="false" outlineLevel="0" collapsed="false">
      <c r="A760" s="50" t="s">
        <v>2845</v>
      </c>
      <c r="B760" s="50" t="s">
        <v>2846</v>
      </c>
      <c r="C760" s="50" t="n">
        <v>40</v>
      </c>
      <c r="D760" s="50" t="s">
        <v>2847</v>
      </c>
      <c r="E760" s="50" t="s">
        <v>434</v>
      </c>
      <c r="F760" s="50" t="s">
        <v>2839</v>
      </c>
      <c r="G760" s="53" t="s">
        <v>436</v>
      </c>
      <c r="H760" s="50" t="s">
        <v>1258</v>
      </c>
    </row>
    <row r="761" customFormat="false" ht="12.8" hidden="false" customHeight="false" outlineLevel="0" collapsed="false">
      <c r="A761" s="50" t="s">
        <v>2848</v>
      </c>
      <c r="B761" s="50" t="s">
        <v>2849</v>
      </c>
      <c r="C761" s="50" t="n">
        <v>28</v>
      </c>
      <c r="D761" s="50" t="s">
        <v>2850</v>
      </c>
      <c r="E761" s="50" t="s">
        <v>440</v>
      </c>
      <c r="F761" s="50" t="s">
        <v>2839</v>
      </c>
      <c r="G761" s="53" t="s">
        <v>436</v>
      </c>
      <c r="H761" s="50" t="s">
        <v>1258</v>
      </c>
    </row>
    <row r="762" customFormat="false" ht="12.8" hidden="false" customHeight="false" outlineLevel="0" collapsed="false">
      <c r="A762" s="50" t="s">
        <v>2851</v>
      </c>
      <c r="B762" s="50" t="s">
        <v>2852</v>
      </c>
      <c r="C762" s="50" t="n">
        <v>32</v>
      </c>
      <c r="D762" s="50" t="s">
        <v>2853</v>
      </c>
      <c r="E762" s="50" t="s">
        <v>434</v>
      </c>
      <c r="F762" s="50" t="s">
        <v>2839</v>
      </c>
      <c r="G762" s="53" t="s">
        <v>436</v>
      </c>
      <c r="H762" s="50" t="s">
        <v>1258</v>
      </c>
    </row>
    <row r="763" customFormat="false" ht="12.8" hidden="false" customHeight="false" outlineLevel="0" collapsed="false">
      <c r="A763" s="50" t="s">
        <v>2854</v>
      </c>
      <c r="B763" s="50" t="s">
        <v>2855</v>
      </c>
      <c r="C763" s="50" t="n">
        <v>30</v>
      </c>
      <c r="D763" s="50" t="s">
        <v>2856</v>
      </c>
      <c r="E763" s="50" t="s">
        <v>434</v>
      </c>
      <c r="F763" s="50" t="s">
        <v>2839</v>
      </c>
      <c r="G763" s="53" t="s">
        <v>436</v>
      </c>
      <c r="H763" s="50" t="s">
        <v>1258</v>
      </c>
    </row>
    <row r="764" customFormat="false" ht="12.8" hidden="false" customHeight="false" outlineLevel="0" collapsed="false">
      <c r="A764" s="50" t="s">
        <v>2857</v>
      </c>
      <c r="B764" s="50" t="s">
        <v>2858</v>
      </c>
      <c r="C764" s="50" t="n">
        <v>35</v>
      </c>
      <c r="D764" s="50" t="s">
        <v>2859</v>
      </c>
      <c r="E764" s="50" t="s">
        <v>434</v>
      </c>
      <c r="F764" s="50" t="s">
        <v>2839</v>
      </c>
      <c r="G764" s="53" t="s">
        <v>436</v>
      </c>
      <c r="H764" s="50" t="s">
        <v>1258</v>
      </c>
    </row>
    <row r="765" customFormat="false" ht="12.8" hidden="false" customHeight="false" outlineLevel="0" collapsed="false">
      <c r="A765" s="50" t="s">
        <v>2860</v>
      </c>
      <c r="B765" s="50" t="s">
        <v>2861</v>
      </c>
      <c r="C765" s="50" t="n">
        <v>32</v>
      </c>
      <c r="D765" s="50" t="s">
        <v>2862</v>
      </c>
      <c r="E765" s="50" t="s">
        <v>434</v>
      </c>
      <c r="F765" s="50" t="s">
        <v>2839</v>
      </c>
      <c r="G765" s="53" t="s">
        <v>436</v>
      </c>
      <c r="H765" s="50" t="s">
        <v>1258</v>
      </c>
    </row>
    <row r="766" customFormat="false" ht="12.8" hidden="false" customHeight="false" outlineLevel="0" collapsed="false">
      <c r="A766" s="50" t="s">
        <v>2863</v>
      </c>
      <c r="B766" s="50" t="s">
        <v>2864</v>
      </c>
      <c r="C766" s="50" t="n">
        <v>25</v>
      </c>
      <c r="D766" s="50" t="s">
        <v>2865</v>
      </c>
      <c r="E766" s="50" t="s">
        <v>440</v>
      </c>
      <c r="F766" s="50" t="s">
        <v>2839</v>
      </c>
      <c r="G766" s="53" t="s">
        <v>436</v>
      </c>
      <c r="H766" s="50" t="s">
        <v>1258</v>
      </c>
    </row>
    <row r="767" customFormat="false" ht="12.8" hidden="false" customHeight="false" outlineLevel="0" collapsed="false">
      <c r="A767" s="50" t="s">
        <v>2866</v>
      </c>
      <c r="B767" s="50" t="s">
        <v>2867</v>
      </c>
      <c r="C767" s="50" t="n">
        <v>22</v>
      </c>
      <c r="D767" s="50" t="s">
        <v>2868</v>
      </c>
      <c r="E767" s="50" t="s">
        <v>440</v>
      </c>
      <c r="F767" s="50" t="s">
        <v>2839</v>
      </c>
      <c r="G767" s="53" t="s">
        <v>436</v>
      </c>
      <c r="H767" s="50" t="s">
        <v>1258</v>
      </c>
    </row>
    <row r="768" customFormat="false" ht="12.8" hidden="false" customHeight="false" outlineLevel="0" collapsed="false">
      <c r="A768" s="50" t="s">
        <v>2869</v>
      </c>
      <c r="B768" s="50" t="s">
        <v>2870</v>
      </c>
      <c r="C768" s="50" t="n">
        <v>30</v>
      </c>
      <c r="D768" s="50" t="s">
        <v>2871</v>
      </c>
      <c r="E768" s="50" t="s">
        <v>434</v>
      </c>
      <c r="F768" s="50" t="s">
        <v>2839</v>
      </c>
      <c r="G768" s="53" t="s">
        <v>436</v>
      </c>
      <c r="H768" s="50" t="s">
        <v>1258</v>
      </c>
    </row>
    <row r="769" customFormat="false" ht="12.8" hidden="false" customHeight="false" outlineLevel="0" collapsed="false">
      <c r="A769" s="50" t="s">
        <v>2872</v>
      </c>
      <c r="B769" s="50" t="s">
        <v>2873</v>
      </c>
      <c r="C769" s="50" t="n">
        <v>28</v>
      </c>
      <c r="D769" s="50" t="s">
        <v>2874</v>
      </c>
      <c r="E769" s="50" t="s">
        <v>434</v>
      </c>
      <c r="F769" s="50" t="s">
        <v>2839</v>
      </c>
      <c r="G769" s="53" t="s">
        <v>436</v>
      </c>
      <c r="H769" s="50" t="s">
        <v>1258</v>
      </c>
    </row>
    <row r="770" customFormat="false" ht="12.8" hidden="false" customHeight="false" outlineLevel="0" collapsed="false">
      <c r="A770" s="50" t="s">
        <v>2875</v>
      </c>
      <c r="B770" s="50" t="s">
        <v>2876</v>
      </c>
      <c r="C770" s="50" t="n">
        <v>40</v>
      </c>
      <c r="D770" s="50" t="s">
        <v>2877</v>
      </c>
      <c r="E770" s="50" t="s">
        <v>434</v>
      </c>
      <c r="F770" s="50" t="s">
        <v>2839</v>
      </c>
      <c r="G770" s="53" t="s">
        <v>436</v>
      </c>
      <c r="H770" s="50" t="s">
        <v>1258</v>
      </c>
    </row>
    <row r="771" customFormat="false" ht="12.8" hidden="false" customHeight="false" outlineLevel="0" collapsed="false">
      <c r="A771" s="50" t="s">
        <v>2878</v>
      </c>
      <c r="B771" s="50" t="s">
        <v>2879</v>
      </c>
      <c r="C771" s="50" t="n">
        <v>55</v>
      </c>
      <c r="D771" s="50" t="s">
        <v>2880</v>
      </c>
      <c r="E771" s="50" t="s">
        <v>434</v>
      </c>
      <c r="F771" s="50" t="s">
        <v>2839</v>
      </c>
      <c r="G771" s="53" t="s">
        <v>436</v>
      </c>
      <c r="H771" s="50" t="s">
        <v>2881</v>
      </c>
    </row>
    <row r="772" customFormat="false" ht="12.8" hidden="false" customHeight="false" outlineLevel="0" collapsed="false">
      <c r="A772" s="50" t="s">
        <v>2882</v>
      </c>
      <c r="B772" s="50" t="s">
        <v>2883</v>
      </c>
      <c r="C772" s="50" t="n">
        <v>32</v>
      </c>
      <c r="D772" s="50" t="s">
        <v>2884</v>
      </c>
      <c r="E772" s="50" t="s">
        <v>440</v>
      </c>
      <c r="F772" s="50" t="s">
        <v>2839</v>
      </c>
      <c r="G772" s="53" t="s">
        <v>436</v>
      </c>
      <c r="H772" s="50" t="s">
        <v>1258</v>
      </c>
    </row>
    <row r="773" customFormat="false" ht="12.8" hidden="false" customHeight="false" outlineLevel="0" collapsed="false">
      <c r="A773" s="50" t="s">
        <v>2885</v>
      </c>
      <c r="B773" s="50" t="s">
        <v>2886</v>
      </c>
      <c r="C773" s="50" t="n">
        <v>45</v>
      </c>
      <c r="D773" s="50" t="s">
        <v>2887</v>
      </c>
      <c r="E773" s="50" t="s">
        <v>434</v>
      </c>
      <c r="F773" s="50" t="s">
        <v>2839</v>
      </c>
      <c r="G773" s="53" t="s">
        <v>436</v>
      </c>
      <c r="H773" s="50" t="s">
        <v>1258</v>
      </c>
    </row>
    <row r="774" customFormat="false" ht="12.8" hidden="false" customHeight="false" outlineLevel="0" collapsed="false">
      <c r="A774" s="50" t="s">
        <v>2888</v>
      </c>
      <c r="B774" s="50" t="s">
        <v>2889</v>
      </c>
      <c r="C774" s="50" t="n">
        <v>25</v>
      </c>
      <c r="D774" s="50" t="s">
        <v>2890</v>
      </c>
      <c r="E774" s="50" t="s">
        <v>440</v>
      </c>
      <c r="F774" s="50" t="s">
        <v>2839</v>
      </c>
      <c r="G774" s="53" t="s">
        <v>436</v>
      </c>
      <c r="H774" s="50" t="s">
        <v>1258</v>
      </c>
    </row>
    <row r="775" customFormat="false" ht="12.8" hidden="false" customHeight="false" outlineLevel="0" collapsed="false">
      <c r="A775" s="50" t="s">
        <v>2891</v>
      </c>
      <c r="B775" s="50" t="s">
        <v>2892</v>
      </c>
      <c r="C775" s="50" t="n">
        <v>35</v>
      </c>
      <c r="D775" s="50" t="s">
        <v>2893</v>
      </c>
      <c r="E775" s="50" t="s">
        <v>434</v>
      </c>
      <c r="F775" s="50" t="s">
        <v>2839</v>
      </c>
      <c r="G775" s="53" t="s">
        <v>436</v>
      </c>
      <c r="H775" s="50" t="s">
        <v>1258</v>
      </c>
    </row>
    <row r="776" customFormat="false" ht="12.8" hidden="false" customHeight="false" outlineLevel="0" collapsed="false">
      <c r="A776" s="50" t="s">
        <v>2894</v>
      </c>
      <c r="B776" s="50" t="s">
        <v>2895</v>
      </c>
      <c r="C776" s="50" t="n">
        <v>35</v>
      </c>
      <c r="D776" s="50" t="s">
        <v>2896</v>
      </c>
      <c r="E776" s="50" t="s">
        <v>434</v>
      </c>
      <c r="F776" s="50" t="s">
        <v>2839</v>
      </c>
      <c r="G776" s="53" t="s">
        <v>436</v>
      </c>
      <c r="H776" s="50" t="s">
        <v>1258</v>
      </c>
    </row>
    <row r="777" customFormat="false" ht="12.8" hidden="false" customHeight="false" outlineLevel="0" collapsed="false">
      <c r="A777" s="50" t="s">
        <v>2897</v>
      </c>
      <c r="B777" s="50" t="s">
        <v>2898</v>
      </c>
      <c r="C777" s="50" t="n">
        <v>20</v>
      </c>
      <c r="D777" s="50" t="s">
        <v>2899</v>
      </c>
      <c r="E777" s="50" t="s">
        <v>440</v>
      </c>
      <c r="F777" s="50" t="s">
        <v>2839</v>
      </c>
      <c r="G777" s="53" t="s">
        <v>436</v>
      </c>
      <c r="H777" s="50" t="s">
        <v>1258</v>
      </c>
    </row>
    <row r="778" customFormat="false" ht="12.8" hidden="false" customHeight="false" outlineLevel="0" collapsed="false">
      <c r="A778" s="50" t="s">
        <v>2900</v>
      </c>
      <c r="B778" s="50" t="s">
        <v>2901</v>
      </c>
      <c r="C778" s="50" t="n">
        <v>16</v>
      </c>
      <c r="D778" s="50" t="s">
        <v>2902</v>
      </c>
      <c r="E778" s="50" t="s">
        <v>440</v>
      </c>
      <c r="F778" s="50" t="s">
        <v>2839</v>
      </c>
      <c r="G778" s="53" t="s">
        <v>436</v>
      </c>
      <c r="H778" s="50" t="s">
        <v>2903</v>
      </c>
    </row>
    <row r="779" customFormat="false" ht="12.8" hidden="false" customHeight="false" outlineLevel="0" collapsed="false">
      <c r="A779" s="50" t="s">
        <v>2904</v>
      </c>
      <c r="B779" s="50" t="s">
        <v>2905</v>
      </c>
      <c r="C779" s="50" t="n">
        <v>25</v>
      </c>
      <c r="D779" s="50" t="s">
        <v>2906</v>
      </c>
      <c r="E779" s="50" t="s">
        <v>440</v>
      </c>
      <c r="F779" s="50" t="s">
        <v>2839</v>
      </c>
      <c r="G779" s="53" t="s">
        <v>436</v>
      </c>
      <c r="H779" s="50" t="s">
        <v>1258</v>
      </c>
    </row>
    <row r="780" customFormat="false" ht="12.8" hidden="false" customHeight="false" outlineLevel="0" collapsed="false">
      <c r="A780" s="50" t="s">
        <v>2907</v>
      </c>
      <c r="B780" s="50" t="s">
        <v>2908</v>
      </c>
      <c r="C780" s="50" t="n">
        <v>35</v>
      </c>
      <c r="D780" s="50" t="s">
        <v>2909</v>
      </c>
      <c r="E780" s="50" t="s">
        <v>434</v>
      </c>
      <c r="F780" s="50" t="s">
        <v>2839</v>
      </c>
      <c r="G780" s="53" t="s">
        <v>436</v>
      </c>
      <c r="H780" s="50" t="s">
        <v>1258</v>
      </c>
    </row>
    <row r="781" customFormat="false" ht="12.8" hidden="false" customHeight="false" outlineLevel="0" collapsed="false">
      <c r="A781" s="50" t="s">
        <v>2910</v>
      </c>
      <c r="B781" s="50" t="s">
        <v>2911</v>
      </c>
      <c r="C781" s="50" t="n">
        <v>0.005</v>
      </c>
      <c r="D781" s="50" t="s">
        <v>2912</v>
      </c>
      <c r="E781" s="50" t="s">
        <v>502</v>
      </c>
      <c r="F781" s="50" t="s">
        <v>1804</v>
      </c>
      <c r="G781" s="53" t="s">
        <v>436</v>
      </c>
      <c r="H781" s="50" t="s">
        <v>2913</v>
      </c>
    </row>
    <row r="782" customFormat="false" ht="12.8" hidden="false" customHeight="false" outlineLevel="0" collapsed="false">
      <c r="A782" s="50" t="s">
        <v>2914</v>
      </c>
      <c r="B782" s="50" t="s">
        <v>2915</v>
      </c>
      <c r="C782" s="50" t="n">
        <v>-0.002</v>
      </c>
      <c r="D782" s="50" t="s">
        <v>2916</v>
      </c>
      <c r="E782" s="50" t="s">
        <v>502</v>
      </c>
      <c r="F782" s="50" t="s">
        <v>1804</v>
      </c>
      <c r="G782" s="53" t="s">
        <v>436</v>
      </c>
      <c r="H782" s="50" t="s">
        <v>1258</v>
      </c>
    </row>
    <row r="783" customFormat="false" ht="12.8" hidden="false" customHeight="false" outlineLevel="0" collapsed="false">
      <c r="A783" s="50" t="s">
        <v>2917</v>
      </c>
      <c r="B783" s="50" t="s">
        <v>2918</v>
      </c>
      <c r="C783" s="50" t="n">
        <v>0.01</v>
      </c>
      <c r="D783" s="50" t="s">
        <v>2919</v>
      </c>
      <c r="E783" s="50" t="s">
        <v>502</v>
      </c>
      <c r="F783" s="50" t="s">
        <v>1804</v>
      </c>
      <c r="G783" s="53" t="s">
        <v>436</v>
      </c>
      <c r="H783" s="50" t="s">
        <v>2920</v>
      </c>
    </row>
    <row r="784" customFormat="false" ht="12.8" hidden="false" customHeight="false" outlineLevel="0" collapsed="false">
      <c r="A784" s="50" t="s">
        <v>2921</v>
      </c>
      <c r="B784" s="50" t="s">
        <v>2922</v>
      </c>
      <c r="C784" s="50" t="n">
        <v>0.002</v>
      </c>
      <c r="D784" s="50" t="s">
        <v>2923</v>
      </c>
      <c r="E784" s="50" t="s">
        <v>434</v>
      </c>
      <c r="F784" s="50" t="s">
        <v>1804</v>
      </c>
      <c r="G784" s="53" t="s">
        <v>436</v>
      </c>
      <c r="H784" s="50" t="s">
        <v>2386</v>
      </c>
    </row>
    <row r="785" customFormat="false" ht="12.8" hidden="false" customHeight="false" outlineLevel="0" collapsed="false">
      <c r="A785" s="50" t="s">
        <v>2924</v>
      </c>
      <c r="B785" s="50" t="s">
        <v>2925</v>
      </c>
      <c r="C785" s="50" t="n">
        <v>0.005</v>
      </c>
      <c r="D785" s="50" t="s">
        <v>2926</v>
      </c>
      <c r="E785" s="50" t="s">
        <v>502</v>
      </c>
      <c r="F785" s="50" t="s">
        <v>1804</v>
      </c>
      <c r="G785" s="53" t="s">
        <v>436</v>
      </c>
      <c r="H785" s="50" t="s">
        <v>1875</v>
      </c>
    </row>
    <row r="786" customFormat="false" ht="12.8" hidden="false" customHeight="false" outlineLevel="0" collapsed="false">
      <c r="A786" s="50" t="s">
        <v>2927</v>
      </c>
      <c r="B786" s="50" t="s">
        <v>2928</v>
      </c>
      <c r="C786" s="50" t="n">
        <v>0.003</v>
      </c>
      <c r="D786" s="50" t="s">
        <v>2929</v>
      </c>
      <c r="E786" s="50" t="s">
        <v>434</v>
      </c>
      <c r="F786" s="50" t="s">
        <v>1804</v>
      </c>
      <c r="G786" s="53" t="s">
        <v>436</v>
      </c>
      <c r="H786" s="50" t="s">
        <v>1258</v>
      </c>
    </row>
    <row r="787" customFormat="false" ht="12.8" hidden="false" customHeight="false" outlineLevel="0" collapsed="false">
      <c r="A787" s="50" t="s">
        <v>2930</v>
      </c>
      <c r="B787" s="50" t="s">
        <v>2931</v>
      </c>
      <c r="C787" s="50" t="n">
        <v>0.003</v>
      </c>
      <c r="D787" s="50" t="s">
        <v>2932</v>
      </c>
      <c r="E787" s="50" t="s">
        <v>434</v>
      </c>
      <c r="F787" s="50" t="s">
        <v>1804</v>
      </c>
      <c r="G787" s="53" t="s">
        <v>436</v>
      </c>
      <c r="H787" s="50" t="s">
        <v>1258</v>
      </c>
    </row>
    <row r="788" customFormat="false" ht="12.8" hidden="false" customHeight="false" outlineLevel="0" collapsed="false">
      <c r="A788" s="50" t="s">
        <v>2933</v>
      </c>
      <c r="B788" s="50" t="s">
        <v>2934</v>
      </c>
      <c r="C788" s="50" t="n">
        <v>0.003</v>
      </c>
      <c r="D788" s="50" t="s">
        <v>2935</v>
      </c>
      <c r="E788" s="50" t="s">
        <v>434</v>
      </c>
      <c r="F788" s="50" t="s">
        <v>1804</v>
      </c>
      <c r="G788" s="53" t="s">
        <v>436</v>
      </c>
      <c r="H788" s="50" t="s">
        <v>1258</v>
      </c>
    </row>
    <row r="789" customFormat="false" ht="12.8" hidden="false" customHeight="false" outlineLevel="0" collapsed="false">
      <c r="A789" s="50" t="s">
        <v>2936</v>
      </c>
      <c r="B789" s="50" t="s">
        <v>2937</v>
      </c>
      <c r="C789" s="50" t="n">
        <v>0.002</v>
      </c>
      <c r="D789" s="50" t="s">
        <v>2938</v>
      </c>
      <c r="E789" s="50" t="s">
        <v>434</v>
      </c>
      <c r="F789" s="50" t="s">
        <v>1804</v>
      </c>
      <c r="G789" s="53" t="s">
        <v>436</v>
      </c>
      <c r="H789" s="50" t="s">
        <v>1258</v>
      </c>
    </row>
    <row r="790" customFormat="false" ht="12.8" hidden="false" customHeight="false" outlineLevel="0" collapsed="false">
      <c r="A790" s="50" t="s">
        <v>2939</v>
      </c>
      <c r="B790" s="50" t="s">
        <v>2940</v>
      </c>
      <c r="C790" s="50" t="n">
        <v>0.004</v>
      </c>
      <c r="D790" s="50" t="s">
        <v>2941</v>
      </c>
      <c r="E790" s="50" t="s">
        <v>502</v>
      </c>
      <c r="F790" s="50" t="s">
        <v>1804</v>
      </c>
      <c r="G790" s="53" t="s">
        <v>436</v>
      </c>
      <c r="H790" s="50" t="s">
        <v>1258</v>
      </c>
    </row>
    <row r="791" customFormat="false" ht="12.8" hidden="false" customHeight="false" outlineLevel="0" collapsed="false">
      <c r="A791" s="50" t="s">
        <v>2942</v>
      </c>
      <c r="B791" s="50" t="s">
        <v>2943</v>
      </c>
      <c r="C791" s="50" t="n">
        <v>0.004</v>
      </c>
      <c r="D791" s="50" t="s">
        <v>2944</v>
      </c>
      <c r="E791" s="50" t="s">
        <v>502</v>
      </c>
      <c r="F791" s="50" t="s">
        <v>1804</v>
      </c>
      <c r="G791" s="53" t="s">
        <v>436</v>
      </c>
      <c r="H791" s="50" t="s">
        <v>1258</v>
      </c>
    </row>
    <row r="792" customFormat="false" ht="12.8" hidden="false" customHeight="false" outlineLevel="0" collapsed="false">
      <c r="A792" s="50" t="s">
        <v>2945</v>
      </c>
      <c r="B792" s="50" t="s">
        <v>2946</v>
      </c>
      <c r="C792" s="50" t="n">
        <v>0.003</v>
      </c>
      <c r="D792" s="50" t="s">
        <v>2947</v>
      </c>
      <c r="E792" s="50" t="s">
        <v>434</v>
      </c>
      <c r="F792" s="50" t="s">
        <v>1804</v>
      </c>
      <c r="G792" s="53" t="s">
        <v>436</v>
      </c>
      <c r="H792" s="50" t="s">
        <v>1258</v>
      </c>
    </row>
    <row r="793" customFormat="false" ht="12.8" hidden="false" customHeight="false" outlineLevel="0" collapsed="false">
      <c r="A793" s="50" t="s">
        <v>2948</v>
      </c>
      <c r="B793" s="50" t="s">
        <v>2949</v>
      </c>
      <c r="C793" s="50" t="n">
        <v>0.003</v>
      </c>
      <c r="D793" s="50" t="s">
        <v>2950</v>
      </c>
      <c r="E793" s="50" t="s">
        <v>434</v>
      </c>
      <c r="F793" s="50" t="s">
        <v>1804</v>
      </c>
      <c r="G793" s="53" t="s">
        <v>436</v>
      </c>
      <c r="H793" s="50" t="s">
        <v>1258</v>
      </c>
    </row>
    <row r="794" customFormat="false" ht="12.8" hidden="false" customHeight="false" outlineLevel="0" collapsed="false">
      <c r="A794" s="50" t="s">
        <v>2951</v>
      </c>
      <c r="B794" s="50" t="s">
        <v>2952</v>
      </c>
      <c r="C794" s="50" t="n">
        <v>0.002</v>
      </c>
      <c r="D794" s="50" t="s">
        <v>2953</v>
      </c>
      <c r="E794" s="50" t="s">
        <v>434</v>
      </c>
      <c r="F794" s="50" t="s">
        <v>1804</v>
      </c>
      <c r="G794" s="53" t="s">
        <v>436</v>
      </c>
      <c r="H794" s="50" t="s">
        <v>1258</v>
      </c>
    </row>
    <row r="795" customFormat="false" ht="12.8" hidden="false" customHeight="false" outlineLevel="0" collapsed="false">
      <c r="A795" s="50" t="s">
        <v>2954</v>
      </c>
      <c r="B795" s="50" t="s">
        <v>2955</v>
      </c>
      <c r="C795" s="50" t="n">
        <v>0.001</v>
      </c>
      <c r="D795" s="50" t="s">
        <v>2956</v>
      </c>
      <c r="E795" s="50" t="s">
        <v>434</v>
      </c>
      <c r="F795" s="50" t="s">
        <v>1804</v>
      </c>
      <c r="G795" s="53" t="s">
        <v>436</v>
      </c>
      <c r="H795" s="50" t="s">
        <v>1258</v>
      </c>
    </row>
    <row r="796" customFormat="false" ht="12.8" hidden="false" customHeight="false" outlineLevel="0" collapsed="false">
      <c r="A796" s="50" t="s">
        <v>2957</v>
      </c>
      <c r="B796" s="50" t="s">
        <v>2958</v>
      </c>
      <c r="C796" s="50" t="n">
        <v>0.003</v>
      </c>
      <c r="D796" s="50" t="s">
        <v>2959</v>
      </c>
      <c r="E796" s="50" t="s">
        <v>502</v>
      </c>
      <c r="F796" s="50" t="s">
        <v>1804</v>
      </c>
      <c r="G796" s="53" t="s">
        <v>436</v>
      </c>
      <c r="H796" s="50" t="s">
        <v>1258</v>
      </c>
    </row>
    <row r="797" customFormat="false" ht="12.8" hidden="false" customHeight="false" outlineLevel="0" collapsed="false">
      <c r="A797" s="50" t="s">
        <v>2960</v>
      </c>
      <c r="B797" s="50" t="s">
        <v>2961</v>
      </c>
      <c r="C797" s="50" t="n">
        <v>0.001</v>
      </c>
      <c r="D797" s="50" t="s">
        <v>2962</v>
      </c>
      <c r="E797" s="50" t="s">
        <v>434</v>
      </c>
      <c r="F797" s="50" t="s">
        <v>1804</v>
      </c>
      <c r="G797" s="53" t="s">
        <v>436</v>
      </c>
      <c r="H797" s="50" t="s">
        <v>1258</v>
      </c>
    </row>
    <row r="798" customFormat="false" ht="12.8" hidden="false" customHeight="false" outlineLevel="0" collapsed="false">
      <c r="A798" s="50" t="s">
        <v>2963</v>
      </c>
      <c r="B798" s="50" t="s">
        <v>2964</v>
      </c>
      <c r="C798" s="50" t="n">
        <v>0.004</v>
      </c>
      <c r="D798" s="50" t="s">
        <v>2965</v>
      </c>
      <c r="E798" s="50" t="s">
        <v>502</v>
      </c>
      <c r="F798" s="50" t="s">
        <v>1804</v>
      </c>
      <c r="G798" s="53" t="s">
        <v>436</v>
      </c>
      <c r="H798" s="50" t="s">
        <v>1258</v>
      </c>
    </row>
    <row r="799" customFormat="false" ht="12.8" hidden="false" customHeight="false" outlineLevel="0" collapsed="false">
      <c r="A799" s="50" t="s">
        <v>2966</v>
      </c>
      <c r="B799" s="50" t="s">
        <v>2967</v>
      </c>
      <c r="C799" s="50" t="n">
        <v>0.002</v>
      </c>
      <c r="D799" s="50" t="s">
        <v>2968</v>
      </c>
      <c r="E799" s="50" t="s">
        <v>434</v>
      </c>
      <c r="F799" s="50" t="s">
        <v>1804</v>
      </c>
      <c r="G799" s="53" t="s">
        <v>436</v>
      </c>
      <c r="H799" s="50" t="s">
        <v>1258</v>
      </c>
    </row>
    <row r="800" customFormat="false" ht="12.8" hidden="false" customHeight="false" outlineLevel="0" collapsed="false">
      <c r="A800" s="50" t="s">
        <v>2969</v>
      </c>
      <c r="B800" s="50" t="s">
        <v>2970</v>
      </c>
      <c r="C800" s="50" t="n">
        <v>0.002</v>
      </c>
      <c r="D800" s="50" t="s">
        <v>2971</v>
      </c>
      <c r="E800" s="50" t="s">
        <v>434</v>
      </c>
      <c r="F800" s="50" t="s">
        <v>1804</v>
      </c>
      <c r="G800" s="53" t="s">
        <v>436</v>
      </c>
      <c r="H800" s="50" t="s">
        <v>1258</v>
      </c>
    </row>
    <row r="801" customFormat="false" ht="12.8" hidden="false" customHeight="false" outlineLevel="0" collapsed="false">
      <c r="A801" s="50" t="s">
        <v>2972</v>
      </c>
      <c r="B801" s="50" t="s">
        <v>2973</v>
      </c>
      <c r="C801" s="50" t="n">
        <v>0.004</v>
      </c>
      <c r="D801" s="50" t="s">
        <v>2974</v>
      </c>
      <c r="E801" s="50" t="s">
        <v>502</v>
      </c>
      <c r="F801" s="50" t="s">
        <v>1804</v>
      </c>
      <c r="G801" s="53" t="s">
        <v>436</v>
      </c>
      <c r="H801" s="50" t="s">
        <v>1258</v>
      </c>
    </row>
    <row r="802" customFormat="false" ht="12.8" hidden="false" customHeight="false" outlineLevel="0" collapsed="false">
      <c r="A802" s="50" t="s">
        <v>2975</v>
      </c>
      <c r="B802" s="50" t="s">
        <v>2976</v>
      </c>
      <c r="C802" s="50" t="n">
        <v>0.005</v>
      </c>
      <c r="D802" s="50" t="s">
        <v>2977</v>
      </c>
      <c r="E802" s="50" t="s">
        <v>502</v>
      </c>
      <c r="F802" s="50" t="s">
        <v>1804</v>
      </c>
      <c r="G802" s="53" t="s">
        <v>436</v>
      </c>
      <c r="H802" s="50" t="s">
        <v>1258</v>
      </c>
    </row>
    <row r="803" customFormat="false" ht="12.8" hidden="false" customHeight="false" outlineLevel="0" collapsed="false">
      <c r="A803" s="50" t="s">
        <v>2978</v>
      </c>
      <c r="B803" s="50" t="s">
        <v>2979</v>
      </c>
      <c r="C803" s="50" t="n">
        <v>0.004</v>
      </c>
      <c r="D803" s="50" t="s">
        <v>2980</v>
      </c>
      <c r="E803" s="50" t="s">
        <v>502</v>
      </c>
      <c r="F803" s="50" t="s">
        <v>1804</v>
      </c>
      <c r="G803" s="53" t="s">
        <v>436</v>
      </c>
      <c r="H803" s="50" t="s">
        <v>1258</v>
      </c>
    </row>
    <row r="804" customFormat="false" ht="12.8" hidden="false" customHeight="false" outlineLevel="0" collapsed="false">
      <c r="A804" s="50" t="s">
        <v>2981</v>
      </c>
      <c r="B804" s="50" t="s">
        <v>2982</v>
      </c>
      <c r="C804" s="50" t="n">
        <v>0.002</v>
      </c>
      <c r="D804" s="50" t="s">
        <v>2983</v>
      </c>
      <c r="E804" s="50" t="s">
        <v>434</v>
      </c>
      <c r="F804" s="50" t="s">
        <v>1804</v>
      </c>
      <c r="G804" s="53" t="s">
        <v>436</v>
      </c>
      <c r="H804" s="50" t="s">
        <v>1258</v>
      </c>
    </row>
    <row r="805" customFormat="false" ht="12.8" hidden="false" customHeight="false" outlineLevel="0" collapsed="false">
      <c r="A805" s="50" t="s">
        <v>2984</v>
      </c>
      <c r="B805" s="50" t="s">
        <v>2985</v>
      </c>
      <c r="C805" s="50" t="n">
        <v>0.008</v>
      </c>
      <c r="D805" s="50" t="s">
        <v>2986</v>
      </c>
      <c r="E805" s="50" t="s">
        <v>434</v>
      </c>
      <c r="F805" s="50" t="s">
        <v>1710</v>
      </c>
      <c r="G805" s="53" t="s">
        <v>436</v>
      </c>
      <c r="H805" s="50" t="s">
        <v>1258</v>
      </c>
    </row>
    <row r="806" customFormat="false" ht="12.8" hidden="false" customHeight="false" outlineLevel="0" collapsed="false">
      <c r="A806" s="50" t="s">
        <v>2987</v>
      </c>
      <c r="B806" s="50" t="s">
        <v>2988</v>
      </c>
      <c r="C806" s="50" t="n">
        <v>0.015</v>
      </c>
      <c r="D806" s="50" t="s">
        <v>2989</v>
      </c>
      <c r="E806" s="50" t="s">
        <v>440</v>
      </c>
      <c r="F806" s="50" t="s">
        <v>1710</v>
      </c>
      <c r="G806" s="53" t="s">
        <v>436</v>
      </c>
      <c r="H806" s="50" t="s">
        <v>1258</v>
      </c>
    </row>
    <row r="807" customFormat="false" ht="12.8" hidden="false" customHeight="false" outlineLevel="0" collapsed="false">
      <c r="A807" s="50" t="s">
        <v>2990</v>
      </c>
      <c r="B807" s="50" t="s">
        <v>2991</v>
      </c>
      <c r="C807" s="50" t="n">
        <v>0.012</v>
      </c>
      <c r="D807" s="50" t="s">
        <v>2992</v>
      </c>
      <c r="E807" s="50" t="s">
        <v>502</v>
      </c>
      <c r="F807" s="50" t="s">
        <v>1710</v>
      </c>
      <c r="G807" s="53" t="s">
        <v>436</v>
      </c>
      <c r="H807" s="50" t="s">
        <v>1258</v>
      </c>
    </row>
    <row r="808" customFormat="false" ht="12.8" hidden="false" customHeight="false" outlineLevel="0" collapsed="false">
      <c r="A808" s="50" t="s">
        <v>2993</v>
      </c>
      <c r="B808" s="50" t="s">
        <v>2994</v>
      </c>
      <c r="C808" s="50" t="n">
        <v>0.006</v>
      </c>
      <c r="D808" s="50" t="s">
        <v>2995</v>
      </c>
      <c r="E808" s="50" t="s">
        <v>434</v>
      </c>
      <c r="F808" s="50" t="s">
        <v>1710</v>
      </c>
      <c r="G808" s="53" t="s">
        <v>436</v>
      </c>
      <c r="H808" s="50" t="s">
        <v>1258</v>
      </c>
    </row>
    <row r="809" customFormat="false" ht="12.8" hidden="false" customHeight="false" outlineLevel="0" collapsed="false">
      <c r="A809" s="50" t="s">
        <v>2996</v>
      </c>
      <c r="B809" s="50" t="s">
        <v>2997</v>
      </c>
      <c r="C809" s="50" t="n">
        <v>0.01</v>
      </c>
      <c r="D809" s="50" t="s">
        <v>2998</v>
      </c>
      <c r="E809" s="50" t="s">
        <v>440</v>
      </c>
      <c r="F809" s="50" t="s">
        <v>1710</v>
      </c>
      <c r="G809" s="53" t="s">
        <v>436</v>
      </c>
      <c r="H809" s="50" t="s">
        <v>1258</v>
      </c>
    </row>
    <row r="810" customFormat="false" ht="12.8" hidden="false" customHeight="false" outlineLevel="0" collapsed="false">
      <c r="A810" s="50" t="s">
        <v>2999</v>
      </c>
      <c r="B810" s="50" t="s">
        <v>3000</v>
      </c>
      <c r="C810" s="50" t="n">
        <v>0.008</v>
      </c>
      <c r="D810" s="50" t="s">
        <v>3001</v>
      </c>
      <c r="E810" s="50" t="s">
        <v>434</v>
      </c>
      <c r="F810" s="50" t="s">
        <v>1710</v>
      </c>
      <c r="G810" s="53" t="s">
        <v>436</v>
      </c>
      <c r="H810" s="50" t="s">
        <v>1258</v>
      </c>
    </row>
    <row r="811" customFormat="false" ht="12.8" hidden="false" customHeight="false" outlineLevel="0" collapsed="false">
      <c r="A811" s="50" t="s">
        <v>3002</v>
      </c>
      <c r="B811" s="50" t="s">
        <v>3003</v>
      </c>
      <c r="C811" s="50" t="n">
        <v>0.008</v>
      </c>
      <c r="D811" s="50" t="s">
        <v>3004</v>
      </c>
      <c r="E811" s="50" t="s">
        <v>434</v>
      </c>
      <c r="F811" s="50" t="s">
        <v>1710</v>
      </c>
      <c r="G811" s="53" t="s">
        <v>436</v>
      </c>
      <c r="H811" s="50" t="s">
        <v>1258</v>
      </c>
    </row>
    <row r="812" customFormat="false" ht="12.8" hidden="false" customHeight="false" outlineLevel="0" collapsed="false">
      <c r="A812" s="50" t="s">
        <v>3005</v>
      </c>
      <c r="B812" s="50" t="s">
        <v>3006</v>
      </c>
      <c r="C812" s="50" t="n">
        <v>0.008</v>
      </c>
      <c r="D812" s="50" t="s">
        <v>3007</v>
      </c>
      <c r="E812" s="50" t="s">
        <v>434</v>
      </c>
      <c r="F812" s="50" t="s">
        <v>1710</v>
      </c>
      <c r="G812" s="53" t="s">
        <v>436</v>
      </c>
      <c r="H812" s="50" t="s">
        <v>1258</v>
      </c>
    </row>
    <row r="813" customFormat="false" ht="12.8" hidden="false" customHeight="false" outlineLevel="0" collapsed="false">
      <c r="A813" s="50" t="s">
        <v>3008</v>
      </c>
      <c r="B813" s="50" t="s">
        <v>3009</v>
      </c>
      <c r="C813" s="50" t="n">
        <v>0.007</v>
      </c>
      <c r="D813" s="50" t="s">
        <v>3010</v>
      </c>
      <c r="E813" s="50" t="s">
        <v>434</v>
      </c>
      <c r="F813" s="50" t="s">
        <v>1710</v>
      </c>
      <c r="G813" s="53" t="s">
        <v>436</v>
      </c>
      <c r="H813" s="50" t="s">
        <v>1258</v>
      </c>
    </row>
    <row r="814" customFormat="false" ht="12.8" hidden="false" customHeight="false" outlineLevel="0" collapsed="false">
      <c r="A814" s="50" t="s">
        <v>3011</v>
      </c>
      <c r="B814" s="50" t="s">
        <v>3012</v>
      </c>
      <c r="C814" s="50" t="n">
        <v>0.01</v>
      </c>
      <c r="D814" s="50" t="s">
        <v>3013</v>
      </c>
      <c r="E814" s="50" t="s">
        <v>440</v>
      </c>
      <c r="F814" s="50" t="s">
        <v>1710</v>
      </c>
      <c r="G814" s="53" t="s">
        <v>436</v>
      </c>
      <c r="H814" s="50" t="s">
        <v>1258</v>
      </c>
    </row>
    <row r="815" customFormat="false" ht="12.8" hidden="false" customHeight="false" outlineLevel="0" collapsed="false">
      <c r="A815" s="50" t="s">
        <v>3014</v>
      </c>
      <c r="B815" s="50" t="s">
        <v>3015</v>
      </c>
      <c r="C815" s="50" t="n">
        <v>0.01</v>
      </c>
      <c r="D815" s="50" t="s">
        <v>3016</v>
      </c>
      <c r="E815" s="50" t="s">
        <v>440</v>
      </c>
      <c r="F815" s="50" t="s">
        <v>1710</v>
      </c>
      <c r="G815" s="53" t="s">
        <v>436</v>
      </c>
      <c r="H815" s="50" t="s">
        <v>1258</v>
      </c>
    </row>
    <row r="816" customFormat="false" ht="12.8" hidden="false" customHeight="false" outlineLevel="0" collapsed="false">
      <c r="A816" s="50" t="s">
        <v>3017</v>
      </c>
      <c r="B816" s="50" t="s">
        <v>3018</v>
      </c>
      <c r="C816" s="50" t="n">
        <v>0.009</v>
      </c>
      <c r="D816" s="50" t="s">
        <v>3019</v>
      </c>
      <c r="E816" s="50" t="s">
        <v>434</v>
      </c>
      <c r="F816" s="50" t="s">
        <v>1710</v>
      </c>
      <c r="G816" s="53" t="s">
        <v>436</v>
      </c>
      <c r="H816" s="50" t="s">
        <v>1258</v>
      </c>
    </row>
    <row r="817" customFormat="false" ht="12.8" hidden="false" customHeight="false" outlineLevel="0" collapsed="false">
      <c r="A817" s="50" t="s">
        <v>3020</v>
      </c>
      <c r="B817" s="50" t="s">
        <v>3021</v>
      </c>
      <c r="C817" s="50" t="n">
        <v>0.009</v>
      </c>
      <c r="D817" s="50" t="s">
        <v>3022</v>
      </c>
      <c r="E817" s="50" t="s">
        <v>434</v>
      </c>
      <c r="F817" s="50" t="s">
        <v>1710</v>
      </c>
      <c r="G817" s="53" t="s">
        <v>436</v>
      </c>
      <c r="H817" s="50" t="s">
        <v>1258</v>
      </c>
    </row>
    <row r="818" customFormat="false" ht="12.8" hidden="false" customHeight="false" outlineLevel="0" collapsed="false">
      <c r="A818" s="50" t="s">
        <v>3023</v>
      </c>
      <c r="B818" s="50" t="s">
        <v>3024</v>
      </c>
      <c r="C818" s="50" t="n">
        <v>0.007</v>
      </c>
      <c r="D818" s="50" t="s">
        <v>3025</v>
      </c>
      <c r="E818" s="50" t="s">
        <v>434</v>
      </c>
      <c r="F818" s="50" t="s">
        <v>1710</v>
      </c>
      <c r="G818" s="53" t="s">
        <v>436</v>
      </c>
      <c r="H818" s="50" t="s">
        <v>1258</v>
      </c>
    </row>
    <row r="819" customFormat="false" ht="12.8" hidden="false" customHeight="false" outlineLevel="0" collapsed="false">
      <c r="A819" s="50" t="s">
        <v>3026</v>
      </c>
      <c r="B819" s="50" t="s">
        <v>3027</v>
      </c>
      <c r="C819" s="50" t="n">
        <v>0.005</v>
      </c>
      <c r="D819" s="50" t="s">
        <v>3028</v>
      </c>
      <c r="E819" s="50" t="s">
        <v>434</v>
      </c>
      <c r="F819" s="50" t="s">
        <v>1710</v>
      </c>
      <c r="G819" s="53" t="s">
        <v>436</v>
      </c>
      <c r="H819" s="50" t="s">
        <v>1258</v>
      </c>
    </row>
    <row r="820" customFormat="false" ht="12.8" hidden="false" customHeight="false" outlineLevel="0" collapsed="false">
      <c r="A820" s="50" t="s">
        <v>3029</v>
      </c>
      <c r="B820" s="50" t="s">
        <v>3030</v>
      </c>
      <c r="C820" s="50" t="n">
        <v>0.008</v>
      </c>
      <c r="D820" s="50" t="s">
        <v>3031</v>
      </c>
      <c r="E820" s="50" t="s">
        <v>440</v>
      </c>
      <c r="F820" s="50" t="s">
        <v>1710</v>
      </c>
      <c r="G820" s="53" t="s">
        <v>436</v>
      </c>
      <c r="H820" s="50" t="s">
        <v>1258</v>
      </c>
    </row>
    <row r="821" customFormat="false" ht="12.8" hidden="false" customHeight="false" outlineLevel="0" collapsed="false">
      <c r="A821" s="50" t="s">
        <v>3032</v>
      </c>
      <c r="B821" s="50" t="s">
        <v>3033</v>
      </c>
      <c r="C821" s="50" t="n">
        <v>0.005</v>
      </c>
      <c r="D821" s="50" t="s">
        <v>3034</v>
      </c>
      <c r="E821" s="50" t="s">
        <v>434</v>
      </c>
      <c r="F821" s="50" t="s">
        <v>1710</v>
      </c>
      <c r="G821" s="53" t="s">
        <v>436</v>
      </c>
      <c r="H821" s="50" t="s">
        <v>1258</v>
      </c>
    </row>
    <row r="822" customFormat="false" ht="12.8" hidden="false" customHeight="false" outlineLevel="0" collapsed="false">
      <c r="A822" s="50" t="s">
        <v>3035</v>
      </c>
      <c r="B822" s="50" t="s">
        <v>3036</v>
      </c>
      <c r="C822" s="50" t="n">
        <v>0.01</v>
      </c>
      <c r="D822" s="50" t="s">
        <v>3037</v>
      </c>
      <c r="E822" s="50" t="s">
        <v>440</v>
      </c>
      <c r="F822" s="50" t="s">
        <v>1710</v>
      </c>
      <c r="G822" s="53" t="s">
        <v>436</v>
      </c>
      <c r="H822" s="50" t="s">
        <v>1258</v>
      </c>
    </row>
    <row r="823" customFormat="false" ht="12.8" hidden="false" customHeight="false" outlineLevel="0" collapsed="false">
      <c r="A823" s="50" t="s">
        <v>3038</v>
      </c>
      <c r="B823" s="50" t="s">
        <v>3039</v>
      </c>
      <c r="C823" s="50" t="n">
        <v>0.006</v>
      </c>
      <c r="D823" s="50" t="s">
        <v>3040</v>
      </c>
      <c r="E823" s="50" t="s">
        <v>434</v>
      </c>
      <c r="F823" s="50" t="s">
        <v>1710</v>
      </c>
      <c r="G823" s="53" t="s">
        <v>436</v>
      </c>
      <c r="H823" s="50" t="s">
        <v>1258</v>
      </c>
    </row>
    <row r="824" customFormat="false" ht="12.8" hidden="false" customHeight="false" outlineLevel="0" collapsed="false">
      <c r="A824" s="50" t="s">
        <v>3041</v>
      </c>
      <c r="B824" s="50" t="s">
        <v>3042</v>
      </c>
      <c r="C824" s="50" t="n">
        <v>0.006</v>
      </c>
      <c r="D824" s="50" t="s">
        <v>3043</v>
      </c>
      <c r="E824" s="50" t="s">
        <v>434</v>
      </c>
      <c r="F824" s="50" t="s">
        <v>1710</v>
      </c>
      <c r="G824" s="53" t="s">
        <v>436</v>
      </c>
      <c r="H824" s="50" t="s">
        <v>1258</v>
      </c>
    </row>
    <row r="825" customFormat="false" ht="12.8" hidden="false" customHeight="false" outlineLevel="0" collapsed="false">
      <c r="A825" s="50" t="s">
        <v>3044</v>
      </c>
      <c r="B825" s="50" t="s">
        <v>3045</v>
      </c>
      <c r="C825" s="50" t="n">
        <v>0.012</v>
      </c>
      <c r="D825" s="50" t="s">
        <v>3046</v>
      </c>
      <c r="E825" s="50" t="s">
        <v>502</v>
      </c>
      <c r="F825" s="50" t="s">
        <v>1710</v>
      </c>
      <c r="G825" s="53" t="s">
        <v>436</v>
      </c>
      <c r="H825" s="50" t="s">
        <v>1258</v>
      </c>
    </row>
    <row r="826" customFormat="false" ht="12.8" hidden="false" customHeight="false" outlineLevel="0" collapsed="false">
      <c r="A826" s="50" t="s">
        <v>3047</v>
      </c>
      <c r="B826" s="50" t="s">
        <v>3048</v>
      </c>
      <c r="C826" s="50" t="n">
        <v>0.015</v>
      </c>
      <c r="D826" s="50" t="s">
        <v>3049</v>
      </c>
      <c r="E826" s="50" t="s">
        <v>502</v>
      </c>
      <c r="F826" s="50" t="s">
        <v>1710</v>
      </c>
      <c r="G826" s="53" t="s">
        <v>436</v>
      </c>
      <c r="H826" s="50" t="s">
        <v>1258</v>
      </c>
    </row>
    <row r="827" customFormat="false" ht="12.8" hidden="false" customHeight="false" outlineLevel="0" collapsed="false">
      <c r="A827" s="50" t="s">
        <v>3050</v>
      </c>
      <c r="B827" s="50" t="s">
        <v>3051</v>
      </c>
      <c r="C827" s="50" t="n">
        <v>0.01</v>
      </c>
      <c r="D827" s="50" t="s">
        <v>3052</v>
      </c>
      <c r="E827" s="50" t="s">
        <v>440</v>
      </c>
      <c r="F827" s="50" t="s">
        <v>1710</v>
      </c>
      <c r="G827" s="53" t="s">
        <v>436</v>
      </c>
      <c r="H827" s="50" t="s">
        <v>1258</v>
      </c>
    </row>
    <row r="828" customFormat="false" ht="12.8" hidden="false" customHeight="false" outlineLevel="0" collapsed="false">
      <c r="A828" s="50" t="s">
        <v>3053</v>
      </c>
      <c r="B828" s="50" t="s">
        <v>3054</v>
      </c>
      <c r="C828" s="50" t="n">
        <v>0.006</v>
      </c>
      <c r="D828" s="50" t="s">
        <v>3055</v>
      </c>
      <c r="E828" s="50" t="s">
        <v>434</v>
      </c>
      <c r="F828" s="50" t="s">
        <v>1710</v>
      </c>
      <c r="G828" s="53" t="s">
        <v>436</v>
      </c>
      <c r="H828" s="50" t="s">
        <v>1258</v>
      </c>
    </row>
    <row r="829" customFormat="false" ht="12.8" hidden="false" customHeight="false" outlineLevel="0" collapsed="false">
      <c r="A829" s="50" t="s">
        <v>3056</v>
      </c>
      <c r="B829" s="50" t="s">
        <v>3057</v>
      </c>
      <c r="C829" s="50" t="n">
        <v>0.777</v>
      </c>
      <c r="D829" s="50" t="s">
        <v>3058</v>
      </c>
      <c r="E829" s="50" t="s">
        <v>434</v>
      </c>
      <c r="F829" s="50" t="s">
        <v>1710</v>
      </c>
      <c r="G829" s="53" t="s">
        <v>436</v>
      </c>
      <c r="H829" s="50" t="s">
        <v>3059</v>
      </c>
    </row>
    <row r="830" customFormat="false" ht="12.8" hidden="false" customHeight="false" outlineLevel="0" collapsed="false">
      <c r="A830" s="50" t="s">
        <v>3060</v>
      </c>
      <c r="B830" s="50" t="s">
        <v>3061</v>
      </c>
      <c r="C830" s="50" t="n">
        <v>0.7</v>
      </c>
      <c r="D830" s="50" t="s">
        <v>3062</v>
      </c>
      <c r="E830" s="50" t="s">
        <v>440</v>
      </c>
      <c r="F830" s="50" t="s">
        <v>1710</v>
      </c>
      <c r="G830" s="53" t="s">
        <v>436</v>
      </c>
      <c r="H830" s="50" t="s">
        <v>1258</v>
      </c>
    </row>
    <row r="831" customFormat="false" ht="12.8" hidden="false" customHeight="false" outlineLevel="0" collapsed="false">
      <c r="A831" s="50" t="s">
        <v>3063</v>
      </c>
      <c r="B831" s="50" t="s">
        <v>3064</v>
      </c>
      <c r="C831" s="50" t="n">
        <v>0.8</v>
      </c>
      <c r="D831" s="50" t="s">
        <v>3065</v>
      </c>
      <c r="E831" s="50" t="s">
        <v>502</v>
      </c>
      <c r="F831" s="50" t="s">
        <v>1710</v>
      </c>
      <c r="G831" s="53" t="s">
        <v>436</v>
      </c>
      <c r="H831" s="50" t="s">
        <v>1258</v>
      </c>
    </row>
    <row r="832" customFormat="false" ht="12.8" hidden="false" customHeight="false" outlineLevel="0" collapsed="false">
      <c r="A832" s="50" t="s">
        <v>3066</v>
      </c>
      <c r="B832" s="50" t="s">
        <v>3067</v>
      </c>
      <c r="C832" s="50" t="n">
        <v>0.85</v>
      </c>
      <c r="D832" s="50" t="s">
        <v>3068</v>
      </c>
      <c r="E832" s="50" t="s">
        <v>434</v>
      </c>
      <c r="F832" s="50" t="s">
        <v>1710</v>
      </c>
      <c r="G832" s="53" t="s">
        <v>436</v>
      </c>
      <c r="H832" s="50" t="s">
        <v>1258</v>
      </c>
    </row>
    <row r="833" customFormat="false" ht="12.8" hidden="false" customHeight="false" outlineLevel="0" collapsed="false">
      <c r="A833" s="50" t="s">
        <v>3069</v>
      </c>
      <c r="B833" s="50" t="s">
        <v>3070</v>
      </c>
      <c r="C833" s="50" t="n">
        <v>0.75</v>
      </c>
      <c r="D833" s="50" t="s">
        <v>3071</v>
      </c>
      <c r="E833" s="50" t="s">
        <v>440</v>
      </c>
      <c r="F833" s="50" t="s">
        <v>1710</v>
      </c>
      <c r="G833" s="53" t="s">
        <v>436</v>
      </c>
      <c r="H833" s="50" t="s">
        <v>1258</v>
      </c>
    </row>
    <row r="834" customFormat="false" ht="12.8" hidden="false" customHeight="false" outlineLevel="0" collapsed="false">
      <c r="A834" s="50" t="s">
        <v>3072</v>
      </c>
      <c r="B834" s="50" t="s">
        <v>3073</v>
      </c>
      <c r="C834" s="50" t="n">
        <v>0.78</v>
      </c>
      <c r="D834" s="50" t="s">
        <v>3074</v>
      </c>
      <c r="E834" s="50" t="s">
        <v>434</v>
      </c>
      <c r="F834" s="50" t="s">
        <v>1710</v>
      </c>
      <c r="G834" s="53" t="s">
        <v>436</v>
      </c>
      <c r="H834" s="50" t="s">
        <v>1258</v>
      </c>
    </row>
    <row r="835" customFormat="false" ht="12.8" hidden="false" customHeight="false" outlineLevel="0" collapsed="false">
      <c r="A835" s="50" t="s">
        <v>3075</v>
      </c>
      <c r="B835" s="50" t="s">
        <v>3076</v>
      </c>
      <c r="C835" s="50" t="n">
        <v>0.78</v>
      </c>
      <c r="D835" s="50" t="s">
        <v>3077</v>
      </c>
      <c r="E835" s="50" t="s">
        <v>434</v>
      </c>
      <c r="F835" s="50" t="s">
        <v>1710</v>
      </c>
      <c r="G835" s="53" t="s">
        <v>436</v>
      </c>
      <c r="H835" s="50" t="s">
        <v>1258</v>
      </c>
    </row>
    <row r="836" customFormat="false" ht="12.8" hidden="false" customHeight="false" outlineLevel="0" collapsed="false">
      <c r="A836" s="50" t="s">
        <v>3078</v>
      </c>
      <c r="B836" s="50" t="s">
        <v>3079</v>
      </c>
      <c r="C836" s="50" t="n">
        <v>0.8</v>
      </c>
      <c r="D836" s="50" t="s">
        <v>3080</v>
      </c>
      <c r="E836" s="50" t="s">
        <v>434</v>
      </c>
      <c r="F836" s="50" t="s">
        <v>1710</v>
      </c>
      <c r="G836" s="53" t="s">
        <v>436</v>
      </c>
      <c r="H836" s="50" t="s">
        <v>1258</v>
      </c>
    </row>
    <row r="837" customFormat="false" ht="12.8" hidden="false" customHeight="false" outlineLevel="0" collapsed="false">
      <c r="A837" s="50" t="s">
        <v>3081</v>
      </c>
      <c r="B837" s="50" t="s">
        <v>3082</v>
      </c>
      <c r="C837" s="50" t="n">
        <v>0.82</v>
      </c>
      <c r="D837" s="50" t="s">
        <v>3083</v>
      </c>
      <c r="E837" s="50" t="s">
        <v>434</v>
      </c>
      <c r="F837" s="50" t="s">
        <v>1710</v>
      </c>
      <c r="G837" s="53" t="s">
        <v>436</v>
      </c>
      <c r="H837" s="50" t="s">
        <v>1258</v>
      </c>
    </row>
    <row r="838" customFormat="false" ht="12.8" hidden="false" customHeight="false" outlineLevel="0" collapsed="false">
      <c r="A838" s="50" t="s">
        <v>3084</v>
      </c>
      <c r="B838" s="50" t="s">
        <v>3085</v>
      </c>
      <c r="C838" s="50" t="n">
        <v>0.75</v>
      </c>
      <c r="D838" s="50" t="s">
        <v>3086</v>
      </c>
      <c r="E838" s="50" t="s">
        <v>440</v>
      </c>
      <c r="F838" s="50" t="s">
        <v>1710</v>
      </c>
      <c r="G838" s="53" t="s">
        <v>436</v>
      </c>
      <c r="H838" s="50" t="s">
        <v>1258</v>
      </c>
    </row>
    <row r="839" customFormat="false" ht="12.8" hidden="false" customHeight="false" outlineLevel="0" collapsed="false">
      <c r="A839" s="50" t="s">
        <v>3087</v>
      </c>
      <c r="B839" s="50" t="s">
        <v>3088</v>
      </c>
      <c r="C839" s="50" t="n">
        <v>0.72</v>
      </c>
      <c r="D839" s="50" t="s">
        <v>3089</v>
      </c>
      <c r="E839" s="50" t="s">
        <v>440</v>
      </c>
      <c r="F839" s="50" t="s">
        <v>1710</v>
      </c>
      <c r="G839" s="53" t="s">
        <v>436</v>
      </c>
      <c r="H839" s="50" t="s">
        <v>1258</v>
      </c>
    </row>
    <row r="840" customFormat="false" ht="12.8" hidden="false" customHeight="false" outlineLevel="0" collapsed="false">
      <c r="A840" s="50" t="s">
        <v>3090</v>
      </c>
      <c r="B840" s="50" t="s">
        <v>3091</v>
      </c>
      <c r="C840" s="50" t="n">
        <v>0.78</v>
      </c>
      <c r="D840" s="50" t="s">
        <v>3092</v>
      </c>
      <c r="E840" s="50" t="s">
        <v>434</v>
      </c>
      <c r="F840" s="50" t="s">
        <v>1710</v>
      </c>
      <c r="G840" s="53" t="s">
        <v>436</v>
      </c>
      <c r="H840" s="50" t="s">
        <v>1258</v>
      </c>
    </row>
    <row r="841" customFormat="false" ht="12.8" hidden="false" customHeight="false" outlineLevel="0" collapsed="false">
      <c r="A841" s="50" t="s">
        <v>3093</v>
      </c>
      <c r="B841" s="50" t="s">
        <v>3094</v>
      </c>
      <c r="C841" s="50" t="n">
        <v>0.78</v>
      </c>
      <c r="D841" s="50" t="s">
        <v>3095</v>
      </c>
      <c r="E841" s="50" t="s">
        <v>434</v>
      </c>
      <c r="F841" s="50" t="s">
        <v>1710</v>
      </c>
      <c r="G841" s="53" t="s">
        <v>436</v>
      </c>
      <c r="H841" s="50" t="s">
        <v>1258</v>
      </c>
    </row>
    <row r="842" customFormat="false" ht="12.8" hidden="false" customHeight="false" outlineLevel="0" collapsed="false">
      <c r="A842" s="50" t="s">
        <v>3096</v>
      </c>
      <c r="B842" s="50" t="s">
        <v>3097</v>
      </c>
      <c r="C842" s="50" t="n">
        <v>0.85</v>
      </c>
      <c r="D842" s="50" t="s">
        <v>3098</v>
      </c>
      <c r="E842" s="50" t="s">
        <v>434</v>
      </c>
      <c r="F842" s="50" t="s">
        <v>1710</v>
      </c>
      <c r="G842" s="53" t="s">
        <v>436</v>
      </c>
      <c r="H842" s="50" t="s">
        <v>1258</v>
      </c>
    </row>
    <row r="843" customFormat="false" ht="12.8" hidden="false" customHeight="false" outlineLevel="0" collapsed="false">
      <c r="A843" s="50" t="s">
        <v>3099</v>
      </c>
      <c r="B843" s="50" t="s">
        <v>3100</v>
      </c>
      <c r="C843" s="50" t="n">
        <v>0.9</v>
      </c>
      <c r="D843" s="50" t="s">
        <v>3101</v>
      </c>
      <c r="E843" s="50" t="s">
        <v>434</v>
      </c>
      <c r="F843" s="50" t="s">
        <v>1710</v>
      </c>
      <c r="G843" s="53" t="s">
        <v>436</v>
      </c>
      <c r="H843" s="50" t="s">
        <v>1258</v>
      </c>
    </row>
    <row r="844" customFormat="false" ht="12.8" hidden="false" customHeight="false" outlineLevel="0" collapsed="false">
      <c r="A844" s="50" t="s">
        <v>3102</v>
      </c>
      <c r="B844" s="50" t="s">
        <v>3103</v>
      </c>
      <c r="C844" s="50" t="n">
        <v>0.82</v>
      </c>
      <c r="D844" s="50" t="s">
        <v>3104</v>
      </c>
      <c r="E844" s="50" t="s">
        <v>440</v>
      </c>
      <c r="F844" s="50" t="s">
        <v>1710</v>
      </c>
      <c r="G844" s="53" t="s">
        <v>436</v>
      </c>
      <c r="H844" s="50" t="s">
        <v>1258</v>
      </c>
    </row>
    <row r="845" customFormat="false" ht="12.8" hidden="false" customHeight="false" outlineLevel="0" collapsed="false">
      <c r="A845" s="50" t="s">
        <v>3105</v>
      </c>
      <c r="B845" s="50" t="s">
        <v>3106</v>
      </c>
      <c r="C845" s="50" t="n">
        <v>0.88</v>
      </c>
      <c r="D845" s="50" t="s">
        <v>3107</v>
      </c>
      <c r="E845" s="50" t="s">
        <v>434</v>
      </c>
      <c r="F845" s="50" t="s">
        <v>1710</v>
      </c>
      <c r="G845" s="53" t="s">
        <v>436</v>
      </c>
      <c r="H845" s="50" t="s">
        <v>1258</v>
      </c>
    </row>
    <row r="846" customFormat="false" ht="12.8" hidden="false" customHeight="false" outlineLevel="0" collapsed="false">
      <c r="A846" s="50" t="s">
        <v>3108</v>
      </c>
      <c r="B846" s="50" t="s">
        <v>3109</v>
      </c>
      <c r="C846" s="50" t="n">
        <v>0.75</v>
      </c>
      <c r="D846" s="50" t="s">
        <v>3110</v>
      </c>
      <c r="E846" s="50" t="s">
        <v>440</v>
      </c>
      <c r="F846" s="50" t="s">
        <v>1710</v>
      </c>
      <c r="G846" s="53" t="s">
        <v>436</v>
      </c>
      <c r="H846" s="50" t="s">
        <v>1258</v>
      </c>
    </row>
    <row r="847" customFormat="false" ht="12.8" hidden="false" customHeight="false" outlineLevel="0" collapsed="false">
      <c r="A847" s="50" t="s">
        <v>3111</v>
      </c>
      <c r="B847" s="50" t="s">
        <v>3112</v>
      </c>
      <c r="C847" s="50" t="n">
        <v>0.85</v>
      </c>
      <c r="D847" s="50" t="s">
        <v>3113</v>
      </c>
      <c r="E847" s="50" t="s">
        <v>434</v>
      </c>
      <c r="F847" s="50" t="s">
        <v>1710</v>
      </c>
      <c r="G847" s="53" t="s">
        <v>436</v>
      </c>
      <c r="H847" s="50" t="s">
        <v>1258</v>
      </c>
    </row>
    <row r="848" customFormat="false" ht="12.8" hidden="false" customHeight="false" outlineLevel="0" collapsed="false">
      <c r="A848" s="50" t="s">
        <v>3114</v>
      </c>
      <c r="B848" s="50" t="s">
        <v>3115</v>
      </c>
      <c r="C848" s="50" t="n">
        <v>0.85</v>
      </c>
      <c r="D848" s="50" t="s">
        <v>3116</v>
      </c>
      <c r="E848" s="50" t="s">
        <v>434</v>
      </c>
      <c r="F848" s="50" t="s">
        <v>1710</v>
      </c>
      <c r="G848" s="53" t="s">
        <v>436</v>
      </c>
      <c r="H848" s="50" t="s">
        <v>1258</v>
      </c>
    </row>
    <row r="849" customFormat="false" ht="12.8" hidden="false" customHeight="false" outlineLevel="0" collapsed="false">
      <c r="A849" s="50" t="s">
        <v>3117</v>
      </c>
      <c r="B849" s="50" t="s">
        <v>3118</v>
      </c>
      <c r="C849" s="50" t="n">
        <v>0.72</v>
      </c>
      <c r="D849" s="50" t="s">
        <v>3119</v>
      </c>
      <c r="E849" s="50" t="s">
        <v>502</v>
      </c>
      <c r="F849" s="50" t="s">
        <v>1710</v>
      </c>
      <c r="G849" s="53" t="s">
        <v>436</v>
      </c>
      <c r="H849" s="50" t="s">
        <v>1258</v>
      </c>
    </row>
    <row r="850" customFormat="false" ht="12.8" hidden="false" customHeight="false" outlineLevel="0" collapsed="false">
      <c r="A850" s="50" t="s">
        <v>3120</v>
      </c>
      <c r="B850" s="50" t="s">
        <v>3121</v>
      </c>
      <c r="C850" s="50" t="n">
        <v>0.7</v>
      </c>
      <c r="D850" s="50" t="s">
        <v>3122</v>
      </c>
      <c r="E850" s="50" t="s">
        <v>502</v>
      </c>
      <c r="F850" s="50" t="s">
        <v>1710</v>
      </c>
      <c r="G850" s="53" t="s">
        <v>436</v>
      </c>
      <c r="H850" s="50" t="s">
        <v>1258</v>
      </c>
    </row>
    <row r="851" customFormat="false" ht="12.8" hidden="false" customHeight="false" outlineLevel="0" collapsed="false">
      <c r="A851" s="50" t="s">
        <v>3123</v>
      </c>
      <c r="B851" s="50" t="s">
        <v>3124</v>
      </c>
      <c r="C851" s="50" t="n">
        <v>0.75</v>
      </c>
      <c r="D851" s="50" t="s">
        <v>3125</v>
      </c>
      <c r="E851" s="50" t="s">
        <v>440</v>
      </c>
      <c r="F851" s="50" t="s">
        <v>1710</v>
      </c>
      <c r="G851" s="53" t="s">
        <v>436</v>
      </c>
      <c r="H851" s="50" t="s">
        <v>1258</v>
      </c>
    </row>
    <row r="852" customFormat="false" ht="12.8" hidden="false" customHeight="false" outlineLevel="0" collapsed="false">
      <c r="A852" s="50" t="s">
        <v>3126</v>
      </c>
      <c r="B852" s="50" t="s">
        <v>3127</v>
      </c>
      <c r="C852" s="50" t="n">
        <v>0.85</v>
      </c>
      <c r="D852" s="50" t="s">
        <v>3128</v>
      </c>
      <c r="E852" s="50" t="s">
        <v>434</v>
      </c>
      <c r="F852" s="50" t="s">
        <v>1710</v>
      </c>
      <c r="G852" s="53" t="s">
        <v>436</v>
      </c>
      <c r="H852" s="50" t="s">
        <v>1258</v>
      </c>
    </row>
    <row r="853" customFormat="false" ht="12.8" hidden="false" customHeight="false" outlineLevel="0" collapsed="false">
      <c r="A853" s="50" t="s">
        <v>3129</v>
      </c>
      <c r="B853" s="50" t="s">
        <v>3130</v>
      </c>
      <c r="C853" s="50" t="n">
        <v>1.016</v>
      </c>
      <c r="D853" s="50" t="s">
        <v>3131</v>
      </c>
      <c r="E853" s="50" t="s">
        <v>434</v>
      </c>
      <c r="F853" s="50" t="s">
        <v>1710</v>
      </c>
      <c r="G853" s="53" t="s">
        <v>436</v>
      </c>
      <c r="H853" s="50" t="s">
        <v>3132</v>
      </c>
    </row>
    <row r="854" customFormat="false" ht="12.8" hidden="false" customHeight="false" outlineLevel="0" collapsed="false">
      <c r="A854" s="50" t="s">
        <v>3133</v>
      </c>
      <c r="B854" s="50" t="s">
        <v>3134</v>
      </c>
      <c r="C854" s="50" t="n">
        <v>1.02</v>
      </c>
      <c r="D854" s="50" t="s">
        <v>3135</v>
      </c>
      <c r="E854" s="50" t="s">
        <v>440</v>
      </c>
      <c r="F854" s="50" t="s">
        <v>1710</v>
      </c>
      <c r="G854" s="53" t="s">
        <v>436</v>
      </c>
      <c r="H854" s="50" t="s">
        <v>1258</v>
      </c>
    </row>
    <row r="855" customFormat="false" ht="12.8" hidden="false" customHeight="false" outlineLevel="0" collapsed="false">
      <c r="A855" s="50" t="s">
        <v>3136</v>
      </c>
      <c r="B855" s="50" t="s">
        <v>3137</v>
      </c>
      <c r="C855" s="50" t="n">
        <v>1.03</v>
      </c>
      <c r="D855" s="50" t="s">
        <v>3138</v>
      </c>
      <c r="E855" s="50" t="s">
        <v>502</v>
      </c>
      <c r="F855" s="50" t="s">
        <v>1710</v>
      </c>
      <c r="G855" s="53" t="s">
        <v>436</v>
      </c>
      <c r="H855" s="50" t="s">
        <v>1258</v>
      </c>
    </row>
    <row r="856" customFormat="false" ht="12.8" hidden="false" customHeight="false" outlineLevel="0" collapsed="false">
      <c r="A856" s="50" t="s">
        <v>3139</v>
      </c>
      <c r="B856" s="50" t="s">
        <v>3140</v>
      </c>
      <c r="C856" s="50" t="n">
        <v>1.01</v>
      </c>
      <c r="D856" s="50" t="s">
        <v>3141</v>
      </c>
      <c r="E856" s="50" t="s">
        <v>434</v>
      </c>
      <c r="F856" s="50" t="s">
        <v>1710</v>
      </c>
      <c r="G856" s="53" t="s">
        <v>436</v>
      </c>
      <c r="H856" s="50" t="s">
        <v>1258</v>
      </c>
    </row>
    <row r="857" customFormat="false" ht="12.8" hidden="false" customHeight="false" outlineLevel="0" collapsed="false">
      <c r="A857" s="50" t="s">
        <v>3142</v>
      </c>
      <c r="B857" s="50" t="s">
        <v>3143</v>
      </c>
      <c r="C857" s="50" t="n">
        <v>1.02</v>
      </c>
      <c r="D857" s="50" t="s">
        <v>3144</v>
      </c>
      <c r="E857" s="50" t="s">
        <v>440</v>
      </c>
      <c r="F857" s="50" t="s">
        <v>1710</v>
      </c>
      <c r="G857" s="53" t="s">
        <v>436</v>
      </c>
      <c r="H857" s="50" t="s">
        <v>1258</v>
      </c>
    </row>
    <row r="858" customFormat="false" ht="12.8" hidden="false" customHeight="false" outlineLevel="0" collapsed="false">
      <c r="A858" s="50" t="s">
        <v>3145</v>
      </c>
      <c r="B858" s="50" t="s">
        <v>3146</v>
      </c>
      <c r="C858" s="50" t="n">
        <v>1.015</v>
      </c>
      <c r="D858" s="50" t="s">
        <v>3147</v>
      </c>
      <c r="E858" s="50" t="s">
        <v>434</v>
      </c>
      <c r="F858" s="50" t="s">
        <v>1710</v>
      </c>
      <c r="G858" s="53" t="s">
        <v>436</v>
      </c>
      <c r="H858" s="50" t="s">
        <v>1258</v>
      </c>
    </row>
    <row r="859" customFormat="false" ht="12.8" hidden="false" customHeight="false" outlineLevel="0" collapsed="false">
      <c r="A859" s="50" t="s">
        <v>3148</v>
      </c>
      <c r="B859" s="50" t="s">
        <v>3149</v>
      </c>
      <c r="C859" s="50" t="n">
        <v>1.015</v>
      </c>
      <c r="D859" s="50" t="s">
        <v>3150</v>
      </c>
      <c r="E859" s="50" t="s">
        <v>434</v>
      </c>
      <c r="F859" s="50" t="s">
        <v>1710</v>
      </c>
      <c r="G859" s="53" t="s">
        <v>436</v>
      </c>
      <c r="H859" s="50" t="s">
        <v>1258</v>
      </c>
    </row>
    <row r="860" customFormat="false" ht="12.8" hidden="false" customHeight="false" outlineLevel="0" collapsed="false">
      <c r="A860" s="50" t="s">
        <v>3151</v>
      </c>
      <c r="B860" s="50" t="s">
        <v>3152</v>
      </c>
      <c r="C860" s="50" t="n">
        <v>1.015</v>
      </c>
      <c r="D860" s="50" t="s">
        <v>3153</v>
      </c>
      <c r="E860" s="50" t="s">
        <v>434</v>
      </c>
      <c r="F860" s="50" t="s">
        <v>1710</v>
      </c>
      <c r="G860" s="53" t="s">
        <v>436</v>
      </c>
      <c r="H860" s="50" t="s">
        <v>1258</v>
      </c>
    </row>
    <row r="861" customFormat="false" ht="12.8" hidden="false" customHeight="false" outlineLevel="0" collapsed="false">
      <c r="A861" s="50" t="s">
        <v>3154</v>
      </c>
      <c r="B861" s="50" t="s">
        <v>3155</v>
      </c>
      <c r="C861" s="50" t="n">
        <v>1.01</v>
      </c>
      <c r="D861" s="50" t="s">
        <v>3156</v>
      </c>
      <c r="E861" s="50" t="s">
        <v>434</v>
      </c>
      <c r="F861" s="50" t="s">
        <v>1710</v>
      </c>
      <c r="G861" s="53" t="s">
        <v>436</v>
      </c>
      <c r="H861" s="50" t="s">
        <v>1258</v>
      </c>
    </row>
    <row r="862" customFormat="false" ht="12.8" hidden="false" customHeight="false" outlineLevel="0" collapsed="false">
      <c r="A862" s="50" t="s">
        <v>3157</v>
      </c>
      <c r="B862" s="50" t="s">
        <v>3158</v>
      </c>
      <c r="C862" s="50" t="n">
        <v>1.02</v>
      </c>
      <c r="D862" s="50" t="s">
        <v>3159</v>
      </c>
      <c r="E862" s="50" t="s">
        <v>440</v>
      </c>
      <c r="F862" s="50" t="s">
        <v>1710</v>
      </c>
      <c r="G862" s="53" t="s">
        <v>436</v>
      </c>
      <c r="H862" s="50" t="s">
        <v>1258</v>
      </c>
    </row>
    <row r="863" customFormat="false" ht="12.8" hidden="false" customHeight="false" outlineLevel="0" collapsed="false">
      <c r="A863" s="50" t="s">
        <v>3160</v>
      </c>
      <c r="B863" s="50" t="s">
        <v>3161</v>
      </c>
      <c r="C863" s="50" t="n">
        <v>1.02</v>
      </c>
      <c r="D863" s="50" t="s">
        <v>3162</v>
      </c>
      <c r="E863" s="50" t="s">
        <v>440</v>
      </c>
      <c r="F863" s="50" t="s">
        <v>1710</v>
      </c>
      <c r="G863" s="53" t="s">
        <v>436</v>
      </c>
      <c r="H863" s="50" t="s">
        <v>1258</v>
      </c>
    </row>
    <row r="864" customFormat="false" ht="12.8" hidden="false" customHeight="false" outlineLevel="0" collapsed="false">
      <c r="A864" s="50" t="s">
        <v>3163</v>
      </c>
      <c r="B864" s="50" t="s">
        <v>3164</v>
      </c>
      <c r="C864" s="50" t="n">
        <v>1.015</v>
      </c>
      <c r="D864" s="50" t="s">
        <v>3165</v>
      </c>
      <c r="E864" s="50" t="s">
        <v>434</v>
      </c>
      <c r="F864" s="50" t="s">
        <v>1710</v>
      </c>
      <c r="G864" s="53" t="s">
        <v>436</v>
      </c>
      <c r="H864" s="50" t="s">
        <v>1258</v>
      </c>
    </row>
    <row r="865" customFormat="false" ht="12.8" hidden="false" customHeight="false" outlineLevel="0" collapsed="false">
      <c r="A865" s="50" t="s">
        <v>3166</v>
      </c>
      <c r="B865" s="50" t="s">
        <v>3167</v>
      </c>
      <c r="C865" s="50" t="n">
        <v>1.015</v>
      </c>
      <c r="D865" s="50" t="s">
        <v>3168</v>
      </c>
      <c r="E865" s="50" t="s">
        <v>434</v>
      </c>
      <c r="F865" s="50" t="s">
        <v>1710</v>
      </c>
      <c r="G865" s="53" t="s">
        <v>436</v>
      </c>
      <c r="H865" s="50" t="s">
        <v>1258</v>
      </c>
    </row>
    <row r="866" customFormat="false" ht="12.8" hidden="false" customHeight="false" outlineLevel="0" collapsed="false">
      <c r="A866" s="50" t="s">
        <v>3169</v>
      </c>
      <c r="B866" s="50" t="s">
        <v>3170</v>
      </c>
      <c r="C866" s="50" t="n">
        <v>1.01</v>
      </c>
      <c r="D866" s="50" t="s">
        <v>3171</v>
      </c>
      <c r="E866" s="50" t="s">
        <v>434</v>
      </c>
      <c r="F866" s="50" t="s">
        <v>1710</v>
      </c>
      <c r="G866" s="53" t="s">
        <v>436</v>
      </c>
      <c r="H866" s="50" t="s">
        <v>1258</v>
      </c>
    </row>
    <row r="867" customFormat="false" ht="12.8" hidden="false" customHeight="false" outlineLevel="0" collapsed="false">
      <c r="A867" s="50" t="s">
        <v>3172</v>
      </c>
      <c r="B867" s="50" t="s">
        <v>3173</v>
      </c>
      <c r="C867" s="50" t="n">
        <v>1.005</v>
      </c>
      <c r="D867" s="50" t="s">
        <v>3174</v>
      </c>
      <c r="E867" s="50" t="s">
        <v>434</v>
      </c>
      <c r="F867" s="50" t="s">
        <v>1710</v>
      </c>
      <c r="G867" s="53" t="s">
        <v>436</v>
      </c>
      <c r="H867" s="50" t="s">
        <v>1258</v>
      </c>
    </row>
    <row r="868" customFormat="false" ht="12.8" hidden="false" customHeight="false" outlineLevel="0" collapsed="false">
      <c r="A868" s="50" t="s">
        <v>3175</v>
      </c>
      <c r="B868" s="50" t="s">
        <v>3176</v>
      </c>
      <c r="C868" s="50" t="n">
        <v>1.015</v>
      </c>
      <c r="D868" s="50" t="s">
        <v>3177</v>
      </c>
      <c r="E868" s="50" t="s">
        <v>440</v>
      </c>
      <c r="F868" s="50" t="s">
        <v>1710</v>
      </c>
      <c r="G868" s="53" t="s">
        <v>436</v>
      </c>
      <c r="H868" s="50" t="s">
        <v>1258</v>
      </c>
    </row>
    <row r="869" customFormat="false" ht="12.8" hidden="false" customHeight="false" outlineLevel="0" collapsed="false">
      <c r="A869" s="50" t="s">
        <v>3178</v>
      </c>
      <c r="B869" s="50" t="s">
        <v>3179</v>
      </c>
      <c r="C869" s="50" t="n">
        <v>1.005</v>
      </c>
      <c r="D869" s="50" t="s">
        <v>3180</v>
      </c>
      <c r="E869" s="50" t="s">
        <v>434</v>
      </c>
      <c r="F869" s="50" t="s">
        <v>1710</v>
      </c>
      <c r="G869" s="53" t="s">
        <v>436</v>
      </c>
      <c r="H869" s="50" t="s">
        <v>1258</v>
      </c>
    </row>
    <row r="870" customFormat="false" ht="12.8" hidden="false" customHeight="false" outlineLevel="0" collapsed="false">
      <c r="A870" s="50" t="s">
        <v>3181</v>
      </c>
      <c r="B870" s="50" t="s">
        <v>3182</v>
      </c>
      <c r="C870" s="50" t="n">
        <v>1.02</v>
      </c>
      <c r="D870" s="50" t="s">
        <v>3183</v>
      </c>
      <c r="E870" s="50" t="s">
        <v>440</v>
      </c>
      <c r="F870" s="50" t="s">
        <v>1710</v>
      </c>
      <c r="G870" s="53" t="s">
        <v>436</v>
      </c>
      <c r="H870" s="50" t="s">
        <v>1258</v>
      </c>
    </row>
    <row r="871" customFormat="false" ht="12.8" hidden="false" customHeight="false" outlineLevel="0" collapsed="false">
      <c r="A871" s="50" t="s">
        <v>3184</v>
      </c>
      <c r="B871" s="50" t="s">
        <v>3185</v>
      </c>
      <c r="C871" s="50" t="n">
        <v>1.01</v>
      </c>
      <c r="D871" s="50" t="s">
        <v>3186</v>
      </c>
      <c r="E871" s="50" t="s">
        <v>434</v>
      </c>
      <c r="F871" s="50" t="s">
        <v>1710</v>
      </c>
      <c r="G871" s="53" t="s">
        <v>436</v>
      </c>
      <c r="H871" s="50" t="s">
        <v>1258</v>
      </c>
    </row>
    <row r="872" customFormat="false" ht="12.8" hidden="false" customHeight="false" outlineLevel="0" collapsed="false">
      <c r="A872" s="50" t="s">
        <v>3187</v>
      </c>
      <c r="B872" s="50" t="s">
        <v>3188</v>
      </c>
      <c r="C872" s="50" t="n">
        <v>1.01</v>
      </c>
      <c r="D872" s="50" t="s">
        <v>3189</v>
      </c>
      <c r="E872" s="50" t="s">
        <v>434</v>
      </c>
      <c r="F872" s="50" t="s">
        <v>1710</v>
      </c>
      <c r="G872" s="53" t="s">
        <v>436</v>
      </c>
      <c r="H872" s="50" t="s">
        <v>1258</v>
      </c>
    </row>
    <row r="873" customFormat="false" ht="12.8" hidden="false" customHeight="false" outlineLevel="0" collapsed="false">
      <c r="A873" s="50" t="s">
        <v>3190</v>
      </c>
      <c r="B873" s="50" t="s">
        <v>3191</v>
      </c>
      <c r="C873" s="50" t="n">
        <v>1.02</v>
      </c>
      <c r="D873" s="50" t="s">
        <v>3192</v>
      </c>
      <c r="E873" s="50" t="s">
        <v>502</v>
      </c>
      <c r="F873" s="50" t="s">
        <v>1710</v>
      </c>
      <c r="G873" s="53" t="s">
        <v>436</v>
      </c>
      <c r="H873" s="50" t="s">
        <v>1258</v>
      </c>
    </row>
    <row r="874" customFormat="false" ht="12.8" hidden="false" customHeight="false" outlineLevel="0" collapsed="false">
      <c r="A874" s="50" t="s">
        <v>3193</v>
      </c>
      <c r="B874" s="50" t="s">
        <v>3194</v>
      </c>
      <c r="C874" s="50" t="n">
        <v>1.025</v>
      </c>
      <c r="D874" s="50" t="s">
        <v>3195</v>
      </c>
      <c r="E874" s="50" t="s">
        <v>502</v>
      </c>
      <c r="F874" s="50" t="s">
        <v>1710</v>
      </c>
      <c r="G874" s="53" t="s">
        <v>436</v>
      </c>
      <c r="H874" s="50" t="s">
        <v>1258</v>
      </c>
    </row>
    <row r="875" customFormat="false" ht="12.8" hidden="false" customHeight="false" outlineLevel="0" collapsed="false">
      <c r="A875" s="50" t="s">
        <v>3196</v>
      </c>
      <c r="B875" s="50" t="s">
        <v>3197</v>
      </c>
      <c r="C875" s="50" t="n">
        <v>1.02</v>
      </c>
      <c r="D875" s="50" t="s">
        <v>3198</v>
      </c>
      <c r="E875" s="50" t="s">
        <v>440</v>
      </c>
      <c r="F875" s="50" t="s">
        <v>1710</v>
      </c>
      <c r="G875" s="53" t="s">
        <v>436</v>
      </c>
      <c r="H875" s="50" t="s">
        <v>1258</v>
      </c>
    </row>
    <row r="876" customFormat="false" ht="12.8" hidden="false" customHeight="false" outlineLevel="0" collapsed="false">
      <c r="A876" s="50" t="s">
        <v>3199</v>
      </c>
      <c r="B876" s="50" t="s">
        <v>3200</v>
      </c>
      <c r="C876" s="50" t="n">
        <v>1.01</v>
      </c>
      <c r="D876" s="50" t="s">
        <v>3201</v>
      </c>
      <c r="E876" s="50" t="s">
        <v>434</v>
      </c>
      <c r="F876" s="50" t="s">
        <v>1710</v>
      </c>
      <c r="G876" s="53" t="s">
        <v>436</v>
      </c>
      <c r="H876" s="50" t="s">
        <v>1258</v>
      </c>
    </row>
    <row r="877" customFormat="false" ht="12.8" hidden="false" customHeight="false" outlineLevel="0" collapsed="false">
      <c r="A877" s="50" t="s">
        <v>3202</v>
      </c>
      <c r="B877" s="50" t="s">
        <v>3203</v>
      </c>
      <c r="C877" s="50" t="n">
        <v>0.008</v>
      </c>
      <c r="D877" s="50" t="s">
        <v>3204</v>
      </c>
      <c r="E877" s="50" t="s">
        <v>434</v>
      </c>
      <c r="F877" s="50" t="s">
        <v>1710</v>
      </c>
      <c r="G877" s="53" t="s">
        <v>436</v>
      </c>
      <c r="H877" s="50" t="s">
        <v>1258</v>
      </c>
    </row>
    <row r="878" customFormat="false" ht="12.8" hidden="false" customHeight="false" outlineLevel="0" collapsed="false">
      <c r="A878" s="50" t="s">
        <v>3205</v>
      </c>
      <c r="B878" s="50" t="s">
        <v>3206</v>
      </c>
      <c r="C878" s="50" t="n">
        <v>0.015</v>
      </c>
      <c r="D878" s="50" t="s">
        <v>3207</v>
      </c>
      <c r="E878" s="50" t="s">
        <v>440</v>
      </c>
      <c r="F878" s="50" t="s">
        <v>1710</v>
      </c>
      <c r="G878" s="53" t="s">
        <v>436</v>
      </c>
      <c r="H878" s="50" t="s">
        <v>1258</v>
      </c>
    </row>
    <row r="879" customFormat="false" ht="12.8" hidden="false" customHeight="false" outlineLevel="0" collapsed="false">
      <c r="A879" s="50" t="s">
        <v>3208</v>
      </c>
      <c r="B879" s="50" t="s">
        <v>1486</v>
      </c>
      <c r="C879" s="50" t="n">
        <v>0.012</v>
      </c>
      <c r="D879" s="50" t="s">
        <v>3209</v>
      </c>
      <c r="E879" s="50" t="s">
        <v>502</v>
      </c>
      <c r="F879" s="50" t="s">
        <v>1710</v>
      </c>
      <c r="G879" s="53" t="s">
        <v>436</v>
      </c>
      <c r="H879" s="50" t="s">
        <v>1258</v>
      </c>
    </row>
    <row r="880" customFormat="false" ht="12.8" hidden="false" customHeight="false" outlineLevel="0" collapsed="false">
      <c r="A880" s="50" t="s">
        <v>3210</v>
      </c>
      <c r="B880" s="50" t="s">
        <v>1491</v>
      </c>
      <c r="C880" s="50" t="n">
        <v>0.006</v>
      </c>
      <c r="D880" s="50" t="s">
        <v>3211</v>
      </c>
      <c r="E880" s="50" t="s">
        <v>434</v>
      </c>
      <c r="F880" s="50" t="s">
        <v>1710</v>
      </c>
      <c r="G880" s="53" t="s">
        <v>436</v>
      </c>
      <c r="H880" s="50" t="s">
        <v>1258</v>
      </c>
    </row>
    <row r="881" customFormat="false" ht="12.8" hidden="false" customHeight="false" outlineLevel="0" collapsed="false">
      <c r="A881" s="50" t="s">
        <v>3212</v>
      </c>
      <c r="B881" s="50" t="s">
        <v>1494</v>
      </c>
      <c r="C881" s="50" t="n">
        <v>0.01</v>
      </c>
      <c r="D881" s="50" t="s">
        <v>3213</v>
      </c>
      <c r="E881" s="50" t="s">
        <v>440</v>
      </c>
      <c r="F881" s="50" t="s">
        <v>1710</v>
      </c>
      <c r="G881" s="53" t="s">
        <v>436</v>
      </c>
      <c r="H881" s="50" t="s">
        <v>1258</v>
      </c>
    </row>
    <row r="882" customFormat="false" ht="12.8" hidden="false" customHeight="false" outlineLevel="0" collapsed="false">
      <c r="A882" s="50" t="s">
        <v>3214</v>
      </c>
      <c r="B882" s="50" t="s">
        <v>1497</v>
      </c>
      <c r="C882" s="50" t="n">
        <v>0.008</v>
      </c>
      <c r="D882" s="50" t="s">
        <v>3215</v>
      </c>
      <c r="E882" s="50" t="s">
        <v>434</v>
      </c>
      <c r="F882" s="50" t="s">
        <v>1710</v>
      </c>
      <c r="G882" s="53" t="s">
        <v>436</v>
      </c>
      <c r="H882" s="50" t="s">
        <v>1258</v>
      </c>
    </row>
    <row r="883" customFormat="false" ht="12.8" hidden="false" customHeight="false" outlineLevel="0" collapsed="false">
      <c r="A883" s="50" t="s">
        <v>3216</v>
      </c>
      <c r="B883" s="50" t="s">
        <v>1500</v>
      </c>
      <c r="C883" s="50" t="n">
        <v>0.008</v>
      </c>
      <c r="D883" s="50" t="s">
        <v>3217</v>
      </c>
      <c r="E883" s="50" t="s">
        <v>434</v>
      </c>
      <c r="F883" s="50" t="s">
        <v>1710</v>
      </c>
      <c r="G883" s="53" t="s">
        <v>436</v>
      </c>
      <c r="H883" s="50" t="s">
        <v>1258</v>
      </c>
    </row>
    <row r="884" customFormat="false" ht="12.8" hidden="false" customHeight="false" outlineLevel="0" collapsed="false">
      <c r="A884" s="50" t="s">
        <v>3218</v>
      </c>
      <c r="B884" s="50" t="s">
        <v>1503</v>
      </c>
      <c r="C884" s="50" t="n">
        <v>0.008</v>
      </c>
      <c r="D884" s="50" t="s">
        <v>3219</v>
      </c>
      <c r="E884" s="50" t="s">
        <v>434</v>
      </c>
      <c r="F884" s="50" t="s">
        <v>1710</v>
      </c>
      <c r="G884" s="53" t="s">
        <v>436</v>
      </c>
      <c r="H884" s="50" t="s">
        <v>1258</v>
      </c>
    </row>
    <row r="885" customFormat="false" ht="12.8" hidden="false" customHeight="false" outlineLevel="0" collapsed="false">
      <c r="A885" s="50" t="s">
        <v>3220</v>
      </c>
      <c r="B885" s="50" t="s">
        <v>1506</v>
      </c>
      <c r="C885" s="50" t="n">
        <v>0.007</v>
      </c>
      <c r="D885" s="50" t="s">
        <v>3221</v>
      </c>
      <c r="E885" s="50" t="s">
        <v>434</v>
      </c>
      <c r="F885" s="50" t="s">
        <v>1710</v>
      </c>
      <c r="G885" s="53" t="s">
        <v>436</v>
      </c>
      <c r="H885" s="50" t="s">
        <v>1258</v>
      </c>
    </row>
    <row r="886" customFormat="false" ht="12.8" hidden="false" customHeight="false" outlineLevel="0" collapsed="false">
      <c r="A886" s="50" t="s">
        <v>3222</v>
      </c>
      <c r="B886" s="50" t="s">
        <v>1509</v>
      </c>
      <c r="C886" s="50" t="n">
        <v>0.01</v>
      </c>
      <c r="D886" s="50" t="s">
        <v>3223</v>
      </c>
      <c r="E886" s="50" t="s">
        <v>440</v>
      </c>
      <c r="F886" s="50" t="s">
        <v>1710</v>
      </c>
      <c r="G886" s="53" t="s">
        <v>436</v>
      </c>
      <c r="H886" s="50" t="s">
        <v>1258</v>
      </c>
    </row>
    <row r="887" customFormat="false" ht="12.8" hidden="false" customHeight="false" outlineLevel="0" collapsed="false">
      <c r="A887" s="50" t="s">
        <v>3224</v>
      </c>
      <c r="B887" s="50" t="s">
        <v>1512</v>
      </c>
      <c r="C887" s="50" t="n">
        <v>0.01</v>
      </c>
      <c r="D887" s="50" t="s">
        <v>3225</v>
      </c>
      <c r="E887" s="50" t="s">
        <v>440</v>
      </c>
      <c r="F887" s="50" t="s">
        <v>1710</v>
      </c>
      <c r="G887" s="53" t="s">
        <v>436</v>
      </c>
      <c r="H887" s="50" t="s">
        <v>1258</v>
      </c>
    </row>
    <row r="888" customFormat="false" ht="12.8" hidden="false" customHeight="false" outlineLevel="0" collapsed="false">
      <c r="A888" s="50" t="s">
        <v>3226</v>
      </c>
      <c r="B888" s="50" t="s">
        <v>1515</v>
      </c>
      <c r="C888" s="50" t="n">
        <v>0.009</v>
      </c>
      <c r="D888" s="50" t="s">
        <v>3227</v>
      </c>
      <c r="E888" s="50" t="s">
        <v>434</v>
      </c>
      <c r="F888" s="50" t="s">
        <v>1710</v>
      </c>
      <c r="G888" s="53" t="s">
        <v>436</v>
      </c>
      <c r="H888" s="50" t="s">
        <v>1258</v>
      </c>
    </row>
    <row r="889" customFormat="false" ht="12.8" hidden="false" customHeight="false" outlineLevel="0" collapsed="false">
      <c r="A889" s="50" t="s">
        <v>3228</v>
      </c>
      <c r="B889" s="50" t="s">
        <v>1518</v>
      </c>
      <c r="C889" s="50" t="n">
        <v>0.009</v>
      </c>
      <c r="D889" s="50" t="s">
        <v>3229</v>
      </c>
      <c r="E889" s="50" t="s">
        <v>434</v>
      </c>
      <c r="F889" s="50" t="s">
        <v>1710</v>
      </c>
      <c r="G889" s="53" t="s">
        <v>436</v>
      </c>
      <c r="H889" s="50" t="s">
        <v>1258</v>
      </c>
    </row>
    <row r="890" customFormat="false" ht="12.8" hidden="false" customHeight="false" outlineLevel="0" collapsed="false">
      <c r="A890" s="50" t="s">
        <v>3230</v>
      </c>
      <c r="B890" s="50" t="s">
        <v>1521</v>
      </c>
      <c r="C890" s="50" t="n">
        <v>0.007</v>
      </c>
      <c r="D890" s="50" t="s">
        <v>3231</v>
      </c>
      <c r="E890" s="50" t="s">
        <v>434</v>
      </c>
      <c r="F890" s="50" t="s">
        <v>1710</v>
      </c>
      <c r="G890" s="53" t="s">
        <v>436</v>
      </c>
      <c r="H890" s="50" t="s">
        <v>1258</v>
      </c>
    </row>
    <row r="891" customFormat="false" ht="12.8" hidden="false" customHeight="false" outlineLevel="0" collapsed="false">
      <c r="A891" s="50" t="s">
        <v>3232</v>
      </c>
      <c r="B891" s="50" t="s">
        <v>1524</v>
      </c>
      <c r="C891" s="50" t="n">
        <v>0.005</v>
      </c>
      <c r="D891" s="50" t="s">
        <v>3233</v>
      </c>
      <c r="E891" s="50" t="s">
        <v>434</v>
      </c>
      <c r="F891" s="50" t="s">
        <v>1710</v>
      </c>
      <c r="G891" s="53" t="s">
        <v>436</v>
      </c>
      <c r="H891" s="50" t="s">
        <v>1258</v>
      </c>
    </row>
    <row r="892" customFormat="false" ht="12.8" hidden="false" customHeight="false" outlineLevel="0" collapsed="false">
      <c r="A892" s="50" t="s">
        <v>3234</v>
      </c>
      <c r="B892" s="50" t="s">
        <v>1527</v>
      </c>
      <c r="C892" s="50" t="n">
        <v>0.008</v>
      </c>
      <c r="D892" s="50" t="s">
        <v>3235</v>
      </c>
      <c r="E892" s="50" t="s">
        <v>440</v>
      </c>
      <c r="F892" s="50" t="s">
        <v>1710</v>
      </c>
      <c r="G892" s="53" t="s">
        <v>436</v>
      </c>
      <c r="H892" s="50" t="s">
        <v>1258</v>
      </c>
    </row>
    <row r="893" customFormat="false" ht="12.8" hidden="false" customHeight="false" outlineLevel="0" collapsed="false">
      <c r="A893" s="50" t="s">
        <v>3236</v>
      </c>
      <c r="B893" s="50" t="s">
        <v>1530</v>
      </c>
      <c r="C893" s="50" t="n">
        <v>0.005</v>
      </c>
      <c r="D893" s="50" t="s">
        <v>3237</v>
      </c>
      <c r="E893" s="50" t="s">
        <v>434</v>
      </c>
      <c r="F893" s="50" t="s">
        <v>1710</v>
      </c>
      <c r="G893" s="53" t="s">
        <v>436</v>
      </c>
      <c r="H893" s="50" t="s">
        <v>1258</v>
      </c>
    </row>
    <row r="894" customFormat="false" ht="12.8" hidden="false" customHeight="false" outlineLevel="0" collapsed="false">
      <c r="A894" s="50" t="s">
        <v>3238</v>
      </c>
      <c r="B894" s="50" t="s">
        <v>1533</v>
      </c>
      <c r="C894" s="50" t="n">
        <v>0.01</v>
      </c>
      <c r="D894" s="50" t="s">
        <v>3239</v>
      </c>
      <c r="E894" s="50" t="s">
        <v>440</v>
      </c>
      <c r="F894" s="50" t="s">
        <v>1710</v>
      </c>
      <c r="G894" s="53" t="s">
        <v>436</v>
      </c>
      <c r="H894" s="50" t="s">
        <v>1258</v>
      </c>
    </row>
    <row r="895" customFormat="false" ht="12.8" hidden="false" customHeight="false" outlineLevel="0" collapsed="false">
      <c r="A895" s="50" t="s">
        <v>3240</v>
      </c>
      <c r="B895" s="50" t="s">
        <v>1536</v>
      </c>
      <c r="C895" s="50" t="n">
        <v>0.006</v>
      </c>
      <c r="D895" s="50" t="s">
        <v>3241</v>
      </c>
      <c r="E895" s="50" t="s">
        <v>434</v>
      </c>
      <c r="F895" s="50" t="s">
        <v>1710</v>
      </c>
      <c r="G895" s="53" t="s">
        <v>436</v>
      </c>
      <c r="H895" s="50" t="s">
        <v>1258</v>
      </c>
    </row>
    <row r="896" customFormat="false" ht="12.8" hidden="false" customHeight="false" outlineLevel="0" collapsed="false">
      <c r="A896" s="50" t="s">
        <v>3242</v>
      </c>
      <c r="B896" s="50" t="s">
        <v>1539</v>
      </c>
      <c r="C896" s="50" t="n">
        <v>0.006</v>
      </c>
      <c r="D896" s="50" t="s">
        <v>3243</v>
      </c>
      <c r="E896" s="50" t="s">
        <v>434</v>
      </c>
      <c r="F896" s="50" t="s">
        <v>1710</v>
      </c>
      <c r="G896" s="53" t="s">
        <v>436</v>
      </c>
      <c r="H896" s="50" t="s">
        <v>1258</v>
      </c>
    </row>
    <row r="897" customFormat="false" ht="12.8" hidden="false" customHeight="false" outlineLevel="0" collapsed="false">
      <c r="A897" s="50" t="s">
        <v>3244</v>
      </c>
      <c r="B897" s="50" t="s">
        <v>1542</v>
      </c>
      <c r="C897" s="50" t="n">
        <v>0.012</v>
      </c>
      <c r="D897" s="50" t="s">
        <v>3245</v>
      </c>
      <c r="E897" s="50" t="s">
        <v>502</v>
      </c>
      <c r="F897" s="50" t="s">
        <v>1710</v>
      </c>
      <c r="G897" s="53" t="s">
        <v>436</v>
      </c>
      <c r="H897" s="50" t="s">
        <v>1258</v>
      </c>
    </row>
    <row r="898" customFormat="false" ht="12.8" hidden="false" customHeight="false" outlineLevel="0" collapsed="false">
      <c r="A898" s="50" t="s">
        <v>3246</v>
      </c>
      <c r="B898" s="50" t="s">
        <v>1545</v>
      </c>
      <c r="C898" s="50" t="n">
        <v>0.015</v>
      </c>
      <c r="D898" s="50" t="s">
        <v>3247</v>
      </c>
      <c r="E898" s="50" t="s">
        <v>502</v>
      </c>
      <c r="F898" s="50" t="s">
        <v>1710</v>
      </c>
      <c r="G898" s="53" t="s">
        <v>436</v>
      </c>
      <c r="H898" s="50" t="s">
        <v>1258</v>
      </c>
    </row>
    <row r="899" customFormat="false" ht="12.8" hidden="false" customHeight="false" outlineLevel="0" collapsed="false">
      <c r="A899" s="50" t="s">
        <v>3248</v>
      </c>
      <c r="B899" s="50" t="s">
        <v>1548</v>
      </c>
      <c r="C899" s="50" t="n">
        <v>0.01</v>
      </c>
      <c r="D899" s="50" t="s">
        <v>3249</v>
      </c>
      <c r="E899" s="50" t="s">
        <v>440</v>
      </c>
      <c r="F899" s="50" t="s">
        <v>1710</v>
      </c>
      <c r="G899" s="53" t="s">
        <v>436</v>
      </c>
      <c r="H899" s="50" t="s">
        <v>1258</v>
      </c>
    </row>
    <row r="900" customFormat="false" ht="12.8" hidden="false" customHeight="false" outlineLevel="0" collapsed="false">
      <c r="A900" s="50" t="s">
        <v>3250</v>
      </c>
      <c r="B900" s="50" t="s">
        <v>1551</v>
      </c>
      <c r="C900" s="50" t="n">
        <v>0.006</v>
      </c>
      <c r="D900" s="50" t="s">
        <v>3251</v>
      </c>
      <c r="E900" s="50" t="s">
        <v>434</v>
      </c>
      <c r="F900" s="50" t="s">
        <v>1710</v>
      </c>
      <c r="G900" s="53" t="s">
        <v>436</v>
      </c>
      <c r="H900" s="50" t="s">
        <v>1258</v>
      </c>
    </row>
    <row r="901" customFormat="false" ht="12.8" hidden="false" customHeight="false" outlineLevel="0" collapsed="false">
      <c r="A901" s="50" t="s">
        <v>3252</v>
      </c>
      <c r="B901" s="50" t="s">
        <v>3253</v>
      </c>
      <c r="C901" s="50" t="n">
        <v>0.95</v>
      </c>
      <c r="D901" s="50" t="s">
        <v>3254</v>
      </c>
      <c r="E901" s="50" t="s">
        <v>434</v>
      </c>
      <c r="F901" s="50" t="s">
        <v>1710</v>
      </c>
      <c r="G901" s="53" t="s">
        <v>436</v>
      </c>
      <c r="H901" s="50" t="s">
        <v>1258</v>
      </c>
    </row>
    <row r="902" customFormat="false" ht="12.8" hidden="false" customHeight="false" outlineLevel="0" collapsed="false">
      <c r="A902" s="50" t="s">
        <v>3255</v>
      </c>
      <c r="B902" s="50" t="s">
        <v>3256</v>
      </c>
      <c r="C902" s="50" t="n">
        <v>0.8</v>
      </c>
      <c r="D902" s="50" t="s">
        <v>3257</v>
      </c>
      <c r="E902" s="50" t="s">
        <v>502</v>
      </c>
      <c r="F902" s="50" t="s">
        <v>1710</v>
      </c>
      <c r="G902" s="53" t="s">
        <v>436</v>
      </c>
      <c r="H902" s="50" t="s">
        <v>1258</v>
      </c>
    </row>
    <row r="903" customFormat="false" ht="12.8" hidden="false" customHeight="false" outlineLevel="0" collapsed="false">
      <c r="A903" s="50" t="s">
        <v>3258</v>
      </c>
      <c r="B903" s="50" t="s">
        <v>3259</v>
      </c>
      <c r="C903" s="50" t="n">
        <v>0.85</v>
      </c>
      <c r="D903" s="50" t="s">
        <v>3260</v>
      </c>
      <c r="E903" s="50" t="s">
        <v>502</v>
      </c>
      <c r="F903" s="50" t="s">
        <v>1710</v>
      </c>
      <c r="G903" s="53" t="s">
        <v>436</v>
      </c>
      <c r="H903" s="50" t="s">
        <v>1258</v>
      </c>
    </row>
    <row r="904" customFormat="false" ht="12.8" hidden="false" customHeight="false" outlineLevel="0" collapsed="false">
      <c r="A904" s="50" t="s">
        <v>3261</v>
      </c>
      <c r="B904" s="50" t="s">
        <v>3262</v>
      </c>
      <c r="C904" s="50" t="n">
        <v>0.95</v>
      </c>
      <c r="D904" s="50" t="s">
        <v>3263</v>
      </c>
      <c r="E904" s="50" t="s">
        <v>434</v>
      </c>
      <c r="F904" s="50" t="s">
        <v>1710</v>
      </c>
      <c r="G904" s="53" t="s">
        <v>436</v>
      </c>
      <c r="H904" s="50" t="s">
        <v>1258</v>
      </c>
    </row>
    <row r="905" customFormat="false" ht="12.8" hidden="false" customHeight="false" outlineLevel="0" collapsed="false">
      <c r="A905" s="50" t="s">
        <v>3264</v>
      </c>
      <c r="B905" s="50" t="s">
        <v>3265</v>
      </c>
      <c r="C905" s="50" t="n">
        <v>0.85</v>
      </c>
      <c r="D905" s="50" t="s">
        <v>3266</v>
      </c>
      <c r="E905" s="50" t="s">
        <v>440</v>
      </c>
      <c r="F905" s="50" t="s">
        <v>1710</v>
      </c>
      <c r="G905" s="53" t="s">
        <v>436</v>
      </c>
      <c r="H905" s="50" t="s">
        <v>1258</v>
      </c>
    </row>
    <row r="906" customFormat="false" ht="12.8" hidden="false" customHeight="false" outlineLevel="0" collapsed="false">
      <c r="A906" s="50" t="s">
        <v>3267</v>
      </c>
      <c r="B906" s="50" t="s">
        <v>3268</v>
      </c>
      <c r="C906" s="50" t="n">
        <v>0.9</v>
      </c>
      <c r="D906" s="50" t="s">
        <v>3269</v>
      </c>
      <c r="E906" s="50" t="s">
        <v>434</v>
      </c>
      <c r="F906" s="50" t="s">
        <v>1710</v>
      </c>
      <c r="G906" s="53" t="s">
        <v>436</v>
      </c>
      <c r="H906" s="50" t="s">
        <v>1258</v>
      </c>
    </row>
    <row r="907" customFormat="false" ht="12.8" hidden="false" customHeight="false" outlineLevel="0" collapsed="false">
      <c r="A907" s="50" t="s">
        <v>3270</v>
      </c>
      <c r="B907" s="50" t="s">
        <v>3271</v>
      </c>
      <c r="C907" s="50" t="n">
        <v>0.9</v>
      </c>
      <c r="D907" s="50" t="s">
        <v>3272</v>
      </c>
      <c r="E907" s="50" t="s">
        <v>434</v>
      </c>
      <c r="F907" s="50" t="s">
        <v>1710</v>
      </c>
      <c r="G907" s="53" t="s">
        <v>436</v>
      </c>
      <c r="H907" s="50" t="s">
        <v>1258</v>
      </c>
    </row>
    <row r="908" customFormat="false" ht="12.8" hidden="false" customHeight="false" outlineLevel="0" collapsed="false">
      <c r="A908" s="50" t="s">
        <v>3273</v>
      </c>
      <c r="B908" s="50" t="s">
        <v>3274</v>
      </c>
      <c r="C908" s="50" t="n">
        <v>0.9</v>
      </c>
      <c r="D908" s="50" t="s">
        <v>3275</v>
      </c>
      <c r="E908" s="50" t="s">
        <v>434</v>
      </c>
      <c r="F908" s="50" t="s">
        <v>1710</v>
      </c>
      <c r="G908" s="53" t="s">
        <v>436</v>
      </c>
      <c r="H908" s="50" t="s">
        <v>1258</v>
      </c>
    </row>
    <row r="909" customFormat="false" ht="12.8" hidden="false" customHeight="false" outlineLevel="0" collapsed="false">
      <c r="A909" s="50" t="s">
        <v>3276</v>
      </c>
      <c r="B909" s="50" t="s">
        <v>3277</v>
      </c>
      <c r="C909" s="50" t="n">
        <v>0.9</v>
      </c>
      <c r="D909" s="50" t="s">
        <v>3278</v>
      </c>
      <c r="E909" s="50" t="s">
        <v>434</v>
      </c>
      <c r="F909" s="50" t="s">
        <v>1710</v>
      </c>
      <c r="G909" s="53" t="s">
        <v>436</v>
      </c>
      <c r="H909" s="50" t="s">
        <v>1258</v>
      </c>
    </row>
    <row r="910" customFormat="false" ht="12.8" hidden="false" customHeight="false" outlineLevel="0" collapsed="false">
      <c r="A910" s="50" t="s">
        <v>3279</v>
      </c>
      <c r="B910" s="50" t="s">
        <v>3280</v>
      </c>
      <c r="C910" s="50" t="n">
        <v>0.85</v>
      </c>
      <c r="D910" s="50" t="s">
        <v>3281</v>
      </c>
      <c r="E910" s="50" t="s">
        <v>440</v>
      </c>
      <c r="F910" s="50" t="s">
        <v>1710</v>
      </c>
      <c r="G910" s="53" t="s">
        <v>436</v>
      </c>
      <c r="H910" s="50" t="s">
        <v>1258</v>
      </c>
    </row>
    <row r="911" customFormat="false" ht="12.8" hidden="false" customHeight="false" outlineLevel="0" collapsed="false">
      <c r="A911" s="50" t="s">
        <v>3282</v>
      </c>
      <c r="B911" s="50" t="s">
        <v>3283</v>
      </c>
      <c r="C911" s="50" t="n">
        <v>0.85</v>
      </c>
      <c r="D911" s="50" t="s">
        <v>3284</v>
      </c>
      <c r="E911" s="50" t="s">
        <v>440</v>
      </c>
      <c r="F911" s="50" t="s">
        <v>1710</v>
      </c>
      <c r="G911" s="53" t="s">
        <v>436</v>
      </c>
      <c r="H911" s="50" t="s">
        <v>1258</v>
      </c>
    </row>
    <row r="912" customFormat="false" ht="12.8" hidden="false" customHeight="false" outlineLevel="0" collapsed="false">
      <c r="A912" s="50" t="s">
        <v>3285</v>
      </c>
      <c r="B912" s="50" t="s">
        <v>3286</v>
      </c>
      <c r="C912" s="50" t="n">
        <v>0.9</v>
      </c>
      <c r="D912" s="50" t="s">
        <v>3287</v>
      </c>
      <c r="E912" s="50" t="s">
        <v>434</v>
      </c>
      <c r="F912" s="50" t="s">
        <v>1710</v>
      </c>
      <c r="G912" s="53" t="s">
        <v>436</v>
      </c>
      <c r="H912" s="50" t="s">
        <v>1258</v>
      </c>
    </row>
    <row r="913" customFormat="false" ht="12.8" hidden="false" customHeight="false" outlineLevel="0" collapsed="false">
      <c r="A913" s="50" t="s">
        <v>3288</v>
      </c>
      <c r="B913" s="50" t="s">
        <v>3289</v>
      </c>
      <c r="C913" s="50" t="n">
        <v>0.9</v>
      </c>
      <c r="D913" s="50" t="s">
        <v>3290</v>
      </c>
      <c r="E913" s="50" t="s">
        <v>434</v>
      </c>
      <c r="F913" s="50" t="s">
        <v>1710</v>
      </c>
      <c r="G913" s="53" t="s">
        <v>436</v>
      </c>
      <c r="H913" s="50" t="s">
        <v>1258</v>
      </c>
    </row>
    <row r="914" customFormat="false" ht="12.8" hidden="false" customHeight="false" outlineLevel="0" collapsed="false">
      <c r="A914" s="50" t="s">
        <v>3291</v>
      </c>
      <c r="B914" s="50" t="s">
        <v>3292</v>
      </c>
      <c r="C914" s="50" t="n">
        <v>0.9</v>
      </c>
      <c r="D914" s="50" t="s">
        <v>3293</v>
      </c>
      <c r="E914" s="50" t="s">
        <v>434</v>
      </c>
      <c r="F914" s="50" t="s">
        <v>1710</v>
      </c>
      <c r="G914" s="53" t="s">
        <v>436</v>
      </c>
      <c r="H914" s="50" t="s">
        <v>1258</v>
      </c>
    </row>
    <row r="915" customFormat="false" ht="12.8" hidden="false" customHeight="false" outlineLevel="0" collapsed="false">
      <c r="A915" s="50" t="s">
        <v>3294</v>
      </c>
      <c r="B915" s="50" t="s">
        <v>3295</v>
      </c>
      <c r="C915" s="50" t="n">
        <v>0.95</v>
      </c>
      <c r="D915" s="50" t="s">
        <v>3296</v>
      </c>
      <c r="E915" s="50" t="s">
        <v>434</v>
      </c>
      <c r="F915" s="50" t="s">
        <v>1710</v>
      </c>
      <c r="G915" s="53" t="s">
        <v>436</v>
      </c>
      <c r="H915" s="50" t="s">
        <v>1258</v>
      </c>
    </row>
    <row r="916" customFormat="false" ht="12.8" hidden="false" customHeight="false" outlineLevel="0" collapsed="false">
      <c r="A916" s="50" t="s">
        <v>3297</v>
      </c>
      <c r="B916" s="50" t="s">
        <v>3298</v>
      </c>
      <c r="C916" s="50" t="n">
        <v>0.85</v>
      </c>
      <c r="D916" s="50" t="s">
        <v>3299</v>
      </c>
      <c r="E916" s="50" t="s">
        <v>440</v>
      </c>
      <c r="F916" s="50" t="s">
        <v>1710</v>
      </c>
      <c r="G916" s="53" t="s">
        <v>436</v>
      </c>
      <c r="H916" s="50" t="s">
        <v>1258</v>
      </c>
    </row>
    <row r="917" customFormat="false" ht="12.8" hidden="false" customHeight="false" outlineLevel="0" collapsed="false">
      <c r="A917" s="50" t="s">
        <v>3300</v>
      </c>
      <c r="B917" s="50" t="s">
        <v>3301</v>
      </c>
      <c r="C917" s="50" t="n">
        <v>0.95</v>
      </c>
      <c r="D917" s="50" t="s">
        <v>3302</v>
      </c>
      <c r="E917" s="50" t="s">
        <v>434</v>
      </c>
      <c r="F917" s="50" t="s">
        <v>1710</v>
      </c>
      <c r="G917" s="53" t="s">
        <v>436</v>
      </c>
      <c r="H917" s="50" t="s">
        <v>1258</v>
      </c>
    </row>
    <row r="918" customFormat="false" ht="12.8" hidden="false" customHeight="false" outlineLevel="0" collapsed="false">
      <c r="A918" s="50" t="s">
        <v>3303</v>
      </c>
      <c r="B918" s="50" t="s">
        <v>3304</v>
      </c>
      <c r="C918" s="50" t="n">
        <v>0.85</v>
      </c>
      <c r="D918" s="50" t="s">
        <v>3305</v>
      </c>
      <c r="E918" s="50" t="s">
        <v>440</v>
      </c>
      <c r="F918" s="50" t="s">
        <v>1710</v>
      </c>
      <c r="G918" s="53" t="s">
        <v>436</v>
      </c>
      <c r="H918" s="50" t="s">
        <v>1258</v>
      </c>
    </row>
    <row r="919" customFormat="false" ht="12.8" hidden="false" customHeight="false" outlineLevel="0" collapsed="false">
      <c r="A919" s="50" t="s">
        <v>3306</v>
      </c>
      <c r="B919" s="50" t="s">
        <v>3307</v>
      </c>
      <c r="C919" s="50" t="n">
        <v>0.9</v>
      </c>
      <c r="D919" s="50" t="s">
        <v>3308</v>
      </c>
      <c r="E919" s="50" t="s">
        <v>434</v>
      </c>
      <c r="F919" s="50" t="s">
        <v>1710</v>
      </c>
      <c r="G919" s="53" t="s">
        <v>436</v>
      </c>
      <c r="H919" s="50" t="s">
        <v>1258</v>
      </c>
    </row>
    <row r="920" customFormat="false" ht="12.8" hidden="false" customHeight="false" outlineLevel="0" collapsed="false">
      <c r="A920" s="50" t="s">
        <v>3309</v>
      </c>
      <c r="B920" s="50" t="s">
        <v>3310</v>
      </c>
      <c r="C920" s="50" t="n">
        <v>0.9</v>
      </c>
      <c r="D920" s="50" t="s">
        <v>3311</v>
      </c>
      <c r="E920" s="50" t="s">
        <v>434</v>
      </c>
      <c r="F920" s="50" t="s">
        <v>1710</v>
      </c>
      <c r="G920" s="53" t="s">
        <v>436</v>
      </c>
      <c r="H920" s="50" t="s">
        <v>1258</v>
      </c>
    </row>
    <row r="921" customFormat="false" ht="12.8" hidden="false" customHeight="false" outlineLevel="0" collapsed="false">
      <c r="A921" s="50" t="s">
        <v>3312</v>
      </c>
      <c r="B921" s="50" t="s">
        <v>3313</v>
      </c>
      <c r="C921" s="50" t="n">
        <v>0.8</v>
      </c>
      <c r="D921" s="50" t="s">
        <v>3314</v>
      </c>
      <c r="E921" s="50" t="s">
        <v>502</v>
      </c>
      <c r="F921" s="50" t="s">
        <v>1710</v>
      </c>
      <c r="G921" s="53" t="s">
        <v>436</v>
      </c>
      <c r="H921" s="50" t="s">
        <v>1258</v>
      </c>
    </row>
    <row r="922" customFormat="false" ht="12.8" hidden="false" customHeight="false" outlineLevel="0" collapsed="false">
      <c r="A922" s="50" t="s">
        <v>3315</v>
      </c>
      <c r="B922" s="50" t="s">
        <v>3316</v>
      </c>
      <c r="C922" s="50" t="n">
        <v>0.8</v>
      </c>
      <c r="D922" s="50" t="s">
        <v>3317</v>
      </c>
      <c r="E922" s="50" t="s">
        <v>502</v>
      </c>
      <c r="F922" s="50" t="s">
        <v>1710</v>
      </c>
      <c r="G922" s="53" t="s">
        <v>436</v>
      </c>
      <c r="H922" s="50" t="s">
        <v>1258</v>
      </c>
    </row>
    <row r="923" customFormat="false" ht="12.8" hidden="false" customHeight="false" outlineLevel="0" collapsed="false">
      <c r="A923" s="50" t="s">
        <v>3318</v>
      </c>
      <c r="B923" s="50" t="s">
        <v>3319</v>
      </c>
      <c r="C923" s="50" t="n">
        <v>0.85</v>
      </c>
      <c r="D923" s="50" t="s">
        <v>3320</v>
      </c>
      <c r="E923" s="50" t="s">
        <v>440</v>
      </c>
      <c r="F923" s="50" t="s">
        <v>1710</v>
      </c>
      <c r="G923" s="53" t="s">
        <v>436</v>
      </c>
      <c r="H923" s="50" t="s">
        <v>1258</v>
      </c>
    </row>
    <row r="924" customFormat="false" ht="12.8" hidden="false" customHeight="false" outlineLevel="0" collapsed="false">
      <c r="A924" s="50" t="s">
        <v>3321</v>
      </c>
      <c r="B924" s="50" t="s">
        <v>3322</v>
      </c>
      <c r="C924" s="50" t="n">
        <v>0.9</v>
      </c>
      <c r="D924" s="50" t="s">
        <v>3323</v>
      </c>
      <c r="E924" s="50" t="s">
        <v>434</v>
      </c>
      <c r="F924" s="50" t="s">
        <v>1710</v>
      </c>
      <c r="G924" s="53" t="s">
        <v>436</v>
      </c>
      <c r="H924" s="50" t="s">
        <v>1258</v>
      </c>
    </row>
    <row r="925" customFormat="false" ht="12.8" hidden="false" customHeight="false" outlineLevel="0" collapsed="false">
      <c r="A925" s="50" t="s">
        <v>3324</v>
      </c>
      <c r="B925" s="50" t="s">
        <v>3325</v>
      </c>
      <c r="C925" s="50" t="n">
        <v>0</v>
      </c>
      <c r="D925" s="50" t="s">
        <v>3326</v>
      </c>
      <c r="E925" s="50" t="s">
        <v>434</v>
      </c>
      <c r="F925" s="50" t="s">
        <v>487</v>
      </c>
      <c r="G925" s="53" t="s">
        <v>436</v>
      </c>
      <c r="H925" s="50" t="s">
        <v>1258</v>
      </c>
    </row>
    <row r="926" customFormat="false" ht="12.8" hidden="false" customHeight="false" outlineLevel="0" collapsed="false">
      <c r="A926" s="50" t="s">
        <v>3327</v>
      </c>
      <c r="B926" s="50" t="s">
        <v>3328</v>
      </c>
      <c r="C926" s="50" t="n">
        <v>0.97</v>
      </c>
      <c r="D926" s="50" t="s">
        <v>3329</v>
      </c>
      <c r="E926" s="50" t="s">
        <v>434</v>
      </c>
      <c r="F926" s="50" t="s">
        <v>1782</v>
      </c>
      <c r="G926" s="53" t="s">
        <v>436</v>
      </c>
      <c r="H926" s="50" t="s">
        <v>1258</v>
      </c>
    </row>
    <row r="927" customFormat="false" ht="12.8" hidden="false" customHeight="false" outlineLevel="0" collapsed="false">
      <c r="A927" s="50" t="s">
        <v>3330</v>
      </c>
      <c r="B927" s="50" t="s">
        <v>3331</v>
      </c>
      <c r="C927" s="50" t="n">
        <v>2080</v>
      </c>
      <c r="D927" s="50" t="s">
        <v>3332</v>
      </c>
      <c r="E927" s="50" t="s">
        <v>434</v>
      </c>
      <c r="F927" s="50" t="s">
        <v>3333</v>
      </c>
      <c r="G927" s="53" t="s">
        <v>436</v>
      </c>
      <c r="H927" s="50" t="s">
        <v>3334</v>
      </c>
    </row>
    <row r="928" customFormat="false" ht="12.8" hidden="false" customHeight="false" outlineLevel="0" collapsed="false">
      <c r="A928" s="50" t="s">
        <v>3335</v>
      </c>
      <c r="B928" s="50" t="s">
        <v>3336</v>
      </c>
      <c r="C928" s="50" t="n">
        <v>1900</v>
      </c>
      <c r="D928" s="50" t="s">
        <v>3337</v>
      </c>
      <c r="E928" s="50" t="s">
        <v>440</v>
      </c>
      <c r="F928" s="50" t="s">
        <v>3333</v>
      </c>
      <c r="G928" s="53" t="s">
        <v>436</v>
      </c>
      <c r="H928" s="50" t="s">
        <v>3338</v>
      </c>
    </row>
    <row r="929" customFormat="false" ht="12.8" hidden="false" customHeight="false" outlineLevel="0" collapsed="false">
      <c r="A929" s="50" t="s">
        <v>3339</v>
      </c>
      <c r="B929" s="50" t="s">
        <v>3340</v>
      </c>
      <c r="C929" s="50" t="n">
        <v>2100</v>
      </c>
      <c r="D929" s="50" t="s">
        <v>3341</v>
      </c>
      <c r="E929" s="50" t="s">
        <v>434</v>
      </c>
      <c r="F929" s="50" t="s">
        <v>3333</v>
      </c>
      <c r="G929" s="53" t="s">
        <v>436</v>
      </c>
      <c r="H929" s="50" t="s">
        <v>3342</v>
      </c>
    </row>
    <row r="930" customFormat="false" ht="12.8" hidden="false" customHeight="false" outlineLevel="0" collapsed="false">
      <c r="A930" s="50" t="s">
        <v>3343</v>
      </c>
      <c r="B930" s="50" t="s">
        <v>3344</v>
      </c>
      <c r="C930" s="50" t="n">
        <v>2080</v>
      </c>
      <c r="D930" s="50" t="s">
        <v>3345</v>
      </c>
      <c r="E930" s="50" t="s">
        <v>434</v>
      </c>
      <c r="F930" s="50" t="s">
        <v>3333</v>
      </c>
      <c r="G930" s="53" t="s">
        <v>436</v>
      </c>
      <c r="H930" s="50" t="s">
        <v>1258</v>
      </c>
    </row>
    <row r="931" customFormat="false" ht="12.8" hidden="false" customHeight="false" outlineLevel="0" collapsed="false">
      <c r="A931" s="50" t="s">
        <v>3346</v>
      </c>
      <c r="B931" s="50" t="s">
        <v>3347</v>
      </c>
      <c r="C931" s="50" t="n">
        <v>2050</v>
      </c>
      <c r="D931" s="50" t="s">
        <v>3348</v>
      </c>
      <c r="E931" s="50" t="s">
        <v>440</v>
      </c>
      <c r="F931" s="50" t="s">
        <v>3333</v>
      </c>
      <c r="G931" s="53" t="s">
        <v>436</v>
      </c>
      <c r="H931" s="50" t="s">
        <v>1258</v>
      </c>
    </row>
    <row r="932" customFormat="false" ht="12.8" hidden="false" customHeight="false" outlineLevel="0" collapsed="false">
      <c r="A932" s="50" t="s">
        <v>3349</v>
      </c>
      <c r="B932" s="50" t="s">
        <v>3350</v>
      </c>
      <c r="C932" s="50" t="n">
        <v>2000</v>
      </c>
      <c r="D932" s="50" t="s">
        <v>3351</v>
      </c>
      <c r="E932" s="50" t="s">
        <v>434</v>
      </c>
      <c r="F932" s="50" t="s">
        <v>3333</v>
      </c>
      <c r="G932" s="53" t="s">
        <v>436</v>
      </c>
      <c r="H932" s="50" t="s">
        <v>1258</v>
      </c>
    </row>
    <row r="933" customFormat="false" ht="12.8" hidden="false" customHeight="false" outlineLevel="0" collapsed="false">
      <c r="A933" s="50" t="s">
        <v>3352</v>
      </c>
      <c r="B933" s="50" t="s">
        <v>3353</v>
      </c>
      <c r="C933" s="50" t="n">
        <v>2000</v>
      </c>
      <c r="D933" s="50" t="s">
        <v>3354</v>
      </c>
      <c r="E933" s="50" t="s">
        <v>434</v>
      </c>
      <c r="F933" s="50" t="s">
        <v>3333</v>
      </c>
      <c r="G933" s="53" t="s">
        <v>436</v>
      </c>
      <c r="H933" s="50" t="s">
        <v>1258</v>
      </c>
    </row>
    <row r="934" customFormat="false" ht="12.8" hidden="false" customHeight="false" outlineLevel="0" collapsed="false">
      <c r="A934" s="50" t="s">
        <v>3355</v>
      </c>
      <c r="B934" s="50" t="s">
        <v>3356</v>
      </c>
      <c r="C934" s="50" t="n">
        <v>2100</v>
      </c>
      <c r="D934" s="50" t="s">
        <v>3357</v>
      </c>
      <c r="E934" s="50" t="s">
        <v>434</v>
      </c>
      <c r="F934" s="50" t="s">
        <v>3333</v>
      </c>
      <c r="G934" s="53" t="s">
        <v>436</v>
      </c>
      <c r="H934" s="50" t="s">
        <v>1258</v>
      </c>
    </row>
    <row r="935" customFormat="false" ht="12.8" hidden="false" customHeight="false" outlineLevel="0" collapsed="false">
      <c r="A935" s="50" t="s">
        <v>3358</v>
      </c>
      <c r="B935" s="50" t="s">
        <v>3359</v>
      </c>
      <c r="C935" s="50" t="n">
        <v>2050</v>
      </c>
      <c r="D935" s="50" t="s">
        <v>3360</v>
      </c>
      <c r="E935" s="50" t="s">
        <v>434</v>
      </c>
      <c r="F935" s="50" t="s">
        <v>3333</v>
      </c>
      <c r="G935" s="53" t="s">
        <v>436</v>
      </c>
      <c r="H935" s="50" t="s">
        <v>1258</v>
      </c>
    </row>
    <row r="936" customFormat="false" ht="12.8" hidden="false" customHeight="false" outlineLevel="0" collapsed="false">
      <c r="A936" s="50" t="s">
        <v>3361</v>
      </c>
      <c r="B936" s="50" t="s">
        <v>3362</v>
      </c>
      <c r="C936" s="50" t="n">
        <v>1800</v>
      </c>
      <c r="D936" s="50" t="s">
        <v>3363</v>
      </c>
      <c r="E936" s="50" t="s">
        <v>440</v>
      </c>
      <c r="F936" s="50" t="s">
        <v>3333</v>
      </c>
      <c r="G936" s="53" t="s">
        <v>436</v>
      </c>
      <c r="H936" s="50" t="s">
        <v>3364</v>
      </c>
    </row>
    <row r="937" customFormat="false" ht="12.8" hidden="false" customHeight="false" outlineLevel="0" collapsed="false">
      <c r="A937" s="50" t="s">
        <v>3365</v>
      </c>
      <c r="B937" s="50" t="s">
        <v>3366</v>
      </c>
      <c r="C937" s="50" t="n">
        <v>1750</v>
      </c>
      <c r="D937" s="50" t="s">
        <v>3367</v>
      </c>
      <c r="E937" s="50" t="s">
        <v>440</v>
      </c>
      <c r="F937" s="50" t="s">
        <v>3333</v>
      </c>
      <c r="G937" s="53" t="s">
        <v>436</v>
      </c>
      <c r="H937" s="50" t="s">
        <v>3364</v>
      </c>
    </row>
    <row r="938" customFormat="false" ht="12.8" hidden="false" customHeight="false" outlineLevel="0" collapsed="false">
      <c r="A938" s="50" t="s">
        <v>3368</v>
      </c>
      <c r="B938" s="50" t="s">
        <v>3369</v>
      </c>
      <c r="C938" s="50" t="n">
        <v>2000</v>
      </c>
      <c r="D938" s="50" t="s">
        <v>3370</v>
      </c>
      <c r="E938" s="50" t="s">
        <v>434</v>
      </c>
      <c r="F938" s="50" t="s">
        <v>3333</v>
      </c>
      <c r="G938" s="53" t="s">
        <v>436</v>
      </c>
      <c r="H938" s="50" t="s">
        <v>1258</v>
      </c>
    </row>
    <row r="939" customFormat="false" ht="12.8" hidden="false" customHeight="false" outlineLevel="0" collapsed="false">
      <c r="A939" s="50" t="s">
        <v>3371</v>
      </c>
      <c r="B939" s="50" t="s">
        <v>3372</v>
      </c>
      <c r="C939" s="50" t="n">
        <v>1950</v>
      </c>
      <c r="D939" s="50" t="s">
        <v>3373</v>
      </c>
      <c r="E939" s="50" t="s">
        <v>434</v>
      </c>
      <c r="F939" s="50" t="s">
        <v>3333</v>
      </c>
      <c r="G939" s="53" t="s">
        <v>436</v>
      </c>
      <c r="H939" s="50" t="s">
        <v>1258</v>
      </c>
    </row>
    <row r="940" customFormat="false" ht="12.8" hidden="false" customHeight="false" outlineLevel="0" collapsed="false">
      <c r="A940" s="50" t="s">
        <v>3374</v>
      </c>
      <c r="B940" s="50" t="s">
        <v>3375</v>
      </c>
      <c r="C940" s="50" t="n">
        <v>2080</v>
      </c>
      <c r="D940" s="50" t="s">
        <v>3376</v>
      </c>
      <c r="E940" s="50" t="s">
        <v>434</v>
      </c>
      <c r="F940" s="50" t="s">
        <v>3333</v>
      </c>
      <c r="G940" s="53" t="s">
        <v>436</v>
      </c>
      <c r="H940" s="50" t="s">
        <v>1258</v>
      </c>
    </row>
    <row r="941" customFormat="false" ht="12.8" hidden="false" customHeight="false" outlineLevel="0" collapsed="false">
      <c r="A941" s="50" t="s">
        <v>3377</v>
      </c>
      <c r="B941" s="50" t="s">
        <v>3378</v>
      </c>
      <c r="C941" s="50" t="n">
        <v>2080</v>
      </c>
      <c r="D941" s="50" t="s">
        <v>3379</v>
      </c>
      <c r="E941" s="50" t="s">
        <v>434</v>
      </c>
      <c r="F941" s="50" t="s">
        <v>3333</v>
      </c>
      <c r="G941" s="53" t="s">
        <v>436</v>
      </c>
      <c r="H941" s="50" t="s">
        <v>1258</v>
      </c>
    </row>
    <row r="942" customFormat="false" ht="12.8" hidden="false" customHeight="false" outlineLevel="0" collapsed="false">
      <c r="A942" s="50" t="s">
        <v>3380</v>
      </c>
      <c r="B942" s="50" t="s">
        <v>3381</v>
      </c>
      <c r="C942" s="50" t="n">
        <v>2000</v>
      </c>
      <c r="D942" s="50" t="s">
        <v>3382</v>
      </c>
      <c r="E942" s="50" t="s">
        <v>440</v>
      </c>
      <c r="F942" s="50" t="s">
        <v>3333</v>
      </c>
      <c r="G942" s="53" t="s">
        <v>436</v>
      </c>
      <c r="H942" s="50" t="s">
        <v>1258</v>
      </c>
    </row>
    <row r="943" customFormat="false" ht="12.8" hidden="false" customHeight="false" outlineLevel="0" collapsed="false">
      <c r="A943" s="50" t="s">
        <v>3383</v>
      </c>
      <c r="B943" s="50" t="s">
        <v>3384</v>
      </c>
      <c r="C943" s="50" t="n">
        <v>2150</v>
      </c>
      <c r="D943" s="50" t="s">
        <v>3385</v>
      </c>
      <c r="E943" s="50" t="s">
        <v>434</v>
      </c>
      <c r="F943" s="50" t="s">
        <v>3333</v>
      </c>
      <c r="G943" s="53" t="s">
        <v>436</v>
      </c>
      <c r="H943" s="50" t="s">
        <v>3386</v>
      </c>
    </row>
    <row r="944" customFormat="false" ht="12.8" hidden="false" customHeight="false" outlineLevel="0" collapsed="false">
      <c r="A944" s="50" t="s">
        <v>3387</v>
      </c>
      <c r="B944" s="50" t="s">
        <v>3388</v>
      </c>
      <c r="C944" s="50" t="n">
        <v>1800</v>
      </c>
      <c r="D944" s="50" t="s">
        <v>3389</v>
      </c>
      <c r="E944" s="50" t="s">
        <v>440</v>
      </c>
      <c r="F944" s="50" t="s">
        <v>3333</v>
      </c>
      <c r="G944" s="53" t="s">
        <v>436</v>
      </c>
      <c r="H944" s="50" t="s">
        <v>3390</v>
      </c>
    </row>
    <row r="945" customFormat="false" ht="12.8" hidden="false" customHeight="false" outlineLevel="0" collapsed="false">
      <c r="A945" s="50" t="s">
        <v>3391</v>
      </c>
      <c r="B945" s="50" t="s">
        <v>3392</v>
      </c>
      <c r="C945" s="50" t="n">
        <v>1950</v>
      </c>
      <c r="D945" s="50" t="s">
        <v>3393</v>
      </c>
      <c r="E945" s="50" t="s">
        <v>434</v>
      </c>
      <c r="F945" s="50" t="s">
        <v>3333</v>
      </c>
      <c r="G945" s="53" t="s">
        <v>436</v>
      </c>
      <c r="H945" s="50" t="s">
        <v>3394</v>
      </c>
    </row>
    <row r="946" customFormat="false" ht="12.8" hidden="false" customHeight="false" outlineLevel="0" collapsed="false">
      <c r="A946" s="50" t="s">
        <v>3395</v>
      </c>
      <c r="B946" s="50" t="s">
        <v>3396</v>
      </c>
      <c r="C946" s="50" t="n">
        <v>2000</v>
      </c>
      <c r="D946" s="50" t="s">
        <v>3397</v>
      </c>
      <c r="E946" s="50" t="s">
        <v>434</v>
      </c>
      <c r="F946" s="50" t="s">
        <v>3333</v>
      </c>
      <c r="G946" s="53" t="s">
        <v>436</v>
      </c>
      <c r="H946" s="50" t="s">
        <v>1258</v>
      </c>
    </row>
    <row r="947" customFormat="false" ht="12.8" hidden="false" customHeight="false" outlineLevel="0" collapsed="false">
      <c r="A947" s="50" t="s">
        <v>3398</v>
      </c>
      <c r="B947" s="50" t="s">
        <v>3399</v>
      </c>
      <c r="C947" s="50" t="n">
        <v>1700</v>
      </c>
      <c r="D947" s="50" t="s">
        <v>3400</v>
      </c>
      <c r="E947" s="50" t="s">
        <v>440</v>
      </c>
      <c r="F947" s="50" t="s">
        <v>3333</v>
      </c>
      <c r="G947" s="53" t="s">
        <v>436</v>
      </c>
      <c r="H947" s="50" t="s">
        <v>3401</v>
      </c>
    </row>
    <row r="948" customFormat="false" ht="12.8" hidden="false" customHeight="false" outlineLevel="0" collapsed="false">
      <c r="A948" s="50" t="s">
        <v>3402</v>
      </c>
      <c r="B948" s="50" t="s">
        <v>3403</v>
      </c>
      <c r="C948" s="50" t="n">
        <v>1600</v>
      </c>
      <c r="D948" s="50" t="s">
        <v>3404</v>
      </c>
      <c r="E948" s="50" t="s">
        <v>440</v>
      </c>
      <c r="F948" s="50" t="s">
        <v>3333</v>
      </c>
      <c r="G948" s="53" t="s">
        <v>436</v>
      </c>
      <c r="H948" s="50" t="s">
        <v>3405</v>
      </c>
    </row>
    <row r="949" customFormat="false" ht="12.8" hidden="false" customHeight="false" outlineLevel="0" collapsed="false">
      <c r="A949" s="50" t="s">
        <v>3406</v>
      </c>
      <c r="B949" s="50" t="s">
        <v>3407</v>
      </c>
      <c r="C949" s="50" t="n">
        <v>1850</v>
      </c>
      <c r="D949" s="50" t="s">
        <v>3408</v>
      </c>
      <c r="E949" s="50" t="s">
        <v>440</v>
      </c>
      <c r="F949" s="50" t="s">
        <v>3333</v>
      </c>
      <c r="G949" s="53" t="s">
        <v>436</v>
      </c>
      <c r="H949" s="50" t="s">
        <v>1258</v>
      </c>
    </row>
    <row r="950" customFormat="false" ht="12.8" hidden="false" customHeight="false" outlineLevel="0" collapsed="false">
      <c r="A950" s="50" t="s">
        <v>3409</v>
      </c>
      <c r="B950" s="50" t="s">
        <v>3410</v>
      </c>
      <c r="C950" s="50" t="n">
        <v>2080</v>
      </c>
      <c r="D950" s="50" t="s">
        <v>3411</v>
      </c>
      <c r="E950" s="50" t="s">
        <v>434</v>
      </c>
      <c r="F950" s="50" t="s">
        <v>3333</v>
      </c>
      <c r="G950" s="53" t="s">
        <v>436</v>
      </c>
      <c r="H950" s="50" t="s">
        <v>1258</v>
      </c>
    </row>
    <row r="951" customFormat="false" ht="12.8" hidden="false" customHeight="false" outlineLevel="0" collapsed="false">
      <c r="A951" s="50" t="s">
        <v>3412</v>
      </c>
      <c r="B951" s="50" t="s">
        <v>3413</v>
      </c>
      <c r="C951" s="50" t="n">
        <v>66477</v>
      </c>
      <c r="D951" s="50" t="s">
        <v>3414</v>
      </c>
      <c r="E951" s="50" t="s">
        <v>434</v>
      </c>
      <c r="F951" s="50" t="s">
        <v>3415</v>
      </c>
      <c r="G951" s="53" t="s">
        <v>436</v>
      </c>
      <c r="H951" s="50" t="s">
        <v>3416</v>
      </c>
    </row>
    <row r="952" customFormat="false" ht="12.8" hidden="false" customHeight="false" outlineLevel="0" collapsed="false">
      <c r="A952" s="50" t="s">
        <v>3417</v>
      </c>
      <c r="B952" s="50" t="s">
        <v>3418</v>
      </c>
      <c r="C952" s="50" t="n">
        <v>35150</v>
      </c>
      <c r="D952" s="50" t="s">
        <v>3419</v>
      </c>
      <c r="E952" s="50" t="s">
        <v>440</v>
      </c>
      <c r="F952" s="50" t="s">
        <v>3415</v>
      </c>
      <c r="G952" s="53" t="s">
        <v>436</v>
      </c>
      <c r="H952" s="50" t="s">
        <v>3420</v>
      </c>
    </row>
    <row r="953" customFormat="false" ht="12.8" hidden="false" customHeight="false" outlineLevel="0" collapsed="false">
      <c r="A953" s="50" t="s">
        <v>3421</v>
      </c>
      <c r="B953" s="50" t="s">
        <v>3422</v>
      </c>
      <c r="C953" s="50" t="n">
        <v>73500</v>
      </c>
      <c r="D953" s="50" t="s">
        <v>3423</v>
      </c>
      <c r="E953" s="50" t="s">
        <v>434</v>
      </c>
      <c r="F953" s="50" t="s">
        <v>3415</v>
      </c>
      <c r="G953" s="53" t="s">
        <v>436</v>
      </c>
      <c r="H953" s="50" t="s">
        <v>3424</v>
      </c>
    </row>
    <row r="954" customFormat="false" ht="12.8" hidden="false" customHeight="false" outlineLevel="0" collapsed="false">
      <c r="A954" s="50" t="s">
        <v>3425</v>
      </c>
      <c r="B954" s="50" t="s">
        <v>3426</v>
      </c>
      <c r="C954" s="50" t="n">
        <v>83200</v>
      </c>
      <c r="D954" s="50" t="s">
        <v>3427</v>
      </c>
      <c r="E954" s="50" t="s">
        <v>434</v>
      </c>
      <c r="F954" s="50" t="s">
        <v>3415</v>
      </c>
      <c r="G954" s="53" t="s">
        <v>436</v>
      </c>
      <c r="H954" s="50" t="s">
        <v>3428</v>
      </c>
    </row>
    <row r="955" customFormat="false" ht="12.8" hidden="false" customHeight="false" outlineLevel="0" collapsed="false">
      <c r="A955" s="50" t="s">
        <v>3429</v>
      </c>
      <c r="B955" s="50" t="s">
        <v>3430</v>
      </c>
      <c r="C955" s="50" t="n">
        <v>57400</v>
      </c>
      <c r="D955" s="50" t="s">
        <v>3431</v>
      </c>
      <c r="E955" s="50" t="s">
        <v>440</v>
      </c>
      <c r="F955" s="50" t="s">
        <v>3415</v>
      </c>
      <c r="G955" s="53" t="s">
        <v>436</v>
      </c>
      <c r="H955" s="50" t="s">
        <v>3432</v>
      </c>
    </row>
    <row r="956" customFormat="false" ht="12.8" hidden="false" customHeight="false" outlineLevel="0" collapsed="false">
      <c r="A956" s="50" t="s">
        <v>3433</v>
      </c>
      <c r="B956" s="50" t="s">
        <v>3434</v>
      </c>
      <c r="C956" s="50" t="n">
        <v>64000</v>
      </c>
      <c r="D956" s="50" t="s">
        <v>3435</v>
      </c>
      <c r="E956" s="50" t="s">
        <v>434</v>
      </c>
      <c r="F956" s="50" t="s">
        <v>3415</v>
      </c>
      <c r="G956" s="53" t="s">
        <v>436</v>
      </c>
      <c r="H956" s="50" t="s">
        <v>3436</v>
      </c>
    </row>
    <row r="957" customFormat="false" ht="12.8" hidden="false" customHeight="false" outlineLevel="0" collapsed="false">
      <c r="A957" s="50" t="s">
        <v>3437</v>
      </c>
      <c r="B957" s="50" t="s">
        <v>3438</v>
      </c>
      <c r="C957" s="50" t="n">
        <v>60000</v>
      </c>
      <c r="D957" s="50" t="s">
        <v>3439</v>
      </c>
      <c r="E957" s="50" t="s">
        <v>434</v>
      </c>
      <c r="F957" s="50" t="s">
        <v>3415</v>
      </c>
      <c r="G957" s="53" t="s">
        <v>436</v>
      </c>
      <c r="H957" s="50" t="s">
        <v>3440</v>
      </c>
    </row>
    <row r="958" customFormat="false" ht="12.8" hidden="false" customHeight="false" outlineLevel="0" collapsed="false">
      <c r="A958" s="50" t="s">
        <v>3441</v>
      </c>
      <c r="B958" s="50" t="s">
        <v>3442</v>
      </c>
      <c r="C958" s="50" t="n">
        <v>73500</v>
      </c>
      <c r="D958" s="50" t="s">
        <v>3443</v>
      </c>
      <c r="E958" s="50" t="s">
        <v>434</v>
      </c>
      <c r="F958" s="50" t="s">
        <v>3415</v>
      </c>
      <c r="G958" s="53" t="s">
        <v>436</v>
      </c>
      <c r="H958" s="50" t="s">
        <v>3424</v>
      </c>
    </row>
    <row r="959" customFormat="false" ht="12.8" hidden="false" customHeight="false" outlineLevel="0" collapsed="false">
      <c r="A959" s="50" t="s">
        <v>3444</v>
      </c>
      <c r="B959" s="50" t="s">
        <v>3445</v>
      </c>
      <c r="C959" s="50" t="n">
        <v>65600</v>
      </c>
      <c r="D959" s="50" t="s">
        <v>3446</v>
      </c>
      <c r="E959" s="50" t="s">
        <v>434</v>
      </c>
      <c r="F959" s="50" t="s">
        <v>3415</v>
      </c>
      <c r="G959" s="53" t="s">
        <v>436</v>
      </c>
      <c r="H959" s="50" t="s">
        <v>3447</v>
      </c>
    </row>
    <row r="960" customFormat="false" ht="12.8" hidden="false" customHeight="false" outlineLevel="0" collapsed="false">
      <c r="A960" s="50" t="s">
        <v>3448</v>
      </c>
      <c r="B960" s="50" t="s">
        <v>3449</v>
      </c>
      <c r="C960" s="50" t="n">
        <v>45000</v>
      </c>
      <c r="D960" s="50" t="s">
        <v>3450</v>
      </c>
      <c r="E960" s="50" t="s">
        <v>440</v>
      </c>
      <c r="F960" s="50" t="s">
        <v>3415</v>
      </c>
      <c r="G960" s="53" t="s">
        <v>436</v>
      </c>
      <c r="H960" s="50" t="s">
        <v>3451</v>
      </c>
    </row>
    <row r="961" customFormat="false" ht="12.8" hidden="false" customHeight="false" outlineLevel="0" collapsed="false">
      <c r="A961" s="50" t="s">
        <v>3452</v>
      </c>
      <c r="B961" s="50" t="s">
        <v>3453</v>
      </c>
      <c r="C961" s="50" t="n">
        <v>38500</v>
      </c>
      <c r="D961" s="50" t="s">
        <v>3454</v>
      </c>
      <c r="E961" s="50" t="s">
        <v>440</v>
      </c>
      <c r="F961" s="50" t="s">
        <v>3415</v>
      </c>
      <c r="G961" s="53" t="s">
        <v>436</v>
      </c>
      <c r="H961" s="50" t="s">
        <v>3455</v>
      </c>
    </row>
    <row r="962" customFormat="false" ht="12.8" hidden="false" customHeight="false" outlineLevel="0" collapsed="false">
      <c r="A962" s="50" t="s">
        <v>3456</v>
      </c>
      <c r="B962" s="50" t="s">
        <v>3457</v>
      </c>
      <c r="C962" s="50" t="n">
        <v>60000</v>
      </c>
      <c r="D962" s="50" t="s">
        <v>3458</v>
      </c>
      <c r="E962" s="50" t="s">
        <v>434</v>
      </c>
      <c r="F962" s="50" t="s">
        <v>3415</v>
      </c>
      <c r="G962" s="53" t="s">
        <v>436</v>
      </c>
      <c r="H962" s="50" t="s">
        <v>3440</v>
      </c>
    </row>
    <row r="963" customFormat="false" ht="12.8" hidden="false" customHeight="false" outlineLevel="0" collapsed="false">
      <c r="A963" s="50" t="s">
        <v>3459</v>
      </c>
      <c r="B963" s="50" t="s">
        <v>3460</v>
      </c>
      <c r="C963" s="50" t="n">
        <v>54600</v>
      </c>
      <c r="D963" s="50" t="s">
        <v>3461</v>
      </c>
      <c r="E963" s="50" t="s">
        <v>434</v>
      </c>
      <c r="F963" s="50" t="s">
        <v>3415</v>
      </c>
      <c r="G963" s="53" t="s">
        <v>436</v>
      </c>
      <c r="H963" s="50" t="s">
        <v>3462</v>
      </c>
    </row>
    <row r="964" customFormat="false" ht="12.8" hidden="false" customHeight="false" outlineLevel="0" collapsed="false">
      <c r="A964" s="50" t="s">
        <v>3463</v>
      </c>
      <c r="B964" s="50" t="s">
        <v>3464</v>
      </c>
      <c r="C964" s="50" t="n">
        <v>83200</v>
      </c>
      <c r="D964" s="50" t="s">
        <v>3465</v>
      </c>
      <c r="E964" s="50" t="s">
        <v>434</v>
      </c>
      <c r="F964" s="50" t="s">
        <v>3415</v>
      </c>
      <c r="G964" s="53" t="s">
        <v>436</v>
      </c>
      <c r="H964" s="50" t="s">
        <v>3428</v>
      </c>
    </row>
    <row r="965" customFormat="false" ht="12.8" hidden="false" customHeight="false" outlineLevel="0" collapsed="false">
      <c r="A965" s="50" t="s">
        <v>3466</v>
      </c>
      <c r="B965" s="50" t="s">
        <v>3467</v>
      </c>
      <c r="C965" s="50" t="n">
        <v>114400</v>
      </c>
      <c r="D965" s="50" t="s">
        <v>3468</v>
      </c>
      <c r="E965" s="50" t="s">
        <v>434</v>
      </c>
      <c r="F965" s="50" t="s">
        <v>3415</v>
      </c>
      <c r="G965" s="53" t="s">
        <v>436</v>
      </c>
      <c r="H965" s="50" t="s">
        <v>3469</v>
      </c>
    </row>
    <row r="966" customFormat="false" ht="12.8" hidden="false" customHeight="false" outlineLevel="0" collapsed="false">
      <c r="A966" s="50" t="s">
        <v>3470</v>
      </c>
      <c r="B966" s="50" t="s">
        <v>3471</v>
      </c>
      <c r="C966" s="50" t="n">
        <v>64000</v>
      </c>
      <c r="D966" s="50" t="s">
        <v>3472</v>
      </c>
      <c r="E966" s="50" t="s">
        <v>440</v>
      </c>
      <c r="F966" s="50" t="s">
        <v>3415</v>
      </c>
      <c r="G966" s="53" t="s">
        <v>436</v>
      </c>
      <c r="H966" s="50" t="s">
        <v>3436</v>
      </c>
    </row>
    <row r="967" customFormat="false" ht="12.8" hidden="false" customHeight="false" outlineLevel="0" collapsed="false">
      <c r="A967" s="50" t="s">
        <v>3473</v>
      </c>
      <c r="B967" s="50" t="s">
        <v>3474</v>
      </c>
      <c r="C967" s="50" t="n">
        <v>96750</v>
      </c>
      <c r="D967" s="50" t="s">
        <v>3475</v>
      </c>
      <c r="E967" s="50" t="s">
        <v>434</v>
      </c>
      <c r="F967" s="50" t="s">
        <v>3415</v>
      </c>
      <c r="G967" s="53" t="s">
        <v>436</v>
      </c>
      <c r="H967" s="50" t="s">
        <v>3476</v>
      </c>
    </row>
    <row r="968" customFormat="false" ht="12.8" hidden="false" customHeight="false" outlineLevel="0" collapsed="false">
      <c r="A968" s="50" t="s">
        <v>3477</v>
      </c>
      <c r="B968" s="50" t="s">
        <v>3478</v>
      </c>
      <c r="C968" s="50" t="n">
        <v>45000</v>
      </c>
      <c r="D968" s="50" t="s">
        <v>3479</v>
      </c>
      <c r="E968" s="50" t="s">
        <v>440</v>
      </c>
      <c r="F968" s="50" t="s">
        <v>3415</v>
      </c>
      <c r="G968" s="53" t="s">
        <v>436</v>
      </c>
      <c r="H968" s="50" t="s">
        <v>3451</v>
      </c>
    </row>
    <row r="969" customFormat="false" ht="12.8" hidden="false" customHeight="false" outlineLevel="0" collapsed="false">
      <c r="A969" s="50" t="s">
        <v>3480</v>
      </c>
      <c r="B969" s="50" t="s">
        <v>3481</v>
      </c>
      <c r="C969" s="50" t="n">
        <v>68250</v>
      </c>
      <c r="D969" s="50" t="s">
        <v>3482</v>
      </c>
      <c r="E969" s="50" t="s">
        <v>434</v>
      </c>
      <c r="F969" s="50" t="s">
        <v>3415</v>
      </c>
      <c r="G969" s="53" t="s">
        <v>436</v>
      </c>
      <c r="H969" s="50" t="s">
        <v>3483</v>
      </c>
    </row>
    <row r="970" customFormat="false" ht="12.8" hidden="false" customHeight="false" outlineLevel="0" collapsed="false">
      <c r="A970" s="50" t="s">
        <v>3484</v>
      </c>
      <c r="B970" s="50" t="s">
        <v>3485</v>
      </c>
      <c r="C970" s="50" t="n">
        <v>70000</v>
      </c>
      <c r="D970" s="50" t="s">
        <v>3486</v>
      </c>
      <c r="E970" s="50" t="s">
        <v>434</v>
      </c>
      <c r="F970" s="50" t="s">
        <v>3415</v>
      </c>
      <c r="G970" s="53" t="s">
        <v>436</v>
      </c>
      <c r="H970" s="50" t="s">
        <v>3487</v>
      </c>
    </row>
    <row r="971" customFormat="false" ht="12.8" hidden="false" customHeight="false" outlineLevel="0" collapsed="false">
      <c r="A971" s="50" t="s">
        <v>3488</v>
      </c>
      <c r="B971" s="50" t="s">
        <v>3489</v>
      </c>
      <c r="C971" s="50" t="n">
        <v>34000</v>
      </c>
      <c r="D971" s="50" t="s">
        <v>3490</v>
      </c>
      <c r="E971" s="50" t="s">
        <v>440</v>
      </c>
      <c r="F971" s="50" t="s">
        <v>3415</v>
      </c>
      <c r="G971" s="53" t="s">
        <v>436</v>
      </c>
      <c r="H971" s="50" t="s">
        <v>3491</v>
      </c>
    </row>
    <row r="972" customFormat="false" ht="12.8" hidden="false" customHeight="false" outlineLevel="0" collapsed="false">
      <c r="A972" s="50" t="s">
        <v>3492</v>
      </c>
      <c r="B972" s="50" t="s">
        <v>3493</v>
      </c>
      <c r="C972" s="50" t="n">
        <v>25600</v>
      </c>
      <c r="D972" s="50" t="s">
        <v>3494</v>
      </c>
      <c r="E972" s="50" t="s">
        <v>440</v>
      </c>
      <c r="F972" s="50" t="s">
        <v>3415</v>
      </c>
      <c r="G972" s="53" t="s">
        <v>436</v>
      </c>
      <c r="H972" s="50" t="s">
        <v>3495</v>
      </c>
    </row>
    <row r="973" customFormat="false" ht="12.8" hidden="false" customHeight="false" outlineLevel="0" collapsed="false">
      <c r="A973" s="50" t="s">
        <v>3496</v>
      </c>
      <c r="B973" s="50" t="s">
        <v>3497</v>
      </c>
      <c r="C973" s="50" t="n">
        <v>46250</v>
      </c>
      <c r="D973" s="50" t="s">
        <v>3498</v>
      </c>
      <c r="E973" s="50" t="s">
        <v>440</v>
      </c>
      <c r="F973" s="50" t="s">
        <v>3415</v>
      </c>
      <c r="G973" s="53" t="s">
        <v>436</v>
      </c>
      <c r="H973" s="50" t="s">
        <v>3499</v>
      </c>
    </row>
    <row r="974" customFormat="false" ht="12.8" hidden="false" customHeight="false" outlineLevel="0" collapsed="false">
      <c r="A974" s="50" t="s">
        <v>3500</v>
      </c>
      <c r="B974" s="50" t="s">
        <v>3501</v>
      </c>
      <c r="C974" s="50" t="n">
        <v>72800</v>
      </c>
      <c r="D974" s="50" t="s">
        <v>3502</v>
      </c>
      <c r="E974" s="50" t="s">
        <v>434</v>
      </c>
      <c r="F974" s="50" t="s">
        <v>3415</v>
      </c>
      <c r="G974" s="53" t="s">
        <v>436</v>
      </c>
      <c r="H974" s="50" t="s">
        <v>3503</v>
      </c>
    </row>
    <row r="975" customFormat="false" ht="12.8" hidden="false" customHeight="false" outlineLevel="0" collapsed="false">
      <c r="A975" s="50" t="s">
        <v>3504</v>
      </c>
      <c r="B975" s="50" t="s">
        <v>3505</v>
      </c>
      <c r="C975" s="50" t="n">
        <v>0.005</v>
      </c>
      <c r="D975" s="50" t="s">
        <v>3506</v>
      </c>
      <c r="E975" s="50" t="s">
        <v>502</v>
      </c>
      <c r="F975" s="50" t="s">
        <v>1804</v>
      </c>
      <c r="G975" s="53" t="s">
        <v>436</v>
      </c>
      <c r="H975" s="50" t="s">
        <v>2913</v>
      </c>
    </row>
    <row r="976" customFormat="false" ht="12.8" hidden="false" customHeight="false" outlineLevel="0" collapsed="false">
      <c r="A976" s="50" t="s">
        <v>3507</v>
      </c>
      <c r="B976" s="50" t="s">
        <v>3508</v>
      </c>
      <c r="C976" s="50" t="n">
        <v>-0.002</v>
      </c>
      <c r="D976" s="50" t="s">
        <v>3509</v>
      </c>
      <c r="E976" s="50" t="s">
        <v>502</v>
      </c>
      <c r="F976" s="50" t="s">
        <v>1804</v>
      </c>
      <c r="G976" s="53" t="s">
        <v>436</v>
      </c>
      <c r="H976" s="50" t="s">
        <v>1258</v>
      </c>
    </row>
    <row r="977" customFormat="false" ht="12.8" hidden="false" customHeight="false" outlineLevel="0" collapsed="false">
      <c r="A977" s="50" t="s">
        <v>3510</v>
      </c>
      <c r="B977" s="50" t="s">
        <v>3511</v>
      </c>
      <c r="C977" s="50" t="n">
        <v>0.01</v>
      </c>
      <c r="D977" s="50" t="s">
        <v>3512</v>
      </c>
      <c r="E977" s="50" t="s">
        <v>502</v>
      </c>
      <c r="F977" s="50" t="s">
        <v>1804</v>
      </c>
      <c r="G977" s="53" t="s">
        <v>436</v>
      </c>
      <c r="H977" s="50" t="s">
        <v>2920</v>
      </c>
    </row>
    <row r="978" customFormat="false" ht="12.8" hidden="false" customHeight="false" outlineLevel="0" collapsed="false">
      <c r="A978" s="50" t="s">
        <v>3513</v>
      </c>
      <c r="B978" s="50" t="s">
        <v>3514</v>
      </c>
      <c r="C978" s="50" t="n">
        <v>0.002</v>
      </c>
      <c r="D978" s="50" t="s">
        <v>3515</v>
      </c>
      <c r="E978" s="50" t="s">
        <v>434</v>
      </c>
      <c r="F978" s="50" t="s">
        <v>1804</v>
      </c>
      <c r="G978" s="53" t="s">
        <v>436</v>
      </c>
      <c r="H978" s="50" t="s">
        <v>2386</v>
      </c>
    </row>
    <row r="979" customFormat="false" ht="12.8" hidden="false" customHeight="false" outlineLevel="0" collapsed="false">
      <c r="A979" s="50" t="s">
        <v>3516</v>
      </c>
      <c r="B979" s="50" t="s">
        <v>3517</v>
      </c>
      <c r="C979" s="50" t="n">
        <v>0.005</v>
      </c>
      <c r="D979" s="50" t="s">
        <v>3518</v>
      </c>
      <c r="E979" s="50" t="s">
        <v>502</v>
      </c>
      <c r="F979" s="50" t="s">
        <v>1804</v>
      </c>
      <c r="G979" s="53" t="s">
        <v>436</v>
      </c>
      <c r="H979" s="50" t="s">
        <v>1875</v>
      </c>
    </row>
    <row r="980" customFormat="false" ht="12.8" hidden="false" customHeight="false" outlineLevel="0" collapsed="false">
      <c r="A980" s="50" t="s">
        <v>3519</v>
      </c>
      <c r="B980" s="50" t="s">
        <v>3520</v>
      </c>
      <c r="C980" s="50" t="n">
        <v>0.003</v>
      </c>
      <c r="D980" s="50" t="s">
        <v>3521</v>
      </c>
      <c r="E980" s="50" t="s">
        <v>434</v>
      </c>
      <c r="F980" s="50" t="s">
        <v>1804</v>
      </c>
      <c r="G980" s="53" t="s">
        <v>436</v>
      </c>
      <c r="H980" s="50" t="s">
        <v>1258</v>
      </c>
    </row>
    <row r="981" customFormat="false" ht="12.8" hidden="false" customHeight="false" outlineLevel="0" collapsed="false">
      <c r="A981" s="50" t="s">
        <v>3522</v>
      </c>
      <c r="B981" s="50" t="s">
        <v>3523</v>
      </c>
      <c r="C981" s="50" t="n">
        <v>0.003</v>
      </c>
      <c r="D981" s="50" t="s">
        <v>3524</v>
      </c>
      <c r="E981" s="50" t="s">
        <v>434</v>
      </c>
      <c r="F981" s="50" t="s">
        <v>1804</v>
      </c>
      <c r="G981" s="53" t="s">
        <v>436</v>
      </c>
      <c r="H981" s="50" t="s">
        <v>1258</v>
      </c>
    </row>
    <row r="982" customFormat="false" ht="12.8" hidden="false" customHeight="false" outlineLevel="0" collapsed="false">
      <c r="A982" s="50" t="s">
        <v>3525</v>
      </c>
      <c r="B982" s="50" t="s">
        <v>3526</v>
      </c>
      <c r="C982" s="50" t="n">
        <v>0.003</v>
      </c>
      <c r="D982" s="50" t="s">
        <v>3527</v>
      </c>
      <c r="E982" s="50" t="s">
        <v>434</v>
      </c>
      <c r="F982" s="50" t="s">
        <v>1804</v>
      </c>
      <c r="G982" s="53" t="s">
        <v>436</v>
      </c>
      <c r="H982" s="50" t="s">
        <v>1258</v>
      </c>
    </row>
    <row r="983" customFormat="false" ht="12.8" hidden="false" customHeight="false" outlineLevel="0" collapsed="false">
      <c r="A983" s="50" t="s">
        <v>3528</v>
      </c>
      <c r="B983" s="50" t="s">
        <v>3529</v>
      </c>
      <c r="C983" s="50" t="n">
        <v>0.002</v>
      </c>
      <c r="D983" s="50" t="s">
        <v>3530</v>
      </c>
      <c r="E983" s="50" t="s">
        <v>434</v>
      </c>
      <c r="F983" s="50" t="s">
        <v>1804</v>
      </c>
      <c r="G983" s="53" t="s">
        <v>436</v>
      </c>
      <c r="H983" s="50" t="s">
        <v>1258</v>
      </c>
    </row>
    <row r="984" customFormat="false" ht="12.8" hidden="false" customHeight="false" outlineLevel="0" collapsed="false">
      <c r="A984" s="50" t="s">
        <v>3531</v>
      </c>
      <c r="B984" s="50" t="s">
        <v>3532</v>
      </c>
      <c r="C984" s="50" t="n">
        <v>0.004</v>
      </c>
      <c r="D984" s="50" t="s">
        <v>3533</v>
      </c>
      <c r="E984" s="50" t="s">
        <v>502</v>
      </c>
      <c r="F984" s="50" t="s">
        <v>1804</v>
      </c>
      <c r="G984" s="53" t="s">
        <v>436</v>
      </c>
      <c r="H984" s="50" t="s">
        <v>1258</v>
      </c>
    </row>
    <row r="985" customFormat="false" ht="12.8" hidden="false" customHeight="false" outlineLevel="0" collapsed="false">
      <c r="A985" s="50" t="s">
        <v>3534</v>
      </c>
      <c r="B985" s="50" t="s">
        <v>3535</v>
      </c>
      <c r="C985" s="50" t="n">
        <v>0.004</v>
      </c>
      <c r="D985" s="50" t="s">
        <v>3536</v>
      </c>
      <c r="E985" s="50" t="s">
        <v>502</v>
      </c>
      <c r="F985" s="50" t="s">
        <v>1804</v>
      </c>
      <c r="G985" s="53" t="s">
        <v>436</v>
      </c>
      <c r="H985" s="50" t="s">
        <v>1258</v>
      </c>
    </row>
    <row r="986" customFormat="false" ht="12.8" hidden="false" customHeight="false" outlineLevel="0" collapsed="false">
      <c r="A986" s="50" t="s">
        <v>3537</v>
      </c>
      <c r="B986" s="50" t="s">
        <v>3538</v>
      </c>
      <c r="C986" s="50" t="n">
        <v>0.003</v>
      </c>
      <c r="D986" s="50" t="s">
        <v>3539</v>
      </c>
      <c r="E986" s="50" t="s">
        <v>434</v>
      </c>
      <c r="F986" s="50" t="s">
        <v>1804</v>
      </c>
      <c r="G986" s="53" t="s">
        <v>436</v>
      </c>
      <c r="H986" s="50" t="s">
        <v>1258</v>
      </c>
    </row>
    <row r="987" customFormat="false" ht="12.8" hidden="false" customHeight="false" outlineLevel="0" collapsed="false">
      <c r="A987" s="50" t="s">
        <v>3540</v>
      </c>
      <c r="B987" s="50" t="s">
        <v>3541</v>
      </c>
      <c r="C987" s="50" t="n">
        <v>0.003</v>
      </c>
      <c r="D987" s="50" t="s">
        <v>3542</v>
      </c>
      <c r="E987" s="50" t="s">
        <v>434</v>
      </c>
      <c r="F987" s="50" t="s">
        <v>1804</v>
      </c>
      <c r="G987" s="53" t="s">
        <v>436</v>
      </c>
      <c r="H987" s="50" t="s">
        <v>1258</v>
      </c>
    </row>
    <row r="988" customFormat="false" ht="12.8" hidden="false" customHeight="false" outlineLevel="0" collapsed="false">
      <c r="A988" s="50" t="s">
        <v>3543</v>
      </c>
      <c r="B988" s="50" t="s">
        <v>3544</v>
      </c>
      <c r="C988" s="50" t="n">
        <v>0.002</v>
      </c>
      <c r="D988" s="50" t="s">
        <v>3545</v>
      </c>
      <c r="E988" s="50" t="s">
        <v>434</v>
      </c>
      <c r="F988" s="50" t="s">
        <v>1804</v>
      </c>
      <c r="G988" s="53" t="s">
        <v>436</v>
      </c>
      <c r="H988" s="50" t="s">
        <v>1258</v>
      </c>
    </row>
    <row r="989" customFormat="false" ht="12.8" hidden="false" customHeight="false" outlineLevel="0" collapsed="false">
      <c r="A989" s="50" t="s">
        <v>3546</v>
      </c>
      <c r="B989" s="50" t="s">
        <v>3547</v>
      </c>
      <c r="C989" s="50" t="n">
        <v>0.001</v>
      </c>
      <c r="D989" s="50" t="s">
        <v>3548</v>
      </c>
      <c r="E989" s="50" t="s">
        <v>434</v>
      </c>
      <c r="F989" s="50" t="s">
        <v>1804</v>
      </c>
      <c r="G989" s="53" t="s">
        <v>436</v>
      </c>
      <c r="H989" s="50" t="s">
        <v>1258</v>
      </c>
    </row>
    <row r="990" customFormat="false" ht="12.8" hidden="false" customHeight="false" outlineLevel="0" collapsed="false">
      <c r="A990" s="50" t="s">
        <v>3549</v>
      </c>
      <c r="B990" s="50" t="s">
        <v>3550</v>
      </c>
      <c r="C990" s="50" t="n">
        <v>0.003</v>
      </c>
      <c r="D990" s="50" t="s">
        <v>3551</v>
      </c>
      <c r="E990" s="50" t="s">
        <v>502</v>
      </c>
      <c r="F990" s="50" t="s">
        <v>1804</v>
      </c>
      <c r="G990" s="53" t="s">
        <v>436</v>
      </c>
      <c r="H990" s="50" t="s">
        <v>1258</v>
      </c>
    </row>
    <row r="991" customFormat="false" ht="12.8" hidden="false" customHeight="false" outlineLevel="0" collapsed="false">
      <c r="A991" s="50" t="s">
        <v>3552</v>
      </c>
      <c r="B991" s="50" t="s">
        <v>3553</v>
      </c>
      <c r="C991" s="50" t="n">
        <v>0.001</v>
      </c>
      <c r="D991" s="50" t="s">
        <v>3554</v>
      </c>
      <c r="E991" s="50" t="s">
        <v>434</v>
      </c>
      <c r="F991" s="50" t="s">
        <v>1804</v>
      </c>
      <c r="G991" s="53" t="s">
        <v>436</v>
      </c>
      <c r="H991" s="50" t="s">
        <v>1258</v>
      </c>
    </row>
    <row r="992" customFormat="false" ht="12.8" hidden="false" customHeight="false" outlineLevel="0" collapsed="false">
      <c r="A992" s="50" t="s">
        <v>3555</v>
      </c>
      <c r="B992" s="50" t="s">
        <v>3556</v>
      </c>
      <c r="C992" s="50" t="n">
        <v>0.004</v>
      </c>
      <c r="D992" s="50" t="s">
        <v>3557</v>
      </c>
      <c r="E992" s="50" t="s">
        <v>502</v>
      </c>
      <c r="F992" s="50" t="s">
        <v>1804</v>
      </c>
      <c r="G992" s="53" t="s">
        <v>436</v>
      </c>
      <c r="H992" s="50" t="s">
        <v>1258</v>
      </c>
    </row>
    <row r="993" customFormat="false" ht="12.8" hidden="false" customHeight="false" outlineLevel="0" collapsed="false">
      <c r="A993" s="50" t="s">
        <v>3558</v>
      </c>
      <c r="B993" s="50" t="s">
        <v>3559</v>
      </c>
      <c r="C993" s="50" t="n">
        <v>0.002</v>
      </c>
      <c r="D993" s="50" t="s">
        <v>3560</v>
      </c>
      <c r="E993" s="50" t="s">
        <v>434</v>
      </c>
      <c r="F993" s="50" t="s">
        <v>1804</v>
      </c>
      <c r="G993" s="53" t="s">
        <v>436</v>
      </c>
      <c r="H993" s="50" t="s">
        <v>1258</v>
      </c>
    </row>
    <row r="994" customFormat="false" ht="12.8" hidden="false" customHeight="false" outlineLevel="0" collapsed="false">
      <c r="A994" s="50" t="s">
        <v>3561</v>
      </c>
      <c r="B994" s="50" t="s">
        <v>3562</v>
      </c>
      <c r="C994" s="50" t="n">
        <v>0.002</v>
      </c>
      <c r="D994" s="50" t="s">
        <v>3563</v>
      </c>
      <c r="E994" s="50" t="s">
        <v>434</v>
      </c>
      <c r="F994" s="50" t="s">
        <v>1804</v>
      </c>
      <c r="G994" s="53" t="s">
        <v>436</v>
      </c>
      <c r="H994" s="50" t="s">
        <v>1258</v>
      </c>
    </row>
    <row r="995" customFormat="false" ht="12.8" hidden="false" customHeight="false" outlineLevel="0" collapsed="false">
      <c r="A995" s="50" t="s">
        <v>3564</v>
      </c>
      <c r="B995" s="50" t="s">
        <v>3565</v>
      </c>
      <c r="C995" s="50" t="n">
        <v>0.004</v>
      </c>
      <c r="D995" s="50" t="s">
        <v>3566</v>
      </c>
      <c r="E995" s="50" t="s">
        <v>502</v>
      </c>
      <c r="F995" s="50" t="s">
        <v>1804</v>
      </c>
      <c r="G995" s="53" t="s">
        <v>436</v>
      </c>
      <c r="H995" s="50" t="s">
        <v>1258</v>
      </c>
    </row>
    <row r="996" customFormat="false" ht="12.8" hidden="false" customHeight="false" outlineLevel="0" collapsed="false">
      <c r="A996" s="50" t="s">
        <v>3567</v>
      </c>
      <c r="B996" s="50" t="s">
        <v>3568</v>
      </c>
      <c r="C996" s="50" t="n">
        <v>0.005</v>
      </c>
      <c r="D996" s="50" t="s">
        <v>3569</v>
      </c>
      <c r="E996" s="50" t="s">
        <v>502</v>
      </c>
      <c r="F996" s="50" t="s">
        <v>1804</v>
      </c>
      <c r="G996" s="53" t="s">
        <v>436</v>
      </c>
      <c r="H996" s="50" t="s">
        <v>1258</v>
      </c>
    </row>
    <row r="997" customFormat="false" ht="12.8" hidden="false" customHeight="false" outlineLevel="0" collapsed="false">
      <c r="A997" s="50" t="s">
        <v>3570</v>
      </c>
      <c r="B997" s="50" t="s">
        <v>3571</v>
      </c>
      <c r="C997" s="50" t="n">
        <v>0.004</v>
      </c>
      <c r="D997" s="50" t="s">
        <v>3572</v>
      </c>
      <c r="E997" s="50" t="s">
        <v>502</v>
      </c>
      <c r="F997" s="50" t="s">
        <v>1804</v>
      </c>
      <c r="G997" s="53" t="s">
        <v>436</v>
      </c>
      <c r="H997" s="50" t="s">
        <v>1258</v>
      </c>
    </row>
    <row r="998" customFormat="false" ht="12.8" hidden="false" customHeight="false" outlineLevel="0" collapsed="false">
      <c r="A998" s="50" t="s">
        <v>3573</v>
      </c>
      <c r="B998" s="50" t="s">
        <v>3574</v>
      </c>
      <c r="C998" s="50" t="n">
        <v>0.002</v>
      </c>
      <c r="D998" s="50" t="s">
        <v>3575</v>
      </c>
      <c r="E998" s="50" t="s">
        <v>434</v>
      </c>
      <c r="F998" s="50" t="s">
        <v>1804</v>
      </c>
      <c r="G998" s="53" t="s">
        <v>436</v>
      </c>
      <c r="H998" s="50" t="s">
        <v>1258</v>
      </c>
    </row>
    <row r="999" customFormat="false" ht="12.8" hidden="false" customHeight="false" outlineLevel="0" collapsed="false">
      <c r="A999" s="50" t="s">
        <v>3576</v>
      </c>
      <c r="B999" s="50" t="s">
        <v>3577</v>
      </c>
      <c r="C999" s="50" t="n">
        <v>0.01</v>
      </c>
      <c r="D999" s="50" t="s">
        <v>3578</v>
      </c>
      <c r="E999" s="50" t="s">
        <v>434</v>
      </c>
      <c r="F999" s="50" t="s">
        <v>1710</v>
      </c>
      <c r="G999" s="53" t="s">
        <v>436</v>
      </c>
      <c r="H999" s="50" t="s">
        <v>1258</v>
      </c>
    </row>
    <row r="1000" customFormat="false" ht="12.8" hidden="false" customHeight="false" outlineLevel="0" collapsed="false">
      <c r="A1000" s="50" t="s">
        <v>3579</v>
      </c>
      <c r="B1000" s="50" t="s">
        <v>3580</v>
      </c>
      <c r="C1000" s="50" t="n">
        <v>0.018</v>
      </c>
      <c r="D1000" s="50" t="s">
        <v>3581</v>
      </c>
      <c r="E1000" s="50" t="s">
        <v>440</v>
      </c>
      <c r="F1000" s="50" t="s">
        <v>1710</v>
      </c>
      <c r="G1000" s="53" t="s">
        <v>436</v>
      </c>
      <c r="H1000" s="50" t="s">
        <v>1258</v>
      </c>
    </row>
    <row r="1001" customFormat="false" ht="12.8" hidden="false" customHeight="false" outlineLevel="0" collapsed="false">
      <c r="A1001" s="50" t="s">
        <v>3582</v>
      </c>
      <c r="B1001" s="50" t="s">
        <v>3583</v>
      </c>
      <c r="C1001" s="50" t="n">
        <v>0.015</v>
      </c>
      <c r="D1001" s="50" t="s">
        <v>3584</v>
      </c>
      <c r="E1001" s="50" t="s">
        <v>502</v>
      </c>
      <c r="F1001" s="50" t="s">
        <v>1710</v>
      </c>
      <c r="G1001" s="53" t="s">
        <v>436</v>
      </c>
      <c r="H1001" s="50" t="s">
        <v>1258</v>
      </c>
    </row>
    <row r="1002" customFormat="false" ht="12.8" hidden="false" customHeight="false" outlineLevel="0" collapsed="false">
      <c r="A1002" s="50" t="s">
        <v>3585</v>
      </c>
      <c r="B1002" s="50" t="s">
        <v>3586</v>
      </c>
      <c r="C1002" s="50" t="n">
        <v>0.008</v>
      </c>
      <c r="D1002" s="50" t="s">
        <v>3587</v>
      </c>
      <c r="E1002" s="50" t="s">
        <v>434</v>
      </c>
      <c r="F1002" s="50" t="s">
        <v>1710</v>
      </c>
      <c r="G1002" s="53" t="s">
        <v>436</v>
      </c>
      <c r="H1002" s="50" t="s">
        <v>1258</v>
      </c>
    </row>
    <row r="1003" customFormat="false" ht="12.8" hidden="false" customHeight="false" outlineLevel="0" collapsed="false">
      <c r="A1003" s="50" t="s">
        <v>3588</v>
      </c>
      <c r="B1003" s="50" t="s">
        <v>3589</v>
      </c>
      <c r="C1003" s="50" t="n">
        <v>0.012</v>
      </c>
      <c r="D1003" s="50" t="s">
        <v>3590</v>
      </c>
      <c r="E1003" s="50" t="s">
        <v>440</v>
      </c>
      <c r="F1003" s="50" t="s">
        <v>1710</v>
      </c>
      <c r="G1003" s="53" t="s">
        <v>436</v>
      </c>
      <c r="H1003" s="50" t="s">
        <v>1258</v>
      </c>
    </row>
    <row r="1004" customFormat="false" ht="12.8" hidden="false" customHeight="false" outlineLevel="0" collapsed="false">
      <c r="A1004" s="50" t="s">
        <v>3591</v>
      </c>
      <c r="B1004" s="50" t="s">
        <v>3592</v>
      </c>
      <c r="C1004" s="50" t="n">
        <v>0.01</v>
      </c>
      <c r="D1004" s="50" t="s">
        <v>3593</v>
      </c>
      <c r="E1004" s="50" t="s">
        <v>434</v>
      </c>
      <c r="F1004" s="50" t="s">
        <v>1710</v>
      </c>
      <c r="G1004" s="53" t="s">
        <v>436</v>
      </c>
      <c r="H1004" s="50" t="s">
        <v>1258</v>
      </c>
    </row>
    <row r="1005" customFormat="false" ht="12.8" hidden="false" customHeight="false" outlineLevel="0" collapsed="false">
      <c r="A1005" s="50" t="s">
        <v>3594</v>
      </c>
      <c r="B1005" s="50" t="s">
        <v>3595</v>
      </c>
      <c r="C1005" s="50" t="n">
        <v>0.01</v>
      </c>
      <c r="D1005" s="50" t="s">
        <v>3596</v>
      </c>
      <c r="E1005" s="50" t="s">
        <v>434</v>
      </c>
      <c r="F1005" s="50" t="s">
        <v>1710</v>
      </c>
      <c r="G1005" s="53" t="s">
        <v>436</v>
      </c>
      <c r="H1005" s="50" t="s">
        <v>1258</v>
      </c>
    </row>
    <row r="1006" customFormat="false" ht="12.8" hidden="false" customHeight="false" outlineLevel="0" collapsed="false">
      <c r="A1006" s="50" t="s">
        <v>3597</v>
      </c>
      <c r="B1006" s="50" t="s">
        <v>3598</v>
      </c>
      <c r="C1006" s="50" t="n">
        <v>0.01</v>
      </c>
      <c r="D1006" s="50" t="s">
        <v>3599</v>
      </c>
      <c r="E1006" s="50" t="s">
        <v>434</v>
      </c>
      <c r="F1006" s="50" t="s">
        <v>1710</v>
      </c>
      <c r="G1006" s="53" t="s">
        <v>436</v>
      </c>
      <c r="H1006" s="50" t="s">
        <v>1258</v>
      </c>
    </row>
    <row r="1007" customFormat="false" ht="12.8" hidden="false" customHeight="false" outlineLevel="0" collapsed="false">
      <c r="A1007" s="50" t="s">
        <v>3600</v>
      </c>
      <c r="B1007" s="50" t="s">
        <v>3601</v>
      </c>
      <c r="C1007" s="50" t="n">
        <v>0.009</v>
      </c>
      <c r="D1007" s="50" t="s">
        <v>3602</v>
      </c>
      <c r="E1007" s="50" t="s">
        <v>434</v>
      </c>
      <c r="F1007" s="50" t="s">
        <v>1710</v>
      </c>
      <c r="G1007" s="53" t="s">
        <v>436</v>
      </c>
      <c r="H1007" s="50" t="s">
        <v>1258</v>
      </c>
    </row>
    <row r="1008" customFormat="false" ht="12.8" hidden="false" customHeight="false" outlineLevel="0" collapsed="false">
      <c r="A1008" s="50" t="s">
        <v>3603</v>
      </c>
      <c r="B1008" s="50" t="s">
        <v>3604</v>
      </c>
      <c r="C1008" s="50" t="n">
        <v>0.012</v>
      </c>
      <c r="D1008" s="50" t="s">
        <v>3605</v>
      </c>
      <c r="E1008" s="50" t="s">
        <v>440</v>
      </c>
      <c r="F1008" s="50" t="s">
        <v>1710</v>
      </c>
      <c r="G1008" s="53" t="s">
        <v>436</v>
      </c>
      <c r="H1008" s="50" t="s">
        <v>1258</v>
      </c>
    </row>
    <row r="1009" customFormat="false" ht="12.8" hidden="false" customHeight="false" outlineLevel="0" collapsed="false">
      <c r="A1009" s="50" t="s">
        <v>3606</v>
      </c>
      <c r="B1009" s="50" t="s">
        <v>3607</v>
      </c>
      <c r="C1009" s="50" t="n">
        <v>0.012</v>
      </c>
      <c r="D1009" s="50" t="s">
        <v>3608</v>
      </c>
      <c r="E1009" s="50" t="s">
        <v>440</v>
      </c>
      <c r="F1009" s="50" t="s">
        <v>1710</v>
      </c>
      <c r="G1009" s="53" t="s">
        <v>436</v>
      </c>
      <c r="H1009" s="50" t="s">
        <v>1258</v>
      </c>
    </row>
    <row r="1010" customFormat="false" ht="12.8" hidden="false" customHeight="false" outlineLevel="0" collapsed="false">
      <c r="A1010" s="50" t="s">
        <v>3609</v>
      </c>
      <c r="B1010" s="50" t="s">
        <v>3610</v>
      </c>
      <c r="C1010" s="50" t="n">
        <v>0.011</v>
      </c>
      <c r="D1010" s="50" t="s">
        <v>3611</v>
      </c>
      <c r="E1010" s="50" t="s">
        <v>434</v>
      </c>
      <c r="F1010" s="50" t="s">
        <v>1710</v>
      </c>
      <c r="G1010" s="53" t="s">
        <v>436</v>
      </c>
      <c r="H1010" s="50" t="s">
        <v>1258</v>
      </c>
    </row>
    <row r="1011" customFormat="false" ht="12.8" hidden="false" customHeight="false" outlineLevel="0" collapsed="false">
      <c r="A1011" s="50" t="s">
        <v>3612</v>
      </c>
      <c r="B1011" s="50" t="s">
        <v>3613</v>
      </c>
      <c r="C1011" s="50" t="n">
        <v>0.011</v>
      </c>
      <c r="D1011" s="50" t="s">
        <v>3614</v>
      </c>
      <c r="E1011" s="50" t="s">
        <v>434</v>
      </c>
      <c r="F1011" s="50" t="s">
        <v>1710</v>
      </c>
      <c r="G1011" s="53" t="s">
        <v>436</v>
      </c>
      <c r="H1011" s="50" t="s">
        <v>1258</v>
      </c>
    </row>
    <row r="1012" customFormat="false" ht="12.8" hidden="false" customHeight="false" outlineLevel="0" collapsed="false">
      <c r="A1012" s="50" t="s">
        <v>3615</v>
      </c>
      <c r="B1012" s="50" t="s">
        <v>3616</v>
      </c>
      <c r="C1012" s="50" t="n">
        <v>0.009</v>
      </c>
      <c r="D1012" s="50" t="s">
        <v>3617</v>
      </c>
      <c r="E1012" s="50" t="s">
        <v>434</v>
      </c>
      <c r="F1012" s="50" t="s">
        <v>1710</v>
      </c>
      <c r="G1012" s="53" t="s">
        <v>436</v>
      </c>
      <c r="H1012" s="50" t="s">
        <v>1258</v>
      </c>
    </row>
    <row r="1013" customFormat="false" ht="12.8" hidden="false" customHeight="false" outlineLevel="0" collapsed="false">
      <c r="A1013" s="50" t="s">
        <v>3618</v>
      </c>
      <c r="B1013" s="50" t="s">
        <v>3619</v>
      </c>
      <c r="C1013" s="50" t="n">
        <v>0.006</v>
      </c>
      <c r="D1013" s="50" t="s">
        <v>3620</v>
      </c>
      <c r="E1013" s="50" t="s">
        <v>434</v>
      </c>
      <c r="F1013" s="50" t="s">
        <v>1710</v>
      </c>
      <c r="G1013" s="53" t="s">
        <v>436</v>
      </c>
      <c r="H1013" s="50" t="s">
        <v>1258</v>
      </c>
    </row>
    <row r="1014" customFormat="false" ht="12.8" hidden="false" customHeight="false" outlineLevel="0" collapsed="false">
      <c r="A1014" s="50" t="s">
        <v>3621</v>
      </c>
      <c r="B1014" s="50" t="s">
        <v>3622</v>
      </c>
      <c r="C1014" s="50" t="n">
        <v>0.01</v>
      </c>
      <c r="D1014" s="50" t="s">
        <v>3623</v>
      </c>
      <c r="E1014" s="50" t="s">
        <v>440</v>
      </c>
      <c r="F1014" s="50" t="s">
        <v>1710</v>
      </c>
      <c r="G1014" s="53" t="s">
        <v>436</v>
      </c>
      <c r="H1014" s="50" t="s">
        <v>1258</v>
      </c>
    </row>
    <row r="1015" customFormat="false" ht="12.8" hidden="false" customHeight="false" outlineLevel="0" collapsed="false">
      <c r="A1015" s="50" t="s">
        <v>3624</v>
      </c>
      <c r="B1015" s="50" t="s">
        <v>3625</v>
      </c>
      <c r="C1015" s="50" t="n">
        <v>0.006</v>
      </c>
      <c r="D1015" s="50" t="s">
        <v>3626</v>
      </c>
      <c r="E1015" s="50" t="s">
        <v>434</v>
      </c>
      <c r="F1015" s="50" t="s">
        <v>1710</v>
      </c>
      <c r="G1015" s="53" t="s">
        <v>436</v>
      </c>
      <c r="H1015" s="50" t="s">
        <v>1258</v>
      </c>
    </row>
    <row r="1016" customFormat="false" ht="12.8" hidden="false" customHeight="false" outlineLevel="0" collapsed="false">
      <c r="A1016" s="50" t="s">
        <v>3627</v>
      </c>
      <c r="B1016" s="50" t="s">
        <v>3628</v>
      </c>
      <c r="C1016" s="50" t="n">
        <v>0.012</v>
      </c>
      <c r="D1016" s="50" t="s">
        <v>3629</v>
      </c>
      <c r="E1016" s="50" t="s">
        <v>440</v>
      </c>
      <c r="F1016" s="50" t="s">
        <v>1710</v>
      </c>
      <c r="G1016" s="53" t="s">
        <v>436</v>
      </c>
      <c r="H1016" s="50" t="s">
        <v>1258</v>
      </c>
    </row>
    <row r="1017" customFormat="false" ht="12.8" hidden="false" customHeight="false" outlineLevel="0" collapsed="false">
      <c r="A1017" s="50" t="s">
        <v>3630</v>
      </c>
      <c r="B1017" s="50" t="s">
        <v>3631</v>
      </c>
      <c r="C1017" s="50" t="n">
        <v>0.008</v>
      </c>
      <c r="D1017" s="50" t="s">
        <v>3632</v>
      </c>
      <c r="E1017" s="50" t="s">
        <v>434</v>
      </c>
      <c r="F1017" s="50" t="s">
        <v>1710</v>
      </c>
      <c r="G1017" s="53" t="s">
        <v>436</v>
      </c>
      <c r="H1017" s="50" t="s">
        <v>1258</v>
      </c>
    </row>
    <row r="1018" customFormat="false" ht="12.8" hidden="false" customHeight="false" outlineLevel="0" collapsed="false">
      <c r="A1018" s="50" t="s">
        <v>3633</v>
      </c>
      <c r="B1018" s="50" t="s">
        <v>3634</v>
      </c>
      <c r="C1018" s="50" t="n">
        <v>0.008</v>
      </c>
      <c r="D1018" s="50" t="s">
        <v>3635</v>
      </c>
      <c r="E1018" s="50" t="s">
        <v>434</v>
      </c>
      <c r="F1018" s="50" t="s">
        <v>1710</v>
      </c>
      <c r="G1018" s="53" t="s">
        <v>436</v>
      </c>
      <c r="H1018" s="50" t="s">
        <v>1258</v>
      </c>
    </row>
    <row r="1019" customFormat="false" ht="12.8" hidden="false" customHeight="false" outlineLevel="0" collapsed="false">
      <c r="A1019" s="50" t="s">
        <v>3636</v>
      </c>
      <c r="B1019" s="50" t="s">
        <v>3637</v>
      </c>
      <c r="C1019" s="50" t="n">
        <v>0.015</v>
      </c>
      <c r="D1019" s="50" t="s">
        <v>3638</v>
      </c>
      <c r="E1019" s="50" t="s">
        <v>502</v>
      </c>
      <c r="F1019" s="50" t="s">
        <v>1710</v>
      </c>
      <c r="G1019" s="53" t="s">
        <v>436</v>
      </c>
      <c r="H1019" s="50" t="s">
        <v>1258</v>
      </c>
    </row>
    <row r="1020" customFormat="false" ht="12.8" hidden="false" customHeight="false" outlineLevel="0" collapsed="false">
      <c r="A1020" s="50" t="s">
        <v>3639</v>
      </c>
      <c r="B1020" s="50" t="s">
        <v>3640</v>
      </c>
      <c r="C1020" s="50" t="n">
        <v>0.018</v>
      </c>
      <c r="D1020" s="50" t="s">
        <v>3641</v>
      </c>
      <c r="E1020" s="50" t="s">
        <v>502</v>
      </c>
      <c r="F1020" s="50" t="s">
        <v>1710</v>
      </c>
      <c r="G1020" s="53" t="s">
        <v>436</v>
      </c>
      <c r="H1020" s="50" t="s">
        <v>1258</v>
      </c>
    </row>
    <row r="1021" customFormat="false" ht="12.8" hidden="false" customHeight="false" outlineLevel="0" collapsed="false">
      <c r="A1021" s="50" t="s">
        <v>3642</v>
      </c>
      <c r="B1021" s="50" t="s">
        <v>3643</v>
      </c>
      <c r="C1021" s="50" t="n">
        <v>0.012</v>
      </c>
      <c r="D1021" s="50" t="s">
        <v>3644</v>
      </c>
      <c r="E1021" s="50" t="s">
        <v>440</v>
      </c>
      <c r="F1021" s="50" t="s">
        <v>1710</v>
      </c>
      <c r="G1021" s="53" t="s">
        <v>436</v>
      </c>
      <c r="H1021" s="50" t="s">
        <v>1258</v>
      </c>
    </row>
    <row r="1022" customFormat="false" ht="12.8" hidden="false" customHeight="false" outlineLevel="0" collapsed="false">
      <c r="A1022" s="50" t="s">
        <v>3645</v>
      </c>
      <c r="B1022" s="50" t="s">
        <v>3646</v>
      </c>
      <c r="C1022" s="50" t="n">
        <v>0.008</v>
      </c>
      <c r="D1022" s="50" t="s">
        <v>3647</v>
      </c>
      <c r="E1022" s="50" t="s">
        <v>434</v>
      </c>
      <c r="F1022" s="50" t="s">
        <v>1710</v>
      </c>
      <c r="G1022" s="53" t="s">
        <v>436</v>
      </c>
      <c r="H1022" s="50" t="s">
        <v>1258</v>
      </c>
    </row>
    <row r="1023" customFormat="false" ht="12.8" hidden="false" customHeight="false" outlineLevel="0" collapsed="false">
      <c r="A1023" s="50" t="s">
        <v>3648</v>
      </c>
      <c r="B1023" s="50" t="s">
        <v>3649</v>
      </c>
      <c r="C1023" s="50" t="n">
        <v>0.7</v>
      </c>
      <c r="D1023" s="50" t="s">
        <v>3650</v>
      </c>
      <c r="E1023" s="50" t="s">
        <v>434</v>
      </c>
      <c r="F1023" s="50" t="s">
        <v>1710</v>
      </c>
      <c r="G1023" s="53" t="s">
        <v>436</v>
      </c>
      <c r="H1023" s="50" t="s">
        <v>3651</v>
      </c>
    </row>
    <row r="1024" customFormat="false" ht="12.8" hidden="false" customHeight="false" outlineLevel="0" collapsed="false">
      <c r="A1024" s="50" t="s">
        <v>3652</v>
      </c>
      <c r="B1024" s="50" t="s">
        <v>3653</v>
      </c>
      <c r="C1024" s="50" t="n">
        <v>0.65</v>
      </c>
      <c r="D1024" s="50" t="s">
        <v>3654</v>
      </c>
      <c r="E1024" s="50" t="s">
        <v>440</v>
      </c>
      <c r="F1024" s="50" t="s">
        <v>1710</v>
      </c>
      <c r="G1024" s="53" t="s">
        <v>436</v>
      </c>
      <c r="H1024" s="50" t="s">
        <v>1258</v>
      </c>
    </row>
    <row r="1025" customFormat="false" ht="12.8" hidden="false" customHeight="false" outlineLevel="0" collapsed="false">
      <c r="A1025" s="50" t="s">
        <v>3655</v>
      </c>
      <c r="B1025" s="50" t="s">
        <v>3656</v>
      </c>
      <c r="C1025" s="50" t="n">
        <v>0.75</v>
      </c>
      <c r="D1025" s="50" t="s">
        <v>3657</v>
      </c>
      <c r="E1025" s="50" t="s">
        <v>502</v>
      </c>
      <c r="F1025" s="50" t="s">
        <v>1710</v>
      </c>
      <c r="G1025" s="53" t="s">
        <v>436</v>
      </c>
      <c r="H1025" s="50" t="s">
        <v>1258</v>
      </c>
    </row>
    <row r="1026" customFormat="false" ht="12.8" hidden="false" customHeight="false" outlineLevel="0" collapsed="false">
      <c r="A1026" s="50" t="s">
        <v>3658</v>
      </c>
      <c r="B1026" s="50" t="s">
        <v>3659</v>
      </c>
      <c r="C1026" s="50" t="n">
        <v>0.8</v>
      </c>
      <c r="D1026" s="50" t="s">
        <v>3660</v>
      </c>
      <c r="E1026" s="50" t="s">
        <v>434</v>
      </c>
      <c r="F1026" s="50" t="s">
        <v>1710</v>
      </c>
      <c r="G1026" s="53" t="s">
        <v>436</v>
      </c>
      <c r="H1026" s="50" t="s">
        <v>1258</v>
      </c>
    </row>
    <row r="1027" customFormat="false" ht="12.8" hidden="false" customHeight="false" outlineLevel="0" collapsed="false">
      <c r="A1027" s="50" t="s">
        <v>3661</v>
      </c>
      <c r="B1027" s="50" t="s">
        <v>3662</v>
      </c>
      <c r="C1027" s="50" t="n">
        <v>0.7</v>
      </c>
      <c r="D1027" s="50" t="s">
        <v>3663</v>
      </c>
      <c r="E1027" s="50" t="s">
        <v>440</v>
      </c>
      <c r="F1027" s="50" t="s">
        <v>1710</v>
      </c>
      <c r="G1027" s="53" t="s">
        <v>436</v>
      </c>
      <c r="H1027" s="50" t="s">
        <v>1258</v>
      </c>
    </row>
    <row r="1028" customFormat="false" ht="12.8" hidden="false" customHeight="false" outlineLevel="0" collapsed="false">
      <c r="A1028" s="50" t="s">
        <v>3664</v>
      </c>
      <c r="B1028" s="50" t="s">
        <v>3665</v>
      </c>
      <c r="C1028" s="50" t="n">
        <v>0.72</v>
      </c>
      <c r="D1028" s="50" t="s">
        <v>3666</v>
      </c>
      <c r="E1028" s="50" t="s">
        <v>434</v>
      </c>
      <c r="F1028" s="50" t="s">
        <v>1710</v>
      </c>
      <c r="G1028" s="53" t="s">
        <v>436</v>
      </c>
      <c r="H1028" s="50" t="s">
        <v>1258</v>
      </c>
    </row>
    <row r="1029" customFormat="false" ht="12.8" hidden="false" customHeight="false" outlineLevel="0" collapsed="false">
      <c r="A1029" s="50" t="s">
        <v>3667</v>
      </c>
      <c r="B1029" s="50" t="s">
        <v>3668</v>
      </c>
      <c r="C1029" s="50" t="n">
        <v>0.72</v>
      </c>
      <c r="D1029" s="50" t="s">
        <v>3669</v>
      </c>
      <c r="E1029" s="50" t="s">
        <v>434</v>
      </c>
      <c r="F1029" s="50" t="s">
        <v>1710</v>
      </c>
      <c r="G1029" s="53" t="s">
        <v>436</v>
      </c>
      <c r="H1029" s="50" t="s">
        <v>1258</v>
      </c>
    </row>
    <row r="1030" customFormat="false" ht="12.8" hidden="false" customHeight="false" outlineLevel="0" collapsed="false">
      <c r="A1030" s="50" t="s">
        <v>3670</v>
      </c>
      <c r="B1030" s="50" t="s">
        <v>3671</v>
      </c>
      <c r="C1030" s="50" t="n">
        <v>0.75</v>
      </c>
      <c r="D1030" s="50" t="s">
        <v>3672</v>
      </c>
      <c r="E1030" s="50" t="s">
        <v>434</v>
      </c>
      <c r="F1030" s="50" t="s">
        <v>1710</v>
      </c>
      <c r="G1030" s="53" t="s">
        <v>436</v>
      </c>
      <c r="H1030" s="50" t="s">
        <v>1258</v>
      </c>
    </row>
    <row r="1031" customFormat="false" ht="12.8" hidden="false" customHeight="false" outlineLevel="0" collapsed="false">
      <c r="A1031" s="50" t="s">
        <v>3673</v>
      </c>
      <c r="B1031" s="50" t="s">
        <v>3674</v>
      </c>
      <c r="C1031" s="50" t="n">
        <v>0.78</v>
      </c>
      <c r="D1031" s="50" t="s">
        <v>3675</v>
      </c>
      <c r="E1031" s="50" t="s">
        <v>434</v>
      </c>
      <c r="F1031" s="50" t="s">
        <v>1710</v>
      </c>
      <c r="G1031" s="53" t="s">
        <v>436</v>
      </c>
      <c r="H1031" s="50" t="s">
        <v>1258</v>
      </c>
    </row>
    <row r="1032" customFormat="false" ht="12.8" hidden="false" customHeight="false" outlineLevel="0" collapsed="false">
      <c r="A1032" s="50" t="s">
        <v>3676</v>
      </c>
      <c r="B1032" s="50" t="s">
        <v>3677</v>
      </c>
      <c r="C1032" s="50" t="n">
        <v>0.7</v>
      </c>
      <c r="D1032" s="50" t="s">
        <v>3678</v>
      </c>
      <c r="E1032" s="50" t="s">
        <v>440</v>
      </c>
      <c r="F1032" s="50" t="s">
        <v>1710</v>
      </c>
      <c r="G1032" s="53" t="s">
        <v>436</v>
      </c>
      <c r="H1032" s="50" t="s">
        <v>1258</v>
      </c>
    </row>
    <row r="1033" customFormat="false" ht="12.8" hidden="false" customHeight="false" outlineLevel="0" collapsed="false">
      <c r="A1033" s="50" t="s">
        <v>3679</v>
      </c>
      <c r="B1033" s="50" t="s">
        <v>3680</v>
      </c>
      <c r="C1033" s="50" t="n">
        <v>0.68</v>
      </c>
      <c r="D1033" s="50" t="s">
        <v>3681</v>
      </c>
      <c r="E1033" s="50" t="s">
        <v>440</v>
      </c>
      <c r="F1033" s="50" t="s">
        <v>1710</v>
      </c>
      <c r="G1033" s="53" t="s">
        <v>436</v>
      </c>
      <c r="H1033" s="50" t="s">
        <v>1258</v>
      </c>
    </row>
    <row r="1034" customFormat="false" ht="12.8" hidden="false" customHeight="false" outlineLevel="0" collapsed="false">
      <c r="A1034" s="50" t="s">
        <v>3682</v>
      </c>
      <c r="B1034" s="50" t="s">
        <v>3683</v>
      </c>
      <c r="C1034" s="50" t="n">
        <v>0.72</v>
      </c>
      <c r="D1034" s="50" t="s">
        <v>3684</v>
      </c>
      <c r="E1034" s="50" t="s">
        <v>434</v>
      </c>
      <c r="F1034" s="50" t="s">
        <v>1710</v>
      </c>
      <c r="G1034" s="53" t="s">
        <v>436</v>
      </c>
      <c r="H1034" s="50" t="s">
        <v>1258</v>
      </c>
    </row>
    <row r="1035" customFormat="false" ht="12.8" hidden="false" customHeight="false" outlineLevel="0" collapsed="false">
      <c r="A1035" s="50" t="s">
        <v>3685</v>
      </c>
      <c r="B1035" s="50" t="s">
        <v>3686</v>
      </c>
      <c r="C1035" s="50" t="n">
        <v>0.72</v>
      </c>
      <c r="D1035" s="50" t="s">
        <v>3687</v>
      </c>
      <c r="E1035" s="50" t="s">
        <v>434</v>
      </c>
      <c r="F1035" s="50" t="s">
        <v>1710</v>
      </c>
      <c r="G1035" s="53" t="s">
        <v>436</v>
      </c>
      <c r="H1035" s="50" t="s">
        <v>1258</v>
      </c>
    </row>
    <row r="1036" customFormat="false" ht="12.8" hidden="false" customHeight="false" outlineLevel="0" collapsed="false">
      <c r="A1036" s="50" t="s">
        <v>3688</v>
      </c>
      <c r="B1036" s="50" t="s">
        <v>3689</v>
      </c>
      <c r="C1036" s="50" t="n">
        <v>0.8</v>
      </c>
      <c r="D1036" s="50" t="s">
        <v>3690</v>
      </c>
      <c r="E1036" s="50" t="s">
        <v>434</v>
      </c>
      <c r="F1036" s="50" t="s">
        <v>1710</v>
      </c>
      <c r="G1036" s="53" t="s">
        <v>436</v>
      </c>
      <c r="H1036" s="50" t="s">
        <v>1258</v>
      </c>
    </row>
    <row r="1037" customFormat="false" ht="12.8" hidden="false" customHeight="false" outlineLevel="0" collapsed="false">
      <c r="A1037" s="50" t="s">
        <v>3691</v>
      </c>
      <c r="B1037" s="50" t="s">
        <v>3692</v>
      </c>
      <c r="C1037" s="50" t="n">
        <v>0.85</v>
      </c>
      <c r="D1037" s="50" t="s">
        <v>3693</v>
      </c>
      <c r="E1037" s="50" t="s">
        <v>434</v>
      </c>
      <c r="F1037" s="50" t="s">
        <v>1710</v>
      </c>
      <c r="G1037" s="53" t="s">
        <v>436</v>
      </c>
      <c r="H1037" s="50" t="s">
        <v>1258</v>
      </c>
    </row>
    <row r="1038" customFormat="false" ht="12.8" hidden="false" customHeight="false" outlineLevel="0" collapsed="false">
      <c r="A1038" s="50" t="s">
        <v>3694</v>
      </c>
      <c r="B1038" s="50" t="s">
        <v>3695</v>
      </c>
      <c r="C1038" s="50" t="n">
        <v>0.78</v>
      </c>
      <c r="D1038" s="50" t="s">
        <v>3696</v>
      </c>
      <c r="E1038" s="50" t="s">
        <v>440</v>
      </c>
      <c r="F1038" s="50" t="s">
        <v>1710</v>
      </c>
      <c r="G1038" s="53" t="s">
        <v>436</v>
      </c>
      <c r="H1038" s="50" t="s">
        <v>1258</v>
      </c>
    </row>
    <row r="1039" customFormat="false" ht="12.8" hidden="false" customHeight="false" outlineLevel="0" collapsed="false">
      <c r="A1039" s="50" t="s">
        <v>3697</v>
      </c>
      <c r="B1039" s="50" t="s">
        <v>3698</v>
      </c>
      <c r="C1039" s="50" t="n">
        <v>0.82</v>
      </c>
      <c r="D1039" s="50" t="s">
        <v>3699</v>
      </c>
      <c r="E1039" s="50" t="s">
        <v>434</v>
      </c>
      <c r="F1039" s="50" t="s">
        <v>1710</v>
      </c>
      <c r="G1039" s="53" t="s">
        <v>436</v>
      </c>
      <c r="H1039" s="50" t="s">
        <v>1258</v>
      </c>
    </row>
    <row r="1040" customFormat="false" ht="12.8" hidden="false" customHeight="false" outlineLevel="0" collapsed="false">
      <c r="A1040" s="50" t="s">
        <v>3700</v>
      </c>
      <c r="B1040" s="50" t="s">
        <v>3701</v>
      </c>
      <c r="C1040" s="50" t="n">
        <v>0.7</v>
      </c>
      <c r="D1040" s="50" t="s">
        <v>3702</v>
      </c>
      <c r="E1040" s="50" t="s">
        <v>440</v>
      </c>
      <c r="F1040" s="50" t="s">
        <v>1710</v>
      </c>
      <c r="G1040" s="53" t="s">
        <v>436</v>
      </c>
      <c r="H1040" s="50" t="s">
        <v>1258</v>
      </c>
    </row>
    <row r="1041" customFormat="false" ht="12.8" hidden="false" customHeight="false" outlineLevel="0" collapsed="false">
      <c r="A1041" s="50" t="s">
        <v>3703</v>
      </c>
      <c r="B1041" s="50" t="s">
        <v>3704</v>
      </c>
      <c r="C1041" s="50" t="n">
        <v>0.8</v>
      </c>
      <c r="D1041" s="50" t="s">
        <v>3705</v>
      </c>
      <c r="E1041" s="50" t="s">
        <v>434</v>
      </c>
      <c r="F1041" s="50" t="s">
        <v>1710</v>
      </c>
      <c r="G1041" s="53" t="s">
        <v>436</v>
      </c>
      <c r="H1041" s="50" t="s">
        <v>1258</v>
      </c>
    </row>
    <row r="1042" customFormat="false" ht="12.8" hidden="false" customHeight="false" outlineLevel="0" collapsed="false">
      <c r="A1042" s="50" t="s">
        <v>3706</v>
      </c>
      <c r="B1042" s="50" t="s">
        <v>3707</v>
      </c>
      <c r="C1042" s="50" t="n">
        <v>0.8</v>
      </c>
      <c r="D1042" s="50" t="s">
        <v>3708</v>
      </c>
      <c r="E1042" s="50" t="s">
        <v>434</v>
      </c>
      <c r="F1042" s="50" t="s">
        <v>1710</v>
      </c>
      <c r="G1042" s="53" t="s">
        <v>436</v>
      </c>
      <c r="H1042" s="50" t="s">
        <v>1258</v>
      </c>
    </row>
    <row r="1043" customFormat="false" ht="12.8" hidden="false" customHeight="false" outlineLevel="0" collapsed="false">
      <c r="A1043" s="50" t="s">
        <v>3709</v>
      </c>
      <c r="B1043" s="50" t="s">
        <v>3710</v>
      </c>
      <c r="C1043" s="50" t="n">
        <v>0.68</v>
      </c>
      <c r="D1043" s="50" t="s">
        <v>3711</v>
      </c>
      <c r="E1043" s="50" t="s">
        <v>502</v>
      </c>
      <c r="F1043" s="50" t="s">
        <v>1710</v>
      </c>
      <c r="G1043" s="53" t="s">
        <v>436</v>
      </c>
      <c r="H1043" s="50" t="s">
        <v>1258</v>
      </c>
    </row>
    <row r="1044" customFormat="false" ht="12.8" hidden="false" customHeight="false" outlineLevel="0" collapsed="false">
      <c r="A1044" s="50" t="s">
        <v>3712</v>
      </c>
      <c r="B1044" s="50" t="s">
        <v>3713</v>
      </c>
      <c r="C1044" s="50" t="n">
        <v>0.65</v>
      </c>
      <c r="D1044" s="50" t="s">
        <v>3714</v>
      </c>
      <c r="E1044" s="50" t="s">
        <v>502</v>
      </c>
      <c r="F1044" s="50" t="s">
        <v>1710</v>
      </c>
      <c r="G1044" s="53" t="s">
        <v>436</v>
      </c>
      <c r="H1044" s="50" t="s">
        <v>1258</v>
      </c>
    </row>
    <row r="1045" customFormat="false" ht="12.8" hidden="false" customHeight="false" outlineLevel="0" collapsed="false">
      <c r="A1045" s="50" t="s">
        <v>3715</v>
      </c>
      <c r="B1045" s="50" t="s">
        <v>3716</v>
      </c>
      <c r="C1045" s="50" t="n">
        <v>0.7</v>
      </c>
      <c r="D1045" s="50" t="s">
        <v>3717</v>
      </c>
      <c r="E1045" s="50" t="s">
        <v>440</v>
      </c>
      <c r="F1045" s="50" t="s">
        <v>1710</v>
      </c>
      <c r="G1045" s="53" t="s">
        <v>436</v>
      </c>
      <c r="H1045" s="50" t="s">
        <v>1258</v>
      </c>
    </row>
    <row r="1046" customFormat="false" ht="12.8" hidden="false" customHeight="false" outlineLevel="0" collapsed="false">
      <c r="A1046" s="50" t="s">
        <v>3718</v>
      </c>
      <c r="B1046" s="50" t="s">
        <v>3719</v>
      </c>
      <c r="C1046" s="50" t="n">
        <v>0.8</v>
      </c>
      <c r="D1046" s="50" t="s">
        <v>3720</v>
      </c>
      <c r="E1046" s="50" t="s">
        <v>434</v>
      </c>
      <c r="F1046" s="50" t="s">
        <v>1710</v>
      </c>
      <c r="G1046" s="53" t="s">
        <v>436</v>
      </c>
      <c r="H1046" s="50" t="s">
        <v>1258</v>
      </c>
    </row>
    <row r="1047" customFormat="false" ht="12.8" hidden="false" customHeight="false" outlineLevel="0" collapsed="false">
      <c r="A1047" s="50" t="s">
        <v>3721</v>
      </c>
      <c r="B1047" s="50" t="s">
        <v>3722</v>
      </c>
      <c r="C1047" s="50" t="n">
        <v>1.025</v>
      </c>
      <c r="D1047" s="50" t="s">
        <v>3723</v>
      </c>
      <c r="E1047" s="50" t="s">
        <v>434</v>
      </c>
      <c r="F1047" s="50" t="s">
        <v>1710</v>
      </c>
      <c r="G1047" s="53" t="s">
        <v>436</v>
      </c>
      <c r="H1047" s="50" t="s">
        <v>3724</v>
      </c>
    </row>
    <row r="1048" customFormat="false" ht="12.8" hidden="false" customHeight="false" outlineLevel="0" collapsed="false">
      <c r="A1048" s="50" t="s">
        <v>3725</v>
      </c>
      <c r="B1048" s="50" t="s">
        <v>3726</v>
      </c>
      <c r="C1048" s="50" t="n">
        <v>1.03</v>
      </c>
      <c r="D1048" s="50" t="s">
        <v>3727</v>
      </c>
      <c r="E1048" s="50" t="s">
        <v>440</v>
      </c>
      <c r="F1048" s="50" t="s">
        <v>1710</v>
      </c>
      <c r="G1048" s="53" t="s">
        <v>436</v>
      </c>
      <c r="H1048" s="50" t="s">
        <v>1258</v>
      </c>
    </row>
    <row r="1049" customFormat="false" ht="12.8" hidden="false" customHeight="false" outlineLevel="0" collapsed="false">
      <c r="A1049" s="50" t="s">
        <v>3728</v>
      </c>
      <c r="B1049" s="50" t="s">
        <v>3729</v>
      </c>
      <c r="C1049" s="50" t="n">
        <v>1.04</v>
      </c>
      <c r="D1049" s="50" t="s">
        <v>3730</v>
      </c>
      <c r="E1049" s="50" t="s">
        <v>502</v>
      </c>
      <c r="F1049" s="50" t="s">
        <v>1710</v>
      </c>
      <c r="G1049" s="53" t="s">
        <v>436</v>
      </c>
      <c r="H1049" s="50" t="s">
        <v>1258</v>
      </c>
    </row>
    <row r="1050" customFormat="false" ht="12.8" hidden="false" customHeight="false" outlineLevel="0" collapsed="false">
      <c r="A1050" s="50" t="s">
        <v>3731</v>
      </c>
      <c r="B1050" s="50" t="s">
        <v>3732</v>
      </c>
      <c r="C1050" s="50" t="n">
        <v>1.02</v>
      </c>
      <c r="D1050" s="50" t="s">
        <v>3733</v>
      </c>
      <c r="E1050" s="50" t="s">
        <v>434</v>
      </c>
      <c r="F1050" s="50" t="s">
        <v>1710</v>
      </c>
      <c r="G1050" s="53" t="s">
        <v>436</v>
      </c>
      <c r="H1050" s="50" t="s">
        <v>1258</v>
      </c>
    </row>
    <row r="1051" customFormat="false" ht="12.8" hidden="false" customHeight="false" outlineLevel="0" collapsed="false">
      <c r="A1051" s="50" t="s">
        <v>3734</v>
      </c>
      <c r="B1051" s="50" t="s">
        <v>3735</v>
      </c>
      <c r="C1051" s="50" t="n">
        <v>1.03</v>
      </c>
      <c r="D1051" s="50" t="s">
        <v>3736</v>
      </c>
      <c r="E1051" s="50" t="s">
        <v>440</v>
      </c>
      <c r="F1051" s="50" t="s">
        <v>1710</v>
      </c>
      <c r="G1051" s="53" t="s">
        <v>436</v>
      </c>
      <c r="H1051" s="50" t="s">
        <v>1258</v>
      </c>
    </row>
    <row r="1052" customFormat="false" ht="12.8" hidden="false" customHeight="false" outlineLevel="0" collapsed="false">
      <c r="A1052" s="50" t="s">
        <v>3737</v>
      </c>
      <c r="B1052" s="50" t="s">
        <v>3738</v>
      </c>
      <c r="C1052" s="50" t="n">
        <v>1.02</v>
      </c>
      <c r="D1052" s="50" t="s">
        <v>3739</v>
      </c>
      <c r="E1052" s="50" t="s">
        <v>434</v>
      </c>
      <c r="F1052" s="50" t="s">
        <v>1710</v>
      </c>
      <c r="G1052" s="53" t="s">
        <v>436</v>
      </c>
      <c r="H1052" s="50" t="s">
        <v>1258</v>
      </c>
    </row>
    <row r="1053" customFormat="false" ht="12.8" hidden="false" customHeight="false" outlineLevel="0" collapsed="false">
      <c r="A1053" s="50" t="s">
        <v>3740</v>
      </c>
      <c r="B1053" s="50" t="s">
        <v>3741</v>
      </c>
      <c r="C1053" s="50" t="n">
        <v>1.02</v>
      </c>
      <c r="D1053" s="50" t="s">
        <v>3742</v>
      </c>
      <c r="E1053" s="50" t="s">
        <v>434</v>
      </c>
      <c r="F1053" s="50" t="s">
        <v>1710</v>
      </c>
      <c r="G1053" s="53" t="s">
        <v>436</v>
      </c>
      <c r="H1053" s="50" t="s">
        <v>1258</v>
      </c>
    </row>
    <row r="1054" customFormat="false" ht="12.8" hidden="false" customHeight="false" outlineLevel="0" collapsed="false">
      <c r="A1054" s="50" t="s">
        <v>3743</v>
      </c>
      <c r="B1054" s="50" t="s">
        <v>3744</v>
      </c>
      <c r="C1054" s="50" t="n">
        <v>1.02</v>
      </c>
      <c r="D1054" s="50" t="s">
        <v>3745</v>
      </c>
      <c r="E1054" s="50" t="s">
        <v>434</v>
      </c>
      <c r="F1054" s="50" t="s">
        <v>1710</v>
      </c>
      <c r="G1054" s="53" t="s">
        <v>436</v>
      </c>
      <c r="H1054" s="50" t="s">
        <v>1258</v>
      </c>
    </row>
    <row r="1055" customFormat="false" ht="12.8" hidden="false" customHeight="false" outlineLevel="0" collapsed="false">
      <c r="A1055" s="50" t="s">
        <v>3746</v>
      </c>
      <c r="B1055" s="50" t="s">
        <v>3747</v>
      </c>
      <c r="C1055" s="50" t="n">
        <v>1.015</v>
      </c>
      <c r="D1055" s="50" t="s">
        <v>3748</v>
      </c>
      <c r="E1055" s="50" t="s">
        <v>434</v>
      </c>
      <c r="F1055" s="50" t="s">
        <v>1710</v>
      </c>
      <c r="G1055" s="53" t="s">
        <v>436</v>
      </c>
      <c r="H1055" s="50" t="s">
        <v>1258</v>
      </c>
    </row>
    <row r="1056" customFormat="false" ht="12.8" hidden="false" customHeight="false" outlineLevel="0" collapsed="false">
      <c r="A1056" s="50" t="s">
        <v>3749</v>
      </c>
      <c r="B1056" s="50" t="s">
        <v>3750</v>
      </c>
      <c r="C1056" s="50" t="n">
        <v>1.03</v>
      </c>
      <c r="D1056" s="50" t="s">
        <v>3751</v>
      </c>
      <c r="E1056" s="50" t="s">
        <v>440</v>
      </c>
      <c r="F1056" s="50" t="s">
        <v>1710</v>
      </c>
      <c r="G1056" s="53" t="s">
        <v>436</v>
      </c>
      <c r="H1056" s="50" t="s">
        <v>1258</v>
      </c>
    </row>
    <row r="1057" customFormat="false" ht="12.8" hidden="false" customHeight="false" outlineLevel="0" collapsed="false">
      <c r="A1057" s="50" t="s">
        <v>3752</v>
      </c>
      <c r="B1057" s="50" t="s">
        <v>3753</v>
      </c>
      <c r="C1057" s="50" t="n">
        <v>1.03</v>
      </c>
      <c r="D1057" s="50" t="s">
        <v>3754</v>
      </c>
      <c r="E1057" s="50" t="s">
        <v>440</v>
      </c>
      <c r="F1057" s="50" t="s">
        <v>1710</v>
      </c>
      <c r="G1057" s="53" t="s">
        <v>436</v>
      </c>
      <c r="H1057" s="50" t="s">
        <v>1258</v>
      </c>
    </row>
    <row r="1058" customFormat="false" ht="12.8" hidden="false" customHeight="false" outlineLevel="0" collapsed="false">
      <c r="A1058" s="50" t="s">
        <v>3755</v>
      </c>
      <c r="B1058" s="50" t="s">
        <v>3756</v>
      </c>
      <c r="C1058" s="50" t="n">
        <v>1.02</v>
      </c>
      <c r="D1058" s="50" t="s">
        <v>3757</v>
      </c>
      <c r="E1058" s="50" t="s">
        <v>434</v>
      </c>
      <c r="F1058" s="50" t="s">
        <v>1710</v>
      </c>
      <c r="G1058" s="53" t="s">
        <v>436</v>
      </c>
      <c r="H1058" s="50" t="s">
        <v>1258</v>
      </c>
    </row>
    <row r="1059" customFormat="false" ht="12.8" hidden="false" customHeight="false" outlineLevel="0" collapsed="false">
      <c r="A1059" s="50" t="s">
        <v>3758</v>
      </c>
      <c r="B1059" s="50" t="s">
        <v>3759</v>
      </c>
      <c r="C1059" s="50" t="n">
        <v>1.02</v>
      </c>
      <c r="D1059" s="50" t="s">
        <v>3760</v>
      </c>
      <c r="E1059" s="50" t="s">
        <v>434</v>
      </c>
      <c r="F1059" s="50" t="s">
        <v>1710</v>
      </c>
      <c r="G1059" s="53" t="s">
        <v>436</v>
      </c>
      <c r="H1059" s="50" t="s">
        <v>1258</v>
      </c>
    </row>
    <row r="1060" customFormat="false" ht="12.8" hidden="false" customHeight="false" outlineLevel="0" collapsed="false">
      <c r="A1060" s="50" t="s">
        <v>3761</v>
      </c>
      <c r="B1060" s="50" t="s">
        <v>3762</v>
      </c>
      <c r="C1060" s="50" t="n">
        <v>1.015</v>
      </c>
      <c r="D1060" s="50" t="s">
        <v>3763</v>
      </c>
      <c r="E1060" s="50" t="s">
        <v>434</v>
      </c>
      <c r="F1060" s="50" t="s">
        <v>1710</v>
      </c>
      <c r="G1060" s="53" t="s">
        <v>436</v>
      </c>
      <c r="H1060" s="50" t="s">
        <v>1258</v>
      </c>
    </row>
    <row r="1061" customFormat="false" ht="12.8" hidden="false" customHeight="false" outlineLevel="0" collapsed="false">
      <c r="A1061" s="50" t="s">
        <v>3764</v>
      </c>
      <c r="B1061" s="50" t="s">
        <v>3765</v>
      </c>
      <c r="C1061" s="50" t="n">
        <v>1.01</v>
      </c>
      <c r="D1061" s="50" t="s">
        <v>3766</v>
      </c>
      <c r="E1061" s="50" t="s">
        <v>434</v>
      </c>
      <c r="F1061" s="50" t="s">
        <v>1710</v>
      </c>
      <c r="G1061" s="53" t="s">
        <v>436</v>
      </c>
      <c r="H1061" s="50" t="s">
        <v>1258</v>
      </c>
    </row>
    <row r="1062" customFormat="false" ht="12.8" hidden="false" customHeight="false" outlineLevel="0" collapsed="false">
      <c r="A1062" s="50" t="s">
        <v>3767</v>
      </c>
      <c r="B1062" s="50" t="s">
        <v>3768</v>
      </c>
      <c r="C1062" s="50" t="n">
        <v>1.02</v>
      </c>
      <c r="D1062" s="50" t="s">
        <v>3769</v>
      </c>
      <c r="E1062" s="50" t="s">
        <v>440</v>
      </c>
      <c r="F1062" s="50" t="s">
        <v>1710</v>
      </c>
      <c r="G1062" s="53" t="s">
        <v>436</v>
      </c>
      <c r="H1062" s="50" t="s">
        <v>1258</v>
      </c>
    </row>
    <row r="1063" customFormat="false" ht="12.8" hidden="false" customHeight="false" outlineLevel="0" collapsed="false">
      <c r="A1063" s="50" t="s">
        <v>3770</v>
      </c>
      <c r="B1063" s="50" t="s">
        <v>3771</v>
      </c>
      <c r="C1063" s="50" t="n">
        <v>1.01</v>
      </c>
      <c r="D1063" s="50" t="s">
        <v>3772</v>
      </c>
      <c r="E1063" s="50" t="s">
        <v>434</v>
      </c>
      <c r="F1063" s="50" t="s">
        <v>1710</v>
      </c>
      <c r="G1063" s="53" t="s">
        <v>436</v>
      </c>
      <c r="H1063" s="50" t="s">
        <v>1258</v>
      </c>
    </row>
    <row r="1064" customFormat="false" ht="12.8" hidden="false" customHeight="false" outlineLevel="0" collapsed="false">
      <c r="A1064" s="50" t="s">
        <v>3773</v>
      </c>
      <c r="B1064" s="50" t="s">
        <v>3774</v>
      </c>
      <c r="C1064" s="50" t="n">
        <v>1.03</v>
      </c>
      <c r="D1064" s="50" t="s">
        <v>3775</v>
      </c>
      <c r="E1064" s="50" t="s">
        <v>440</v>
      </c>
      <c r="F1064" s="50" t="s">
        <v>1710</v>
      </c>
      <c r="G1064" s="53" t="s">
        <v>436</v>
      </c>
      <c r="H1064" s="50" t="s">
        <v>1258</v>
      </c>
    </row>
    <row r="1065" customFormat="false" ht="12.8" hidden="false" customHeight="false" outlineLevel="0" collapsed="false">
      <c r="A1065" s="50" t="s">
        <v>3776</v>
      </c>
      <c r="B1065" s="50" t="s">
        <v>3777</v>
      </c>
      <c r="C1065" s="50" t="n">
        <v>1.015</v>
      </c>
      <c r="D1065" s="50" t="s">
        <v>3778</v>
      </c>
      <c r="E1065" s="50" t="s">
        <v>434</v>
      </c>
      <c r="F1065" s="50" t="s">
        <v>1710</v>
      </c>
      <c r="G1065" s="53" t="s">
        <v>436</v>
      </c>
      <c r="H1065" s="50" t="s">
        <v>1258</v>
      </c>
    </row>
    <row r="1066" customFormat="false" ht="12.8" hidden="false" customHeight="false" outlineLevel="0" collapsed="false">
      <c r="A1066" s="50" t="s">
        <v>3779</v>
      </c>
      <c r="B1066" s="50" t="s">
        <v>3780</v>
      </c>
      <c r="C1066" s="50" t="n">
        <v>1.015</v>
      </c>
      <c r="D1066" s="50" t="s">
        <v>3781</v>
      </c>
      <c r="E1066" s="50" t="s">
        <v>434</v>
      </c>
      <c r="F1066" s="50" t="s">
        <v>1710</v>
      </c>
      <c r="G1066" s="53" t="s">
        <v>436</v>
      </c>
      <c r="H1066" s="50" t="s">
        <v>1258</v>
      </c>
    </row>
    <row r="1067" customFormat="false" ht="12.8" hidden="false" customHeight="false" outlineLevel="0" collapsed="false">
      <c r="A1067" s="50" t="s">
        <v>3782</v>
      </c>
      <c r="B1067" s="50" t="s">
        <v>3783</v>
      </c>
      <c r="C1067" s="50" t="n">
        <v>1.03</v>
      </c>
      <c r="D1067" s="50" t="s">
        <v>3784</v>
      </c>
      <c r="E1067" s="50" t="s">
        <v>502</v>
      </c>
      <c r="F1067" s="50" t="s">
        <v>1710</v>
      </c>
      <c r="G1067" s="53" t="s">
        <v>436</v>
      </c>
      <c r="H1067" s="50" t="s">
        <v>1258</v>
      </c>
    </row>
    <row r="1068" customFormat="false" ht="12.8" hidden="false" customHeight="false" outlineLevel="0" collapsed="false">
      <c r="A1068" s="50" t="s">
        <v>3785</v>
      </c>
      <c r="B1068" s="50" t="s">
        <v>3786</v>
      </c>
      <c r="C1068" s="50" t="n">
        <v>1.035</v>
      </c>
      <c r="D1068" s="50" t="s">
        <v>3787</v>
      </c>
      <c r="E1068" s="50" t="s">
        <v>502</v>
      </c>
      <c r="F1068" s="50" t="s">
        <v>1710</v>
      </c>
      <c r="G1068" s="53" t="s">
        <v>436</v>
      </c>
      <c r="H1068" s="50" t="s">
        <v>1258</v>
      </c>
    </row>
    <row r="1069" customFormat="false" ht="12.8" hidden="false" customHeight="false" outlineLevel="0" collapsed="false">
      <c r="A1069" s="50" t="s">
        <v>3788</v>
      </c>
      <c r="B1069" s="50" t="s">
        <v>3789</v>
      </c>
      <c r="C1069" s="50" t="n">
        <v>1.03</v>
      </c>
      <c r="D1069" s="50" t="s">
        <v>3790</v>
      </c>
      <c r="E1069" s="50" t="s">
        <v>440</v>
      </c>
      <c r="F1069" s="50" t="s">
        <v>1710</v>
      </c>
      <c r="G1069" s="53" t="s">
        <v>436</v>
      </c>
      <c r="H1069" s="50" t="s">
        <v>1258</v>
      </c>
    </row>
    <row r="1070" customFormat="false" ht="12.8" hidden="false" customHeight="false" outlineLevel="0" collapsed="false">
      <c r="A1070" s="50" t="s">
        <v>3791</v>
      </c>
      <c r="B1070" s="50" t="s">
        <v>3792</v>
      </c>
      <c r="C1070" s="50" t="n">
        <v>1.015</v>
      </c>
      <c r="D1070" s="50" t="s">
        <v>3793</v>
      </c>
      <c r="E1070" s="50" t="s">
        <v>434</v>
      </c>
      <c r="F1070" s="50" t="s">
        <v>1710</v>
      </c>
      <c r="G1070" s="53" t="s">
        <v>436</v>
      </c>
      <c r="H1070" s="50" t="s">
        <v>1258</v>
      </c>
    </row>
    <row r="1071" customFormat="false" ht="12.8" hidden="false" customHeight="false" outlineLevel="0" collapsed="false">
      <c r="A1071" s="50" t="s">
        <v>3794</v>
      </c>
      <c r="B1071" s="50" t="s">
        <v>3795</v>
      </c>
      <c r="C1071" s="50" t="n">
        <v>0.01</v>
      </c>
      <c r="D1071" s="50" t="s">
        <v>3796</v>
      </c>
      <c r="E1071" s="50" t="s">
        <v>434</v>
      </c>
      <c r="F1071" s="50" t="s">
        <v>1710</v>
      </c>
      <c r="G1071" s="53" t="s">
        <v>436</v>
      </c>
      <c r="H1071" s="50" t="s">
        <v>1258</v>
      </c>
    </row>
    <row r="1072" customFormat="false" ht="12.8" hidden="false" customHeight="false" outlineLevel="0" collapsed="false">
      <c r="A1072" s="50" t="s">
        <v>3797</v>
      </c>
      <c r="B1072" s="50" t="s">
        <v>3798</v>
      </c>
      <c r="C1072" s="50" t="n">
        <v>0.018</v>
      </c>
      <c r="D1072" s="50" t="s">
        <v>3799</v>
      </c>
      <c r="E1072" s="50" t="s">
        <v>440</v>
      </c>
      <c r="F1072" s="50" t="s">
        <v>1710</v>
      </c>
      <c r="G1072" s="53" t="s">
        <v>436</v>
      </c>
      <c r="H1072" s="50" t="s">
        <v>1258</v>
      </c>
    </row>
    <row r="1073" customFormat="false" ht="12.8" hidden="false" customHeight="false" outlineLevel="0" collapsed="false">
      <c r="A1073" s="50" t="s">
        <v>3800</v>
      </c>
      <c r="B1073" s="50" t="s">
        <v>3801</v>
      </c>
      <c r="C1073" s="50" t="n">
        <v>0.015</v>
      </c>
      <c r="D1073" s="50" t="s">
        <v>3802</v>
      </c>
      <c r="E1073" s="50" t="s">
        <v>502</v>
      </c>
      <c r="F1073" s="50" t="s">
        <v>1710</v>
      </c>
      <c r="G1073" s="53" t="s">
        <v>436</v>
      </c>
      <c r="H1073" s="50" t="s">
        <v>1258</v>
      </c>
    </row>
    <row r="1074" customFormat="false" ht="12.8" hidden="false" customHeight="false" outlineLevel="0" collapsed="false">
      <c r="A1074" s="50" t="s">
        <v>3803</v>
      </c>
      <c r="B1074" s="50" t="s">
        <v>3804</v>
      </c>
      <c r="C1074" s="50" t="n">
        <v>0.008</v>
      </c>
      <c r="D1074" s="50" t="s">
        <v>3805</v>
      </c>
      <c r="E1074" s="50" t="s">
        <v>434</v>
      </c>
      <c r="F1074" s="50" t="s">
        <v>1710</v>
      </c>
      <c r="G1074" s="53" t="s">
        <v>436</v>
      </c>
      <c r="H1074" s="50" t="s">
        <v>1258</v>
      </c>
    </row>
    <row r="1075" customFormat="false" ht="12.8" hidden="false" customHeight="false" outlineLevel="0" collapsed="false">
      <c r="A1075" s="50" t="s">
        <v>3806</v>
      </c>
      <c r="B1075" s="50" t="s">
        <v>3807</v>
      </c>
      <c r="C1075" s="50" t="n">
        <v>0.012</v>
      </c>
      <c r="D1075" s="50" t="s">
        <v>3808</v>
      </c>
      <c r="E1075" s="50" t="s">
        <v>440</v>
      </c>
      <c r="F1075" s="50" t="s">
        <v>1710</v>
      </c>
      <c r="G1075" s="53" t="s">
        <v>436</v>
      </c>
      <c r="H1075" s="50" t="s">
        <v>1258</v>
      </c>
    </row>
    <row r="1076" customFormat="false" ht="12.8" hidden="false" customHeight="false" outlineLevel="0" collapsed="false">
      <c r="A1076" s="50" t="s">
        <v>3809</v>
      </c>
      <c r="B1076" s="50" t="s">
        <v>3810</v>
      </c>
      <c r="C1076" s="50" t="n">
        <v>0.01</v>
      </c>
      <c r="D1076" s="50" t="s">
        <v>3811</v>
      </c>
      <c r="E1076" s="50" t="s">
        <v>434</v>
      </c>
      <c r="F1076" s="50" t="s">
        <v>1710</v>
      </c>
      <c r="G1076" s="53" t="s">
        <v>436</v>
      </c>
      <c r="H1076" s="50" t="s">
        <v>1258</v>
      </c>
    </row>
    <row r="1077" customFormat="false" ht="12.8" hidden="false" customHeight="false" outlineLevel="0" collapsed="false">
      <c r="A1077" s="50" t="s">
        <v>3812</v>
      </c>
      <c r="B1077" s="50" t="s">
        <v>3813</v>
      </c>
      <c r="C1077" s="50" t="n">
        <v>0.01</v>
      </c>
      <c r="D1077" s="50" t="s">
        <v>3814</v>
      </c>
      <c r="E1077" s="50" t="s">
        <v>434</v>
      </c>
      <c r="F1077" s="50" t="s">
        <v>1710</v>
      </c>
      <c r="G1077" s="53" t="s">
        <v>436</v>
      </c>
      <c r="H1077" s="50" t="s">
        <v>1258</v>
      </c>
    </row>
    <row r="1078" customFormat="false" ht="12.8" hidden="false" customHeight="false" outlineLevel="0" collapsed="false">
      <c r="A1078" s="50" t="s">
        <v>3815</v>
      </c>
      <c r="B1078" s="50" t="s">
        <v>3816</v>
      </c>
      <c r="C1078" s="50" t="n">
        <v>0.01</v>
      </c>
      <c r="D1078" s="50" t="s">
        <v>3817</v>
      </c>
      <c r="E1078" s="50" t="s">
        <v>434</v>
      </c>
      <c r="F1078" s="50" t="s">
        <v>1710</v>
      </c>
      <c r="G1078" s="53" t="s">
        <v>436</v>
      </c>
      <c r="H1078" s="50" t="s">
        <v>1258</v>
      </c>
    </row>
    <row r="1079" customFormat="false" ht="12.8" hidden="false" customHeight="false" outlineLevel="0" collapsed="false">
      <c r="A1079" s="50" t="s">
        <v>3818</v>
      </c>
      <c r="B1079" s="50" t="s">
        <v>3819</v>
      </c>
      <c r="C1079" s="50" t="n">
        <v>0.009</v>
      </c>
      <c r="D1079" s="50" t="s">
        <v>3820</v>
      </c>
      <c r="E1079" s="50" t="s">
        <v>434</v>
      </c>
      <c r="F1079" s="50" t="s">
        <v>1710</v>
      </c>
      <c r="G1079" s="53" t="s">
        <v>436</v>
      </c>
      <c r="H1079" s="50" t="s">
        <v>1258</v>
      </c>
    </row>
    <row r="1080" customFormat="false" ht="12.8" hidden="false" customHeight="false" outlineLevel="0" collapsed="false">
      <c r="A1080" s="50" t="s">
        <v>3821</v>
      </c>
      <c r="B1080" s="50" t="s">
        <v>3822</v>
      </c>
      <c r="C1080" s="50" t="n">
        <v>0.012</v>
      </c>
      <c r="D1080" s="50" t="s">
        <v>3823</v>
      </c>
      <c r="E1080" s="50" t="s">
        <v>440</v>
      </c>
      <c r="F1080" s="50" t="s">
        <v>1710</v>
      </c>
      <c r="G1080" s="53" t="s">
        <v>436</v>
      </c>
      <c r="H1080" s="50" t="s">
        <v>1258</v>
      </c>
    </row>
    <row r="1081" customFormat="false" ht="12.8" hidden="false" customHeight="false" outlineLevel="0" collapsed="false">
      <c r="A1081" s="50" t="s">
        <v>3824</v>
      </c>
      <c r="B1081" s="50" t="s">
        <v>3825</v>
      </c>
      <c r="C1081" s="50" t="n">
        <v>0.012</v>
      </c>
      <c r="D1081" s="50" t="s">
        <v>3826</v>
      </c>
      <c r="E1081" s="50" t="s">
        <v>440</v>
      </c>
      <c r="F1081" s="50" t="s">
        <v>1710</v>
      </c>
      <c r="G1081" s="53" t="s">
        <v>436</v>
      </c>
      <c r="H1081" s="50" t="s">
        <v>1258</v>
      </c>
    </row>
    <row r="1082" customFormat="false" ht="12.8" hidden="false" customHeight="false" outlineLevel="0" collapsed="false">
      <c r="A1082" s="50" t="s">
        <v>3827</v>
      </c>
      <c r="B1082" s="50" t="s">
        <v>3828</v>
      </c>
      <c r="C1082" s="50" t="n">
        <v>0.011</v>
      </c>
      <c r="D1082" s="50" t="s">
        <v>3829</v>
      </c>
      <c r="E1082" s="50" t="s">
        <v>434</v>
      </c>
      <c r="F1082" s="50" t="s">
        <v>1710</v>
      </c>
      <c r="G1082" s="53" t="s">
        <v>436</v>
      </c>
      <c r="H1082" s="50" t="s">
        <v>1258</v>
      </c>
    </row>
    <row r="1083" customFormat="false" ht="12.8" hidden="false" customHeight="false" outlineLevel="0" collapsed="false">
      <c r="A1083" s="50" t="s">
        <v>3830</v>
      </c>
      <c r="B1083" s="50" t="s">
        <v>3831</v>
      </c>
      <c r="C1083" s="50" t="n">
        <v>0.011</v>
      </c>
      <c r="D1083" s="50" t="s">
        <v>3832</v>
      </c>
      <c r="E1083" s="50" t="s">
        <v>434</v>
      </c>
      <c r="F1083" s="50" t="s">
        <v>1710</v>
      </c>
      <c r="G1083" s="53" t="s">
        <v>436</v>
      </c>
      <c r="H1083" s="50" t="s">
        <v>1258</v>
      </c>
    </row>
    <row r="1084" customFormat="false" ht="12.8" hidden="false" customHeight="false" outlineLevel="0" collapsed="false">
      <c r="A1084" s="50" t="s">
        <v>3833</v>
      </c>
      <c r="B1084" s="50" t="s">
        <v>3834</v>
      </c>
      <c r="C1084" s="50" t="n">
        <v>0.009</v>
      </c>
      <c r="D1084" s="50" t="s">
        <v>3835</v>
      </c>
      <c r="E1084" s="50" t="s">
        <v>434</v>
      </c>
      <c r="F1084" s="50" t="s">
        <v>1710</v>
      </c>
      <c r="G1084" s="53" t="s">
        <v>436</v>
      </c>
      <c r="H1084" s="50" t="s">
        <v>1258</v>
      </c>
    </row>
    <row r="1085" customFormat="false" ht="12.8" hidden="false" customHeight="false" outlineLevel="0" collapsed="false">
      <c r="A1085" s="50" t="s">
        <v>3836</v>
      </c>
      <c r="B1085" s="50" t="s">
        <v>3837</v>
      </c>
      <c r="C1085" s="50" t="n">
        <v>0.006</v>
      </c>
      <c r="D1085" s="50" t="s">
        <v>3838</v>
      </c>
      <c r="E1085" s="50" t="s">
        <v>434</v>
      </c>
      <c r="F1085" s="50" t="s">
        <v>1710</v>
      </c>
      <c r="G1085" s="53" t="s">
        <v>436</v>
      </c>
      <c r="H1085" s="50" t="s">
        <v>1258</v>
      </c>
    </row>
    <row r="1086" customFormat="false" ht="12.8" hidden="false" customHeight="false" outlineLevel="0" collapsed="false">
      <c r="A1086" s="50" t="s">
        <v>3839</v>
      </c>
      <c r="B1086" s="50" t="s">
        <v>3840</v>
      </c>
      <c r="C1086" s="50" t="n">
        <v>0.01</v>
      </c>
      <c r="D1086" s="50" t="s">
        <v>3841</v>
      </c>
      <c r="E1086" s="50" t="s">
        <v>440</v>
      </c>
      <c r="F1086" s="50" t="s">
        <v>1710</v>
      </c>
      <c r="G1086" s="53" t="s">
        <v>436</v>
      </c>
      <c r="H1086" s="50" t="s">
        <v>1258</v>
      </c>
    </row>
    <row r="1087" customFormat="false" ht="12.8" hidden="false" customHeight="false" outlineLevel="0" collapsed="false">
      <c r="A1087" s="50" t="s">
        <v>3842</v>
      </c>
      <c r="B1087" s="50" t="s">
        <v>3843</v>
      </c>
      <c r="C1087" s="50" t="n">
        <v>0.006</v>
      </c>
      <c r="D1087" s="50" t="s">
        <v>3844</v>
      </c>
      <c r="E1087" s="50" t="s">
        <v>434</v>
      </c>
      <c r="F1087" s="50" t="s">
        <v>1710</v>
      </c>
      <c r="G1087" s="53" t="s">
        <v>436</v>
      </c>
      <c r="H1087" s="50" t="s">
        <v>1258</v>
      </c>
    </row>
    <row r="1088" customFormat="false" ht="12.8" hidden="false" customHeight="false" outlineLevel="0" collapsed="false">
      <c r="A1088" s="50" t="s">
        <v>3845</v>
      </c>
      <c r="B1088" s="50" t="s">
        <v>3846</v>
      </c>
      <c r="C1088" s="50" t="n">
        <v>0.012</v>
      </c>
      <c r="D1088" s="50" t="s">
        <v>3847</v>
      </c>
      <c r="E1088" s="50" t="s">
        <v>440</v>
      </c>
      <c r="F1088" s="50" t="s">
        <v>1710</v>
      </c>
      <c r="G1088" s="53" t="s">
        <v>436</v>
      </c>
      <c r="H1088" s="50" t="s">
        <v>1258</v>
      </c>
    </row>
    <row r="1089" customFormat="false" ht="12.8" hidden="false" customHeight="false" outlineLevel="0" collapsed="false">
      <c r="A1089" s="50" t="s">
        <v>3848</v>
      </c>
      <c r="B1089" s="50" t="s">
        <v>3849</v>
      </c>
      <c r="C1089" s="50" t="n">
        <v>0.008</v>
      </c>
      <c r="D1089" s="50" t="s">
        <v>3850</v>
      </c>
      <c r="E1089" s="50" t="s">
        <v>434</v>
      </c>
      <c r="F1089" s="50" t="s">
        <v>1710</v>
      </c>
      <c r="G1089" s="53" t="s">
        <v>436</v>
      </c>
      <c r="H1089" s="50" t="s">
        <v>1258</v>
      </c>
    </row>
    <row r="1090" customFormat="false" ht="12.8" hidden="false" customHeight="false" outlineLevel="0" collapsed="false">
      <c r="A1090" s="50" t="s">
        <v>3851</v>
      </c>
      <c r="B1090" s="50" t="s">
        <v>3852</v>
      </c>
      <c r="C1090" s="50" t="n">
        <v>0.008</v>
      </c>
      <c r="D1090" s="50" t="s">
        <v>3853</v>
      </c>
      <c r="E1090" s="50" t="s">
        <v>434</v>
      </c>
      <c r="F1090" s="50" t="s">
        <v>1710</v>
      </c>
      <c r="G1090" s="53" t="s">
        <v>436</v>
      </c>
      <c r="H1090" s="50" t="s">
        <v>1258</v>
      </c>
    </row>
    <row r="1091" customFormat="false" ht="12.8" hidden="false" customHeight="false" outlineLevel="0" collapsed="false">
      <c r="A1091" s="50" t="s">
        <v>3854</v>
      </c>
      <c r="B1091" s="50" t="s">
        <v>3855</v>
      </c>
      <c r="C1091" s="50" t="n">
        <v>0.015</v>
      </c>
      <c r="D1091" s="50" t="s">
        <v>3856</v>
      </c>
      <c r="E1091" s="50" t="s">
        <v>502</v>
      </c>
      <c r="F1091" s="50" t="s">
        <v>1710</v>
      </c>
      <c r="G1091" s="53" t="s">
        <v>436</v>
      </c>
      <c r="H1091" s="50" t="s">
        <v>1258</v>
      </c>
    </row>
    <row r="1092" customFormat="false" ht="12.8" hidden="false" customHeight="false" outlineLevel="0" collapsed="false">
      <c r="A1092" s="50" t="s">
        <v>3857</v>
      </c>
      <c r="B1092" s="50" t="s">
        <v>3858</v>
      </c>
      <c r="C1092" s="50" t="n">
        <v>0.018</v>
      </c>
      <c r="D1092" s="50" t="s">
        <v>3859</v>
      </c>
      <c r="E1092" s="50" t="s">
        <v>502</v>
      </c>
      <c r="F1092" s="50" t="s">
        <v>1710</v>
      </c>
      <c r="G1092" s="53" t="s">
        <v>436</v>
      </c>
      <c r="H1092" s="50" t="s">
        <v>1258</v>
      </c>
    </row>
    <row r="1093" customFormat="false" ht="12.8" hidden="false" customHeight="false" outlineLevel="0" collapsed="false">
      <c r="A1093" s="50" t="s">
        <v>3860</v>
      </c>
      <c r="B1093" s="50" t="s">
        <v>3861</v>
      </c>
      <c r="C1093" s="50" t="n">
        <v>0.012</v>
      </c>
      <c r="D1093" s="50" t="s">
        <v>3862</v>
      </c>
      <c r="E1093" s="50" t="s">
        <v>440</v>
      </c>
      <c r="F1093" s="50" t="s">
        <v>1710</v>
      </c>
      <c r="G1093" s="53" t="s">
        <v>436</v>
      </c>
      <c r="H1093" s="50" t="s">
        <v>1258</v>
      </c>
    </row>
    <row r="1094" customFormat="false" ht="12.8" hidden="false" customHeight="false" outlineLevel="0" collapsed="false">
      <c r="A1094" s="50" t="s">
        <v>3863</v>
      </c>
      <c r="B1094" s="50" t="s">
        <v>3864</v>
      </c>
      <c r="C1094" s="50" t="n">
        <v>0.008</v>
      </c>
      <c r="D1094" s="50" t="s">
        <v>3865</v>
      </c>
      <c r="E1094" s="50" t="s">
        <v>434</v>
      </c>
      <c r="F1094" s="50" t="s">
        <v>1710</v>
      </c>
      <c r="G1094" s="53" t="s">
        <v>436</v>
      </c>
      <c r="H1094" s="50" t="s">
        <v>1258</v>
      </c>
    </row>
    <row r="1095" customFormat="false" ht="12.8" hidden="false" customHeight="false" outlineLevel="0" collapsed="false">
      <c r="A1095" s="50" t="s">
        <v>3866</v>
      </c>
      <c r="B1095" s="50" t="s">
        <v>3867</v>
      </c>
      <c r="C1095" s="50" t="n">
        <v>0.92</v>
      </c>
      <c r="D1095" s="50" t="s">
        <v>3868</v>
      </c>
      <c r="E1095" s="50" t="s">
        <v>434</v>
      </c>
      <c r="F1095" s="50" t="s">
        <v>1710</v>
      </c>
      <c r="G1095" s="53" t="s">
        <v>436</v>
      </c>
      <c r="H1095" s="50" t="s">
        <v>1258</v>
      </c>
    </row>
    <row r="1096" customFormat="false" ht="12.8" hidden="false" customHeight="false" outlineLevel="0" collapsed="false">
      <c r="A1096" s="50" t="s">
        <v>3869</v>
      </c>
      <c r="B1096" s="50" t="s">
        <v>3870</v>
      </c>
      <c r="C1096" s="50" t="n">
        <v>0.85</v>
      </c>
      <c r="D1096" s="50" t="s">
        <v>3871</v>
      </c>
      <c r="E1096" s="50" t="s">
        <v>502</v>
      </c>
      <c r="F1096" s="50" t="s">
        <v>1710</v>
      </c>
      <c r="G1096" s="53" t="s">
        <v>436</v>
      </c>
      <c r="H1096" s="50" t="s">
        <v>1258</v>
      </c>
    </row>
    <row r="1097" customFormat="false" ht="12.8" hidden="false" customHeight="false" outlineLevel="0" collapsed="false">
      <c r="A1097" s="50" t="s">
        <v>3872</v>
      </c>
      <c r="B1097" s="50" t="s">
        <v>3873</v>
      </c>
      <c r="C1097" s="50" t="n">
        <v>0.88</v>
      </c>
      <c r="D1097" s="50" t="s">
        <v>3874</v>
      </c>
      <c r="E1097" s="50" t="s">
        <v>502</v>
      </c>
      <c r="F1097" s="50" t="s">
        <v>1710</v>
      </c>
      <c r="G1097" s="53" t="s">
        <v>436</v>
      </c>
      <c r="H1097" s="50" t="s">
        <v>1258</v>
      </c>
    </row>
    <row r="1098" customFormat="false" ht="12.8" hidden="false" customHeight="false" outlineLevel="0" collapsed="false">
      <c r="A1098" s="50" t="s">
        <v>3875</v>
      </c>
      <c r="B1098" s="50" t="s">
        <v>3876</v>
      </c>
      <c r="C1098" s="50" t="n">
        <v>0.92</v>
      </c>
      <c r="D1098" s="50" t="s">
        <v>3877</v>
      </c>
      <c r="E1098" s="50" t="s">
        <v>434</v>
      </c>
      <c r="F1098" s="50" t="s">
        <v>1710</v>
      </c>
      <c r="G1098" s="53" t="s">
        <v>436</v>
      </c>
      <c r="H1098" s="50" t="s">
        <v>1258</v>
      </c>
    </row>
    <row r="1099" customFormat="false" ht="12.8" hidden="false" customHeight="false" outlineLevel="0" collapsed="false">
      <c r="A1099" s="50" t="s">
        <v>3878</v>
      </c>
      <c r="B1099" s="50" t="s">
        <v>3879</v>
      </c>
      <c r="C1099" s="50" t="n">
        <v>0.88</v>
      </c>
      <c r="D1099" s="50" t="s">
        <v>3880</v>
      </c>
      <c r="E1099" s="50" t="s">
        <v>440</v>
      </c>
      <c r="F1099" s="50" t="s">
        <v>1710</v>
      </c>
      <c r="G1099" s="53" t="s">
        <v>436</v>
      </c>
      <c r="H1099" s="50" t="s">
        <v>1258</v>
      </c>
    </row>
    <row r="1100" customFormat="false" ht="12.8" hidden="false" customHeight="false" outlineLevel="0" collapsed="false">
      <c r="A1100" s="50" t="s">
        <v>3881</v>
      </c>
      <c r="B1100" s="50" t="s">
        <v>3882</v>
      </c>
      <c r="C1100" s="50" t="n">
        <v>0.9</v>
      </c>
      <c r="D1100" s="50" t="s">
        <v>3883</v>
      </c>
      <c r="E1100" s="50" t="s">
        <v>434</v>
      </c>
      <c r="F1100" s="50" t="s">
        <v>1710</v>
      </c>
      <c r="G1100" s="53" t="s">
        <v>436</v>
      </c>
      <c r="H1100" s="50" t="s">
        <v>1258</v>
      </c>
    </row>
    <row r="1101" customFormat="false" ht="12.8" hidden="false" customHeight="false" outlineLevel="0" collapsed="false">
      <c r="A1101" s="50" t="s">
        <v>3884</v>
      </c>
      <c r="B1101" s="50" t="s">
        <v>3885</v>
      </c>
      <c r="C1101" s="50" t="n">
        <v>0.9</v>
      </c>
      <c r="D1101" s="50" t="s">
        <v>3886</v>
      </c>
      <c r="E1101" s="50" t="s">
        <v>434</v>
      </c>
      <c r="F1101" s="50" t="s">
        <v>1710</v>
      </c>
      <c r="G1101" s="53" t="s">
        <v>436</v>
      </c>
      <c r="H1101" s="50" t="s">
        <v>1258</v>
      </c>
    </row>
    <row r="1102" customFormat="false" ht="12.8" hidden="false" customHeight="false" outlineLevel="0" collapsed="false">
      <c r="A1102" s="50" t="s">
        <v>3887</v>
      </c>
      <c r="B1102" s="50" t="s">
        <v>3888</v>
      </c>
      <c r="C1102" s="50" t="n">
        <v>0.9</v>
      </c>
      <c r="D1102" s="50" t="s">
        <v>3889</v>
      </c>
      <c r="E1102" s="50" t="s">
        <v>434</v>
      </c>
      <c r="F1102" s="50" t="s">
        <v>1710</v>
      </c>
      <c r="G1102" s="53" t="s">
        <v>436</v>
      </c>
      <c r="H1102" s="50" t="s">
        <v>1258</v>
      </c>
    </row>
    <row r="1103" customFormat="false" ht="12.8" hidden="false" customHeight="false" outlineLevel="0" collapsed="false">
      <c r="A1103" s="50" t="s">
        <v>3890</v>
      </c>
      <c r="B1103" s="50" t="s">
        <v>3891</v>
      </c>
      <c r="C1103" s="50" t="n">
        <v>0.9</v>
      </c>
      <c r="D1103" s="50" t="s">
        <v>3892</v>
      </c>
      <c r="E1103" s="50" t="s">
        <v>434</v>
      </c>
      <c r="F1103" s="50" t="s">
        <v>1710</v>
      </c>
      <c r="G1103" s="53" t="s">
        <v>436</v>
      </c>
      <c r="H1103" s="50" t="s">
        <v>1258</v>
      </c>
    </row>
    <row r="1104" customFormat="false" ht="12.8" hidden="false" customHeight="false" outlineLevel="0" collapsed="false">
      <c r="A1104" s="50" t="s">
        <v>3893</v>
      </c>
      <c r="B1104" s="50" t="s">
        <v>3894</v>
      </c>
      <c r="C1104" s="50" t="n">
        <v>0.85</v>
      </c>
      <c r="D1104" s="50" t="s">
        <v>3895</v>
      </c>
      <c r="E1104" s="50" t="s">
        <v>440</v>
      </c>
      <c r="F1104" s="50" t="s">
        <v>1710</v>
      </c>
      <c r="G1104" s="53" t="s">
        <v>436</v>
      </c>
      <c r="H1104" s="50" t="s">
        <v>1258</v>
      </c>
    </row>
    <row r="1105" customFormat="false" ht="12.8" hidden="false" customHeight="false" outlineLevel="0" collapsed="false">
      <c r="A1105" s="50" t="s">
        <v>3896</v>
      </c>
      <c r="B1105" s="50" t="s">
        <v>3897</v>
      </c>
      <c r="C1105" s="50" t="n">
        <v>0.85</v>
      </c>
      <c r="D1105" s="50" t="s">
        <v>3898</v>
      </c>
      <c r="E1105" s="50" t="s">
        <v>440</v>
      </c>
      <c r="F1105" s="50" t="s">
        <v>1710</v>
      </c>
      <c r="G1105" s="53" t="s">
        <v>436</v>
      </c>
      <c r="H1105" s="50" t="s">
        <v>1258</v>
      </c>
    </row>
    <row r="1106" customFormat="false" ht="12.8" hidden="false" customHeight="false" outlineLevel="0" collapsed="false">
      <c r="A1106" s="50" t="s">
        <v>3899</v>
      </c>
      <c r="B1106" s="50" t="s">
        <v>3900</v>
      </c>
      <c r="C1106" s="50" t="n">
        <v>0.9</v>
      </c>
      <c r="D1106" s="50" t="s">
        <v>3901</v>
      </c>
      <c r="E1106" s="50" t="s">
        <v>434</v>
      </c>
      <c r="F1106" s="50" t="s">
        <v>1710</v>
      </c>
      <c r="G1106" s="53" t="s">
        <v>436</v>
      </c>
      <c r="H1106" s="50" t="s">
        <v>1258</v>
      </c>
    </row>
    <row r="1107" customFormat="false" ht="12.8" hidden="false" customHeight="false" outlineLevel="0" collapsed="false">
      <c r="A1107" s="50" t="s">
        <v>3902</v>
      </c>
      <c r="B1107" s="50" t="s">
        <v>3903</v>
      </c>
      <c r="C1107" s="50" t="n">
        <v>0.9</v>
      </c>
      <c r="D1107" s="50" t="s">
        <v>3904</v>
      </c>
      <c r="E1107" s="50" t="s">
        <v>434</v>
      </c>
      <c r="F1107" s="50" t="s">
        <v>1710</v>
      </c>
      <c r="G1107" s="53" t="s">
        <v>436</v>
      </c>
      <c r="H1107" s="50" t="s">
        <v>1258</v>
      </c>
    </row>
    <row r="1108" customFormat="false" ht="12.8" hidden="false" customHeight="false" outlineLevel="0" collapsed="false">
      <c r="A1108" s="50" t="s">
        <v>3905</v>
      </c>
      <c r="B1108" s="50" t="s">
        <v>3906</v>
      </c>
      <c r="C1108" s="50" t="n">
        <v>0.9</v>
      </c>
      <c r="D1108" s="50" t="s">
        <v>3907</v>
      </c>
      <c r="E1108" s="50" t="s">
        <v>434</v>
      </c>
      <c r="F1108" s="50" t="s">
        <v>1710</v>
      </c>
      <c r="G1108" s="53" t="s">
        <v>436</v>
      </c>
      <c r="H1108" s="50" t="s">
        <v>1258</v>
      </c>
    </row>
    <row r="1109" customFormat="false" ht="12.8" hidden="false" customHeight="false" outlineLevel="0" collapsed="false">
      <c r="A1109" s="50" t="s">
        <v>3908</v>
      </c>
      <c r="B1109" s="50" t="s">
        <v>3909</v>
      </c>
      <c r="C1109" s="50" t="n">
        <v>0.95</v>
      </c>
      <c r="D1109" s="50" t="s">
        <v>3910</v>
      </c>
      <c r="E1109" s="50" t="s">
        <v>434</v>
      </c>
      <c r="F1109" s="50" t="s">
        <v>1710</v>
      </c>
      <c r="G1109" s="53" t="s">
        <v>436</v>
      </c>
      <c r="H1109" s="50" t="s">
        <v>1258</v>
      </c>
    </row>
    <row r="1110" customFormat="false" ht="12.8" hidden="false" customHeight="false" outlineLevel="0" collapsed="false">
      <c r="A1110" s="50" t="s">
        <v>3911</v>
      </c>
      <c r="B1110" s="50" t="s">
        <v>3912</v>
      </c>
      <c r="C1110" s="50" t="n">
        <v>0.85</v>
      </c>
      <c r="D1110" s="50" t="s">
        <v>3913</v>
      </c>
      <c r="E1110" s="50" t="s">
        <v>440</v>
      </c>
      <c r="F1110" s="50" t="s">
        <v>1710</v>
      </c>
      <c r="G1110" s="53" t="s">
        <v>436</v>
      </c>
      <c r="H1110" s="50" t="s">
        <v>1258</v>
      </c>
    </row>
    <row r="1111" customFormat="false" ht="12.8" hidden="false" customHeight="false" outlineLevel="0" collapsed="false">
      <c r="A1111" s="50" t="s">
        <v>3914</v>
      </c>
      <c r="B1111" s="50" t="s">
        <v>3915</v>
      </c>
      <c r="C1111" s="50" t="n">
        <v>0.95</v>
      </c>
      <c r="D1111" s="50" t="s">
        <v>3916</v>
      </c>
      <c r="E1111" s="50" t="s">
        <v>434</v>
      </c>
      <c r="F1111" s="50" t="s">
        <v>1710</v>
      </c>
      <c r="G1111" s="53" t="s">
        <v>436</v>
      </c>
      <c r="H1111" s="50" t="s">
        <v>1258</v>
      </c>
    </row>
    <row r="1112" customFormat="false" ht="12.8" hidden="false" customHeight="false" outlineLevel="0" collapsed="false">
      <c r="A1112" s="50" t="s">
        <v>3917</v>
      </c>
      <c r="B1112" s="50" t="s">
        <v>3918</v>
      </c>
      <c r="C1112" s="50" t="n">
        <v>0.85</v>
      </c>
      <c r="D1112" s="50" t="s">
        <v>3919</v>
      </c>
      <c r="E1112" s="50" t="s">
        <v>440</v>
      </c>
      <c r="F1112" s="50" t="s">
        <v>1710</v>
      </c>
      <c r="G1112" s="53" t="s">
        <v>436</v>
      </c>
      <c r="H1112" s="50" t="s">
        <v>1258</v>
      </c>
    </row>
    <row r="1113" customFormat="false" ht="12.8" hidden="false" customHeight="false" outlineLevel="0" collapsed="false">
      <c r="A1113" s="50" t="s">
        <v>3920</v>
      </c>
      <c r="B1113" s="50" t="s">
        <v>3921</v>
      </c>
      <c r="C1113" s="50" t="n">
        <v>0.9</v>
      </c>
      <c r="D1113" s="50" t="s">
        <v>3922</v>
      </c>
      <c r="E1113" s="50" t="s">
        <v>434</v>
      </c>
      <c r="F1113" s="50" t="s">
        <v>1710</v>
      </c>
      <c r="G1113" s="53" t="s">
        <v>436</v>
      </c>
      <c r="H1113" s="50" t="s">
        <v>1258</v>
      </c>
    </row>
    <row r="1114" customFormat="false" ht="12.8" hidden="false" customHeight="false" outlineLevel="0" collapsed="false">
      <c r="A1114" s="50" t="s">
        <v>3923</v>
      </c>
      <c r="B1114" s="50" t="s">
        <v>3924</v>
      </c>
      <c r="C1114" s="50" t="n">
        <v>0.9</v>
      </c>
      <c r="D1114" s="50" t="s">
        <v>3925</v>
      </c>
      <c r="E1114" s="50" t="s">
        <v>434</v>
      </c>
      <c r="F1114" s="50" t="s">
        <v>1710</v>
      </c>
      <c r="G1114" s="53" t="s">
        <v>436</v>
      </c>
      <c r="H1114" s="50" t="s">
        <v>1258</v>
      </c>
    </row>
    <row r="1115" customFormat="false" ht="12.8" hidden="false" customHeight="false" outlineLevel="0" collapsed="false">
      <c r="A1115" s="50" t="s">
        <v>3926</v>
      </c>
      <c r="B1115" s="50" t="s">
        <v>3927</v>
      </c>
      <c r="C1115" s="50" t="n">
        <v>0.85</v>
      </c>
      <c r="D1115" s="50" t="s">
        <v>3928</v>
      </c>
      <c r="E1115" s="50" t="s">
        <v>502</v>
      </c>
      <c r="F1115" s="50" t="s">
        <v>1710</v>
      </c>
      <c r="G1115" s="53" t="s">
        <v>436</v>
      </c>
      <c r="H1115" s="50" t="s">
        <v>1258</v>
      </c>
    </row>
    <row r="1116" customFormat="false" ht="12.8" hidden="false" customHeight="false" outlineLevel="0" collapsed="false">
      <c r="A1116" s="50" t="s">
        <v>3929</v>
      </c>
      <c r="B1116" s="50" t="s">
        <v>3930</v>
      </c>
      <c r="C1116" s="50" t="n">
        <v>0.85</v>
      </c>
      <c r="D1116" s="50" t="s">
        <v>3931</v>
      </c>
      <c r="E1116" s="50" t="s">
        <v>502</v>
      </c>
      <c r="F1116" s="50" t="s">
        <v>1710</v>
      </c>
      <c r="G1116" s="53" t="s">
        <v>436</v>
      </c>
      <c r="H1116" s="50" t="s">
        <v>1258</v>
      </c>
    </row>
    <row r="1117" customFormat="false" ht="12.8" hidden="false" customHeight="false" outlineLevel="0" collapsed="false">
      <c r="A1117" s="50" t="s">
        <v>3932</v>
      </c>
      <c r="B1117" s="50" t="s">
        <v>3933</v>
      </c>
      <c r="C1117" s="50" t="n">
        <v>0.88</v>
      </c>
      <c r="D1117" s="50" t="s">
        <v>3934</v>
      </c>
      <c r="E1117" s="50" t="s">
        <v>440</v>
      </c>
      <c r="F1117" s="50" t="s">
        <v>1710</v>
      </c>
      <c r="G1117" s="53" t="s">
        <v>436</v>
      </c>
      <c r="H1117" s="50" t="s">
        <v>1258</v>
      </c>
    </row>
    <row r="1118" customFormat="false" ht="12.8" hidden="false" customHeight="false" outlineLevel="0" collapsed="false">
      <c r="A1118" s="50" t="s">
        <v>3935</v>
      </c>
      <c r="B1118" s="50" t="s">
        <v>3936</v>
      </c>
      <c r="C1118" s="50" t="n">
        <v>0.92</v>
      </c>
      <c r="D1118" s="50" t="s">
        <v>3937</v>
      </c>
      <c r="E1118" s="50" t="s">
        <v>434</v>
      </c>
      <c r="F1118" s="50" t="s">
        <v>1710</v>
      </c>
      <c r="G1118" s="53" t="s">
        <v>436</v>
      </c>
      <c r="H1118" s="50" t="s">
        <v>1258</v>
      </c>
    </row>
    <row r="1119" customFormat="false" ht="12.8" hidden="false" customHeight="false" outlineLevel="0" collapsed="false">
      <c r="A1119" s="50" t="s">
        <v>3938</v>
      </c>
      <c r="B1119" s="50" t="s">
        <v>3939</v>
      </c>
      <c r="C1119" s="50" t="n">
        <v>0</v>
      </c>
      <c r="D1119" s="50" t="s">
        <v>3940</v>
      </c>
      <c r="E1119" s="50" t="s">
        <v>434</v>
      </c>
      <c r="F1119" s="50" t="s">
        <v>487</v>
      </c>
      <c r="G1119" s="53" t="s">
        <v>436</v>
      </c>
      <c r="H1119" s="50" t="s">
        <v>1258</v>
      </c>
    </row>
    <row r="1120" customFormat="false" ht="12.8" hidden="false" customHeight="false" outlineLevel="0" collapsed="false">
      <c r="A1120" s="50" t="s">
        <v>3941</v>
      </c>
      <c r="B1120" s="50" t="s">
        <v>3942</v>
      </c>
      <c r="C1120" s="50" t="n">
        <v>0.95</v>
      </c>
      <c r="D1120" s="50" t="s">
        <v>3943</v>
      </c>
      <c r="E1120" s="50" t="s">
        <v>434</v>
      </c>
      <c r="F1120" s="50" t="s">
        <v>3944</v>
      </c>
      <c r="G1120" s="53" t="s">
        <v>436</v>
      </c>
      <c r="H1120" s="50" t="s">
        <v>1258</v>
      </c>
    </row>
    <row r="1121" customFormat="false" ht="12.8" hidden="false" customHeight="false" outlineLevel="0" collapsed="false">
      <c r="A1121" s="50" t="s">
        <v>3945</v>
      </c>
      <c r="B1121" s="50" t="s">
        <v>3946</v>
      </c>
      <c r="C1121" s="50" t="n">
        <v>0.145</v>
      </c>
      <c r="D1121" s="50" t="s">
        <v>3947</v>
      </c>
      <c r="E1121" s="50" t="s">
        <v>434</v>
      </c>
      <c r="F1121" s="50" t="s">
        <v>3948</v>
      </c>
      <c r="G1121" s="53" t="s">
        <v>436</v>
      </c>
      <c r="H1121" s="50" t="s">
        <v>3949</v>
      </c>
    </row>
    <row r="1122" customFormat="false" ht="12.8" hidden="false" customHeight="false" outlineLevel="0" collapsed="false">
      <c r="A1122" s="50" t="s">
        <v>3950</v>
      </c>
      <c r="B1122" s="50" t="s">
        <v>3951</v>
      </c>
      <c r="C1122" s="50" t="n">
        <v>0.08</v>
      </c>
      <c r="D1122" s="50" t="s">
        <v>3952</v>
      </c>
      <c r="E1122" s="50" t="s">
        <v>440</v>
      </c>
      <c r="F1122" s="50" t="s">
        <v>3948</v>
      </c>
      <c r="G1122" s="53" t="s">
        <v>436</v>
      </c>
      <c r="H1122" s="50" t="s">
        <v>3953</v>
      </c>
    </row>
    <row r="1123" customFormat="false" ht="12.8" hidden="false" customHeight="false" outlineLevel="0" collapsed="false">
      <c r="A1123" s="50" t="s">
        <v>3954</v>
      </c>
      <c r="B1123" s="50" t="s">
        <v>3955</v>
      </c>
      <c r="C1123" s="50" t="n">
        <v>0.2</v>
      </c>
      <c r="D1123" s="50" t="s">
        <v>3956</v>
      </c>
      <c r="E1123" s="50" t="s">
        <v>434</v>
      </c>
      <c r="F1123" s="50" t="s">
        <v>3948</v>
      </c>
      <c r="G1123" s="53" t="s">
        <v>436</v>
      </c>
      <c r="H1123" s="50" t="s">
        <v>3957</v>
      </c>
    </row>
    <row r="1124" customFormat="false" ht="12.8" hidden="false" customHeight="false" outlineLevel="0" collapsed="false">
      <c r="A1124" s="50" t="s">
        <v>3958</v>
      </c>
      <c r="B1124" s="50" t="s">
        <v>3959</v>
      </c>
      <c r="C1124" s="50" t="n">
        <v>0.22</v>
      </c>
      <c r="D1124" s="50" t="s">
        <v>3960</v>
      </c>
      <c r="E1124" s="50" t="s">
        <v>434</v>
      </c>
      <c r="F1124" s="50" t="s">
        <v>3948</v>
      </c>
      <c r="G1124" s="53" t="s">
        <v>436</v>
      </c>
      <c r="H1124" s="50" t="s">
        <v>1258</v>
      </c>
    </row>
    <row r="1125" customFormat="false" ht="12.8" hidden="false" customHeight="false" outlineLevel="0" collapsed="false">
      <c r="A1125" s="50" t="s">
        <v>3961</v>
      </c>
      <c r="B1125" s="50" t="s">
        <v>3962</v>
      </c>
      <c r="C1125" s="50" t="n">
        <v>0.16</v>
      </c>
      <c r="D1125" s="50" t="s">
        <v>3963</v>
      </c>
      <c r="E1125" s="50" t="s">
        <v>440</v>
      </c>
      <c r="F1125" s="50" t="s">
        <v>3948</v>
      </c>
      <c r="G1125" s="53" t="s">
        <v>436</v>
      </c>
      <c r="H1125" s="50" t="s">
        <v>1258</v>
      </c>
    </row>
    <row r="1126" customFormat="false" ht="12.8" hidden="false" customHeight="false" outlineLevel="0" collapsed="false">
      <c r="A1126" s="50" t="s">
        <v>3964</v>
      </c>
      <c r="B1126" s="50" t="s">
        <v>3965</v>
      </c>
      <c r="C1126" s="50" t="n">
        <v>0.15</v>
      </c>
      <c r="D1126" s="50" t="s">
        <v>3966</v>
      </c>
      <c r="E1126" s="50" t="s">
        <v>434</v>
      </c>
      <c r="F1126" s="50" t="s">
        <v>3948</v>
      </c>
      <c r="G1126" s="53" t="s">
        <v>436</v>
      </c>
      <c r="H1126" s="50" t="s">
        <v>1258</v>
      </c>
    </row>
    <row r="1127" customFormat="false" ht="12.8" hidden="false" customHeight="false" outlineLevel="0" collapsed="false">
      <c r="A1127" s="50" t="s">
        <v>3967</v>
      </c>
      <c r="B1127" s="50" t="s">
        <v>3968</v>
      </c>
      <c r="C1127" s="50" t="n">
        <v>0.14</v>
      </c>
      <c r="D1127" s="50" t="s">
        <v>3969</v>
      </c>
      <c r="E1127" s="50" t="s">
        <v>434</v>
      </c>
      <c r="F1127" s="50" t="s">
        <v>3948</v>
      </c>
      <c r="G1127" s="53" t="s">
        <v>436</v>
      </c>
      <c r="H1127" s="50" t="s">
        <v>1258</v>
      </c>
    </row>
    <row r="1128" customFormat="false" ht="12.8" hidden="false" customHeight="false" outlineLevel="0" collapsed="false">
      <c r="A1128" s="50" t="s">
        <v>3970</v>
      </c>
      <c r="B1128" s="50" t="s">
        <v>3971</v>
      </c>
      <c r="C1128" s="50" t="n">
        <v>0.18</v>
      </c>
      <c r="D1128" s="50" t="s">
        <v>3972</v>
      </c>
      <c r="E1128" s="50" t="s">
        <v>434</v>
      </c>
      <c r="F1128" s="50" t="s">
        <v>3948</v>
      </c>
      <c r="G1128" s="53" t="s">
        <v>436</v>
      </c>
      <c r="H1128" s="50" t="s">
        <v>1258</v>
      </c>
    </row>
    <row r="1129" customFormat="false" ht="12.8" hidden="false" customHeight="false" outlineLevel="0" collapsed="false">
      <c r="A1129" s="50" t="s">
        <v>3973</v>
      </c>
      <c r="B1129" s="50" t="s">
        <v>3974</v>
      </c>
      <c r="C1129" s="50" t="n">
        <v>0.16</v>
      </c>
      <c r="D1129" s="50" t="s">
        <v>3975</v>
      </c>
      <c r="E1129" s="50" t="s">
        <v>434</v>
      </c>
      <c r="F1129" s="50" t="s">
        <v>3948</v>
      </c>
      <c r="G1129" s="53" t="s">
        <v>436</v>
      </c>
      <c r="H1129" s="50" t="s">
        <v>1258</v>
      </c>
    </row>
    <row r="1130" customFormat="false" ht="12.8" hidden="false" customHeight="false" outlineLevel="0" collapsed="false">
      <c r="A1130" s="50" t="s">
        <v>3976</v>
      </c>
      <c r="B1130" s="50" t="s">
        <v>3977</v>
      </c>
      <c r="C1130" s="50" t="n">
        <v>0.13</v>
      </c>
      <c r="D1130" s="50" t="s">
        <v>3978</v>
      </c>
      <c r="E1130" s="50" t="s">
        <v>440</v>
      </c>
      <c r="F1130" s="50" t="s">
        <v>3948</v>
      </c>
      <c r="G1130" s="53" t="s">
        <v>436</v>
      </c>
      <c r="H1130" s="50" t="s">
        <v>1258</v>
      </c>
    </row>
    <row r="1131" customFormat="false" ht="12.8" hidden="false" customHeight="false" outlineLevel="0" collapsed="false">
      <c r="A1131" s="50" t="s">
        <v>3979</v>
      </c>
      <c r="B1131" s="50" t="s">
        <v>3980</v>
      </c>
      <c r="C1131" s="50" t="n">
        <v>0.11</v>
      </c>
      <c r="D1131" s="50" t="s">
        <v>3981</v>
      </c>
      <c r="E1131" s="50" t="s">
        <v>440</v>
      </c>
      <c r="F1131" s="50" t="s">
        <v>3948</v>
      </c>
      <c r="G1131" s="53" t="s">
        <v>436</v>
      </c>
      <c r="H1131" s="50" t="s">
        <v>1258</v>
      </c>
    </row>
    <row r="1132" customFormat="false" ht="12.8" hidden="false" customHeight="false" outlineLevel="0" collapsed="false">
      <c r="A1132" s="50" t="s">
        <v>3982</v>
      </c>
      <c r="B1132" s="50" t="s">
        <v>3983</v>
      </c>
      <c r="C1132" s="50" t="n">
        <v>0.15</v>
      </c>
      <c r="D1132" s="50" t="s">
        <v>3984</v>
      </c>
      <c r="E1132" s="50" t="s">
        <v>434</v>
      </c>
      <c r="F1132" s="50" t="s">
        <v>3948</v>
      </c>
      <c r="G1132" s="53" t="s">
        <v>436</v>
      </c>
      <c r="H1132" s="50" t="s">
        <v>1258</v>
      </c>
    </row>
    <row r="1133" customFormat="false" ht="12.8" hidden="false" customHeight="false" outlineLevel="0" collapsed="false">
      <c r="A1133" s="50" t="s">
        <v>3985</v>
      </c>
      <c r="B1133" s="50" t="s">
        <v>3986</v>
      </c>
      <c r="C1133" s="50" t="n">
        <v>0.14</v>
      </c>
      <c r="D1133" s="50" t="s">
        <v>3987</v>
      </c>
      <c r="E1133" s="50" t="s">
        <v>434</v>
      </c>
      <c r="F1133" s="50" t="s">
        <v>3948</v>
      </c>
      <c r="G1133" s="53" t="s">
        <v>436</v>
      </c>
      <c r="H1133" s="50" t="s">
        <v>1258</v>
      </c>
    </row>
    <row r="1134" customFormat="false" ht="12.8" hidden="false" customHeight="false" outlineLevel="0" collapsed="false">
      <c r="A1134" s="50" t="s">
        <v>3988</v>
      </c>
      <c r="B1134" s="50" t="s">
        <v>3989</v>
      </c>
      <c r="C1134" s="50" t="n">
        <v>0.22</v>
      </c>
      <c r="D1134" s="50" t="s">
        <v>3990</v>
      </c>
      <c r="E1134" s="50" t="s">
        <v>434</v>
      </c>
      <c r="F1134" s="50" t="s">
        <v>3948</v>
      </c>
      <c r="G1134" s="53" t="s">
        <v>436</v>
      </c>
      <c r="H1134" s="50" t="s">
        <v>1258</v>
      </c>
    </row>
    <row r="1135" customFormat="false" ht="12.8" hidden="false" customHeight="false" outlineLevel="0" collapsed="false">
      <c r="A1135" s="50" t="s">
        <v>3991</v>
      </c>
      <c r="B1135" s="50" t="s">
        <v>3992</v>
      </c>
      <c r="C1135" s="50" t="n">
        <v>0.28</v>
      </c>
      <c r="D1135" s="50" t="s">
        <v>3993</v>
      </c>
      <c r="E1135" s="50" t="s">
        <v>434</v>
      </c>
      <c r="F1135" s="50" t="s">
        <v>3948</v>
      </c>
      <c r="G1135" s="53" t="s">
        <v>436</v>
      </c>
      <c r="H1135" s="50" t="s">
        <v>3994</v>
      </c>
    </row>
    <row r="1136" customFormat="false" ht="12.8" hidden="false" customHeight="false" outlineLevel="0" collapsed="false">
      <c r="A1136" s="50" t="s">
        <v>3995</v>
      </c>
      <c r="B1136" s="50" t="s">
        <v>3996</v>
      </c>
      <c r="C1136" s="50" t="n">
        <v>0.17</v>
      </c>
      <c r="D1136" s="50" t="s">
        <v>3997</v>
      </c>
      <c r="E1136" s="50" t="s">
        <v>440</v>
      </c>
      <c r="F1136" s="50" t="s">
        <v>3948</v>
      </c>
      <c r="G1136" s="53" t="s">
        <v>436</v>
      </c>
      <c r="H1136" s="50" t="s">
        <v>1258</v>
      </c>
    </row>
    <row r="1137" customFormat="false" ht="12.8" hidden="false" customHeight="false" outlineLevel="0" collapsed="false">
      <c r="A1137" s="50" t="s">
        <v>3998</v>
      </c>
      <c r="B1137" s="50" t="s">
        <v>3999</v>
      </c>
      <c r="C1137" s="50" t="n">
        <v>0.25</v>
      </c>
      <c r="D1137" s="50" t="s">
        <v>4000</v>
      </c>
      <c r="E1137" s="50" t="s">
        <v>434</v>
      </c>
      <c r="F1137" s="50" t="s">
        <v>3948</v>
      </c>
      <c r="G1137" s="53" t="s">
        <v>436</v>
      </c>
      <c r="H1137" s="50" t="s">
        <v>1258</v>
      </c>
    </row>
    <row r="1138" customFormat="false" ht="12.8" hidden="false" customHeight="false" outlineLevel="0" collapsed="false">
      <c r="A1138" s="50" t="s">
        <v>4001</v>
      </c>
      <c r="B1138" s="50" t="s">
        <v>4002</v>
      </c>
      <c r="C1138" s="50" t="n">
        <v>0.12</v>
      </c>
      <c r="D1138" s="50" t="s">
        <v>4003</v>
      </c>
      <c r="E1138" s="50" t="s">
        <v>440</v>
      </c>
      <c r="F1138" s="50" t="s">
        <v>3948</v>
      </c>
      <c r="G1138" s="53" t="s">
        <v>436</v>
      </c>
      <c r="H1138" s="50" t="s">
        <v>1258</v>
      </c>
    </row>
    <row r="1139" customFormat="false" ht="12.8" hidden="false" customHeight="false" outlineLevel="0" collapsed="false">
      <c r="A1139" s="50" t="s">
        <v>4004</v>
      </c>
      <c r="B1139" s="50" t="s">
        <v>4005</v>
      </c>
      <c r="C1139" s="50" t="n">
        <v>0.18</v>
      </c>
      <c r="D1139" s="50" t="s">
        <v>4006</v>
      </c>
      <c r="E1139" s="50" t="s">
        <v>434</v>
      </c>
      <c r="F1139" s="50" t="s">
        <v>3948</v>
      </c>
      <c r="G1139" s="53" t="s">
        <v>436</v>
      </c>
      <c r="H1139" s="50" t="s">
        <v>1258</v>
      </c>
    </row>
    <row r="1140" customFormat="false" ht="12.8" hidden="false" customHeight="false" outlineLevel="0" collapsed="false">
      <c r="A1140" s="50" t="s">
        <v>4007</v>
      </c>
      <c r="B1140" s="50" t="s">
        <v>4008</v>
      </c>
      <c r="C1140" s="50" t="n">
        <v>0.19</v>
      </c>
      <c r="D1140" s="50" t="s">
        <v>4009</v>
      </c>
      <c r="E1140" s="50" t="s">
        <v>434</v>
      </c>
      <c r="F1140" s="50" t="s">
        <v>3948</v>
      </c>
      <c r="G1140" s="53" t="s">
        <v>436</v>
      </c>
      <c r="H1140" s="50" t="s">
        <v>1258</v>
      </c>
    </row>
    <row r="1141" customFormat="false" ht="12.8" hidden="false" customHeight="false" outlineLevel="0" collapsed="false">
      <c r="A1141" s="50" t="s">
        <v>4010</v>
      </c>
      <c r="B1141" s="50" t="s">
        <v>4011</v>
      </c>
      <c r="C1141" s="50" t="n">
        <v>0.13</v>
      </c>
      <c r="D1141" s="50" t="s">
        <v>4012</v>
      </c>
      <c r="E1141" s="50" t="s">
        <v>440</v>
      </c>
      <c r="F1141" s="50" t="s">
        <v>3948</v>
      </c>
      <c r="G1141" s="53" t="s">
        <v>436</v>
      </c>
      <c r="H1141" s="50" t="s">
        <v>1258</v>
      </c>
    </row>
    <row r="1142" customFormat="false" ht="12.8" hidden="false" customHeight="false" outlineLevel="0" collapsed="false">
      <c r="A1142" s="50" t="s">
        <v>4013</v>
      </c>
      <c r="B1142" s="50" t="s">
        <v>4014</v>
      </c>
      <c r="C1142" s="50" t="n">
        <v>0.09</v>
      </c>
      <c r="D1142" s="50" t="s">
        <v>4015</v>
      </c>
      <c r="E1142" s="50" t="s">
        <v>440</v>
      </c>
      <c r="F1142" s="50" t="s">
        <v>3948</v>
      </c>
      <c r="G1142" s="53" t="s">
        <v>436</v>
      </c>
      <c r="H1142" s="50" t="s">
        <v>4016</v>
      </c>
    </row>
    <row r="1143" customFormat="false" ht="12.8" hidden="false" customHeight="false" outlineLevel="0" collapsed="false">
      <c r="A1143" s="50" t="s">
        <v>4017</v>
      </c>
      <c r="B1143" s="50" t="s">
        <v>4018</v>
      </c>
      <c r="C1143" s="50" t="n">
        <v>0.14</v>
      </c>
      <c r="D1143" s="50" t="s">
        <v>4019</v>
      </c>
      <c r="E1143" s="50" t="s">
        <v>440</v>
      </c>
      <c r="F1143" s="50" t="s">
        <v>3948</v>
      </c>
      <c r="G1143" s="53" t="s">
        <v>436</v>
      </c>
      <c r="H1143" s="50" t="s">
        <v>1258</v>
      </c>
    </row>
    <row r="1144" customFormat="false" ht="12.8" hidden="false" customHeight="false" outlineLevel="0" collapsed="false">
      <c r="A1144" s="50" t="s">
        <v>4020</v>
      </c>
      <c r="B1144" s="50" t="s">
        <v>4021</v>
      </c>
      <c r="C1144" s="50" t="n">
        <v>0.2</v>
      </c>
      <c r="D1144" s="50" t="s">
        <v>4022</v>
      </c>
      <c r="E1144" s="50" t="s">
        <v>434</v>
      </c>
      <c r="F1144" s="50" t="s">
        <v>3948</v>
      </c>
      <c r="G1144" s="53" t="s">
        <v>436</v>
      </c>
      <c r="H1144" s="50" t="s">
        <v>1258</v>
      </c>
    </row>
    <row r="1145" customFormat="false" ht="12.8" hidden="false" customHeight="false" outlineLevel="0" collapsed="false">
      <c r="A1145" s="50" t="s">
        <v>4023</v>
      </c>
      <c r="B1145" s="50" t="s">
        <v>4024</v>
      </c>
      <c r="C1145" s="50" t="n">
        <v>9640</v>
      </c>
      <c r="D1145" s="50" t="s">
        <v>4025</v>
      </c>
      <c r="E1145" s="50" t="s">
        <v>434</v>
      </c>
      <c r="F1145" s="50" t="s">
        <v>4026</v>
      </c>
      <c r="G1145" s="53" t="s">
        <v>436</v>
      </c>
      <c r="H1145" s="50" t="s">
        <v>4027</v>
      </c>
    </row>
    <row r="1146" customFormat="false" ht="12.8" hidden="false" customHeight="false" outlineLevel="0" collapsed="false">
      <c r="A1146" s="50" t="s">
        <v>4028</v>
      </c>
      <c r="B1146" s="50" t="s">
        <v>4029</v>
      </c>
      <c r="C1146" s="50" t="n">
        <v>2812</v>
      </c>
      <c r="D1146" s="50" t="s">
        <v>4030</v>
      </c>
      <c r="E1146" s="50" t="s">
        <v>440</v>
      </c>
      <c r="F1146" s="50" t="s">
        <v>4026</v>
      </c>
      <c r="G1146" s="53" t="s">
        <v>436</v>
      </c>
      <c r="H1146" s="50" t="s">
        <v>4031</v>
      </c>
    </row>
    <row r="1147" customFormat="false" ht="12.8" hidden="false" customHeight="false" outlineLevel="0" collapsed="false">
      <c r="A1147" s="50" t="s">
        <v>4032</v>
      </c>
      <c r="B1147" s="50" t="s">
        <v>4033</v>
      </c>
      <c r="C1147" s="50" t="n">
        <v>14700</v>
      </c>
      <c r="D1147" s="50" t="s">
        <v>4034</v>
      </c>
      <c r="E1147" s="50" t="s">
        <v>434</v>
      </c>
      <c r="F1147" s="50" t="s">
        <v>4026</v>
      </c>
      <c r="G1147" s="53" t="s">
        <v>436</v>
      </c>
      <c r="H1147" s="50" t="s">
        <v>4035</v>
      </c>
    </row>
    <row r="1148" customFormat="false" ht="12.8" hidden="false" customHeight="false" outlineLevel="0" collapsed="false">
      <c r="A1148" s="50" t="s">
        <v>4036</v>
      </c>
      <c r="B1148" s="50" t="s">
        <v>4037</v>
      </c>
      <c r="C1148" s="50" t="n">
        <v>18304</v>
      </c>
      <c r="D1148" s="50" t="s">
        <v>4038</v>
      </c>
      <c r="E1148" s="50" t="s">
        <v>434</v>
      </c>
      <c r="F1148" s="50" t="s">
        <v>4026</v>
      </c>
      <c r="G1148" s="53" t="s">
        <v>436</v>
      </c>
      <c r="H1148" s="50" t="s">
        <v>4039</v>
      </c>
    </row>
    <row r="1149" customFormat="false" ht="12.8" hidden="false" customHeight="false" outlineLevel="0" collapsed="false">
      <c r="A1149" s="50" t="s">
        <v>4040</v>
      </c>
      <c r="B1149" s="50" t="s">
        <v>4041</v>
      </c>
      <c r="C1149" s="50" t="n">
        <v>9184</v>
      </c>
      <c r="D1149" s="50" t="s">
        <v>4042</v>
      </c>
      <c r="E1149" s="50" t="s">
        <v>440</v>
      </c>
      <c r="F1149" s="50" t="s">
        <v>4026</v>
      </c>
      <c r="G1149" s="53" t="s">
        <v>436</v>
      </c>
      <c r="H1149" s="50" t="s">
        <v>4043</v>
      </c>
    </row>
    <row r="1150" customFormat="false" ht="12.8" hidden="false" customHeight="false" outlineLevel="0" collapsed="false">
      <c r="A1150" s="50" t="s">
        <v>4044</v>
      </c>
      <c r="B1150" s="50" t="s">
        <v>4045</v>
      </c>
      <c r="C1150" s="50" t="n">
        <v>9600</v>
      </c>
      <c r="D1150" s="50" t="s">
        <v>4046</v>
      </c>
      <c r="E1150" s="50" t="s">
        <v>434</v>
      </c>
      <c r="F1150" s="50" t="s">
        <v>4026</v>
      </c>
      <c r="G1150" s="53" t="s">
        <v>436</v>
      </c>
      <c r="H1150" s="50" t="s">
        <v>4047</v>
      </c>
    </row>
    <row r="1151" customFormat="false" ht="12.8" hidden="false" customHeight="false" outlineLevel="0" collapsed="false">
      <c r="A1151" s="50" t="s">
        <v>4048</v>
      </c>
      <c r="B1151" s="50" t="s">
        <v>4049</v>
      </c>
      <c r="C1151" s="50" t="n">
        <v>8400</v>
      </c>
      <c r="D1151" s="50" t="s">
        <v>4050</v>
      </c>
      <c r="E1151" s="50" t="s">
        <v>434</v>
      </c>
      <c r="F1151" s="50" t="s">
        <v>4026</v>
      </c>
      <c r="G1151" s="53" t="s">
        <v>436</v>
      </c>
      <c r="H1151" s="50" t="s">
        <v>4051</v>
      </c>
    </row>
    <row r="1152" customFormat="false" ht="12.8" hidden="false" customHeight="false" outlineLevel="0" collapsed="false">
      <c r="A1152" s="50" t="s">
        <v>4052</v>
      </c>
      <c r="B1152" s="50" t="s">
        <v>4053</v>
      </c>
      <c r="C1152" s="50" t="n">
        <v>13230</v>
      </c>
      <c r="D1152" s="50" t="s">
        <v>4054</v>
      </c>
      <c r="E1152" s="50" t="s">
        <v>434</v>
      </c>
      <c r="F1152" s="50" t="s">
        <v>4026</v>
      </c>
      <c r="G1152" s="53" t="s">
        <v>436</v>
      </c>
      <c r="H1152" s="50" t="s">
        <v>4055</v>
      </c>
    </row>
    <row r="1153" customFormat="false" ht="12.8" hidden="false" customHeight="false" outlineLevel="0" collapsed="false">
      <c r="A1153" s="50" t="s">
        <v>4056</v>
      </c>
      <c r="B1153" s="50" t="s">
        <v>4057</v>
      </c>
      <c r="C1153" s="50" t="n">
        <v>10496</v>
      </c>
      <c r="D1153" s="50" t="s">
        <v>4058</v>
      </c>
      <c r="E1153" s="50" t="s">
        <v>434</v>
      </c>
      <c r="F1153" s="50" t="s">
        <v>4026</v>
      </c>
      <c r="G1153" s="53" t="s">
        <v>436</v>
      </c>
      <c r="H1153" s="50" t="s">
        <v>4059</v>
      </c>
    </row>
    <row r="1154" customFormat="false" ht="12.8" hidden="false" customHeight="false" outlineLevel="0" collapsed="false">
      <c r="A1154" s="50" t="s">
        <v>4060</v>
      </c>
      <c r="B1154" s="50" t="s">
        <v>4061</v>
      </c>
      <c r="C1154" s="50" t="n">
        <v>5850</v>
      </c>
      <c r="D1154" s="50" t="s">
        <v>4062</v>
      </c>
      <c r="E1154" s="50" t="s">
        <v>440</v>
      </c>
      <c r="F1154" s="50" t="s">
        <v>4026</v>
      </c>
      <c r="G1154" s="53" t="s">
        <v>436</v>
      </c>
      <c r="H1154" s="50" t="s">
        <v>4063</v>
      </c>
    </row>
    <row r="1155" customFormat="false" ht="12.8" hidden="false" customHeight="false" outlineLevel="0" collapsed="false">
      <c r="A1155" s="50" t="s">
        <v>4064</v>
      </c>
      <c r="B1155" s="50" t="s">
        <v>4065</v>
      </c>
      <c r="C1155" s="50" t="n">
        <v>4235</v>
      </c>
      <c r="D1155" s="50" t="s">
        <v>4066</v>
      </c>
      <c r="E1155" s="50" t="s">
        <v>440</v>
      </c>
      <c r="F1155" s="50" t="s">
        <v>4026</v>
      </c>
      <c r="G1155" s="53" t="s">
        <v>436</v>
      </c>
      <c r="H1155" s="50" t="s">
        <v>4067</v>
      </c>
    </row>
    <row r="1156" customFormat="false" ht="12.8" hidden="false" customHeight="false" outlineLevel="0" collapsed="false">
      <c r="A1156" s="50" t="s">
        <v>4068</v>
      </c>
      <c r="B1156" s="50" t="s">
        <v>4069</v>
      </c>
      <c r="C1156" s="50" t="n">
        <v>9000</v>
      </c>
      <c r="D1156" s="50" t="s">
        <v>4070</v>
      </c>
      <c r="E1156" s="50" t="s">
        <v>434</v>
      </c>
      <c r="F1156" s="50" t="s">
        <v>4026</v>
      </c>
      <c r="G1156" s="53" t="s">
        <v>436</v>
      </c>
      <c r="H1156" s="50" t="s">
        <v>4071</v>
      </c>
    </row>
    <row r="1157" customFormat="false" ht="12.8" hidden="false" customHeight="false" outlineLevel="0" collapsed="false">
      <c r="A1157" s="50" t="s">
        <v>4072</v>
      </c>
      <c r="B1157" s="50" t="s">
        <v>4073</v>
      </c>
      <c r="C1157" s="50" t="n">
        <v>7644</v>
      </c>
      <c r="D1157" s="50" t="s">
        <v>4074</v>
      </c>
      <c r="E1157" s="50" t="s">
        <v>434</v>
      </c>
      <c r="F1157" s="50" t="s">
        <v>4026</v>
      </c>
      <c r="G1157" s="53" t="s">
        <v>436</v>
      </c>
      <c r="H1157" s="50" t="s">
        <v>4075</v>
      </c>
    </row>
    <row r="1158" customFormat="false" ht="12.8" hidden="false" customHeight="false" outlineLevel="0" collapsed="false">
      <c r="A1158" s="50" t="s">
        <v>4076</v>
      </c>
      <c r="B1158" s="50" t="s">
        <v>4077</v>
      </c>
      <c r="C1158" s="50" t="n">
        <v>18304</v>
      </c>
      <c r="D1158" s="50" t="s">
        <v>4078</v>
      </c>
      <c r="E1158" s="50" t="s">
        <v>434</v>
      </c>
      <c r="F1158" s="50" t="s">
        <v>4026</v>
      </c>
      <c r="G1158" s="53" t="s">
        <v>436</v>
      </c>
      <c r="H1158" s="50" t="s">
        <v>4039</v>
      </c>
    </row>
    <row r="1159" customFormat="false" ht="12.8" hidden="false" customHeight="false" outlineLevel="0" collapsed="false">
      <c r="A1159" s="50" t="s">
        <v>4079</v>
      </c>
      <c r="B1159" s="50" t="s">
        <v>4080</v>
      </c>
      <c r="C1159" s="50" t="n">
        <v>32032</v>
      </c>
      <c r="D1159" s="50" t="s">
        <v>4081</v>
      </c>
      <c r="E1159" s="50" t="s">
        <v>434</v>
      </c>
      <c r="F1159" s="50" t="s">
        <v>4026</v>
      </c>
      <c r="G1159" s="53" t="s">
        <v>436</v>
      </c>
      <c r="H1159" s="50" t="s">
        <v>4082</v>
      </c>
    </row>
    <row r="1160" customFormat="false" ht="12.8" hidden="false" customHeight="false" outlineLevel="0" collapsed="false">
      <c r="A1160" s="50" t="s">
        <v>4083</v>
      </c>
      <c r="B1160" s="50" t="s">
        <v>4084</v>
      </c>
      <c r="C1160" s="50" t="n">
        <v>10880</v>
      </c>
      <c r="D1160" s="50" t="s">
        <v>4085</v>
      </c>
      <c r="E1160" s="50" t="s">
        <v>440</v>
      </c>
      <c r="F1160" s="50" t="s">
        <v>4026</v>
      </c>
      <c r="G1160" s="53" t="s">
        <v>436</v>
      </c>
      <c r="H1160" s="50" t="s">
        <v>4086</v>
      </c>
    </row>
    <row r="1161" customFormat="false" ht="12.8" hidden="false" customHeight="false" outlineLevel="0" collapsed="false">
      <c r="A1161" s="50" t="s">
        <v>4087</v>
      </c>
      <c r="B1161" s="50" t="s">
        <v>4088</v>
      </c>
      <c r="C1161" s="50" t="n">
        <v>24188</v>
      </c>
      <c r="D1161" s="50" t="s">
        <v>4089</v>
      </c>
      <c r="E1161" s="50" t="s">
        <v>434</v>
      </c>
      <c r="F1161" s="50" t="s">
        <v>4026</v>
      </c>
      <c r="G1161" s="53" t="s">
        <v>436</v>
      </c>
      <c r="H1161" s="50" t="s">
        <v>4090</v>
      </c>
    </row>
    <row r="1162" customFormat="false" ht="12.8" hidden="false" customHeight="false" outlineLevel="0" collapsed="false">
      <c r="A1162" s="50" t="s">
        <v>4091</v>
      </c>
      <c r="B1162" s="50" t="s">
        <v>4092</v>
      </c>
      <c r="C1162" s="50" t="n">
        <v>5400</v>
      </c>
      <c r="D1162" s="50" t="s">
        <v>4093</v>
      </c>
      <c r="E1162" s="50" t="s">
        <v>440</v>
      </c>
      <c r="F1162" s="50" t="s">
        <v>4026</v>
      </c>
      <c r="G1162" s="53" t="s">
        <v>436</v>
      </c>
      <c r="H1162" s="50" t="s">
        <v>4094</v>
      </c>
    </row>
    <row r="1163" customFormat="false" ht="12.8" hidden="false" customHeight="false" outlineLevel="0" collapsed="false">
      <c r="A1163" s="50" t="s">
        <v>4095</v>
      </c>
      <c r="B1163" s="50" t="s">
        <v>4096</v>
      </c>
      <c r="C1163" s="50" t="n">
        <v>12285</v>
      </c>
      <c r="D1163" s="50" t="s">
        <v>4097</v>
      </c>
      <c r="E1163" s="50" t="s">
        <v>434</v>
      </c>
      <c r="F1163" s="50" t="s">
        <v>4026</v>
      </c>
      <c r="G1163" s="53" t="s">
        <v>436</v>
      </c>
      <c r="H1163" s="50" t="s">
        <v>4098</v>
      </c>
    </row>
    <row r="1164" customFormat="false" ht="12.8" hidden="false" customHeight="false" outlineLevel="0" collapsed="false">
      <c r="A1164" s="50" t="s">
        <v>4099</v>
      </c>
      <c r="B1164" s="50" t="s">
        <v>4100</v>
      </c>
      <c r="C1164" s="50" t="n">
        <v>13300</v>
      </c>
      <c r="D1164" s="50" t="s">
        <v>4101</v>
      </c>
      <c r="E1164" s="50" t="s">
        <v>434</v>
      </c>
      <c r="F1164" s="50" t="s">
        <v>4026</v>
      </c>
      <c r="G1164" s="53" t="s">
        <v>436</v>
      </c>
      <c r="H1164" s="50" t="s">
        <v>4102</v>
      </c>
    </row>
    <row r="1165" customFormat="false" ht="12.8" hidden="false" customHeight="false" outlineLevel="0" collapsed="false">
      <c r="A1165" s="50" t="s">
        <v>4103</v>
      </c>
      <c r="B1165" s="50" t="s">
        <v>4104</v>
      </c>
      <c r="C1165" s="50" t="n">
        <v>4420</v>
      </c>
      <c r="D1165" s="50" t="s">
        <v>4105</v>
      </c>
      <c r="E1165" s="50" t="s">
        <v>440</v>
      </c>
      <c r="F1165" s="50" t="s">
        <v>4026</v>
      </c>
      <c r="G1165" s="53" t="s">
        <v>436</v>
      </c>
      <c r="H1165" s="50" t="s">
        <v>4106</v>
      </c>
    </row>
    <row r="1166" customFormat="false" ht="12.8" hidden="false" customHeight="false" outlineLevel="0" collapsed="false">
      <c r="A1166" s="50" t="s">
        <v>4107</v>
      </c>
      <c r="B1166" s="50" t="s">
        <v>4108</v>
      </c>
      <c r="C1166" s="50" t="n">
        <v>2304</v>
      </c>
      <c r="D1166" s="50" t="s">
        <v>4109</v>
      </c>
      <c r="E1166" s="50" t="s">
        <v>440</v>
      </c>
      <c r="F1166" s="50" t="s">
        <v>4026</v>
      </c>
      <c r="G1166" s="53" t="s">
        <v>436</v>
      </c>
      <c r="H1166" s="50" t="s">
        <v>4110</v>
      </c>
    </row>
    <row r="1167" customFormat="false" ht="12.8" hidden="false" customHeight="false" outlineLevel="0" collapsed="false">
      <c r="A1167" s="50" t="s">
        <v>4111</v>
      </c>
      <c r="B1167" s="50" t="s">
        <v>4112</v>
      </c>
      <c r="C1167" s="50" t="n">
        <v>6475</v>
      </c>
      <c r="D1167" s="50" t="s">
        <v>4113</v>
      </c>
      <c r="E1167" s="50" t="s">
        <v>440</v>
      </c>
      <c r="F1167" s="50" t="s">
        <v>4026</v>
      </c>
      <c r="G1167" s="53" t="s">
        <v>436</v>
      </c>
      <c r="H1167" s="50" t="s">
        <v>4114</v>
      </c>
    </row>
    <row r="1168" customFormat="false" ht="12.8" hidden="false" customHeight="false" outlineLevel="0" collapsed="false">
      <c r="A1168" s="50" t="s">
        <v>4115</v>
      </c>
      <c r="B1168" s="50" t="s">
        <v>4116</v>
      </c>
      <c r="C1168" s="50" t="n">
        <v>14560</v>
      </c>
      <c r="D1168" s="50" t="s">
        <v>4117</v>
      </c>
      <c r="E1168" s="50" t="s">
        <v>434</v>
      </c>
      <c r="F1168" s="50" t="s">
        <v>4026</v>
      </c>
      <c r="G1168" s="53" t="s">
        <v>436</v>
      </c>
      <c r="H1168" s="50" t="s">
        <v>4118</v>
      </c>
    </row>
    <row r="1169" customFormat="false" ht="12.8" hidden="false" customHeight="false" outlineLevel="0" collapsed="false">
      <c r="A1169" s="50" t="s">
        <v>4119</v>
      </c>
      <c r="B1169" s="50" t="s">
        <v>4120</v>
      </c>
      <c r="C1169" s="50" t="n">
        <v>0.002</v>
      </c>
      <c r="D1169" s="50" t="s">
        <v>4121</v>
      </c>
      <c r="E1169" s="50" t="s">
        <v>502</v>
      </c>
      <c r="F1169" s="50" t="s">
        <v>1804</v>
      </c>
      <c r="G1169" s="53" t="s">
        <v>436</v>
      </c>
      <c r="H1169" s="50" t="s">
        <v>4122</v>
      </c>
    </row>
    <row r="1170" customFormat="false" ht="12.8" hidden="false" customHeight="false" outlineLevel="0" collapsed="false">
      <c r="A1170" s="50" t="s">
        <v>4123</v>
      </c>
      <c r="B1170" s="50" t="s">
        <v>4124</v>
      </c>
      <c r="C1170" s="50" t="n">
        <v>-0.001</v>
      </c>
      <c r="D1170" s="50" t="s">
        <v>4125</v>
      </c>
      <c r="E1170" s="50" t="s">
        <v>502</v>
      </c>
      <c r="F1170" s="50" t="s">
        <v>1804</v>
      </c>
      <c r="G1170" s="53" t="s">
        <v>436</v>
      </c>
      <c r="H1170" s="50" t="s">
        <v>1258</v>
      </c>
    </row>
    <row r="1171" customFormat="false" ht="12.8" hidden="false" customHeight="false" outlineLevel="0" collapsed="false">
      <c r="A1171" s="50" t="s">
        <v>4126</v>
      </c>
      <c r="B1171" s="50" t="s">
        <v>4127</v>
      </c>
      <c r="C1171" s="50" t="n">
        <v>0.003</v>
      </c>
      <c r="D1171" s="50" t="s">
        <v>4128</v>
      </c>
      <c r="E1171" s="50" t="s">
        <v>502</v>
      </c>
      <c r="F1171" s="50" t="s">
        <v>1804</v>
      </c>
      <c r="G1171" s="53" t="s">
        <v>436</v>
      </c>
      <c r="H1171" s="50" t="s">
        <v>1258</v>
      </c>
    </row>
    <row r="1172" customFormat="false" ht="12.8" hidden="false" customHeight="false" outlineLevel="0" collapsed="false">
      <c r="A1172" s="50" t="s">
        <v>4129</v>
      </c>
      <c r="B1172" s="50" t="s">
        <v>4130</v>
      </c>
      <c r="C1172" s="50" t="n">
        <v>0.001</v>
      </c>
      <c r="D1172" s="50" t="s">
        <v>4131</v>
      </c>
      <c r="E1172" s="50" t="s">
        <v>434</v>
      </c>
      <c r="F1172" s="50" t="s">
        <v>1804</v>
      </c>
      <c r="G1172" s="53" t="s">
        <v>436</v>
      </c>
      <c r="H1172" s="50" t="s">
        <v>1258</v>
      </c>
    </row>
    <row r="1173" customFormat="false" ht="12.8" hidden="false" customHeight="false" outlineLevel="0" collapsed="false">
      <c r="A1173" s="50" t="s">
        <v>4132</v>
      </c>
      <c r="B1173" s="50" t="s">
        <v>4133</v>
      </c>
      <c r="C1173" s="50" t="n">
        <v>0.002</v>
      </c>
      <c r="D1173" s="50" t="s">
        <v>4134</v>
      </c>
      <c r="E1173" s="50" t="s">
        <v>502</v>
      </c>
      <c r="F1173" s="50" t="s">
        <v>1804</v>
      </c>
      <c r="G1173" s="53" t="s">
        <v>436</v>
      </c>
      <c r="H1173" s="50" t="s">
        <v>1258</v>
      </c>
    </row>
    <row r="1174" customFormat="false" ht="12.8" hidden="false" customHeight="false" outlineLevel="0" collapsed="false">
      <c r="A1174" s="50" t="s">
        <v>4135</v>
      </c>
      <c r="B1174" s="50" t="s">
        <v>4136</v>
      </c>
      <c r="C1174" s="50" t="n">
        <v>0.001</v>
      </c>
      <c r="D1174" s="50" t="s">
        <v>4137</v>
      </c>
      <c r="E1174" s="50" t="s">
        <v>434</v>
      </c>
      <c r="F1174" s="50" t="s">
        <v>1804</v>
      </c>
      <c r="G1174" s="53" t="s">
        <v>436</v>
      </c>
      <c r="H1174" s="50" t="s">
        <v>1258</v>
      </c>
    </row>
    <row r="1175" customFormat="false" ht="12.8" hidden="false" customHeight="false" outlineLevel="0" collapsed="false">
      <c r="A1175" s="50" t="s">
        <v>4138</v>
      </c>
      <c r="B1175" s="50" t="s">
        <v>4139</v>
      </c>
      <c r="C1175" s="50" t="n">
        <v>0.001</v>
      </c>
      <c r="D1175" s="50" t="s">
        <v>4140</v>
      </c>
      <c r="E1175" s="50" t="s">
        <v>434</v>
      </c>
      <c r="F1175" s="50" t="s">
        <v>1804</v>
      </c>
      <c r="G1175" s="53" t="s">
        <v>436</v>
      </c>
      <c r="H1175" s="50" t="s">
        <v>1258</v>
      </c>
    </row>
    <row r="1176" customFormat="false" ht="12.8" hidden="false" customHeight="false" outlineLevel="0" collapsed="false">
      <c r="A1176" s="50" t="s">
        <v>4141</v>
      </c>
      <c r="B1176" s="50" t="s">
        <v>4142</v>
      </c>
      <c r="C1176" s="50" t="n">
        <v>0.001</v>
      </c>
      <c r="D1176" s="50" t="s">
        <v>4143</v>
      </c>
      <c r="E1176" s="50" t="s">
        <v>434</v>
      </c>
      <c r="F1176" s="50" t="s">
        <v>1804</v>
      </c>
      <c r="G1176" s="53" t="s">
        <v>436</v>
      </c>
      <c r="H1176" s="50" t="s">
        <v>1258</v>
      </c>
    </row>
    <row r="1177" customFormat="false" ht="12.8" hidden="false" customHeight="false" outlineLevel="0" collapsed="false">
      <c r="A1177" s="50" t="s">
        <v>4144</v>
      </c>
      <c r="B1177" s="50" t="s">
        <v>4145</v>
      </c>
      <c r="C1177" s="50" t="n">
        <v>0.001</v>
      </c>
      <c r="D1177" s="50" t="s">
        <v>4146</v>
      </c>
      <c r="E1177" s="50" t="s">
        <v>434</v>
      </c>
      <c r="F1177" s="50" t="s">
        <v>1804</v>
      </c>
      <c r="G1177" s="53" t="s">
        <v>436</v>
      </c>
      <c r="H1177" s="50" t="s">
        <v>1258</v>
      </c>
    </row>
    <row r="1178" customFormat="false" ht="12.8" hidden="false" customHeight="false" outlineLevel="0" collapsed="false">
      <c r="A1178" s="50" t="s">
        <v>4147</v>
      </c>
      <c r="B1178" s="50" t="s">
        <v>4148</v>
      </c>
      <c r="C1178" s="50" t="n">
        <v>0.002</v>
      </c>
      <c r="D1178" s="50" t="s">
        <v>4149</v>
      </c>
      <c r="E1178" s="50" t="s">
        <v>502</v>
      </c>
      <c r="F1178" s="50" t="s">
        <v>1804</v>
      </c>
      <c r="G1178" s="53" t="s">
        <v>436</v>
      </c>
      <c r="H1178" s="50" t="s">
        <v>1258</v>
      </c>
    </row>
    <row r="1179" customFormat="false" ht="12.8" hidden="false" customHeight="false" outlineLevel="0" collapsed="false">
      <c r="A1179" s="50" t="s">
        <v>4150</v>
      </c>
      <c r="B1179" s="50" t="s">
        <v>4151</v>
      </c>
      <c r="C1179" s="50" t="n">
        <v>0.002</v>
      </c>
      <c r="D1179" s="50" t="s">
        <v>4152</v>
      </c>
      <c r="E1179" s="50" t="s">
        <v>502</v>
      </c>
      <c r="F1179" s="50" t="s">
        <v>1804</v>
      </c>
      <c r="G1179" s="53" t="s">
        <v>436</v>
      </c>
      <c r="H1179" s="50" t="s">
        <v>1258</v>
      </c>
    </row>
    <row r="1180" customFormat="false" ht="12.8" hidden="false" customHeight="false" outlineLevel="0" collapsed="false">
      <c r="A1180" s="50" t="s">
        <v>4153</v>
      </c>
      <c r="B1180" s="50" t="s">
        <v>4154</v>
      </c>
      <c r="C1180" s="50" t="n">
        <v>0.001</v>
      </c>
      <c r="D1180" s="50" t="s">
        <v>4155</v>
      </c>
      <c r="E1180" s="50" t="s">
        <v>434</v>
      </c>
      <c r="F1180" s="50" t="s">
        <v>1804</v>
      </c>
      <c r="G1180" s="53" t="s">
        <v>436</v>
      </c>
      <c r="H1180" s="50" t="s">
        <v>1258</v>
      </c>
    </row>
    <row r="1181" customFormat="false" ht="12.8" hidden="false" customHeight="false" outlineLevel="0" collapsed="false">
      <c r="A1181" s="50" t="s">
        <v>4156</v>
      </c>
      <c r="B1181" s="50" t="s">
        <v>4157</v>
      </c>
      <c r="C1181" s="50" t="n">
        <v>0.001</v>
      </c>
      <c r="D1181" s="50" t="s">
        <v>4158</v>
      </c>
      <c r="E1181" s="50" t="s">
        <v>434</v>
      </c>
      <c r="F1181" s="50" t="s">
        <v>1804</v>
      </c>
      <c r="G1181" s="53" t="s">
        <v>436</v>
      </c>
      <c r="H1181" s="50" t="s">
        <v>1258</v>
      </c>
    </row>
    <row r="1182" customFormat="false" ht="12.8" hidden="false" customHeight="false" outlineLevel="0" collapsed="false">
      <c r="A1182" s="50" t="s">
        <v>4159</v>
      </c>
      <c r="B1182" s="50" t="s">
        <v>4160</v>
      </c>
      <c r="C1182" s="50" t="n">
        <v>0.001</v>
      </c>
      <c r="D1182" s="50" t="s">
        <v>4161</v>
      </c>
      <c r="E1182" s="50" t="s">
        <v>434</v>
      </c>
      <c r="F1182" s="50" t="s">
        <v>1804</v>
      </c>
      <c r="G1182" s="53" t="s">
        <v>436</v>
      </c>
      <c r="H1182" s="50" t="s">
        <v>1258</v>
      </c>
    </row>
    <row r="1183" customFormat="false" ht="12.8" hidden="false" customHeight="false" outlineLevel="0" collapsed="false">
      <c r="A1183" s="50" t="s">
        <v>4162</v>
      </c>
      <c r="B1183" s="50" t="s">
        <v>4163</v>
      </c>
      <c r="C1183" s="50" t="n">
        <v>0.001</v>
      </c>
      <c r="D1183" s="50" t="s">
        <v>4164</v>
      </c>
      <c r="E1183" s="50" t="s">
        <v>434</v>
      </c>
      <c r="F1183" s="50" t="s">
        <v>1804</v>
      </c>
      <c r="G1183" s="53" t="s">
        <v>436</v>
      </c>
      <c r="H1183" s="50" t="s">
        <v>1258</v>
      </c>
    </row>
    <row r="1184" customFormat="false" ht="12.8" hidden="false" customHeight="false" outlineLevel="0" collapsed="false">
      <c r="A1184" s="50" t="s">
        <v>4165</v>
      </c>
      <c r="B1184" s="50" t="s">
        <v>4166</v>
      </c>
      <c r="C1184" s="50" t="n">
        <v>0.001</v>
      </c>
      <c r="D1184" s="50" t="s">
        <v>4167</v>
      </c>
      <c r="E1184" s="50" t="s">
        <v>502</v>
      </c>
      <c r="F1184" s="50" t="s">
        <v>1804</v>
      </c>
      <c r="G1184" s="53" t="s">
        <v>436</v>
      </c>
      <c r="H1184" s="50" t="s">
        <v>1258</v>
      </c>
    </row>
    <row r="1185" customFormat="false" ht="12.8" hidden="false" customHeight="false" outlineLevel="0" collapsed="false">
      <c r="A1185" s="50" t="s">
        <v>4168</v>
      </c>
      <c r="B1185" s="50" t="s">
        <v>4169</v>
      </c>
      <c r="C1185" s="50" t="n">
        <v>0.001</v>
      </c>
      <c r="D1185" s="50" t="s">
        <v>4170</v>
      </c>
      <c r="E1185" s="50" t="s">
        <v>434</v>
      </c>
      <c r="F1185" s="50" t="s">
        <v>1804</v>
      </c>
      <c r="G1185" s="53" t="s">
        <v>436</v>
      </c>
      <c r="H1185" s="50" t="s">
        <v>1258</v>
      </c>
    </row>
    <row r="1186" customFormat="false" ht="12.8" hidden="false" customHeight="false" outlineLevel="0" collapsed="false">
      <c r="A1186" s="50" t="s">
        <v>4171</v>
      </c>
      <c r="B1186" s="50" t="s">
        <v>4172</v>
      </c>
      <c r="C1186" s="50" t="n">
        <v>0.002</v>
      </c>
      <c r="D1186" s="50" t="s">
        <v>4173</v>
      </c>
      <c r="E1186" s="50" t="s">
        <v>502</v>
      </c>
      <c r="F1186" s="50" t="s">
        <v>1804</v>
      </c>
      <c r="G1186" s="53" t="s">
        <v>436</v>
      </c>
      <c r="H1186" s="50" t="s">
        <v>1258</v>
      </c>
    </row>
    <row r="1187" customFormat="false" ht="12.8" hidden="false" customHeight="false" outlineLevel="0" collapsed="false">
      <c r="A1187" s="50" t="s">
        <v>4174</v>
      </c>
      <c r="B1187" s="50" t="s">
        <v>4175</v>
      </c>
      <c r="C1187" s="50" t="n">
        <v>0.001</v>
      </c>
      <c r="D1187" s="50" t="s">
        <v>4176</v>
      </c>
      <c r="E1187" s="50" t="s">
        <v>434</v>
      </c>
      <c r="F1187" s="50" t="s">
        <v>1804</v>
      </c>
      <c r="G1187" s="53" t="s">
        <v>436</v>
      </c>
      <c r="H1187" s="50" t="s">
        <v>1258</v>
      </c>
    </row>
    <row r="1188" customFormat="false" ht="12.8" hidden="false" customHeight="false" outlineLevel="0" collapsed="false">
      <c r="A1188" s="50" t="s">
        <v>4177</v>
      </c>
      <c r="B1188" s="50" t="s">
        <v>4178</v>
      </c>
      <c r="C1188" s="50" t="n">
        <v>0.001</v>
      </c>
      <c r="D1188" s="50" t="s">
        <v>4179</v>
      </c>
      <c r="E1188" s="50" t="s">
        <v>434</v>
      </c>
      <c r="F1188" s="50" t="s">
        <v>1804</v>
      </c>
      <c r="G1188" s="53" t="s">
        <v>436</v>
      </c>
      <c r="H1188" s="50" t="s">
        <v>1258</v>
      </c>
    </row>
    <row r="1189" customFormat="false" ht="12.8" hidden="false" customHeight="false" outlineLevel="0" collapsed="false">
      <c r="A1189" s="50" t="s">
        <v>4180</v>
      </c>
      <c r="B1189" s="50" t="s">
        <v>4181</v>
      </c>
      <c r="C1189" s="50" t="n">
        <v>0.002</v>
      </c>
      <c r="D1189" s="50" t="s">
        <v>4182</v>
      </c>
      <c r="E1189" s="50" t="s">
        <v>502</v>
      </c>
      <c r="F1189" s="50" t="s">
        <v>1804</v>
      </c>
      <c r="G1189" s="53" t="s">
        <v>436</v>
      </c>
      <c r="H1189" s="50" t="s">
        <v>1258</v>
      </c>
    </row>
    <row r="1190" customFormat="false" ht="12.8" hidden="false" customHeight="false" outlineLevel="0" collapsed="false">
      <c r="A1190" s="50" t="s">
        <v>4183</v>
      </c>
      <c r="B1190" s="50" t="s">
        <v>4184</v>
      </c>
      <c r="C1190" s="50" t="n">
        <v>0.003</v>
      </c>
      <c r="D1190" s="50" t="s">
        <v>4185</v>
      </c>
      <c r="E1190" s="50" t="s">
        <v>502</v>
      </c>
      <c r="F1190" s="50" t="s">
        <v>1804</v>
      </c>
      <c r="G1190" s="53" t="s">
        <v>436</v>
      </c>
      <c r="H1190" s="50" t="s">
        <v>1258</v>
      </c>
    </row>
    <row r="1191" customFormat="false" ht="12.8" hidden="false" customHeight="false" outlineLevel="0" collapsed="false">
      <c r="A1191" s="50" t="s">
        <v>4186</v>
      </c>
      <c r="B1191" s="50" t="s">
        <v>4187</v>
      </c>
      <c r="C1191" s="50" t="n">
        <v>0.002</v>
      </c>
      <c r="D1191" s="50" t="s">
        <v>4188</v>
      </c>
      <c r="E1191" s="50" t="s">
        <v>502</v>
      </c>
      <c r="F1191" s="50" t="s">
        <v>1804</v>
      </c>
      <c r="G1191" s="53" t="s">
        <v>436</v>
      </c>
      <c r="H1191" s="50" t="s">
        <v>1258</v>
      </c>
    </row>
    <row r="1192" customFormat="false" ht="12.8" hidden="false" customHeight="false" outlineLevel="0" collapsed="false">
      <c r="A1192" s="50" t="s">
        <v>4189</v>
      </c>
      <c r="B1192" s="50" t="s">
        <v>4190</v>
      </c>
      <c r="C1192" s="50" t="n">
        <v>0.001</v>
      </c>
      <c r="D1192" s="50" t="s">
        <v>4191</v>
      </c>
      <c r="E1192" s="50" t="s">
        <v>434</v>
      </c>
      <c r="F1192" s="50" t="s">
        <v>1804</v>
      </c>
      <c r="G1192" s="53" t="s">
        <v>436</v>
      </c>
      <c r="H1192" s="50" t="s">
        <v>1258</v>
      </c>
    </row>
    <row r="1193" customFormat="false" ht="12.8" hidden="false" customHeight="false" outlineLevel="0" collapsed="false">
      <c r="A1193" s="50" t="s">
        <v>4192</v>
      </c>
      <c r="B1193" s="50" t="s">
        <v>4193</v>
      </c>
      <c r="C1193" s="50" t="n">
        <v>0.012</v>
      </c>
      <c r="D1193" s="50" t="s">
        <v>4194</v>
      </c>
      <c r="E1193" s="50" t="s">
        <v>434</v>
      </c>
      <c r="F1193" s="50" t="s">
        <v>4195</v>
      </c>
      <c r="G1193" s="53" t="s">
        <v>436</v>
      </c>
      <c r="H1193" s="50" t="s">
        <v>1258</v>
      </c>
    </row>
    <row r="1194" customFormat="false" ht="12.8" hidden="false" customHeight="false" outlineLevel="0" collapsed="false">
      <c r="A1194" s="50" t="s">
        <v>4196</v>
      </c>
      <c r="B1194" s="50" t="s">
        <v>4197</v>
      </c>
      <c r="C1194" s="50" t="n">
        <v>0.02</v>
      </c>
      <c r="D1194" s="50" t="s">
        <v>4198</v>
      </c>
      <c r="E1194" s="50" t="s">
        <v>440</v>
      </c>
      <c r="F1194" s="50" t="s">
        <v>4195</v>
      </c>
      <c r="G1194" s="53" t="s">
        <v>436</v>
      </c>
      <c r="H1194" s="50" t="s">
        <v>1258</v>
      </c>
    </row>
    <row r="1195" customFormat="false" ht="12.8" hidden="false" customHeight="false" outlineLevel="0" collapsed="false">
      <c r="A1195" s="50" t="s">
        <v>4199</v>
      </c>
      <c r="B1195" s="50" t="s">
        <v>4200</v>
      </c>
      <c r="C1195" s="50" t="n">
        <v>0.015</v>
      </c>
      <c r="D1195" s="50" t="s">
        <v>4201</v>
      </c>
      <c r="E1195" s="50" t="s">
        <v>502</v>
      </c>
      <c r="F1195" s="50" t="s">
        <v>4195</v>
      </c>
      <c r="G1195" s="53" t="s">
        <v>436</v>
      </c>
      <c r="H1195" s="50" t="s">
        <v>1258</v>
      </c>
    </row>
    <row r="1196" customFormat="false" ht="12.8" hidden="false" customHeight="false" outlineLevel="0" collapsed="false">
      <c r="A1196" s="50" t="s">
        <v>4202</v>
      </c>
      <c r="B1196" s="50" t="s">
        <v>4203</v>
      </c>
      <c r="C1196" s="50" t="n">
        <v>0.01</v>
      </c>
      <c r="D1196" s="50" t="s">
        <v>4204</v>
      </c>
      <c r="E1196" s="50" t="s">
        <v>434</v>
      </c>
      <c r="F1196" s="50" t="s">
        <v>4195</v>
      </c>
      <c r="G1196" s="53" t="s">
        <v>436</v>
      </c>
      <c r="H1196" s="50" t="s">
        <v>1258</v>
      </c>
    </row>
    <row r="1197" customFormat="false" ht="12.8" hidden="false" customHeight="false" outlineLevel="0" collapsed="false">
      <c r="A1197" s="50" t="s">
        <v>4205</v>
      </c>
      <c r="B1197" s="50" t="s">
        <v>4206</v>
      </c>
      <c r="C1197" s="50" t="n">
        <v>0.014</v>
      </c>
      <c r="D1197" s="50" t="s">
        <v>4207</v>
      </c>
      <c r="E1197" s="50" t="s">
        <v>440</v>
      </c>
      <c r="F1197" s="50" t="s">
        <v>4195</v>
      </c>
      <c r="G1197" s="53" t="s">
        <v>436</v>
      </c>
      <c r="H1197" s="50" t="s">
        <v>1258</v>
      </c>
    </row>
    <row r="1198" customFormat="false" ht="12.8" hidden="false" customHeight="false" outlineLevel="0" collapsed="false">
      <c r="A1198" s="50" t="s">
        <v>4208</v>
      </c>
      <c r="B1198" s="50" t="s">
        <v>4209</v>
      </c>
      <c r="C1198" s="50" t="n">
        <v>0.012</v>
      </c>
      <c r="D1198" s="50" t="s">
        <v>4210</v>
      </c>
      <c r="E1198" s="50" t="s">
        <v>434</v>
      </c>
      <c r="F1198" s="50" t="s">
        <v>4195</v>
      </c>
      <c r="G1198" s="53" t="s">
        <v>436</v>
      </c>
      <c r="H1198" s="50" t="s">
        <v>1258</v>
      </c>
    </row>
    <row r="1199" customFormat="false" ht="12.8" hidden="false" customHeight="false" outlineLevel="0" collapsed="false">
      <c r="A1199" s="50" t="s">
        <v>4211</v>
      </c>
      <c r="B1199" s="50" t="s">
        <v>4212</v>
      </c>
      <c r="C1199" s="50" t="n">
        <v>0.012</v>
      </c>
      <c r="D1199" s="50" t="s">
        <v>4213</v>
      </c>
      <c r="E1199" s="50" t="s">
        <v>434</v>
      </c>
      <c r="F1199" s="50" t="s">
        <v>4195</v>
      </c>
      <c r="G1199" s="53" t="s">
        <v>436</v>
      </c>
      <c r="H1199" s="50" t="s">
        <v>1258</v>
      </c>
    </row>
    <row r="1200" customFormat="false" ht="12.8" hidden="false" customHeight="false" outlineLevel="0" collapsed="false">
      <c r="A1200" s="50" t="s">
        <v>4214</v>
      </c>
      <c r="B1200" s="50" t="s">
        <v>4215</v>
      </c>
      <c r="C1200" s="50" t="n">
        <v>0.012</v>
      </c>
      <c r="D1200" s="50" t="s">
        <v>4216</v>
      </c>
      <c r="E1200" s="50" t="s">
        <v>434</v>
      </c>
      <c r="F1200" s="50" t="s">
        <v>4195</v>
      </c>
      <c r="G1200" s="53" t="s">
        <v>436</v>
      </c>
      <c r="H1200" s="50" t="s">
        <v>1258</v>
      </c>
    </row>
    <row r="1201" customFormat="false" ht="12.8" hidden="false" customHeight="false" outlineLevel="0" collapsed="false">
      <c r="A1201" s="50" t="s">
        <v>4217</v>
      </c>
      <c r="B1201" s="50" t="s">
        <v>4218</v>
      </c>
      <c r="C1201" s="50" t="n">
        <v>0.011</v>
      </c>
      <c r="D1201" s="50" t="s">
        <v>4219</v>
      </c>
      <c r="E1201" s="50" t="s">
        <v>434</v>
      </c>
      <c r="F1201" s="50" t="s">
        <v>4195</v>
      </c>
      <c r="G1201" s="53" t="s">
        <v>436</v>
      </c>
      <c r="H1201" s="50" t="s">
        <v>1258</v>
      </c>
    </row>
    <row r="1202" customFormat="false" ht="12.8" hidden="false" customHeight="false" outlineLevel="0" collapsed="false">
      <c r="A1202" s="50" t="s">
        <v>4220</v>
      </c>
      <c r="B1202" s="50" t="s">
        <v>4221</v>
      </c>
      <c r="C1202" s="50" t="n">
        <v>0.014</v>
      </c>
      <c r="D1202" s="50" t="s">
        <v>4222</v>
      </c>
      <c r="E1202" s="50" t="s">
        <v>440</v>
      </c>
      <c r="F1202" s="50" t="s">
        <v>4195</v>
      </c>
      <c r="G1202" s="53" t="s">
        <v>436</v>
      </c>
      <c r="H1202" s="50" t="s">
        <v>1258</v>
      </c>
    </row>
    <row r="1203" customFormat="false" ht="12.8" hidden="false" customHeight="false" outlineLevel="0" collapsed="false">
      <c r="A1203" s="50" t="s">
        <v>4223</v>
      </c>
      <c r="B1203" s="50" t="s">
        <v>4224</v>
      </c>
      <c r="C1203" s="50" t="n">
        <v>0.014</v>
      </c>
      <c r="D1203" s="50" t="s">
        <v>4225</v>
      </c>
      <c r="E1203" s="50" t="s">
        <v>440</v>
      </c>
      <c r="F1203" s="50" t="s">
        <v>4195</v>
      </c>
      <c r="G1203" s="53" t="s">
        <v>436</v>
      </c>
      <c r="H1203" s="50" t="s">
        <v>1258</v>
      </c>
    </row>
    <row r="1204" customFormat="false" ht="12.8" hidden="false" customHeight="false" outlineLevel="0" collapsed="false">
      <c r="A1204" s="50" t="s">
        <v>4226</v>
      </c>
      <c r="B1204" s="50" t="s">
        <v>4227</v>
      </c>
      <c r="C1204" s="50" t="n">
        <v>0.013</v>
      </c>
      <c r="D1204" s="50" t="s">
        <v>4228</v>
      </c>
      <c r="E1204" s="50" t="s">
        <v>434</v>
      </c>
      <c r="F1204" s="50" t="s">
        <v>4195</v>
      </c>
      <c r="G1204" s="53" t="s">
        <v>436</v>
      </c>
      <c r="H1204" s="50" t="s">
        <v>1258</v>
      </c>
    </row>
    <row r="1205" customFormat="false" ht="12.8" hidden="false" customHeight="false" outlineLevel="0" collapsed="false">
      <c r="A1205" s="50" t="s">
        <v>4229</v>
      </c>
      <c r="B1205" s="50" t="s">
        <v>4230</v>
      </c>
      <c r="C1205" s="50" t="n">
        <v>0.013</v>
      </c>
      <c r="D1205" s="50" t="s">
        <v>4231</v>
      </c>
      <c r="E1205" s="50" t="s">
        <v>434</v>
      </c>
      <c r="F1205" s="50" t="s">
        <v>4195</v>
      </c>
      <c r="G1205" s="53" t="s">
        <v>436</v>
      </c>
      <c r="H1205" s="50" t="s">
        <v>1258</v>
      </c>
    </row>
    <row r="1206" customFormat="false" ht="12.8" hidden="false" customHeight="false" outlineLevel="0" collapsed="false">
      <c r="A1206" s="50" t="s">
        <v>4232</v>
      </c>
      <c r="B1206" s="50" t="s">
        <v>4233</v>
      </c>
      <c r="C1206" s="50" t="n">
        <v>0.011</v>
      </c>
      <c r="D1206" s="50" t="s">
        <v>4234</v>
      </c>
      <c r="E1206" s="50" t="s">
        <v>434</v>
      </c>
      <c r="F1206" s="50" t="s">
        <v>4195</v>
      </c>
      <c r="G1206" s="53" t="s">
        <v>436</v>
      </c>
      <c r="H1206" s="50" t="s">
        <v>1258</v>
      </c>
    </row>
    <row r="1207" customFormat="false" ht="12.8" hidden="false" customHeight="false" outlineLevel="0" collapsed="false">
      <c r="A1207" s="50" t="s">
        <v>4235</v>
      </c>
      <c r="B1207" s="50" t="s">
        <v>4236</v>
      </c>
      <c r="C1207" s="50" t="n">
        <v>0.008</v>
      </c>
      <c r="D1207" s="50" t="s">
        <v>4237</v>
      </c>
      <c r="E1207" s="50" t="s">
        <v>434</v>
      </c>
      <c r="F1207" s="50" t="s">
        <v>4195</v>
      </c>
      <c r="G1207" s="53" t="s">
        <v>436</v>
      </c>
      <c r="H1207" s="50" t="s">
        <v>1258</v>
      </c>
    </row>
    <row r="1208" customFormat="false" ht="12.8" hidden="false" customHeight="false" outlineLevel="0" collapsed="false">
      <c r="A1208" s="50" t="s">
        <v>4238</v>
      </c>
      <c r="B1208" s="50" t="s">
        <v>4239</v>
      </c>
      <c r="C1208" s="50" t="n">
        <v>0.012</v>
      </c>
      <c r="D1208" s="50" t="s">
        <v>4240</v>
      </c>
      <c r="E1208" s="50" t="s">
        <v>440</v>
      </c>
      <c r="F1208" s="50" t="s">
        <v>4195</v>
      </c>
      <c r="G1208" s="53" t="s">
        <v>436</v>
      </c>
      <c r="H1208" s="50" t="s">
        <v>1258</v>
      </c>
    </row>
    <row r="1209" customFormat="false" ht="12.8" hidden="false" customHeight="false" outlineLevel="0" collapsed="false">
      <c r="A1209" s="50" t="s">
        <v>4241</v>
      </c>
      <c r="B1209" s="50" t="s">
        <v>4242</v>
      </c>
      <c r="C1209" s="50" t="n">
        <v>0.008</v>
      </c>
      <c r="D1209" s="50" t="s">
        <v>4243</v>
      </c>
      <c r="E1209" s="50" t="s">
        <v>434</v>
      </c>
      <c r="F1209" s="50" t="s">
        <v>4195</v>
      </c>
      <c r="G1209" s="53" t="s">
        <v>436</v>
      </c>
      <c r="H1209" s="50" t="s">
        <v>1258</v>
      </c>
    </row>
    <row r="1210" customFormat="false" ht="12.8" hidden="false" customHeight="false" outlineLevel="0" collapsed="false">
      <c r="A1210" s="50" t="s">
        <v>4244</v>
      </c>
      <c r="B1210" s="50" t="s">
        <v>4245</v>
      </c>
      <c r="C1210" s="50" t="n">
        <v>0.014</v>
      </c>
      <c r="D1210" s="50" t="s">
        <v>4246</v>
      </c>
      <c r="E1210" s="50" t="s">
        <v>440</v>
      </c>
      <c r="F1210" s="50" t="s">
        <v>4195</v>
      </c>
      <c r="G1210" s="53" t="s">
        <v>436</v>
      </c>
      <c r="H1210" s="50" t="s">
        <v>1258</v>
      </c>
    </row>
    <row r="1211" customFormat="false" ht="12.8" hidden="false" customHeight="false" outlineLevel="0" collapsed="false">
      <c r="A1211" s="50" t="s">
        <v>4247</v>
      </c>
      <c r="B1211" s="50" t="s">
        <v>4248</v>
      </c>
      <c r="C1211" s="50" t="n">
        <v>0.01</v>
      </c>
      <c r="D1211" s="50" t="s">
        <v>4249</v>
      </c>
      <c r="E1211" s="50" t="s">
        <v>434</v>
      </c>
      <c r="F1211" s="50" t="s">
        <v>4195</v>
      </c>
      <c r="G1211" s="53" t="s">
        <v>436</v>
      </c>
      <c r="H1211" s="50" t="s">
        <v>1258</v>
      </c>
    </row>
    <row r="1212" customFormat="false" ht="12.8" hidden="false" customHeight="false" outlineLevel="0" collapsed="false">
      <c r="A1212" s="50" t="s">
        <v>4250</v>
      </c>
      <c r="B1212" s="50" t="s">
        <v>4251</v>
      </c>
      <c r="C1212" s="50" t="n">
        <v>0.01</v>
      </c>
      <c r="D1212" s="50" t="s">
        <v>4252</v>
      </c>
      <c r="E1212" s="50" t="s">
        <v>434</v>
      </c>
      <c r="F1212" s="50" t="s">
        <v>4195</v>
      </c>
      <c r="G1212" s="53" t="s">
        <v>436</v>
      </c>
      <c r="H1212" s="50" t="s">
        <v>1258</v>
      </c>
    </row>
    <row r="1213" customFormat="false" ht="12.8" hidden="false" customHeight="false" outlineLevel="0" collapsed="false">
      <c r="A1213" s="50" t="s">
        <v>4253</v>
      </c>
      <c r="B1213" s="50" t="s">
        <v>4254</v>
      </c>
      <c r="C1213" s="50" t="n">
        <v>0.016</v>
      </c>
      <c r="D1213" s="50" t="s">
        <v>4255</v>
      </c>
      <c r="E1213" s="50" t="s">
        <v>502</v>
      </c>
      <c r="F1213" s="50" t="s">
        <v>4195</v>
      </c>
      <c r="G1213" s="53" t="s">
        <v>436</v>
      </c>
      <c r="H1213" s="50" t="s">
        <v>1258</v>
      </c>
    </row>
    <row r="1214" customFormat="false" ht="12.8" hidden="false" customHeight="false" outlineLevel="0" collapsed="false">
      <c r="A1214" s="50" t="s">
        <v>4256</v>
      </c>
      <c r="B1214" s="50" t="s">
        <v>4257</v>
      </c>
      <c r="C1214" s="50" t="n">
        <v>0.02</v>
      </c>
      <c r="D1214" s="50" t="s">
        <v>4258</v>
      </c>
      <c r="E1214" s="50" t="s">
        <v>502</v>
      </c>
      <c r="F1214" s="50" t="s">
        <v>4195</v>
      </c>
      <c r="G1214" s="53" t="s">
        <v>436</v>
      </c>
      <c r="H1214" s="50" t="s">
        <v>1258</v>
      </c>
    </row>
    <row r="1215" customFormat="false" ht="12.8" hidden="false" customHeight="false" outlineLevel="0" collapsed="false">
      <c r="A1215" s="50" t="s">
        <v>4259</v>
      </c>
      <c r="B1215" s="50" t="s">
        <v>4260</v>
      </c>
      <c r="C1215" s="50" t="n">
        <v>0.014</v>
      </c>
      <c r="D1215" s="50" t="s">
        <v>4261</v>
      </c>
      <c r="E1215" s="50" t="s">
        <v>440</v>
      </c>
      <c r="F1215" s="50" t="s">
        <v>4195</v>
      </c>
      <c r="G1215" s="53" t="s">
        <v>436</v>
      </c>
      <c r="H1215" s="50" t="s">
        <v>1258</v>
      </c>
    </row>
    <row r="1216" customFormat="false" ht="12.8" hidden="false" customHeight="false" outlineLevel="0" collapsed="false">
      <c r="A1216" s="50" t="s">
        <v>4262</v>
      </c>
      <c r="B1216" s="50" t="s">
        <v>4263</v>
      </c>
      <c r="C1216" s="50" t="n">
        <v>0.01</v>
      </c>
      <c r="D1216" s="50" t="s">
        <v>4264</v>
      </c>
      <c r="E1216" s="50" t="s">
        <v>434</v>
      </c>
      <c r="F1216" s="50" t="s">
        <v>4195</v>
      </c>
      <c r="G1216" s="53" t="s">
        <v>436</v>
      </c>
      <c r="H1216" s="50" t="s">
        <v>1258</v>
      </c>
    </row>
    <row r="1217" customFormat="false" ht="12.8" hidden="false" customHeight="false" outlineLevel="0" collapsed="false">
      <c r="A1217" s="50" t="s">
        <v>4265</v>
      </c>
      <c r="B1217" s="50" t="s">
        <v>4266</v>
      </c>
      <c r="C1217" s="50" t="n">
        <v>0.7</v>
      </c>
      <c r="D1217" s="50" t="s">
        <v>4267</v>
      </c>
      <c r="E1217" s="50" t="s">
        <v>434</v>
      </c>
      <c r="F1217" s="50" t="s">
        <v>4195</v>
      </c>
      <c r="G1217" s="53" t="s">
        <v>436</v>
      </c>
      <c r="H1217" s="50" t="s">
        <v>4268</v>
      </c>
    </row>
    <row r="1218" customFormat="false" ht="12.8" hidden="false" customHeight="false" outlineLevel="0" collapsed="false">
      <c r="A1218" s="50" t="s">
        <v>4269</v>
      </c>
      <c r="B1218" s="50" t="s">
        <v>4270</v>
      </c>
      <c r="C1218" s="50" t="n">
        <v>0.55</v>
      </c>
      <c r="D1218" s="50" t="s">
        <v>4271</v>
      </c>
      <c r="E1218" s="50" t="s">
        <v>440</v>
      </c>
      <c r="F1218" s="50" t="s">
        <v>4195</v>
      </c>
      <c r="G1218" s="53" t="s">
        <v>436</v>
      </c>
      <c r="H1218" s="50" t="s">
        <v>1258</v>
      </c>
    </row>
    <row r="1219" customFormat="false" ht="12.8" hidden="false" customHeight="false" outlineLevel="0" collapsed="false">
      <c r="A1219" s="50" t="s">
        <v>4272</v>
      </c>
      <c r="B1219" s="50" t="s">
        <v>4273</v>
      </c>
      <c r="C1219" s="50" t="n">
        <v>0.8</v>
      </c>
      <c r="D1219" s="50" t="s">
        <v>4274</v>
      </c>
      <c r="E1219" s="50" t="s">
        <v>502</v>
      </c>
      <c r="F1219" s="50" t="s">
        <v>4195</v>
      </c>
      <c r="G1219" s="53" t="s">
        <v>436</v>
      </c>
      <c r="H1219" s="50" t="s">
        <v>1258</v>
      </c>
    </row>
    <row r="1220" customFormat="false" ht="12.8" hidden="false" customHeight="false" outlineLevel="0" collapsed="false">
      <c r="A1220" s="50" t="s">
        <v>4275</v>
      </c>
      <c r="B1220" s="50" t="s">
        <v>4276</v>
      </c>
      <c r="C1220" s="50" t="n">
        <v>0.85</v>
      </c>
      <c r="D1220" s="50" t="s">
        <v>4277</v>
      </c>
      <c r="E1220" s="50" t="s">
        <v>434</v>
      </c>
      <c r="F1220" s="50" t="s">
        <v>4195</v>
      </c>
      <c r="G1220" s="53" t="s">
        <v>436</v>
      </c>
      <c r="H1220" s="50" t="s">
        <v>1258</v>
      </c>
    </row>
    <row r="1221" customFormat="false" ht="12.8" hidden="false" customHeight="false" outlineLevel="0" collapsed="false">
      <c r="A1221" s="50" t="s">
        <v>4278</v>
      </c>
      <c r="B1221" s="50" t="s">
        <v>4279</v>
      </c>
      <c r="C1221" s="50" t="n">
        <v>0.65</v>
      </c>
      <c r="D1221" s="50" t="s">
        <v>4280</v>
      </c>
      <c r="E1221" s="50" t="s">
        <v>440</v>
      </c>
      <c r="F1221" s="50" t="s">
        <v>4195</v>
      </c>
      <c r="G1221" s="53" t="s">
        <v>436</v>
      </c>
      <c r="H1221" s="50" t="s">
        <v>1258</v>
      </c>
    </row>
    <row r="1222" customFormat="false" ht="12.8" hidden="false" customHeight="false" outlineLevel="0" collapsed="false">
      <c r="A1222" s="50" t="s">
        <v>4281</v>
      </c>
      <c r="B1222" s="50" t="s">
        <v>4282</v>
      </c>
      <c r="C1222" s="50" t="n">
        <v>0.68</v>
      </c>
      <c r="D1222" s="50" t="s">
        <v>4283</v>
      </c>
      <c r="E1222" s="50" t="s">
        <v>434</v>
      </c>
      <c r="F1222" s="50" t="s">
        <v>4195</v>
      </c>
      <c r="G1222" s="53" t="s">
        <v>436</v>
      </c>
      <c r="H1222" s="50" t="s">
        <v>1258</v>
      </c>
    </row>
    <row r="1223" customFormat="false" ht="12.8" hidden="false" customHeight="false" outlineLevel="0" collapsed="false">
      <c r="A1223" s="50" t="s">
        <v>4284</v>
      </c>
      <c r="B1223" s="50" t="s">
        <v>4285</v>
      </c>
      <c r="C1223" s="50" t="n">
        <v>0.68</v>
      </c>
      <c r="D1223" s="50" t="s">
        <v>4286</v>
      </c>
      <c r="E1223" s="50" t="s">
        <v>434</v>
      </c>
      <c r="F1223" s="50" t="s">
        <v>4195</v>
      </c>
      <c r="G1223" s="53" t="s">
        <v>436</v>
      </c>
      <c r="H1223" s="50" t="s">
        <v>1258</v>
      </c>
    </row>
    <row r="1224" customFormat="false" ht="12.8" hidden="false" customHeight="false" outlineLevel="0" collapsed="false">
      <c r="A1224" s="50" t="s">
        <v>4287</v>
      </c>
      <c r="B1224" s="50" t="s">
        <v>4288</v>
      </c>
      <c r="C1224" s="50" t="n">
        <v>0.72</v>
      </c>
      <c r="D1224" s="50" t="s">
        <v>4289</v>
      </c>
      <c r="E1224" s="50" t="s">
        <v>434</v>
      </c>
      <c r="F1224" s="50" t="s">
        <v>4195</v>
      </c>
      <c r="G1224" s="53" t="s">
        <v>436</v>
      </c>
      <c r="H1224" s="50" t="s">
        <v>1258</v>
      </c>
    </row>
    <row r="1225" customFormat="false" ht="12.8" hidden="false" customHeight="false" outlineLevel="0" collapsed="false">
      <c r="A1225" s="50" t="s">
        <v>4290</v>
      </c>
      <c r="B1225" s="50" t="s">
        <v>4291</v>
      </c>
      <c r="C1225" s="50" t="n">
        <v>0.75</v>
      </c>
      <c r="D1225" s="50" t="s">
        <v>4292</v>
      </c>
      <c r="E1225" s="50" t="s">
        <v>434</v>
      </c>
      <c r="F1225" s="50" t="s">
        <v>4195</v>
      </c>
      <c r="G1225" s="53" t="s">
        <v>436</v>
      </c>
      <c r="H1225" s="50" t="s">
        <v>1258</v>
      </c>
    </row>
    <row r="1226" customFormat="false" ht="12.8" hidden="false" customHeight="false" outlineLevel="0" collapsed="false">
      <c r="A1226" s="50" t="s">
        <v>4293</v>
      </c>
      <c r="B1226" s="50" t="s">
        <v>4294</v>
      </c>
      <c r="C1226" s="50" t="n">
        <v>0.6</v>
      </c>
      <c r="D1226" s="50" t="s">
        <v>4295</v>
      </c>
      <c r="E1226" s="50" t="s">
        <v>440</v>
      </c>
      <c r="F1226" s="50" t="s">
        <v>4195</v>
      </c>
      <c r="G1226" s="53" t="s">
        <v>436</v>
      </c>
      <c r="H1226" s="50" t="s">
        <v>1258</v>
      </c>
    </row>
    <row r="1227" customFormat="false" ht="12.8" hidden="false" customHeight="false" outlineLevel="0" collapsed="false">
      <c r="A1227" s="50" t="s">
        <v>4296</v>
      </c>
      <c r="B1227" s="50" t="s">
        <v>4297</v>
      </c>
      <c r="C1227" s="50" t="n">
        <v>0.58</v>
      </c>
      <c r="D1227" s="50" t="s">
        <v>4298</v>
      </c>
      <c r="E1227" s="50" t="s">
        <v>440</v>
      </c>
      <c r="F1227" s="50" t="s">
        <v>4195</v>
      </c>
      <c r="G1227" s="53" t="s">
        <v>436</v>
      </c>
      <c r="H1227" s="50" t="s">
        <v>1258</v>
      </c>
    </row>
    <row r="1228" customFormat="false" ht="12.8" hidden="false" customHeight="false" outlineLevel="0" collapsed="false">
      <c r="A1228" s="50" t="s">
        <v>4299</v>
      </c>
      <c r="B1228" s="50" t="s">
        <v>4300</v>
      </c>
      <c r="C1228" s="50" t="n">
        <v>0.65</v>
      </c>
      <c r="D1228" s="50" t="s">
        <v>4301</v>
      </c>
      <c r="E1228" s="50" t="s">
        <v>434</v>
      </c>
      <c r="F1228" s="50" t="s">
        <v>4195</v>
      </c>
      <c r="G1228" s="53" t="s">
        <v>436</v>
      </c>
      <c r="H1228" s="50" t="s">
        <v>1258</v>
      </c>
    </row>
    <row r="1229" customFormat="false" ht="12.8" hidden="false" customHeight="false" outlineLevel="0" collapsed="false">
      <c r="A1229" s="50" t="s">
        <v>4302</v>
      </c>
      <c r="B1229" s="50" t="s">
        <v>4303</v>
      </c>
      <c r="C1229" s="50" t="n">
        <v>0.65</v>
      </c>
      <c r="D1229" s="50" t="s">
        <v>4304</v>
      </c>
      <c r="E1229" s="50" t="s">
        <v>434</v>
      </c>
      <c r="F1229" s="50" t="s">
        <v>4195</v>
      </c>
      <c r="G1229" s="53" t="s">
        <v>436</v>
      </c>
      <c r="H1229" s="50" t="s">
        <v>1258</v>
      </c>
    </row>
    <row r="1230" customFormat="false" ht="12.8" hidden="false" customHeight="false" outlineLevel="0" collapsed="false">
      <c r="A1230" s="50" t="s">
        <v>4305</v>
      </c>
      <c r="B1230" s="50" t="s">
        <v>4306</v>
      </c>
      <c r="C1230" s="50" t="n">
        <v>0.75</v>
      </c>
      <c r="D1230" s="50" t="s">
        <v>4307</v>
      </c>
      <c r="E1230" s="50" t="s">
        <v>434</v>
      </c>
      <c r="F1230" s="50" t="s">
        <v>4195</v>
      </c>
      <c r="G1230" s="53" t="s">
        <v>436</v>
      </c>
      <c r="H1230" s="50" t="s">
        <v>1258</v>
      </c>
    </row>
    <row r="1231" customFormat="false" ht="12.8" hidden="false" customHeight="false" outlineLevel="0" collapsed="false">
      <c r="A1231" s="50" t="s">
        <v>4308</v>
      </c>
      <c r="B1231" s="50" t="s">
        <v>4309</v>
      </c>
      <c r="C1231" s="50" t="n">
        <v>0.82</v>
      </c>
      <c r="D1231" s="50" t="s">
        <v>4310</v>
      </c>
      <c r="E1231" s="50" t="s">
        <v>434</v>
      </c>
      <c r="F1231" s="50" t="s">
        <v>4195</v>
      </c>
      <c r="G1231" s="53" t="s">
        <v>436</v>
      </c>
      <c r="H1231" s="50" t="s">
        <v>1258</v>
      </c>
    </row>
    <row r="1232" customFormat="false" ht="12.8" hidden="false" customHeight="false" outlineLevel="0" collapsed="false">
      <c r="A1232" s="50" t="s">
        <v>4311</v>
      </c>
      <c r="B1232" s="50" t="s">
        <v>4312</v>
      </c>
      <c r="C1232" s="50" t="n">
        <v>0.7</v>
      </c>
      <c r="D1232" s="50" t="s">
        <v>4313</v>
      </c>
      <c r="E1232" s="50" t="s">
        <v>440</v>
      </c>
      <c r="F1232" s="50" t="s">
        <v>4195</v>
      </c>
      <c r="G1232" s="53" t="s">
        <v>436</v>
      </c>
      <c r="H1232" s="50" t="s">
        <v>1258</v>
      </c>
    </row>
    <row r="1233" customFormat="false" ht="12.8" hidden="false" customHeight="false" outlineLevel="0" collapsed="false">
      <c r="A1233" s="50" t="s">
        <v>4314</v>
      </c>
      <c r="B1233" s="50" t="s">
        <v>4315</v>
      </c>
      <c r="C1233" s="50" t="n">
        <v>0.78</v>
      </c>
      <c r="D1233" s="50" t="s">
        <v>4316</v>
      </c>
      <c r="E1233" s="50" t="s">
        <v>434</v>
      </c>
      <c r="F1233" s="50" t="s">
        <v>4195</v>
      </c>
      <c r="G1233" s="53" t="s">
        <v>436</v>
      </c>
      <c r="H1233" s="50" t="s">
        <v>1258</v>
      </c>
    </row>
    <row r="1234" customFormat="false" ht="12.8" hidden="false" customHeight="false" outlineLevel="0" collapsed="false">
      <c r="A1234" s="50" t="s">
        <v>4317</v>
      </c>
      <c r="B1234" s="50" t="s">
        <v>4318</v>
      </c>
      <c r="C1234" s="50" t="n">
        <v>0.6</v>
      </c>
      <c r="D1234" s="50" t="s">
        <v>4319</v>
      </c>
      <c r="E1234" s="50" t="s">
        <v>440</v>
      </c>
      <c r="F1234" s="50" t="s">
        <v>4195</v>
      </c>
      <c r="G1234" s="53" t="s">
        <v>436</v>
      </c>
      <c r="H1234" s="50" t="s">
        <v>1258</v>
      </c>
    </row>
    <row r="1235" customFormat="false" ht="12.8" hidden="false" customHeight="false" outlineLevel="0" collapsed="false">
      <c r="A1235" s="50" t="s">
        <v>4320</v>
      </c>
      <c r="B1235" s="50" t="s">
        <v>4321</v>
      </c>
      <c r="C1235" s="50" t="n">
        <v>0.72</v>
      </c>
      <c r="D1235" s="50" t="s">
        <v>4322</v>
      </c>
      <c r="E1235" s="50" t="s">
        <v>434</v>
      </c>
      <c r="F1235" s="50" t="s">
        <v>4195</v>
      </c>
      <c r="G1235" s="53" t="s">
        <v>436</v>
      </c>
      <c r="H1235" s="50" t="s">
        <v>1258</v>
      </c>
    </row>
    <row r="1236" customFormat="false" ht="12.8" hidden="false" customHeight="false" outlineLevel="0" collapsed="false">
      <c r="A1236" s="50" t="s">
        <v>4323</v>
      </c>
      <c r="B1236" s="50" t="s">
        <v>4324</v>
      </c>
      <c r="C1236" s="50" t="n">
        <v>0.72</v>
      </c>
      <c r="D1236" s="50" t="s">
        <v>4325</v>
      </c>
      <c r="E1236" s="50" t="s">
        <v>434</v>
      </c>
      <c r="F1236" s="50" t="s">
        <v>4195</v>
      </c>
      <c r="G1236" s="53" t="s">
        <v>436</v>
      </c>
      <c r="H1236" s="50" t="s">
        <v>1258</v>
      </c>
    </row>
    <row r="1237" customFormat="false" ht="12.8" hidden="false" customHeight="false" outlineLevel="0" collapsed="false">
      <c r="A1237" s="50" t="s">
        <v>4326</v>
      </c>
      <c r="B1237" s="50" t="s">
        <v>4327</v>
      </c>
      <c r="C1237" s="50" t="n">
        <v>0.58</v>
      </c>
      <c r="D1237" s="50" t="s">
        <v>4328</v>
      </c>
      <c r="E1237" s="50" t="s">
        <v>502</v>
      </c>
      <c r="F1237" s="50" t="s">
        <v>4195</v>
      </c>
      <c r="G1237" s="53" t="s">
        <v>436</v>
      </c>
      <c r="H1237" s="50" t="s">
        <v>1258</v>
      </c>
    </row>
    <row r="1238" customFormat="false" ht="12.8" hidden="false" customHeight="false" outlineLevel="0" collapsed="false">
      <c r="A1238" s="50" t="s">
        <v>4329</v>
      </c>
      <c r="B1238" s="50" t="s">
        <v>4330</v>
      </c>
      <c r="C1238" s="50" t="n">
        <v>0.55</v>
      </c>
      <c r="D1238" s="50" t="s">
        <v>4331</v>
      </c>
      <c r="E1238" s="50" t="s">
        <v>502</v>
      </c>
      <c r="F1238" s="50" t="s">
        <v>4195</v>
      </c>
      <c r="G1238" s="53" t="s">
        <v>436</v>
      </c>
      <c r="H1238" s="50" t="s">
        <v>1258</v>
      </c>
    </row>
    <row r="1239" customFormat="false" ht="12.8" hidden="false" customHeight="false" outlineLevel="0" collapsed="false">
      <c r="A1239" s="50" t="s">
        <v>4332</v>
      </c>
      <c r="B1239" s="50" t="s">
        <v>4333</v>
      </c>
      <c r="C1239" s="50" t="n">
        <v>0.6</v>
      </c>
      <c r="D1239" s="50" t="s">
        <v>4334</v>
      </c>
      <c r="E1239" s="50" t="s">
        <v>440</v>
      </c>
      <c r="F1239" s="50" t="s">
        <v>4195</v>
      </c>
      <c r="G1239" s="53" t="s">
        <v>436</v>
      </c>
      <c r="H1239" s="50" t="s">
        <v>1258</v>
      </c>
    </row>
    <row r="1240" customFormat="false" ht="12.8" hidden="false" customHeight="false" outlineLevel="0" collapsed="false">
      <c r="A1240" s="50" t="s">
        <v>4335</v>
      </c>
      <c r="B1240" s="50" t="s">
        <v>4336</v>
      </c>
      <c r="C1240" s="50" t="n">
        <v>0.75</v>
      </c>
      <c r="D1240" s="50" t="s">
        <v>4337</v>
      </c>
      <c r="E1240" s="50" t="s">
        <v>434</v>
      </c>
      <c r="F1240" s="50" t="s">
        <v>4195</v>
      </c>
      <c r="G1240" s="53" t="s">
        <v>436</v>
      </c>
      <c r="H1240" s="50" t="s">
        <v>1258</v>
      </c>
    </row>
    <row r="1241" customFormat="false" ht="12.8" hidden="false" customHeight="false" outlineLevel="0" collapsed="false">
      <c r="A1241" s="50" t="s">
        <v>4338</v>
      </c>
      <c r="B1241" s="50" t="s">
        <v>4339</v>
      </c>
      <c r="C1241" s="50" t="n">
        <v>1.02</v>
      </c>
      <c r="D1241" s="50" t="s">
        <v>4340</v>
      </c>
      <c r="E1241" s="50" t="s">
        <v>434</v>
      </c>
      <c r="F1241" s="50" t="s">
        <v>4195</v>
      </c>
      <c r="G1241" s="53" t="s">
        <v>436</v>
      </c>
      <c r="H1241" s="50" t="s">
        <v>4341</v>
      </c>
    </row>
    <row r="1242" customFormat="false" ht="12.8" hidden="false" customHeight="false" outlineLevel="0" collapsed="false">
      <c r="A1242" s="50" t="s">
        <v>4342</v>
      </c>
      <c r="B1242" s="50" t="s">
        <v>4343</v>
      </c>
      <c r="C1242" s="50" t="n">
        <v>1.03</v>
      </c>
      <c r="D1242" s="50" t="s">
        <v>4344</v>
      </c>
      <c r="E1242" s="50" t="s">
        <v>440</v>
      </c>
      <c r="F1242" s="50" t="s">
        <v>4195</v>
      </c>
      <c r="G1242" s="53" t="s">
        <v>436</v>
      </c>
      <c r="H1242" s="50" t="s">
        <v>1258</v>
      </c>
    </row>
    <row r="1243" customFormat="false" ht="12.8" hidden="false" customHeight="false" outlineLevel="0" collapsed="false">
      <c r="A1243" s="50" t="s">
        <v>4345</v>
      </c>
      <c r="B1243" s="50" t="s">
        <v>4346</v>
      </c>
      <c r="C1243" s="50" t="n">
        <v>1.02</v>
      </c>
      <c r="D1243" s="50" t="s">
        <v>4347</v>
      </c>
      <c r="E1243" s="50" t="s">
        <v>502</v>
      </c>
      <c r="F1243" s="50" t="s">
        <v>4195</v>
      </c>
      <c r="G1243" s="53" t="s">
        <v>436</v>
      </c>
      <c r="H1243" s="50" t="s">
        <v>1258</v>
      </c>
    </row>
    <row r="1244" customFormat="false" ht="12.8" hidden="false" customHeight="false" outlineLevel="0" collapsed="false">
      <c r="A1244" s="50" t="s">
        <v>4348</v>
      </c>
      <c r="B1244" s="50" t="s">
        <v>4349</v>
      </c>
      <c r="C1244" s="50" t="n">
        <v>1.015</v>
      </c>
      <c r="D1244" s="50" t="s">
        <v>4350</v>
      </c>
      <c r="E1244" s="50" t="s">
        <v>434</v>
      </c>
      <c r="F1244" s="50" t="s">
        <v>4195</v>
      </c>
      <c r="G1244" s="53" t="s">
        <v>436</v>
      </c>
      <c r="H1244" s="50" t="s">
        <v>1258</v>
      </c>
    </row>
    <row r="1245" customFormat="false" ht="12.8" hidden="false" customHeight="false" outlineLevel="0" collapsed="false">
      <c r="A1245" s="50" t="s">
        <v>4351</v>
      </c>
      <c r="B1245" s="50" t="s">
        <v>4352</v>
      </c>
      <c r="C1245" s="50" t="n">
        <v>1.025</v>
      </c>
      <c r="D1245" s="50" t="s">
        <v>4353</v>
      </c>
      <c r="E1245" s="50" t="s">
        <v>440</v>
      </c>
      <c r="F1245" s="50" t="s">
        <v>4195</v>
      </c>
      <c r="G1245" s="53" t="s">
        <v>436</v>
      </c>
      <c r="H1245" s="50" t="s">
        <v>1258</v>
      </c>
    </row>
    <row r="1246" customFormat="false" ht="12.8" hidden="false" customHeight="false" outlineLevel="0" collapsed="false">
      <c r="A1246" s="50" t="s">
        <v>4354</v>
      </c>
      <c r="B1246" s="50" t="s">
        <v>4355</v>
      </c>
      <c r="C1246" s="50" t="n">
        <v>1.02</v>
      </c>
      <c r="D1246" s="50" t="s">
        <v>4356</v>
      </c>
      <c r="E1246" s="50" t="s">
        <v>434</v>
      </c>
      <c r="F1246" s="50" t="s">
        <v>4195</v>
      </c>
      <c r="G1246" s="53" t="s">
        <v>436</v>
      </c>
      <c r="H1246" s="50" t="s">
        <v>1258</v>
      </c>
    </row>
    <row r="1247" customFormat="false" ht="12.8" hidden="false" customHeight="false" outlineLevel="0" collapsed="false">
      <c r="A1247" s="50" t="s">
        <v>4357</v>
      </c>
      <c r="B1247" s="50" t="s">
        <v>4358</v>
      </c>
      <c r="C1247" s="50" t="n">
        <v>1.02</v>
      </c>
      <c r="D1247" s="50" t="s">
        <v>4359</v>
      </c>
      <c r="E1247" s="50" t="s">
        <v>434</v>
      </c>
      <c r="F1247" s="50" t="s">
        <v>4195</v>
      </c>
      <c r="G1247" s="53" t="s">
        <v>436</v>
      </c>
      <c r="H1247" s="50" t="s">
        <v>1258</v>
      </c>
    </row>
    <row r="1248" customFormat="false" ht="12.8" hidden="false" customHeight="false" outlineLevel="0" collapsed="false">
      <c r="A1248" s="50" t="s">
        <v>4360</v>
      </c>
      <c r="B1248" s="50" t="s">
        <v>4361</v>
      </c>
      <c r="C1248" s="50" t="n">
        <v>1.02</v>
      </c>
      <c r="D1248" s="50" t="s">
        <v>4362</v>
      </c>
      <c r="E1248" s="50" t="s">
        <v>434</v>
      </c>
      <c r="F1248" s="50" t="s">
        <v>4195</v>
      </c>
      <c r="G1248" s="53" t="s">
        <v>436</v>
      </c>
      <c r="H1248" s="50" t="s">
        <v>1258</v>
      </c>
    </row>
    <row r="1249" customFormat="false" ht="12.8" hidden="false" customHeight="false" outlineLevel="0" collapsed="false">
      <c r="A1249" s="50" t="s">
        <v>4363</v>
      </c>
      <c r="B1249" s="50" t="s">
        <v>4364</v>
      </c>
      <c r="C1249" s="50" t="n">
        <v>1.015</v>
      </c>
      <c r="D1249" s="50" t="s">
        <v>4365</v>
      </c>
      <c r="E1249" s="50" t="s">
        <v>434</v>
      </c>
      <c r="F1249" s="50" t="s">
        <v>4195</v>
      </c>
      <c r="G1249" s="53" t="s">
        <v>436</v>
      </c>
      <c r="H1249" s="50" t="s">
        <v>1258</v>
      </c>
    </row>
    <row r="1250" customFormat="false" ht="12.8" hidden="false" customHeight="false" outlineLevel="0" collapsed="false">
      <c r="A1250" s="50" t="s">
        <v>4366</v>
      </c>
      <c r="B1250" s="50" t="s">
        <v>4367</v>
      </c>
      <c r="C1250" s="50" t="n">
        <v>1.025</v>
      </c>
      <c r="D1250" s="50" t="s">
        <v>4368</v>
      </c>
      <c r="E1250" s="50" t="s">
        <v>440</v>
      </c>
      <c r="F1250" s="50" t="s">
        <v>4195</v>
      </c>
      <c r="G1250" s="53" t="s">
        <v>436</v>
      </c>
      <c r="H1250" s="50" t="s">
        <v>1258</v>
      </c>
    </row>
    <row r="1251" customFormat="false" ht="12.8" hidden="false" customHeight="false" outlineLevel="0" collapsed="false">
      <c r="A1251" s="50" t="s">
        <v>4369</v>
      </c>
      <c r="B1251" s="50" t="s">
        <v>4370</v>
      </c>
      <c r="C1251" s="50" t="n">
        <v>1.025</v>
      </c>
      <c r="D1251" s="50" t="s">
        <v>4371</v>
      </c>
      <c r="E1251" s="50" t="s">
        <v>440</v>
      </c>
      <c r="F1251" s="50" t="s">
        <v>4195</v>
      </c>
      <c r="G1251" s="53" t="s">
        <v>436</v>
      </c>
      <c r="H1251" s="50" t="s">
        <v>1258</v>
      </c>
    </row>
    <row r="1252" customFormat="false" ht="12.8" hidden="false" customHeight="false" outlineLevel="0" collapsed="false">
      <c r="A1252" s="50" t="s">
        <v>4372</v>
      </c>
      <c r="B1252" s="50" t="s">
        <v>4373</v>
      </c>
      <c r="C1252" s="50" t="n">
        <v>1.02</v>
      </c>
      <c r="D1252" s="50" t="s">
        <v>4374</v>
      </c>
      <c r="E1252" s="50" t="s">
        <v>434</v>
      </c>
      <c r="F1252" s="50" t="s">
        <v>4195</v>
      </c>
      <c r="G1252" s="53" t="s">
        <v>436</v>
      </c>
      <c r="H1252" s="50" t="s">
        <v>1258</v>
      </c>
    </row>
    <row r="1253" customFormat="false" ht="12.8" hidden="false" customHeight="false" outlineLevel="0" collapsed="false">
      <c r="A1253" s="50" t="s">
        <v>4375</v>
      </c>
      <c r="B1253" s="50" t="s">
        <v>4376</v>
      </c>
      <c r="C1253" s="50" t="n">
        <v>1.02</v>
      </c>
      <c r="D1253" s="50" t="s">
        <v>4377</v>
      </c>
      <c r="E1253" s="50" t="s">
        <v>434</v>
      </c>
      <c r="F1253" s="50" t="s">
        <v>4195</v>
      </c>
      <c r="G1253" s="53" t="s">
        <v>436</v>
      </c>
      <c r="H1253" s="50" t="s">
        <v>1258</v>
      </c>
    </row>
    <row r="1254" customFormat="false" ht="12.8" hidden="false" customHeight="false" outlineLevel="0" collapsed="false">
      <c r="A1254" s="50" t="s">
        <v>4378</v>
      </c>
      <c r="B1254" s="50" t="s">
        <v>4379</v>
      </c>
      <c r="C1254" s="50" t="n">
        <v>1.015</v>
      </c>
      <c r="D1254" s="50" t="s">
        <v>4380</v>
      </c>
      <c r="E1254" s="50" t="s">
        <v>434</v>
      </c>
      <c r="F1254" s="50" t="s">
        <v>4195</v>
      </c>
      <c r="G1254" s="53" t="s">
        <v>436</v>
      </c>
      <c r="H1254" s="50" t="s">
        <v>1258</v>
      </c>
    </row>
    <row r="1255" customFormat="false" ht="12.8" hidden="false" customHeight="false" outlineLevel="0" collapsed="false">
      <c r="A1255" s="50" t="s">
        <v>4381</v>
      </c>
      <c r="B1255" s="50" t="s">
        <v>4382</v>
      </c>
      <c r="C1255" s="50" t="n">
        <v>1.01</v>
      </c>
      <c r="D1255" s="50" t="s">
        <v>4383</v>
      </c>
      <c r="E1255" s="50" t="s">
        <v>434</v>
      </c>
      <c r="F1255" s="50" t="s">
        <v>4195</v>
      </c>
      <c r="G1255" s="53" t="s">
        <v>436</v>
      </c>
      <c r="H1255" s="50" t="s">
        <v>1258</v>
      </c>
    </row>
    <row r="1256" customFormat="false" ht="12.8" hidden="false" customHeight="false" outlineLevel="0" collapsed="false">
      <c r="A1256" s="50" t="s">
        <v>4384</v>
      </c>
      <c r="B1256" s="50" t="s">
        <v>4385</v>
      </c>
      <c r="C1256" s="50" t="n">
        <v>1.02</v>
      </c>
      <c r="D1256" s="50" t="s">
        <v>4386</v>
      </c>
      <c r="E1256" s="50" t="s">
        <v>440</v>
      </c>
      <c r="F1256" s="50" t="s">
        <v>4195</v>
      </c>
      <c r="G1256" s="53" t="s">
        <v>436</v>
      </c>
      <c r="H1256" s="50" t="s">
        <v>1258</v>
      </c>
    </row>
    <row r="1257" customFormat="false" ht="12.8" hidden="false" customHeight="false" outlineLevel="0" collapsed="false">
      <c r="A1257" s="50" t="s">
        <v>4387</v>
      </c>
      <c r="B1257" s="50" t="s">
        <v>4388</v>
      </c>
      <c r="C1257" s="50" t="n">
        <v>1.01</v>
      </c>
      <c r="D1257" s="50" t="s">
        <v>4389</v>
      </c>
      <c r="E1257" s="50" t="s">
        <v>434</v>
      </c>
      <c r="F1257" s="50" t="s">
        <v>4195</v>
      </c>
      <c r="G1257" s="53" t="s">
        <v>436</v>
      </c>
      <c r="H1257" s="50" t="s">
        <v>1258</v>
      </c>
    </row>
    <row r="1258" customFormat="false" ht="12.8" hidden="false" customHeight="false" outlineLevel="0" collapsed="false">
      <c r="A1258" s="50" t="s">
        <v>4390</v>
      </c>
      <c r="B1258" s="50" t="s">
        <v>4391</v>
      </c>
      <c r="C1258" s="50" t="n">
        <v>1.025</v>
      </c>
      <c r="D1258" s="50" t="s">
        <v>4392</v>
      </c>
      <c r="E1258" s="50" t="s">
        <v>440</v>
      </c>
      <c r="F1258" s="50" t="s">
        <v>4195</v>
      </c>
      <c r="G1258" s="53" t="s">
        <v>436</v>
      </c>
      <c r="H1258" s="50" t="s">
        <v>1258</v>
      </c>
    </row>
    <row r="1259" customFormat="false" ht="12.8" hidden="false" customHeight="false" outlineLevel="0" collapsed="false">
      <c r="A1259" s="50" t="s">
        <v>4393</v>
      </c>
      <c r="B1259" s="50" t="s">
        <v>4394</v>
      </c>
      <c r="C1259" s="50" t="n">
        <v>1.015</v>
      </c>
      <c r="D1259" s="50" t="s">
        <v>4395</v>
      </c>
      <c r="E1259" s="50" t="s">
        <v>434</v>
      </c>
      <c r="F1259" s="50" t="s">
        <v>4195</v>
      </c>
      <c r="G1259" s="53" t="s">
        <v>436</v>
      </c>
      <c r="H1259" s="50" t="s">
        <v>1258</v>
      </c>
    </row>
    <row r="1260" customFormat="false" ht="12.8" hidden="false" customHeight="false" outlineLevel="0" collapsed="false">
      <c r="A1260" s="50" t="s">
        <v>4396</v>
      </c>
      <c r="B1260" s="50" t="s">
        <v>4397</v>
      </c>
      <c r="C1260" s="50" t="n">
        <v>1.015</v>
      </c>
      <c r="D1260" s="50" t="s">
        <v>4398</v>
      </c>
      <c r="E1260" s="50" t="s">
        <v>434</v>
      </c>
      <c r="F1260" s="50" t="s">
        <v>4195</v>
      </c>
      <c r="G1260" s="53" t="s">
        <v>436</v>
      </c>
      <c r="H1260" s="50" t="s">
        <v>1258</v>
      </c>
    </row>
    <row r="1261" customFormat="false" ht="12.8" hidden="false" customHeight="false" outlineLevel="0" collapsed="false">
      <c r="A1261" s="50" t="s">
        <v>4399</v>
      </c>
      <c r="B1261" s="50" t="s">
        <v>4400</v>
      </c>
      <c r="C1261" s="50" t="n">
        <v>1.025</v>
      </c>
      <c r="D1261" s="50" t="s">
        <v>4401</v>
      </c>
      <c r="E1261" s="50" t="s">
        <v>502</v>
      </c>
      <c r="F1261" s="50" t="s">
        <v>4195</v>
      </c>
      <c r="G1261" s="53" t="s">
        <v>436</v>
      </c>
      <c r="H1261" s="50" t="s">
        <v>1258</v>
      </c>
    </row>
    <row r="1262" customFormat="false" ht="12.8" hidden="false" customHeight="false" outlineLevel="0" collapsed="false">
      <c r="A1262" s="50" t="s">
        <v>4402</v>
      </c>
      <c r="B1262" s="50" t="s">
        <v>4403</v>
      </c>
      <c r="C1262" s="50" t="n">
        <v>1.035</v>
      </c>
      <c r="D1262" s="50" t="s">
        <v>4404</v>
      </c>
      <c r="E1262" s="50" t="s">
        <v>502</v>
      </c>
      <c r="F1262" s="50" t="s">
        <v>4195</v>
      </c>
      <c r="G1262" s="53" t="s">
        <v>436</v>
      </c>
      <c r="H1262" s="50" t="s">
        <v>1258</v>
      </c>
    </row>
    <row r="1263" customFormat="false" ht="12.8" hidden="false" customHeight="false" outlineLevel="0" collapsed="false">
      <c r="A1263" s="50" t="s">
        <v>4405</v>
      </c>
      <c r="B1263" s="50" t="s">
        <v>4406</v>
      </c>
      <c r="C1263" s="50" t="n">
        <v>1.025</v>
      </c>
      <c r="D1263" s="50" t="s">
        <v>4407</v>
      </c>
      <c r="E1263" s="50" t="s">
        <v>440</v>
      </c>
      <c r="F1263" s="50" t="s">
        <v>4195</v>
      </c>
      <c r="G1263" s="53" t="s">
        <v>436</v>
      </c>
      <c r="H1263" s="50" t="s">
        <v>1258</v>
      </c>
    </row>
    <row r="1264" customFormat="false" ht="12.8" hidden="false" customHeight="false" outlineLevel="0" collapsed="false">
      <c r="A1264" s="50" t="s">
        <v>4408</v>
      </c>
      <c r="B1264" s="50" t="s">
        <v>4409</v>
      </c>
      <c r="C1264" s="50" t="n">
        <v>1.015</v>
      </c>
      <c r="D1264" s="50" t="s">
        <v>4410</v>
      </c>
      <c r="E1264" s="50" t="s">
        <v>434</v>
      </c>
      <c r="F1264" s="50" t="s">
        <v>4195</v>
      </c>
      <c r="G1264" s="53" t="s">
        <v>436</v>
      </c>
      <c r="H1264" s="50" t="s">
        <v>1258</v>
      </c>
    </row>
    <row r="1265" customFormat="false" ht="12.8" hidden="false" customHeight="false" outlineLevel="0" collapsed="false">
      <c r="A1265" s="50" t="s">
        <v>4411</v>
      </c>
      <c r="B1265" s="50" t="s">
        <v>4412</v>
      </c>
      <c r="C1265" s="50" t="n">
        <v>0.012</v>
      </c>
      <c r="D1265" s="50" t="s">
        <v>4413</v>
      </c>
      <c r="E1265" s="50" t="s">
        <v>434</v>
      </c>
      <c r="F1265" s="50" t="s">
        <v>4195</v>
      </c>
      <c r="G1265" s="53" t="s">
        <v>436</v>
      </c>
      <c r="H1265" s="50" t="s">
        <v>1258</v>
      </c>
    </row>
    <row r="1266" customFormat="false" ht="12.8" hidden="false" customHeight="false" outlineLevel="0" collapsed="false">
      <c r="A1266" s="50" t="s">
        <v>4414</v>
      </c>
      <c r="B1266" s="50" t="s">
        <v>4415</v>
      </c>
      <c r="C1266" s="50" t="n">
        <v>0.02</v>
      </c>
      <c r="D1266" s="50" t="s">
        <v>4416</v>
      </c>
      <c r="E1266" s="50" t="s">
        <v>440</v>
      </c>
      <c r="F1266" s="50" t="s">
        <v>4195</v>
      </c>
      <c r="G1266" s="53" t="s">
        <v>436</v>
      </c>
      <c r="H1266" s="50" t="s">
        <v>1258</v>
      </c>
    </row>
    <row r="1267" customFormat="false" ht="12.8" hidden="false" customHeight="false" outlineLevel="0" collapsed="false">
      <c r="A1267" s="50" t="s">
        <v>4417</v>
      </c>
      <c r="B1267" s="50" t="s">
        <v>4418</v>
      </c>
      <c r="C1267" s="50" t="n">
        <v>0.015</v>
      </c>
      <c r="D1267" s="50" t="s">
        <v>4419</v>
      </c>
      <c r="E1267" s="50" t="s">
        <v>502</v>
      </c>
      <c r="F1267" s="50" t="s">
        <v>4195</v>
      </c>
      <c r="G1267" s="53" t="s">
        <v>436</v>
      </c>
      <c r="H1267" s="50" t="s">
        <v>1258</v>
      </c>
    </row>
    <row r="1268" customFormat="false" ht="12.8" hidden="false" customHeight="false" outlineLevel="0" collapsed="false">
      <c r="A1268" s="50" t="s">
        <v>4420</v>
      </c>
      <c r="B1268" s="50" t="s">
        <v>4421</v>
      </c>
      <c r="C1268" s="50" t="n">
        <v>0.01</v>
      </c>
      <c r="D1268" s="50" t="s">
        <v>4422</v>
      </c>
      <c r="E1268" s="50" t="s">
        <v>434</v>
      </c>
      <c r="F1268" s="50" t="s">
        <v>4195</v>
      </c>
      <c r="G1268" s="53" t="s">
        <v>436</v>
      </c>
      <c r="H1268" s="50" t="s">
        <v>1258</v>
      </c>
    </row>
    <row r="1269" customFormat="false" ht="12.8" hidden="false" customHeight="false" outlineLevel="0" collapsed="false">
      <c r="A1269" s="50" t="s">
        <v>4423</v>
      </c>
      <c r="B1269" s="50" t="s">
        <v>4424</v>
      </c>
      <c r="C1269" s="50" t="n">
        <v>0.014</v>
      </c>
      <c r="D1269" s="50" t="s">
        <v>4425</v>
      </c>
      <c r="E1269" s="50" t="s">
        <v>440</v>
      </c>
      <c r="F1269" s="50" t="s">
        <v>4195</v>
      </c>
      <c r="G1269" s="53" t="s">
        <v>436</v>
      </c>
      <c r="H1269" s="50" t="s">
        <v>1258</v>
      </c>
    </row>
    <row r="1270" customFormat="false" ht="12.8" hidden="false" customHeight="false" outlineLevel="0" collapsed="false">
      <c r="A1270" s="50" t="s">
        <v>4426</v>
      </c>
      <c r="B1270" s="50" t="s">
        <v>4427</v>
      </c>
      <c r="C1270" s="50" t="n">
        <v>0.012</v>
      </c>
      <c r="D1270" s="50" t="s">
        <v>4428</v>
      </c>
      <c r="E1270" s="50" t="s">
        <v>434</v>
      </c>
      <c r="F1270" s="50" t="s">
        <v>4195</v>
      </c>
      <c r="G1270" s="53" t="s">
        <v>436</v>
      </c>
      <c r="H1270" s="50" t="s">
        <v>1258</v>
      </c>
    </row>
    <row r="1271" customFormat="false" ht="12.8" hidden="false" customHeight="false" outlineLevel="0" collapsed="false">
      <c r="A1271" s="50" t="s">
        <v>4429</v>
      </c>
      <c r="B1271" s="50" t="s">
        <v>4430</v>
      </c>
      <c r="C1271" s="50" t="n">
        <v>0.012</v>
      </c>
      <c r="D1271" s="50" t="s">
        <v>4431</v>
      </c>
      <c r="E1271" s="50" t="s">
        <v>434</v>
      </c>
      <c r="F1271" s="50" t="s">
        <v>4195</v>
      </c>
      <c r="G1271" s="53" t="s">
        <v>436</v>
      </c>
      <c r="H1271" s="50" t="s">
        <v>1258</v>
      </c>
    </row>
    <row r="1272" customFormat="false" ht="12.8" hidden="false" customHeight="false" outlineLevel="0" collapsed="false">
      <c r="A1272" s="50" t="s">
        <v>4432</v>
      </c>
      <c r="B1272" s="50" t="s">
        <v>4433</v>
      </c>
      <c r="C1272" s="50" t="n">
        <v>0.012</v>
      </c>
      <c r="D1272" s="50" t="s">
        <v>4434</v>
      </c>
      <c r="E1272" s="50" t="s">
        <v>434</v>
      </c>
      <c r="F1272" s="50" t="s">
        <v>4195</v>
      </c>
      <c r="G1272" s="53" t="s">
        <v>436</v>
      </c>
      <c r="H1272" s="50" t="s">
        <v>1258</v>
      </c>
    </row>
    <row r="1273" customFormat="false" ht="12.8" hidden="false" customHeight="false" outlineLevel="0" collapsed="false">
      <c r="A1273" s="50" t="s">
        <v>4435</v>
      </c>
      <c r="B1273" s="50" t="s">
        <v>4436</v>
      </c>
      <c r="C1273" s="50" t="n">
        <v>0.011</v>
      </c>
      <c r="D1273" s="50" t="s">
        <v>4437</v>
      </c>
      <c r="E1273" s="50" t="s">
        <v>434</v>
      </c>
      <c r="F1273" s="50" t="s">
        <v>4195</v>
      </c>
      <c r="G1273" s="53" t="s">
        <v>436</v>
      </c>
      <c r="H1273" s="50" t="s">
        <v>1258</v>
      </c>
    </row>
    <row r="1274" customFormat="false" ht="12.8" hidden="false" customHeight="false" outlineLevel="0" collapsed="false">
      <c r="A1274" s="50" t="s">
        <v>4438</v>
      </c>
      <c r="B1274" s="50" t="s">
        <v>4439</v>
      </c>
      <c r="C1274" s="50" t="n">
        <v>0.014</v>
      </c>
      <c r="D1274" s="50" t="s">
        <v>4440</v>
      </c>
      <c r="E1274" s="50" t="s">
        <v>440</v>
      </c>
      <c r="F1274" s="50" t="s">
        <v>4195</v>
      </c>
      <c r="G1274" s="53" t="s">
        <v>436</v>
      </c>
      <c r="H1274" s="50" t="s">
        <v>1258</v>
      </c>
    </row>
    <row r="1275" customFormat="false" ht="12.8" hidden="false" customHeight="false" outlineLevel="0" collapsed="false">
      <c r="A1275" s="50" t="s">
        <v>4441</v>
      </c>
      <c r="B1275" s="50" t="s">
        <v>4442</v>
      </c>
      <c r="C1275" s="50" t="n">
        <v>0.014</v>
      </c>
      <c r="D1275" s="50" t="s">
        <v>4443</v>
      </c>
      <c r="E1275" s="50" t="s">
        <v>440</v>
      </c>
      <c r="F1275" s="50" t="s">
        <v>4195</v>
      </c>
      <c r="G1275" s="53" t="s">
        <v>436</v>
      </c>
      <c r="H1275" s="50" t="s">
        <v>1258</v>
      </c>
    </row>
    <row r="1276" customFormat="false" ht="12.8" hidden="false" customHeight="false" outlineLevel="0" collapsed="false">
      <c r="A1276" s="50" t="s">
        <v>4444</v>
      </c>
      <c r="B1276" s="50" t="s">
        <v>4445</v>
      </c>
      <c r="C1276" s="50" t="n">
        <v>0.013</v>
      </c>
      <c r="D1276" s="50" t="s">
        <v>4446</v>
      </c>
      <c r="E1276" s="50" t="s">
        <v>434</v>
      </c>
      <c r="F1276" s="50" t="s">
        <v>4195</v>
      </c>
      <c r="G1276" s="53" t="s">
        <v>436</v>
      </c>
      <c r="H1276" s="50" t="s">
        <v>1258</v>
      </c>
    </row>
    <row r="1277" customFormat="false" ht="12.8" hidden="false" customHeight="false" outlineLevel="0" collapsed="false">
      <c r="A1277" s="50" t="s">
        <v>4447</v>
      </c>
      <c r="B1277" s="50" t="s">
        <v>4448</v>
      </c>
      <c r="C1277" s="50" t="n">
        <v>0.013</v>
      </c>
      <c r="D1277" s="50" t="s">
        <v>4449</v>
      </c>
      <c r="E1277" s="50" t="s">
        <v>434</v>
      </c>
      <c r="F1277" s="50" t="s">
        <v>4195</v>
      </c>
      <c r="G1277" s="53" t="s">
        <v>436</v>
      </c>
      <c r="H1277" s="50" t="s">
        <v>1258</v>
      </c>
    </row>
    <row r="1278" customFormat="false" ht="12.8" hidden="false" customHeight="false" outlineLevel="0" collapsed="false">
      <c r="A1278" s="50" t="s">
        <v>4450</v>
      </c>
      <c r="B1278" s="50" t="s">
        <v>4451</v>
      </c>
      <c r="C1278" s="50" t="n">
        <v>0.011</v>
      </c>
      <c r="D1278" s="50" t="s">
        <v>4452</v>
      </c>
      <c r="E1278" s="50" t="s">
        <v>434</v>
      </c>
      <c r="F1278" s="50" t="s">
        <v>4195</v>
      </c>
      <c r="G1278" s="53" t="s">
        <v>436</v>
      </c>
      <c r="H1278" s="50" t="s">
        <v>1258</v>
      </c>
    </row>
    <row r="1279" customFormat="false" ht="12.8" hidden="false" customHeight="false" outlineLevel="0" collapsed="false">
      <c r="A1279" s="50" t="s">
        <v>4453</v>
      </c>
      <c r="B1279" s="50" t="s">
        <v>4454</v>
      </c>
      <c r="C1279" s="50" t="n">
        <v>0.008</v>
      </c>
      <c r="D1279" s="50" t="s">
        <v>4455</v>
      </c>
      <c r="E1279" s="50" t="s">
        <v>434</v>
      </c>
      <c r="F1279" s="50" t="s">
        <v>4195</v>
      </c>
      <c r="G1279" s="53" t="s">
        <v>436</v>
      </c>
      <c r="H1279" s="50" t="s">
        <v>1258</v>
      </c>
    </row>
    <row r="1280" customFormat="false" ht="12.8" hidden="false" customHeight="false" outlineLevel="0" collapsed="false">
      <c r="A1280" s="50" t="s">
        <v>4456</v>
      </c>
      <c r="B1280" s="50" t="s">
        <v>4457</v>
      </c>
      <c r="C1280" s="50" t="n">
        <v>0.012</v>
      </c>
      <c r="D1280" s="50" t="s">
        <v>4458</v>
      </c>
      <c r="E1280" s="50" t="s">
        <v>440</v>
      </c>
      <c r="F1280" s="50" t="s">
        <v>4195</v>
      </c>
      <c r="G1280" s="53" t="s">
        <v>436</v>
      </c>
      <c r="H1280" s="50" t="s">
        <v>1258</v>
      </c>
    </row>
    <row r="1281" customFormat="false" ht="12.8" hidden="false" customHeight="false" outlineLevel="0" collapsed="false">
      <c r="A1281" s="50" t="s">
        <v>4459</v>
      </c>
      <c r="B1281" s="50" t="s">
        <v>4460</v>
      </c>
      <c r="C1281" s="50" t="n">
        <v>0.008</v>
      </c>
      <c r="D1281" s="50" t="s">
        <v>4461</v>
      </c>
      <c r="E1281" s="50" t="s">
        <v>434</v>
      </c>
      <c r="F1281" s="50" t="s">
        <v>4195</v>
      </c>
      <c r="G1281" s="53" t="s">
        <v>436</v>
      </c>
      <c r="H1281" s="50" t="s">
        <v>1258</v>
      </c>
    </row>
    <row r="1282" customFormat="false" ht="12.8" hidden="false" customHeight="false" outlineLevel="0" collapsed="false">
      <c r="A1282" s="50" t="s">
        <v>4462</v>
      </c>
      <c r="B1282" s="50" t="s">
        <v>4463</v>
      </c>
      <c r="C1282" s="50" t="n">
        <v>0.014</v>
      </c>
      <c r="D1282" s="50" t="s">
        <v>4464</v>
      </c>
      <c r="E1282" s="50" t="s">
        <v>440</v>
      </c>
      <c r="F1282" s="50" t="s">
        <v>4195</v>
      </c>
      <c r="G1282" s="53" t="s">
        <v>436</v>
      </c>
      <c r="H1282" s="50" t="s">
        <v>1258</v>
      </c>
    </row>
    <row r="1283" customFormat="false" ht="12.8" hidden="false" customHeight="false" outlineLevel="0" collapsed="false">
      <c r="A1283" s="50" t="s">
        <v>4465</v>
      </c>
      <c r="B1283" s="50" t="s">
        <v>4466</v>
      </c>
      <c r="C1283" s="50" t="n">
        <v>0.01</v>
      </c>
      <c r="D1283" s="50" t="s">
        <v>4467</v>
      </c>
      <c r="E1283" s="50" t="s">
        <v>434</v>
      </c>
      <c r="F1283" s="50" t="s">
        <v>4195</v>
      </c>
      <c r="G1283" s="53" t="s">
        <v>436</v>
      </c>
      <c r="H1283" s="50" t="s">
        <v>1258</v>
      </c>
    </row>
    <row r="1284" customFormat="false" ht="12.8" hidden="false" customHeight="false" outlineLevel="0" collapsed="false">
      <c r="A1284" s="50" t="s">
        <v>4468</v>
      </c>
      <c r="B1284" s="50" t="s">
        <v>4469</v>
      </c>
      <c r="C1284" s="50" t="n">
        <v>0.01</v>
      </c>
      <c r="D1284" s="50" t="s">
        <v>4470</v>
      </c>
      <c r="E1284" s="50" t="s">
        <v>434</v>
      </c>
      <c r="F1284" s="50" t="s">
        <v>4195</v>
      </c>
      <c r="G1284" s="53" t="s">
        <v>436</v>
      </c>
      <c r="H1284" s="50" t="s">
        <v>1258</v>
      </c>
    </row>
    <row r="1285" customFormat="false" ht="12.8" hidden="false" customHeight="false" outlineLevel="0" collapsed="false">
      <c r="A1285" s="50" t="s">
        <v>4471</v>
      </c>
      <c r="B1285" s="50" t="s">
        <v>4472</v>
      </c>
      <c r="C1285" s="50" t="n">
        <v>0.016</v>
      </c>
      <c r="D1285" s="50" t="s">
        <v>4473</v>
      </c>
      <c r="E1285" s="50" t="s">
        <v>502</v>
      </c>
      <c r="F1285" s="50" t="s">
        <v>4195</v>
      </c>
      <c r="G1285" s="53" t="s">
        <v>436</v>
      </c>
      <c r="H1285" s="50" t="s">
        <v>1258</v>
      </c>
    </row>
    <row r="1286" customFormat="false" ht="12.8" hidden="false" customHeight="false" outlineLevel="0" collapsed="false">
      <c r="A1286" s="50" t="s">
        <v>4474</v>
      </c>
      <c r="B1286" s="50" t="s">
        <v>4475</v>
      </c>
      <c r="C1286" s="50" t="n">
        <v>0.02</v>
      </c>
      <c r="D1286" s="50" t="s">
        <v>4476</v>
      </c>
      <c r="E1286" s="50" t="s">
        <v>502</v>
      </c>
      <c r="F1286" s="50" t="s">
        <v>4195</v>
      </c>
      <c r="G1286" s="53" t="s">
        <v>436</v>
      </c>
      <c r="H1286" s="50" t="s">
        <v>1258</v>
      </c>
    </row>
    <row r="1287" customFormat="false" ht="12.8" hidden="false" customHeight="false" outlineLevel="0" collapsed="false">
      <c r="A1287" s="50" t="s">
        <v>4477</v>
      </c>
      <c r="B1287" s="50" t="s">
        <v>4478</v>
      </c>
      <c r="C1287" s="50" t="n">
        <v>0.014</v>
      </c>
      <c r="D1287" s="50" t="s">
        <v>4479</v>
      </c>
      <c r="E1287" s="50" t="s">
        <v>440</v>
      </c>
      <c r="F1287" s="50" t="s">
        <v>4195</v>
      </c>
      <c r="G1287" s="53" t="s">
        <v>436</v>
      </c>
      <c r="H1287" s="50" t="s">
        <v>1258</v>
      </c>
    </row>
    <row r="1288" customFormat="false" ht="12.8" hidden="false" customHeight="false" outlineLevel="0" collapsed="false">
      <c r="A1288" s="50" t="s">
        <v>4480</v>
      </c>
      <c r="B1288" s="50" t="s">
        <v>4481</v>
      </c>
      <c r="C1288" s="50" t="n">
        <v>0.01</v>
      </c>
      <c r="D1288" s="50" t="s">
        <v>4482</v>
      </c>
      <c r="E1288" s="50" t="s">
        <v>434</v>
      </c>
      <c r="F1288" s="50" t="s">
        <v>4195</v>
      </c>
      <c r="G1288" s="53" t="s">
        <v>436</v>
      </c>
      <c r="H1288" s="50" t="s">
        <v>1258</v>
      </c>
    </row>
    <row r="1289" customFormat="false" ht="12.8" hidden="false" customHeight="false" outlineLevel="0" collapsed="false">
      <c r="A1289" s="50" t="s">
        <v>4483</v>
      </c>
      <c r="B1289" s="50" t="s">
        <v>4484</v>
      </c>
      <c r="C1289" s="50" t="n">
        <v>0.9</v>
      </c>
      <c r="D1289" s="50" t="s">
        <v>4485</v>
      </c>
      <c r="E1289" s="50" t="s">
        <v>434</v>
      </c>
      <c r="F1289" s="50" t="s">
        <v>4195</v>
      </c>
      <c r="G1289" s="53" t="s">
        <v>436</v>
      </c>
      <c r="H1289" s="50" t="s">
        <v>1258</v>
      </c>
    </row>
    <row r="1290" customFormat="false" ht="12.8" hidden="false" customHeight="false" outlineLevel="0" collapsed="false">
      <c r="A1290" s="50" t="s">
        <v>4486</v>
      </c>
      <c r="B1290" s="50" t="s">
        <v>4487</v>
      </c>
      <c r="C1290" s="50" t="n">
        <v>0.8</v>
      </c>
      <c r="D1290" s="50" t="s">
        <v>4488</v>
      </c>
      <c r="E1290" s="50" t="s">
        <v>502</v>
      </c>
      <c r="F1290" s="50" t="s">
        <v>4195</v>
      </c>
      <c r="G1290" s="53" t="s">
        <v>436</v>
      </c>
      <c r="H1290" s="50" t="s">
        <v>1258</v>
      </c>
    </row>
    <row r="1291" customFormat="false" ht="12.8" hidden="false" customHeight="false" outlineLevel="0" collapsed="false">
      <c r="A1291" s="50" t="s">
        <v>4489</v>
      </c>
      <c r="B1291" s="50" t="s">
        <v>4490</v>
      </c>
      <c r="C1291" s="50" t="n">
        <v>0.85</v>
      </c>
      <c r="D1291" s="50" t="s">
        <v>4491</v>
      </c>
      <c r="E1291" s="50" t="s">
        <v>502</v>
      </c>
      <c r="F1291" s="50" t="s">
        <v>4195</v>
      </c>
      <c r="G1291" s="53" t="s">
        <v>436</v>
      </c>
      <c r="H1291" s="50" t="s">
        <v>1258</v>
      </c>
    </row>
    <row r="1292" customFormat="false" ht="12.8" hidden="false" customHeight="false" outlineLevel="0" collapsed="false">
      <c r="A1292" s="50" t="s">
        <v>4492</v>
      </c>
      <c r="B1292" s="50" t="s">
        <v>4493</v>
      </c>
      <c r="C1292" s="50" t="n">
        <v>0.9</v>
      </c>
      <c r="D1292" s="50" t="s">
        <v>4494</v>
      </c>
      <c r="E1292" s="50" t="s">
        <v>434</v>
      </c>
      <c r="F1292" s="50" t="s">
        <v>4195</v>
      </c>
      <c r="G1292" s="53" t="s">
        <v>436</v>
      </c>
      <c r="H1292" s="50" t="s">
        <v>1258</v>
      </c>
    </row>
    <row r="1293" customFormat="false" ht="12.8" hidden="false" customHeight="false" outlineLevel="0" collapsed="false">
      <c r="A1293" s="50" t="s">
        <v>4495</v>
      </c>
      <c r="B1293" s="50" t="s">
        <v>4496</v>
      </c>
      <c r="C1293" s="50" t="n">
        <v>0.85</v>
      </c>
      <c r="D1293" s="50" t="s">
        <v>4497</v>
      </c>
      <c r="E1293" s="50" t="s">
        <v>440</v>
      </c>
      <c r="F1293" s="50" t="s">
        <v>4195</v>
      </c>
      <c r="G1293" s="53" t="s">
        <v>436</v>
      </c>
      <c r="H1293" s="50" t="s">
        <v>1258</v>
      </c>
    </row>
    <row r="1294" customFormat="false" ht="12.8" hidden="false" customHeight="false" outlineLevel="0" collapsed="false">
      <c r="A1294" s="50" t="s">
        <v>4498</v>
      </c>
      <c r="B1294" s="50" t="s">
        <v>4499</v>
      </c>
      <c r="C1294" s="50" t="n">
        <v>0.88</v>
      </c>
      <c r="D1294" s="50" t="s">
        <v>4500</v>
      </c>
      <c r="E1294" s="50" t="s">
        <v>434</v>
      </c>
      <c r="F1294" s="50" t="s">
        <v>4195</v>
      </c>
      <c r="G1294" s="53" t="s">
        <v>436</v>
      </c>
      <c r="H1294" s="50" t="s">
        <v>1258</v>
      </c>
    </row>
    <row r="1295" customFormat="false" ht="12.8" hidden="false" customHeight="false" outlineLevel="0" collapsed="false">
      <c r="A1295" s="50" t="s">
        <v>4501</v>
      </c>
      <c r="B1295" s="50" t="s">
        <v>4502</v>
      </c>
      <c r="C1295" s="50" t="n">
        <v>0.88</v>
      </c>
      <c r="D1295" s="50" t="s">
        <v>4503</v>
      </c>
      <c r="E1295" s="50" t="s">
        <v>434</v>
      </c>
      <c r="F1295" s="50" t="s">
        <v>4195</v>
      </c>
      <c r="G1295" s="53" t="s">
        <v>436</v>
      </c>
      <c r="H1295" s="50" t="s">
        <v>1258</v>
      </c>
    </row>
    <row r="1296" customFormat="false" ht="12.8" hidden="false" customHeight="false" outlineLevel="0" collapsed="false">
      <c r="A1296" s="50" t="s">
        <v>4504</v>
      </c>
      <c r="B1296" s="50" t="s">
        <v>4505</v>
      </c>
      <c r="C1296" s="50" t="n">
        <v>0.88</v>
      </c>
      <c r="D1296" s="50" t="s">
        <v>4506</v>
      </c>
      <c r="E1296" s="50" t="s">
        <v>434</v>
      </c>
      <c r="F1296" s="50" t="s">
        <v>4195</v>
      </c>
      <c r="G1296" s="53" t="s">
        <v>436</v>
      </c>
      <c r="H1296" s="50" t="s">
        <v>1258</v>
      </c>
    </row>
    <row r="1297" customFormat="false" ht="12.8" hidden="false" customHeight="false" outlineLevel="0" collapsed="false">
      <c r="A1297" s="50" t="s">
        <v>4507</v>
      </c>
      <c r="B1297" s="50" t="s">
        <v>4508</v>
      </c>
      <c r="C1297" s="50" t="n">
        <v>0.88</v>
      </c>
      <c r="D1297" s="50" t="s">
        <v>4509</v>
      </c>
      <c r="E1297" s="50" t="s">
        <v>434</v>
      </c>
      <c r="F1297" s="50" t="s">
        <v>4195</v>
      </c>
      <c r="G1297" s="53" t="s">
        <v>436</v>
      </c>
      <c r="H1297" s="50" t="s">
        <v>1258</v>
      </c>
    </row>
    <row r="1298" customFormat="false" ht="12.8" hidden="false" customHeight="false" outlineLevel="0" collapsed="false">
      <c r="A1298" s="50" t="s">
        <v>4510</v>
      </c>
      <c r="B1298" s="50" t="s">
        <v>4511</v>
      </c>
      <c r="C1298" s="50" t="n">
        <v>0.82</v>
      </c>
      <c r="D1298" s="50" t="s">
        <v>4512</v>
      </c>
      <c r="E1298" s="50" t="s">
        <v>440</v>
      </c>
      <c r="F1298" s="50" t="s">
        <v>4195</v>
      </c>
      <c r="G1298" s="53" t="s">
        <v>436</v>
      </c>
      <c r="H1298" s="50" t="s">
        <v>1258</v>
      </c>
    </row>
    <row r="1299" customFormat="false" ht="12.8" hidden="false" customHeight="false" outlineLevel="0" collapsed="false">
      <c r="A1299" s="50" t="s">
        <v>4513</v>
      </c>
      <c r="B1299" s="50" t="s">
        <v>4514</v>
      </c>
      <c r="C1299" s="50" t="n">
        <v>0.82</v>
      </c>
      <c r="D1299" s="50" t="s">
        <v>4515</v>
      </c>
      <c r="E1299" s="50" t="s">
        <v>440</v>
      </c>
      <c r="F1299" s="50" t="s">
        <v>4195</v>
      </c>
      <c r="G1299" s="53" t="s">
        <v>436</v>
      </c>
      <c r="H1299" s="50" t="s">
        <v>1258</v>
      </c>
    </row>
    <row r="1300" customFormat="false" ht="12.8" hidden="false" customHeight="false" outlineLevel="0" collapsed="false">
      <c r="A1300" s="50" t="s">
        <v>4516</v>
      </c>
      <c r="B1300" s="50" t="s">
        <v>4517</v>
      </c>
      <c r="C1300" s="50" t="n">
        <v>0.88</v>
      </c>
      <c r="D1300" s="50" t="s">
        <v>4518</v>
      </c>
      <c r="E1300" s="50" t="s">
        <v>434</v>
      </c>
      <c r="F1300" s="50" t="s">
        <v>4195</v>
      </c>
      <c r="G1300" s="53" t="s">
        <v>436</v>
      </c>
      <c r="H1300" s="50" t="s">
        <v>1258</v>
      </c>
    </row>
    <row r="1301" customFormat="false" ht="12.8" hidden="false" customHeight="false" outlineLevel="0" collapsed="false">
      <c r="A1301" s="50" t="s">
        <v>4519</v>
      </c>
      <c r="B1301" s="50" t="s">
        <v>4520</v>
      </c>
      <c r="C1301" s="50" t="n">
        <v>0.88</v>
      </c>
      <c r="D1301" s="50" t="s">
        <v>4521</v>
      </c>
      <c r="E1301" s="50" t="s">
        <v>434</v>
      </c>
      <c r="F1301" s="50" t="s">
        <v>4195</v>
      </c>
      <c r="G1301" s="53" t="s">
        <v>436</v>
      </c>
      <c r="H1301" s="50" t="s">
        <v>1258</v>
      </c>
    </row>
    <row r="1302" customFormat="false" ht="12.8" hidden="false" customHeight="false" outlineLevel="0" collapsed="false">
      <c r="A1302" s="50" t="s">
        <v>4522</v>
      </c>
      <c r="B1302" s="50" t="s">
        <v>4523</v>
      </c>
      <c r="C1302" s="50" t="n">
        <v>0.9</v>
      </c>
      <c r="D1302" s="50" t="s">
        <v>4524</v>
      </c>
      <c r="E1302" s="50" t="s">
        <v>434</v>
      </c>
      <c r="F1302" s="50" t="s">
        <v>4195</v>
      </c>
      <c r="G1302" s="53" t="s">
        <v>436</v>
      </c>
      <c r="H1302" s="50" t="s">
        <v>1258</v>
      </c>
    </row>
    <row r="1303" customFormat="false" ht="12.8" hidden="false" customHeight="false" outlineLevel="0" collapsed="false">
      <c r="A1303" s="50" t="s">
        <v>4525</v>
      </c>
      <c r="B1303" s="50" t="s">
        <v>4526</v>
      </c>
      <c r="C1303" s="50" t="n">
        <v>0.95</v>
      </c>
      <c r="D1303" s="50" t="s">
        <v>4527</v>
      </c>
      <c r="E1303" s="50" t="s">
        <v>434</v>
      </c>
      <c r="F1303" s="50" t="s">
        <v>4195</v>
      </c>
      <c r="G1303" s="53" t="s">
        <v>436</v>
      </c>
      <c r="H1303" s="50" t="s">
        <v>1258</v>
      </c>
    </row>
    <row r="1304" customFormat="false" ht="12.8" hidden="false" customHeight="false" outlineLevel="0" collapsed="false">
      <c r="A1304" s="50" t="s">
        <v>4528</v>
      </c>
      <c r="B1304" s="50" t="s">
        <v>4529</v>
      </c>
      <c r="C1304" s="50" t="n">
        <v>0.85</v>
      </c>
      <c r="D1304" s="50" t="s">
        <v>4530</v>
      </c>
      <c r="E1304" s="50" t="s">
        <v>440</v>
      </c>
      <c r="F1304" s="50" t="s">
        <v>4195</v>
      </c>
      <c r="G1304" s="53" t="s">
        <v>436</v>
      </c>
      <c r="H1304" s="50" t="s">
        <v>1258</v>
      </c>
    </row>
    <row r="1305" customFormat="false" ht="12.8" hidden="false" customHeight="false" outlineLevel="0" collapsed="false">
      <c r="A1305" s="50" t="s">
        <v>4531</v>
      </c>
      <c r="B1305" s="50" t="s">
        <v>4532</v>
      </c>
      <c r="C1305" s="50" t="n">
        <v>0.95</v>
      </c>
      <c r="D1305" s="50" t="s">
        <v>4533</v>
      </c>
      <c r="E1305" s="50" t="s">
        <v>434</v>
      </c>
      <c r="F1305" s="50" t="s">
        <v>4195</v>
      </c>
      <c r="G1305" s="53" t="s">
        <v>436</v>
      </c>
      <c r="H1305" s="50" t="s">
        <v>1258</v>
      </c>
    </row>
    <row r="1306" customFormat="false" ht="12.8" hidden="false" customHeight="false" outlineLevel="0" collapsed="false">
      <c r="A1306" s="50" t="s">
        <v>4534</v>
      </c>
      <c r="B1306" s="50" t="s">
        <v>4535</v>
      </c>
      <c r="C1306" s="50" t="n">
        <v>0.82</v>
      </c>
      <c r="D1306" s="50" t="s">
        <v>4536</v>
      </c>
      <c r="E1306" s="50" t="s">
        <v>440</v>
      </c>
      <c r="F1306" s="50" t="s">
        <v>4195</v>
      </c>
      <c r="G1306" s="53" t="s">
        <v>436</v>
      </c>
      <c r="H1306" s="50" t="s">
        <v>1258</v>
      </c>
    </row>
    <row r="1307" customFormat="false" ht="12.8" hidden="false" customHeight="false" outlineLevel="0" collapsed="false">
      <c r="A1307" s="50" t="s">
        <v>4537</v>
      </c>
      <c r="B1307" s="50" t="s">
        <v>4538</v>
      </c>
      <c r="C1307" s="50" t="n">
        <v>0.9</v>
      </c>
      <c r="D1307" s="50" t="s">
        <v>4539</v>
      </c>
      <c r="E1307" s="50" t="s">
        <v>434</v>
      </c>
      <c r="F1307" s="50" t="s">
        <v>4195</v>
      </c>
      <c r="G1307" s="53" t="s">
        <v>436</v>
      </c>
      <c r="H1307" s="50" t="s">
        <v>1258</v>
      </c>
    </row>
    <row r="1308" customFormat="false" ht="12.8" hidden="false" customHeight="false" outlineLevel="0" collapsed="false">
      <c r="A1308" s="50" t="s">
        <v>4540</v>
      </c>
      <c r="B1308" s="50" t="s">
        <v>4541</v>
      </c>
      <c r="C1308" s="50" t="n">
        <v>0.9</v>
      </c>
      <c r="D1308" s="50" t="s">
        <v>4542</v>
      </c>
      <c r="E1308" s="50" t="s">
        <v>434</v>
      </c>
      <c r="F1308" s="50" t="s">
        <v>4195</v>
      </c>
      <c r="G1308" s="53" t="s">
        <v>436</v>
      </c>
      <c r="H1308" s="50" t="s">
        <v>1258</v>
      </c>
    </row>
    <row r="1309" customFormat="false" ht="12.8" hidden="false" customHeight="false" outlineLevel="0" collapsed="false">
      <c r="A1309" s="50" t="s">
        <v>4543</v>
      </c>
      <c r="B1309" s="50" t="s">
        <v>4544</v>
      </c>
      <c r="C1309" s="50" t="n">
        <v>0.82</v>
      </c>
      <c r="D1309" s="50" t="s">
        <v>4545</v>
      </c>
      <c r="E1309" s="50" t="s">
        <v>502</v>
      </c>
      <c r="F1309" s="50" t="s">
        <v>4195</v>
      </c>
      <c r="G1309" s="53" t="s">
        <v>436</v>
      </c>
      <c r="H1309" s="50" t="s">
        <v>1258</v>
      </c>
    </row>
    <row r="1310" customFormat="false" ht="12.8" hidden="false" customHeight="false" outlineLevel="0" collapsed="false">
      <c r="A1310" s="50" t="s">
        <v>4546</v>
      </c>
      <c r="B1310" s="50" t="s">
        <v>4547</v>
      </c>
      <c r="C1310" s="50" t="n">
        <v>0.8</v>
      </c>
      <c r="D1310" s="50" t="s">
        <v>4548</v>
      </c>
      <c r="E1310" s="50" t="s">
        <v>502</v>
      </c>
      <c r="F1310" s="50" t="s">
        <v>4195</v>
      </c>
      <c r="G1310" s="53" t="s">
        <v>436</v>
      </c>
      <c r="H1310" s="50" t="s">
        <v>1258</v>
      </c>
    </row>
    <row r="1311" customFormat="false" ht="12.8" hidden="false" customHeight="false" outlineLevel="0" collapsed="false">
      <c r="A1311" s="50" t="s">
        <v>4549</v>
      </c>
      <c r="B1311" s="50" t="s">
        <v>4550</v>
      </c>
      <c r="C1311" s="50" t="n">
        <v>0.85</v>
      </c>
      <c r="D1311" s="50" t="s">
        <v>4551</v>
      </c>
      <c r="E1311" s="50" t="s">
        <v>440</v>
      </c>
      <c r="F1311" s="50" t="s">
        <v>4195</v>
      </c>
      <c r="G1311" s="53" t="s">
        <v>436</v>
      </c>
      <c r="H1311" s="50" t="s">
        <v>1258</v>
      </c>
    </row>
    <row r="1312" customFormat="false" ht="12.8" hidden="false" customHeight="false" outlineLevel="0" collapsed="false">
      <c r="A1312" s="50" t="s">
        <v>4552</v>
      </c>
      <c r="B1312" s="50" t="s">
        <v>4553</v>
      </c>
      <c r="C1312" s="50" t="n">
        <v>0.92</v>
      </c>
      <c r="D1312" s="50" t="s">
        <v>4554</v>
      </c>
      <c r="E1312" s="50" t="s">
        <v>434</v>
      </c>
      <c r="F1312" s="50" t="s">
        <v>4195</v>
      </c>
      <c r="G1312" s="53" t="s">
        <v>436</v>
      </c>
      <c r="H1312" s="50" t="s">
        <v>1258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C27"/>
  <sheetViews>
    <sheetView showFormulas="false" showGridLines="true" showRowColHeaders="true" showZeros="true" rightToLeft="false" tabSelected="false" showOutlineSymbols="true" defaultGridColor="true" view="normal" topLeftCell="D1" colorId="64" zoomScale="75" zoomScaleNormal="75" zoomScalePageLayoutView="100" workbookViewId="0">
      <selection pane="topLeft" activeCell="E13" activeCellId="0" sqref="E13"/>
    </sheetView>
  </sheetViews>
  <sheetFormatPr defaultColWidth="11.53515625" defaultRowHeight="12.8" customHeight="false" zeroHeight="false" outlineLevelRow="0" outlineLevelCol="0"/>
  <cols>
    <col collapsed="false" customWidth="true" hidden="false" outlineLevel="0" max="1" min="1" style="51" width="6.92"/>
    <col collapsed="false" customWidth="true" hidden="false" outlineLevel="0" max="2" min="2" style="39" width="6.92"/>
    <col collapsed="false" customWidth="true" hidden="false" outlineLevel="0" max="3" min="3" style="39" width="28.39"/>
    <col collapsed="false" customWidth="true" hidden="false" outlineLevel="0" max="4" min="4" style="39" width="14.55"/>
    <col collapsed="false" customWidth="true" hidden="false" outlineLevel="0" max="35" min="5" style="39" width="16.84"/>
    <col collapsed="false" customWidth="true" hidden="false" outlineLevel="0" max="37" min="36" style="39" width="17.78"/>
    <col collapsed="false" customWidth="true" hidden="false" outlineLevel="0" max="39" min="38" style="39" width="15.48"/>
    <col collapsed="false" customWidth="true" hidden="false" outlineLevel="0" max="40" min="40" style="3" width="15.48"/>
    <col collapsed="false" customWidth="false" hidden="false" outlineLevel="0" max="44" min="44" style="39" width="11.53"/>
    <col collapsed="false" customWidth="true" hidden="false" outlineLevel="0" max="45" min="45" style="39" width="18.45"/>
    <col collapsed="false" customWidth="true" hidden="false" outlineLevel="0" max="48" min="46" style="39" width="16.14"/>
    <col collapsed="false" customWidth="true" hidden="false" outlineLevel="0" max="55" min="49" style="39" width="13.84"/>
    <col collapsed="false" customWidth="true" hidden="false" outlineLevel="0" max="56" min="56" style="3" width="13.84"/>
  </cols>
  <sheetData>
    <row r="1" customFormat="false" ht="12.8" hidden="false" customHeight="false" outlineLevel="0" collapsed="false">
      <c r="A1" s="4" t="s">
        <v>4555</v>
      </c>
      <c r="B1" s="42" t="s">
        <v>7</v>
      </c>
      <c r="C1" s="6" t="s">
        <v>2</v>
      </c>
      <c r="D1" s="42"/>
      <c r="E1" s="42"/>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c r="BA1" s="42"/>
      <c r="BB1" s="42"/>
      <c r="BC1" s="42"/>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row>
    <row r="2" customFormat="false" ht="12.8" hidden="false" customHeight="false" outlineLevel="0" collapsed="false">
      <c r="A2" s="5" t="s">
        <v>4556</v>
      </c>
      <c r="B2" s="5"/>
      <c r="C2" s="5"/>
      <c r="D2" s="55" t="s">
        <v>4557</v>
      </c>
      <c r="E2" s="55"/>
      <c r="F2" s="55"/>
      <c r="G2" s="55"/>
      <c r="H2" s="5" t="s">
        <v>4558</v>
      </c>
      <c r="I2" s="5"/>
      <c r="J2" s="5"/>
      <c r="K2" s="5"/>
      <c r="L2" s="5" t="s">
        <v>4559</v>
      </c>
      <c r="M2" s="5"/>
      <c r="N2" s="5"/>
      <c r="O2" s="5"/>
      <c r="P2" s="5" t="s">
        <v>4560</v>
      </c>
      <c r="Q2" s="5"/>
      <c r="R2" s="5"/>
      <c r="S2" s="5"/>
      <c r="T2" s="5" t="s">
        <v>4561</v>
      </c>
      <c r="U2" s="5"/>
      <c r="V2" s="5"/>
      <c r="W2" s="5"/>
      <c r="X2" s="5" t="s">
        <v>4562</v>
      </c>
      <c r="Y2" s="5"/>
      <c r="Z2" s="5"/>
      <c r="AA2" s="5"/>
      <c r="AB2" s="5" t="s">
        <v>4563</v>
      </c>
      <c r="AC2" s="5"/>
      <c r="AD2" s="5"/>
      <c r="AE2" s="5"/>
      <c r="AF2" s="5" t="s">
        <v>4564</v>
      </c>
      <c r="AG2" s="5"/>
      <c r="AH2" s="5"/>
      <c r="AI2" s="5"/>
      <c r="AJ2" s="5" t="s">
        <v>4565</v>
      </c>
      <c r="AK2" s="5"/>
      <c r="AL2" s="5"/>
      <c r="AM2" s="5"/>
      <c r="AN2" s="5" t="s">
        <v>4566</v>
      </c>
      <c r="AO2" s="5"/>
      <c r="AP2" s="5"/>
      <c r="AQ2" s="5"/>
      <c r="AR2" s="5" t="s">
        <v>4567</v>
      </c>
      <c r="AS2" s="5"/>
      <c r="AT2" s="5"/>
      <c r="AU2" s="5"/>
      <c r="AV2" s="5" t="s">
        <v>4568</v>
      </c>
      <c r="AW2" s="5"/>
      <c r="AX2" s="5"/>
      <c r="AY2" s="5"/>
      <c r="AZ2" s="5" t="s">
        <v>4569</v>
      </c>
      <c r="BA2" s="5"/>
      <c r="BB2" s="5"/>
      <c r="BC2" s="5"/>
      <c r="BD2" s="56" t="s">
        <v>4570</v>
      </c>
      <c r="BE2" s="56"/>
      <c r="BF2" s="56"/>
      <c r="BG2" s="56"/>
      <c r="BH2" s="56" t="s">
        <v>4571</v>
      </c>
      <c r="BI2" s="56"/>
      <c r="BJ2" s="56"/>
      <c r="BK2" s="56"/>
      <c r="BL2" s="56"/>
      <c r="BM2" s="56"/>
      <c r="BN2" s="56" t="s">
        <v>4572</v>
      </c>
      <c r="BO2" s="56"/>
      <c r="BP2" s="56"/>
      <c r="BQ2" s="56"/>
      <c r="BR2" s="56" t="s">
        <v>4573</v>
      </c>
      <c r="BS2" s="56"/>
      <c r="BT2" s="56"/>
      <c r="BU2" s="56"/>
      <c r="BV2" s="56" t="s">
        <v>4574</v>
      </c>
      <c r="BW2" s="56"/>
      <c r="BX2" s="56"/>
      <c r="BY2" s="56"/>
      <c r="BZ2" s="56"/>
      <c r="CA2" s="56"/>
      <c r="CB2" s="56" t="s">
        <v>4575</v>
      </c>
      <c r="CC2" s="56"/>
      <c r="CD2" s="56"/>
      <c r="CE2" s="56"/>
      <c r="CF2" s="56" t="s">
        <v>4576</v>
      </c>
      <c r="CG2" s="56"/>
      <c r="CH2" s="56"/>
      <c r="CI2" s="56"/>
      <c r="CJ2" s="56" t="s">
        <v>4577</v>
      </c>
      <c r="CK2" s="56"/>
      <c r="CL2" s="56"/>
      <c r="CM2" s="56"/>
      <c r="CN2" s="56" t="s">
        <v>4578</v>
      </c>
      <c r="CO2" s="56"/>
      <c r="CP2" s="56"/>
      <c r="CQ2" s="56"/>
      <c r="CR2" s="56" t="s">
        <v>4579</v>
      </c>
      <c r="CS2" s="56"/>
      <c r="CT2" s="56"/>
      <c r="CU2" s="56"/>
      <c r="CV2" s="56" t="s">
        <v>4580</v>
      </c>
      <c r="CW2" s="56"/>
      <c r="CX2" s="56"/>
      <c r="CY2" s="56"/>
      <c r="CZ2" s="56"/>
      <c r="DA2" s="56"/>
      <c r="DB2" s="56"/>
      <c r="DC2" s="56"/>
    </row>
    <row r="3" customFormat="false" ht="12.8" hidden="false" customHeight="false" outlineLevel="0" collapsed="false">
      <c r="A3" s="11" t="s">
        <v>4581</v>
      </c>
      <c r="B3" s="42" t="s">
        <v>4582</v>
      </c>
      <c r="C3" s="42" t="s">
        <v>4583</v>
      </c>
      <c r="D3" s="57" t="s">
        <v>4584</v>
      </c>
      <c r="E3" s="57" t="s">
        <v>4585</v>
      </c>
      <c r="F3" s="57" t="s">
        <v>4586</v>
      </c>
      <c r="G3" s="57" t="s">
        <v>4587</v>
      </c>
      <c r="H3" s="58" t="s">
        <v>4588</v>
      </c>
      <c r="I3" s="58" t="s">
        <v>4589</v>
      </c>
      <c r="J3" s="58" t="s">
        <v>4590</v>
      </c>
      <c r="K3" s="58" t="s">
        <v>4591</v>
      </c>
      <c r="L3" s="58" t="s">
        <v>4592</v>
      </c>
      <c r="M3" s="58" t="s">
        <v>4593</v>
      </c>
      <c r="N3" s="58" t="s">
        <v>4594</v>
      </c>
      <c r="O3" s="58" t="s">
        <v>4595</v>
      </c>
      <c r="P3" s="42" t="s">
        <v>4596</v>
      </c>
      <c r="Q3" s="42" t="s">
        <v>4597</v>
      </c>
      <c r="R3" s="42" t="s">
        <v>4598</v>
      </c>
      <c r="S3" s="42" t="s">
        <v>4599</v>
      </c>
      <c r="T3" s="42" t="s">
        <v>4600</v>
      </c>
      <c r="U3" s="42" t="s">
        <v>4601</v>
      </c>
      <c r="V3" s="42" t="s">
        <v>4602</v>
      </c>
      <c r="W3" s="42" t="s">
        <v>4603</v>
      </c>
      <c r="X3" s="42" t="s">
        <v>4604</v>
      </c>
      <c r="Y3" s="42" t="s">
        <v>4605</v>
      </c>
      <c r="Z3" s="42" t="s">
        <v>4606</v>
      </c>
      <c r="AA3" s="42" t="s">
        <v>4607</v>
      </c>
      <c r="AB3" s="42" t="s">
        <v>4608</v>
      </c>
      <c r="AC3" s="42" t="s">
        <v>4609</v>
      </c>
      <c r="AD3" s="42" t="s">
        <v>4610</v>
      </c>
      <c r="AE3" s="42" t="s">
        <v>4611</v>
      </c>
      <c r="AF3" s="42" t="s">
        <v>4612</v>
      </c>
      <c r="AG3" s="42" t="s">
        <v>4613</v>
      </c>
      <c r="AH3" s="42" t="s">
        <v>4614</v>
      </c>
      <c r="AI3" s="42" t="s">
        <v>4615</v>
      </c>
      <c r="AJ3" s="42" t="s">
        <v>4616</v>
      </c>
      <c r="AK3" s="42" t="s">
        <v>4617</v>
      </c>
      <c r="AL3" s="42" t="s">
        <v>4618</v>
      </c>
      <c r="AM3" s="42" t="s">
        <v>4619</v>
      </c>
      <c r="AN3" s="42" t="s">
        <v>4620</v>
      </c>
      <c r="AO3" s="42" t="s">
        <v>4621</v>
      </c>
      <c r="AP3" s="42" t="s">
        <v>4622</v>
      </c>
      <c r="AQ3" s="42" t="s">
        <v>4623</v>
      </c>
      <c r="AR3" s="42" t="s">
        <v>4624</v>
      </c>
      <c r="AS3" s="42" t="s">
        <v>4625</v>
      </c>
      <c r="AT3" s="42" t="s">
        <v>4626</v>
      </c>
      <c r="AU3" s="42" t="s">
        <v>4627</v>
      </c>
      <c r="AV3" s="42" t="s">
        <v>4628</v>
      </c>
      <c r="AW3" s="42" t="s">
        <v>4629</v>
      </c>
      <c r="AX3" s="42" t="s">
        <v>4630</v>
      </c>
      <c r="AY3" s="42" t="s">
        <v>4631</v>
      </c>
      <c r="AZ3" s="42" t="s">
        <v>4632</v>
      </c>
      <c r="BA3" s="42" t="s">
        <v>4633</v>
      </c>
      <c r="BB3" s="42" t="s">
        <v>4634</v>
      </c>
      <c r="BC3" s="42" t="s">
        <v>4635</v>
      </c>
      <c r="BD3" s="42" t="s">
        <v>69</v>
      </c>
      <c r="BE3" s="42" t="s">
        <v>4636</v>
      </c>
      <c r="BF3" s="42" t="s">
        <v>4637</v>
      </c>
      <c r="BG3" s="42" t="s">
        <v>4638</v>
      </c>
      <c r="BH3" s="42" t="s">
        <v>72</v>
      </c>
      <c r="BI3" s="42" t="s">
        <v>4639</v>
      </c>
      <c r="BJ3" s="42" t="s">
        <v>4640</v>
      </c>
      <c r="BK3" s="42" t="s">
        <v>4641</v>
      </c>
      <c r="BL3" s="42" t="s">
        <v>4642</v>
      </c>
      <c r="BM3" s="42" t="s">
        <v>4643</v>
      </c>
      <c r="BN3" s="42" t="s">
        <v>75</v>
      </c>
      <c r="BO3" s="42" t="s">
        <v>4644</v>
      </c>
      <c r="BP3" s="42" t="s">
        <v>4645</v>
      </c>
      <c r="BQ3" s="42" t="s">
        <v>4646</v>
      </c>
      <c r="BR3" s="42" t="s">
        <v>78</v>
      </c>
      <c r="BS3" s="42" t="s">
        <v>4647</v>
      </c>
      <c r="BT3" s="42" t="s">
        <v>4648</v>
      </c>
      <c r="BU3" s="42" t="s">
        <v>4649</v>
      </c>
      <c r="BV3" s="42" t="s">
        <v>4650</v>
      </c>
      <c r="BW3" s="42" t="s">
        <v>4651</v>
      </c>
      <c r="BX3" s="42" t="s">
        <v>4652</v>
      </c>
      <c r="BY3" s="42" t="s">
        <v>4653</v>
      </c>
      <c r="BZ3" s="42" t="s">
        <v>4654</v>
      </c>
      <c r="CA3" s="42" t="s">
        <v>4655</v>
      </c>
      <c r="CB3" s="42" t="s">
        <v>84</v>
      </c>
      <c r="CC3" s="42" t="s">
        <v>4656</v>
      </c>
      <c r="CD3" s="42" t="s">
        <v>4657</v>
      </c>
      <c r="CE3" s="42" t="s">
        <v>4658</v>
      </c>
      <c r="CF3" s="42" t="s">
        <v>4659</v>
      </c>
      <c r="CG3" s="42" t="s">
        <v>4660</v>
      </c>
      <c r="CH3" s="42" t="s">
        <v>4661</v>
      </c>
      <c r="CI3" s="42" t="s">
        <v>4662</v>
      </c>
      <c r="CJ3" s="42" t="s">
        <v>4663</v>
      </c>
      <c r="CK3" s="42" t="s">
        <v>4664</v>
      </c>
      <c r="CL3" s="42" t="s">
        <v>4665</v>
      </c>
      <c r="CM3" s="42" t="s">
        <v>4666</v>
      </c>
      <c r="CN3" s="42" t="s">
        <v>4667</v>
      </c>
      <c r="CO3" s="42" t="s">
        <v>4668</v>
      </c>
      <c r="CP3" s="42" t="s">
        <v>4669</v>
      </c>
      <c r="CQ3" s="42" t="s">
        <v>4670</v>
      </c>
      <c r="CR3" s="42" t="s">
        <v>4671</v>
      </c>
      <c r="CS3" s="42" t="s">
        <v>4672</v>
      </c>
      <c r="CT3" s="42" t="s">
        <v>4673</v>
      </c>
      <c r="CU3" s="42" t="s">
        <v>4674</v>
      </c>
      <c r="CV3" s="42" t="s">
        <v>99</v>
      </c>
      <c r="CW3" s="42" t="s">
        <v>4675</v>
      </c>
      <c r="CX3" s="42" t="s">
        <v>4676</v>
      </c>
      <c r="CY3" s="42" t="s">
        <v>4677</v>
      </c>
    </row>
    <row r="4" customFormat="false" ht="12.8" hidden="false" customHeight="false" outlineLevel="0" collapsed="false">
      <c r="A4" s="51" t="n">
        <v>0</v>
      </c>
      <c r="B4" s="39" t="s">
        <v>4678</v>
      </c>
      <c r="C4" s="39" t="s">
        <v>4679</v>
      </c>
      <c r="D4" s="42" t="n">
        <f aca="false">LFP!C4</f>
        <v>2385000</v>
      </c>
      <c r="E4" s="42" t="n">
        <f aca="false">LFP!D4</f>
        <v>62388</v>
      </c>
      <c r="F4" s="42" t="n">
        <f aca="false">LFP!E4</f>
        <v>50000</v>
      </c>
      <c r="G4" s="42" t="n">
        <f aca="false">LFP!F4</f>
        <v>2270612</v>
      </c>
      <c r="H4" s="42" t="n">
        <f aca="false">TNPE!C4</f>
        <v>2211200</v>
      </c>
      <c r="I4" s="42" t="n">
        <f aca="false">TNPE!D4</f>
        <v>81814</v>
      </c>
      <c r="J4" s="42" t="n">
        <f aca="false">TNPE!E4</f>
        <v>48646</v>
      </c>
      <c r="K4" s="42" t="n">
        <f aca="false">TNPE!F4</f>
        <v>2080740</v>
      </c>
      <c r="L4" s="59" t="n">
        <f aca="false">ETPR!C4</f>
        <v>0.562</v>
      </c>
      <c r="M4" s="59" t="n">
        <f aca="false">ETPR!D4</f>
        <v>0.538</v>
      </c>
      <c r="N4" s="59" t="n">
        <f aca="false">ETPR!E4</f>
        <v>0.594</v>
      </c>
      <c r="O4" s="59" t="n">
        <f aca="false">ETPR!F4</f>
        <v>0.564</v>
      </c>
      <c r="P4" s="59" t="n">
        <f aca="false">LFPR!C4</f>
        <v>0.577</v>
      </c>
      <c r="Q4" s="59" t="n">
        <f aca="false">LFPR!D4</f>
        <v>0.41</v>
      </c>
      <c r="R4" s="59" t="n">
        <f aca="false">LFPR!E4</f>
        <v>0.61</v>
      </c>
      <c r="S4" s="59" t="n">
        <f aca="false">LFPR!F4</f>
        <v>0.583</v>
      </c>
      <c r="T4" s="39" t="n">
        <f aca="false">U3R!C4</f>
        <v>0.027</v>
      </c>
      <c r="U4" s="39" t="n">
        <f aca="false">U3R!D4</f>
        <v>0.029</v>
      </c>
      <c r="V4" s="39" t="n">
        <f aca="false">U3R!E4</f>
        <v>0.038</v>
      </c>
      <c r="W4" s="39" t="n">
        <f aca="false">U3R!F4</f>
        <v>0.026</v>
      </c>
      <c r="X4" s="39" t="n">
        <f aca="false">U6R!C4</f>
        <v>0.045</v>
      </c>
      <c r="Y4" s="39" t="n">
        <f aca="false">U6R!D4</f>
        <v>0.048</v>
      </c>
      <c r="Z4" s="39" t="n">
        <f aca="false">U6R!E4</f>
        <v>0.065</v>
      </c>
      <c r="AA4" s="39" t="n">
        <f aca="false">U6R!F4</f>
        <v>0.043</v>
      </c>
      <c r="AB4" s="39" t="n">
        <f aca="false">WAVG!C4</f>
        <v>31.96</v>
      </c>
      <c r="AC4" s="39" t="n">
        <f aca="false">WAVG!D4</f>
        <v>32.48</v>
      </c>
      <c r="AD4" s="39" t="n">
        <f aca="false">WAVG!E4</f>
        <v>24.85</v>
      </c>
      <c r="AE4" s="39" t="n">
        <f aca="false">WAVG!F4</f>
        <v>32.18</v>
      </c>
      <c r="AF4" s="60" t="n">
        <f aca="false">AIAVG!C4</f>
        <v>66477</v>
      </c>
      <c r="AG4" s="60" t="n">
        <f aca="false">AIAVG!D4</f>
        <v>68064</v>
      </c>
      <c r="AH4" s="60" t="n">
        <f aca="false">AIAVG!E4</f>
        <v>46534</v>
      </c>
      <c r="AI4" s="60" t="n">
        <f aca="false">AIAVG!F4</f>
        <v>66857</v>
      </c>
      <c r="AN4" s="39"/>
      <c r="AO4" s="3"/>
      <c r="AP4" s="3"/>
      <c r="AQ4" s="3"/>
      <c r="AR4" s="3"/>
      <c r="BD4" s="39"/>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row>
    <row r="5" customFormat="false" ht="23.85" hidden="false" customHeight="false" outlineLevel="0" collapsed="false">
      <c r="A5" s="51" t="n">
        <v>1</v>
      </c>
      <c r="B5" s="39" t="n">
        <v>11</v>
      </c>
      <c r="C5" s="40" t="s">
        <v>4680</v>
      </c>
      <c r="D5" s="42" t="n">
        <f aca="false">LFP!C5</f>
        <v>38000</v>
      </c>
      <c r="E5" s="42" t="n">
        <f aca="false">LFP!D5</f>
        <v>152</v>
      </c>
      <c r="F5" s="42" t="n">
        <f aca="false">LFP!E5</f>
        <v>5320</v>
      </c>
      <c r="G5" s="42" t="n">
        <f aca="false">LFP!F5</f>
        <v>32528</v>
      </c>
      <c r="H5" s="42" t="n">
        <f aca="false">TNPE!C5</f>
        <v>33500</v>
      </c>
      <c r="I5" s="42" t="n">
        <f aca="false">TNPE!D5</f>
        <v>1240</v>
      </c>
      <c r="J5" s="42" t="n">
        <f aca="false">TNPE!E5</f>
        <v>884</v>
      </c>
      <c r="K5" s="42" t="n">
        <f aca="false">TNPE!F5</f>
        <v>31376</v>
      </c>
      <c r="L5" s="59" t="n">
        <f aca="false">ETPR!C5</f>
        <v>0.61</v>
      </c>
      <c r="M5" s="59" t="n">
        <f aca="false">ETPR!D5</f>
        <v>0.62</v>
      </c>
      <c r="N5" s="59" t="n">
        <f aca="false">ETPR!E5</f>
        <v>0.68</v>
      </c>
      <c r="O5" s="59" t="n">
        <f aca="false">ETPR!F5</f>
        <v>0.605</v>
      </c>
      <c r="P5" s="59" t="n">
        <f aca="false">LFPR!C5</f>
        <v>0.545</v>
      </c>
      <c r="Q5" s="59" t="n">
        <f aca="false">LFPR!D5</f>
        <v>0.4</v>
      </c>
      <c r="R5" s="59" t="n">
        <f aca="false">LFPR!E5</f>
        <v>0.7</v>
      </c>
      <c r="S5" s="59" t="n">
        <f aca="false">LFPR!F5</f>
        <v>0.545</v>
      </c>
      <c r="T5" s="39" t="n">
        <f aca="false">U3R!C5</f>
        <v>0.045</v>
      </c>
      <c r="U5" s="39" t="n">
        <f aca="false">U3R!D5</f>
        <v>0.048</v>
      </c>
      <c r="V5" s="39" t="n">
        <f aca="false">U3R!E5</f>
        <v>0.062</v>
      </c>
      <c r="W5" s="39" t="n">
        <f aca="false">U3R!F5</f>
        <v>0.042</v>
      </c>
      <c r="X5" s="39" t="n">
        <f aca="false">U6R!C5</f>
        <v>0.072</v>
      </c>
      <c r="Y5" s="39" t="n">
        <f aca="false">U6R!D5</f>
        <v>0.077</v>
      </c>
      <c r="Z5" s="39" t="n">
        <f aca="false">U6R!E5</f>
        <v>0.098</v>
      </c>
      <c r="AA5" s="39" t="n">
        <f aca="false">U6R!F5</f>
        <v>0.068</v>
      </c>
      <c r="AB5" s="39" t="n">
        <f aca="false">WAVG!C5</f>
        <v>18.5</v>
      </c>
      <c r="AC5" s="39" t="n">
        <f aca="false">WAVG!D5</f>
        <v>18.87</v>
      </c>
      <c r="AD5" s="39" t="n">
        <f aca="false">WAVG!E5</f>
        <v>12.95</v>
      </c>
      <c r="AE5" s="39" t="n">
        <f aca="false">WAVG!F5</f>
        <v>18.61</v>
      </c>
      <c r="AF5" s="60" t="n">
        <f aca="false">AIAVG!C5</f>
        <v>35150</v>
      </c>
      <c r="AG5" s="60" t="n">
        <f aca="false">AIAVG!D5</f>
        <v>36105</v>
      </c>
      <c r="AH5" s="60" t="n">
        <f aca="false">AIAVG!E5</f>
        <v>22848</v>
      </c>
      <c r="AI5" s="60" t="n">
        <f aca="false">AIAVG!F5</f>
        <v>35301</v>
      </c>
      <c r="AN5" s="39"/>
      <c r="AO5" s="3"/>
      <c r="AP5" s="3"/>
      <c r="AQ5" s="3"/>
      <c r="AR5" s="3"/>
      <c r="BD5" s="39"/>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row>
    <row r="6" customFormat="false" ht="23.85" hidden="false" customHeight="false" outlineLevel="0" collapsed="false">
      <c r="A6" s="51" t="n">
        <v>2</v>
      </c>
      <c r="B6" s="39" t="n">
        <v>21</v>
      </c>
      <c r="C6" s="40" t="s">
        <v>4681</v>
      </c>
      <c r="D6" s="42" t="n">
        <f aca="false">LFP!C6</f>
        <v>14000</v>
      </c>
      <c r="E6" s="42" t="n">
        <f aca="false">LFP!D6</f>
        <v>196</v>
      </c>
      <c r="F6" s="42" t="n">
        <f aca="false">LFP!E6</f>
        <v>560</v>
      </c>
      <c r="G6" s="42" t="n">
        <f aca="false">LFP!F6</f>
        <v>13244</v>
      </c>
      <c r="H6" s="42" t="n">
        <f aca="false">TNPE!C6</f>
        <v>4800</v>
      </c>
      <c r="I6" s="42" t="n">
        <f aca="false">TNPE!D6</f>
        <v>178</v>
      </c>
      <c r="J6" s="42" t="n">
        <f aca="false">TNPE!E6</f>
        <v>106</v>
      </c>
      <c r="K6" s="42" t="n">
        <f aca="false">TNPE!F6</f>
        <v>4516</v>
      </c>
      <c r="L6" s="59" t="n">
        <f aca="false">ETPR!C6</f>
        <v>0.68</v>
      </c>
      <c r="M6" s="59" t="n">
        <f aca="false">ETPR!D6</f>
        <v>0.67</v>
      </c>
      <c r="N6" s="59" t="n">
        <f aca="false">ETPR!E6</f>
        <v>0.71</v>
      </c>
      <c r="O6" s="59" t="n">
        <f aca="false">ETPR!F6</f>
        <v>0.682</v>
      </c>
      <c r="P6" s="59" t="n">
        <f aca="false">LFPR!C6</f>
        <v>0.585</v>
      </c>
      <c r="Q6" s="59" t="n">
        <f aca="false">LFPR!D6</f>
        <v>0.415</v>
      </c>
      <c r="R6" s="59" t="n">
        <f aca="false">LFPR!E6</f>
        <v>0.65</v>
      </c>
      <c r="S6" s="59" t="n">
        <f aca="false">LFPR!F6</f>
        <v>0.585</v>
      </c>
      <c r="T6" s="39" t="n">
        <f aca="false">U3R!C6</f>
        <v>0.038</v>
      </c>
      <c r="U6" s="39" t="n">
        <f aca="false">U3R!D6</f>
        <v>0.04</v>
      </c>
      <c r="V6" s="39" t="n">
        <f aca="false">U3R!E6</f>
        <v>0.052</v>
      </c>
      <c r="W6" s="39" t="n">
        <f aca="false">U3R!F6</f>
        <v>0.036</v>
      </c>
      <c r="X6" s="39" t="n">
        <f aca="false">U6R!C6</f>
        <v>0.061</v>
      </c>
      <c r="Y6" s="39" t="n">
        <f aca="false">U6R!D6</f>
        <v>0.065</v>
      </c>
      <c r="Z6" s="39" t="n">
        <f aca="false">U6R!E6</f>
        <v>0.083</v>
      </c>
      <c r="AA6" s="39" t="n">
        <f aca="false">U6R!F6</f>
        <v>0.058</v>
      </c>
      <c r="AB6" s="39" t="n">
        <f aca="false">WAVG!C6</f>
        <v>35</v>
      </c>
      <c r="AC6" s="39" t="n">
        <f aca="false">WAVG!D6</f>
        <v>36.05</v>
      </c>
      <c r="AD6" s="39" t="n">
        <f aca="false">WAVG!E6</f>
        <v>28</v>
      </c>
      <c r="AE6" s="39" t="n">
        <f aca="false">WAVG!F6</f>
        <v>35.18</v>
      </c>
      <c r="AF6" s="60" t="n">
        <f aca="false">AIAVG!C6</f>
        <v>73500</v>
      </c>
      <c r="AG6" s="60" t="n">
        <f aca="false">AIAVG!D6</f>
        <v>76440</v>
      </c>
      <c r="AH6" s="60" t="n">
        <f aca="false">AIAVG!E6</f>
        <v>55125</v>
      </c>
      <c r="AI6" s="60" t="n">
        <f aca="false">AIAVG!F6</f>
        <v>73926</v>
      </c>
      <c r="AN6" s="39"/>
      <c r="AO6" s="3"/>
      <c r="AP6" s="3"/>
      <c r="AQ6" s="3"/>
      <c r="AR6" s="3"/>
      <c r="BD6" s="39"/>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row>
    <row r="7" customFormat="false" ht="12.8" hidden="false" customHeight="false" outlineLevel="0" collapsed="false">
      <c r="A7" s="3" t="n">
        <v>3</v>
      </c>
      <c r="B7" s="3" t="n">
        <v>22</v>
      </c>
      <c r="C7" s="3" t="s">
        <v>4682</v>
      </c>
      <c r="D7" s="42" t="n">
        <f aca="false">LFP!C7</f>
        <v>28000</v>
      </c>
      <c r="E7" s="42" t="n">
        <f aca="false">LFP!D7</f>
        <v>560</v>
      </c>
      <c r="F7" s="42" t="n">
        <f aca="false">LFP!E7</f>
        <v>224</v>
      </c>
      <c r="G7" s="42" t="n">
        <f aca="false">LFP!F7</f>
        <v>27216</v>
      </c>
      <c r="H7" s="42" t="n">
        <f aca="false">TNPE!C7</f>
        <v>7100</v>
      </c>
      <c r="I7" s="42" t="n">
        <f aca="false">TNPE!D7</f>
        <v>263</v>
      </c>
      <c r="J7" s="42" t="n">
        <f aca="false">TNPE!E7</f>
        <v>156</v>
      </c>
      <c r="K7" s="42" t="n">
        <f aca="false">TNPE!F7</f>
        <v>6681</v>
      </c>
      <c r="L7" s="59" t="n">
        <f aca="false">ETPR!C7</f>
        <v>0.78</v>
      </c>
      <c r="M7" s="59" t="n">
        <f aca="false">ETPR!D7</f>
        <v>0.77</v>
      </c>
      <c r="N7" s="59" t="n">
        <f aca="false">ETPR!E7</f>
        <v>0.8</v>
      </c>
      <c r="O7" s="59" t="n">
        <f aca="false">ETPR!F7</f>
        <v>0.781</v>
      </c>
      <c r="P7" s="59" t="n">
        <f aca="false">LFPR!C7</f>
        <v>0.575</v>
      </c>
      <c r="Q7" s="59" t="n">
        <f aca="false">LFPR!D7</f>
        <v>0.41</v>
      </c>
      <c r="R7" s="59" t="n">
        <f aca="false">LFPR!E7</f>
        <v>0.62</v>
      </c>
      <c r="S7" s="59" t="n">
        <f aca="false">LFPR!F7</f>
        <v>0.575</v>
      </c>
      <c r="T7" s="39" t="n">
        <f aca="false">U3R!C7</f>
        <v>0.018</v>
      </c>
      <c r="U7" s="39" t="n">
        <f aca="false">U3R!D7</f>
        <v>0.019</v>
      </c>
      <c r="V7" s="39" t="n">
        <f aca="false">U3R!E7</f>
        <v>0.022</v>
      </c>
      <c r="W7" s="39" t="n">
        <f aca="false">U3R!F7</f>
        <v>0.018</v>
      </c>
      <c r="X7" s="39" t="n">
        <f aca="false">U6R!C7</f>
        <v>0.027</v>
      </c>
      <c r="Y7" s="39" t="n">
        <f aca="false">U6R!D7</f>
        <v>0.029</v>
      </c>
      <c r="Z7" s="39" t="n">
        <f aca="false">U6R!E7</f>
        <v>0.033</v>
      </c>
      <c r="AA7" s="39" t="n">
        <f aca="false">U6R!F7</f>
        <v>0.027</v>
      </c>
      <c r="AB7" s="39" t="n">
        <f aca="false">WAVG!C7</f>
        <v>40</v>
      </c>
      <c r="AC7" s="39" t="n">
        <f aca="false">WAVG!D7</f>
        <v>40.4</v>
      </c>
      <c r="AD7" s="39" t="n">
        <f aca="false">WAVG!E7</f>
        <v>34</v>
      </c>
      <c r="AE7" s="39" t="n">
        <f aca="false">WAVG!F7</f>
        <v>40.08</v>
      </c>
      <c r="AF7" s="60" t="n">
        <f aca="false">AIAVG!C7</f>
        <v>83200</v>
      </c>
      <c r="AG7" s="60" t="n">
        <f aca="false">AIAVG!D7</f>
        <v>84864</v>
      </c>
      <c r="AH7" s="60" t="n">
        <f aca="false">AIAVG!E7</f>
        <v>66560</v>
      </c>
      <c r="AI7" s="60" t="n">
        <f aca="false">AIAVG!F7</f>
        <v>83392</v>
      </c>
      <c r="AJ7" s="3"/>
      <c r="AK7" s="3"/>
      <c r="AL7" s="3"/>
      <c r="AM7" s="3"/>
      <c r="AO7" s="3"/>
      <c r="AP7" s="3"/>
      <c r="AQ7" s="3"/>
      <c r="AR7" s="3"/>
      <c r="AS7" s="3"/>
      <c r="AT7" s="3"/>
      <c r="AU7" s="3"/>
      <c r="AV7" s="3"/>
      <c r="AW7" s="3"/>
      <c r="AX7" s="3"/>
      <c r="AY7" s="3"/>
      <c r="AZ7" s="3"/>
      <c r="BA7" s="3"/>
      <c r="BB7" s="3"/>
      <c r="BC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row>
    <row r="8" customFormat="false" ht="12.8" hidden="false" customHeight="false" outlineLevel="0" collapsed="false">
      <c r="A8" s="3" t="n">
        <v>4</v>
      </c>
      <c r="B8" s="3" t="n">
        <v>23</v>
      </c>
      <c r="C8" s="3" t="s">
        <v>4683</v>
      </c>
      <c r="D8" s="42" t="n">
        <f aca="false">LFP!C8</f>
        <v>135000</v>
      </c>
      <c r="E8" s="42" t="n">
        <f aca="false">LFP!D8</f>
        <v>4590</v>
      </c>
      <c r="F8" s="42" t="n">
        <f aca="false">LFP!E8</f>
        <v>13770</v>
      </c>
      <c r="G8" s="42" t="n">
        <f aca="false">LFP!F8</f>
        <v>116640</v>
      </c>
      <c r="H8" s="42" t="n">
        <f aca="false">TNPE!C8</f>
        <v>56600</v>
      </c>
      <c r="I8" s="42" t="n">
        <f aca="false">TNPE!D8</f>
        <v>2094</v>
      </c>
      <c r="J8" s="42" t="n">
        <f aca="false">TNPE!E8</f>
        <v>1681</v>
      </c>
      <c r="K8" s="42" t="n">
        <f aca="false">TNPE!F8</f>
        <v>52825</v>
      </c>
      <c r="L8" s="59" t="n">
        <f aca="false">ETPR!C8</f>
        <v>0.72</v>
      </c>
      <c r="M8" s="59" t="n">
        <f aca="false">ETPR!D8</f>
        <v>0.71</v>
      </c>
      <c r="N8" s="59" t="n">
        <f aca="false">ETPR!E8</f>
        <v>0.78</v>
      </c>
      <c r="O8" s="59" t="n">
        <f aca="false">ETPR!F8</f>
        <v>0.718</v>
      </c>
      <c r="P8" s="59" t="n">
        <f aca="false">LFPR!C8</f>
        <v>0.545</v>
      </c>
      <c r="Q8" s="59" t="n">
        <f aca="false">LFPR!D8</f>
        <v>0.4</v>
      </c>
      <c r="R8" s="59" t="n">
        <f aca="false">LFPR!E8</f>
        <v>0.7</v>
      </c>
      <c r="S8" s="59" t="n">
        <f aca="false">LFPR!F8</f>
        <v>0.545</v>
      </c>
      <c r="T8" s="39" t="n">
        <f aca="false">U3R!C8</f>
        <v>0.052</v>
      </c>
      <c r="U8" s="39" t="n">
        <f aca="false">U3R!D8</f>
        <v>0.056</v>
      </c>
      <c r="V8" s="39" t="n">
        <f aca="false">U3R!E8</f>
        <v>0.075</v>
      </c>
      <c r="W8" s="39" t="n">
        <f aca="false">U3R!F8</f>
        <v>0.048</v>
      </c>
      <c r="X8" s="39" t="n">
        <f aca="false">U6R!C8</f>
        <v>0.085</v>
      </c>
      <c r="Y8" s="39" t="n">
        <f aca="false">U6R!D8</f>
        <v>0.091</v>
      </c>
      <c r="Z8" s="39" t="n">
        <f aca="false">U6R!E8</f>
        <v>0.12</v>
      </c>
      <c r="AA8" s="39" t="n">
        <f aca="false">U6R!F8</f>
        <v>0.08</v>
      </c>
      <c r="AB8" s="39" t="n">
        <f aca="false">WAVG!C8</f>
        <v>28</v>
      </c>
      <c r="AC8" s="39" t="n">
        <f aca="false">WAVG!D8</f>
        <v>28.56</v>
      </c>
      <c r="AD8" s="39" t="n">
        <f aca="false">WAVG!E8</f>
        <v>21</v>
      </c>
      <c r="AE8" s="39" t="n">
        <f aca="false">WAVG!F8</f>
        <v>28.14</v>
      </c>
      <c r="AF8" s="60" t="n">
        <f aca="false">AIAVG!C8</f>
        <v>57400</v>
      </c>
      <c r="AG8" s="60" t="n">
        <f aca="false">AIAVG!D8</f>
        <v>59122</v>
      </c>
      <c r="AH8" s="60" t="n">
        <f aca="false">AIAVG!E8</f>
        <v>40180</v>
      </c>
      <c r="AI8" s="60" t="n">
        <f aca="false">AIAVG!F8</f>
        <v>57687</v>
      </c>
      <c r="AJ8" s="3"/>
      <c r="AK8" s="3"/>
      <c r="AL8" s="3"/>
      <c r="AM8" s="3"/>
      <c r="AO8" s="3"/>
      <c r="AP8" s="3"/>
      <c r="AQ8" s="3"/>
      <c r="AR8" s="3"/>
      <c r="AS8" s="3"/>
      <c r="AT8" s="3"/>
      <c r="AU8" s="3"/>
      <c r="AV8" s="3"/>
      <c r="AW8" s="3"/>
      <c r="AX8" s="3"/>
      <c r="AY8" s="3"/>
      <c r="AZ8" s="3"/>
      <c r="BA8" s="3"/>
      <c r="BB8" s="3"/>
      <c r="BC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row>
    <row r="9" customFormat="false" ht="23.85" hidden="false" customHeight="false" outlineLevel="0" collapsed="false">
      <c r="A9" s="3" t="n">
        <v>5</v>
      </c>
      <c r="B9" s="3" t="n">
        <v>31</v>
      </c>
      <c r="C9" s="40" t="s">
        <v>4684</v>
      </c>
      <c r="D9" s="42" t="n">
        <f aca="false">LFP!C9</f>
        <v>65000</v>
      </c>
      <c r="E9" s="42" t="n">
        <f aca="false">LFP!D9</f>
        <v>4680</v>
      </c>
      <c r="F9" s="42" t="n">
        <f aca="false">LFP!E9</f>
        <v>2405</v>
      </c>
      <c r="G9" s="42" t="n">
        <f aca="false">LFP!F9</f>
        <v>57915</v>
      </c>
      <c r="H9" s="42" t="n">
        <f aca="false">TNPE!C9</f>
        <v>46200</v>
      </c>
      <c r="I9" s="42" t="n">
        <f aca="false">TNPE!D9</f>
        <v>1709</v>
      </c>
      <c r="J9" s="42" t="n">
        <f aca="false">TNPE!E9</f>
        <v>1016</v>
      </c>
      <c r="K9" s="42" t="n">
        <f aca="false">TNPE!F9</f>
        <v>43475</v>
      </c>
      <c r="L9" s="59" t="n">
        <f aca="false">ETPR!C9</f>
        <v>0.62</v>
      </c>
      <c r="M9" s="59" t="n">
        <f aca="false">ETPR!D9</f>
        <v>0.61</v>
      </c>
      <c r="N9" s="59" t="n">
        <f aca="false">ETPR!E9</f>
        <v>0.66</v>
      </c>
      <c r="O9" s="59" t="n">
        <f aca="false">ETPR!F9</f>
        <v>0.621</v>
      </c>
      <c r="P9" s="59" t="n">
        <f aca="false">LFPR!C9</f>
        <v>0.565</v>
      </c>
      <c r="Q9" s="59" t="n">
        <f aca="false">LFPR!D9</f>
        <v>0.405</v>
      </c>
      <c r="R9" s="59" t="n">
        <f aca="false">LFPR!E9</f>
        <v>0.66</v>
      </c>
      <c r="S9" s="59" t="n">
        <f aca="false">LFPR!F9</f>
        <v>0.565</v>
      </c>
      <c r="T9" s="39" t="n">
        <f aca="false">U3R!C9</f>
        <v>0.035</v>
      </c>
      <c r="U9" s="39" t="n">
        <f aca="false">U3R!D9</f>
        <v>0.038</v>
      </c>
      <c r="V9" s="39" t="n">
        <f aca="false">U3R!E9</f>
        <v>0.048</v>
      </c>
      <c r="W9" s="39" t="n">
        <f aca="false">U3R!F9</f>
        <v>0.034</v>
      </c>
      <c r="X9" s="39" t="n">
        <f aca="false">U6R!C9</f>
        <v>0.058</v>
      </c>
      <c r="Y9" s="39" t="n">
        <f aca="false">U6R!D9</f>
        <v>0.062</v>
      </c>
      <c r="Z9" s="39" t="n">
        <f aca="false">U6R!E9</f>
        <v>0.08</v>
      </c>
      <c r="AA9" s="39" t="n">
        <f aca="false">U6R!F9</f>
        <v>0.056</v>
      </c>
      <c r="AB9" s="39" t="n">
        <f aca="false">WAVG!C9</f>
        <v>32</v>
      </c>
      <c r="AC9" s="39" t="n">
        <f aca="false">WAVG!D9</f>
        <v>32.48</v>
      </c>
      <c r="AD9" s="39" t="n">
        <f aca="false">WAVG!E9</f>
        <v>24.96</v>
      </c>
      <c r="AE9" s="39" t="n">
        <f aca="false">WAVG!F9</f>
        <v>32.1</v>
      </c>
      <c r="AF9" s="60" t="n">
        <f aca="false">AIAVG!C9</f>
        <v>64000</v>
      </c>
      <c r="AG9" s="60" t="n">
        <f aca="false">AIAVG!D9</f>
        <v>65280</v>
      </c>
      <c r="AH9" s="60" t="n">
        <f aca="false">AIAVG!E9</f>
        <v>46080</v>
      </c>
      <c r="AI9" s="60" t="n">
        <f aca="false">AIAVG!F9</f>
        <v>64128</v>
      </c>
      <c r="AJ9" s="3"/>
      <c r="AK9" s="3"/>
      <c r="AL9" s="3"/>
      <c r="AM9" s="3"/>
      <c r="AO9" s="3"/>
      <c r="AP9" s="3"/>
      <c r="AQ9" s="3"/>
      <c r="AR9" s="3"/>
      <c r="AS9" s="3"/>
      <c r="AT9" s="3"/>
      <c r="AU9" s="3"/>
      <c r="AV9" s="3"/>
      <c r="AW9" s="3"/>
      <c r="AX9" s="3"/>
      <c r="AY9" s="3"/>
      <c r="AZ9" s="3"/>
      <c r="BA9" s="3"/>
      <c r="BB9" s="3"/>
      <c r="BC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row>
    <row r="10" customFormat="false" ht="23.85" hidden="false" customHeight="false" outlineLevel="0" collapsed="false">
      <c r="A10" s="3" t="n">
        <v>6</v>
      </c>
      <c r="B10" s="3" t="n">
        <v>32</v>
      </c>
      <c r="C10" s="40" t="s">
        <v>4685</v>
      </c>
      <c r="D10" s="42" t="n">
        <f aca="false">LFP!C10</f>
        <v>52000</v>
      </c>
      <c r="E10" s="42" t="n">
        <f aca="false">LFP!D10</f>
        <v>3744</v>
      </c>
      <c r="F10" s="42" t="n">
        <f aca="false">LFP!E10</f>
        <v>1924</v>
      </c>
      <c r="G10" s="42" t="n">
        <f aca="false">LFP!F10</f>
        <v>46332</v>
      </c>
      <c r="H10" s="42" t="n">
        <f aca="false">TNPE!C10</f>
        <v>47600</v>
      </c>
      <c r="I10" s="42" t="n">
        <f aca="false">TNPE!D10</f>
        <v>1761</v>
      </c>
      <c r="J10" s="42" t="n">
        <f aca="false">TNPE!E10</f>
        <v>1047</v>
      </c>
      <c r="K10" s="42" t="n">
        <f aca="false">TNPE!F10</f>
        <v>44792</v>
      </c>
      <c r="L10" s="59" t="n">
        <f aca="false">ETPR!C10</f>
        <v>0.64</v>
      </c>
      <c r="M10" s="59" t="n">
        <f aca="false">ETPR!D10</f>
        <v>0.63</v>
      </c>
      <c r="N10" s="59" t="n">
        <f aca="false">ETPR!E10</f>
        <v>0.68</v>
      </c>
      <c r="O10" s="59" t="n">
        <f aca="false">ETPR!F10</f>
        <v>0.641</v>
      </c>
      <c r="P10" s="59" t="n">
        <f aca="false">LFPR!C10</f>
        <v>0.565</v>
      </c>
      <c r="Q10" s="59" t="n">
        <f aca="false">LFPR!D10</f>
        <v>0.405</v>
      </c>
      <c r="R10" s="59" t="n">
        <f aca="false">LFPR!E10</f>
        <v>0.66</v>
      </c>
      <c r="S10" s="59" t="n">
        <f aca="false">LFPR!F10</f>
        <v>0.565</v>
      </c>
      <c r="T10" s="39" t="n">
        <f aca="false">U3R!C10</f>
        <v>0.035</v>
      </c>
      <c r="U10" s="39" t="n">
        <f aca="false">U3R!D10</f>
        <v>0.038</v>
      </c>
      <c r="V10" s="39" t="n">
        <f aca="false">U3R!E10</f>
        <v>0.048</v>
      </c>
      <c r="W10" s="39" t="n">
        <f aca="false">U3R!F10</f>
        <v>0.034</v>
      </c>
      <c r="X10" s="39" t="n">
        <f aca="false">U6R!C10</f>
        <v>0.058</v>
      </c>
      <c r="Y10" s="39" t="n">
        <f aca="false">U6R!D10</f>
        <v>0.062</v>
      </c>
      <c r="Z10" s="39" t="n">
        <f aca="false">U6R!E10</f>
        <v>0.08</v>
      </c>
      <c r="AA10" s="39" t="n">
        <f aca="false">U6R!F10</f>
        <v>0.056</v>
      </c>
      <c r="AB10" s="39" t="n">
        <f aca="false">WAVG!C10</f>
        <v>30</v>
      </c>
      <c r="AC10" s="39" t="n">
        <f aca="false">WAVG!D10</f>
        <v>30.45</v>
      </c>
      <c r="AD10" s="39" t="n">
        <f aca="false">WAVG!E10</f>
        <v>23.4</v>
      </c>
      <c r="AE10" s="39" t="n">
        <f aca="false">WAVG!F10</f>
        <v>30.08</v>
      </c>
      <c r="AF10" s="60" t="n">
        <f aca="false">AIAVG!C10</f>
        <v>60000</v>
      </c>
      <c r="AG10" s="60" t="n">
        <f aca="false">AIAVG!D10</f>
        <v>61200</v>
      </c>
      <c r="AH10" s="60" t="n">
        <f aca="false">AIAVG!E10</f>
        <v>43200</v>
      </c>
      <c r="AI10" s="60" t="n">
        <f aca="false">AIAVG!F10</f>
        <v>60120</v>
      </c>
      <c r="AJ10" s="3"/>
      <c r="AK10" s="3"/>
      <c r="AL10" s="3"/>
      <c r="AM10" s="3"/>
      <c r="AO10" s="3"/>
      <c r="AP10" s="3"/>
      <c r="AQ10" s="3"/>
      <c r="AR10" s="3"/>
      <c r="AS10" s="3"/>
      <c r="AT10" s="3"/>
      <c r="AU10" s="3"/>
      <c r="AV10" s="3"/>
      <c r="AW10" s="3"/>
      <c r="AX10" s="3"/>
      <c r="AY10" s="3"/>
      <c r="AZ10" s="3"/>
      <c r="BA10" s="3"/>
      <c r="BB10" s="3"/>
      <c r="BC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row>
    <row r="11" customFormat="false" ht="23.85" hidden="false" customHeight="false" outlineLevel="0" collapsed="false">
      <c r="A11" s="3" t="n">
        <v>7</v>
      </c>
      <c r="B11" s="3" t="n">
        <v>33</v>
      </c>
      <c r="C11" s="40" t="s">
        <v>4686</v>
      </c>
      <c r="D11" s="42" t="n">
        <f aca="false">LFP!C11</f>
        <v>170000</v>
      </c>
      <c r="E11" s="42" t="n">
        <f aca="false">LFP!D11</f>
        <v>12240</v>
      </c>
      <c r="F11" s="42" t="n">
        <f aca="false">LFP!E11</f>
        <v>6290</v>
      </c>
      <c r="G11" s="42" t="n">
        <f aca="false">LFP!F11</f>
        <v>151470</v>
      </c>
      <c r="H11" s="42" t="n">
        <f aca="false">TNPE!C11</f>
        <v>50200</v>
      </c>
      <c r="I11" s="42" t="n">
        <f aca="false">TNPE!D11</f>
        <v>1857</v>
      </c>
      <c r="J11" s="42" t="n">
        <f aca="false">TNPE!E11</f>
        <v>1104</v>
      </c>
      <c r="K11" s="42" t="n">
        <f aca="false">TNPE!F11</f>
        <v>47239</v>
      </c>
      <c r="L11" s="59" t="n">
        <f aca="false">ETPR!C11</f>
        <v>0.7</v>
      </c>
      <c r="M11" s="59" t="n">
        <f aca="false">ETPR!D11</f>
        <v>0.69</v>
      </c>
      <c r="N11" s="59" t="n">
        <f aca="false">ETPR!E11</f>
        <v>0.74</v>
      </c>
      <c r="O11" s="59" t="n">
        <f aca="false">ETPR!F11</f>
        <v>0.701</v>
      </c>
      <c r="P11" s="59" t="n">
        <f aca="false">LFPR!C11</f>
        <v>0.565</v>
      </c>
      <c r="Q11" s="59" t="n">
        <f aca="false">LFPR!D11</f>
        <v>0.405</v>
      </c>
      <c r="R11" s="59" t="n">
        <f aca="false">LFPR!E11</f>
        <v>0.66</v>
      </c>
      <c r="S11" s="59" t="n">
        <f aca="false">LFPR!F11</f>
        <v>0.565</v>
      </c>
      <c r="T11" s="39" t="n">
        <f aca="false">U3R!C11</f>
        <v>0.035</v>
      </c>
      <c r="U11" s="39" t="n">
        <f aca="false">U3R!D11</f>
        <v>0.038</v>
      </c>
      <c r="V11" s="39" t="n">
        <f aca="false">U3R!E11</f>
        <v>0.048</v>
      </c>
      <c r="W11" s="39" t="n">
        <f aca="false">U3R!F11</f>
        <v>0.034</v>
      </c>
      <c r="X11" s="39" t="n">
        <f aca="false">U6R!C11</f>
        <v>0.058</v>
      </c>
      <c r="Y11" s="39" t="n">
        <f aca="false">U6R!D11</f>
        <v>0.062</v>
      </c>
      <c r="Z11" s="39" t="n">
        <f aca="false">U6R!E11</f>
        <v>0.08</v>
      </c>
      <c r="AA11" s="39" t="n">
        <f aca="false">U6R!F11</f>
        <v>0.056</v>
      </c>
      <c r="AB11" s="39" t="n">
        <f aca="false">WAVG!C11</f>
        <v>35</v>
      </c>
      <c r="AC11" s="39" t="n">
        <f aca="false">WAVG!D11</f>
        <v>35.53</v>
      </c>
      <c r="AD11" s="39" t="n">
        <f aca="false">WAVG!E11</f>
        <v>28</v>
      </c>
      <c r="AE11" s="39" t="n">
        <f aca="false">WAVG!F11</f>
        <v>35.1</v>
      </c>
      <c r="AF11" s="60" t="n">
        <f aca="false">AIAVG!C11</f>
        <v>73500</v>
      </c>
      <c r="AG11" s="60" t="n">
        <f aca="false">AIAVG!D11</f>
        <v>74970</v>
      </c>
      <c r="AH11" s="60" t="n">
        <f aca="false">AIAVG!E11</f>
        <v>55125</v>
      </c>
      <c r="AI11" s="60" t="n">
        <f aca="false">AIAVG!F11</f>
        <v>73755</v>
      </c>
      <c r="AJ11" s="3"/>
      <c r="AK11" s="3"/>
      <c r="AL11" s="3"/>
      <c r="AM11" s="3"/>
      <c r="AO11" s="3"/>
      <c r="AP11" s="3"/>
      <c r="AQ11" s="3"/>
      <c r="AR11" s="3"/>
      <c r="AS11" s="3"/>
      <c r="AT11" s="3"/>
      <c r="AU11" s="3"/>
      <c r="AV11" s="3"/>
      <c r="AW11" s="3"/>
      <c r="AX11" s="3"/>
      <c r="AY11" s="3"/>
      <c r="AZ11" s="3"/>
      <c r="BA11" s="3"/>
      <c r="BB11" s="3"/>
      <c r="BC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row>
    <row r="12" customFormat="false" ht="12.8" hidden="false" customHeight="false" outlineLevel="0" collapsed="false">
      <c r="A12" s="3" t="n">
        <v>8</v>
      </c>
      <c r="B12" s="3" t="n">
        <v>42</v>
      </c>
      <c r="C12" s="3" t="s">
        <v>4687</v>
      </c>
      <c r="D12" s="42" t="n">
        <f aca="false">LFP!C12</f>
        <v>85000</v>
      </c>
      <c r="E12" s="42" t="n">
        <f aca="false">LFP!D12</f>
        <v>1700</v>
      </c>
      <c r="F12" s="42" t="n">
        <f aca="false">LFP!E12</f>
        <v>3570</v>
      </c>
      <c r="G12" s="42" t="n">
        <f aca="false">LFP!F12</f>
        <v>79730</v>
      </c>
      <c r="H12" s="42" t="n">
        <f aca="false">TNPE!C12</f>
        <v>20400</v>
      </c>
      <c r="I12" s="42" t="n">
        <f aca="false">TNPE!D12</f>
        <v>755</v>
      </c>
      <c r="J12" s="42" t="n">
        <f aca="false">TNPE!E12</f>
        <v>449</v>
      </c>
      <c r="K12" s="42" t="n">
        <f aca="false">TNPE!F12</f>
        <v>19196</v>
      </c>
      <c r="L12" s="59" t="n">
        <f aca="false">ETPR!C12</f>
        <v>0.68</v>
      </c>
      <c r="M12" s="59" t="n">
        <f aca="false">ETPR!D12</f>
        <v>0.67</v>
      </c>
      <c r="N12" s="59" t="n">
        <f aca="false">ETPR!E12</f>
        <v>0.71</v>
      </c>
      <c r="O12" s="59" t="n">
        <f aca="false">ETPR!F12</f>
        <v>0.681</v>
      </c>
      <c r="P12" s="59" t="n">
        <f aca="false">LFPR!C12</f>
        <v>0.57</v>
      </c>
      <c r="Q12" s="59" t="n">
        <f aca="false">LFPR!D12</f>
        <v>0.41</v>
      </c>
      <c r="R12" s="59" t="n">
        <f aca="false">LFPR!E12</f>
        <v>0.64</v>
      </c>
      <c r="S12" s="59" t="n">
        <f aca="false">LFPR!F12</f>
        <v>0.57</v>
      </c>
      <c r="T12" s="39" t="n">
        <f aca="false">U3R!C12</f>
        <v>0.032</v>
      </c>
      <c r="U12" s="39" t="n">
        <f aca="false">U3R!D12</f>
        <v>0.034</v>
      </c>
      <c r="V12" s="39" t="n">
        <f aca="false">U3R!E12</f>
        <v>0.042</v>
      </c>
      <c r="W12" s="39" t="n">
        <f aca="false">U3R!F12</f>
        <v>0.031</v>
      </c>
      <c r="X12" s="39" t="n">
        <f aca="false">U6R!C12</f>
        <v>0.053</v>
      </c>
      <c r="Y12" s="39" t="n">
        <f aca="false">U6R!D12</f>
        <v>0.057</v>
      </c>
      <c r="Z12" s="39" t="n">
        <f aca="false">U6R!E12</f>
        <v>0.07</v>
      </c>
      <c r="AA12" s="39" t="n">
        <f aca="false">U6R!F12</f>
        <v>0.051</v>
      </c>
      <c r="AB12" s="39" t="n">
        <f aca="false">WAVG!C12</f>
        <v>32</v>
      </c>
      <c r="AC12" s="39" t="n">
        <f aca="false">WAVG!D12</f>
        <v>32.32</v>
      </c>
      <c r="AD12" s="39" t="n">
        <f aca="false">WAVG!E12</f>
        <v>26.24</v>
      </c>
      <c r="AE12" s="39" t="n">
        <f aca="false">WAVG!F12</f>
        <v>32.06</v>
      </c>
      <c r="AF12" s="60" t="n">
        <f aca="false">AIAVG!C12</f>
        <v>65600</v>
      </c>
      <c r="AG12" s="60" t="n">
        <f aca="false">AIAVG!D12</f>
        <v>66584</v>
      </c>
      <c r="AH12" s="60" t="n">
        <f aca="false">AIAVG!E12</f>
        <v>51168</v>
      </c>
      <c r="AI12" s="60" t="n">
        <f aca="false">AIAVG!F12</f>
        <v>65752</v>
      </c>
      <c r="AJ12" s="3"/>
      <c r="AK12" s="3"/>
      <c r="AL12" s="3"/>
      <c r="AM12" s="3"/>
      <c r="AO12" s="3"/>
      <c r="AP12" s="3"/>
      <c r="AQ12" s="3"/>
      <c r="AR12" s="3"/>
      <c r="AS12" s="3"/>
      <c r="AT12" s="3"/>
      <c r="AU12" s="3"/>
      <c r="AV12" s="3"/>
      <c r="AW12" s="3"/>
      <c r="AX12" s="3"/>
      <c r="AY12" s="3"/>
      <c r="AZ12" s="3"/>
      <c r="BA12" s="3"/>
      <c r="BB12" s="3"/>
      <c r="BC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row>
    <row r="13" customFormat="false" ht="23.85" hidden="false" customHeight="false" outlineLevel="0" collapsed="false">
      <c r="A13" s="3" t="n">
        <v>9</v>
      </c>
      <c r="B13" s="3" t="n">
        <v>44</v>
      </c>
      <c r="C13" s="40" t="s">
        <v>4688</v>
      </c>
      <c r="D13" s="42" t="n">
        <f aca="false">LFP!C13</f>
        <v>95000</v>
      </c>
      <c r="E13" s="42" t="n">
        <f aca="false">LFP!D13</f>
        <v>1900</v>
      </c>
      <c r="F13" s="42" t="n">
        <f aca="false">LFP!E13</f>
        <v>3990</v>
      </c>
      <c r="G13" s="42" t="n">
        <f aca="false">LFP!F13</f>
        <v>89110</v>
      </c>
      <c r="H13" s="42" t="n">
        <f aca="false">TNPE!C13</f>
        <v>32500</v>
      </c>
      <c r="I13" s="42" t="n">
        <f aca="false">TNPE!D13</f>
        <v>1202</v>
      </c>
      <c r="J13" s="42" t="n">
        <f aca="false">TNPE!E13</f>
        <v>715</v>
      </c>
      <c r="K13" s="42" t="n">
        <f aca="false">TNPE!F13</f>
        <v>30583</v>
      </c>
      <c r="L13" s="59" t="n">
        <f aca="false">ETPR!C13</f>
        <v>0.58</v>
      </c>
      <c r="M13" s="59" t="n">
        <f aca="false">ETPR!D13</f>
        <v>0.57</v>
      </c>
      <c r="N13" s="59" t="n">
        <f aca="false">ETPR!E13</f>
        <v>0.62</v>
      </c>
      <c r="O13" s="59" t="n">
        <f aca="false">ETPR!F13</f>
        <v>0.581</v>
      </c>
      <c r="P13" s="59" t="n">
        <f aca="false">LFPR!C13</f>
        <v>0.57</v>
      </c>
      <c r="Q13" s="59" t="n">
        <f aca="false">LFPR!D13</f>
        <v>0.41</v>
      </c>
      <c r="R13" s="59" t="n">
        <f aca="false">LFPR!E13</f>
        <v>0.64</v>
      </c>
      <c r="S13" s="59" t="n">
        <f aca="false">LFPR!F13</f>
        <v>0.57</v>
      </c>
      <c r="T13" s="39" t="n">
        <f aca="false">U3R!C13</f>
        <v>0.04</v>
      </c>
      <c r="U13" s="39" t="n">
        <f aca="false">U3R!D13</f>
        <v>0.043</v>
      </c>
      <c r="V13" s="39" t="n">
        <f aca="false">U3R!E13</f>
        <v>0.055</v>
      </c>
      <c r="W13" s="39" t="n">
        <f aca="false">U3R!F13</f>
        <v>0.038</v>
      </c>
      <c r="X13" s="39" t="n">
        <f aca="false">U6R!C13</f>
        <v>0.067</v>
      </c>
      <c r="Y13" s="39" t="n">
        <f aca="false">U6R!D13</f>
        <v>0.072</v>
      </c>
      <c r="Z13" s="39" t="n">
        <f aca="false">U6R!E13</f>
        <v>0.092</v>
      </c>
      <c r="AA13" s="39" t="n">
        <f aca="false">U6R!F13</f>
        <v>0.064</v>
      </c>
      <c r="AB13" s="39" t="n">
        <f aca="false">WAVG!C13</f>
        <v>25</v>
      </c>
      <c r="AC13" s="39" t="n">
        <f aca="false">WAVG!D13</f>
        <v>25.5</v>
      </c>
      <c r="AD13" s="39" t="n">
        <f aca="false">WAVG!E13</f>
        <v>18.75</v>
      </c>
      <c r="AE13" s="39" t="n">
        <f aca="false">WAVG!F13</f>
        <v>25.1</v>
      </c>
      <c r="AF13" s="60" t="n">
        <f aca="false">AIAVG!C13</f>
        <v>45000</v>
      </c>
      <c r="AG13" s="60" t="n">
        <f aca="false">AIAVG!D13</f>
        <v>46350</v>
      </c>
      <c r="AH13" s="60" t="n">
        <f aca="false">AIAVG!E13</f>
        <v>31500</v>
      </c>
      <c r="AI13" s="60" t="n">
        <f aca="false">AIAVG!F13</f>
        <v>45135</v>
      </c>
      <c r="AJ13" s="3"/>
      <c r="AK13" s="3"/>
      <c r="AL13" s="3"/>
      <c r="AM13" s="3"/>
      <c r="AO13" s="3"/>
      <c r="AP13" s="3"/>
      <c r="AQ13" s="3"/>
      <c r="AR13" s="3"/>
      <c r="AS13" s="3"/>
      <c r="AT13" s="3"/>
      <c r="AU13" s="3"/>
      <c r="AV13" s="3"/>
      <c r="AW13" s="3"/>
      <c r="AX13" s="3"/>
      <c r="AY13" s="3"/>
      <c r="AZ13" s="3"/>
      <c r="BA13" s="3"/>
      <c r="BB13" s="3"/>
      <c r="BC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row>
    <row r="14" customFormat="false" ht="23.85" hidden="false" customHeight="false" outlineLevel="0" collapsed="false">
      <c r="A14" s="3" t="n">
        <v>10</v>
      </c>
      <c r="B14" s="3" t="n">
        <v>45</v>
      </c>
      <c r="C14" s="40" t="s">
        <v>4689</v>
      </c>
      <c r="D14" s="42" t="n">
        <f aca="false">LFP!C14</f>
        <v>165000</v>
      </c>
      <c r="E14" s="42" t="n">
        <f aca="false">LFP!D14</f>
        <v>3300</v>
      </c>
      <c r="F14" s="42" t="n">
        <f aca="false">LFP!E14</f>
        <v>6930</v>
      </c>
      <c r="G14" s="42" t="n">
        <f aca="false">LFP!F14</f>
        <v>154770</v>
      </c>
      <c r="H14" s="42" t="n">
        <f aca="false">TNPE!C14</f>
        <v>75100</v>
      </c>
      <c r="I14" s="42" t="n">
        <f aca="false">TNPE!D14</f>
        <v>2779</v>
      </c>
      <c r="J14" s="42" t="n">
        <f aca="false">TNPE!E14</f>
        <v>1652</v>
      </c>
      <c r="K14" s="42" t="n">
        <f aca="false">TNPE!F14</f>
        <v>70669</v>
      </c>
      <c r="L14" s="59" t="n">
        <f aca="false">ETPR!C14</f>
        <v>0.56</v>
      </c>
      <c r="M14" s="59" t="n">
        <f aca="false">ETPR!D14</f>
        <v>0.55</v>
      </c>
      <c r="N14" s="59" t="n">
        <f aca="false">ETPR!E14</f>
        <v>0.6</v>
      </c>
      <c r="O14" s="59" t="n">
        <f aca="false">ETPR!F14</f>
        <v>0.561</v>
      </c>
      <c r="P14" s="59" t="n">
        <f aca="false">LFPR!C14</f>
        <v>0.57</v>
      </c>
      <c r="Q14" s="59" t="n">
        <f aca="false">LFPR!D14</f>
        <v>0.41</v>
      </c>
      <c r="R14" s="59" t="n">
        <f aca="false">LFPR!E14</f>
        <v>0.64</v>
      </c>
      <c r="S14" s="59" t="n">
        <f aca="false">LFPR!F14</f>
        <v>0.57</v>
      </c>
      <c r="T14" s="39" t="n">
        <f aca="false">U3R!C14</f>
        <v>0.04</v>
      </c>
      <c r="U14" s="39" t="n">
        <f aca="false">U3R!D14</f>
        <v>0.043</v>
      </c>
      <c r="V14" s="39" t="n">
        <f aca="false">U3R!E14</f>
        <v>0.055</v>
      </c>
      <c r="W14" s="39" t="n">
        <f aca="false">U3R!F14</f>
        <v>0.038</v>
      </c>
      <c r="X14" s="39" t="n">
        <f aca="false">U6R!C14</f>
        <v>0.067</v>
      </c>
      <c r="Y14" s="39" t="n">
        <f aca="false">U6R!D14</f>
        <v>0.072</v>
      </c>
      <c r="Z14" s="39" t="n">
        <f aca="false">U6R!E14</f>
        <v>0.092</v>
      </c>
      <c r="AA14" s="39" t="n">
        <f aca="false">U6R!F14</f>
        <v>0.064</v>
      </c>
      <c r="AB14" s="39" t="n">
        <f aca="false">WAVG!C14</f>
        <v>22</v>
      </c>
      <c r="AC14" s="39" t="n">
        <f aca="false">WAVG!D14</f>
        <v>22.44</v>
      </c>
      <c r="AD14" s="39" t="n">
        <f aca="false">WAVG!E14</f>
        <v>15.84</v>
      </c>
      <c r="AE14" s="39" t="n">
        <f aca="false">WAVG!F14</f>
        <v>22.07</v>
      </c>
      <c r="AF14" s="60" t="n">
        <f aca="false">AIAVG!C14</f>
        <v>38500</v>
      </c>
      <c r="AG14" s="60" t="n">
        <f aca="false">AIAVG!D14</f>
        <v>39655</v>
      </c>
      <c r="AH14" s="60" t="n">
        <f aca="false">AIAVG!E14</f>
        <v>26180</v>
      </c>
      <c r="AI14" s="60" t="n">
        <f aca="false">AIAVG!F14</f>
        <v>38611</v>
      </c>
      <c r="AJ14" s="3"/>
      <c r="AK14" s="3"/>
      <c r="AL14" s="3"/>
      <c r="AM14" s="3"/>
      <c r="AO14" s="3"/>
      <c r="AP14" s="3"/>
      <c r="AQ14" s="3"/>
      <c r="AR14" s="3"/>
      <c r="AS14" s="3"/>
      <c r="AT14" s="3"/>
      <c r="AU14" s="3"/>
      <c r="AV14" s="3"/>
      <c r="AW14" s="3"/>
      <c r="AX14" s="3"/>
      <c r="AY14" s="3"/>
      <c r="AZ14" s="3"/>
      <c r="BA14" s="3"/>
      <c r="BB14" s="3"/>
      <c r="BC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row>
    <row r="15" customFormat="false" ht="12.8" hidden="false" customHeight="false" outlineLevel="0" collapsed="false">
      <c r="A15" s="3" t="n">
        <v>11</v>
      </c>
      <c r="B15" s="3" t="n">
        <v>48</v>
      </c>
      <c r="C15" s="3" t="s">
        <v>4690</v>
      </c>
      <c r="D15" s="42" t="n">
        <f aca="false">LFP!C15</f>
        <v>65000</v>
      </c>
      <c r="E15" s="42" t="n">
        <f aca="false">LFP!D15</f>
        <v>1300</v>
      </c>
      <c r="F15" s="42" t="n">
        <f aca="false">LFP!E15</f>
        <v>2730</v>
      </c>
      <c r="G15" s="42" t="n">
        <f aca="false">LFP!F15</f>
        <v>60970</v>
      </c>
      <c r="H15" s="42" t="n">
        <f aca="false">TNPE!C15</f>
        <v>32500</v>
      </c>
      <c r="I15" s="42" t="n">
        <f aca="false">TNPE!D15</f>
        <v>1202</v>
      </c>
      <c r="J15" s="42" t="n">
        <f aca="false">TNPE!E15</f>
        <v>715</v>
      </c>
      <c r="K15" s="42" t="n">
        <f aca="false">TNPE!F15</f>
        <v>30583</v>
      </c>
      <c r="L15" s="59" t="n">
        <f aca="false">ETPR!C15</f>
        <v>0.65</v>
      </c>
      <c r="M15" s="59" t="n">
        <f aca="false">ETPR!D15</f>
        <v>0.64</v>
      </c>
      <c r="N15" s="59" t="n">
        <f aca="false">ETPR!E15</f>
        <v>0.69</v>
      </c>
      <c r="O15" s="59" t="n">
        <f aca="false">ETPR!F15</f>
        <v>0.651</v>
      </c>
      <c r="P15" s="59" t="n">
        <f aca="false">LFPR!C15</f>
        <v>0.57</v>
      </c>
      <c r="Q15" s="59" t="n">
        <f aca="false">LFPR!D15</f>
        <v>0.41</v>
      </c>
      <c r="R15" s="59" t="n">
        <f aca="false">LFPR!E15</f>
        <v>0.64</v>
      </c>
      <c r="S15" s="59" t="n">
        <f aca="false">LFPR!F15</f>
        <v>0.57</v>
      </c>
      <c r="T15" s="39" t="n">
        <f aca="false">U3R!C15</f>
        <v>0.038</v>
      </c>
      <c r="U15" s="39" t="n">
        <f aca="false">U3R!D15</f>
        <v>0.041</v>
      </c>
      <c r="V15" s="39" t="n">
        <f aca="false">U3R!E15</f>
        <v>0.052</v>
      </c>
      <c r="W15" s="39" t="n">
        <f aca="false">U3R!F15</f>
        <v>0.036</v>
      </c>
      <c r="X15" s="39" t="n">
        <f aca="false">U6R!C15</f>
        <v>0.063</v>
      </c>
      <c r="Y15" s="39" t="n">
        <f aca="false">U6R!D15</f>
        <v>0.068</v>
      </c>
      <c r="Z15" s="39" t="n">
        <f aca="false">U6R!E15</f>
        <v>0.087</v>
      </c>
      <c r="AA15" s="39" t="n">
        <f aca="false">U6R!F15</f>
        <v>0.06</v>
      </c>
      <c r="AB15" s="39" t="n">
        <f aca="false">WAVG!C15</f>
        <v>30</v>
      </c>
      <c r="AC15" s="39" t="n">
        <f aca="false">WAVG!D15</f>
        <v>30.45</v>
      </c>
      <c r="AD15" s="39" t="n">
        <f aca="false">WAVG!E15</f>
        <v>23.4</v>
      </c>
      <c r="AE15" s="39" t="n">
        <f aca="false">WAVG!F15</f>
        <v>30.08</v>
      </c>
      <c r="AF15" s="60" t="n">
        <f aca="false">AIAVG!C15</f>
        <v>60000</v>
      </c>
      <c r="AG15" s="60" t="n">
        <f aca="false">AIAVG!D15</f>
        <v>61200</v>
      </c>
      <c r="AH15" s="60" t="n">
        <f aca="false">AIAVG!E15</f>
        <v>43200</v>
      </c>
      <c r="AI15" s="60" t="n">
        <f aca="false">AIAVG!F15</f>
        <v>60120</v>
      </c>
      <c r="AJ15" s="3"/>
      <c r="AK15" s="3"/>
      <c r="AL15" s="3"/>
      <c r="AM15" s="3"/>
      <c r="AO15" s="3"/>
      <c r="AP15" s="3"/>
      <c r="AQ15" s="3"/>
      <c r="AR15" s="3"/>
      <c r="AS15" s="3"/>
      <c r="AT15" s="3"/>
      <c r="AU15" s="3"/>
      <c r="AV15" s="3"/>
      <c r="AW15" s="3"/>
      <c r="AX15" s="3"/>
      <c r="AY15" s="3"/>
      <c r="AZ15" s="3"/>
      <c r="BA15" s="3"/>
      <c r="BB15" s="3"/>
      <c r="BC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row>
    <row r="16" customFormat="false" ht="12.8" hidden="false" customHeight="false" outlineLevel="0" collapsed="false">
      <c r="A16" s="3" t="n">
        <v>12</v>
      </c>
      <c r="B16" s="3" t="n">
        <v>49</v>
      </c>
      <c r="C16" s="3" t="s">
        <v>4691</v>
      </c>
      <c r="D16" s="42" t="n">
        <f aca="false">LFP!C16</f>
        <v>38000</v>
      </c>
      <c r="E16" s="42" t="n">
        <f aca="false">LFP!D16</f>
        <v>760</v>
      </c>
      <c r="F16" s="42" t="n">
        <f aca="false">LFP!E16</f>
        <v>1596</v>
      </c>
      <c r="G16" s="42" t="n">
        <f aca="false">LFP!F16</f>
        <v>35644</v>
      </c>
      <c r="H16" s="42" t="n">
        <f aca="false">TNPE!C16</f>
        <v>17500</v>
      </c>
      <c r="I16" s="42" t="n">
        <f aca="false">TNPE!D16</f>
        <v>648</v>
      </c>
      <c r="J16" s="42" t="n">
        <f aca="false">TNPE!E16</f>
        <v>385</v>
      </c>
      <c r="K16" s="42" t="n">
        <f aca="false">TNPE!F16</f>
        <v>16467</v>
      </c>
      <c r="L16" s="59" t="n">
        <f aca="false">ETPR!C16</f>
        <v>0.63</v>
      </c>
      <c r="M16" s="59" t="n">
        <f aca="false">ETPR!D16</f>
        <v>0.62</v>
      </c>
      <c r="N16" s="59" t="n">
        <f aca="false">ETPR!E16</f>
        <v>0.67</v>
      </c>
      <c r="O16" s="59" t="n">
        <f aca="false">ETPR!F16</f>
        <v>0.631</v>
      </c>
      <c r="P16" s="59" t="n">
        <f aca="false">LFPR!C16</f>
        <v>0.57</v>
      </c>
      <c r="Q16" s="59" t="n">
        <f aca="false">LFPR!D16</f>
        <v>0.41</v>
      </c>
      <c r="R16" s="59" t="n">
        <f aca="false">LFPR!E16</f>
        <v>0.64</v>
      </c>
      <c r="S16" s="59" t="n">
        <f aca="false">LFPR!F16</f>
        <v>0.57</v>
      </c>
      <c r="T16" s="39" t="n">
        <f aca="false">U3R!C16</f>
        <v>0.038</v>
      </c>
      <c r="U16" s="39" t="n">
        <f aca="false">U3R!D16</f>
        <v>0.041</v>
      </c>
      <c r="V16" s="39" t="n">
        <f aca="false">U3R!E16</f>
        <v>0.052</v>
      </c>
      <c r="W16" s="39" t="n">
        <f aca="false">U3R!F16</f>
        <v>0.036</v>
      </c>
      <c r="X16" s="39" t="n">
        <f aca="false">U6R!C16</f>
        <v>0.063</v>
      </c>
      <c r="Y16" s="39" t="n">
        <f aca="false">U6R!D16</f>
        <v>0.068</v>
      </c>
      <c r="Z16" s="39" t="n">
        <f aca="false">U6R!E16</f>
        <v>0.087</v>
      </c>
      <c r="AA16" s="39" t="n">
        <f aca="false">U6R!F16</f>
        <v>0.06</v>
      </c>
      <c r="AB16" s="39" t="n">
        <f aca="false">WAVG!C16</f>
        <v>28</v>
      </c>
      <c r="AC16" s="39" t="n">
        <f aca="false">WAVG!D16</f>
        <v>28.42</v>
      </c>
      <c r="AD16" s="39" t="n">
        <f aca="false">WAVG!E16</f>
        <v>21.84</v>
      </c>
      <c r="AE16" s="39" t="n">
        <f aca="false">WAVG!F16</f>
        <v>28.07</v>
      </c>
      <c r="AF16" s="60" t="n">
        <f aca="false">AIAVG!C16</f>
        <v>54600</v>
      </c>
      <c r="AG16" s="60" t="n">
        <f aca="false">AIAVG!D16</f>
        <v>55692</v>
      </c>
      <c r="AH16" s="60" t="n">
        <f aca="false">AIAVG!E16</f>
        <v>39312</v>
      </c>
      <c r="AI16" s="60" t="n">
        <f aca="false">AIAVG!F16</f>
        <v>54781</v>
      </c>
      <c r="AJ16" s="3"/>
      <c r="AK16" s="3"/>
      <c r="AL16" s="3"/>
      <c r="AM16" s="3"/>
      <c r="AO16" s="3"/>
      <c r="AP16" s="3"/>
      <c r="AQ16" s="3"/>
      <c r="AR16" s="3"/>
      <c r="AS16" s="3"/>
      <c r="AT16" s="3"/>
      <c r="AU16" s="3"/>
      <c r="AV16" s="3"/>
      <c r="AW16" s="3"/>
      <c r="AX16" s="3"/>
      <c r="AY16" s="3"/>
      <c r="AZ16" s="3"/>
      <c r="BA16" s="3"/>
      <c r="BB16" s="3"/>
      <c r="BC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row>
    <row r="17" customFormat="false" ht="12.8" hidden="false" customHeight="false" outlineLevel="0" collapsed="false">
      <c r="A17" s="3" t="n">
        <v>13</v>
      </c>
      <c r="B17" s="3" t="n">
        <v>51</v>
      </c>
      <c r="C17" s="3" t="s">
        <v>4692</v>
      </c>
      <c r="D17" s="42" t="n">
        <f aca="false">LFP!C17</f>
        <v>26000</v>
      </c>
      <c r="E17" s="42" t="n">
        <f aca="false">LFP!D17</f>
        <v>546</v>
      </c>
      <c r="F17" s="42" t="n">
        <f aca="false">LFP!E17</f>
        <v>221</v>
      </c>
      <c r="G17" s="42" t="n">
        <f aca="false">LFP!F17</f>
        <v>25233</v>
      </c>
      <c r="H17" s="42" t="n">
        <f aca="false">TNPE!C17</f>
        <v>11600</v>
      </c>
      <c r="I17" s="42" t="n">
        <f aca="false">TNPE!D17</f>
        <v>429</v>
      </c>
      <c r="J17" s="42" t="n">
        <f aca="false">TNPE!E17</f>
        <v>255</v>
      </c>
      <c r="K17" s="42" t="n">
        <f aca="false">TNPE!F17</f>
        <v>10916</v>
      </c>
      <c r="L17" s="59" t="n">
        <f aca="false">ETPR!C17</f>
        <v>0.74</v>
      </c>
      <c r="M17" s="59" t="n">
        <f aca="false">ETPR!D17</f>
        <v>0.73</v>
      </c>
      <c r="N17" s="59" t="n">
        <f aca="false">ETPR!E17</f>
        <v>0.77</v>
      </c>
      <c r="O17" s="59" t="n">
        <f aca="false">ETPR!F17</f>
        <v>0.741</v>
      </c>
      <c r="P17" s="59" t="n">
        <f aca="false">LFPR!C17</f>
        <v>0.58</v>
      </c>
      <c r="Q17" s="59" t="n">
        <f aca="false">LFPR!D17</f>
        <v>0.415</v>
      </c>
      <c r="R17" s="59" t="n">
        <f aca="false">LFPR!E17</f>
        <v>0.6</v>
      </c>
      <c r="S17" s="59" t="n">
        <f aca="false">LFPR!F17</f>
        <v>0.58</v>
      </c>
      <c r="T17" s="39" t="n">
        <f aca="false">U3R!C17</f>
        <v>0.028</v>
      </c>
      <c r="U17" s="39" t="n">
        <f aca="false">U3R!D17</f>
        <v>0.03</v>
      </c>
      <c r="V17" s="39" t="n">
        <f aca="false">U3R!E17</f>
        <v>0.035</v>
      </c>
      <c r="W17" s="39" t="n">
        <f aca="false">U3R!F17</f>
        <v>0.027</v>
      </c>
      <c r="X17" s="39" t="n">
        <f aca="false">U6R!C17</f>
        <v>0.047</v>
      </c>
      <c r="Y17" s="39" t="n">
        <f aca="false">U6R!D17</f>
        <v>0.05</v>
      </c>
      <c r="Z17" s="39" t="n">
        <f aca="false">U6R!E17</f>
        <v>0.058</v>
      </c>
      <c r="AA17" s="39" t="n">
        <f aca="false">U6R!F17</f>
        <v>0.045</v>
      </c>
      <c r="AB17" s="39" t="n">
        <f aca="false">WAVG!C17</f>
        <v>40</v>
      </c>
      <c r="AC17" s="39" t="n">
        <f aca="false">WAVG!D17</f>
        <v>40.4</v>
      </c>
      <c r="AD17" s="39" t="n">
        <f aca="false">WAVG!E17</f>
        <v>34</v>
      </c>
      <c r="AE17" s="39" t="n">
        <f aca="false">WAVG!F17</f>
        <v>40.08</v>
      </c>
      <c r="AF17" s="60" t="n">
        <f aca="false">AIAVG!C17</f>
        <v>83200</v>
      </c>
      <c r="AG17" s="60" t="n">
        <f aca="false">AIAVG!D17</f>
        <v>84864</v>
      </c>
      <c r="AH17" s="60" t="n">
        <f aca="false">AIAVG!E17</f>
        <v>66560</v>
      </c>
      <c r="AI17" s="60" t="n">
        <f aca="false">AIAVG!F17</f>
        <v>83392</v>
      </c>
      <c r="AJ17" s="3"/>
      <c r="AK17" s="3"/>
      <c r="AL17" s="3"/>
      <c r="AM17" s="3"/>
      <c r="AO17" s="3"/>
      <c r="AP17" s="3"/>
      <c r="AQ17" s="3"/>
      <c r="AR17" s="3"/>
      <c r="AS17" s="3"/>
      <c r="AT17" s="3"/>
      <c r="AU17" s="3"/>
      <c r="AV17" s="3"/>
      <c r="AW17" s="3"/>
      <c r="AX17" s="3"/>
      <c r="AY17" s="3"/>
      <c r="AZ17" s="3"/>
      <c r="BA17" s="3"/>
      <c r="BB17" s="3"/>
      <c r="BC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row>
    <row r="18" customFormat="false" ht="12.8" hidden="false" customHeight="false" outlineLevel="0" collapsed="false">
      <c r="A18" s="51" t="n">
        <v>14</v>
      </c>
      <c r="B18" s="39" t="n">
        <v>52</v>
      </c>
      <c r="C18" s="39" t="s">
        <v>4693</v>
      </c>
      <c r="D18" s="42" t="n">
        <f aca="false">LFP!C18</f>
        <v>115000</v>
      </c>
      <c r="E18" s="42" t="n">
        <f aca="false">LFP!D18</f>
        <v>3220</v>
      </c>
      <c r="F18" s="42" t="n">
        <f aca="false">LFP!E18</f>
        <v>920</v>
      </c>
      <c r="G18" s="42" t="n">
        <f aca="false">LFP!F18</f>
        <v>111860</v>
      </c>
      <c r="H18" s="42" t="n">
        <f aca="false">TNPE!C18</f>
        <v>50700</v>
      </c>
      <c r="I18" s="42" t="n">
        <f aca="false">TNPE!D18</f>
        <v>1876</v>
      </c>
      <c r="J18" s="42" t="n">
        <f aca="false">TNPE!E18</f>
        <v>1115</v>
      </c>
      <c r="K18" s="42" t="n">
        <f aca="false">TNPE!F18</f>
        <v>47709</v>
      </c>
      <c r="L18" s="59" t="n">
        <f aca="false">ETPR!C18</f>
        <v>0.78</v>
      </c>
      <c r="M18" s="59" t="n">
        <f aca="false">ETPR!D18</f>
        <v>0.77</v>
      </c>
      <c r="N18" s="59" t="n">
        <f aca="false">ETPR!E18</f>
        <v>0.8</v>
      </c>
      <c r="O18" s="59" t="n">
        <f aca="false">ETPR!F18</f>
        <v>0.781</v>
      </c>
      <c r="P18" s="59" t="n">
        <f aca="false">LFPR!C18</f>
        <v>0.595</v>
      </c>
      <c r="Q18" s="59" t="n">
        <f aca="false">LFPR!D18</f>
        <v>0.42</v>
      </c>
      <c r="R18" s="59" t="n">
        <f aca="false">LFPR!E18</f>
        <v>0.52</v>
      </c>
      <c r="S18" s="59" t="n">
        <f aca="false">LFPR!F18</f>
        <v>0.595</v>
      </c>
      <c r="T18" s="39" t="n">
        <f aca="false">U3R!C18</f>
        <v>0.022</v>
      </c>
      <c r="U18" s="39" t="n">
        <f aca="false">U3R!D18</f>
        <v>0.024</v>
      </c>
      <c r="V18" s="39" t="n">
        <f aca="false">U3R!E18</f>
        <v>0.028</v>
      </c>
      <c r="W18" s="39" t="n">
        <f aca="false">U3R!F18</f>
        <v>0.021</v>
      </c>
      <c r="X18" s="39" t="n">
        <f aca="false">U6R!C18</f>
        <v>0.037</v>
      </c>
      <c r="Y18" s="39" t="n">
        <f aca="false">U6R!D18</f>
        <v>0.04</v>
      </c>
      <c r="Z18" s="39" t="n">
        <f aca="false">U6R!E18</f>
        <v>0.047</v>
      </c>
      <c r="AA18" s="39" t="n">
        <f aca="false">U6R!F18</f>
        <v>0.035</v>
      </c>
      <c r="AB18" s="39" t="n">
        <f aca="false">WAVG!C18</f>
        <v>55</v>
      </c>
      <c r="AC18" s="39" t="n">
        <f aca="false">WAVG!D18</f>
        <v>55.28</v>
      </c>
      <c r="AD18" s="39" t="n">
        <f aca="false">WAVG!E18</f>
        <v>49.5</v>
      </c>
      <c r="AE18" s="39" t="n">
        <f aca="false">WAVG!F18</f>
        <v>55.06</v>
      </c>
      <c r="AF18" s="60" t="n">
        <f aca="false">AIAVG!C18</f>
        <v>114400</v>
      </c>
      <c r="AG18" s="60" t="n">
        <f aca="false">AIAVG!D18</f>
        <v>115544</v>
      </c>
      <c r="AH18" s="60" t="n">
        <f aca="false">AIAVG!E18</f>
        <v>97240</v>
      </c>
      <c r="AI18" s="60" t="n">
        <f aca="false">AIAVG!F18</f>
        <v>114644</v>
      </c>
      <c r="AN18" s="39"/>
      <c r="AO18" s="3"/>
      <c r="AP18" s="3"/>
      <c r="AQ18" s="3"/>
      <c r="AR18" s="3"/>
      <c r="BD18" s="39"/>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row>
    <row r="19" customFormat="false" ht="23.85" hidden="false" customHeight="false" outlineLevel="0" collapsed="false">
      <c r="A19" s="51" t="n">
        <v>15</v>
      </c>
      <c r="B19" s="39" t="n">
        <v>53</v>
      </c>
      <c r="C19" s="40" t="s">
        <v>4694</v>
      </c>
      <c r="D19" s="42" t="n">
        <f aca="false">LFP!C19</f>
        <v>42000</v>
      </c>
      <c r="E19" s="42" t="n">
        <f aca="false">LFP!D19</f>
        <v>1176</v>
      </c>
      <c r="F19" s="42" t="n">
        <f aca="false">LFP!E19</f>
        <v>336</v>
      </c>
      <c r="G19" s="42" t="n">
        <f aca="false">LFP!F19</f>
        <v>40588</v>
      </c>
      <c r="H19" s="42" t="n">
        <f aca="false">TNPE!C19</f>
        <v>12500</v>
      </c>
      <c r="I19" s="42" t="n">
        <f aca="false">TNPE!D19</f>
        <v>462</v>
      </c>
      <c r="J19" s="42" t="n">
        <f aca="false">TNPE!E19</f>
        <v>275</v>
      </c>
      <c r="K19" s="42" t="n">
        <f aca="false">TNPE!F19</f>
        <v>11763</v>
      </c>
      <c r="L19" s="59" t="n">
        <f aca="false">ETPR!C19</f>
        <v>0.68</v>
      </c>
      <c r="M19" s="59" t="n">
        <f aca="false">ETPR!D19</f>
        <v>0.67</v>
      </c>
      <c r="N19" s="59" t="n">
        <f aca="false">ETPR!E19</f>
        <v>0.71</v>
      </c>
      <c r="O19" s="59" t="n">
        <f aca="false">ETPR!F19</f>
        <v>0.681</v>
      </c>
      <c r="P19" s="59" t="n">
        <f aca="false">LFPR!C19</f>
        <v>0.575</v>
      </c>
      <c r="Q19" s="59" t="n">
        <f aca="false">LFPR!D19</f>
        <v>0.415</v>
      </c>
      <c r="R19" s="59" t="n">
        <f aca="false">LFPR!E19</f>
        <v>0.6</v>
      </c>
      <c r="S19" s="59" t="n">
        <f aca="false">LFPR!F19</f>
        <v>0.575</v>
      </c>
      <c r="T19" s="39" t="n">
        <f aca="false">U3R!C19</f>
        <v>0.03</v>
      </c>
      <c r="U19" s="39" t="n">
        <f aca="false">U3R!D19</f>
        <v>0.032</v>
      </c>
      <c r="V19" s="39" t="n">
        <f aca="false">U3R!E19</f>
        <v>0.038</v>
      </c>
      <c r="W19" s="39" t="n">
        <f aca="false">U3R!F19</f>
        <v>0.029</v>
      </c>
      <c r="X19" s="39" t="n">
        <f aca="false">U6R!C19</f>
        <v>0.05</v>
      </c>
      <c r="Y19" s="39" t="n">
        <f aca="false">U6R!D19</f>
        <v>0.054</v>
      </c>
      <c r="Z19" s="39" t="n">
        <f aca="false">U6R!E19</f>
        <v>0.063</v>
      </c>
      <c r="AA19" s="39" t="n">
        <f aca="false">U6R!F19</f>
        <v>0.048</v>
      </c>
      <c r="AB19" s="39" t="n">
        <f aca="false">WAVG!C19</f>
        <v>32</v>
      </c>
      <c r="AC19" s="39" t="n">
        <f aca="false">WAVG!D19</f>
        <v>32.48</v>
      </c>
      <c r="AD19" s="39" t="n">
        <f aca="false">WAVG!E19</f>
        <v>26.24</v>
      </c>
      <c r="AE19" s="39" t="n">
        <f aca="false">WAVG!F19</f>
        <v>32.1</v>
      </c>
      <c r="AF19" s="60" t="n">
        <f aca="false">AIAVG!C19</f>
        <v>64000</v>
      </c>
      <c r="AG19" s="60" t="n">
        <f aca="false">AIAVG!D19</f>
        <v>65280</v>
      </c>
      <c r="AH19" s="60" t="n">
        <f aca="false">AIAVG!E19</f>
        <v>49920</v>
      </c>
      <c r="AI19" s="60" t="n">
        <f aca="false">AIAVG!F19</f>
        <v>64128</v>
      </c>
      <c r="AN19" s="39"/>
      <c r="AO19" s="3"/>
      <c r="AP19" s="3"/>
      <c r="AQ19" s="3"/>
      <c r="AR19" s="3"/>
      <c r="BD19" s="39"/>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row>
    <row r="20" customFormat="false" ht="23.85" hidden="false" customHeight="false" outlineLevel="0" collapsed="false">
      <c r="A20" s="51" t="n">
        <v>16</v>
      </c>
      <c r="B20" s="39" t="n">
        <v>54</v>
      </c>
      <c r="C20" s="40" t="s">
        <v>4695</v>
      </c>
      <c r="D20" s="42" t="n">
        <f aca="false">LFP!C20</f>
        <v>135000</v>
      </c>
      <c r="E20" s="42" t="n">
        <f aca="false">LFP!D20</f>
        <v>2835</v>
      </c>
      <c r="F20" s="42" t="n">
        <f aca="false">LFP!E20</f>
        <v>1080</v>
      </c>
      <c r="G20" s="42" t="n">
        <f aca="false">LFP!F20</f>
        <v>130085</v>
      </c>
      <c r="H20" s="42" t="n">
        <f aca="false">TNPE!C20</f>
        <v>65100</v>
      </c>
      <c r="I20" s="42" t="n">
        <f aca="false">TNPE!D20</f>
        <v>2409</v>
      </c>
      <c r="J20" s="42" t="n">
        <f aca="false">TNPE!E20</f>
        <v>1432</v>
      </c>
      <c r="K20" s="42" t="n">
        <f aca="false">TNPE!F20</f>
        <v>61259</v>
      </c>
      <c r="L20" s="59" t="n">
        <f aca="false">ETPR!C20</f>
        <v>0.76</v>
      </c>
      <c r="M20" s="59" t="n">
        <f aca="false">ETPR!D20</f>
        <v>0.75</v>
      </c>
      <c r="N20" s="59" t="n">
        <f aca="false">ETPR!E20</f>
        <v>0.78</v>
      </c>
      <c r="O20" s="59" t="n">
        <f aca="false">ETPR!F20</f>
        <v>0.761</v>
      </c>
      <c r="P20" s="59" t="n">
        <f aca="false">LFPR!C20</f>
        <v>0.605</v>
      </c>
      <c r="Q20" s="59" t="n">
        <f aca="false">LFPR!D20</f>
        <v>0.42</v>
      </c>
      <c r="R20" s="59" t="n">
        <f aca="false">LFPR!E20</f>
        <v>0.56</v>
      </c>
      <c r="S20" s="59" t="n">
        <f aca="false">LFPR!F20</f>
        <v>0.605</v>
      </c>
      <c r="T20" s="39" t="n">
        <f aca="false">U3R!C20</f>
        <v>0.025</v>
      </c>
      <c r="U20" s="39" t="n">
        <f aca="false">U3R!D20</f>
        <v>0.027</v>
      </c>
      <c r="V20" s="39" t="n">
        <f aca="false">U3R!E20</f>
        <v>0.032</v>
      </c>
      <c r="W20" s="39" t="n">
        <f aca="false">U3R!F20</f>
        <v>0.024</v>
      </c>
      <c r="X20" s="39" t="n">
        <f aca="false">U6R!C20</f>
        <v>0.042</v>
      </c>
      <c r="Y20" s="39" t="n">
        <f aca="false">U6R!D20</f>
        <v>0.045</v>
      </c>
      <c r="Z20" s="39" t="n">
        <f aca="false">U6R!E20</f>
        <v>0.053</v>
      </c>
      <c r="AA20" s="39" t="n">
        <f aca="false">U6R!F20</f>
        <v>0.04</v>
      </c>
      <c r="AB20" s="39" t="n">
        <f aca="false">WAVG!C20</f>
        <v>45</v>
      </c>
      <c r="AC20" s="39" t="n">
        <f aca="false">WAVG!D20</f>
        <v>45.23</v>
      </c>
      <c r="AD20" s="39" t="n">
        <f aca="false">WAVG!E20</f>
        <v>39.6</v>
      </c>
      <c r="AE20" s="39" t="n">
        <f aca="false">WAVG!F20</f>
        <v>45.05</v>
      </c>
      <c r="AF20" s="60" t="n">
        <f aca="false">AIAVG!C20</f>
        <v>96750</v>
      </c>
      <c r="AG20" s="60" t="n">
        <f aca="false">AIAVG!D20</f>
        <v>97718</v>
      </c>
      <c r="AH20" s="60" t="n">
        <f aca="false">AIAVG!E20</f>
        <v>79335</v>
      </c>
      <c r="AI20" s="60" t="n">
        <f aca="false">AIAVG!F20</f>
        <v>96891</v>
      </c>
      <c r="AN20" s="39"/>
      <c r="AO20" s="3"/>
      <c r="AP20" s="3"/>
      <c r="AQ20" s="3"/>
      <c r="AR20" s="3"/>
      <c r="BD20" s="39"/>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row>
    <row r="21" customFormat="false" ht="34.8" hidden="false" customHeight="false" outlineLevel="0" collapsed="false">
      <c r="A21" s="51" t="n">
        <v>17</v>
      </c>
      <c r="B21" s="39" t="n">
        <v>56</v>
      </c>
      <c r="C21" s="40" t="s">
        <v>4696</v>
      </c>
      <c r="D21" s="42" t="n">
        <f aca="false">LFP!C21</f>
        <v>145000</v>
      </c>
      <c r="E21" s="42" t="n">
        <f aca="false">LFP!D21</f>
        <v>2900</v>
      </c>
      <c r="F21" s="42" t="n">
        <f aca="false">LFP!E21</f>
        <v>16675</v>
      </c>
      <c r="G21" s="42" t="n">
        <f aca="false">LFP!F21</f>
        <v>118425</v>
      </c>
      <c r="H21" s="42" t="n">
        <f aca="false">TNPE!C21</f>
        <v>65600</v>
      </c>
      <c r="I21" s="42" t="n">
        <f aca="false">TNPE!D21</f>
        <v>2427</v>
      </c>
      <c r="J21" s="42" t="n">
        <f aca="false">TNPE!E21</f>
        <v>1804</v>
      </c>
      <c r="K21" s="42" t="n">
        <f aca="false">TNPE!F21</f>
        <v>61369</v>
      </c>
      <c r="L21" s="59" t="n">
        <f aca="false">ETPR!C21</f>
        <v>0.59</v>
      </c>
      <c r="M21" s="59" t="n">
        <f aca="false">ETPR!D21</f>
        <v>0.58</v>
      </c>
      <c r="N21" s="59" t="n">
        <f aca="false">ETPR!E21</f>
        <v>0.64</v>
      </c>
      <c r="O21" s="59" t="n">
        <f aca="false">ETPR!F21</f>
        <v>0.591</v>
      </c>
      <c r="P21" s="59" t="n">
        <f aca="false">LFPR!C21</f>
        <v>0.565</v>
      </c>
      <c r="Q21" s="59" t="n">
        <f aca="false">LFPR!D21</f>
        <v>0.405</v>
      </c>
      <c r="R21" s="59" t="n">
        <f aca="false">LFPR!E21</f>
        <v>0.67</v>
      </c>
      <c r="S21" s="59" t="n">
        <f aca="false">LFPR!F21</f>
        <v>0.565</v>
      </c>
      <c r="T21" s="39" t="n">
        <f aca="false">U3R!C21</f>
        <v>0.045</v>
      </c>
      <c r="U21" s="39" t="n">
        <f aca="false">U3R!D21</f>
        <v>0.048</v>
      </c>
      <c r="V21" s="39" t="n">
        <f aca="false">U3R!E21</f>
        <v>0.062</v>
      </c>
      <c r="W21" s="39" t="n">
        <f aca="false">U3R!F21</f>
        <v>0.043</v>
      </c>
      <c r="X21" s="39" t="n">
        <f aca="false">U6R!C21</f>
        <v>0.075</v>
      </c>
      <c r="Y21" s="39" t="n">
        <f aca="false">U6R!D21</f>
        <v>0.08</v>
      </c>
      <c r="Z21" s="39" t="n">
        <f aca="false">U6R!E21</f>
        <v>0.103</v>
      </c>
      <c r="AA21" s="39" t="n">
        <f aca="false">U6R!F21</f>
        <v>0.072</v>
      </c>
      <c r="AB21" s="39" t="n">
        <f aca="false">WAVG!C21</f>
        <v>25</v>
      </c>
      <c r="AC21" s="39" t="n">
        <f aca="false">WAVG!D21</f>
        <v>25.5</v>
      </c>
      <c r="AD21" s="39" t="n">
        <f aca="false">WAVG!E21</f>
        <v>18.75</v>
      </c>
      <c r="AE21" s="39" t="n">
        <f aca="false">WAVG!F21</f>
        <v>25.1</v>
      </c>
      <c r="AF21" s="60" t="n">
        <f aca="false">AIAVG!C21</f>
        <v>45000</v>
      </c>
      <c r="AG21" s="60" t="n">
        <f aca="false">AIAVG!D21</f>
        <v>46350</v>
      </c>
      <c r="AH21" s="60" t="n">
        <f aca="false">AIAVG!E21</f>
        <v>31500</v>
      </c>
      <c r="AI21" s="60" t="n">
        <f aca="false">AIAVG!F21</f>
        <v>45135</v>
      </c>
      <c r="AN21" s="39"/>
      <c r="AO21" s="3"/>
      <c r="AP21" s="3"/>
      <c r="AQ21" s="3"/>
      <c r="AR21" s="3"/>
      <c r="BD21" s="39"/>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row>
    <row r="22" customFormat="false" ht="12.8" hidden="false" customHeight="false" outlineLevel="0" collapsed="false">
      <c r="A22" s="51" t="n">
        <v>18</v>
      </c>
      <c r="B22" s="39" t="n">
        <v>61</v>
      </c>
      <c r="C22" s="39" t="s">
        <v>4697</v>
      </c>
      <c r="D22" s="42" t="n">
        <f aca="false">LFP!C22</f>
        <v>95000</v>
      </c>
      <c r="E22" s="42" t="n">
        <f aca="false">LFP!D22</f>
        <v>6460</v>
      </c>
      <c r="F22" s="42" t="n">
        <f aca="false">LFP!E22</f>
        <v>760</v>
      </c>
      <c r="G22" s="42" t="n">
        <f aca="false">LFP!F22</f>
        <v>87780</v>
      </c>
      <c r="H22" s="42" t="n">
        <f aca="false">TNPE!C22</f>
        <v>27500</v>
      </c>
      <c r="I22" s="42" t="n">
        <f aca="false">TNPE!D22</f>
        <v>1018</v>
      </c>
      <c r="J22" s="42" t="n">
        <f aca="false">TNPE!E22</f>
        <v>605</v>
      </c>
      <c r="K22" s="42" t="n">
        <f aca="false">TNPE!F22</f>
        <v>25877</v>
      </c>
      <c r="L22" s="59" t="n">
        <f aca="false">ETPR!C22</f>
        <v>0.72</v>
      </c>
      <c r="M22" s="59" t="n">
        <f aca="false">ETPR!D22</f>
        <v>0.71</v>
      </c>
      <c r="N22" s="59" t="n">
        <f aca="false">ETPR!E22</f>
        <v>0.74</v>
      </c>
      <c r="O22" s="59" t="n">
        <f aca="false">ETPR!F22</f>
        <v>0.721</v>
      </c>
      <c r="P22" s="59" t="n">
        <f aca="false">LFPR!C22</f>
        <v>0.58</v>
      </c>
      <c r="Q22" s="59" t="n">
        <f aca="false">LFPR!D22</f>
        <v>0.42</v>
      </c>
      <c r="R22" s="59" t="n">
        <f aca="false">LFPR!E22</f>
        <v>0.56</v>
      </c>
      <c r="S22" s="59" t="n">
        <f aca="false">LFPR!F22</f>
        <v>0.58</v>
      </c>
      <c r="T22" s="39" t="n">
        <f aca="false">U3R!C22</f>
        <v>0.025</v>
      </c>
      <c r="U22" s="39" t="n">
        <f aca="false">U3R!D22</f>
        <v>0.027</v>
      </c>
      <c r="V22" s="39" t="n">
        <f aca="false">U3R!E22</f>
        <v>0.032</v>
      </c>
      <c r="W22" s="39" t="n">
        <f aca="false">U3R!F22</f>
        <v>0.024</v>
      </c>
      <c r="X22" s="39" t="n">
        <f aca="false">U6R!C22</f>
        <v>0.042</v>
      </c>
      <c r="Y22" s="39" t="n">
        <f aca="false">U6R!D22</f>
        <v>0.045</v>
      </c>
      <c r="Z22" s="39" t="n">
        <f aca="false">U6R!E22</f>
        <v>0.053</v>
      </c>
      <c r="AA22" s="39" t="n">
        <f aca="false">U6R!F22</f>
        <v>0.04</v>
      </c>
      <c r="AB22" s="39" t="n">
        <f aca="false">WAVG!C22</f>
        <v>35</v>
      </c>
      <c r="AC22" s="39" t="n">
        <f aca="false">WAVG!D22</f>
        <v>35.35</v>
      </c>
      <c r="AD22" s="39" t="n">
        <f aca="false">WAVG!E22</f>
        <v>29.75</v>
      </c>
      <c r="AE22" s="39" t="n">
        <f aca="false">WAVG!F22</f>
        <v>35.07</v>
      </c>
      <c r="AF22" s="60" t="n">
        <f aca="false">AIAVG!C22</f>
        <v>68250</v>
      </c>
      <c r="AG22" s="60" t="n">
        <f aca="false">AIAVG!D22</f>
        <v>69314</v>
      </c>
      <c r="AH22" s="60" t="n">
        <f aca="false">AIAVG!E22</f>
        <v>54600</v>
      </c>
      <c r="AI22" s="60" t="n">
        <f aca="false">AIAVG!F22</f>
        <v>68429</v>
      </c>
      <c r="AN22" s="39"/>
      <c r="AO22" s="3"/>
      <c r="AP22" s="3"/>
      <c r="AQ22" s="3"/>
      <c r="AR22" s="3"/>
      <c r="BD22" s="39"/>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row>
    <row r="23" customFormat="false" ht="23.85" hidden="false" customHeight="false" outlineLevel="0" collapsed="false">
      <c r="A23" s="51" t="n">
        <v>19</v>
      </c>
      <c r="B23" s="39" t="n">
        <v>62</v>
      </c>
      <c r="C23" s="40" t="s">
        <v>4698</v>
      </c>
      <c r="D23" s="42" t="n">
        <f aca="false">LFP!C23</f>
        <v>240000</v>
      </c>
      <c r="E23" s="42" t="n">
        <f aca="false">LFP!D23</f>
        <v>16320</v>
      </c>
      <c r="F23" s="42" t="n">
        <f aca="false">LFP!E23</f>
        <v>1560</v>
      </c>
      <c r="G23" s="42" t="n">
        <f aca="false">LFP!F23</f>
        <v>222120</v>
      </c>
      <c r="H23" s="42" t="n">
        <f aca="false">TNPE!C23</f>
        <v>109400</v>
      </c>
      <c r="I23" s="42" t="n">
        <f aca="false">TNPE!D23</f>
        <v>4048</v>
      </c>
      <c r="J23" s="42" t="n">
        <f aca="false">TNPE!E23</f>
        <v>2407</v>
      </c>
      <c r="K23" s="42" t="n">
        <f aca="false">TNPE!F23</f>
        <v>102945</v>
      </c>
      <c r="L23" s="59" t="n">
        <f aca="false">ETPR!C23</f>
        <v>0.74</v>
      </c>
      <c r="M23" s="59" t="n">
        <f aca="false">ETPR!D23</f>
        <v>0.73</v>
      </c>
      <c r="N23" s="59" t="n">
        <f aca="false">ETPR!E23</f>
        <v>0.76</v>
      </c>
      <c r="O23" s="59" t="n">
        <f aca="false">ETPR!F23</f>
        <v>0.741</v>
      </c>
      <c r="P23" s="59" t="n">
        <f aca="false">LFPR!C23</f>
        <v>0.58</v>
      </c>
      <c r="Q23" s="59" t="n">
        <f aca="false">LFPR!D23</f>
        <v>0.42</v>
      </c>
      <c r="R23" s="59" t="n">
        <f aca="false">LFPR!E23</f>
        <v>0.56</v>
      </c>
      <c r="S23" s="59" t="n">
        <f aca="false">LFPR!F23</f>
        <v>0.58</v>
      </c>
      <c r="T23" s="39" t="n">
        <f aca="false">U3R!C23</f>
        <v>0.025</v>
      </c>
      <c r="U23" s="39" t="n">
        <f aca="false">U3R!D23</f>
        <v>0.027</v>
      </c>
      <c r="V23" s="39" t="n">
        <f aca="false">U3R!E23</f>
        <v>0.032</v>
      </c>
      <c r="W23" s="39" t="n">
        <f aca="false">U3R!F23</f>
        <v>0.024</v>
      </c>
      <c r="X23" s="39" t="n">
        <f aca="false">U6R!C23</f>
        <v>0.042</v>
      </c>
      <c r="Y23" s="39" t="n">
        <f aca="false">U6R!D23</f>
        <v>0.045</v>
      </c>
      <c r="Z23" s="39" t="n">
        <f aca="false">U6R!E23</f>
        <v>0.053</v>
      </c>
      <c r="AA23" s="39" t="n">
        <f aca="false">U6R!F23</f>
        <v>0.04</v>
      </c>
      <c r="AB23" s="39" t="n">
        <f aca="false">WAVG!C23</f>
        <v>35</v>
      </c>
      <c r="AC23" s="39" t="n">
        <f aca="false">WAVG!D23</f>
        <v>35.35</v>
      </c>
      <c r="AD23" s="39" t="n">
        <f aca="false">WAVG!E23</f>
        <v>29.75</v>
      </c>
      <c r="AE23" s="39" t="n">
        <f aca="false">WAVG!F23</f>
        <v>35.07</v>
      </c>
      <c r="AF23" s="60" t="n">
        <f aca="false">AIAVG!C23</f>
        <v>70000</v>
      </c>
      <c r="AG23" s="60" t="n">
        <f aca="false">AIAVG!D23</f>
        <v>71050</v>
      </c>
      <c r="AH23" s="60" t="n">
        <f aca="false">AIAVG!E23</f>
        <v>56000</v>
      </c>
      <c r="AI23" s="60" t="n">
        <f aca="false">AIAVG!F23</f>
        <v>70175</v>
      </c>
      <c r="AN23" s="39"/>
      <c r="AO23" s="3"/>
      <c r="AP23" s="3"/>
      <c r="AQ23" s="3"/>
      <c r="AR23" s="3"/>
      <c r="BD23" s="39"/>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row>
    <row r="24" customFormat="false" ht="23.85" hidden="false" customHeight="false" outlineLevel="0" collapsed="false">
      <c r="A24" s="51" t="n">
        <v>20</v>
      </c>
      <c r="B24" s="39" t="n">
        <v>71</v>
      </c>
      <c r="C24" s="40" t="s">
        <v>4699</v>
      </c>
      <c r="D24" s="42" t="n">
        <f aca="false">LFP!C24</f>
        <v>32000</v>
      </c>
      <c r="E24" s="42" t="n">
        <f aca="false">LFP!D24</f>
        <v>448</v>
      </c>
      <c r="F24" s="42" t="n">
        <f aca="false">LFP!E24</f>
        <v>3520</v>
      </c>
      <c r="G24" s="42" t="n">
        <f aca="false">LFP!F24</f>
        <v>28032</v>
      </c>
      <c r="H24" s="42" t="n">
        <f aca="false">TNPE!C24</f>
        <v>12500</v>
      </c>
      <c r="I24" s="42" t="n">
        <f aca="false">TNPE!D24</f>
        <v>462</v>
      </c>
      <c r="J24" s="42" t="n">
        <f aca="false">TNPE!E24</f>
        <v>275</v>
      </c>
      <c r="K24" s="42" t="n">
        <f aca="false">TNPE!F24</f>
        <v>11763</v>
      </c>
      <c r="L24" s="59" t="n">
        <f aca="false">ETPR!C24</f>
        <v>0.55</v>
      </c>
      <c r="M24" s="59" t="n">
        <f aca="false">ETPR!D24</f>
        <v>0.54</v>
      </c>
      <c r="N24" s="59" t="n">
        <f aca="false">ETPR!E24</f>
        <v>0.59</v>
      </c>
      <c r="O24" s="59" t="n">
        <f aca="false">ETPR!F24</f>
        <v>0.551</v>
      </c>
      <c r="P24" s="59" t="n">
        <f aca="false">LFPR!C24</f>
        <v>0.565</v>
      </c>
      <c r="Q24" s="59" t="n">
        <f aca="false">LFPR!D24</f>
        <v>0.405</v>
      </c>
      <c r="R24" s="59" t="n">
        <f aca="false">LFPR!E24</f>
        <v>0.67</v>
      </c>
      <c r="S24" s="59" t="n">
        <f aca="false">LFPR!F24</f>
        <v>0.565</v>
      </c>
      <c r="T24" s="39" t="n">
        <f aca="false">U3R!C24</f>
        <v>0.045</v>
      </c>
      <c r="U24" s="39" t="n">
        <f aca="false">U3R!D24</f>
        <v>0.048</v>
      </c>
      <c r="V24" s="39" t="n">
        <f aca="false">U3R!E24</f>
        <v>0.062</v>
      </c>
      <c r="W24" s="39" t="n">
        <f aca="false">U3R!F24</f>
        <v>0.043</v>
      </c>
      <c r="X24" s="39" t="n">
        <f aca="false">U6R!C24</f>
        <v>0.075</v>
      </c>
      <c r="Y24" s="39" t="n">
        <f aca="false">U6R!D24</f>
        <v>0.08</v>
      </c>
      <c r="Z24" s="39" t="n">
        <f aca="false">U6R!E24</f>
        <v>0.103</v>
      </c>
      <c r="AA24" s="39" t="n">
        <f aca="false">U6R!F24</f>
        <v>0.072</v>
      </c>
      <c r="AB24" s="39" t="n">
        <f aca="false">WAVG!C24</f>
        <v>20</v>
      </c>
      <c r="AC24" s="39" t="n">
        <f aca="false">WAVG!D24</f>
        <v>20.4</v>
      </c>
      <c r="AD24" s="39" t="n">
        <f aca="false">WAVG!E24</f>
        <v>14.4</v>
      </c>
      <c r="AE24" s="39" t="n">
        <f aca="false">WAVG!F24</f>
        <v>20.06</v>
      </c>
      <c r="AF24" s="60" t="n">
        <f aca="false">AIAVG!C24</f>
        <v>34000</v>
      </c>
      <c r="AG24" s="60" t="n">
        <f aca="false">AIAVG!D24</f>
        <v>35020</v>
      </c>
      <c r="AH24" s="60" t="n">
        <f aca="false">AIAVG!E24</f>
        <v>23120</v>
      </c>
      <c r="AI24" s="60" t="n">
        <f aca="false">AIAVG!F24</f>
        <v>34134</v>
      </c>
      <c r="AN24" s="39"/>
      <c r="AO24" s="3"/>
      <c r="AP24" s="3"/>
      <c r="AQ24" s="3"/>
      <c r="AR24" s="3"/>
      <c r="BD24" s="39"/>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row>
    <row r="25" customFormat="false" ht="23.85" hidden="false" customHeight="false" outlineLevel="0" collapsed="false">
      <c r="A25" s="51" t="n">
        <v>21</v>
      </c>
      <c r="B25" s="39" t="n">
        <v>72</v>
      </c>
      <c r="C25" s="40" t="s">
        <v>4700</v>
      </c>
      <c r="D25" s="42" t="n">
        <f aca="false">LFP!C25</f>
        <v>185000</v>
      </c>
      <c r="E25" s="42" t="n">
        <f aca="false">LFP!D25</f>
        <v>2590</v>
      </c>
      <c r="F25" s="42" t="n">
        <f aca="false">LFP!E25</f>
        <v>12950</v>
      </c>
      <c r="G25" s="42" t="n">
        <f aca="false">LFP!F25</f>
        <v>169460</v>
      </c>
      <c r="H25" s="42" t="n">
        <f aca="false">TNPE!C25</f>
        <v>96800</v>
      </c>
      <c r="I25" s="42" t="n">
        <f aca="false">TNPE!D25</f>
        <v>3582</v>
      </c>
      <c r="J25" s="42" t="n">
        <f aca="false">TNPE!E25</f>
        <v>2939</v>
      </c>
      <c r="K25" s="42" t="n">
        <f aca="false">TNPE!F25</f>
        <v>90279</v>
      </c>
      <c r="L25" s="59" t="n">
        <f aca="false">ETPR!C25</f>
        <v>0.52</v>
      </c>
      <c r="M25" s="59" t="n">
        <f aca="false">ETPR!D25</f>
        <v>0.51</v>
      </c>
      <c r="N25" s="59" t="n">
        <f aca="false">ETPR!E25</f>
        <v>0.57</v>
      </c>
      <c r="O25" s="59" t="n">
        <f aca="false">ETPR!F25</f>
        <v>0.521</v>
      </c>
      <c r="P25" s="59" t="n">
        <f aca="false">LFPR!C25</f>
        <v>0.545</v>
      </c>
      <c r="Q25" s="59" t="n">
        <f aca="false">LFPR!D25</f>
        <v>0.4</v>
      </c>
      <c r="R25" s="59" t="n">
        <f aca="false">LFPR!E25</f>
        <v>0.7</v>
      </c>
      <c r="S25" s="59" t="n">
        <f aca="false">LFPR!F25</f>
        <v>0.545</v>
      </c>
      <c r="T25" s="39" t="n">
        <f aca="false">U3R!C25</f>
        <v>0.065</v>
      </c>
      <c r="U25" s="39" t="n">
        <f aca="false">U3R!D25</f>
        <v>0.07</v>
      </c>
      <c r="V25" s="39" t="n">
        <f aca="false">U3R!E25</f>
        <v>0.09</v>
      </c>
      <c r="W25" s="39" t="n">
        <f aca="false">U3R!F25</f>
        <v>0.062</v>
      </c>
      <c r="X25" s="39" t="n">
        <f aca="false">U6R!C25</f>
        <v>0.108</v>
      </c>
      <c r="Y25" s="39" t="n">
        <f aca="false">U6R!D25</f>
        <v>0.116</v>
      </c>
      <c r="Z25" s="39" t="n">
        <f aca="false">U6R!E25</f>
        <v>0.15</v>
      </c>
      <c r="AA25" s="39" t="n">
        <f aca="false">U6R!F25</f>
        <v>0.103</v>
      </c>
      <c r="AB25" s="39" t="n">
        <f aca="false">WAVG!C25</f>
        <v>16</v>
      </c>
      <c r="AC25" s="39" t="n">
        <f aca="false">WAVG!D25</f>
        <v>16.4</v>
      </c>
      <c r="AD25" s="39" t="n">
        <f aca="false">WAVG!E25</f>
        <v>11.2</v>
      </c>
      <c r="AE25" s="39" t="n">
        <f aca="false">WAVG!F25</f>
        <v>16.04</v>
      </c>
      <c r="AF25" s="60" t="n">
        <f aca="false">AIAVG!C25</f>
        <v>25600</v>
      </c>
      <c r="AG25" s="60" t="n">
        <f aca="false">AIAVG!D25</f>
        <v>26496</v>
      </c>
      <c r="AH25" s="60" t="n">
        <f aca="false">AIAVG!E25</f>
        <v>16640</v>
      </c>
      <c r="AI25" s="60" t="n">
        <f aca="false">AIAVG!F25</f>
        <v>25664</v>
      </c>
      <c r="AN25" s="39"/>
      <c r="AO25" s="3"/>
      <c r="AP25" s="3"/>
      <c r="AQ25" s="3"/>
      <c r="AR25" s="3"/>
      <c r="BD25" s="39"/>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row>
    <row r="26" customFormat="false" ht="23.85" hidden="false" customHeight="false" outlineLevel="0" collapsed="false">
      <c r="A26" s="51" t="n">
        <v>22</v>
      </c>
      <c r="B26" s="39" t="n">
        <v>81</v>
      </c>
      <c r="C26" s="40" t="s">
        <v>4701</v>
      </c>
      <c r="D26" s="42" t="n">
        <f aca="false">LFP!C26</f>
        <v>105000</v>
      </c>
      <c r="E26" s="42" t="n">
        <f aca="false">LFP!D26</f>
        <v>840</v>
      </c>
      <c r="F26" s="42" t="n">
        <f aca="false">LFP!E26</f>
        <v>12180</v>
      </c>
      <c r="G26" s="42" t="n">
        <f aca="false">LFP!F26</f>
        <v>95980</v>
      </c>
      <c r="H26" s="42" t="n">
        <f aca="false">TNPE!C26</f>
        <v>49500</v>
      </c>
      <c r="I26" s="42" t="n">
        <f aca="false">TNPE!D26</f>
        <v>1832</v>
      </c>
      <c r="J26" s="42" t="n">
        <f aca="false">TNPE!E26</f>
        <v>1089</v>
      </c>
      <c r="K26" s="42" t="n">
        <f aca="false">TNPE!F26</f>
        <v>46579</v>
      </c>
      <c r="L26" s="59" t="n">
        <f aca="false">ETPR!C26</f>
        <v>0.6</v>
      </c>
      <c r="M26" s="59" t="n">
        <f aca="false">ETPR!D26</f>
        <v>0.59</v>
      </c>
      <c r="N26" s="59" t="n">
        <f aca="false">ETPR!E26</f>
        <v>0.64</v>
      </c>
      <c r="O26" s="59" t="n">
        <f aca="false">ETPR!F26</f>
        <v>0.601</v>
      </c>
      <c r="P26" s="59" t="n">
        <f aca="false">LFPR!C26</f>
        <v>0.565</v>
      </c>
      <c r="Q26" s="59" t="n">
        <f aca="false">LFPR!D26</f>
        <v>0.405</v>
      </c>
      <c r="R26" s="59" t="n">
        <f aca="false">LFPR!E26</f>
        <v>0.67</v>
      </c>
      <c r="S26" s="59" t="n">
        <f aca="false">LFPR!F26</f>
        <v>0.565</v>
      </c>
      <c r="T26" s="39" t="n">
        <f aca="false">U3R!C26</f>
        <v>0.04</v>
      </c>
      <c r="U26" s="39" t="n">
        <f aca="false">U3R!D26</f>
        <v>0.043</v>
      </c>
      <c r="V26" s="39" t="n">
        <f aca="false">U3R!E26</f>
        <v>0.055</v>
      </c>
      <c r="W26" s="39" t="n">
        <f aca="false">U3R!F26</f>
        <v>0.038</v>
      </c>
      <c r="X26" s="39" t="n">
        <f aca="false">U6R!C26</f>
        <v>0.067</v>
      </c>
      <c r="Y26" s="39" t="n">
        <f aca="false">U6R!D26</f>
        <v>0.072</v>
      </c>
      <c r="Z26" s="39" t="n">
        <f aca="false">U6R!E26</f>
        <v>0.092</v>
      </c>
      <c r="AA26" s="39" t="n">
        <f aca="false">U6R!F26</f>
        <v>0.064</v>
      </c>
      <c r="AB26" s="39" t="n">
        <f aca="false">WAVG!C26</f>
        <v>25</v>
      </c>
      <c r="AC26" s="39" t="n">
        <f aca="false">WAVG!D26</f>
        <v>25.5</v>
      </c>
      <c r="AD26" s="39" t="n">
        <f aca="false">WAVG!E26</f>
        <v>18.75</v>
      </c>
      <c r="AE26" s="39" t="n">
        <f aca="false">WAVG!F26</f>
        <v>25.1</v>
      </c>
      <c r="AF26" s="60" t="n">
        <f aca="false">AIAVG!C26</f>
        <v>46250</v>
      </c>
      <c r="AG26" s="60" t="n">
        <f aca="false">AIAVG!D26</f>
        <v>47638</v>
      </c>
      <c r="AH26" s="60" t="n">
        <f aca="false">AIAVG!E26</f>
        <v>32375</v>
      </c>
      <c r="AI26" s="60" t="n">
        <f aca="false">AIAVG!F26</f>
        <v>46431</v>
      </c>
      <c r="AN26" s="39"/>
      <c r="AO26" s="3"/>
      <c r="AP26" s="3"/>
      <c r="AQ26" s="3"/>
      <c r="AR26" s="3"/>
      <c r="BD26" s="39"/>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row>
    <row r="27" customFormat="false" ht="12.8" hidden="false" customHeight="false" outlineLevel="0" collapsed="false">
      <c r="A27" s="51" t="n">
        <v>23</v>
      </c>
      <c r="B27" s="39" t="n">
        <v>92</v>
      </c>
      <c r="C27" s="39" t="s">
        <v>4702</v>
      </c>
      <c r="D27" s="42" t="n">
        <f aca="false">LFP!C27</f>
        <v>125000</v>
      </c>
      <c r="E27" s="42" t="n">
        <f aca="false">LFP!D27</f>
        <v>1000</v>
      </c>
      <c r="F27" s="42" t="n">
        <f aca="false">LFP!E27</f>
        <v>875</v>
      </c>
      <c r="G27" s="42" t="n">
        <f aca="false">LFP!F27</f>
        <v>123125</v>
      </c>
      <c r="H27" s="42" t="n">
        <f aca="false">TNPE!C27</f>
        <v>211000</v>
      </c>
      <c r="I27" s="42" t="n">
        <f aca="false">TNPE!D27</f>
        <v>7807</v>
      </c>
      <c r="J27" s="42" t="n">
        <f aca="false">TNPE!E27</f>
        <v>4642</v>
      </c>
      <c r="K27" s="42" t="n">
        <f aca="false">TNPE!F27</f>
        <v>198551</v>
      </c>
      <c r="L27" s="59" t="n">
        <f aca="false">ETPR!C27</f>
        <v>0.82</v>
      </c>
      <c r="M27" s="59" t="n">
        <f aca="false">ETPR!D27</f>
        <v>0.81</v>
      </c>
      <c r="N27" s="59" t="n">
        <f aca="false">ETPR!E27</f>
        <v>0.83</v>
      </c>
      <c r="O27" s="59" t="n">
        <f aca="false">ETPR!F27</f>
        <v>0.821</v>
      </c>
      <c r="P27" s="59" t="n">
        <f aca="false">LFPR!C27</f>
        <v>0.595</v>
      </c>
      <c r="Q27" s="59" t="n">
        <f aca="false">LFPR!D27</f>
        <v>0.42</v>
      </c>
      <c r="R27" s="59" t="n">
        <f aca="false">LFPR!E27</f>
        <v>0.5</v>
      </c>
      <c r="S27" s="59" t="n">
        <f aca="false">LFPR!F27</f>
        <v>0.595</v>
      </c>
      <c r="T27" s="39" t="n">
        <f aca="false">U3R!C27</f>
        <v>0.018</v>
      </c>
      <c r="U27" s="39" t="n">
        <f aca="false">U3R!D27</f>
        <v>0.019</v>
      </c>
      <c r="V27" s="39" t="n">
        <f aca="false">U3R!E27</f>
        <v>0.022</v>
      </c>
      <c r="W27" s="39" t="n">
        <f aca="false">U3R!F27</f>
        <v>0.018</v>
      </c>
      <c r="X27" s="39" t="n">
        <f aca="false">U6R!C27</f>
        <v>0.03</v>
      </c>
      <c r="Y27" s="39" t="n">
        <f aca="false">U6R!D27</f>
        <v>0.032</v>
      </c>
      <c r="Z27" s="39" t="n">
        <f aca="false">U6R!E27</f>
        <v>0.037</v>
      </c>
      <c r="AA27" s="39" t="n">
        <f aca="false">U6R!F27</f>
        <v>0.029</v>
      </c>
      <c r="AB27" s="39" t="n">
        <f aca="false">WAVG!C27</f>
        <v>35</v>
      </c>
      <c r="AC27" s="39" t="n">
        <f aca="false">WAVG!D27</f>
        <v>35.35</v>
      </c>
      <c r="AD27" s="39" t="n">
        <f aca="false">WAVG!E27</f>
        <v>29.75</v>
      </c>
      <c r="AE27" s="39" t="n">
        <f aca="false">WAVG!F27</f>
        <v>35.07</v>
      </c>
      <c r="AF27" s="60" t="n">
        <f aca="false">AIAVG!C27</f>
        <v>72800</v>
      </c>
      <c r="AG27" s="60" t="n">
        <f aca="false">AIAVG!D27</f>
        <v>73992</v>
      </c>
      <c r="AH27" s="60" t="n">
        <f aca="false">AIAVG!E27</f>
        <v>58240</v>
      </c>
      <c r="AI27" s="60" t="n">
        <f aca="false">AIAVG!F27</f>
        <v>72984</v>
      </c>
      <c r="AN27" s="39"/>
      <c r="AO27" s="3"/>
      <c r="AP27" s="3"/>
      <c r="AQ27" s="3"/>
      <c r="AR27" s="3"/>
      <c r="BD27" s="39"/>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row>
  </sheetData>
  <mergeCells count="25">
    <mergeCell ref="A2:C2"/>
    <mergeCell ref="D2:G2"/>
    <mergeCell ref="H2:K2"/>
    <mergeCell ref="L2:O2"/>
    <mergeCell ref="P2:S2"/>
    <mergeCell ref="T2:W2"/>
    <mergeCell ref="X2:AA2"/>
    <mergeCell ref="AB2:AE2"/>
    <mergeCell ref="AF2:AH2"/>
    <mergeCell ref="AJ2:AM2"/>
    <mergeCell ref="AN2:AQ2"/>
    <mergeCell ref="AR2:AU2"/>
    <mergeCell ref="AV2:AY2"/>
    <mergeCell ref="AZ2:BC2"/>
    <mergeCell ref="BD2:BG2"/>
    <mergeCell ref="BH2:BM2"/>
    <mergeCell ref="BN2:BQ2"/>
    <mergeCell ref="BR2:BU2"/>
    <mergeCell ref="BV2:CA2"/>
    <mergeCell ref="CB2:CE2"/>
    <mergeCell ref="CF2:CI2"/>
    <mergeCell ref="CJ2:CM2"/>
    <mergeCell ref="CN2:CQ2"/>
    <mergeCell ref="CR2:CU2"/>
    <mergeCell ref="CV2:CY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Q216"/>
  <sheetViews>
    <sheetView showFormulas="false" showGridLines="true" showRowColHeaders="true" showZeros="true" rightToLeft="false" tabSelected="false" showOutlineSymbols="true" defaultGridColor="true" view="normal" topLeftCell="A172" colorId="64" zoomScale="75" zoomScaleNormal="75" zoomScalePageLayoutView="100" workbookViewId="0">
      <selection pane="topLeft" activeCell="A207" activeCellId="0" sqref="A207"/>
    </sheetView>
  </sheetViews>
  <sheetFormatPr defaultColWidth="11.53515625" defaultRowHeight="12.8" customHeight="false" zeroHeight="false" outlineLevelRow="0" outlineLevelCol="0"/>
  <cols>
    <col collapsed="false" customWidth="true" hidden="false" outlineLevel="0" max="1" min="1" style="61" width="23.07"/>
    <col collapsed="false" customWidth="true" hidden="false" outlineLevel="0" max="2" min="2" style="62" width="29.97"/>
    <col collapsed="false" customWidth="true" hidden="false" outlineLevel="0" max="3" min="3" style="62" width="16.84"/>
    <col collapsed="false" customWidth="true" hidden="false" outlineLevel="0" max="35" min="4" style="63" width="16.84"/>
    <col collapsed="false" customWidth="true" hidden="false" outlineLevel="0" max="49" min="36" style="63" width="17.78"/>
    <col collapsed="false" customWidth="true" hidden="false" outlineLevel="0" max="52" min="50" style="63" width="15.48"/>
    <col collapsed="false" customWidth="false" hidden="false" outlineLevel="0" max="56" min="53" style="63" width="11.53"/>
    <col collapsed="false" customWidth="true" hidden="false" outlineLevel="0" max="57" min="57" style="63" width="18.45"/>
    <col collapsed="false" customWidth="true" hidden="false" outlineLevel="0" max="60" min="58" style="63" width="16.14"/>
    <col collapsed="false" customWidth="true" hidden="false" outlineLevel="0" max="68" min="61" style="63" width="13.84"/>
    <col collapsed="false" customWidth="false" hidden="false" outlineLevel="0" max="69" min="69" style="63" width="11.53"/>
    <col collapsed="false" customWidth="false" hidden="false" outlineLevel="0" max="16384" min="73" style="63" width="11.53"/>
  </cols>
  <sheetData>
    <row r="1" customFormat="false" ht="12.8" hidden="false" customHeight="false" outlineLevel="0" collapsed="false">
      <c r="A1" s="64" t="s">
        <v>4703</v>
      </c>
      <c r="B1" s="65" t="s">
        <v>4704</v>
      </c>
      <c r="C1" s="55" t="s">
        <v>2</v>
      </c>
      <c r="D1" s="66" t="s">
        <v>4705</v>
      </c>
      <c r="BG1" s="3"/>
      <c r="BH1" s="3"/>
      <c r="BI1" s="3"/>
      <c r="BJ1" s="3"/>
      <c r="BK1" s="3"/>
      <c r="BL1" s="3"/>
      <c r="BM1" s="3"/>
      <c r="BN1" s="3"/>
      <c r="BO1" s="3"/>
      <c r="BP1" s="3"/>
      <c r="BQ1" s="3"/>
    </row>
    <row r="2" customFormat="false" ht="12.8" hidden="false" customHeight="false" outlineLevel="0" collapsed="false">
      <c r="A2" s="64" t="str">
        <f aca="false">_xlfn.CONCAT($A$1, ".", "CALC")</f>
        <v>LSD.RID.0.AL.LFP.CALC</v>
      </c>
      <c r="B2" s="65" t="str">
        <f aca="false">_xlfn.CONCAT($B$1, " ", "Calculations")</f>
        <v>Alabama Labor Force Population Calculations</v>
      </c>
      <c r="C2" s="55" t="str">
        <f aca="false">CALC!D2</f>
        <v>Labor Force Population (LFP)</v>
      </c>
      <c r="D2" s="55"/>
      <c r="E2" s="55"/>
      <c r="F2" s="55"/>
      <c r="BG2" s="3"/>
      <c r="BH2" s="3"/>
      <c r="BI2" s="3"/>
      <c r="BJ2" s="3"/>
      <c r="BK2" s="3"/>
      <c r="BL2" s="3"/>
      <c r="BM2" s="3"/>
      <c r="BN2" s="3"/>
      <c r="BO2" s="3"/>
      <c r="BP2" s="3"/>
      <c r="BQ2" s="3"/>
    </row>
    <row r="3" customFormat="false" ht="12.8" hidden="false" customHeight="false" outlineLevel="0" collapsed="false">
      <c r="A3" s="64" t="str">
        <f aca="false">CALC!A3</f>
        <v>LSID</v>
      </c>
      <c r="B3" s="42" t="str">
        <f aca="false">CALC!C3</f>
        <v>Labor Sector</v>
      </c>
      <c r="C3" s="57" t="str">
        <f aca="false">CALC!D3</f>
        <v>Overall LFP</v>
      </c>
      <c r="D3" s="57" t="str">
        <f aca="false">CALC!E3</f>
        <v>Authorized LFP</v>
      </c>
      <c r="E3" s="57" t="str">
        <f aca="false">CALC!F3</f>
        <v>Unauthorized LFP</v>
      </c>
      <c r="F3" s="57" t="str">
        <f aca="false">CALC!G3</f>
        <v>American LFP</v>
      </c>
      <c r="BA3" s="3"/>
      <c r="BB3" s="3"/>
      <c r="BC3" s="3"/>
      <c r="BD3" s="3"/>
      <c r="BE3" s="3"/>
      <c r="BF3" s="3"/>
      <c r="BG3" s="3"/>
      <c r="BH3" s="3"/>
      <c r="BI3" s="3"/>
      <c r="BJ3" s="3"/>
      <c r="BK3" s="3"/>
      <c r="BL3" s="3"/>
      <c r="BM3" s="3"/>
      <c r="BN3" s="3"/>
      <c r="BO3" s="3"/>
      <c r="BP3" s="3"/>
      <c r="BQ3" s="3"/>
    </row>
    <row r="4" customFormat="false" ht="12.8" hidden="false" customHeight="false" outlineLevel="0" collapsed="false">
      <c r="A4" s="64" t="str">
        <f aca="false">_xlfn.CONCAT($A$1, ".", CALC!A4)</f>
        <v>LSD.RID.0.AL.LFP.0</v>
      </c>
      <c r="B4" s="42" t="str">
        <f aca="false">CALC!C4</f>
        <v>All Industries</v>
      </c>
      <c r="C4" s="63" t="n">
        <v>2385000</v>
      </c>
      <c r="D4" s="63" t="n">
        <v>62388</v>
      </c>
      <c r="E4" s="63" t="n">
        <v>50000</v>
      </c>
      <c r="F4" s="63" t="n">
        <v>2270612</v>
      </c>
      <c r="BA4" s="3"/>
      <c r="BB4" s="3"/>
      <c r="BC4" s="3"/>
      <c r="BD4" s="3"/>
      <c r="BE4" s="3"/>
      <c r="BF4" s="3"/>
      <c r="BG4" s="3"/>
      <c r="BH4" s="3"/>
      <c r="BI4" s="3"/>
      <c r="BJ4" s="3"/>
      <c r="BK4" s="3"/>
      <c r="BL4" s="3"/>
      <c r="BM4" s="3"/>
      <c r="BN4" s="3"/>
      <c r="BO4" s="3"/>
      <c r="BP4" s="3"/>
      <c r="BQ4" s="3"/>
    </row>
    <row r="5" customFormat="false" ht="23.85" hidden="false" customHeight="false" outlineLevel="0" collapsed="false">
      <c r="A5" s="64" t="str">
        <f aca="false">_xlfn.CONCAT($A$1, ".", CALC!A5)</f>
        <v>LSD.RID.0.AL.LFP.1</v>
      </c>
      <c r="B5" s="67" t="str">
        <f aca="false">CALC!C5</f>
        <v>Agriculture, Forestry, 
Fishing and Hunting</v>
      </c>
      <c r="C5" s="63" t="n">
        <v>38000</v>
      </c>
      <c r="D5" s="63" t="n">
        <v>152</v>
      </c>
      <c r="E5" s="63" t="n">
        <v>5320</v>
      </c>
      <c r="F5" s="63" t="n">
        <v>32528</v>
      </c>
      <c r="BA5" s="3"/>
      <c r="BB5" s="3"/>
      <c r="BC5" s="3"/>
      <c r="BD5" s="3"/>
      <c r="BE5" s="3"/>
      <c r="BF5" s="3"/>
      <c r="BG5" s="3"/>
      <c r="BH5" s="3"/>
      <c r="BI5" s="3"/>
      <c r="BJ5" s="3"/>
      <c r="BK5" s="3"/>
      <c r="BL5" s="3"/>
      <c r="BM5" s="3"/>
      <c r="BN5" s="3"/>
      <c r="BO5" s="3"/>
      <c r="BP5" s="3"/>
      <c r="BQ5" s="3"/>
    </row>
    <row r="6" customFormat="false" ht="23.85" hidden="false" customHeight="false" outlineLevel="0" collapsed="false">
      <c r="A6" s="64" t="str">
        <f aca="false">_xlfn.CONCAT($A$1, ".", CALC!A6)</f>
        <v>LSD.RID.0.AL.LFP.2</v>
      </c>
      <c r="B6" s="67" t="str">
        <f aca="false">CALC!C6</f>
        <v>Mining, Quarrying, and
Oil and Gas Extraction</v>
      </c>
      <c r="C6" s="63" t="n">
        <v>14000</v>
      </c>
      <c r="D6" s="63" t="n">
        <v>196</v>
      </c>
      <c r="E6" s="63" t="n">
        <v>560</v>
      </c>
      <c r="F6" s="63" t="n">
        <v>13244</v>
      </c>
      <c r="BA6" s="3"/>
      <c r="BB6" s="3"/>
      <c r="BC6" s="3"/>
      <c r="BD6" s="3"/>
      <c r="BE6" s="3"/>
      <c r="BF6" s="3"/>
      <c r="BG6" s="3"/>
      <c r="BH6" s="3"/>
      <c r="BI6" s="3"/>
      <c r="BJ6" s="3"/>
      <c r="BK6" s="3"/>
      <c r="BL6" s="3"/>
      <c r="BM6" s="3"/>
      <c r="BN6" s="3"/>
      <c r="BO6" s="3"/>
      <c r="BP6" s="3"/>
      <c r="BQ6" s="3"/>
    </row>
    <row r="7" customFormat="false" ht="12.8" hidden="false" customHeight="false" outlineLevel="0" collapsed="false">
      <c r="A7" s="64" t="str">
        <f aca="false">_xlfn.CONCAT($A$1, ".", CALC!A7)</f>
        <v>LSD.RID.0.AL.LFP.3</v>
      </c>
      <c r="B7" s="42" t="str">
        <f aca="false">CALC!C7</f>
        <v>Utilities</v>
      </c>
      <c r="C7" s="63" t="n">
        <v>28000</v>
      </c>
      <c r="D7" s="63" t="n">
        <v>560</v>
      </c>
      <c r="E7" s="63" t="n">
        <v>224</v>
      </c>
      <c r="F7" s="63" t="n">
        <v>27216</v>
      </c>
      <c r="BA7" s="3"/>
      <c r="BB7" s="3"/>
      <c r="BC7" s="3"/>
      <c r="BD7" s="3"/>
      <c r="BE7" s="3"/>
      <c r="BF7" s="3"/>
      <c r="BG7" s="3"/>
      <c r="BH7" s="3"/>
      <c r="BI7" s="3"/>
      <c r="BJ7" s="3"/>
      <c r="BK7" s="3"/>
      <c r="BL7" s="3"/>
      <c r="BM7" s="3"/>
      <c r="BN7" s="3"/>
      <c r="BO7" s="3"/>
      <c r="BP7" s="3"/>
      <c r="BQ7" s="3"/>
    </row>
    <row r="8" customFormat="false" ht="12.8" hidden="false" customHeight="false" outlineLevel="0" collapsed="false">
      <c r="A8" s="64" t="str">
        <f aca="false">_xlfn.CONCAT($A$1, ".", CALC!A8)</f>
        <v>LSD.RID.0.AL.LFP.4</v>
      </c>
      <c r="B8" s="42" t="str">
        <f aca="false">CALC!C8</f>
        <v>Construction</v>
      </c>
      <c r="C8" s="63" t="n">
        <v>135000</v>
      </c>
      <c r="D8" s="63" t="n">
        <v>4590</v>
      </c>
      <c r="E8" s="63" t="n">
        <v>13770</v>
      </c>
      <c r="F8" s="63" t="n">
        <v>116640</v>
      </c>
      <c r="BA8" s="3"/>
      <c r="BB8" s="3"/>
      <c r="BC8" s="3"/>
      <c r="BD8" s="3"/>
      <c r="BE8" s="3"/>
      <c r="BF8" s="3"/>
      <c r="BG8" s="3"/>
      <c r="BH8" s="3"/>
      <c r="BI8" s="3"/>
      <c r="BJ8" s="3"/>
      <c r="BK8" s="3"/>
      <c r="BL8" s="3"/>
      <c r="BM8" s="3"/>
      <c r="BN8" s="3"/>
      <c r="BO8" s="3"/>
      <c r="BP8" s="3"/>
      <c r="BQ8" s="3"/>
    </row>
    <row r="9" customFormat="false" ht="23.85" hidden="false" customHeight="false" outlineLevel="0" collapsed="false">
      <c r="A9" s="64" t="str">
        <f aca="false">_xlfn.CONCAT($A$1, ".", CALC!A9)</f>
        <v>LSD.RID.0.AL.LFP.5</v>
      </c>
      <c r="B9" s="67" t="str">
        <f aca="false">CALC!C9</f>
        <v>Manufacturing
(Food,Textile, etc.)</v>
      </c>
      <c r="C9" s="63" t="n">
        <v>65000</v>
      </c>
      <c r="D9" s="63" t="n">
        <v>4680</v>
      </c>
      <c r="E9" s="63" t="n">
        <v>2405</v>
      </c>
      <c r="F9" s="63" t="n">
        <v>57915</v>
      </c>
      <c r="BA9" s="3"/>
      <c r="BB9" s="3"/>
      <c r="BC9" s="3"/>
      <c r="BD9" s="3"/>
      <c r="BE9" s="3"/>
      <c r="BF9" s="3"/>
      <c r="BG9" s="3"/>
      <c r="BH9" s="3"/>
      <c r="BI9" s="3"/>
      <c r="BJ9" s="3"/>
      <c r="BK9" s="3"/>
      <c r="BL9" s="3"/>
      <c r="BM9" s="3"/>
      <c r="BN9" s="3"/>
      <c r="BO9" s="3"/>
      <c r="BP9" s="3"/>
      <c r="BQ9" s="3"/>
    </row>
    <row r="10" customFormat="false" ht="23.85" hidden="false" customHeight="false" outlineLevel="0" collapsed="false">
      <c r="A10" s="64" t="str">
        <f aca="false">_xlfn.CONCAT($A$1, ".", CALC!A10)</f>
        <v>LSD.RID.0.AL.LFP.6</v>
      </c>
      <c r="B10" s="67" t="str">
        <f aca="false">CALC!C10</f>
        <v>Manufacturing (Wood,
Paper, Printing, etc.)</v>
      </c>
      <c r="C10" s="63" t="n">
        <v>52000</v>
      </c>
      <c r="D10" s="63" t="n">
        <v>3744</v>
      </c>
      <c r="E10" s="63" t="n">
        <v>1924</v>
      </c>
      <c r="F10" s="63" t="n">
        <v>46332</v>
      </c>
      <c r="BA10" s="3"/>
      <c r="BB10" s="3"/>
      <c r="BC10" s="3"/>
      <c r="BD10" s="3"/>
      <c r="BE10" s="3"/>
      <c r="BF10" s="3"/>
      <c r="BG10" s="3"/>
      <c r="BH10" s="3"/>
      <c r="BI10" s="3"/>
      <c r="BJ10" s="3"/>
      <c r="BK10" s="3"/>
      <c r="BL10" s="3"/>
      <c r="BM10" s="3"/>
      <c r="BN10" s="3"/>
      <c r="BO10" s="3"/>
      <c r="BP10" s="3"/>
      <c r="BQ10" s="3"/>
    </row>
    <row r="11" customFormat="false" ht="23.85" hidden="false" customHeight="false" outlineLevel="0" collapsed="false">
      <c r="A11" s="64" t="str">
        <f aca="false">_xlfn.CONCAT($A$1, ".", CALC!A11)</f>
        <v>LSD.RID.0.AL.LFP.7</v>
      </c>
      <c r="B11" s="67" t="str">
        <f aca="false">CALC!C11</f>
        <v>Manufacturing
(Machinery, Transport)</v>
      </c>
      <c r="C11" s="63" t="n">
        <v>170000</v>
      </c>
      <c r="D11" s="63" t="n">
        <v>12240</v>
      </c>
      <c r="E11" s="63" t="n">
        <v>6290</v>
      </c>
      <c r="F11" s="63" t="n">
        <v>151470</v>
      </c>
      <c r="BA11" s="3"/>
      <c r="BB11" s="3"/>
      <c r="BC11" s="3"/>
      <c r="BD11" s="3"/>
      <c r="BE11" s="3"/>
      <c r="BF11" s="3"/>
      <c r="BG11" s="3"/>
      <c r="BH11" s="3"/>
      <c r="BI11" s="3"/>
      <c r="BJ11" s="3"/>
      <c r="BK11" s="3"/>
      <c r="BL11" s="3"/>
      <c r="BM11" s="3"/>
      <c r="BN11" s="3"/>
      <c r="BO11" s="3"/>
      <c r="BP11" s="3"/>
      <c r="BQ11" s="3"/>
    </row>
    <row r="12" customFormat="false" ht="12.8" hidden="false" customHeight="false" outlineLevel="0" collapsed="false">
      <c r="A12" s="64" t="str">
        <f aca="false">_xlfn.CONCAT($A$1, ".", CALC!A12)</f>
        <v>LSD.RID.0.AL.LFP.8</v>
      </c>
      <c r="B12" s="42" t="str">
        <f aca="false">CALC!C12</f>
        <v>Wholesale Trade</v>
      </c>
      <c r="C12" s="63" t="n">
        <v>85000</v>
      </c>
      <c r="D12" s="63" t="n">
        <v>1700</v>
      </c>
      <c r="E12" s="63" t="n">
        <v>3570</v>
      </c>
      <c r="F12" s="63" t="n">
        <v>79730</v>
      </c>
      <c r="BA12" s="3"/>
      <c r="BB12" s="3"/>
      <c r="BC12" s="3"/>
      <c r="BD12" s="3"/>
      <c r="BE12" s="3"/>
      <c r="BF12" s="3"/>
      <c r="BG12" s="3"/>
      <c r="BH12" s="3"/>
      <c r="BI12" s="3"/>
      <c r="BJ12" s="3"/>
      <c r="BK12" s="3"/>
      <c r="BL12" s="3"/>
      <c r="BM12" s="3"/>
      <c r="BN12" s="3"/>
      <c r="BO12" s="3"/>
      <c r="BP12" s="3"/>
      <c r="BQ12" s="3"/>
    </row>
    <row r="13" customFormat="false" ht="23.85" hidden="false" customHeight="false" outlineLevel="0" collapsed="false">
      <c r="A13" s="64" t="str">
        <f aca="false">_xlfn.CONCAT($A$1, ".", CALC!A13)</f>
        <v>LSD.RID.0.AL.LFP.9</v>
      </c>
      <c r="B13" s="67" t="str">
        <f aca="false">CALC!C13</f>
        <v>Retail Trade (Motor
Vehicle, Electronics)</v>
      </c>
      <c r="C13" s="63" t="n">
        <v>95000</v>
      </c>
      <c r="D13" s="63" t="n">
        <v>1900</v>
      </c>
      <c r="E13" s="63" t="n">
        <v>3990</v>
      </c>
      <c r="F13" s="63" t="n">
        <v>89110</v>
      </c>
      <c r="BA13" s="3"/>
      <c r="BB13" s="3"/>
      <c r="BC13" s="3"/>
      <c r="BD13" s="3"/>
      <c r="BE13" s="3"/>
      <c r="BF13" s="3"/>
      <c r="BG13" s="3"/>
      <c r="BH13" s="3"/>
      <c r="BI13" s="3"/>
      <c r="BJ13" s="3"/>
      <c r="BK13" s="3"/>
      <c r="BL13" s="3"/>
      <c r="BM13" s="3"/>
      <c r="BN13" s="3"/>
      <c r="BO13" s="3"/>
      <c r="BP13" s="3"/>
      <c r="BQ13" s="3"/>
    </row>
    <row r="14" customFormat="false" ht="23.85" hidden="false" customHeight="false" outlineLevel="0" collapsed="false">
      <c r="A14" s="64" t="str">
        <f aca="false">_xlfn.CONCAT($A$1, ".", CALC!A14)</f>
        <v>LSD.RID.0.AL.LFP.10</v>
      </c>
      <c r="B14" s="67" t="str">
        <f aca="false">CALC!C14</f>
        <v>Retail Trade (Food, Clothing,
General Merchandise, etc.)</v>
      </c>
      <c r="C14" s="63" t="n">
        <v>165000</v>
      </c>
      <c r="D14" s="63" t="n">
        <v>3300</v>
      </c>
      <c r="E14" s="63" t="n">
        <v>6930</v>
      </c>
      <c r="F14" s="63" t="n">
        <v>154770</v>
      </c>
      <c r="BA14" s="3"/>
      <c r="BB14" s="3"/>
      <c r="BC14" s="3"/>
      <c r="BD14" s="3"/>
      <c r="BE14" s="3"/>
      <c r="BF14" s="3"/>
      <c r="BG14" s="3"/>
      <c r="BH14" s="3"/>
      <c r="BI14" s="3"/>
      <c r="BJ14" s="3"/>
      <c r="BK14" s="3"/>
      <c r="BL14" s="3"/>
      <c r="BM14" s="3"/>
      <c r="BN14" s="3"/>
      <c r="BO14" s="3"/>
      <c r="BP14" s="3"/>
      <c r="BQ14" s="3"/>
    </row>
    <row r="15" customFormat="false" ht="12.8" hidden="false" customHeight="false" outlineLevel="0" collapsed="false">
      <c r="A15" s="64" t="str">
        <f aca="false">_xlfn.CONCAT($A$1, ".", CALC!A15)</f>
        <v>LSD.RID.0.AL.LFP.11</v>
      </c>
      <c r="B15" s="42" t="str">
        <f aca="false">CALC!C15</f>
        <v>Transportation</v>
      </c>
      <c r="C15" s="63" t="n">
        <v>65000</v>
      </c>
      <c r="D15" s="63" t="n">
        <v>1300</v>
      </c>
      <c r="E15" s="63" t="n">
        <v>2730</v>
      </c>
      <c r="F15" s="63" t="n">
        <v>60970</v>
      </c>
      <c r="BA15" s="3"/>
      <c r="BB15" s="3"/>
      <c r="BC15" s="3"/>
      <c r="BD15" s="3"/>
      <c r="BE15" s="3"/>
      <c r="BF15" s="3"/>
      <c r="BG15" s="3"/>
      <c r="BH15" s="3"/>
      <c r="BI15" s="3"/>
      <c r="BJ15" s="3"/>
      <c r="BK15" s="3"/>
      <c r="BL15" s="3"/>
      <c r="BM15" s="3"/>
      <c r="BN15" s="3"/>
      <c r="BO15" s="3"/>
      <c r="BP15" s="3"/>
      <c r="BQ15" s="3"/>
    </row>
    <row r="16" customFormat="false" ht="12.8" hidden="false" customHeight="false" outlineLevel="0" collapsed="false">
      <c r="A16" s="64" t="str">
        <f aca="false">_xlfn.CONCAT($A$1, ".", CALC!A16)</f>
        <v>LSD.RID.0.AL.LFP.12</v>
      </c>
      <c r="B16" s="42" t="str">
        <f aca="false">CALC!C16</f>
        <v>Warehousing and Storage</v>
      </c>
      <c r="C16" s="63" t="n">
        <v>38000</v>
      </c>
      <c r="D16" s="63" t="n">
        <v>760</v>
      </c>
      <c r="E16" s="63" t="n">
        <v>1596</v>
      </c>
      <c r="F16" s="63" t="n">
        <v>35644</v>
      </c>
      <c r="BA16" s="3"/>
      <c r="BB16" s="3"/>
      <c r="BC16" s="3"/>
      <c r="BD16" s="3"/>
      <c r="BE16" s="3"/>
      <c r="BF16" s="3"/>
      <c r="BG16" s="3"/>
      <c r="BH16" s="3"/>
      <c r="BI16" s="3"/>
      <c r="BJ16" s="3"/>
      <c r="BK16" s="3"/>
      <c r="BL16" s="3"/>
      <c r="BM16" s="3"/>
      <c r="BN16" s="3"/>
      <c r="BO16" s="3"/>
      <c r="BP16" s="3"/>
      <c r="BQ16" s="3"/>
    </row>
    <row r="17" customFormat="false" ht="12.8" hidden="false" customHeight="false" outlineLevel="0" collapsed="false">
      <c r="A17" s="64" t="str">
        <f aca="false">_xlfn.CONCAT($A$1, ".", CALC!A17)</f>
        <v>LSD.RID.0.AL.LFP.13</v>
      </c>
      <c r="B17" s="42" t="str">
        <f aca="false">CALC!C17</f>
        <v>Information</v>
      </c>
      <c r="C17" s="63" t="n">
        <v>26000</v>
      </c>
      <c r="D17" s="63" t="n">
        <v>546</v>
      </c>
      <c r="E17" s="63" t="n">
        <v>221</v>
      </c>
      <c r="F17" s="63" t="n">
        <v>25233</v>
      </c>
      <c r="BA17" s="3"/>
      <c r="BB17" s="3"/>
      <c r="BC17" s="3"/>
      <c r="BD17" s="3"/>
      <c r="BE17" s="3"/>
      <c r="BF17" s="3"/>
      <c r="BG17" s="3"/>
      <c r="BH17" s="3"/>
      <c r="BI17" s="3"/>
      <c r="BJ17" s="3"/>
      <c r="BK17" s="3"/>
      <c r="BL17" s="3"/>
      <c r="BM17" s="3"/>
      <c r="BN17" s="3"/>
      <c r="BO17" s="3"/>
      <c r="BP17" s="3"/>
      <c r="BQ17" s="3"/>
    </row>
    <row r="18" customFormat="false" ht="12.8" hidden="false" customHeight="false" outlineLevel="0" collapsed="false">
      <c r="A18" s="64" t="str">
        <f aca="false">_xlfn.CONCAT($A$1, ".", CALC!A18)</f>
        <v>LSD.RID.0.AL.LFP.14</v>
      </c>
      <c r="B18" s="42" t="str">
        <f aca="false">CALC!C18</f>
        <v>Finance and Insurance</v>
      </c>
      <c r="C18" s="63" t="n">
        <v>115000</v>
      </c>
      <c r="D18" s="63" t="n">
        <v>3220</v>
      </c>
      <c r="E18" s="63" t="n">
        <v>920</v>
      </c>
      <c r="F18" s="63" t="n">
        <v>111860</v>
      </c>
      <c r="BA18" s="3"/>
      <c r="BB18" s="3"/>
      <c r="BC18" s="3"/>
      <c r="BD18" s="3"/>
      <c r="BE18" s="3"/>
      <c r="BF18" s="3"/>
      <c r="BG18" s="3"/>
      <c r="BH18" s="3"/>
      <c r="BI18" s="3"/>
      <c r="BJ18" s="3"/>
      <c r="BK18" s="3"/>
      <c r="BL18" s="3"/>
      <c r="BM18" s="3"/>
      <c r="BN18" s="3"/>
      <c r="BO18" s="3"/>
      <c r="BP18" s="3"/>
      <c r="BQ18" s="3"/>
    </row>
    <row r="19" customFormat="false" ht="23.85" hidden="false" customHeight="false" outlineLevel="0" collapsed="false">
      <c r="A19" s="64" t="str">
        <f aca="false">_xlfn.CONCAT($A$1, ".", CALC!A19)</f>
        <v>LSD.RID.0.AL.LFP.15</v>
      </c>
      <c r="B19" s="67" t="str">
        <f aca="false">CALC!C19</f>
        <v>Real Estate and
Rental and Leasing</v>
      </c>
      <c r="C19" s="63" t="n">
        <v>42000</v>
      </c>
      <c r="D19" s="63" t="n">
        <v>1176</v>
      </c>
      <c r="E19" s="63" t="n">
        <v>336</v>
      </c>
      <c r="F19" s="63" t="n">
        <v>40588</v>
      </c>
      <c r="BA19" s="3"/>
      <c r="BB19" s="3"/>
      <c r="BC19" s="3"/>
      <c r="BD19" s="3"/>
      <c r="BE19" s="3"/>
      <c r="BF19" s="3"/>
      <c r="BG19" s="3"/>
      <c r="BH19" s="3"/>
      <c r="BI19" s="3"/>
      <c r="BJ19" s="3"/>
      <c r="BK19" s="3"/>
      <c r="BL19" s="3"/>
      <c r="BM19" s="3"/>
      <c r="BN19" s="3"/>
      <c r="BO19" s="3"/>
      <c r="BP19" s="3"/>
      <c r="BQ19" s="3"/>
    </row>
    <row r="20" customFormat="false" ht="23.85" hidden="false" customHeight="false" outlineLevel="0" collapsed="false">
      <c r="A20" s="64" t="str">
        <f aca="false">_xlfn.CONCAT($A$1, ".", CALC!A20)</f>
        <v>LSD.RID.0.AL.LFP.16</v>
      </c>
      <c r="B20" s="67" t="str">
        <f aca="false">CALC!C20</f>
        <v>Professional, Scientific,
and Technical Services</v>
      </c>
      <c r="C20" s="63" t="n">
        <v>135000</v>
      </c>
      <c r="D20" s="63" t="n">
        <v>2835</v>
      </c>
      <c r="E20" s="63" t="n">
        <v>1080</v>
      </c>
      <c r="F20" s="63" t="n">
        <v>130085</v>
      </c>
      <c r="BA20" s="3"/>
      <c r="BB20" s="3"/>
      <c r="BC20" s="3"/>
      <c r="BD20" s="3"/>
      <c r="BE20" s="3"/>
      <c r="BF20" s="3"/>
      <c r="BG20" s="3"/>
      <c r="BH20" s="3"/>
      <c r="BI20" s="3"/>
      <c r="BJ20" s="3"/>
      <c r="BK20" s="3"/>
      <c r="BL20" s="3"/>
      <c r="BM20" s="3"/>
      <c r="BN20" s="3"/>
      <c r="BO20" s="3"/>
      <c r="BP20" s="3"/>
      <c r="BQ20" s="3"/>
    </row>
    <row r="21" customFormat="false" ht="35.05" hidden="false" customHeight="false" outlineLevel="0" collapsed="false">
      <c r="A21" s="64" t="str">
        <f aca="false">_xlfn.CONCAT($A$1, ".", CALC!A21)</f>
        <v>LSD.RID.0.AL.LFP.17</v>
      </c>
      <c r="B21" s="67" t="str">
        <f aca="false">CALC!C21</f>
        <v>Administrative and Support
and Waste Management
and Remediation Services</v>
      </c>
      <c r="C21" s="63" t="n">
        <v>145000</v>
      </c>
      <c r="D21" s="63" t="n">
        <v>2900</v>
      </c>
      <c r="E21" s="63" t="n">
        <v>16675</v>
      </c>
      <c r="F21" s="63" t="n">
        <v>118425</v>
      </c>
      <c r="BA21" s="3"/>
      <c r="BB21" s="3"/>
      <c r="BC21" s="3"/>
      <c r="BD21" s="3"/>
      <c r="BE21" s="3"/>
      <c r="BF21" s="3"/>
      <c r="BG21" s="3"/>
      <c r="BH21" s="3"/>
      <c r="BI21" s="3"/>
      <c r="BJ21" s="3"/>
      <c r="BK21" s="3"/>
      <c r="BL21" s="3"/>
      <c r="BM21" s="3"/>
      <c r="BN21" s="3"/>
      <c r="BO21" s="3"/>
      <c r="BP21" s="3"/>
      <c r="BQ21" s="3"/>
    </row>
    <row r="22" customFormat="false" ht="12.8" hidden="false" customHeight="false" outlineLevel="0" collapsed="false">
      <c r="A22" s="64" t="str">
        <f aca="false">_xlfn.CONCAT($A$1, ".", CALC!A22)</f>
        <v>LSD.RID.0.AL.LFP.18</v>
      </c>
      <c r="B22" s="42" t="str">
        <f aca="false">CALC!C22</f>
        <v>Educational Services</v>
      </c>
      <c r="C22" s="63" t="n">
        <v>95000</v>
      </c>
      <c r="D22" s="63" t="n">
        <v>6460</v>
      </c>
      <c r="E22" s="63" t="n">
        <v>760</v>
      </c>
      <c r="F22" s="63" t="n">
        <v>87780</v>
      </c>
      <c r="BA22" s="3"/>
      <c r="BB22" s="3"/>
      <c r="BC22" s="3"/>
      <c r="BD22" s="3"/>
      <c r="BE22" s="3"/>
      <c r="BF22" s="3"/>
      <c r="BG22" s="3"/>
      <c r="BH22" s="3"/>
      <c r="BI22" s="3"/>
      <c r="BJ22" s="3"/>
      <c r="BK22" s="3"/>
      <c r="BL22" s="3"/>
      <c r="BM22" s="3"/>
      <c r="BN22" s="3"/>
      <c r="BO22" s="3"/>
      <c r="BP22" s="3"/>
      <c r="BQ22" s="3"/>
    </row>
    <row r="23" customFormat="false" ht="23.85" hidden="false" customHeight="false" outlineLevel="0" collapsed="false">
      <c r="A23" s="64" t="str">
        <f aca="false">_xlfn.CONCAT($A$1, ".", CALC!A23)</f>
        <v>LSD.RID.0.AL.LFP.19</v>
      </c>
      <c r="B23" s="67" t="str">
        <f aca="false">CALC!C23</f>
        <v>Health Care and
Social Assistance</v>
      </c>
      <c r="C23" s="63" t="n">
        <v>240000</v>
      </c>
      <c r="D23" s="63" t="n">
        <v>16320</v>
      </c>
      <c r="E23" s="63" t="n">
        <v>1560</v>
      </c>
      <c r="F23" s="63" t="n">
        <v>222120</v>
      </c>
      <c r="BA23" s="3"/>
      <c r="BB23" s="3"/>
      <c r="BC23" s="3"/>
      <c r="BD23" s="3"/>
      <c r="BE23" s="3"/>
      <c r="BF23" s="3"/>
      <c r="BG23" s="3"/>
      <c r="BH23" s="3"/>
      <c r="BI23" s="3"/>
      <c r="BJ23" s="3"/>
      <c r="BK23" s="3"/>
      <c r="BL23" s="3"/>
      <c r="BM23" s="3"/>
      <c r="BN23" s="3"/>
      <c r="BO23" s="3"/>
      <c r="BP23" s="3"/>
      <c r="BQ23" s="3"/>
    </row>
    <row r="24" customFormat="false" ht="23.85" hidden="false" customHeight="false" outlineLevel="0" collapsed="false">
      <c r="A24" s="64" t="str">
        <f aca="false">_xlfn.CONCAT($A$1, ".", CALC!A24)</f>
        <v>LSD.RID.0.AL.LFP.20</v>
      </c>
      <c r="B24" s="67" t="str">
        <f aca="false">CALC!C24</f>
        <v>Arts, Entertainment,
and Recreation</v>
      </c>
      <c r="C24" s="63" t="n">
        <v>32000</v>
      </c>
      <c r="D24" s="63" t="n">
        <v>448</v>
      </c>
      <c r="E24" s="63" t="n">
        <v>3520</v>
      </c>
      <c r="F24" s="63" t="n">
        <v>28032</v>
      </c>
      <c r="BA24" s="3"/>
      <c r="BB24" s="3"/>
      <c r="BC24" s="3"/>
      <c r="BD24" s="3"/>
      <c r="BE24" s="3"/>
      <c r="BF24" s="3"/>
      <c r="BG24" s="3"/>
      <c r="BH24" s="3"/>
      <c r="BI24" s="3"/>
      <c r="BJ24" s="3"/>
      <c r="BK24" s="3"/>
      <c r="BL24" s="3"/>
      <c r="BM24" s="3"/>
      <c r="BN24" s="3"/>
      <c r="BO24" s="3"/>
      <c r="BP24" s="3"/>
      <c r="BQ24" s="3"/>
    </row>
    <row r="25" customFormat="false" ht="23.85" hidden="false" customHeight="false" outlineLevel="0" collapsed="false">
      <c r="A25" s="64" t="str">
        <f aca="false">_xlfn.CONCAT($A$1, ".", CALC!A25)</f>
        <v>LSD.RID.0.AL.LFP.21</v>
      </c>
      <c r="B25" s="67" t="str">
        <f aca="false">CALC!C25</f>
        <v>Accommodation
and Food Services</v>
      </c>
      <c r="C25" s="63" t="n">
        <v>185000</v>
      </c>
      <c r="D25" s="63" t="n">
        <v>2590</v>
      </c>
      <c r="E25" s="63" t="n">
        <v>12950</v>
      </c>
      <c r="F25" s="63" t="n">
        <v>169460</v>
      </c>
      <c r="BA25" s="3"/>
      <c r="BB25" s="3"/>
      <c r="BC25" s="3"/>
      <c r="BD25" s="3"/>
      <c r="BE25" s="3"/>
      <c r="BF25" s="3"/>
      <c r="BG25" s="3"/>
      <c r="BH25" s="3"/>
      <c r="BI25" s="3"/>
      <c r="BJ25" s="3"/>
      <c r="BK25" s="3"/>
      <c r="BL25" s="3"/>
      <c r="BM25" s="3"/>
      <c r="BN25" s="3"/>
      <c r="BO25" s="3"/>
      <c r="BP25" s="3"/>
      <c r="BQ25" s="3"/>
    </row>
    <row r="26" customFormat="false" ht="23.85" hidden="false" customHeight="false" outlineLevel="0" collapsed="false">
      <c r="A26" s="64" t="str">
        <f aca="false">_xlfn.CONCAT($A$1, ".", CALC!A26)</f>
        <v>LSD.RID.0.AL.LFP.22</v>
      </c>
      <c r="B26" s="67" t="str">
        <f aca="false">CALC!C26</f>
        <v>Other Services (except
Public Administration)</v>
      </c>
      <c r="C26" s="63" t="n">
        <v>105000</v>
      </c>
      <c r="D26" s="63" t="n">
        <v>840</v>
      </c>
      <c r="E26" s="63" t="n">
        <v>12180</v>
      </c>
      <c r="F26" s="63" t="n">
        <v>95980</v>
      </c>
      <c r="BA26" s="3"/>
      <c r="BB26" s="3"/>
      <c r="BC26" s="3"/>
      <c r="BD26" s="3"/>
      <c r="BE26" s="3"/>
      <c r="BF26" s="3"/>
      <c r="BG26" s="3"/>
      <c r="BH26" s="3"/>
      <c r="BI26" s="3"/>
      <c r="BJ26" s="3"/>
      <c r="BK26" s="3"/>
      <c r="BL26" s="3"/>
      <c r="BM26" s="3"/>
      <c r="BN26" s="3"/>
      <c r="BO26" s="3"/>
      <c r="BP26" s="3"/>
      <c r="BQ26" s="3"/>
    </row>
    <row r="27" customFormat="false" ht="12.8" hidden="false" customHeight="false" outlineLevel="0" collapsed="false">
      <c r="A27" s="64" t="str">
        <f aca="false">_xlfn.CONCAT($A$1, ".", CALC!A27)</f>
        <v>LSD.RID.0.AL.LFP.23</v>
      </c>
      <c r="B27" s="42" t="str">
        <f aca="false">CALC!C27</f>
        <v>Public Administration</v>
      </c>
      <c r="C27" s="63" t="n">
        <v>125000</v>
      </c>
      <c r="D27" s="63" t="n">
        <v>1000</v>
      </c>
      <c r="E27" s="63" t="n">
        <v>875</v>
      </c>
      <c r="F27" s="63" t="n">
        <v>123125</v>
      </c>
      <c r="BD27" s="3"/>
      <c r="BE27" s="3"/>
      <c r="BF27" s="3"/>
      <c r="BG27" s="3"/>
      <c r="BH27" s="3"/>
      <c r="BI27" s="3"/>
      <c r="BJ27" s="3"/>
      <c r="BK27" s="3"/>
      <c r="BL27" s="3"/>
      <c r="BM27" s="3"/>
      <c r="BN27" s="3"/>
      <c r="BO27" s="3"/>
      <c r="BP27" s="3"/>
      <c r="BQ27" s="3"/>
    </row>
    <row r="28" customFormat="false" ht="12.8" hidden="false" customHeight="false" outlineLevel="0" collapsed="false">
      <c r="A28" s="64"/>
      <c r="B28" s="42"/>
      <c r="C28" s="63"/>
      <c r="BJ28" s="3"/>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130" customFormat="false" ht="12.8" hidden="false" customHeight="false" outlineLevel="0" collapsed="false">
      <c r="A130" s="64" t="str">
        <f aca="false">_xlfn.CONCAT($A$1, ".", "FORM")</f>
        <v>LSD.RID.0.AL.LFP.FORM</v>
      </c>
      <c r="B130" s="65" t="str">
        <f aca="false">_xlfn.CONCAT($B$1, " ", "Formulae")</f>
        <v>Alabama Labor Force Population Formulae</v>
      </c>
      <c r="C130" s="65"/>
    </row>
    <row r="131" customFormat="false" ht="12.8" hidden="false" customHeight="false" outlineLevel="0" collapsed="false">
      <c r="A131" s="49" t="s">
        <v>176</v>
      </c>
      <c r="B131" s="49" t="s">
        <v>177</v>
      </c>
      <c r="C131" s="49" t="s">
        <v>178</v>
      </c>
      <c r="D131" s="49" t="s">
        <v>179</v>
      </c>
      <c r="E131" s="49" t="s">
        <v>180</v>
      </c>
      <c r="F131" s="49" t="s">
        <v>181</v>
      </c>
      <c r="G131" s="49" t="s">
        <v>181</v>
      </c>
    </row>
    <row r="132" customFormat="false" ht="12.8" hidden="false" customHeight="false" outlineLevel="0" collapsed="false">
      <c r="A132" s="39" t="s">
        <v>4706</v>
      </c>
      <c r="B132" s="39" t="s">
        <v>4707</v>
      </c>
      <c r="C132" s="39" t="s">
        <v>4708</v>
      </c>
      <c r="D132" s="39" t="s">
        <v>4709</v>
      </c>
      <c r="E132" s="39" t="s">
        <v>4710</v>
      </c>
      <c r="F132" s="39" t="s">
        <v>4711</v>
      </c>
      <c r="G132" s="39" t="s">
        <v>4712</v>
      </c>
    </row>
    <row r="133" customFormat="false" ht="12.8" hidden="false" customHeight="false" outlineLevel="0" collapsed="false">
      <c r="A133" s="39" t="s">
        <v>4713</v>
      </c>
      <c r="B133" s="39" t="s">
        <v>4714</v>
      </c>
      <c r="C133" s="39" t="s">
        <v>4715</v>
      </c>
      <c r="D133" s="39" t="s">
        <v>4716</v>
      </c>
      <c r="E133" s="39" t="s">
        <v>4717</v>
      </c>
      <c r="F133" s="39" t="s">
        <v>4718</v>
      </c>
      <c r="G133" s="39" t="s">
        <v>4719</v>
      </c>
    </row>
    <row r="134" customFormat="false" ht="12.8" hidden="false" customHeight="false" outlineLevel="0" collapsed="false">
      <c r="A134" s="39" t="s">
        <v>4720</v>
      </c>
      <c r="B134" s="39" t="s">
        <v>4721</v>
      </c>
      <c r="C134" s="39" t="s">
        <v>4722</v>
      </c>
      <c r="D134" s="39" t="s">
        <v>4723</v>
      </c>
      <c r="E134" s="39" t="s">
        <v>4724</v>
      </c>
      <c r="F134" s="39" t="s">
        <v>4725</v>
      </c>
      <c r="G134" s="39" t="s">
        <v>4726</v>
      </c>
    </row>
    <row r="135" customFormat="false" ht="12.8" hidden="false" customHeight="false" outlineLevel="0" collapsed="false">
      <c r="A135" s="39" t="s">
        <v>4727</v>
      </c>
      <c r="B135" s="39" t="s">
        <v>4728</v>
      </c>
      <c r="C135" s="39" t="s">
        <v>4729</v>
      </c>
      <c r="D135" s="39" t="s">
        <v>4730</v>
      </c>
      <c r="E135" s="39" t="s">
        <v>4731</v>
      </c>
      <c r="F135" s="39" t="s">
        <v>4725</v>
      </c>
      <c r="G135" s="39" t="s">
        <v>4732</v>
      </c>
    </row>
    <row r="136" customFormat="false" ht="12.8" hidden="false" customHeight="false" outlineLevel="0" collapsed="false">
      <c r="A136" s="39" t="s">
        <v>4733</v>
      </c>
      <c r="B136" s="39" t="s">
        <v>4734</v>
      </c>
      <c r="C136" s="39" t="s">
        <v>4735</v>
      </c>
      <c r="D136" s="39" t="s">
        <v>4736</v>
      </c>
      <c r="E136" s="39" t="s">
        <v>4737</v>
      </c>
      <c r="F136" s="39" t="s">
        <v>4738</v>
      </c>
      <c r="G136" s="39" t="s">
        <v>4739</v>
      </c>
    </row>
    <row r="137" customFormat="false" ht="12.8" hidden="false" customHeight="false" outlineLevel="0" collapsed="false">
      <c r="A137" s="39" t="s">
        <v>4740</v>
      </c>
      <c r="B137" s="39" t="s">
        <v>4741</v>
      </c>
      <c r="C137" s="39" t="s">
        <v>4742</v>
      </c>
      <c r="D137" s="39" t="s">
        <v>4743</v>
      </c>
      <c r="E137" s="39" t="s">
        <v>4744</v>
      </c>
      <c r="F137" s="39" t="s">
        <v>4745</v>
      </c>
      <c r="G137" s="39"/>
    </row>
    <row r="138" customFormat="false" ht="12.8" hidden="false" customHeight="false" outlineLevel="0" collapsed="false">
      <c r="A138" s="51"/>
      <c r="B138" s="68"/>
      <c r="C138" s="68"/>
      <c r="D138" s="39"/>
      <c r="E138" s="39"/>
      <c r="F138" s="39"/>
      <c r="G138" s="39"/>
    </row>
    <row r="139" customFormat="false" ht="12.8" hidden="false" customHeight="false" outlineLevel="0" collapsed="false">
      <c r="A139" s="64" t="str">
        <f aca="false">_xlfn.CONCAT($A$1, ".", "PARAM")</f>
        <v>LSD.RID.0.AL.LFP.PARAM</v>
      </c>
      <c r="B139" s="65" t="str">
        <f aca="false">_xlfn.CONCAT($B$1, " ", "Parameters")</f>
        <v>Alabama Labor Force Population Parameters</v>
      </c>
      <c r="C139" s="65"/>
    </row>
    <row r="140" customFormat="false" ht="12.8" hidden="false" customHeight="false" outlineLevel="0" collapsed="false">
      <c r="A140" s="49" t="s">
        <v>176</v>
      </c>
      <c r="B140" s="49" t="s">
        <v>178</v>
      </c>
      <c r="C140" s="49" t="s">
        <v>427</v>
      </c>
      <c r="D140" s="49" t="s">
        <v>180</v>
      </c>
      <c r="E140" s="49" t="s">
        <v>428</v>
      </c>
      <c r="F140" s="49" t="s">
        <v>429</v>
      </c>
      <c r="G140" s="49" t="s">
        <v>430</v>
      </c>
      <c r="H140" s="49" t="s">
        <v>430</v>
      </c>
    </row>
    <row r="141" customFormat="false" ht="12.8" hidden="false" customHeight="false" outlineLevel="0" collapsed="false">
      <c r="A141" s="39" t="s">
        <v>4746</v>
      </c>
      <c r="B141" s="39" t="s">
        <v>4747</v>
      </c>
      <c r="C141" s="39" t="n">
        <v>2385000</v>
      </c>
      <c r="D141" s="39" t="s">
        <v>4748</v>
      </c>
      <c r="E141" s="39" t="s">
        <v>434</v>
      </c>
      <c r="F141" s="39" t="s">
        <v>511</v>
      </c>
      <c r="G141" s="52" t="s">
        <v>436</v>
      </c>
      <c r="H141" s="49"/>
    </row>
    <row r="142" customFormat="false" ht="12.8" hidden="false" customHeight="false" outlineLevel="0" collapsed="false">
      <c r="A142" s="39" t="s">
        <v>4749</v>
      </c>
      <c r="B142" s="39" t="s">
        <v>4750</v>
      </c>
      <c r="C142" s="39" t="n">
        <v>0.9</v>
      </c>
      <c r="D142" s="39" t="s">
        <v>4751</v>
      </c>
      <c r="E142" s="39" t="s">
        <v>502</v>
      </c>
      <c r="F142" s="39" t="s">
        <v>4752</v>
      </c>
      <c r="G142" s="52" t="s">
        <v>436</v>
      </c>
      <c r="H142" s="49"/>
    </row>
    <row r="143" customFormat="false" ht="12.8" hidden="false" customHeight="false" outlineLevel="0" collapsed="false">
      <c r="A143" s="39" t="s">
        <v>4753</v>
      </c>
      <c r="B143" s="39" t="s">
        <v>4754</v>
      </c>
      <c r="C143" s="39" t="n">
        <v>0.94</v>
      </c>
      <c r="D143" s="39" t="s">
        <v>4755</v>
      </c>
      <c r="E143" s="39" t="s">
        <v>434</v>
      </c>
      <c r="F143" s="39" t="s">
        <v>4756</v>
      </c>
      <c r="G143" s="52" t="s">
        <v>436</v>
      </c>
      <c r="H143" s="49"/>
    </row>
    <row r="144" customFormat="false" ht="12.8" hidden="false" customHeight="false" outlineLevel="0" collapsed="false">
      <c r="A144" s="39" t="s">
        <v>4757</v>
      </c>
      <c r="B144" s="39" t="s">
        <v>4758</v>
      </c>
      <c r="C144" s="39" t="n">
        <v>0.9</v>
      </c>
      <c r="D144" s="39" t="s">
        <v>4759</v>
      </c>
      <c r="E144" s="39" t="s">
        <v>434</v>
      </c>
      <c r="F144" s="39" t="s">
        <v>4760</v>
      </c>
      <c r="G144" s="52" t="s">
        <v>436</v>
      </c>
      <c r="H144" s="49"/>
    </row>
    <row r="145" customFormat="false" ht="12.8" hidden="false" customHeight="false" outlineLevel="0" collapsed="false">
      <c r="A145" s="39" t="s">
        <v>4761</v>
      </c>
      <c r="B145" s="39" t="s">
        <v>4762</v>
      </c>
      <c r="C145" s="39" t="n">
        <v>0.92</v>
      </c>
      <c r="D145" s="39" t="s">
        <v>4763</v>
      </c>
      <c r="E145" s="39" t="s">
        <v>434</v>
      </c>
      <c r="F145" s="39" t="s">
        <v>4756</v>
      </c>
      <c r="G145" s="52" t="s">
        <v>436</v>
      </c>
      <c r="H145" s="49"/>
    </row>
    <row r="146" customFormat="false" ht="12.8" hidden="false" customHeight="false" outlineLevel="0" collapsed="false">
      <c r="A146" s="39" t="s">
        <v>4764</v>
      </c>
      <c r="B146" s="39" t="s">
        <v>4765</v>
      </c>
      <c r="C146" s="39" t="n">
        <v>0.92</v>
      </c>
      <c r="D146" s="39" t="s">
        <v>4766</v>
      </c>
      <c r="E146" s="39" t="s">
        <v>434</v>
      </c>
      <c r="F146" s="39" t="s">
        <v>4756</v>
      </c>
      <c r="G146" s="52" t="s">
        <v>436</v>
      </c>
      <c r="H146" s="49"/>
    </row>
    <row r="147" customFormat="false" ht="12.8" hidden="false" customHeight="false" outlineLevel="0" collapsed="false">
      <c r="A147" s="39" t="s">
        <v>4767</v>
      </c>
      <c r="B147" s="39" t="s">
        <v>4768</v>
      </c>
      <c r="C147" s="39" t="n">
        <v>0.93</v>
      </c>
      <c r="D147" s="39" t="s">
        <v>4769</v>
      </c>
      <c r="E147" s="39" t="s">
        <v>502</v>
      </c>
      <c r="F147" s="39" t="s">
        <v>597</v>
      </c>
      <c r="G147" s="52" t="s">
        <v>436</v>
      </c>
      <c r="H147" s="49"/>
    </row>
    <row r="148" customFormat="false" ht="12.8" hidden="false" customHeight="false" outlineLevel="0" collapsed="false">
      <c r="A148" s="39" t="s">
        <v>4770</v>
      </c>
      <c r="B148" s="39" t="s">
        <v>4771</v>
      </c>
      <c r="C148" s="39" t="n">
        <v>0.97</v>
      </c>
      <c r="D148" s="39" t="s">
        <v>4772</v>
      </c>
      <c r="E148" s="39" t="s">
        <v>434</v>
      </c>
      <c r="F148" s="39" t="s">
        <v>4756</v>
      </c>
      <c r="G148" s="52" t="s">
        <v>436</v>
      </c>
      <c r="H148" s="49"/>
    </row>
    <row r="149" customFormat="false" ht="12.8" hidden="false" customHeight="false" outlineLevel="0" collapsed="false">
      <c r="A149" s="39" t="s">
        <v>4773</v>
      </c>
      <c r="B149" s="39" t="s">
        <v>4774</v>
      </c>
      <c r="C149" s="39" t="n">
        <v>0.98</v>
      </c>
      <c r="D149" s="39" t="s">
        <v>4775</v>
      </c>
      <c r="E149" s="39" t="s">
        <v>434</v>
      </c>
      <c r="F149" s="39" t="s">
        <v>4756</v>
      </c>
      <c r="G149" s="52" t="s">
        <v>436</v>
      </c>
      <c r="H149" s="49"/>
    </row>
    <row r="150" customFormat="false" ht="12.8" hidden="false" customHeight="false" outlineLevel="0" collapsed="false">
      <c r="A150" s="39" t="s">
        <v>4776</v>
      </c>
      <c r="B150" s="39" t="s">
        <v>4777</v>
      </c>
      <c r="C150" s="39" t="n">
        <v>0.94</v>
      </c>
      <c r="D150" s="39" t="s">
        <v>4778</v>
      </c>
      <c r="E150" s="39" t="s">
        <v>434</v>
      </c>
      <c r="F150" s="39" t="s">
        <v>4756</v>
      </c>
      <c r="G150" s="52" t="s">
        <v>436</v>
      </c>
      <c r="H150" s="49"/>
    </row>
    <row r="151" customFormat="false" ht="12.8" hidden="false" customHeight="false" outlineLevel="0" collapsed="false">
      <c r="A151" s="39" t="s">
        <v>4779</v>
      </c>
      <c r="B151" s="39" t="s">
        <v>4780</v>
      </c>
      <c r="C151" s="39" t="n">
        <v>0.89</v>
      </c>
      <c r="D151" s="39" t="s">
        <v>4781</v>
      </c>
      <c r="E151" s="39" t="s">
        <v>434</v>
      </c>
      <c r="F151" s="39" t="s">
        <v>4756</v>
      </c>
      <c r="G151" s="52" t="s">
        <v>436</v>
      </c>
      <c r="H151" s="49"/>
    </row>
    <row r="152" customFormat="false" ht="12.8" hidden="false" customHeight="false" outlineLevel="0" collapsed="false">
      <c r="A152" s="39" t="s">
        <v>4782</v>
      </c>
      <c r="B152" s="39" t="s">
        <v>4783</v>
      </c>
      <c r="C152" s="39" t="n">
        <v>0.91</v>
      </c>
      <c r="D152" s="39" t="s">
        <v>4784</v>
      </c>
      <c r="E152" s="39" t="s">
        <v>502</v>
      </c>
      <c r="F152" s="39" t="s">
        <v>597</v>
      </c>
      <c r="G152" s="52" t="s">
        <v>436</v>
      </c>
      <c r="H152" s="49"/>
    </row>
    <row r="153" customFormat="false" ht="12.8" hidden="false" customHeight="false" outlineLevel="0" collapsed="false">
      <c r="A153" s="39" t="s">
        <v>4785</v>
      </c>
      <c r="B153" s="39" t="s">
        <v>4786</v>
      </c>
      <c r="C153" s="39" t="n">
        <v>0.97</v>
      </c>
      <c r="D153" s="39" t="s">
        <v>4787</v>
      </c>
      <c r="E153" s="39" t="s">
        <v>434</v>
      </c>
      <c r="F153" s="39" t="s">
        <v>4756</v>
      </c>
      <c r="G153" s="52" t="s">
        <v>436</v>
      </c>
      <c r="H153" s="49"/>
    </row>
    <row r="154" customFormat="false" ht="12.8" hidden="false" customHeight="false" outlineLevel="0" collapsed="false">
      <c r="A154" s="39" t="s">
        <v>4788</v>
      </c>
      <c r="B154" s="39" t="s">
        <v>4789</v>
      </c>
      <c r="C154" s="39" t="n">
        <v>0.91</v>
      </c>
      <c r="D154" s="39" t="s">
        <v>4790</v>
      </c>
      <c r="E154" s="39" t="s">
        <v>440</v>
      </c>
      <c r="F154" s="39" t="s">
        <v>4791</v>
      </c>
      <c r="G154" s="52" t="s">
        <v>436</v>
      </c>
      <c r="H154" s="49"/>
    </row>
    <row r="155" customFormat="false" ht="12.8" hidden="false" customHeight="false" outlineLevel="0" collapsed="false">
      <c r="A155" s="39" t="s">
        <v>4792</v>
      </c>
      <c r="B155" s="39" t="s">
        <v>4793</v>
      </c>
      <c r="C155" s="39" t="n">
        <v>1.06</v>
      </c>
      <c r="D155" s="39" t="s">
        <v>4794</v>
      </c>
      <c r="E155" s="39" t="s">
        <v>440</v>
      </c>
      <c r="F155" s="39" t="s">
        <v>4795</v>
      </c>
      <c r="G155" s="52" t="s">
        <v>436</v>
      </c>
      <c r="H155" s="49"/>
    </row>
    <row r="156" customFormat="false" ht="12.8" hidden="false" customHeight="false" outlineLevel="0" collapsed="false">
      <c r="A156" s="39" t="s">
        <v>4796</v>
      </c>
      <c r="B156" s="39" t="s">
        <v>4797</v>
      </c>
      <c r="C156" s="39" t="n">
        <v>0.92</v>
      </c>
      <c r="D156" s="39" t="s">
        <v>4798</v>
      </c>
      <c r="E156" s="39" t="s">
        <v>434</v>
      </c>
      <c r="F156" s="39" t="s">
        <v>487</v>
      </c>
      <c r="G156" s="52" t="s">
        <v>436</v>
      </c>
      <c r="H156" s="49"/>
    </row>
    <row r="157" customFormat="false" ht="12.8" hidden="false" customHeight="false" outlineLevel="0" collapsed="false">
      <c r="A157" s="39" t="s">
        <v>4799</v>
      </c>
      <c r="B157" s="39" t="s">
        <v>4800</v>
      </c>
      <c r="C157" s="39" t="n">
        <v>0.75</v>
      </c>
      <c r="D157" s="39" t="s">
        <v>4801</v>
      </c>
      <c r="E157" s="39" t="s">
        <v>440</v>
      </c>
      <c r="F157" s="39" t="s">
        <v>487</v>
      </c>
      <c r="G157" s="52" t="s">
        <v>436</v>
      </c>
      <c r="H157" s="49"/>
    </row>
    <row r="158" customFormat="false" ht="12.8" hidden="false" customHeight="false" outlineLevel="0" collapsed="false">
      <c r="A158" s="39" t="s">
        <v>4802</v>
      </c>
      <c r="B158" s="39" t="s">
        <v>4803</v>
      </c>
      <c r="C158" s="39" t="n">
        <v>0.65</v>
      </c>
      <c r="D158" s="39" t="s">
        <v>4804</v>
      </c>
      <c r="E158" s="39" t="s">
        <v>440</v>
      </c>
      <c r="F158" s="39" t="s">
        <v>487</v>
      </c>
      <c r="G158" s="52" t="s">
        <v>436</v>
      </c>
      <c r="H158" s="49"/>
    </row>
    <row r="159" customFormat="false" ht="12.8" hidden="false" customHeight="false" outlineLevel="0" collapsed="false">
      <c r="A159" s="39" t="s">
        <v>4805</v>
      </c>
      <c r="B159" s="39" t="s">
        <v>4806</v>
      </c>
      <c r="C159" s="39" t="n">
        <v>0.005</v>
      </c>
      <c r="D159" s="39" t="s">
        <v>4807</v>
      </c>
      <c r="E159" s="39" t="s">
        <v>440</v>
      </c>
      <c r="F159" s="39" t="s">
        <v>4808</v>
      </c>
      <c r="G159" s="52" t="s">
        <v>436</v>
      </c>
      <c r="H159" s="49"/>
    </row>
    <row r="160" customFormat="false" ht="12.8" hidden="false" customHeight="false" outlineLevel="0" collapsed="false">
      <c r="A160" s="39" t="s">
        <v>4809</v>
      </c>
      <c r="B160" s="39" t="s">
        <v>4810</v>
      </c>
      <c r="C160" s="39" t="n">
        <v>0.145</v>
      </c>
      <c r="D160" s="39" t="s">
        <v>4811</v>
      </c>
      <c r="E160" s="39" t="s">
        <v>440</v>
      </c>
      <c r="F160" s="39" t="s">
        <v>4812</v>
      </c>
      <c r="G160" s="52" t="s">
        <v>436</v>
      </c>
      <c r="H160" s="49"/>
    </row>
    <row r="161" customFormat="false" ht="12.8" hidden="false" customHeight="false" outlineLevel="0" collapsed="false">
      <c r="A161" s="39" t="s">
        <v>4813</v>
      </c>
      <c r="B161" s="39" t="s">
        <v>4814</v>
      </c>
      <c r="C161" s="39" t="n">
        <v>0.072</v>
      </c>
      <c r="D161" s="39" t="s">
        <v>4815</v>
      </c>
      <c r="E161" s="39" t="s">
        <v>440</v>
      </c>
      <c r="F161" s="39" t="s">
        <v>4808</v>
      </c>
      <c r="G161" s="52" t="s">
        <v>436</v>
      </c>
      <c r="H161" s="49"/>
    </row>
    <row r="162" customFormat="false" ht="12.8" hidden="false" customHeight="false" outlineLevel="0" collapsed="false">
      <c r="A162" s="39" t="s">
        <v>4816</v>
      </c>
      <c r="B162" s="39" t="s">
        <v>4817</v>
      </c>
      <c r="C162" s="39" t="n">
        <v>0.037</v>
      </c>
      <c r="D162" s="39" t="s">
        <v>4818</v>
      </c>
      <c r="E162" s="39" t="s">
        <v>440</v>
      </c>
      <c r="F162" s="39" t="s">
        <v>4812</v>
      </c>
      <c r="G162" s="52" t="s">
        <v>436</v>
      </c>
      <c r="H162" s="49"/>
    </row>
    <row r="163" customFormat="false" ht="12.8" hidden="false" customHeight="false" outlineLevel="0" collapsed="false">
      <c r="A163" s="39" t="s">
        <v>4819</v>
      </c>
      <c r="B163" s="39" t="s">
        <v>4820</v>
      </c>
      <c r="C163" s="39" t="n">
        <v>0.014</v>
      </c>
      <c r="D163" s="39" t="s">
        <v>4821</v>
      </c>
      <c r="E163" s="39" t="s">
        <v>440</v>
      </c>
      <c r="F163" s="39" t="s">
        <v>4808</v>
      </c>
      <c r="G163" s="52" t="s">
        <v>436</v>
      </c>
      <c r="H163" s="49"/>
    </row>
    <row r="164" customFormat="false" ht="12.8" hidden="false" customHeight="false" outlineLevel="0" collapsed="false">
      <c r="A164" s="39" t="s">
        <v>4822</v>
      </c>
      <c r="B164" s="39" t="s">
        <v>4823</v>
      </c>
      <c r="C164" s="39" t="n">
        <v>0.04</v>
      </c>
      <c r="D164" s="39" t="s">
        <v>4824</v>
      </c>
      <c r="E164" s="39" t="s">
        <v>440</v>
      </c>
      <c r="F164" s="39" t="s">
        <v>4812</v>
      </c>
      <c r="G164" s="52" t="s">
        <v>436</v>
      </c>
      <c r="H164" s="49"/>
    </row>
    <row r="165" customFormat="false" ht="12.8" hidden="false" customHeight="false" outlineLevel="0" collapsed="false">
      <c r="A165" s="39" t="s">
        <v>4825</v>
      </c>
      <c r="B165" s="39" t="s">
        <v>4826</v>
      </c>
      <c r="C165" s="39" t="n">
        <v>0.034</v>
      </c>
      <c r="D165" s="39" t="s">
        <v>4827</v>
      </c>
      <c r="E165" s="39" t="s">
        <v>440</v>
      </c>
      <c r="F165" s="39" t="s">
        <v>4808</v>
      </c>
      <c r="G165" s="52" t="s">
        <v>436</v>
      </c>
      <c r="H165" s="49"/>
    </row>
    <row r="166" customFormat="false" ht="12.8" hidden="false" customHeight="false" outlineLevel="0" collapsed="false">
      <c r="A166" s="39" t="s">
        <v>4828</v>
      </c>
      <c r="B166" s="39" t="s">
        <v>4829</v>
      </c>
      <c r="C166" s="39" t="n">
        <v>0.102</v>
      </c>
      <c r="D166" s="39" t="s">
        <v>4830</v>
      </c>
      <c r="E166" s="39" t="s">
        <v>440</v>
      </c>
      <c r="F166" s="39" t="s">
        <v>4812</v>
      </c>
      <c r="G166" s="52" t="s">
        <v>436</v>
      </c>
      <c r="H166" s="49"/>
    </row>
    <row r="167" customFormat="false" ht="12.8" hidden="false" customHeight="false" outlineLevel="0" collapsed="false">
      <c r="A167" s="39" t="s">
        <v>4831</v>
      </c>
      <c r="B167" s="39" t="s">
        <v>4832</v>
      </c>
      <c r="C167" s="39" t="n">
        <v>0.021</v>
      </c>
      <c r="D167" s="39" t="s">
        <v>4833</v>
      </c>
      <c r="E167" s="39" t="s">
        <v>440</v>
      </c>
      <c r="F167" s="39" t="s">
        <v>4808</v>
      </c>
      <c r="G167" s="52" t="s">
        <v>436</v>
      </c>
      <c r="H167" s="49"/>
    </row>
    <row r="168" customFormat="false" ht="12.8" hidden="false" customHeight="false" outlineLevel="0" collapsed="false">
      <c r="A168" s="39" t="s">
        <v>4834</v>
      </c>
      <c r="B168" s="39" t="s">
        <v>4835</v>
      </c>
      <c r="C168" s="39" t="n">
        <v>0.039</v>
      </c>
      <c r="D168" s="39" t="s">
        <v>4836</v>
      </c>
      <c r="E168" s="39" t="s">
        <v>440</v>
      </c>
      <c r="F168" s="39" t="s">
        <v>4812</v>
      </c>
      <c r="G168" s="52" t="s">
        <v>436</v>
      </c>
      <c r="H168" s="49"/>
    </row>
    <row r="169" customFormat="false" ht="12.8" hidden="false" customHeight="false" outlineLevel="0" collapsed="false">
      <c r="A169" s="39" t="s">
        <v>4837</v>
      </c>
      <c r="B169" s="39" t="s">
        <v>4838</v>
      </c>
      <c r="C169" s="39" t="n">
        <v>0.021</v>
      </c>
      <c r="D169" s="39" t="s">
        <v>4839</v>
      </c>
      <c r="E169" s="39" t="s">
        <v>440</v>
      </c>
      <c r="F169" s="39" t="s">
        <v>4808</v>
      </c>
      <c r="G169" s="52" t="s">
        <v>436</v>
      </c>
      <c r="H169" s="49"/>
    </row>
    <row r="170" customFormat="false" ht="12.8" hidden="false" customHeight="false" outlineLevel="0" collapsed="false">
      <c r="A170" s="39" t="s">
        <v>4840</v>
      </c>
      <c r="B170" s="39" t="s">
        <v>4841</v>
      </c>
      <c r="C170" s="39" t="n">
        <v>0.014</v>
      </c>
      <c r="D170" s="39" t="s">
        <v>4842</v>
      </c>
      <c r="E170" s="39" t="s">
        <v>440</v>
      </c>
      <c r="F170" s="39" t="s">
        <v>4812</v>
      </c>
      <c r="G170" s="52" t="s">
        <v>436</v>
      </c>
      <c r="H170" s="49"/>
    </row>
    <row r="171" customFormat="false" ht="12.8" hidden="false" customHeight="false" outlineLevel="0" collapsed="false">
      <c r="A171" s="39" t="s">
        <v>4843</v>
      </c>
      <c r="B171" s="39" t="s">
        <v>4844</v>
      </c>
      <c r="C171" s="39" t="n">
        <v>0.028</v>
      </c>
      <c r="D171" s="39" t="s">
        <v>4845</v>
      </c>
      <c r="E171" s="39" t="s">
        <v>440</v>
      </c>
      <c r="F171" s="39" t="s">
        <v>4808</v>
      </c>
      <c r="G171" s="52" t="s">
        <v>436</v>
      </c>
      <c r="H171" s="49"/>
    </row>
    <row r="172" customFormat="false" ht="12.8" hidden="false" customHeight="false" outlineLevel="0" collapsed="false">
      <c r="A172" s="39" t="s">
        <v>4846</v>
      </c>
      <c r="B172" s="39" t="s">
        <v>4847</v>
      </c>
      <c r="C172" s="39" t="n">
        <v>0.014</v>
      </c>
      <c r="D172" s="39" t="s">
        <v>4848</v>
      </c>
      <c r="E172" s="39" t="s">
        <v>440</v>
      </c>
      <c r="F172" s="39" t="s">
        <v>4812</v>
      </c>
      <c r="G172" s="52" t="s">
        <v>436</v>
      </c>
      <c r="H172" s="49"/>
    </row>
    <row r="173" customFormat="false" ht="12.8" hidden="false" customHeight="false" outlineLevel="0" collapsed="false">
      <c r="A173" s="39" t="s">
        <v>4849</v>
      </c>
      <c r="B173" s="39" t="s">
        <v>4850</v>
      </c>
      <c r="C173" s="39" t="n">
        <v>0.021</v>
      </c>
      <c r="D173" s="39" t="s">
        <v>4851</v>
      </c>
      <c r="E173" s="39" t="s">
        <v>440</v>
      </c>
      <c r="F173" s="39" t="s">
        <v>4808</v>
      </c>
      <c r="G173" s="52" t="s">
        <v>436</v>
      </c>
      <c r="H173" s="49"/>
    </row>
    <row r="174" customFormat="false" ht="12.8" hidden="false" customHeight="false" outlineLevel="0" collapsed="false">
      <c r="A174" s="39" t="s">
        <v>4852</v>
      </c>
      <c r="B174" s="39" t="s">
        <v>4853</v>
      </c>
      <c r="C174" s="39" t="n">
        <v>0.026</v>
      </c>
      <c r="D174" s="39" t="s">
        <v>4854</v>
      </c>
      <c r="E174" s="39" t="s">
        <v>440</v>
      </c>
      <c r="F174" s="39" t="s">
        <v>4812</v>
      </c>
      <c r="G174" s="52" t="s">
        <v>436</v>
      </c>
      <c r="H174" s="49"/>
    </row>
    <row r="175" customFormat="false" ht="12.8" hidden="false" customHeight="false" outlineLevel="0" collapsed="false">
      <c r="A175" s="39" t="s">
        <v>4855</v>
      </c>
      <c r="B175" s="39" t="s">
        <v>4856</v>
      </c>
      <c r="C175" s="39" t="n">
        <v>0.068</v>
      </c>
      <c r="D175" s="39" t="s">
        <v>4857</v>
      </c>
      <c r="E175" s="39" t="s">
        <v>440</v>
      </c>
      <c r="F175" s="39" t="s">
        <v>4808</v>
      </c>
      <c r="G175" s="52" t="s">
        <v>436</v>
      </c>
      <c r="H175" s="49"/>
    </row>
    <row r="176" customFormat="false" ht="12.8" hidden="false" customHeight="false" outlineLevel="0" collapsed="false">
      <c r="A176" s="39" t="s">
        <v>4858</v>
      </c>
      <c r="B176" s="39" t="s">
        <v>4859</v>
      </c>
      <c r="C176" s="39" t="n">
        <v>0.026</v>
      </c>
      <c r="D176" s="39" t="s">
        <v>4860</v>
      </c>
      <c r="E176" s="39" t="s">
        <v>440</v>
      </c>
      <c r="F176" s="39" t="s">
        <v>4812</v>
      </c>
      <c r="G176" s="52" t="s">
        <v>436</v>
      </c>
      <c r="H176" s="49"/>
    </row>
    <row r="177" customFormat="false" ht="12.8" hidden="false" customHeight="false" outlineLevel="0" collapsed="false">
      <c r="A177" s="39" t="s">
        <v>4861</v>
      </c>
      <c r="B177" s="39" t="s">
        <v>4862</v>
      </c>
      <c r="C177" s="39" t="n">
        <v>0.014</v>
      </c>
      <c r="D177" s="39" t="s">
        <v>4863</v>
      </c>
      <c r="E177" s="39" t="s">
        <v>440</v>
      </c>
      <c r="F177" s="39" t="s">
        <v>4808</v>
      </c>
      <c r="G177" s="52" t="s">
        <v>436</v>
      </c>
      <c r="H177" s="49"/>
    </row>
    <row r="178" customFormat="false" ht="12.8" hidden="false" customHeight="false" outlineLevel="0" collapsed="false">
      <c r="A178" s="39" t="s">
        <v>4864</v>
      </c>
      <c r="B178" s="39" t="s">
        <v>4865</v>
      </c>
      <c r="C178" s="39" t="n">
        <v>0.077</v>
      </c>
      <c r="D178" s="39" t="s">
        <v>4866</v>
      </c>
      <c r="E178" s="39" t="s">
        <v>440</v>
      </c>
      <c r="F178" s="39" t="s">
        <v>4812</v>
      </c>
      <c r="G178" s="52" t="s">
        <v>436</v>
      </c>
      <c r="H178" s="49"/>
    </row>
    <row r="179" customFormat="false" ht="12.8" hidden="false" customHeight="false" outlineLevel="0" collapsed="false">
      <c r="A179" s="39" t="s">
        <v>4867</v>
      </c>
      <c r="B179" s="39" t="s">
        <v>4868</v>
      </c>
      <c r="C179" s="39" t="n">
        <v>0.008</v>
      </c>
      <c r="D179" s="39" t="s">
        <v>4869</v>
      </c>
      <c r="E179" s="39" t="s">
        <v>440</v>
      </c>
      <c r="F179" s="39" t="s">
        <v>4808</v>
      </c>
      <c r="G179" s="52" t="s">
        <v>436</v>
      </c>
      <c r="H179" s="49"/>
    </row>
    <row r="180" customFormat="false" ht="12.8" hidden="false" customHeight="false" outlineLevel="0" collapsed="false">
      <c r="A180" s="39" t="s">
        <v>4870</v>
      </c>
      <c r="B180" s="39" t="s">
        <v>4871</v>
      </c>
      <c r="C180" s="39" t="n">
        <v>0.039</v>
      </c>
      <c r="D180" s="39" t="s">
        <v>4872</v>
      </c>
      <c r="E180" s="39" t="s">
        <v>440</v>
      </c>
      <c r="F180" s="39" t="s">
        <v>4812</v>
      </c>
      <c r="G180" s="52" t="s">
        <v>436</v>
      </c>
      <c r="H180" s="49"/>
    </row>
    <row r="181" customFormat="false" ht="12.8" hidden="false" customHeight="false" outlineLevel="0" collapsed="false">
      <c r="A181" s="39" t="s">
        <v>4873</v>
      </c>
      <c r="B181" s="39" t="s">
        <v>4874</v>
      </c>
      <c r="C181" s="39" t="n">
        <v>0.008</v>
      </c>
      <c r="D181" s="39" t="s">
        <v>4875</v>
      </c>
      <c r="E181" s="39" t="s">
        <v>440</v>
      </c>
      <c r="F181" s="39" t="s">
        <v>4808</v>
      </c>
      <c r="G181" s="52" t="s">
        <v>436</v>
      </c>
      <c r="H181" s="49"/>
    </row>
    <row r="182" customFormat="false" ht="12.8" hidden="false" customHeight="false" outlineLevel="0" collapsed="false">
      <c r="A182" s="39" t="s">
        <v>4876</v>
      </c>
      <c r="B182" s="39" t="s">
        <v>4877</v>
      </c>
      <c r="C182" s="39" t="n">
        <v>0.007</v>
      </c>
      <c r="D182" s="39" t="s">
        <v>4878</v>
      </c>
      <c r="E182" s="39" t="s">
        <v>440</v>
      </c>
      <c r="F182" s="39" t="s">
        <v>4812</v>
      </c>
      <c r="G182" s="52" t="s">
        <v>436</v>
      </c>
      <c r="H182" s="49"/>
    </row>
    <row r="183" customFormat="false" ht="12.8" hidden="false" customHeight="false" outlineLevel="0" collapsed="false">
      <c r="A183" s="39" t="s">
        <v>4879</v>
      </c>
      <c r="B183" s="39" t="s">
        <v>4880</v>
      </c>
      <c r="C183" s="39" t="n">
        <v>0.028</v>
      </c>
      <c r="D183" s="39" t="s">
        <v>4881</v>
      </c>
      <c r="E183" s="39" t="s">
        <v>502</v>
      </c>
      <c r="F183" s="39" t="s">
        <v>4882</v>
      </c>
      <c r="G183" s="52" t="s">
        <v>436</v>
      </c>
      <c r="H183" s="49"/>
    </row>
    <row r="184" customFormat="false" ht="12.8" hidden="false" customHeight="false" outlineLevel="0" collapsed="false">
      <c r="A184" s="39" t="s">
        <v>4883</v>
      </c>
      <c r="B184" s="39" t="s">
        <v>4884</v>
      </c>
      <c r="C184" s="39" t="n">
        <v>0.021</v>
      </c>
      <c r="D184" s="39" t="s">
        <v>4885</v>
      </c>
      <c r="E184" s="39" t="s">
        <v>440</v>
      </c>
      <c r="F184" s="39" t="s">
        <v>4882</v>
      </c>
      <c r="G184" s="52" t="s">
        <v>436</v>
      </c>
      <c r="H184" s="49"/>
    </row>
    <row r="185" customFormat="false" ht="12.8" hidden="false" customHeight="false" outlineLevel="0" collapsed="false">
      <c r="A185" s="39" t="s">
        <v>4886</v>
      </c>
      <c r="B185" s="39" t="s">
        <v>4887</v>
      </c>
      <c r="C185" s="39" t="n">
        <v>0.016</v>
      </c>
      <c r="D185" s="39" t="s">
        <v>4888</v>
      </c>
      <c r="E185" s="39" t="s">
        <v>434</v>
      </c>
      <c r="F185" s="39" t="s">
        <v>4882</v>
      </c>
      <c r="G185" s="52" t="s">
        <v>436</v>
      </c>
      <c r="H185" s="49"/>
    </row>
    <row r="186" customFormat="false" ht="12.8" hidden="false" customHeight="false" outlineLevel="0" collapsed="false">
      <c r="A186" s="39" t="s">
        <v>4889</v>
      </c>
      <c r="B186" s="39" t="s">
        <v>4890</v>
      </c>
      <c r="C186" s="39" t="n">
        <v>0.032</v>
      </c>
      <c r="D186" s="39" t="s">
        <v>4891</v>
      </c>
      <c r="E186" s="39" t="s">
        <v>434</v>
      </c>
      <c r="F186" s="39" t="s">
        <v>4882</v>
      </c>
      <c r="G186" s="52" t="s">
        <v>436</v>
      </c>
      <c r="H186" s="49"/>
    </row>
    <row r="187" customFormat="false" ht="12.8" hidden="false" customHeight="false" outlineLevel="0" collapsed="false">
      <c r="A187" s="39" t="s">
        <v>4892</v>
      </c>
      <c r="B187" s="39" t="s">
        <v>4893</v>
      </c>
      <c r="C187" s="39" t="n">
        <v>0.02</v>
      </c>
      <c r="D187" s="39" t="s">
        <v>4894</v>
      </c>
      <c r="E187" s="39" t="s">
        <v>440</v>
      </c>
      <c r="F187" s="39" t="s">
        <v>4882</v>
      </c>
      <c r="G187" s="52" t="s">
        <v>436</v>
      </c>
      <c r="H187" s="49"/>
    </row>
    <row r="188" customFormat="false" ht="12.8" hidden="false" customHeight="false" outlineLevel="0" collapsed="false">
      <c r="A188" s="39" t="s">
        <v>4895</v>
      </c>
      <c r="B188" s="39" t="s">
        <v>4896</v>
      </c>
      <c r="C188" s="39" t="n">
        <v>0.022</v>
      </c>
      <c r="D188" s="39" t="s">
        <v>4897</v>
      </c>
      <c r="E188" s="39" t="s">
        <v>440</v>
      </c>
      <c r="F188" s="39" t="s">
        <v>4882</v>
      </c>
      <c r="G188" s="52" t="s">
        <v>436</v>
      </c>
      <c r="H188" s="49"/>
    </row>
    <row r="189" customFormat="false" ht="12.8" hidden="false" customHeight="false" outlineLevel="0" collapsed="false">
      <c r="A189" s="39" t="s">
        <v>4898</v>
      </c>
      <c r="B189" s="39" t="s">
        <v>4899</v>
      </c>
      <c r="C189" s="39" t="n">
        <v>0.017</v>
      </c>
      <c r="D189" s="39" t="s">
        <v>4900</v>
      </c>
      <c r="E189" s="39" t="s">
        <v>434</v>
      </c>
      <c r="F189" s="39" t="s">
        <v>4882</v>
      </c>
      <c r="G189" s="52" t="s">
        <v>436</v>
      </c>
      <c r="H189" s="49"/>
    </row>
    <row r="190" customFormat="false" ht="12.8" hidden="false" customHeight="false" outlineLevel="0" collapsed="false">
      <c r="A190" s="39" t="s">
        <v>4901</v>
      </c>
      <c r="B190" s="39" t="s">
        <v>4902</v>
      </c>
      <c r="C190" s="39" t="n">
        <v>0.015</v>
      </c>
      <c r="D190" s="39" t="s">
        <v>4903</v>
      </c>
      <c r="E190" s="39" t="s">
        <v>434</v>
      </c>
      <c r="F190" s="39" t="s">
        <v>4882</v>
      </c>
      <c r="G190" s="52" t="s">
        <v>436</v>
      </c>
      <c r="H190" s="49"/>
    </row>
    <row r="191" customFormat="false" ht="12.8" hidden="false" customHeight="false" outlineLevel="0" collapsed="false">
      <c r="A191" s="39" t="s">
        <v>4904</v>
      </c>
      <c r="B191" s="39" t="s">
        <v>4905</v>
      </c>
      <c r="C191" s="39" t="n">
        <v>0.025</v>
      </c>
      <c r="D191" s="39" t="s">
        <v>4906</v>
      </c>
      <c r="E191" s="39" t="s">
        <v>440</v>
      </c>
      <c r="F191" s="39" t="s">
        <v>4882</v>
      </c>
      <c r="G191" s="52" t="s">
        <v>436</v>
      </c>
      <c r="H191" s="49"/>
    </row>
    <row r="192" customFormat="false" ht="12.8" hidden="false" customHeight="false" outlineLevel="0" collapsed="false">
      <c r="A192" s="39" t="s">
        <v>4907</v>
      </c>
      <c r="B192" s="39" t="s">
        <v>4908</v>
      </c>
      <c r="C192" s="39" t="n">
        <v>0.028</v>
      </c>
      <c r="D192" s="39" t="s">
        <v>4909</v>
      </c>
      <c r="E192" s="39" t="s">
        <v>440</v>
      </c>
      <c r="F192" s="39" t="s">
        <v>4882</v>
      </c>
      <c r="G192" s="52" t="s">
        <v>436</v>
      </c>
      <c r="H192" s="49"/>
    </row>
    <row r="193" customFormat="false" ht="12.8" hidden="false" customHeight="false" outlineLevel="0" collapsed="false">
      <c r="A193" s="39" t="s">
        <v>4910</v>
      </c>
      <c r="B193" s="39" t="s">
        <v>4911</v>
      </c>
      <c r="C193" s="39" t="n">
        <v>0.023</v>
      </c>
      <c r="D193" s="39" t="s">
        <v>4912</v>
      </c>
      <c r="E193" s="39" t="s">
        <v>440</v>
      </c>
      <c r="F193" s="39" t="s">
        <v>4882</v>
      </c>
      <c r="G193" s="52" t="s">
        <v>436</v>
      </c>
      <c r="H193" s="49"/>
    </row>
    <row r="194" customFormat="false" ht="12.8" hidden="false" customHeight="false" outlineLevel="0" collapsed="false">
      <c r="A194" s="39" t="s">
        <v>4913</v>
      </c>
      <c r="B194" s="39" t="s">
        <v>4914</v>
      </c>
      <c r="C194" s="39" t="n">
        <v>0.029</v>
      </c>
      <c r="D194" s="39" t="s">
        <v>4915</v>
      </c>
      <c r="E194" s="39" t="s">
        <v>440</v>
      </c>
      <c r="F194" s="39" t="s">
        <v>4882</v>
      </c>
      <c r="G194" s="52" t="s">
        <v>436</v>
      </c>
      <c r="H194" s="49"/>
    </row>
    <row r="195" customFormat="false" ht="12.8" hidden="false" customHeight="false" outlineLevel="0" collapsed="false">
      <c r="A195" s="39" t="s">
        <v>4916</v>
      </c>
      <c r="B195" s="39" t="s">
        <v>4917</v>
      </c>
      <c r="C195" s="39" t="n">
        <v>0.02</v>
      </c>
      <c r="D195" s="39" t="s">
        <v>4918</v>
      </c>
      <c r="E195" s="39" t="s">
        <v>502</v>
      </c>
      <c r="F195" s="39" t="s">
        <v>4882</v>
      </c>
      <c r="G195" s="52" t="s">
        <v>436</v>
      </c>
      <c r="H195" s="49"/>
    </row>
    <row r="196" customFormat="false" ht="12.8" hidden="false" customHeight="false" outlineLevel="0" collapsed="false">
      <c r="A196" s="39" t="s">
        <v>4919</v>
      </c>
      <c r="B196" s="39" t="s">
        <v>4920</v>
      </c>
      <c r="C196" s="39" t="n">
        <v>0.014</v>
      </c>
      <c r="D196" s="39" t="s">
        <v>4921</v>
      </c>
      <c r="E196" s="39" t="s">
        <v>434</v>
      </c>
      <c r="F196" s="39" t="s">
        <v>4882</v>
      </c>
      <c r="G196" s="52" t="s">
        <v>436</v>
      </c>
      <c r="H196" s="49"/>
    </row>
    <row r="197" customFormat="false" ht="12.8" hidden="false" customHeight="false" outlineLevel="0" collapsed="false">
      <c r="A197" s="39" t="s">
        <v>4922</v>
      </c>
      <c r="B197" s="39" t="s">
        <v>4923</v>
      </c>
      <c r="C197" s="39" t="n">
        <v>0.021</v>
      </c>
      <c r="D197" s="39" t="s">
        <v>4924</v>
      </c>
      <c r="E197" s="39" t="s">
        <v>440</v>
      </c>
      <c r="F197" s="39" t="s">
        <v>4882</v>
      </c>
      <c r="G197" s="52" t="s">
        <v>436</v>
      </c>
      <c r="H197" s="49"/>
    </row>
    <row r="198" customFormat="false" ht="12.8" hidden="false" customHeight="false" outlineLevel="0" collapsed="false">
      <c r="A198" s="39" t="s">
        <v>4925</v>
      </c>
      <c r="B198" s="39" t="s">
        <v>4926</v>
      </c>
      <c r="C198" s="39" t="n">
        <v>0.022</v>
      </c>
      <c r="D198" s="39" t="s">
        <v>4927</v>
      </c>
      <c r="E198" s="39" t="s">
        <v>440</v>
      </c>
      <c r="F198" s="39" t="s">
        <v>4882</v>
      </c>
      <c r="G198" s="52" t="s">
        <v>436</v>
      </c>
      <c r="H198" s="49"/>
    </row>
    <row r="199" customFormat="false" ht="12.8" hidden="false" customHeight="false" outlineLevel="0" collapsed="false">
      <c r="A199" s="39" t="s">
        <v>4928</v>
      </c>
      <c r="B199" s="39" t="s">
        <v>4929</v>
      </c>
      <c r="C199" s="39" t="n">
        <v>0.026</v>
      </c>
      <c r="D199" s="39" t="s">
        <v>4930</v>
      </c>
      <c r="E199" s="39" t="s">
        <v>440</v>
      </c>
      <c r="F199" s="39" t="s">
        <v>4882</v>
      </c>
      <c r="G199" s="52" t="s">
        <v>436</v>
      </c>
      <c r="H199" s="49"/>
    </row>
    <row r="200" customFormat="false" ht="12.8" hidden="false" customHeight="false" outlineLevel="0" collapsed="false">
      <c r="A200" s="39" t="s">
        <v>4931</v>
      </c>
      <c r="B200" s="39" t="s">
        <v>4932</v>
      </c>
      <c r="C200" s="39" t="n">
        <v>0.015</v>
      </c>
      <c r="D200" s="39" t="s">
        <v>4933</v>
      </c>
      <c r="E200" s="39" t="s">
        <v>434</v>
      </c>
      <c r="F200" s="39" t="s">
        <v>4882</v>
      </c>
      <c r="G200" s="52" t="s">
        <v>436</v>
      </c>
      <c r="H200" s="49"/>
    </row>
    <row r="201" customFormat="false" ht="12.8" hidden="false" customHeight="false" outlineLevel="0" collapsed="false">
      <c r="A201" s="39" t="s">
        <v>4934</v>
      </c>
      <c r="B201" s="39" t="s">
        <v>4935</v>
      </c>
      <c r="C201" s="39" t="n">
        <v>0.014</v>
      </c>
      <c r="D201" s="39" t="s">
        <v>4936</v>
      </c>
      <c r="E201" s="39" t="s">
        <v>434</v>
      </c>
      <c r="F201" s="39" t="s">
        <v>4882</v>
      </c>
      <c r="G201" s="52" t="s">
        <v>436</v>
      </c>
      <c r="H201" s="49"/>
    </row>
    <row r="202" customFormat="false" ht="12.8" hidden="false" customHeight="false" outlineLevel="0" collapsed="false">
      <c r="A202" s="39" t="s">
        <v>4937</v>
      </c>
      <c r="B202" s="39" t="s">
        <v>4938</v>
      </c>
      <c r="C202" s="39" t="n">
        <v>0.03</v>
      </c>
      <c r="D202" s="39" t="s">
        <v>4939</v>
      </c>
      <c r="E202" s="39" t="s">
        <v>502</v>
      </c>
      <c r="F202" s="39" t="s">
        <v>4882</v>
      </c>
      <c r="G202" s="52" t="s">
        <v>436</v>
      </c>
      <c r="H202" s="49"/>
    </row>
    <row r="203" customFormat="false" ht="12.8" hidden="false" customHeight="false" outlineLevel="0" collapsed="false">
      <c r="A203" s="39" t="s">
        <v>4940</v>
      </c>
      <c r="B203" s="39" t="s">
        <v>4941</v>
      </c>
      <c r="C203" s="39" t="n">
        <v>0.033</v>
      </c>
      <c r="D203" s="39" t="s">
        <v>4942</v>
      </c>
      <c r="E203" s="39" t="s">
        <v>502</v>
      </c>
      <c r="F203" s="39" t="s">
        <v>4882</v>
      </c>
      <c r="G203" s="52" t="s">
        <v>436</v>
      </c>
      <c r="H203" s="49"/>
    </row>
    <row r="204" customFormat="false" ht="12.8" hidden="false" customHeight="false" outlineLevel="0" collapsed="false">
      <c r="A204" s="39" t="s">
        <v>4943</v>
      </c>
      <c r="B204" s="39" t="s">
        <v>4944</v>
      </c>
      <c r="C204" s="39" t="n">
        <v>0.027</v>
      </c>
      <c r="D204" s="39" t="s">
        <v>4945</v>
      </c>
      <c r="E204" s="39" t="s">
        <v>502</v>
      </c>
      <c r="F204" s="39" t="s">
        <v>4882</v>
      </c>
      <c r="G204" s="52" t="s">
        <v>436</v>
      </c>
      <c r="H204" s="49"/>
    </row>
    <row r="205" customFormat="false" ht="12.8" hidden="false" customHeight="false" outlineLevel="0" collapsed="false">
      <c r="A205" s="39" t="s">
        <v>4946</v>
      </c>
      <c r="B205" s="39" t="s">
        <v>4947</v>
      </c>
      <c r="C205" s="39" t="n">
        <v>0.011</v>
      </c>
      <c r="D205" s="39" t="s">
        <v>4948</v>
      </c>
      <c r="E205" s="39" t="s">
        <v>434</v>
      </c>
      <c r="F205" s="39" t="s">
        <v>4882</v>
      </c>
      <c r="G205" s="52" t="s">
        <v>436</v>
      </c>
      <c r="H205" s="49"/>
    </row>
    <row r="206" customFormat="false" ht="12.8" hidden="false" customHeight="false" outlineLevel="0" collapsed="false">
      <c r="A206" s="39"/>
      <c r="B206" s="39"/>
      <c r="C206" s="39"/>
      <c r="D206" s="39"/>
      <c r="E206" s="39"/>
      <c r="F206" s="39"/>
      <c r="G206" s="39"/>
      <c r="H206" s="49"/>
    </row>
    <row r="207" customFormat="false" ht="12.8" hidden="false" customHeight="false" outlineLevel="0" collapsed="false">
      <c r="A207" s="64" t="str">
        <f aca="false">_xlfn.CONCAT($A$1, ".", "VALID")</f>
        <v>LSD.RID.0.AL.LFP.VALID</v>
      </c>
      <c r="B207" s="65" t="str">
        <f aca="false">_xlfn.CONCAT($B$1, " ", "Validation")</f>
        <v>Alabama Labor Force Population Validation</v>
      </c>
      <c r="C207" s="65"/>
    </row>
    <row r="208" customFormat="false" ht="12.8" hidden="false" customHeight="false" outlineLevel="0" collapsed="false">
      <c r="A208" s="49" t="s">
        <v>113</v>
      </c>
      <c r="B208" s="49" t="s">
        <v>4949</v>
      </c>
      <c r="C208" s="49" t="s">
        <v>4950</v>
      </c>
      <c r="D208" s="49" t="s">
        <v>4951</v>
      </c>
      <c r="E208" s="49" t="s">
        <v>429</v>
      </c>
      <c r="F208" s="49" t="s">
        <v>4952</v>
      </c>
      <c r="G208" s="49" t="s">
        <v>4953</v>
      </c>
      <c r="H208" s="49" t="s">
        <v>4953</v>
      </c>
    </row>
    <row r="209" customFormat="false" ht="12.8" hidden="false" customHeight="false" outlineLevel="0" collapsed="false">
      <c r="A209" s="39" t="s">
        <v>4954</v>
      </c>
      <c r="B209" s="39" t="s">
        <v>4955</v>
      </c>
      <c r="C209" s="39" t="n">
        <v>2385000</v>
      </c>
      <c r="D209" s="39" t="n">
        <v>2385000</v>
      </c>
      <c r="E209" s="39" t="s">
        <v>4956</v>
      </c>
      <c r="F209" s="39" t="s">
        <v>434</v>
      </c>
      <c r="G209" s="39" t="s">
        <v>4957</v>
      </c>
      <c r="H209" s="39" t="s">
        <v>4958</v>
      </c>
    </row>
    <row r="210" customFormat="false" ht="12.8" hidden="false" customHeight="false" outlineLevel="0" collapsed="false">
      <c r="A210" s="39" t="s">
        <v>4959</v>
      </c>
      <c r="B210" s="39" t="s">
        <v>4960</v>
      </c>
      <c r="C210" s="39" t="n">
        <v>62388</v>
      </c>
      <c r="D210" s="39" t="s">
        <v>4961</v>
      </c>
      <c r="E210" s="39" t="s">
        <v>4962</v>
      </c>
      <c r="F210" s="39" t="s">
        <v>434</v>
      </c>
      <c r="G210" s="39" t="s">
        <v>4963</v>
      </c>
      <c r="H210" s="39" t="s">
        <v>4964</v>
      </c>
    </row>
    <row r="211" customFormat="false" ht="12.8" hidden="false" customHeight="false" outlineLevel="0" collapsed="false">
      <c r="A211" s="39" t="s">
        <v>4965</v>
      </c>
      <c r="B211" s="39" t="s">
        <v>4966</v>
      </c>
      <c r="C211" s="39" t="s">
        <v>4967</v>
      </c>
      <c r="D211" s="39" t="s">
        <v>4968</v>
      </c>
      <c r="E211" s="39" t="s">
        <v>4969</v>
      </c>
      <c r="F211" s="39" t="s">
        <v>434</v>
      </c>
      <c r="G211" s="39" t="s">
        <v>4970</v>
      </c>
      <c r="H211" s="39" t="s">
        <v>4971</v>
      </c>
    </row>
    <row r="212" customFormat="false" ht="12.8" hidden="false" customHeight="false" outlineLevel="0" collapsed="false">
      <c r="A212" s="39" t="s">
        <v>4972</v>
      </c>
      <c r="B212" s="39" t="s">
        <v>4973</v>
      </c>
      <c r="C212" s="39" t="n">
        <v>2270612</v>
      </c>
      <c r="D212" s="39" t="s">
        <v>4974</v>
      </c>
      <c r="E212" s="39" t="s">
        <v>4975</v>
      </c>
      <c r="F212" s="39" t="s">
        <v>434</v>
      </c>
      <c r="G212" s="39" t="s">
        <v>4976</v>
      </c>
      <c r="H212" s="39" t="s">
        <v>4977</v>
      </c>
    </row>
    <row r="213" customFormat="false" ht="12.8" hidden="false" customHeight="false" outlineLevel="0" collapsed="false">
      <c r="A213" s="39" t="s">
        <v>4978</v>
      </c>
      <c r="B213" s="39" t="s">
        <v>4979</v>
      </c>
      <c r="C213" s="39" t="s">
        <v>4980</v>
      </c>
      <c r="D213" s="39" t="s">
        <v>4981</v>
      </c>
      <c r="E213" s="39" t="s">
        <v>4982</v>
      </c>
      <c r="F213" s="39" t="s">
        <v>434</v>
      </c>
      <c r="G213" s="39" t="s">
        <v>4983</v>
      </c>
      <c r="H213" s="39" t="s">
        <v>4984</v>
      </c>
    </row>
    <row r="214" customFormat="false" ht="12.8" hidden="false" customHeight="false" outlineLevel="0" collapsed="false">
      <c r="A214" s="39" t="s">
        <v>4985</v>
      </c>
      <c r="B214" s="39" t="s">
        <v>4986</v>
      </c>
      <c r="C214" s="39" t="s">
        <v>4987</v>
      </c>
      <c r="D214" s="39" t="s">
        <v>4988</v>
      </c>
      <c r="E214" s="39" t="s">
        <v>4989</v>
      </c>
      <c r="F214" s="39" t="s">
        <v>434</v>
      </c>
      <c r="G214" s="39" t="s">
        <v>4990</v>
      </c>
      <c r="H214" s="39" t="s">
        <v>4991</v>
      </c>
    </row>
    <row r="215" customFormat="false" ht="12.8" hidden="false" customHeight="false" outlineLevel="0" collapsed="false">
      <c r="A215" s="39" t="s">
        <v>4992</v>
      </c>
      <c r="B215" s="39" t="s">
        <v>4993</v>
      </c>
      <c r="C215" s="39" t="s">
        <v>4994</v>
      </c>
      <c r="D215" s="39" t="s">
        <v>4995</v>
      </c>
      <c r="E215" s="39" t="s">
        <v>4996</v>
      </c>
      <c r="F215" s="39" t="s">
        <v>434</v>
      </c>
      <c r="G215" s="39" t="s">
        <v>4997</v>
      </c>
      <c r="H215" s="39" t="s">
        <v>4998</v>
      </c>
    </row>
    <row r="216" customFormat="false" ht="12.8" hidden="false" customHeight="false" outlineLevel="0" collapsed="false">
      <c r="A216" s="39" t="s">
        <v>4999</v>
      </c>
      <c r="B216" s="39" t="s">
        <v>5000</v>
      </c>
      <c r="C216" s="39" t="s">
        <v>5001</v>
      </c>
      <c r="D216" s="39" t="n">
        <v>2385000</v>
      </c>
      <c r="E216" s="39" t="s">
        <v>5002</v>
      </c>
      <c r="F216" s="39" t="s">
        <v>434</v>
      </c>
      <c r="G216" s="39" t="s">
        <v>5003</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Q19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6" activeCellId="0" sqref="C6"/>
    </sheetView>
  </sheetViews>
  <sheetFormatPr defaultColWidth="11.53515625" defaultRowHeight="12.8" customHeight="false" zeroHeight="false" outlineLevelRow="0" outlineLevelCol="0"/>
  <cols>
    <col collapsed="false" customWidth="true" hidden="false" outlineLevel="0" max="1" min="1" style="61" width="27.68"/>
    <col collapsed="false" customWidth="true" hidden="false" outlineLevel="0" max="2" min="2" style="62" width="29.97"/>
    <col collapsed="false" customWidth="true" hidden="false" outlineLevel="0" max="3" min="3" style="62" width="16.84"/>
    <col collapsed="false" customWidth="true" hidden="false" outlineLevel="0" max="35" min="4" style="63" width="16.84"/>
    <col collapsed="false" customWidth="true" hidden="false" outlineLevel="0" max="49" min="36" style="63" width="17.78"/>
    <col collapsed="false" customWidth="true" hidden="false" outlineLevel="0" max="52" min="50" style="63" width="15.48"/>
    <col collapsed="false" customWidth="false" hidden="false" outlineLevel="0" max="56" min="53" style="63" width="11.53"/>
    <col collapsed="false" customWidth="true" hidden="false" outlineLevel="0" max="57" min="57" style="63" width="18.45"/>
    <col collapsed="false" customWidth="true" hidden="false" outlineLevel="0" max="60" min="58" style="63" width="16.14"/>
    <col collapsed="false" customWidth="true" hidden="false" outlineLevel="0" max="68" min="61" style="63" width="13.84"/>
    <col collapsed="false" customWidth="false" hidden="false" outlineLevel="0" max="69" min="69" style="63" width="11.53"/>
    <col collapsed="false" customWidth="false" hidden="false" outlineLevel="0" max="16384" min="70" style="3" width="11.53"/>
  </cols>
  <sheetData>
    <row r="1" customFormat="false" ht="12.8" hidden="false" customHeight="false" outlineLevel="0" collapsed="false">
      <c r="A1" s="64" t="s">
        <v>5004</v>
      </c>
      <c r="B1" s="65" t="s">
        <v>4704</v>
      </c>
      <c r="C1" s="55" t="s">
        <v>2</v>
      </c>
      <c r="D1" s="66" t="s">
        <v>4705</v>
      </c>
      <c r="BG1" s="3"/>
      <c r="BH1" s="3"/>
      <c r="BI1" s="3"/>
      <c r="BJ1" s="3"/>
      <c r="BK1" s="3"/>
      <c r="BL1" s="3"/>
      <c r="BM1" s="3"/>
      <c r="BN1" s="3"/>
      <c r="BO1" s="3"/>
      <c r="BP1" s="3"/>
      <c r="BQ1" s="3"/>
    </row>
    <row r="2" customFormat="false" ht="12.8" hidden="false" customHeight="false" outlineLevel="0" collapsed="false">
      <c r="A2" s="64" t="str">
        <f aca="false">_xlfn.CONCAT($A$1, ".", "CALC")</f>
        <v>LSD.RID.0.AL.TNPE.CALC</v>
      </c>
      <c r="B2" s="65" t="str">
        <f aca="false">_xlfn.CONCAT($B$1, " ", "Calculations")</f>
        <v>Alabama Labor Force Population Calculations</v>
      </c>
      <c r="C2" s="55" t="str">
        <f aca="false">CALC!H2</f>
        <v>Total Nonfarm Payroll Employment (TNPE)</v>
      </c>
      <c r="D2" s="55"/>
      <c r="E2" s="55"/>
      <c r="F2" s="55"/>
      <c r="BG2" s="3"/>
      <c r="BH2" s="3"/>
      <c r="BI2" s="3"/>
      <c r="BJ2" s="3"/>
      <c r="BK2" s="3"/>
      <c r="BL2" s="3"/>
      <c r="BM2" s="3"/>
      <c r="BN2" s="3"/>
      <c r="BO2" s="3"/>
      <c r="BP2" s="3"/>
      <c r="BQ2" s="3"/>
    </row>
    <row r="3" customFormat="false" ht="12.8" hidden="false" customHeight="false" outlineLevel="0" collapsed="false">
      <c r="A3" s="64" t="str">
        <f aca="false">CALC!A3</f>
        <v>LSID</v>
      </c>
      <c r="B3" s="42" t="str">
        <f aca="false">CALC!C3</f>
        <v>Labor Sector</v>
      </c>
      <c r="C3" s="57" t="str">
        <f aca="false">CALC!H3</f>
        <v>Overall TNPE</v>
      </c>
      <c r="D3" s="57" t="str">
        <f aca="false">CALC!I3</f>
        <v>Authorized TNPE</v>
      </c>
      <c r="E3" s="57" t="str">
        <f aca="false">CALC!J3</f>
        <v>Unauthorized TNPE</v>
      </c>
      <c r="F3" s="57" t="str">
        <f aca="false">CALC!K3</f>
        <v>American TNPE</v>
      </c>
      <c r="H3" s="69"/>
      <c r="I3" s="69"/>
      <c r="J3" s="69"/>
      <c r="K3" s="69"/>
      <c r="L3" s="69"/>
      <c r="M3" s="69"/>
      <c r="N3" s="69"/>
      <c r="O3" s="49"/>
      <c r="BA3" s="3"/>
      <c r="BB3" s="3"/>
      <c r="BC3" s="3"/>
      <c r="BD3" s="3"/>
      <c r="BE3" s="3"/>
      <c r="BF3" s="3"/>
      <c r="BG3" s="3"/>
      <c r="BH3" s="3"/>
      <c r="BI3" s="3"/>
      <c r="BJ3" s="3"/>
      <c r="BK3" s="3"/>
      <c r="BL3" s="3"/>
      <c r="BM3" s="3"/>
      <c r="BN3" s="3"/>
      <c r="BO3" s="3"/>
      <c r="BP3" s="3"/>
      <c r="BQ3" s="3"/>
    </row>
    <row r="4" customFormat="false" ht="12.8" hidden="false" customHeight="false" outlineLevel="0" collapsed="false">
      <c r="A4" s="64" t="str">
        <f aca="false">_xlfn.CONCAT($A$1, ".", CALC!A4)</f>
        <v>LSD.RID.0.AL.TNPE.0</v>
      </c>
      <c r="B4" s="42" t="str">
        <f aca="false">CALC!C4</f>
        <v>All Industries</v>
      </c>
      <c r="C4" s="39" t="n">
        <v>2211200</v>
      </c>
      <c r="D4" s="39" t="n">
        <v>81814</v>
      </c>
      <c r="E4" s="39" t="n">
        <v>48646</v>
      </c>
      <c r="F4" s="39" t="n">
        <v>2080740</v>
      </c>
      <c r="G4" s="40"/>
      <c r="H4" s="40"/>
      <c r="I4" s="40"/>
      <c r="J4" s="40"/>
      <c r="K4" s="40"/>
      <c r="L4" s="40"/>
      <c r="M4" s="40"/>
      <c r="N4" s="40"/>
      <c r="O4" s="39"/>
      <c r="BA4" s="3"/>
      <c r="BB4" s="3"/>
      <c r="BC4" s="3"/>
      <c r="BD4" s="3"/>
      <c r="BE4" s="3"/>
      <c r="BF4" s="3"/>
      <c r="BG4" s="3"/>
      <c r="BH4" s="3"/>
      <c r="BI4" s="3"/>
      <c r="BJ4" s="3"/>
      <c r="BK4" s="3"/>
      <c r="BL4" s="3"/>
      <c r="BM4" s="3"/>
      <c r="BN4" s="3"/>
      <c r="BO4" s="3"/>
      <c r="BP4" s="3"/>
      <c r="BQ4" s="3"/>
    </row>
    <row r="5" customFormat="false" ht="23.85" hidden="false" customHeight="false" outlineLevel="0" collapsed="false">
      <c r="A5" s="64" t="str">
        <f aca="false">_xlfn.CONCAT($A$1, ".", CALC!A5)</f>
        <v>LSD.RID.0.AL.TNPE.1</v>
      </c>
      <c r="B5" s="67" t="str">
        <f aca="false">CALC!C5</f>
        <v>Agriculture, Forestry, 
Fishing and Hunting</v>
      </c>
      <c r="C5" s="39" t="n">
        <v>33500</v>
      </c>
      <c r="D5" s="39" t="n">
        <v>1240</v>
      </c>
      <c r="E5" s="39" t="n">
        <v>884</v>
      </c>
      <c r="F5" s="39" t="n">
        <v>31376</v>
      </c>
      <c r="G5" s="40"/>
      <c r="H5" s="40"/>
      <c r="I5" s="40"/>
      <c r="J5" s="40"/>
      <c r="K5" s="40"/>
      <c r="L5" s="40"/>
      <c r="M5" s="40"/>
      <c r="N5" s="40"/>
      <c r="O5" s="39"/>
      <c r="BA5" s="3"/>
      <c r="BB5" s="3"/>
      <c r="BC5" s="3"/>
      <c r="BD5" s="3"/>
      <c r="BE5" s="3"/>
      <c r="BF5" s="3"/>
      <c r="BG5" s="3"/>
      <c r="BH5" s="3"/>
      <c r="BI5" s="3"/>
      <c r="BJ5" s="3"/>
      <c r="BK5" s="3"/>
      <c r="BL5" s="3"/>
      <c r="BM5" s="3"/>
      <c r="BN5" s="3"/>
      <c r="BO5" s="3"/>
      <c r="BP5" s="3"/>
      <c r="BQ5" s="3"/>
    </row>
    <row r="6" customFormat="false" ht="23.85" hidden="false" customHeight="false" outlineLevel="0" collapsed="false">
      <c r="A6" s="64" t="str">
        <f aca="false">_xlfn.CONCAT($A$1, ".", CALC!A6)</f>
        <v>LSD.RID.0.AL.TNPE.2</v>
      </c>
      <c r="B6" s="67" t="str">
        <f aca="false">CALC!C6</f>
        <v>Mining, Quarrying, and
Oil and Gas Extraction</v>
      </c>
      <c r="C6" s="39" t="n">
        <v>4800</v>
      </c>
      <c r="D6" s="39" t="n">
        <v>178</v>
      </c>
      <c r="E6" s="39" t="n">
        <v>106</v>
      </c>
      <c r="F6" s="39" t="n">
        <v>4516</v>
      </c>
      <c r="G6" s="40"/>
      <c r="H6" s="40"/>
      <c r="I6" s="40"/>
      <c r="J6" s="40"/>
      <c r="K6" s="40"/>
      <c r="L6" s="40"/>
      <c r="M6" s="40"/>
      <c r="N6" s="40"/>
      <c r="O6" s="39"/>
      <c r="BA6" s="3"/>
      <c r="BB6" s="3"/>
      <c r="BC6" s="3"/>
      <c r="BD6" s="3"/>
      <c r="BE6" s="3"/>
      <c r="BF6" s="3"/>
      <c r="BG6" s="3"/>
      <c r="BH6" s="3"/>
      <c r="BI6" s="3"/>
      <c r="BJ6" s="3"/>
      <c r="BK6" s="3"/>
      <c r="BL6" s="3"/>
      <c r="BM6" s="3"/>
      <c r="BN6" s="3"/>
      <c r="BO6" s="3"/>
      <c r="BP6" s="3"/>
      <c r="BQ6" s="3"/>
    </row>
    <row r="7" customFormat="false" ht="12.8" hidden="false" customHeight="false" outlineLevel="0" collapsed="false">
      <c r="A7" s="64" t="str">
        <f aca="false">_xlfn.CONCAT($A$1, ".", CALC!A7)</f>
        <v>LSD.RID.0.AL.TNPE.3</v>
      </c>
      <c r="B7" s="42" t="str">
        <f aca="false">CALC!C7</f>
        <v>Utilities</v>
      </c>
      <c r="C7" s="39" t="n">
        <v>7100</v>
      </c>
      <c r="D7" s="39" t="n">
        <v>263</v>
      </c>
      <c r="E7" s="39" t="n">
        <v>156</v>
      </c>
      <c r="F7" s="39" t="n">
        <v>6681</v>
      </c>
      <c r="G7" s="40"/>
      <c r="H7" s="40"/>
      <c r="I7" s="40"/>
      <c r="J7" s="40"/>
      <c r="K7" s="40"/>
      <c r="L7" s="40"/>
      <c r="M7" s="40"/>
      <c r="N7" s="40"/>
      <c r="O7" s="39"/>
      <c r="BA7" s="3"/>
      <c r="BB7" s="3"/>
      <c r="BC7" s="3"/>
      <c r="BD7" s="3"/>
      <c r="BE7" s="3"/>
      <c r="BF7" s="3"/>
      <c r="BG7" s="3"/>
      <c r="BH7" s="3"/>
      <c r="BI7" s="3"/>
      <c r="BJ7" s="3"/>
      <c r="BK7" s="3"/>
      <c r="BL7" s="3"/>
      <c r="BM7" s="3"/>
      <c r="BN7" s="3"/>
      <c r="BO7" s="3"/>
      <c r="BP7" s="3"/>
      <c r="BQ7" s="3"/>
    </row>
    <row r="8" customFormat="false" ht="12.8" hidden="false" customHeight="false" outlineLevel="0" collapsed="false">
      <c r="A8" s="64" t="str">
        <f aca="false">_xlfn.CONCAT($A$1, ".", CALC!A8)</f>
        <v>LSD.RID.0.AL.TNPE.4</v>
      </c>
      <c r="B8" s="42" t="str">
        <f aca="false">CALC!C8</f>
        <v>Construction</v>
      </c>
      <c r="C8" s="39" t="n">
        <v>56600</v>
      </c>
      <c r="D8" s="39" t="n">
        <v>2094</v>
      </c>
      <c r="E8" s="39" t="n">
        <v>1681</v>
      </c>
      <c r="F8" s="39" t="n">
        <v>52825</v>
      </c>
      <c r="G8" s="40"/>
      <c r="H8" s="40"/>
      <c r="I8" s="40"/>
      <c r="J8" s="40"/>
      <c r="K8" s="40"/>
      <c r="L8" s="40"/>
      <c r="M8" s="40"/>
      <c r="N8" s="40"/>
      <c r="O8" s="39"/>
      <c r="BA8" s="3"/>
      <c r="BB8" s="3"/>
      <c r="BC8" s="3"/>
      <c r="BD8" s="3"/>
      <c r="BE8" s="3"/>
      <c r="BF8" s="3"/>
      <c r="BG8" s="3"/>
      <c r="BH8" s="3"/>
      <c r="BI8" s="3"/>
      <c r="BJ8" s="3"/>
      <c r="BK8" s="3"/>
      <c r="BL8" s="3"/>
      <c r="BM8" s="3"/>
      <c r="BN8" s="3"/>
      <c r="BO8" s="3"/>
      <c r="BP8" s="3"/>
      <c r="BQ8" s="3"/>
    </row>
    <row r="9" customFormat="false" ht="23.85" hidden="false" customHeight="false" outlineLevel="0" collapsed="false">
      <c r="A9" s="64" t="str">
        <f aca="false">_xlfn.CONCAT($A$1, ".", CALC!A9)</f>
        <v>LSD.RID.0.AL.TNPE.5</v>
      </c>
      <c r="B9" s="67" t="str">
        <f aca="false">CALC!C9</f>
        <v>Manufacturing
(Food,Textile, etc.)</v>
      </c>
      <c r="C9" s="39" t="n">
        <v>46200</v>
      </c>
      <c r="D9" s="39" t="n">
        <v>1709</v>
      </c>
      <c r="E9" s="39" t="n">
        <v>1016</v>
      </c>
      <c r="F9" s="39" t="n">
        <v>43475</v>
      </c>
      <c r="G9" s="40"/>
      <c r="H9" s="40"/>
      <c r="I9" s="40"/>
      <c r="J9" s="40"/>
      <c r="K9" s="40"/>
      <c r="L9" s="40"/>
      <c r="M9" s="40"/>
      <c r="N9" s="40"/>
      <c r="O9" s="39"/>
      <c r="BA9" s="3"/>
      <c r="BB9" s="3"/>
      <c r="BC9" s="3"/>
      <c r="BD9" s="3"/>
      <c r="BE9" s="3"/>
      <c r="BF9" s="3"/>
      <c r="BG9" s="3"/>
      <c r="BH9" s="3"/>
      <c r="BI9" s="3"/>
      <c r="BJ9" s="3"/>
      <c r="BK9" s="3"/>
      <c r="BL9" s="3"/>
      <c r="BM9" s="3"/>
      <c r="BN9" s="3"/>
      <c r="BO9" s="3"/>
      <c r="BP9" s="3"/>
      <c r="BQ9" s="3"/>
    </row>
    <row r="10" customFormat="false" ht="23.85" hidden="false" customHeight="false" outlineLevel="0" collapsed="false">
      <c r="A10" s="64" t="str">
        <f aca="false">_xlfn.CONCAT($A$1, ".", CALC!A10)</f>
        <v>LSD.RID.0.AL.TNPE.6</v>
      </c>
      <c r="B10" s="67" t="str">
        <f aca="false">CALC!C10</f>
        <v>Manufacturing (Wood,
Paper, Printing, etc.)</v>
      </c>
      <c r="C10" s="39" t="n">
        <v>47600</v>
      </c>
      <c r="D10" s="39" t="n">
        <v>1761</v>
      </c>
      <c r="E10" s="39" t="n">
        <v>1047</v>
      </c>
      <c r="F10" s="39" t="n">
        <v>44792</v>
      </c>
      <c r="G10" s="40"/>
      <c r="H10" s="40"/>
      <c r="I10" s="40"/>
      <c r="J10" s="40"/>
      <c r="K10" s="40"/>
      <c r="L10" s="40"/>
      <c r="M10" s="40"/>
      <c r="N10" s="40"/>
      <c r="O10" s="39"/>
      <c r="BA10" s="3"/>
      <c r="BB10" s="3"/>
      <c r="BC10" s="3"/>
      <c r="BD10" s="3"/>
      <c r="BE10" s="3"/>
      <c r="BF10" s="3"/>
      <c r="BG10" s="3"/>
      <c r="BH10" s="3"/>
      <c r="BI10" s="3"/>
      <c r="BJ10" s="3"/>
      <c r="BK10" s="3"/>
      <c r="BL10" s="3"/>
      <c r="BM10" s="3"/>
      <c r="BN10" s="3"/>
      <c r="BO10" s="3"/>
      <c r="BP10" s="3"/>
      <c r="BQ10" s="3"/>
    </row>
    <row r="11" customFormat="false" ht="23.85" hidden="false" customHeight="false" outlineLevel="0" collapsed="false">
      <c r="A11" s="64" t="str">
        <f aca="false">_xlfn.CONCAT($A$1, ".", CALC!A11)</f>
        <v>LSD.RID.0.AL.TNPE.7</v>
      </c>
      <c r="B11" s="67" t="str">
        <f aca="false">CALC!C11</f>
        <v>Manufacturing
(Machinery, Transport)</v>
      </c>
      <c r="C11" s="39" t="n">
        <v>50200</v>
      </c>
      <c r="D11" s="39" t="n">
        <v>1857</v>
      </c>
      <c r="E11" s="39" t="n">
        <v>1104</v>
      </c>
      <c r="F11" s="39" t="n">
        <v>47239</v>
      </c>
      <c r="G11" s="40"/>
      <c r="H11" s="40"/>
      <c r="I11" s="40"/>
      <c r="J11" s="40"/>
      <c r="K11" s="40"/>
      <c r="L11" s="40"/>
      <c r="M11" s="40"/>
      <c r="N11" s="40"/>
      <c r="O11" s="39"/>
      <c r="BA11" s="3"/>
      <c r="BB11" s="3"/>
      <c r="BC11" s="3"/>
      <c r="BD11" s="3"/>
      <c r="BE11" s="3"/>
      <c r="BF11" s="3"/>
      <c r="BG11" s="3"/>
      <c r="BH11" s="3"/>
      <c r="BI11" s="3"/>
      <c r="BJ11" s="3"/>
      <c r="BK11" s="3"/>
      <c r="BL11" s="3"/>
      <c r="BM11" s="3"/>
      <c r="BN11" s="3"/>
      <c r="BO11" s="3"/>
      <c r="BP11" s="3"/>
      <c r="BQ11" s="3"/>
    </row>
    <row r="12" customFormat="false" ht="12.9" hidden="false" customHeight="false" outlineLevel="0" collapsed="false">
      <c r="A12" s="64" t="str">
        <f aca="false">_xlfn.CONCAT($A$1, ".", CALC!A12)</f>
        <v>LSD.RID.0.AL.TNPE.8</v>
      </c>
      <c r="B12" s="42" t="str">
        <f aca="false">CALC!C12</f>
        <v>Wholesale Trade</v>
      </c>
      <c r="C12" s="39" t="n">
        <v>20400</v>
      </c>
      <c r="D12" s="39" t="n">
        <v>755</v>
      </c>
      <c r="E12" s="39" t="n">
        <v>449</v>
      </c>
      <c r="F12" s="39" t="n">
        <v>19196</v>
      </c>
      <c r="G12" s="40"/>
      <c r="H12" s="40"/>
      <c r="I12" s="40"/>
      <c r="J12" s="40"/>
      <c r="K12" s="40"/>
      <c r="L12" s="40"/>
      <c r="M12" s="40"/>
      <c r="N12" s="40"/>
      <c r="O12" s="39"/>
      <c r="BA12" s="3"/>
      <c r="BB12" s="3"/>
      <c r="BC12" s="3"/>
      <c r="BD12" s="3"/>
      <c r="BE12" s="3"/>
      <c r="BF12" s="3"/>
      <c r="BG12" s="3"/>
      <c r="BH12" s="3"/>
      <c r="BI12" s="3"/>
      <c r="BJ12" s="3"/>
      <c r="BK12" s="3"/>
      <c r="BL12" s="3"/>
      <c r="BM12" s="3"/>
      <c r="BN12" s="3"/>
      <c r="BO12" s="3"/>
      <c r="BP12" s="3"/>
      <c r="BQ12" s="3"/>
    </row>
    <row r="13" customFormat="false" ht="23.85" hidden="false" customHeight="false" outlineLevel="0" collapsed="false">
      <c r="A13" s="64" t="str">
        <f aca="false">_xlfn.CONCAT($A$1, ".", CALC!A13)</f>
        <v>LSD.RID.0.AL.TNPE.9</v>
      </c>
      <c r="B13" s="67" t="str">
        <f aca="false">CALC!C13</f>
        <v>Retail Trade (Motor
Vehicle, Electronics)</v>
      </c>
      <c r="C13" s="39" t="n">
        <v>32500</v>
      </c>
      <c r="D13" s="39" t="n">
        <v>1202</v>
      </c>
      <c r="E13" s="39" t="n">
        <v>715</v>
      </c>
      <c r="F13" s="39" t="n">
        <v>30583</v>
      </c>
      <c r="G13" s="40"/>
      <c r="H13" s="40"/>
      <c r="I13" s="40"/>
      <c r="J13" s="40"/>
      <c r="K13" s="40"/>
      <c r="L13" s="40"/>
      <c r="M13" s="40"/>
      <c r="N13" s="40"/>
      <c r="O13" s="39"/>
      <c r="BA13" s="3"/>
      <c r="BB13" s="3"/>
      <c r="BC13" s="3"/>
      <c r="BD13" s="3"/>
      <c r="BE13" s="3"/>
      <c r="BF13" s="3"/>
      <c r="BG13" s="3"/>
      <c r="BH13" s="3"/>
      <c r="BI13" s="3"/>
      <c r="BJ13" s="3"/>
      <c r="BK13" s="3"/>
      <c r="BL13" s="3"/>
      <c r="BM13" s="3"/>
      <c r="BN13" s="3"/>
      <c r="BO13" s="3"/>
      <c r="BP13" s="3"/>
      <c r="BQ13" s="3"/>
    </row>
    <row r="14" customFormat="false" ht="23.85" hidden="false" customHeight="false" outlineLevel="0" collapsed="false">
      <c r="A14" s="64" t="str">
        <f aca="false">_xlfn.CONCAT($A$1, ".", CALC!A14)</f>
        <v>LSD.RID.0.AL.TNPE.10</v>
      </c>
      <c r="B14" s="67" t="str">
        <f aca="false">CALC!C14</f>
        <v>Retail Trade (Food, Clothing,
General Merchandise, etc.)</v>
      </c>
      <c r="C14" s="39" t="n">
        <v>75100</v>
      </c>
      <c r="D14" s="39" t="n">
        <v>2779</v>
      </c>
      <c r="E14" s="39" t="n">
        <v>1652</v>
      </c>
      <c r="F14" s="39" t="n">
        <v>70669</v>
      </c>
      <c r="G14" s="40"/>
      <c r="H14" s="40"/>
      <c r="I14" s="40"/>
      <c r="J14" s="40"/>
      <c r="K14" s="40"/>
      <c r="L14" s="40"/>
      <c r="M14" s="40"/>
      <c r="N14" s="40"/>
      <c r="O14" s="39"/>
      <c r="BA14" s="3"/>
      <c r="BB14" s="3"/>
      <c r="BC14" s="3"/>
      <c r="BD14" s="3"/>
      <c r="BE14" s="3"/>
      <c r="BF14" s="3"/>
      <c r="BG14" s="3"/>
      <c r="BH14" s="3"/>
      <c r="BI14" s="3"/>
      <c r="BJ14" s="3"/>
      <c r="BK14" s="3"/>
      <c r="BL14" s="3"/>
      <c r="BM14" s="3"/>
      <c r="BN14" s="3"/>
      <c r="BO14" s="3"/>
      <c r="BP14" s="3"/>
      <c r="BQ14" s="3"/>
    </row>
    <row r="15" customFormat="false" ht="12.8" hidden="false" customHeight="false" outlineLevel="0" collapsed="false">
      <c r="A15" s="64" t="str">
        <f aca="false">_xlfn.CONCAT($A$1, ".", CALC!A15)</f>
        <v>LSD.RID.0.AL.TNPE.11</v>
      </c>
      <c r="B15" s="42" t="str">
        <f aca="false">CALC!C15</f>
        <v>Transportation</v>
      </c>
      <c r="C15" s="39" t="n">
        <v>32500</v>
      </c>
      <c r="D15" s="39" t="n">
        <v>1202</v>
      </c>
      <c r="E15" s="39" t="n">
        <v>715</v>
      </c>
      <c r="F15" s="39" t="n">
        <v>30583</v>
      </c>
      <c r="G15" s="40"/>
      <c r="H15" s="40"/>
      <c r="I15" s="40"/>
      <c r="J15" s="40"/>
      <c r="K15" s="40"/>
      <c r="L15" s="40"/>
      <c r="M15" s="40"/>
      <c r="N15" s="40"/>
      <c r="O15" s="39"/>
      <c r="BA15" s="3"/>
      <c r="BB15" s="3"/>
      <c r="BC15" s="3"/>
      <c r="BD15" s="3"/>
      <c r="BE15" s="3"/>
      <c r="BF15" s="3"/>
      <c r="BG15" s="3"/>
      <c r="BH15" s="3"/>
      <c r="BI15" s="3"/>
      <c r="BJ15" s="3"/>
      <c r="BK15" s="3"/>
      <c r="BL15" s="3"/>
      <c r="BM15" s="3"/>
      <c r="BN15" s="3"/>
      <c r="BO15" s="3"/>
      <c r="BP15" s="3"/>
      <c r="BQ15" s="3"/>
    </row>
    <row r="16" customFormat="false" ht="12.8" hidden="false" customHeight="false" outlineLevel="0" collapsed="false">
      <c r="A16" s="64" t="str">
        <f aca="false">_xlfn.CONCAT($A$1, ".", CALC!A16)</f>
        <v>LSD.RID.0.AL.TNPE.12</v>
      </c>
      <c r="B16" s="42" t="str">
        <f aca="false">CALC!C16</f>
        <v>Warehousing and Storage</v>
      </c>
      <c r="C16" s="39" t="n">
        <v>17500</v>
      </c>
      <c r="D16" s="39" t="n">
        <v>648</v>
      </c>
      <c r="E16" s="39" t="n">
        <v>385</v>
      </c>
      <c r="F16" s="39" t="n">
        <v>16467</v>
      </c>
      <c r="G16" s="40"/>
      <c r="H16" s="40"/>
      <c r="I16" s="40"/>
      <c r="J16" s="40"/>
      <c r="K16" s="40"/>
      <c r="L16" s="40"/>
      <c r="M16" s="40"/>
      <c r="N16" s="40"/>
      <c r="O16" s="39"/>
      <c r="BA16" s="3"/>
      <c r="BB16" s="3"/>
      <c r="BC16" s="3"/>
      <c r="BD16" s="3"/>
      <c r="BE16" s="3"/>
      <c r="BF16" s="3"/>
      <c r="BG16" s="3"/>
      <c r="BH16" s="3"/>
      <c r="BI16" s="3"/>
      <c r="BJ16" s="3"/>
      <c r="BK16" s="3"/>
      <c r="BL16" s="3"/>
      <c r="BM16" s="3"/>
      <c r="BN16" s="3"/>
      <c r="BO16" s="3"/>
      <c r="BP16" s="3"/>
      <c r="BQ16" s="3"/>
    </row>
    <row r="17" customFormat="false" ht="12.8" hidden="false" customHeight="false" outlineLevel="0" collapsed="false">
      <c r="A17" s="64" t="str">
        <f aca="false">_xlfn.CONCAT($A$1, ".", CALC!A17)</f>
        <v>LSD.RID.0.AL.TNPE.13</v>
      </c>
      <c r="B17" s="42" t="str">
        <f aca="false">CALC!C17</f>
        <v>Information</v>
      </c>
      <c r="C17" s="39" t="n">
        <v>11600</v>
      </c>
      <c r="D17" s="39" t="n">
        <v>429</v>
      </c>
      <c r="E17" s="39" t="n">
        <v>255</v>
      </c>
      <c r="F17" s="39" t="n">
        <v>10916</v>
      </c>
      <c r="G17" s="40"/>
      <c r="H17" s="40"/>
      <c r="I17" s="40"/>
      <c r="J17" s="40"/>
      <c r="K17" s="40"/>
      <c r="L17" s="40"/>
      <c r="M17" s="40"/>
      <c r="N17" s="40"/>
      <c r="O17" s="39"/>
      <c r="BA17" s="3"/>
      <c r="BB17" s="3"/>
      <c r="BC17" s="3"/>
      <c r="BD17" s="3"/>
      <c r="BE17" s="3"/>
      <c r="BF17" s="3"/>
      <c r="BG17" s="3"/>
      <c r="BH17" s="3"/>
      <c r="BI17" s="3"/>
      <c r="BJ17" s="3"/>
      <c r="BK17" s="3"/>
      <c r="BL17" s="3"/>
      <c r="BM17" s="3"/>
      <c r="BN17" s="3"/>
      <c r="BO17" s="3"/>
      <c r="BP17" s="3"/>
      <c r="BQ17" s="3"/>
    </row>
    <row r="18" customFormat="false" ht="12.8" hidden="false" customHeight="false" outlineLevel="0" collapsed="false">
      <c r="A18" s="64" t="str">
        <f aca="false">_xlfn.CONCAT($A$1, ".", CALC!A18)</f>
        <v>LSD.RID.0.AL.TNPE.14</v>
      </c>
      <c r="B18" s="42" t="str">
        <f aca="false">CALC!C18</f>
        <v>Finance and Insurance</v>
      </c>
      <c r="C18" s="39" t="n">
        <v>50700</v>
      </c>
      <c r="D18" s="39" t="n">
        <v>1876</v>
      </c>
      <c r="E18" s="39" t="n">
        <v>1115</v>
      </c>
      <c r="F18" s="39" t="n">
        <v>47709</v>
      </c>
      <c r="G18" s="40"/>
      <c r="H18" s="40"/>
      <c r="I18" s="40"/>
      <c r="J18" s="40"/>
      <c r="K18" s="40"/>
      <c r="L18" s="40"/>
      <c r="M18" s="40"/>
      <c r="N18" s="40"/>
      <c r="O18" s="39"/>
      <c r="BA18" s="3"/>
      <c r="BB18" s="3"/>
      <c r="BC18" s="3"/>
      <c r="BD18" s="3"/>
      <c r="BE18" s="3"/>
      <c r="BF18" s="3"/>
      <c r="BG18" s="3"/>
      <c r="BH18" s="3"/>
      <c r="BI18" s="3"/>
      <c r="BJ18" s="3"/>
      <c r="BK18" s="3"/>
      <c r="BL18" s="3"/>
      <c r="BM18" s="3"/>
      <c r="BN18" s="3"/>
      <c r="BO18" s="3"/>
      <c r="BP18" s="3"/>
      <c r="BQ18" s="3"/>
    </row>
    <row r="19" customFormat="false" ht="23.85" hidden="false" customHeight="false" outlineLevel="0" collapsed="false">
      <c r="A19" s="64" t="str">
        <f aca="false">_xlfn.CONCAT($A$1, ".", CALC!A19)</f>
        <v>LSD.RID.0.AL.TNPE.15</v>
      </c>
      <c r="B19" s="67" t="str">
        <f aca="false">CALC!C19</f>
        <v>Real Estate and
Rental and Leasing</v>
      </c>
      <c r="C19" s="39" t="n">
        <v>12500</v>
      </c>
      <c r="D19" s="39" t="n">
        <v>462</v>
      </c>
      <c r="E19" s="39" t="n">
        <v>275</v>
      </c>
      <c r="F19" s="39" t="n">
        <v>11763</v>
      </c>
      <c r="G19" s="40"/>
      <c r="H19" s="40"/>
      <c r="I19" s="40"/>
      <c r="J19" s="40"/>
      <c r="K19" s="40"/>
      <c r="L19" s="40"/>
      <c r="M19" s="40"/>
      <c r="N19" s="40"/>
      <c r="O19" s="39"/>
      <c r="BA19" s="3"/>
      <c r="BB19" s="3"/>
      <c r="BC19" s="3"/>
      <c r="BD19" s="3"/>
      <c r="BE19" s="3"/>
      <c r="BF19" s="3"/>
      <c r="BG19" s="3"/>
      <c r="BH19" s="3"/>
      <c r="BI19" s="3"/>
      <c r="BJ19" s="3"/>
      <c r="BK19" s="3"/>
      <c r="BL19" s="3"/>
      <c r="BM19" s="3"/>
      <c r="BN19" s="3"/>
      <c r="BO19" s="3"/>
      <c r="BP19" s="3"/>
      <c r="BQ19" s="3"/>
    </row>
    <row r="20" customFormat="false" ht="23.85" hidden="false" customHeight="false" outlineLevel="0" collapsed="false">
      <c r="A20" s="64" t="str">
        <f aca="false">_xlfn.CONCAT($A$1, ".", CALC!A20)</f>
        <v>LSD.RID.0.AL.TNPE.16</v>
      </c>
      <c r="B20" s="67" t="str">
        <f aca="false">CALC!C20</f>
        <v>Professional, Scientific,
and Technical Services</v>
      </c>
      <c r="C20" s="39" t="n">
        <v>65100</v>
      </c>
      <c r="D20" s="39" t="n">
        <v>2409</v>
      </c>
      <c r="E20" s="39" t="n">
        <v>1432</v>
      </c>
      <c r="F20" s="39" t="n">
        <v>61259</v>
      </c>
      <c r="G20" s="40"/>
      <c r="H20" s="40"/>
      <c r="I20" s="40"/>
      <c r="J20" s="40"/>
      <c r="K20" s="40"/>
      <c r="L20" s="40"/>
      <c r="M20" s="40"/>
      <c r="N20" s="40"/>
      <c r="O20" s="39"/>
      <c r="BA20" s="3"/>
      <c r="BB20" s="3"/>
      <c r="BC20" s="3"/>
      <c r="BD20" s="3"/>
      <c r="BE20" s="3"/>
      <c r="BF20" s="3"/>
      <c r="BG20" s="3"/>
      <c r="BH20" s="3"/>
      <c r="BI20" s="3"/>
      <c r="BJ20" s="3"/>
      <c r="BK20" s="3"/>
      <c r="BL20" s="3"/>
      <c r="BM20" s="3"/>
      <c r="BN20" s="3"/>
      <c r="BO20" s="3"/>
      <c r="BP20" s="3"/>
      <c r="BQ20" s="3"/>
    </row>
    <row r="21" customFormat="false" ht="34.8" hidden="false" customHeight="false" outlineLevel="0" collapsed="false">
      <c r="A21" s="64" t="str">
        <f aca="false">_xlfn.CONCAT($A$1, ".", CALC!A21)</f>
        <v>LSD.RID.0.AL.TNPE.17</v>
      </c>
      <c r="B21" s="67" t="str">
        <f aca="false">CALC!C21</f>
        <v>Administrative and Support
and Waste Management
and Remediation Services</v>
      </c>
      <c r="C21" s="39" t="n">
        <v>65600</v>
      </c>
      <c r="D21" s="39" t="n">
        <v>2427</v>
      </c>
      <c r="E21" s="39" t="n">
        <v>1804</v>
      </c>
      <c r="F21" s="39" t="n">
        <v>61369</v>
      </c>
      <c r="G21" s="40"/>
      <c r="H21" s="40"/>
      <c r="I21" s="40"/>
      <c r="J21" s="40"/>
      <c r="K21" s="40"/>
      <c r="L21" s="40"/>
      <c r="M21" s="40"/>
      <c r="N21" s="40"/>
      <c r="O21" s="39"/>
      <c r="BA21" s="3"/>
      <c r="BB21" s="3"/>
      <c r="BC21" s="3"/>
      <c r="BD21" s="3"/>
      <c r="BE21" s="3"/>
      <c r="BF21" s="3"/>
      <c r="BG21" s="3"/>
      <c r="BH21" s="3"/>
      <c r="BI21" s="3"/>
      <c r="BJ21" s="3"/>
      <c r="BK21" s="3"/>
      <c r="BL21" s="3"/>
      <c r="BM21" s="3"/>
      <c r="BN21" s="3"/>
      <c r="BO21" s="3"/>
      <c r="BP21" s="3"/>
      <c r="BQ21" s="3"/>
    </row>
    <row r="22" customFormat="false" ht="12.9" hidden="false" customHeight="false" outlineLevel="0" collapsed="false">
      <c r="A22" s="64" t="str">
        <f aca="false">_xlfn.CONCAT($A$1, ".", CALC!A22)</f>
        <v>LSD.RID.0.AL.TNPE.18</v>
      </c>
      <c r="B22" s="42" t="str">
        <f aca="false">CALC!C22</f>
        <v>Educational Services</v>
      </c>
      <c r="C22" s="39" t="n">
        <v>27500</v>
      </c>
      <c r="D22" s="39" t="n">
        <v>1018</v>
      </c>
      <c r="E22" s="39" t="n">
        <v>605</v>
      </c>
      <c r="F22" s="39" t="n">
        <v>25877</v>
      </c>
      <c r="G22" s="40"/>
      <c r="H22" s="40"/>
      <c r="I22" s="40"/>
      <c r="J22" s="40"/>
      <c r="K22" s="40"/>
      <c r="L22" s="40"/>
      <c r="M22" s="40"/>
      <c r="N22" s="40"/>
      <c r="O22" s="39"/>
      <c r="BA22" s="3"/>
      <c r="BB22" s="3"/>
      <c r="BC22" s="3"/>
      <c r="BD22" s="3"/>
      <c r="BE22" s="3"/>
      <c r="BF22" s="3"/>
      <c r="BG22" s="3"/>
      <c r="BH22" s="3"/>
      <c r="BI22" s="3"/>
      <c r="BJ22" s="3"/>
      <c r="BK22" s="3"/>
      <c r="BL22" s="3"/>
      <c r="BM22" s="3"/>
      <c r="BN22" s="3"/>
      <c r="BO22" s="3"/>
      <c r="BP22" s="3"/>
      <c r="BQ22" s="3"/>
    </row>
    <row r="23" customFormat="false" ht="23.85" hidden="false" customHeight="false" outlineLevel="0" collapsed="false">
      <c r="A23" s="64" t="str">
        <f aca="false">_xlfn.CONCAT($A$1, ".", CALC!A23)</f>
        <v>LSD.RID.0.AL.TNPE.19</v>
      </c>
      <c r="B23" s="67" t="str">
        <f aca="false">CALC!C23</f>
        <v>Health Care and
Social Assistance</v>
      </c>
      <c r="C23" s="39" t="n">
        <v>109400</v>
      </c>
      <c r="D23" s="39" t="n">
        <v>4048</v>
      </c>
      <c r="E23" s="39" t="n">
        <v>2407</v>
      </c>
      <c r="F23" s="39" t="n">
        <v>102945</v>
      </c>
      <c r="G23" s="40"/>
      <c r="H23" s="40"/>
      <c r="I23" s="40"/>
      <c r="J23" s="40"/>
      <c r="K23" s="40"/>
      <c r="L23" s="40"/>
      <c r="M23" s="40"/>
      <c r="N23" s="40"/>
      <c r="O23" s="39"/>
      <c r="BA23" s="3"/>
      <c r="BB23" s="3"/>
      <c r="BC23" s="3"/>
      <c r="BD23" s="3"/>
      <c r="BE23" s="3"/>
      <c r="BF23" s="3"/>
      <c r="BG23" s="3"/>
      <c r="BH23" s="3"/>
      <c r="BI23" s="3"/>
      <c r="BJ23" s="3"/>
      <c r="BK23" s="3"/>
      <c r="BL23" s="3"/>
      <c r="BM23" s="3"/>
      <c r="BN23" s="3"/>
      <c r="BO23" s="3"/>
      <c r="BP23" s="3"/>
      <c r="BQ23" s="3"/>
    </row>
    <row r="24" customFormat="false" ht="23.85" hidden="false" customHeight="false" outlineLevel="0" collapsed="false">
      <c r="A24" s="64" t="str">
        <f aca="false">_xlfn.CONCAT($A$1, ".", CALC!A24)</f>
        <v>LSD.RID.0.AL.TNPE.20</v>
      </c>
      <c r="B24" s="67" t="str">
        <f aca="false">CALC!C24</f>
        <v>Arts, Entertainment,
and Recreation</v>
      </c>
      <c r="C24" s="39" t="n">
        <v>12500</v>
      </c>
      <c r="D24" s="39" t="n">
        <v>462</v>
      </c>
      <c r="E24" s="39" t="n">
        <v>275</v>
      </c>
      <c r="F24" s="39" t="n">
        <v>11763</v>
      </c>
      <c r="G24" s="40"/>
      <c r="H24" s="40"/>
      <c r="I24" s="40"/>
      <c r="J24" s="40"/>
      <c r="K24" s="40"/>
      <c r="L24" s="40"/>
      <c r="M24" s="40"/>
      <c r="N24" s="40"/>
      <c r="O24" s="39"/>
      <c r="BA24" s="3"/>
      <c r="BB24" s="3"/>
      <c r="BC24" s="3"/>
      <c r="BD24" s="3"/>
      <c r="BE24" s="3"/>
      <c r="BF24" s="3"/>
      <c r="BG24" s="3"/>
      <c r="BH24" s="3"/>
      <c r="BI24" s="3"/>
      <c r="BJ24" s="3"/>
      <c r="BK24" s="3"/>
      <c r="BL24" s="3"/>
      <c r="BM24" s="3"/>
      <c r="BN24" s="3"/>
      <c r="BO24" s="3"/>
      <c r="BP24" s="3"/>
      <c r="BQ24" s="3"/>
    </row>
    <row r="25" customFormat="false" ht="23.85" hidden="false" customHeight="false" outlineLevel="0" collapsed="false">
      <c r="A25" s="64" t="str">
        <f aca="false">_xlfn.CONCAT($A$1, ".", CALC!A25)</f>
        <v>LSD.RID.0.AL.TNPE.21</v>
      </c>
      <c r="B25" s="67" t="str">
        <f aca="false">CALC!C25</f>
        <v>Accommodation
and Food Services</v>
      </c>
      <c r="C25" s="39" t="n">
        <v>96800</v>
      </c>
      <c r="D25" s="39" t="n">
        <v>3582</v>
      </c>
      <c r="E25" s="39" t="n">
        <v>2939</v>
      </c>
      <c r="F25" s="39" t="n">
        <v>90279</v>
      </c>
      <c r="G25" s="40"/>
      <c r="H25" s="40"/>
      <c r="I25" s="40"/>
      <c r="J25" s="40"/>
      <c r="K25" s="40"/>
      <c r="L25" s="40"/>
      <c r="M25" s="40"/>
      <c r="N25" s="40"/>
      <c r="O25" s="39"/>
      <c r="BA25" s="3"/>
      <c r="BB25" s="3"/>
      <c r="BC25" s="3"/>
      <c r="BD25" s="3"/>
      <c r="BE25" s="3"/>
      <c r="BF25" s="3"/>
      <c r="BG25" s="3"/>
      <c r="BH25" s="3"/>
      <c r="BI25" s="3"/>
      <c r="BJ25" s="3"/>
      <c r="BK25" s="3"/>
      <c r="BL25" s="3"/>
      <c r="BM25" s="3"/>
      <c r="BN25" s="3"/>
      <c r="BO25" s="3"/>
      <c r="BP25" s="3"/>
      <c r="BQ25" s="3"/>
    </row>
    <row r="26" customFormat="false" ht="23.85" hidden="false" customHeight="false" outlineLevel="0" collapsed="false">
      <c r="A26" s="64" t="str">
        <f aca="false">_xlfn.CONCAT($A$1, ".", CALC!A26)</f>
        <v>LSD.RID.0.AL.TNPE.22</v>
      </c>
      <c r="B26" s="67" t="str">
        <f aca="false">CALC!C26</f>
        <v>Other Services (except
Public Administration)</v>
      </c>
      <c r="C26" s="39" t="n">
        <v>49500</v>
      </c>
      <c r="D26" s="39" t="n">
        <v>1832</v>
      </c>
      <c r="E26" s="39" t="n">
        <v>1089</v>
      </c>
      <c r="F26" s="39" t="n">
        <v>46579</v>
      </c>
      <c r="G26" s="40"/>
      <c r="H26" s="40"/>
      <c r="I26" s="40"/>
      <c r="J26" s="40"/>
      <c r="K26" s="40"/>
      <c r="L26" s="40"/>
      <c r="M26" s="40"/>
      <c r="N26" s="40"/>
      <c r="O26" s="39"/>
      <c r="BA26" s="3"/>
      <c r="BB26" s="3"/>
      <c r="BC26" s="3"/>
      <c r="BD26" s="3"/>
      <c r="BE26" s="3"/>
      <c r="BF26" s="3"/>
      <c r="BG26" s="3"/>
      <c r="BH26" s="3"/>
      <c r="BI26" s="3"/>
      <c r="BJ26" s="3"/>
      <c r="BK26" s="3"/>
      <c r="BL26" s="3"/>
      <c r="BM26" s="3"/>
      <c r="BN26" s="3"/>
      <c r="BO26" s="3"/>
      <c r="BP26" s="3"/>
      <c r="BQ26" s="3"/>
    </row>
    <row r="27" customFormat="false" ht="12.8" hidden="false" customHeight="false" outlineLevel="0" collapsed="false">
      <c r="A27" s="64" t="str">
        <f aca="false">_xlfn.CONCAT($A$1, ".", CALC!A27)</f>
        <v>LSD.RID.0.AL.TNPE.23</v>
      </c>
      <c r="B27" s="42" t="str">
        <f aca="false">CALC!C27</f>
        <v>Public Administration</v>
      </c>
      <c r="C27" s="39" t="n">
        <v>211000</v>
      </c>
      <c r="D27" s="39" t="n">
        <v>7807</v>
      </c>
      <c r="E27" s="39" t="n">
        <v>4642</v>
      </c>
      <c r="F27" s="39" t="n">
        <v>198551</v>
      </c>
      <c r="G27" s="40"/>
      <c r="H27" s="40"/>
      <c r="I27" s="40"/>
      <c r="J27" s="40"/>
      <c r="K27" s="40"/>
      <c r="L27" s="40"/>
      <c r="M27" s="40"/>
      <c r="N27" s="40"/>
      <c r="O27" s="39"/>
      <c r="BD27" s="3"/>
      <c r="BE27" s="3"/>
      <c r="BF27" s="3"/>
      <c r="BG27" s="3"/>
      <c r="BH27" s="3"/>
      <c r="BI27" s="3"/>
      <c r="BJ27" s="3"/>
      <c r="BK27" s="3"/>
      <c r="BL27" s="3"/>
      <c r="BM27" s="3"/>
      <c r="BN27" s="3"/>
      <c r="BO27" s="3"/>
      <c r="BP27" s="3"/>
      <c r="BQ27" s="3"/>
    </row>
    <row r="28" customFormat="false" ht="12.8" hidden="false" customHeight="false" outlineLevel="0" collapsed="false">
      <c r="A28" s="64"/>
      <c r="B28" s="42"/>
      <c r="C28" s="63"/>
      <c r="BJ28" s="3"/>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130" customFormat="false" ht="12.8" hidden="false" customHeight="false" outlineLevel="0" collapsed="false">
      <c r="A130" s="64" t="str">
        <f aca="false">_xlfn.CONCAT($A$1, ".", "FORM")</f>
        <v>LSD.RID.0.AL.TNPE.FORM</v>
      </c>
      <c r="B130" s="65" t="str">
        <f aca="false">_xlfn.CONCAT($B$1, " ", "Formulae")</f>
        <v>Alabama Labor Force Population Formulae</v>
      </c>
      <c r="C130" s="65"/>
    </row>
    <row r="131" customFormat="false" ht="12.8" hidden="false" customHeight="false" outlineLevel="0" collapsed="false">
      <c r="A131" s="49" t="s">
        <v>176</v>
      </c>
      <c r="B131" s="49" t="s">
        <v>177</v>
      </c>
      <c r="C131" s="49" t="s">
        <v>178</v>
      </c>
      <c r="D131" s="49" t="s">
        <v>5005</v>
      </c>
      <c r="E131" s="49" t="s">
        <v>180</v>
      </c>
      <c r="F131" s="49" t="s">
        <v>181</v>
      </c>
      <c r="G131" s="49" t="s">
        <v>181</v>
      </c>
    </row>
    <row r="132" customFormat="false" ht="12.8" hidden="false" customHeight="false" outlineLevel="0" collapsed="false">
      <c r="A132" s="39" t="s">
        <v>5006</v>
      </c>
      <c r="B132" s="39" t="s">
        <v>5007</v>
      </c>
      <c r="C132" s="39" t="s">
        <v>5008</v>
      </c>
      <c r="D132" s="39" t="s">
        <v>5009</v>
      </c>
      <c r="E132" s="39" t="s">
        <v>5010</v>
      </c>
      <c r="F132" s="39" t="s">
        <v>5011</v>
      </c>
      <c r="G132" s="39" t="s">
        <v>5012</v>
      </c>
    </row>
    <row r="133" customFormat="false" ht="12.8" hidden="false" customHeight="false" outlineLevel="0" collapsed="false">
      <c r="A133" s="39" t="s">
        <v>5013</v>
      </c>
      <c r="B133" s="39" t="s">
        <v>5014</v>
      </c>
      <c r="C133" s="39" t="s">
        <v>5015</v>
      </c>
      <c r="D133" s="39" t="s">
        <v>5016</v>
      </c>
      <c r="E133" s="39" t="s">
        <v>5017</v>
      </c>
      <c r="F133" s="39" t="s">
        <v>5018</v>
      </c>
      <c r="G133" s="39" t="s">
        <v>4719</v>
      </c>
    </row>
    <row r="134" customFormat="false" ht="12.8" hidden="false" customHeight="false" outlineLevel="0" collapsed="false">
      <c r="A134" s="39" t="s">
        <v>5019</v>
      </c>
      <c r="B134" s="39" t="s">
        <v>5020</v>
      </c>
      <c r="C134" s="39" t="s">
        <v>5021</v>
      </c>
      <c r="D134" s="39" t="s">
        <v>5022</v>
      </c>
      <c r="E134" s="39" t="s">
        <v>5023</v>
      </c>
      <c r="F134" s="39" t="s">
        <v>5024</v>
      </c>
      <c r="G134" s="39" t="s">
        <v>4726</v>
      </c>
    </row>
    <row r="135" customFormat="false" ht="12.8" hidden="false" customHeight="false" outlineLevel="0" collapsed="false">
      <c r="A135" s="39" t="s">
        <v>5025</v>
      </c>
      <c r="B135" s="39" t="s">
        <v>5026</v>
      </c>
      <c r="C135" s="39" t="s">
        <v>5027</v>
      </c>
      <c r="D135" s="39" t="s">
        <v>5028</v>
      </c>
      <c r="E135" s="39" t="s">
        <v>5029</v>
      </c>
      <c r="F135" s="39" t="s">
        <v>5030</v>
      </c>
      <c r="G135" s="39" t="s">
        <v>4732</v>
      </c>
    </row>
    <row r="136" customFormat="false" ht="12.8" hidden="false" customHeight="false" outlineLevel="0" collapsed="false">
      <c r="A136" s="51"/>
      <c r="B136" s="68"/>
      <c r="C136" s="68"/>
      <c r="D136" s="39"/>
      <c r="E136" s="39"/>
      <c r="F136" s="39"/>
      <c r="G136" s="39"/>
    </row>
    <row r="137" customFormat="false" ht="12.8" hidden="false" customHeight="false" outlineLevel="0" collapsed="false">
      <c r="A137" s="64" t="str">
        <f aca="false">_xlfn.CONCAT($A$1, ".", "PARAM")</f>
        <v>LSD.RID.0.AL.TNPE.PARAM</v>
      </c>
      <c r="B137" s="65" t="str">
        <f aca="false">_xlfn.CONCAT($B$1, " ", "Parameters")</f>
        <v>Alabama Labor Force Population Parameters</v>
      </c>
      <c r="C137" s="65"/>
    </row>
    <row r="138" customFormat="false" ht="12.8" hidden="false" customHeight="false" outlineLevel="0" collapsed="false">
      <c r="A138" s="49" t="s">
        <v>176</v>
      </c>
      <c r="B138" s="49" t="s">
        <v>178</v>
      </c>
      <c r="C138" s="49" t="s">
        <v>427</v>
      </c>
      <c r="D138" s="49" t="s">
        <v>180</v>
      </c>
      <c r="E138" s="49" t="s">
        <v>428</v>
      </c>
      <c r="F138" s="49" t="s">
        <v>429</v>
      </c>
      <c r="G138" s="49" t="s">
        <v>430</v>
      </c>
      <c r="H138" s="49" t="s">
        <v>181</v>
      </c>
    </row>
    <row r="139" customFormat="false" ht="12.8" hidden="false" customHeight="false" outlineLevel="0" collapsed="false">
      <c r="A139" s="39" t="s">
        <v>5031</v>
      </c>
      <c r="B139" s="39" t="s">
        <v>5032</v>
      </c>
      <c r="C139" s="39" t="s">
        <v>434</v>
      </c>
      <c r="D139" s="39" t="s">
        <v>5033</v>
      </c>
      <c r="E139" s="39" t="s">
        <v>434</v>
      </c>
      <c r="F139" s="39" t="s">
        <v>5034</v>
      </c>
      <c r="G139" s="52" t="s">
        <v>436</v>
      </c>
      <c r="H139" s="39" t="s">
        <v>5035</v>
      </c>
    </row>
    <row r="140" customFormat="false" ht="12.8" hidden="false" customHeight="false" outlineLevel="0" collapsed="false">
      <c r="A140" s="39" t="s">
        <v>5036</v>
      </c>
      <c r="B140" s="39" t="s">
        <v>5037</v>
      </c>
      <c r="C140" s="39" t="s">
        <v>434</v>
      </c>
      <c r="D140" s="39" t="s">
        <v>5038</v>
      </c>
      <c r="E140" s="39" t="s">
        <v>434</v>
      </c>
      <c r="F140" s="39" t="s">
        <v>5034</v>
      </c>
      <c r="G140" s="52" t="s">
        <v>436</v>
      </c>
      <c r="H140" s="39"/>
    </row>
    <row r="141" customFormat="false" ht="12.8" hidden="false" customHeight="false" outlineLevel="0" collapsed="false">
      <c r="A141" s="39" t="s">
        <v>5039</v>
      </c>
      <c r="B141" s="39" t="s">
        <v>5040</v>
      </c>
      <c r="C141" s="39" t="s">
        <v>440</v>
      </c>
      <c r="D141" s="39" t="s">
        <v>5041</v>
      </c>
      <c r="E141" s="39" t="s">
        <v>440</v>
      </c>
      <c r="F141" s="39" t="s">
        <v>5034</v>
      </c>
      <c r="G141" s="52" t="s">
        <v>436</v>
      </c>
      <c r="H141" s="39"/>
    </row>
    <row r="142" customFormat="false" ht="12.8" hidden="false" customHeight="false" outlineLevel="0" collapsed="false">
      <c r="A142" s="39" t="s">
        <v>5042</v>
      </c>
      <c r="B142" s="39" t="s">
        <v>5043</v>
      </c>
      <c r="C142" s="39" t="s">
        <v>434</v>
      </c>
      <c r="D142" s="39" t="s">
        <v>5044</v>
      </c>
      <c r="E142" s="39" t="s">
        <v>434</v>
      </c>
      <c r="F142" s="39" t="s">
        <v>5034</v>
      </c>
      <c r="G142" s="52" t="s">
        <v>436</v>
      </c>
      <c r="H142" s="39"/>
    </row>
    <row r="143" customFormat="false" ht="12.8" hidden="false" customHeight="false" outlineLevel="0" collapsed="false">
      <c r="A143" s="39" t="s">
        <v>5045</v>
      </c>
      <c r="B143" s="39" t="s">
        <v>5046</v>
      </c>
      <c r="C143" s="39" t="s">
        <v>434</v>
      </c>
      <c r="D143" s="39" t="s">
        <v>5047</v>
      </c>
      <c r="E143" s="39" t="s">
        <v>434</v>
      </c>
      <c r="F143" s="39" t="s">
        <v>5034</v>
      </c>
      <c r="G143" s="52" t="s">
        <v>436</v>
      </c>
      <c r="H143" s="39"/>
    </row>
    <row r="144" customFormat="false" ht="12.8" hidden="false" customHeight="false" outlineLevel="0" collapsed="false">
      <c r="A144" s="39" t="s">
        <v>5048</v>
      </c>
      <c r="B144" s="39" t="s">
        <v>5049</v>
      </c>
      <c r="C144" s="39" t="s">
        <v>434</v>
      </c>
      <c r="D144" s="39" t="s">
        <v>5050</v>
      </c>
      <c r="E144" s="39" t="s">
        <v>434</v>
      </c>
      <c r="F144" s="39" t="s">
        <v>5034</v>
      </c>
      <c r="G144" s="52" t="s">
        <v>436</v>
      </c>
      <c r="H144" s="39"/>
    </row>
    <row r="145" customFormat="false" ht="12.8" hidden="false" customHeight="false" outlineLevel="0" collapsed="false">
      <c r="A145" s="39" t="s">
        <v>5051</v>
      </c>
      <c r="B145" s="39" t="s">
        <v>5052</v>
      </c>
      <c r="C145" s="39" t="s">
        <v>434</v>
      </c>
      <c r="D145" s="39" t="s">
        <v>5053</v>
      </c>
      <c r="E145" s="39" t="s">
        <v>434</v>
      </c>
      <c r="F145" s="39" t="s">
        <v>5034</v>
      </c>
      <c r="G145" s="52" t="s">
        <v>436</v>
      </c>
      <c r="H145" s="39"/>
    </row>
    <row r="146" customFormat="false" ht="12.8" hidden="false" customHeight="false" outlineLevel="0" collapsed="false">
      <c r="A146" s="39" t="s">
        <v>5054</v>
      </c>
      <c r="B146" s="39" t="s">
        <v>5055</v>
      </c>
      <c r="C146" s="39" t="s">
        <v>434</v>
      </c>
      <c r="D146" s="39" t="s">
        <v>5056</v>
      </c>
      <c r="E146" s="39" t="s">
        <v>434</v>
      </c>
      <c r="F146" s="39" t="s">
        <v>5034</v>
      </c>
      <c r="G146" s="52" t="s">
        <v>436</v>
      </c>
      <c r="H146" s="39"/>
    </row>
    <row r="147" customFormat="false" ht="12.8" hidden="false" customHeight="false" outlineLevel="0" collapsed="false">
      <c r="A147" s="39" t="s">
        <v>5057</v>
      </c>
      <c r="B147" s="39" t="s">
        <v>5058</v>
      </c>
      <c r="C147" s="39" t="s">
        <v>434</v>
      </c>
      <c r="D147" s="39" t="s">
        <v>5059</v>
      </c>
      <c r="E147" s="39" t="s">
        <v>434</v>
      </c>
      <c r="F147" s="39" t="s">
        <v>5034</v>
      </c>
      <c r="G147" s="52" t="s">
        <v>436</v>
      </c>
      <c r="H147" s="39"/>
    </row>
    <row r="148" customFormat="false" ht="12.8" hidden="false" customHeight="false" outlineLevel="0" collapsed="false">
      <c r="A148" s="39" t="s">
        <v>5060</v>
      </c>
      <c r="B148" s="39" t="s">
        <v>5061</v>
      </c>
      <c r="C148" s="39" t="s">
        <v>434</v>
      </c>
      <c r="D148" s="39" t="s">
        <v>5062</v>
      </c>
      <c r="E148" s="39" t="s">
        <v>434</v>
      </c>
      <c r="F148" s="39" t="s">
        <v>5034</v>
      </c>
      <c r="G148" s="52" t="s">
        <v>436</v>
      </c>
      <c r="H148" s="39"/>
    </row>
    <row r="149" customFormat="false" ht="12.8" hidden="false" customHeight="false" outlineLevel="0" collapsed="false">
      <c r="A149" s="39" t="s">
        <v>5063</v>
      </c>
      <c r="B149" s="39" t="s">
        <v>5064</v>
      </c>
      <c r="C149" s="39" t="s">
        <v>440</v>
      </c>
      <c r="D149" s="39" t="s">
        <v>5065</v>
      </c>
      <c r="E149" s="39" t="s">
        <v>440</v>
      </c>
      <c r="F149" s="39" t="s">
        <v>5034</v>
      </c>
      <c r="G149" s="52" t="s">
        <v>436</v>
      </c>
      <c r="H149" s="39"/>
    </row>
    <row r="150" customFormat="false" ht="12.8" hidden="false" customHeight="false" outlineLevel="0" collapsed="false">
      <c r="A150" s="39" t="s">
        <v>5066</v>
      </c>
      <c r="B150" s="39" t="s">
        <v>5067</v>
      </c>
      <c r="C150" s="39" t="s">
        <v>434</v>
      </c>
      <c r="D150" s="39" t="s">
        <v>5068</v>
      </c>
      <c r="E150" s="39" t="s">
        <v>434</v>
      </c>
      <c r="F150" s="39" t="s">
        <v>5034</v>
      </c>
      <c r="G150" s="52" t="s">
        <v>436</v>
      </c>
      <c r="H150" s="39"/>
    </row>
    <row r="151" customFormat="false" ht="12.8" hidden="false" customHeight="false" outlineLevel="0" collapsed="false">
      <c r="A151" s="39" t="s">
        <v>5069</v>
      </c>
      <c r="B151" s="39" t="s">
        <v>5070</v>
      </c>
      <c r="C151" s="39" t="s">
        <v>434</v>
      </c>
      <c r="D151" s="39" t="s">
        <v>5071</v>
      </c>
      <c r="E151" s="39" t="s">
        <v>434</v>
      </c>
      <c r="F151" s="39" t="s">
        <v>5034</v>
      </c>
      <c r="G151" s="52" t="s">
        <v>436</v>
      </c>
      <c r="H151" s="39"/>
    </row>
    <row r="152" customFormat="false" ht="12.8" hidden="false" customHeight="false" outlineLevel="0" collapsed="false">
      <c r="A152" s="39" t="s">
        <v>5072</v>
      </c>
      <c r="B152" s="39" t="s">
        <v>5073</v>
      </c>
      <c r="C152" s="39" t="s">
        <v>434</v>
      </c>
      <c r="D152" s="39" t="s">
        <v>5074</v>
      </c>
      <c r="E152" s="39" t="s">
        <v>434</v>
      </c>
      <c r="F152" s="39" t="s">
        <v>5034</v>
      </c>
      <c r="G152" s="52" t="s">
        <v>436</v>
      </c>
      <c r="H152" s="39"/>
    </row>
    <row r="153" customFormat="false" ht="12.8" hidden="false" customHeight="false" outlineLevel="0" collapsed="false">
      <c r="A153" s="39" t="s">
        <v>5075</v>
      </c>
      <c r="B153" s="39" t="s">
        <v>5076</v>
      </c>
      <c r="C153" s="39" t="s">
        <v>434</v>
      </c>
      <c r="D153" s="39" t="s">
        <v>5077</v>
      </c>
      <c r="E153" s="39" t="s">
        <v>434</v>
      </c>
      <c r="F153" s="39" t="s">
        <v>5034</v>
      </c>
      <c r="G153" s="52" t="s">
        <v>436</v>
      </c>
      <c r="H153" s="39"/>
    </row>
    <row r="154" customFormat="false" ht="12.8" hidden="false" customHeight="false" outlineLevel="0" collapsed="false">
      <c r="A154" s="39" t="s">
        <v>5078</v>
      </c>
      <c r="B154" s="39" t="s">
        <v>5079</v>
      </c>
      <c r="C154" s="39" t="s">
        <v>440</v>
      </c>
      <c r="D154" s="39" t="s">
        <v>5080</v>
      </c>
      <c r="E154" s="39" t="s">
        <v>440</v>
      </c>
      <c r="F154" s="39" t="s">
        <v>5034</v>
      </c>
      <c r="G154" s="52" t="s">
        <v>436</v>
      </c>
      <c r="H154" s="39"/>
    </row>
    <row r="155" customFormat="false" ht="12.8" hidden="false" customHeight="false" outlineLevel="0" collapsed="false">
      <c r="A155" s="39" t="s">
        <v>5081</v>
      </c>
      <c r="B155" s="39" t="s">
        <v>5082</v>
      </c>
      <c r="C155" s="39" t="s">
        <v>434</v>
      </c>
      <c r="D155" s="39" t="s">
        <v>5083</v>
      </c>
      <c r="E155" s="39" t="s">
        <v>434</v>
      </c>
      <c r="F155" s="39" t="s">
        <v>5034</v>
      </c>
      <c r="G155" s="52" t="s">
        <v>436</v>
      </c>
      <c r="H155" s="39"/>
    </row>
    <row r="156" customFormat="false" ht="12.8" hidden="false" customHeight="false" outlineLevel="0" collapsed="false">
      <c r="A156" s="39" t="s">
        <v>5084</v>
      </c>
      <c r="B156" s="39" t="s">
        <v>5085</v>
      </c>
      <c r="C156" s="39" t="s">
        <v>434</v>
      </c>
      <c r="D156" s="39" t="s">
        <v>5086</v>
      </c>
      <c r="E156" s="39" t="s">
        <v>434</v>
      </c>
      <c r="F156" s="39" t="s">
        <v>5034</v>
      </c>
      <c r="G156" s="52" t="s">
        <v>436</v>
      </c>
      <c r="H156" s="39"/>
    </row>
    <row r="157" customFormat="false" ht="12.8" hidden="false" customHeight="false" outlineLevel="0" collapsed="false">
      <c r="A157" s="39" t="s">
        <v>5087</v>
      </c>
      <c r="B157" s="39" t="s">
        <v>5088</v>
      </c>
      <c r="C157" s="39" t="s">
        <v>502</v>
      </c>
      <c r="D157" s="39" t="s">
        <v>5089</v>
      </c>
      <c r="E157" s="39" t="s">
        <v>502</v>
      </c>
      <c r="F157" s="39" t="s">
        <v>5034</v>
      </c>
      <c r="G157" s="52" t="s">
        <v>436</v>
      </c>
      <c r="H157" s="39"/>
    </row>
    <row r="158" customFormat="false" ht="12.8" hidden="false" customHeight="false" outlineLevel="0" collapsed="false">
      <c r="A158" s="39" t="s">
        <v>5090</v>
      </c>
      <c r="B158" s="39" t="s">
        <v>5091</v>
      </c>
      <c r="C158" s="39" t="s">
        <v>440</v>
      </c>
      <c r="D158" s="39" t="s">
        <v>5092</v>
      </c>
      <c r="E158" s="39" t="s">
        <v>440</v>
      </c>
      <c r="F158" s="39" t="s">
        <v>5034</v>
      </c>
      <c r="G158" s="52" t="s">
        <v>436</v>
      </c>
      <c r="H158" s="39"/>
    </row>
    <row r="159" customFormat="false" ht="12.8" hidden="false" customHeight="false" outlineLevel="0" collapsed="false">
      <c r="A159" s="39" t="s">
        <v>5093</v>
      </c>
      <c r="B159" s="39" t="s">
        <v>5094</v>
      </c>
      <c r="C159" s="39" t="s">
        <v>434</v>
      </c>
      <c r="D159" s="39" t="s">
        <v>5095</v>
      </c>
      <c r="E159" s="39" t="s">
        <v>434</v>
      </c>
      <c r="F159" s="39" t="s">
        <v>5034</v>
      </c>
      <c r="G159" s="52" t="s">
        <v>436</v>
      </c>
      <c r="H159" s="39"/>
    </row>
    <row r="160" customFormat="false" ht="12.8" hidden="false" customHeight="false" outlineLevel="0" collapsed="false">
      <c r="A160" s="39" t="s">
        <v>5096</v>
      </c>
      <c r="B160" s="39" t="s">
        <v>5097</v>
      </c>
      <c r="C160" s="39" t="s">
        <v>434</v>
      </c>
      <c r="D160" s="39" t="s">
        <v>5098</v>
      </c>
      <c r="E160" s="39" t="s">
        <v>434</v>
      </c>
      <c r="F160" s="39" t="s">
        <v>5034</v>
      </c>
      <c r="G160" s="52" t="s">
        <v>436</v>
      </c>
      <c r="H160" s="39"/>
    </row>
    <row r="161" customFormat="false" ht="12.8" hidden="false" customHeight="false" outlineLevel="0" collapsed="false">
      <c r="A161" s="39" t="s">
        <v>5099</v>
      </c>
      <c r="B161" s="39" t="s">
        <v>5100</v>
      </c>
      <c r="C161" s="39" t="s">
        <v>502</v>
      </c>
      <c r="D161" s="39" t="s">
        <v>5101</v>
      </c>
      <c r="E161" s="39" t="s">
        <v>502</v>
      </c>
      <c r="F161" s="39" t="s">
        <v>5102</v>
      </c>
      <c r="G161" s="52" t="s">
        <v>436</v>
      </c>
      <c r="H161" s="39" t="s">
        <v>5103</v>
      </c>
    </row>
    <row r="162" customFormat="false" ht="12.8" hidden="false" customHeight="false" outlineLevel="0" collapsed="false">
      <c r="A162" s="39" t="s">
        <v>5104</v>
      </c>
      <c r="B162" s="39" t="s">
        <v>5105</v>
      </c>
      <c r="C162" s="39" t="n">
        <v>0.008</v>
      </c>
      <c r="D162" s="39" t="s">
        <v>5106</v>
      </c>
      <c r="E162" s="39" t="s">
        <v>434</v>
      </c>
      <c r="F162" s="39" t="s">
        <v>487</v>
      </c>
      <c r="G162" s="52" t="s">
        <v>436</v>
      </c>
      <c r="H162" s="39" t="s">
        <v>5107</v>
      </c>
    </row>
    <row r="163" customFormat="false" ht="12.8" hidden="false" customHeight="false" outlineLevel="0" collapsed="false">
      <c r="A163" s="39" t="s">
        <v>5108</v>
      </c>
      <c r="B163" s="39" t="s">
        <v>5109</v>
      </c>
      <c r="C163" s="39" t="n">
        <v>0.005</v>
      </c>
      <c r="D163" s="39" t="s">
        <v>5110</v>
      </c>
      <c r="E163" s="39" t="s">
        <v>434</v>
      </c>
      <c r="F163" s="39" t="s">
        <v>487</v>
      </c>
      <c r="G163" s="52" t="s">
        <v>436</v>
      </c>
      <c r="H163" s="39" t="s">
        <v>5035</v>
      </c>
    </row>
    <row r="164" customFormat="false" ht="12.8" hidden="false" customHeight="false" outlineLevel="0" collapsed="false">
      <c r="A164" s="39" t="s">
        <v>5111</v>
      </c>
      <c r="B164" s="39" t="s">
        <v>5112</v>
      </c>
      <c r="C164" s="39" t="n">
        <v>0.004</v>
      </c>
      <c r="D164" s="39" t="s">
        <v>5113</v>
      </c>
      <c r="E164" s="39" t="s">
        <v>434</v>
      </c>
      <c r="F164" s="39" t="s">
        <v>487</v>
      </c>
      <c r="G164" s="52" t="s">
        <v>436</v>
      </c>
      <c r="H164" s="39"/>
    </row>
    <row r="165" customFormat="false" ht="12.8" hidden="false" customHeight="false" outlineLevel="0" collapsed="false">
      <c r="A165" s="39" t="s">
        <v>5114</v>
      </c>
      <c r="B165" s="39" t="s">
        <v>5115</v>
      </c>
      <c r="C165" s="39" t="n">
        <v>0.006</v>
      </c>
      <c r="D165" s="39" t="s">
        <v>5116</v>
      </c>
      <c r="E165" s="39" t="s">
        <v>440</v>
      </c>
      <c r="F165" s="39" t="s">
        <v>487</v>
      </c>
      <c r="G165" s="52" t="s">
        <v>436</v>
      </c>
      <c r="H165" s="39"/>
    </row>
    <row r="166" customFormat="false" ht="12.8" hidden="false" customHeight="false" outlineLevel="0" collapsed="false">
      <c r="A166" s="39" t="s">
        <v>5117</v>
      </c>
      <c r="B166" s="39" t="s">
        <v>5118</v>
      </c>
      <c r="C166" s="39" t="n">
        <v>0.004</v>
      </c>
      <c r="D166" s="39" t="s">
        <v>5119</v>
      </c>
      <c r="E166" s="39" t="s">
        <v>434</v>
      </c>
      <c r="F166" s="39" t="s">
        <v>487</v>
      </c>
      <c r="G166" s="52" t="s">
        <v>436</v>
      </c>
      <c r="H166" s="39"/>
    </row>
    <row r="167" customFormat="false" ht="12.8" hidden="false" customHeight="false" outlineLevel="0" collapsed="false">
      <c r="A167" s="39" t="s">
        <v>5120</v>
      </c>
      <c r="B167" s="39" t="s">
        <v>5121</v>
      </c>
      <c r="C167" s="39" t="n">
        <v>0.004</v>
      </c>
      <c r="D167" s="39" t="s">
        <v>5122</v>
      </c>
      <c r="E167" s="39" t="s">
        <v>434</v>
      </c>
      <c r="F167" s="39" t="s">
        <v>487</v>
      </c>
      <c r="G167" s="52" t="s">
        <v>436</v>
      </c>
      <c r="H167" s="39"/>
    </row>
    <row r="168" customFormat="false" ht="12.8" hidden="false" customHeight="false" outlineLevel="0" collapsed="false">
      <c r="A168" s="39" t="s">
        <v>5123</v>
      </c>
      <c r="B168" s="39" t="s">
        <v>5124</v>
      </c>
      <c r="C168" s="39" t="n">
        <v>0.003</v>
      </c>
      <c r="D168" s="39" t="s">
        <v>5125</v>
      </c>
      <c r="E168" s="39" t="s">
        <v>434</v>
      </c>
      <c r="F168" s="39" t="s">
        <v>487</v>
      </c>
      <c r="G168" s="52" t="s">
        <v>436</v>
      </c>
      <c r="H168" s="39"/>
    </row>
    <row r="169" customFormat="false" ht="12.8" hidden="false" customHeight="false" outlineLevel="0" collapsed="false">
      <c r="A169" s="39" t="s">
        <v>5126</v>
      </c>
      <c r="B169" s="39" t="s">
        <v>5127</v>
      </c>
      <c r="C169" s="39" t="n">
        <v>0.003</v>
      </c>
      <c r="D169" s="39" t="s">
        <v>5128</v>
      </c>
      <c r="E169" s="39" t="s">
        <v>434</v>
      </c>
      <c r="F169" s="39" t="s">
        <v>487</v>
      </c>
      <c r="G169" s="52" t="s">
        <v>436</v>
      </c>
      <c r="H169" s="39"/>
    </row>
    <row r="170" customFormat="false" ht="12.8" hidden="false" customHeight="false" outlineLevel="0" collapsed="false">
      <c r="A170" s="39" t="s">
        <v>5129</v>
      </c>
      <c r="B170" s="39" t="s">
        <v>5130</v>
      </c>
      <c r="C170" s="39" t="n">
        <v>0.005</v>
      </c>
      <c r="D170" s="39" t="s">
        <v>5131</v>
      </c>
      <c r="E170" s="39" t="s">
        <v>440</v>
      </c>
      <c r="F170" s="39" t="s">
        <v>487</v>
      </c>
      <c r="G170" s="52" t="s">
        <v>436</v>
      </c>
      <c r="H170" s="39"/>
    </row>
    <row r="171" customFormat="false" ht="12.8" hidden="false" customHeight="false" outlineLevel="0" collapsed="false">
      <c r="A171" s="39" t="s">
        <v>5132</v>
      </c>
      <c r="B171" s="39" t="s">
        <v>5133</v>
      </c>
      <c r="C171" s="39" t="n">
        <v>0.005</v>
      </c>
      <c r="D171" s="39" t="s">
        <v>5134</v>
      </c>
      <c r="E171" s="39" t="s">
        <v>440</v>
      </c>
      <c r="F171" s="39" t="s">
        <v>487</v>
      </c>
      <c r="G171" s="52" t="s">
        <v>436</v>
      </c>
      <c r="H171" s="39"/>
    </row>
    <row r="172" customFormat="false" ht="12.8" hidden="false" customHeight="false" outlineLevel="0" collapsed="false">
      <c r="A172" s="39" t="s">
        <v>5135</v>
      </c>
      <c r="B172" s="39" t="s">
        <v>5136</v>
      </c>
      <c r="C172" s="39" t="n">
        <v>0.004</v>
      </c>
      <c r="D172" s="39" t="s">
        <v>5137</v>
      </c>
      <c r="E172" s="39" t="s">
        <v>434</v>
      </c>
      <c r="F172" s="39" t="s">
        <v>487</v>
      </c>
      <c r="G172" s="52" t="s">
        <v>436</v>
      </c>
      <c r="H172" s="39"/>
    </row>
    <row r="173" customFormat="false" ht="12.8" hidden="false" customHeight="false" outlineLevel="0" collapsed="false">
      <c r="A173" s="39" t="s">
        <v>5138</v>
      </c>
      <c r="B173" s="39" t="s">
        <v>5139</v>
      </c>
      <c r="C173" s="39" t="n">
        <v>0.005</v>
      </c>
      <c r="D173" s="39" t="s">
        <v>5140</v>
      </c>
      <c r="E173" s="39" t="s">
        <v>440</v>
      </c>
      <c r="F173" s="39" t="s">
        <v>487</v>
      </c>
      <c r="G173" s="52" t="s">
        <v>436</v>
      </c>
      <c r="H173" s="39"/>
    </row>
    <row r="174" customFormat="false" ht="12.8" hidden="false" customHeight="false" outlineLevel="0" collapsed="false">
      <c r="A174" s="39" t="s">
        <v>5141</v>
      </c>
      <c r="B174" s="39" t="s">
        <v>5142</v>
      </c>
      <c r="C174" s="39" t="n">
        <v>0.003</v>
      </c>
      <c r="D174" s="39" t="s">
        <v>5143</v>
      </c>
      <c r="E174" s="39" t="s">
        <v>434</v>
      </c>
      <c r="F174" s="39" t="s">
        <v>487</v>
      </c>
      <c r="G174" s="52" t="s">
        <v>436</v>
      </c>
      <c r="H174" s="39"/>
    </row>
    <row r="175" customFormat="false" ht="12.8" hidden="false" customHeight="false" outlineLevel="0" collapsed="false">
      <c r="A175" s="39" t="s">
        <v>5144</v>
      </c>
      <c r="B175" s="39" t="s">
        <v>5145</v>
      </c>
      <c r="C175" s="39" t="n">
        <v>0.002</v>
      </c>
      <c r="D175" s="39" t="s">
        <v>5146</v>
      </c>
      <c r="E175" s="39" t="s">
        <v>434</v>
      </c>
      <c r="F175" s="39" t="s">
        <v>487</v>
      </c>
      <c r="G175" s="52" t="s">
        <v>436</v>
      </c>
      <c r="H175" s="39"/>
    </row>
    <row r="176" customFormat="false" ht="12.8" hidden="false" customHeight="false" outlineLevel="0" collapsed="false">
      <c r="A176" s="39" t="s">
        <v>5147</v>
      </c>
      <c r="B176" s="39" t="s">
        <v>5148</v>
      </c>
      <c r="C176" s="39" t="n">
        <v>0.003</v>
      </c>
      <c r="D176" s="39" t="s">
        <v>5149</v>
      </c>
      <c r="E176" s="39" t="s">
        <v>434</v>
      </c>
      <c r="F176" s="39" t="s">
        <v>487</v>
      </c>
      <c r="G176" s="52" t="s">
        <v>436</v>
      </c>
      <c r="H176" s="39"/>
    </row>
    <row r="177" customFormat="false" ht="12.8" hidden="false" customHeight="false" outlineLevel="0" collapsed="false">
      <c r="A177" s="39" t="s">
        <v>5150</v>
      </c>
      <c r="B177" s="39" t="s">
        <v>5151</v>
      </c>
      <c r="C177" s="39" t="n">
        <v>0.002</v>
      </c>
      <c r="D177" s="39" t="s">
        <v>5152</v>
      </c>
      <c r="E177" s="39" t="s">
        <v>434</v>
      </c>
      <c r="F177" s="39" t="s">
        <v>487</v>
      </c>
      <c r="G177" s="52" t="s">
        <v>436</v>
      </c>
      <c r="H177" s="39"/>
    </row>
    <row r="178" customFormat="false" ht="12.8" hidden="false" customHeight="false" outlineLevel="0" collapsed="false">
      <c r="A178" s="39" t="s">
        <v>5153</v>
      </c>
      <c r="B178" s="39" t="s">
        <v>5154</v>
      </c>
      <c r="C178" s="39" t="n">
        <v>0.005</v>
      </c>
      <c r="D178" s="39" t="s">
        <v>5155</v>
      </c>
      <c r="E178" s="39" t="s">
        <v>440</v>
      </c>
      <c r="F178" s="39" t="s">
        <v>487</v>
      </c>
      <c r="G178" s="52" t="s">
        <v>436</v>
      </c>
      <c r="H178" s="39"/>
    </row>
    <row r="179" customFormat="false" ht="12.8" hidden="false" customHeight="false" outlineLevel="0" collapsed="false">
      <c r="A179" s="39" t="s">
        <v>5156</v>
      </c>
      <c r="B179" s="39" t="s">
        <v>5157</v>
      </c>
      <c r="C179" s="39" t="n">
        <v>0.002</v>
      </c>
      <c r="D179" s="39" t="s">
        <v>5158</v>
      </c>
      <c r="E179" s="39" t="s">
        <v>434</v>
      </c>
      <c r="F179" s="39" t="s">
        <v>487</v>
      </c>
      <c r="G179" s="52" t="s">
        <v>436</v>
      </c>
      <c r="H179" s="39"/>
    </row>
    <row r="180" customFormat="false" ht="12.8" hidden="false" customHeight="false" outlineLevel="0" collapsed="false">
      <c r="A180" s="39" t="s">
        <v>5159</v>
      </c>
      <c r="B180" s="39" t="s">
        <v>5160</v>
      </c>
      <c r="C180" s="39" t="n">
        <v>0.002</v>
      </c>
      <c r="D180" s="39" t="s">
        <v>5161</v>
      </c>
      <c r="E180" s="39" t="s">
        <v>434</v>
      </c>
      <c r="F180" s="39" t="s">
        <v>487</v>
      </c>
      <c r="G180" s="52" t="s">
        <v>436</v>
      </c>
      <c r="H180" s="39"/>
    </row>
    <row r="181" customFormat="false" ht="12.8" hidden="false" customHeight="false" outlineLevel="0" collapsed="false">
      <c r="A181" s="39" t="s">
        <v>5162</v>
      </c>
      <c r="B181" s="39" t="s">
        <v>5163</v>
      </c>
      <c r="C181" s="39" t="n">
        <v>0.006</v>
      </c>
      <c r="D181" s="39" t="s">
        <v>5164</v>
      </c>
      <c r="E181" s="39" t="s">
        <v>502</v>
      </c>
      <c r="F181" s="39" t="s">
        <v>487</v>
      </c>
      <c r="G181" s="52" t="s">
        <v>436</v>
      </c>
      <c r="H181" s="39"/>
    </row>
    <row r="182" customFormat="false" ht="12.8" hidden="false" customHeight="false" outlineLevel="0" collapsed="false">
      <c r="A182" s="39" t="s">
        <v>5165</v>
      </c>
      <c r="B182" s="39" t="s">
        <v>5166</v>
      </c>
      <c r="C182" s="39" t="n">
        <v>0.006</v>
      </c>
      <c r="D182" s="39" t="s">
        <v>5167</v>
      </c>
      <c r="E182" s="39" t="s">
        <v>502</v>
      </c>
      <c r="F182" s="39" t="s">
        <v>487</v>
      </c>
      <c r="G182" s="52" t="s">
        <v>436</v>
      </c>
      <c r="H182" s="39"/>
    </row>
    <row r="183" customFormat="false" ht="12.8" hidden="false" customHeight="false" outlineLevel="0" collapsed="false">
      <c r="A183" s="39" t="s">
        <v>5168</v>
      </c>
      <c r="B183" s="39" t="s">
        <v>5169</v>
      </c>
      <c r="C183" s="39" t="n">
        <v>0.004</v>
      </c>
      <c r="D183" s="39" t="s">
        <v>5170</v>
      </c>
      <c r="E183" s="39" t="s">
        <v>440</v>
      </c>
      <c r="F183" s="39" t="s">
        <v>487</v>
      </c>
      <c r="G183" s="52" t="s">
        <v>436</v>
      </c>
      <c r="H183" s="39"/>
    </row>
    <row r="184" customFormat="false" ht="12.8" hidden="false" customHeight="false" outlineLevel="0" collapsed="false">
      <c r="A184" s="39" t="s">
        <v>5171</v>
      </c>
      <c r="B184" s="39" t="s">
        <v>5172</v>
      </c>
      <c r="C184" s="39" t="n">
        <v>0.002</v>
      </c>
      <c r="D184" s="39" t="s">
        <v>5173</v>
      </c>
      <c r="E184" s="39" t="s">
        <v>434</v>
      </c>
      <c r="F184" s="39" t="s">
        <v>487</v>
      </c>
      <c r="G184" s="52" t="s">
        <v>436</v>
      </c>
      <c r="H184" s="39"/>
    </row>
    <row r="185" customFormat="false" ht="12.8" hidden="false" customHeight="false" outlineLevel="0" collapsed="false">
      <c r="A185" s="39" t="s">
        <v>5174</v>
      </c>
      <c r="B185" s="39" t="s">
        <v>5175</v>
      </c>
      <c r="C185" s="39" t="n">
        <v>1.04</v>
      </c>
      <c r="D185" s="39" t="s">
        <v>5176</v>
      </c>
      <c r="E185" s="39" t="s">
        <v>440</v>
      </c>
      <c r="F185" s="39" t="s">
        <v>5177</v>
      </c>
      <c r="G185" s="52" t="s">
        <v>436</v>
      </c>
      <c r="H185" s="39" t="s">
        <v>5107</v>
      </c>
    </row>
    <row r="186" customFormat="false" ht="12.8" hidden="false" customHeight="false" outlineLevel="0" collapsed="false">
      <c r="A186" s="39" t="s">
        <v>5178</v>
      </c>
      <c r="B186" s="39" t="s">
        <v>5179</v>
      </c>
      <c r="C186" s="39" t="s">
        <v>5180</v>
      </c>
      <c r="D186" s="39" t="s">
        <v>5181</v>
      </c>
      <c r="E186" s="39" t="s">
        <v>434</v>
      </c>
      <c r="F186" s="39" t="s">
        <v>5182</v>
      </c>
      <c r="G186" s="52" t="s">
        <v>436</v>
      </c>
      <c r="H186" s="39" t="s">
        <v>5030</v>
      </c>
    </row>
    <row r="187" customFormat="false" ht="12.8" hidden="false" customHeight="false" outlineLevel="0" collapsed="false">
      <c r="A187" s="39" t="s">
        <v>5183</v>
      </c>
      <c r="B187" s="39" t="s">
        <v>5184</v>
      </c>
      <c r="C187" s="39" t="n">
        <v>2211200</v>
      </c>
      <c r="D187" s="39" t="s">
        <v>5185</v>
      </c>
      <c r="E187" s="39" t="s">
        <v>434</v>
      </c>
      <c r="F187" s="39" t="s">
        <v>5186</v>
      </c>
      <c r="G187" s="52" t="s">
        <v>436</v>
      </c>
      <c r="H187" s="39" t="s">
        <v>5187</v>
      </c>
    </row>
    <row r="188" customFormat="false" ht="12.8" hidden="false" customHeight="false" outlineLevel="0" collapsed="false">
      <c r="A188" s="39" t="s">
        <v>5188</v>
      </c>
      <c r="B188" s="39" t="s">
        <v>5189</v>
      </c>
      <c r="C188" s="39" t="n">
        <v>0.9983</v>
      </c>
      <c r="D188" s="39" t="s">
        <v>5190</v>
      </c>
      <c r="E188" s="39" t="s">
        <v>434</v>
      </c>
      <c r="F188" s="39" t="s">
        <v>5191</v>
      </c>
      <c r="G188" s="52" t="s">
        <v>436</v>
      </c>
      <c r="H188" s="39" t="s">
        <v>5192</v>
      </c>
    </row>
    <row r="190" customFormat="false" ht="12.8" hidden="false" customHeight="false" outlineLevel="0" collapsed="false">
      <c r="A190" s="64" t="str">
        <f aca="false">_xlfn.CONCAT($A$1, ".", "VALID")</f>
        <v>LSD.RID.0.AL.TNPE.VALID</v>
      </c>
      <c r="B190" s="65" t="str">
        <f aca="false">_xlfn.CONCAT($B$1, " ", "Validation")</f>
        <v>Alabama Labor Force Population Validation</v>
      </c>
    </row>
    <row r="191" customFormat="false" ht="12.8" hidden="false" customHeight="false" outlineLevel="0" collapsed="false">
      <c r="A191" s="49" t="s">
        <v>176</v>
      </c>
      <c r="B191" s="49" t="s">
        <v>5193</v>
      </c>
      <c r="C191" s="49" t="s">
        <v>4950</v>
      </c>
      <c r="D191" s="49" t="s">
        <v>5194</v>
      </c>
      <c r="E191" s="49" t="s">
        <v>5195</v>
      </c>
      <c r="F191" s="49" t="s">
        <v>428</v>
      </c>
      <c r="G191" s="49" t="s">
        <v>5196</v>
      </c>
    </row>
    <row r="192" customFormat="false" ht="12.8" hidden="false" customHeight="false" outlineLevel="0" collapsed="false">
      <c r="A192" s="39" t="s">
        <v>5197</v>
      </c>
      <c r="B192" s="39" t="s">
        <v>5198</v>
      </c>
      <c r="C192" s="39" t="n">
        <v>2211200</v>
      </c>
      <c r="D192" s="39" t="n">
        <v>2211200</v>
      </c>
      <c r="E192" s="39" t="s">
        <v>5199</v>
      </c>
      <c r="F192" s="39" t="s">
        <v>434</v>
      </c>
      <c r="G192" s="39" t="s">
        <v>5200</v>
      </c>
    </row>
    <row r="193" customFormat="false" ht="12.8" hidden="false" customHeight="false" outlineLevel="0" collapsed="false">
      <c r="A193" s="39" t="s">
        <v>5201</v>
      </c>
      <c r="B193" s="39" t="s">
        <v>5202</v>
      </c>
      <c r="C193" s="39" t="n">
        <v>2211200</v>
      </c>
      <c r="D193" s="39" t="s">
        <v>5203</v>
      </c>
      <c r="E193" s="39" t="s">
        <v>5204</v>
      </c>
      <c r="F193" s="39" t="s">
        <v>434</v>
      </c>
      <c r="G193" s="39" t="s">
        <v>5205</v>
      </c>
    </row>
    <row r="194" customFormat="false" ht="12.8" hidden="false" customHeight="false" outlineLevel="0" collapsed="false">
      <c r="A194" s="39" t="s">
        <v>5206</v>
      </c>
      <c r="B194" s="39" t="s">
        <v>5207</v>
      </c>
      <c r="C194" s="39" t="s">
        <v>5208</v>
      </c>
      <c r="D194" s="39" t="s">
        <v>5209</v>
      </c>
      <c r="E194" s="39" t="s">
        <v>5210</v>
      </c>
      <c r="F194" s="39" t="s">
        <v>434</v>
      </c>
      <c r="G194" s="39" t="s">
        <v>5211</v>
      </c>
    </row>
    <row r="195" customFormat="false" ht="12.8" hidden="false" customHeight="false" outlineLevel="0" collapsed="false">
      <c r="A195" s="39" t="s">
        <v>5212</v>
      </c>
      <c r="B195" s="39" t="s">
        <v>5213</v>
      </c>
      <c r="C195" s="39" t="s">
        <v>5214</v>
      </c>
      <c r="D195" s="39" t="s">
        <v>5215</v>
      </c>
      <c r="E195" s="39" t="s">
        <v>5216</v>
      </c>
      <c r="F195" s="39" t="s">
        <v>440</v>
      </c>
      <c r="G195" s="39" t="s">
        <v>5217</v>
      </c>
    </row>
    <row r="196" customFormat="false" ht="12.8" hidden="false" customHeight="false" outlineLevel="0" collapsed="false">
      <c r="A196" s="39" t="s">
        <v>5218</v>
      </c>
      <c r="B196" s="39" t="s">
        <v>5219</v>
      </c>
      <c r="C196" s="39" t="n">
        <v>0.9983</v>
      </c>
      <c r="D196" s="39" t="s">
        <v>5220</v>
      </c>
      <c r="E196" s="39" t="s">
        <v>5221</v>
      </c>
      <c r="F196" s="39" t="s">
        <v>434</v>
      </c>
      <c r="G196" s="39" t="s">
        <v>5222</v>
      </c>
    </row>
    <row r="197" customFormat="false" ht="12.8" hidden="false" customHeight="false" outlineLevel="0" collapsed="false">
      <c r="A197" s="39" t="s">
        <v>5223</v>
      </c>
      <c r="B197" s="39" t="s">
        <v>5224</v>
      </c>
      <c r="C197" s="39" t="s">
        <v>5225</v>
      </c>
      <c r="D197" s="39" t="s">
        <v>5226</v>
      </c>
      <c r="E197" s="39" t="s">
        <v>5227</v>
      </c>
      <c r="F197" s="39" t="s">
        <v>502</v>
      </c>
      <c r="G197" s="39" t="s">
        <v>5228</v>
      </c>
    </row>
    <row r="198" customFormat="false" ht="12.8" hidden="false" customHeight="false" outlineLevel="0" collapsed="false">
      <c r="A198" s="39" t="s">
        <v>5229</v>
      </c>
      <c r="B198" s="39" t="s">
        <v>5230</v>
      </c>
      <c r="C198" s="39" t="s">
        <v>5231</v>
      </c>
      <c r="D198" s="39" t="s">
        <v>5232</v>
      </c>
      <c r="E198" s="39" t="s">
        <v>5233</v>
      </c>
      <c r="F198" s="39" t="s">
        <v>434</v>
      </c>
      <c r="G198" s="39" t="s">
        <v>5234</v>
      </c>
    </row>
    <row r="199" customFormat="false" ht="12.8" hidden="false" customHeight="false" outlineLevel="0" collapsed="false">
      <c r="A199" s="39" t="s">
        <v>5235</v>
      </c>
      <c r="B199" s="39" t="s">
        <v>5236</v>
      </c>
      <c r="C199" s="39" t="s">
        <v>5237</v>
      </c>
      <c r="D199" s="39" t="s">
        <v>5238</v>
      </c>
      <c r="E199" s="39" t="s">
        <v>5239</v>
      </c>
      <c r="F199" s="39" t="s">
        <v>434</v>
      </c>
      <c r="G199" s="39" t="s">
        <v>5240</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H232"/>
  <sheetViews>
    <sheetView showFormulas="false" showGridLines="true" showRowColHeaders="true" showZeros="true" rightToLeft="false" tabSelected="false" showOutlineSymbols="true" defaultGridColor="true" view="normal" topLeftCell="A141" colorId="64" zoomScale="75" zoomScaleNormal="75" zoomScalePageLayoutView="100" workbookViewId="0">
      <selection pane="topLeft" activeCell="G121" activeCellId="0" sqref="G121"/>
    </sheetView>
  </sheetViews>
  <sheetFormatPr defaultColWidth="11.53515625" defaultRowHeight="12.8" customHeight="false" zeroHeight="false" outlineLevelRow="0" outlineLevelCol="0"/>
  <cols>
    <col collapsed="false" customWidth="true" hidden="false" outlineLevel="0" max="1" min="1" style="51"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26" min="7" style="39" width="16.84"/>
    <col collapsed="false" customWidth="true" hidden="false" outlineLevel="0" max="40" min="27" style="39" width="17.78"/>
    <col collapsed="false" customWidth="true" hidden="false" outlineLevel="0" max="43" min="41" style="39" width="15.48"/>
    <col collapsed="false" customWidth="true" hidden="false" outlineLevel="0" max="48" min="48" style="39" width="18.45"/>
    <col collapsed="false" customWidth="true" hidden="false" outlineLevel="0" max="51" min="49" style="39" width="16.14"/>
    <col collapsed="false" customWidth="true" hidden="false" outlineLevel="0" max="59" min="52" style="39" width="13.84"/>
  </cols>
  <sheetData>
    <row r="1" customFormat="false" ht="12.9" hidden="false" customHeight="false" outlineLevel="0" collapsed="false">
      <c r="A1" s="4" t="s">
        <v>5241</v>
      </c>
      <c r="B1" s="42" t="s">
        <v>5242</v>
      </c>
      <c r="C1" s="6" t="s">
        <v>2</v>
      </c>
      <c r="D1" s="66" t="s">
        <v>5243</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row>
    <row r="2" customFormat="false" ht="12.8" hidden="false" customHeight="false" outlineLevel="0" collapsed="false">
      <c r="A2" s="64" t="str">
        <f aca="false">_xlfn.CONCAT($A$1, ".", "CALC")</f>
        <v>LSD.RID.0.AL.ETPR.CALC</v>
      </c>
      <c r="B2" s="65" t="str">
        <f aca="false">_xlfn.CONCAT($B$1, " ", "Calculations")</f>
        <v>Alabama Employment-to-Population Ratio (ETPR) Calculations</v>
      </c>
      <c r="C2" s="55" t="str">
        <f aca="false">CALC!L2</f>
        <v>Employment-to-Population Ratio (ETPR)</v>
      </c>
      <c r="D2" s="55"/>
      <c r="E2" s="55"/>
      <c r="F2" s="55"/>
      <c r="G2" s="63"/>
      <c r="H2" s="63"/>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row>
    <row r="3" customFormat="false" ht="12.8" hidden="false" customHeight="false" outlineLevel="0" collapsed="false">
      <c r="A3" s="64" t="str">
        <f aca="false">CALC!A3</f>
        <v>LSID</v>
      </c>
      <c r="B3" s="42" t="str">
        <f aca="false">CALC!C3</f>
        <v>Labor Sector</v>
      </c>
      <c r="C3" s="58" t="str">
        <f aca="false">CALC!L3</f>
        <v>Overall ETPR</v>
      </c>
      <c r="D3" s="58" t="str">
        <f aca="false">CALC!M3</f>
        <v>Authorized ETPR</v>
      </c>
      <c r="E3" s="58" t="str">
        <f aca="false">CALC!N3</f>
        <v>Unauthorized ETPR</v>
      </c>
      <c r="F3" s="58" t="str">
        <f aca="false">CALC!O3</f>
        <v>American ETPR</v>
      </c>
      <c r="AF3" s="3"/>
      <c r="AG3" s="3"/>
      <c r="AH3" s="3"/>
      <c r="AI3" s="3"/>
      <c r="AR3" s="39"/>
      <c r="AS3" s="39"/>
      <c r="AT3" s="39"/>
      <c r="AU3" s="39"/>
      <c r="AV3" s="3"/>
      <c r="AW3" s="3"/>
      <c r="AX3" s="3"/>
      <c r="AY3" s="3"/>
      <c r="AZ3" s="3"/>
      <c r="BA3" s="3"/>
      <c r="BB3" s="3"/>
      <c r="BC3" s="3"/>
      <c r="BD3" s="3"/>
      <c r="BE3" s="3"/>
      <c r="BF3" s="3"/>
      <c r="BG3" s="3"/>
    </row>
    <row r="4" customFormat="false" ht="12.8" hidden="false" customHeight="false" outlineLevel="0" collapsed="false">
      <c r="A4" s="64" t="str">
        <f aca="false">_xlfn.CONCAT($A$1, ".", CALC!A4)</f>
        <v>LSD.RID.0.AL.ETPR.0</v>
      </c>
      <c r="B4" s="42" t="str">
        <f aca="false">CALC!C4</f>
        <v>All Industries</v>
      </c>
      <c r="C4" s="39" t="n">
        <v>0.562</v>
      </c>
      <c r="D4" s="39" t="n">
        <v>0.538</v>
      </c>
      <c r="E4" s="39" t="n">
        <v>0.594</v>
      </c>
      <c r="F4" s="39" t="n">
        <v>0.564</v>
      </c>
      <c r="AF4" s="3"/>
      <c r="AG4" s="3"/>
      <c r="AH4" s="3"/>
      <c r="AI4" s="3"/>
      <c r="AR4" s="39"/>
      <c r="AS4" s="39"/>
      <c r="AT4" s="39"/>
      <c r="AU4" s="39"/>
      <c r="AV4" s="3"/>
      <c r="AW4" s="3"/>
      <c r="AX4" s="3"/>
      <c r="AY4" s="3"/>
      <c r="AZ4" s="3"/>
      <c r="BA4" s="3"/>
      <c r="BB4" s="3"/>
      <c r="BC4" s="3"/>
      <c r="BD4" s="3"/>
      <c r="BE4" s="3"/>
      <c r="BF4" s="3"/>
      <c r="BG4" s="3"/>
    </row>
    <row r="5" customFormat="false" ht="23.85" hidden="false" customHeight="false" outlineLevel="0" collapsed="false">
      <c r="A5" s="64" t="str">
        <f aca="false">_xlfn.CONCAT($A$1, ".", CALC!A5)</f>
        <v>LSD.RID.0.AL.ETPR.1</v>
      </c>
      <c r="B5" s="42" t="str">
        <f aca="false">CALC!C5</f>
        <v>Agriculture, Forestry, 
Fishing and Hunting</v>
      </c>
      <c r="C5" s="39" t="n">
        <v>0.61</v>
      </c>
      <c r="D5" s="39" t="n">
        <v>0.62</v>
      </c>
      <c r="E5" s="39" t="n">
        <v>0.68</v>
      </c>
      <c r="F5" s="39" t="n">
        <v>0.605</v>
      </c>
      <c r="AF5" s="3"/>
      <c r="AG5" s="3"/>
      <c r="AH5" s="3"/>
      <c r="AI5" s="3"/>
      <c r="AR5" s="39"/>
      <c r="AS5" s="39"/>
      <c r="AT5" s="39"/>
      <c r="AU5" s="39"/>
      <c r="AV5" s="3"/>
      <c r="AW5" s="3"/>
      <c r="AX5" s="3"/>
      <c r="AY5" s="3"/>
      <c r="AZ5" s="3"/>
      <c r="BA5" s="3"/>
      <c r="BB5" s="3"/>
      <c r="BC5" s="3"/>
      <c r="BD5" s="3"/>
      <c r="BE5" s="3"/>
      <c r="BF5" s="3"/>
      <c r="BG5" s="3"/>
    </row>
    <row r="6" customFormat="false" ht="23.85" hidden="false" customHeight="false" outlineLevel="0" collapsed="false">
      <c r="A6" s="64" t="str">
        <f aca="false">_xlfn.CONCAT($A$1, ".", CALC!A6)</f>
        <v>LSD.RID.0.AL.ETPR.2</v>
      </c>
      <c r="B6" s="42" t="str">
        <f aca="false">CALC!C6</f>
        <v>Mining, Quarrying, and
Oil and Gas Extraction</v>
      </c>
      <c r="C6" s="39" t="n">
        <v>0.68</v>
      </c>
      <c r="D6" s="39" t="n">
        <v>0.67</v>
      </c>
      <c r="E6" s="39" t="n">
        <v>0.71</v>
      </c>
      <c r="F6" s="39" t="n">
        <v>0.682</v>
      </c>
      <c r="AF6" s="3"/>
      <c r="AG6" s="3"/>
      <c r="AH6" s="3"/>
      <c r="AI6" s="3"/>
      <c r="AR6" s="39"/>
      <c r="AS6" s="39"/>
      <c r="AT6" s="39"/>
      <c r="AU6" s="39"/>
      <c r="AV6" s="3"/>
      <c r="AW6" s="3"/>
      <c r="AX6" s="3"/>
      <c r="AY6" s="3"/>
      <c r="AZ6" s="3"/>
      <c r="BA6" s="3"/>
      <c r="BB6" s="3"/>
      <c r="BC6" s="3"/>
      <c r="BD6" s="3"/>
      <c r="BE6" s="3"/>
      <c r="BF6" s="3"/>
      <c r="BG6" s="3"/>
    </row>
    <row r="7" customFormat="false" ht="12.8" hidden="false" customHeight="false" outlineLevel="0" collapsed="false">
      <c r="A7" s="64" t="str">
        <f aca="false">_xlfn.CONCAT($A$1, ".", CALC!A7)</f>
        <v>LSD.RID.0.AL.ETPR.3</v>
      </c>
      <c r="B7" s="42" t="str">
        <f aca="false">CALC!C7</f>
        <v>Utilities</v>
      </c>
      <c r="C7" s="39" t="n">
        <v>0.78</v>
      </c>
      <c r="D7" s="39" t="n">
        <v>0.77</v>
      </c>
      <c r="E7" s="39" t="n">
        <v>0.8</v>
      </c>
      <c r="F7" s="39" t="n">
        <v>0.781</v>
      </c>
      <c r="AF7" s="3"/>
      <c r="AG7" s="3"/>
      <c r="AH7" s="3"/>
      <c r="AI7" s="3"/>
      <c r="AR7" s="39"/>
      <c r="AS7" s="39"/>
      <c r="AT7" s="39"/>
      <c r="AU7" s="39"/>
      <c r="AV7" s="3"/>
      <c r="AW7" s="3"/>
      <c r="AX7" s="3"/>
      <c r="AY7" s="3"/>
      <c r="AZ7" s="3"/>
      <c r="BA7" s="3"/>
      <c r="BB7" s="3"/>
      <c r="BC7" s="3"/>
      <c r="BD7" s="3"/>
      <c r="BE7" s="3"/>
      <c r="BF7" s="3"/>
      <c r="BG7" s="3"/>
    </row>
    <row r="8" customFormat="false" ht="12.8" hidden="false" customHeight="false" outlineLevel="0" collapsed="false">
      <c r="A8" s="64" t="str">
        <f aca="false">_xlfn.CONCAT($A$1, ".", CALC!A8)</f>
        <v>LSD.RID.0.AL.ETPR.4</v>
      </c>
      <c r="B8" s="42" t="str">
        <f aca="false">CALC!C8</f>
        <v>Construction</v>
      </c>
      <c r="C8" s="39" t="n">
        <v>0.72</v>
      </c>
      <c r="D8" s="39" t="n">
        <v>0.71</v>
      </c>
      <c r="E8" s="39" t="n">
        <v>0.78</v>
      </c>
      <c r="F8" s="39" t="n">
        <v>0.718</v>
      </c>
      <c r="AF8" s="3"/>
      <c r="AG8" s="3"/>
      <c r="AH8" s="3"/>
      <c r="AI8" s="3"/>
      <c r="AR8" s="39"/>
      <c r="AS8" s="39"/>
      <c r="AT8" s="39"/>
      <c r="AU8" s="39"/>
      <c r="AV8" s="3"/>
      <c r="AW8" s="3"/>
      <c r="AX8" s="3"/>
      <c r="AY8" s="3"/>
      <c r="AZ8" s="3"/>
      <c r="BA8" s="3"/>
      <c r="BB8" s="3"/>
      <c r="BC8" s="3"/>
      <c r="BD8" s="3"/>
      <c r="BE8" s="3"/>
      <c r="BF8" s="3"/>
      <c r="BG8" s="3"/>
    </row>
    <row r="9" customFormat="false" ht="23.85" hidden="false" customHeight="false" outlineLevel="0" collapsed="false">
      <c r="A9" s="64" t="str">
        <f aca="false">_xlfn.CONCAT($A$1, ".", CALC!A9)</f>
        <v>LSD.RID.0.AL.ETPR.5</v>
      </c>
      <c r="B9" s="42" t="str">
        <f aca="false">CALC!C9</f>
        <v>Manufacturing
(Food,Textile, etc.)</v>
      </c>
      <c r="C9" s="39" t="n">
        <v>0.62</v>
      </c>
      <c r="D9" s="39" t="n">
        <v>0.61</v>
      </c>
      <c r="E9" s="39" t="n">
        <v>0.66</v>
      </c>
      <c r="F9" s="39" t="n">
        <v>0.621</v>
      </c>
      <c r="AF9" s="3"/>
      <c r="AG9" s="3"/>
      <c r="AH9" s="3"/>
      <c r="AI9" s="3"/>
      <c r="AR9" s="39"/>
      <c r="AS9" s="39"/>
      <c r="AT9" s="39"/>
      <c r="AU9" s="39"/>
      <c r="AV9" s="3"/>
      <c r="AW9" s="3"/>
      <c r="AX9" s="3"/>
      <c r="AY9" s="3"/>
      <c r="AZ9" s="3"/>
      <c r="BA9" s="3"/>
      <c r="BB9" s="3"/>
      <c r="BC9" s="3"/>
      <c r="BD9" s="3"/>
      <c r="BE9" s="3"/>
      <c r="BF9" s="3"/>
      <c r="BG9" s="3"/>
    </row>
    <row r="10" customFormat="false" ht="23.85" hidden="false" customHeight="false" outlineLevel="0" collapsed="false">
      <c r="A10" s="64" t="str">
        <f aca="false">_xlfn.CONCAT($A$1, ".", CALC!A10)</f>
        <v>LSD.RID.0.AL.ETPR.6</v>
      </c>
      <c r="B10" s="42" t="str">
        <f aca="false">CALC!C10</f>
        <v>Manufacturing (Wood,
Paper, Printing, etc.)</v>
      </c>
      <c r="C10" s="39" t="n">
        <v>0.64</v>
      </c>
      <c r="D10" s="39" t="n">
        <v>0.63</v>
      </c>
      <c r="E10" s="39" t="n">
        <v>0.68</v>
      </c>
      <c r="F10" s="39" t="n">
        <v>0.641</v>
      </c>
      <c r="AF10" s="3"/>
      <c r="AG10" s="3"/>
      <c r="AH10" s="3"/>
      <c r="AI10" s="3"/>
      <c r="AR10" s="39"/>
      <c r="AS10" s="39"/>
      <c r="AT10" s="39"/>
      <c r="AU10" s="39"/>
      <c r="AV10" s="3"/>
      <c r="AW10" s="3"/>
      <c r="AX10" s="3"/>
      <c r="AY10" s="3"/>
      <c r="AZ10" s="3"/>
      <c r="BA10" s="3"/>
      <c r="BB10" s="3"/>
      <c r="BC10" s="3"/>
      <c r="BD10" s="3"/>
      <c r="BE10" s="3"/>
      <c r="BF10" s="3"/>
      <c r="BG10" s="3"/>
    </row>
    <row r="11" customFormat="false" ht="23.85" hidden="false" customHeight="false" outlineLevel="0" collapsed="false">
      <c r="A11" s="64" t="str">
        <f aca="false">_xlfn.CONCAT($A$1, ".", CALC!A11)</f>
        <v>LSD.RID.0.AL.ETPR.7</v>
      </c>
      <c r="B11" s="42" t="str">
        <f aca="false">CALC!C11</f>
        <v>Manufacturing
(Machinery, Transport)</v>
      </c>
      <c r="C11" s="39" t="n">
        <v>0.7</v>
      </c>
      <c r="D11" s="39" t="n">
        <v>0.69</v>
      </c>
      <c r="E11" s="39" t="n">
        <v>0.74</v>
      </c>
      <c r="F11" s="39" t="n">
        <v>0.701</v>
      </c>
      <c r="AF11" s="3"/>
      <c r="AG11" s="3"/>
      <c r="AH11" s="3"/>
      <c r="AI11" s="3"/>
      <c r="AR11" s="39"/>
      <c r="AS11" s="39"/>
      <c r="AT11" s="39"/>
      <c r="AU11" s="39"/>
      <c r="AV11" s="3"/>
      <c r="AW11" s="3"/>
      <c r="AX11" s="3"/>
      <c r="AY11" s="3"/>
      <c r="AZ11" s="3"/>
      <c r="BA11" s="3"/>
      <c r="BB11" s="3"/>
      <c r="BC11" s="3"/>
      <c r="BD11" s="3"/>
      <c r="BE11" s="3"/>
      <c r="BF11" s="3"/>
      <c r="BG11" s="3"/>
    </row>
    <row r="12" customFormat="false" ht="12.8" hidden="false" customHeight="false" outlineLevel="0" collapsed="false">
      <c r="A12" s="64" t="str">
        <f aca="false">_xlfn.CONCAT($A$1, ".", CALC!A12)</f>
        <v>LSD.RID.0.AL.ETPR.8</v>
      </c>
      <c r="B12" s="42" t="str">
        <f aca="false">CALC!C12</f>
        <v>Wholesale Trade</v>
      </c>
      <c r="C12" s="39" t="n">
        <v>0.68</v>
      </c>
      <c r="D12" s="39" t="n">
        <v>0.67</v>
      </c>
      <c r="E12" s="39" t="n">
        <v>0.71</v>
      </c>
      <c r="F12" s="39" t="n">
        <v>0.681</v>
      </c>
      <c r="AF12" s="3"/>
      <c r="AG12" s="3"/>
      <c r="AH12" s="3"/>
      <c r="AI12" s="3"/>
      <c r="AR12" s="39"/>
      <c r="AS12" s="39"/>
      <c r="AT12" s="39"/>
      <c r="AU12" s="39"/>
      <c r="AV12" s="3"/>
      <c r="AW12" s="3"/>
      <c r="AX12" s="3"/>
      <c r="AY12" s="3"/>
      <c r="AZ12" s="3"/>
      <c r="BA12" s="3"/>
      <c r="BB12" s="3"/>
      <c r="BC12" s="3"/>
      <c r="BD12" s="3"/>
      <c r="BE12" s="3"/>
      <c r="BF12" s="3"/>
      <c r="BG12" s="3"/>
    </row>
    <row r="13" customFormat="false" ht="23.85" hidden="false" customHeight="false" outlineLevel="0" collapsed="false">
      <c r="A13" s="64" t="str">
        <f aca="false">_xlfn.CONCAT($A$1, ".", CALC!A13)</f>
        <v>LSD.RID.0.AL.ETPR.9</v>
      </c>
      <c r="B13" s="42" t="str">
        <f aca="false">CALC!C13</f>
        <v>Retail Trade (Motor
Vehicle, Electronics)</v>
      </c>
      <c r="C13" s="39" t="n">
        <v>0.58</v>
      </c>
      <c r="D13" s="39" t="n">
        <v>0.57</v>
      </c>
      <c r="E13" s="39" t="n">
        <v>0.62</v>
      </c>
      <c r="F13" s="39" t="n">
        <v>0.581</v>
      </c>
      <c r="AF13" s="3"/>
      <c r="AG13" s="3"/>
      <c r="AH13" s="3"/>
      <c r="AI13" s="3"/>
      <c r="AR13" s="39"/>
      <c r="AS13" s="39"/>
      <c r="AT13" s="39"/>
      <c r="AU13" s="39"/>
      <c r="AV13" s="3"/>
      <c r="AW13" s="3"/>
      <c r="AX13" s="3"/>
      <c r="AY13" s="3"/>
      <c r="AZ13" s="3"/>
      <c r="BA13" s="3"/>
      <c r="BB13" s="3"/>
      <c r="BC13" s="3"/>
      <c r="BD13" s="3"/>
      <c r="BE13" s="3"/>
      <c r="BF13" s="3"/>
      <c r="BG13" s="3"/>
    </row>
    <row r="14" customFormat="false" ht="23.85" hidden="false" customHeight="false" outlineLevel="0" collapsed="false">
      <c r="A14" s="64" t="str">
        <f aca="false">_xlfn.CONCAT($A$1, ".", CALC!A14)</f>
        <v>LSD.RID.0.AL.ETPR.10</v>
      </c>
      <c r="B14" s="42" t="str">
        <f aca="false">CALC!C14</f>
        <v>Retail Trade (Food, Clothing,
General Merchandise, etc.)</v>
      </c>
      <c r="C14" s="39" t="n">
        <v>0.56</v>
      </c>
      <c r="D14" s="39" t="n">
        <v>0.55</v>
      </c>
      <c r="E14" s="39" t="n">
        <v>0.6</v>
      </c>
      <c r="F14" s="39" t="n">
        <v>0.561</v>
      </c>
      <c r="AF14" s="3"/>
      <c r="AG14" s="3"/>
      <c r="AH14" s="3"/>
      <c r="AI14" s="3"/>
      <c r="AR14" s="39"/>
      <c r="AS14" s="39"/>
      <c r="AT14" s="39"/>
      <c r="AU14" s="39"/>
      <c r="AV14" s="3"/>
      <c r="AW14" s="3"/>
      <c r="AX14" s="3"/>
      <c r="AY14" s="3"/>
      <c r="AZ14" s="3"/>
      <c r="BA14" s="3"/>
      <c r="BB14" s="3"/>
      <c r="BC14" s="3"/>
      <c r="BD14" s="3"/>
      <c r="BE14" s="3"/>
      <c r="BF14" s="3"/>
      <c r="BG14" s="3"/>
    </row>
    <row r="15" customFormat="false" ht="12.8" hidden="false" customHeight="false" outlineLevel="0" collapsed="false">
      <c r="A15" s="64" t="str">
        <f aca="false">_xlfn.CONCAT($A$1, ".", CALC!A15)</f>
        <v>LSD.RID.0.AL.ETPR.11</v>
      </c>
      <c r="B15" s="42" t="str">
        <f aca="false">CALC!C15</f>
        <v>Transportation</v>
      </c>
      <c r="C15" s="39" t="n">
        <v>0.65</v>
      </c>
      <c r="D15" s="39" t="n">
        <v>0.64</v>
      </c>
      <c r="E15" s="39" t="n">
        <v>0.69</v>
      </c>
      <c r="F15" s="39" t="n">
        <v>0.651</v>
      </c>
      <c r="AF15" s="3"/>
      <c r="AG15" s="3"/>
      <c r="AH15" s="3"/>
      <c r="AI15" s="3"/>
      <c r="AR15" s="39"/>
      <c r="AS15" s="39"/>
      <c r="AT15" s="39"/>
      <c r="AU15" s="39"/>
      <c r="AV15" s="3"/>
      <c r="AW15" s="3"/>
      <c r="AX15" s="3"/>
      <c r="AY15" s="3"/>
      <c r="AZ15" s="3"/>
      <c r="BA15" s="3"/>
      <c r="BB15" s="3"/>
      <c r="BC15" s="3"/>
      <c r="BD15" s="3"/>
      <c r="BE15" s="3"/>
      <c r="BF15" s="3"/>
      <c r="BG15" s="3"/>
    </row>
    <row r="16" customFormat="false" ht="12.8" hidden="false" customHeight="false" outlineLevel="0" collapsed="false">
      <c r="A16" s="64" t="str">
        <f aca="false">_xlfn.CONCAT($A$1, ".", CALC!A16)</f>
        <v>LSD.RID.0.AL.ETPR.12</v>
      </c>
      <c r="B16" s="42" t="str">
        <f aca="false">CALC!C16</f>
        <v>Warehousing and Storage</v>
      </c>
      <c r="C16" s="39" t="n">
        <v>0.63</v>
      </c>
      <c r="D16" s="39" t="n">
        <v>0.62</v>
      </c>
      <c r="E16" s="39" t="n">
        <v>0.67</v>
      </c>
      <c r="F16" s="39" t="n">
        <v>0.631</v>
      </c>
      <c r="AF16" s="3"/>
      <c r="AG16" s="3"/>
      <c r="AH16" s="3"/>
      <c r="AI16" s="3"/>
      <c r="AR16" s="39"/>
      <c r="AS16" s="39"/>
      <c r="AT16" s="39"/>
      <c r="AU16" s="39"/>
      <c r="AV16" s="3"/>
      <c r="AW16" s="3"/>
      <c r="AX16" s="3"/>
      <c r="AY16" s="3"/>
      <c r="AZ16" s="3"/>
      <c r="BA16" s="3"/>
      <c r="BB16" s="3"/>
      <c r="BC16" s="3"/>
      <c r="BD16" s="3"/>
      <c r="BE16" s="3"/>
      <c r="BF16" s="3"/>
      <c r="BG16" s="3"/>
    </row>
    <row r="17" customFormat="false" ht="12.8" hidden="false" customHeight="false" outlineLevel="0" collapsed="false">
      <c r="A17" s="64" t="str">
        <f aca="false">_xlfn.CONCAT($A$1, ".", CALC!A17)</f>
        <v>LSD.RID.0.AL.ETPR.13</v>
      </c>
      <c r="B17" s="42" t="str">
        <f aca="false">CALC!C17</f>
        <v>Information</v>
      </c>
      <c r="C17" s="39" t="n">
        <v>0.74</v>
      </c>
      <c r="D17" s="39" t="n">
        <v>0.73</v>
      </c>
      <c r="E17" s="39" t="n">
        <v>0.77</v>
      </c>
      <c r="F17" s="39" t="n">
        <v>0.741</v>
      </c>
      <c r="AF17" s="3"/>
      <c r="AG17" s="3"/>
      <c r="AH17" s="3"/>
      <c r="AI17" s="3"/>
      <c r="AR17" s="39"/>
      <c r="AS17" s="39"/>
      <c r="AT17" s="39"/>
      <c r="AU17" s="39"/>
      <c r="AV17" s="3"/>
      <c r="AW17" s="3"/>
      <c r="AX17" s="3"/>
      <c r="AY17" s="3"/>
      <c r="AZ17" s="3"/>
      <c r="BA17" s="3"/>
      <c r="BB17" s="3"/>
      <c r="BC17" s="3"/>
      <c r="BD17" s="3"/>
      <c r="BE17" s="3"/>
      <c r="BF17" s="3"/>
      <c r="BG17" s="3"/>
    </row>
    <row r="18" customFormat="false" ht="12.8" hidden="false" customHeight="false" outlineLevel="0" collapsed="false">
      <c r="A18" s="64" t="str">
        <f aca="false">_xlfn.CONCAT($A$1, ".", CALC!A18)</f>
        <v>LSD.RID.0.AL.ETPR.14</v>
      </c>
      <c r="B18" s="42" t="str">
        <f aca="false">CALC!C18</f>
        <v>Finance and Insurance</v>
      </c>
      <c r="C18" s="39" t="n">
        <v>0.78</v>
      </c>
      <c r="D18" s="39" t="n">
        <v>0.77</v>
      </c>
      <c r="E18" s="39" t="n">
        <v>0.8</v>
      </c>
      <c r="F18" s="39" t="n">
        <v>0.781</v>
      </c>
      <c r="AF18" s="3"/>
      <c r="AG18" s="3"/>
      <c r="AH18" s="3"/>
      <c r="AI18" s="3"/>
      <c r="AR18" s="39"/>
      <c r="AS18" s="39"/>
      <c r="AT18" s="39"/>
      <c r="AU18" s="39"/>
      <c r="AV18" s="3"/>
      <c r="AW18" s="3"/>
      <c r="AX18" s="3"/>
      <c r="AY18" s="3"/>
      <c r="AZ18" s="3"/>
      <c r="BA18" s="3"/>
      <c r="BB18" s="3"/>
      <c r="BC18" s="3"/>
      <c r="BD18" s="3"/>
      <c r="BE18" s="3"/>
      <c r="BF18" s="3"/>
      <c r="BG18" s="3"/>
    </row>
    <row r="19" customFormat="false" ht="23.85" hidden="false" customHeight="false" outlineLevel="0" collapsed="false">
      <c r="A19" s="64" t="str">
        <f aca="false">_xlfn.CONCAT($A$1, ".", CALC!A19)</f>
        <v>LSD.RID.0.AL.ETPR.15</v>
      </c>
      <c r="B19" s="42" t="str">
        <f aca="false">CALC!C19</f>
        <v>Real Estate and
Rental and Leasing</v>
      </c>
      <c r="C19" s="39" t="n">
        <v>0.68</v>
      </c>
      <c r="D19" s="39" t="n">
        <v>0.67</v>
      </c>
      <c r="E19" s="39" t="n">
        <v>0.71</v>
      </c>
      <c r="F19" s="39" t="n">
        <v>0.681</v>
      </c>
      <c r="AF19" s="3"/>
      <c r="AG19" s="3"/>
      <c r="AH19" s="3"/>
      <c r="AI19" s="3"/>
      <c r="AR19" s="39"/>
      <c r="AS19" s="39"/>
      <c r="AT19" s="39"/>
      <c r="AU19" s="39"/>
      <c r="AV19" s="3"/>
      <c r="AW19" s="3"/>
      <c r="AX19" s="3"/>
      <c r="AY19" s="3"/>
      <c r="AZ19" s="3"/>
      <c r="BA19" s="3"/>
      <c r="BB19" s="3"/>
      <c r="BC19" s="3"/>
      <c r="BD19" s="3"/>
      <c r="BE19" s="3"/>
      <c r="BF19" s="3"/>
      <c r="BG19" s="3"/>
    </row>
    <row r="20" customFormat="false" ht="23.85" hidden="false" customHeight="false" outlineLevel="0" collapsed="false">
      <c r="A20" s="64" t="str">
        <f aca="false">_xlfn.CONCAT($A$1, ".", CALC!A20)</f>
        <v>LSD.RID.0.AL.ETPR.16</v>
      </c>
      <c r="B20" s="42" t="str">
        <f aca="false">CALC!C20</f>
        <v>Professional, Scientific,
and Technical Services</v>
      </c>
      <c r="C20" s="39" t="n">
        <v>0.76</v>
      </c>
      <c r="D20" s="39" t="n">
        <v>0.75</v>
      </c>
      <c r="E20" s="39" t="n">
        <v>0.78</v>
      </c>
      <c r="F20" s="39" t="n">
        <v>0.761</v>
      </c>
      <c r="AF20" s="3"/>
      <c r="AG20" s="3"/>
      <c r="AH20" s="3"/>
      <c r="AI20" s="3"/>
      <c r="AR20" s="39"/>
      <c r="AS20" s="39"/>
      <c r="AT20" s="39"/>
      <c r="AU20" s="39"/>
      <c r="AV20" s="3"/>
      <c r="AW20" s="3"/>
      <c r="AX20" s="3"/>
      <c r="AY20" s="3"/>
      <c r="AZ20" s="3"/>
      <c r="BA20" s="3"/>
      <c r="BB20" s="3"/>
      <c r="BC20" s="3"/>
      <c r="BD20" s="3"/>
      <c r="BE20" s="3"/>
      <c r="BF20" s="3"/>
      <c r="BG20" s="3"/>
    </row>
    <row r="21" customFormat="false" ht="34.8" hidden="false" customHeight="false" outlineLevel="0" collapsed="false">
      <c r="A21" s="64" t="str">
        <f aca="false">_xlfn.CONCAT($A$1, ".", CALC!A21)</f>
        <v>LSD.RID.0.AL.ETPR.17</v>
      </c>
      <c r="B21" s="42" t="str">
        <f aca="false">CALC!C21</f>
        <v>Administrative and Support
and Waste Management
and Remediation Services</v>
      </c>
      <c r="C21" s="39" t="n">
        <v>0.59</v>
      </c>
      <c r="D21" s="39" t="n">
        <v>0.58</v>
      </c>
      <c r="E21" s="39" t="n">
        <v>0.64</v>
      </c>
      <c r="F21" s="39" t="n">
        <v>0.591</v>
      </c>
      <c r="AF21" s="3"/>
      <c r="AG21" s="3"/>
      <c r="AH21" s="3"/>
      <c r="AI21" s="3"/>
      <c r="AR21" s="39"/>
      <c r="AS21" s="39"/>
      <c r="AT21" s="39"/>
      <c r="AU21" s="39"/>
      <c r="AV21" s="3"/>
      <c r="AW21" s="3"/>
      <c r="AX21" s="3"/>
      <c r="AY21" s="3"/>
      <c r="AZ21" s="3"/>
      <c r="BA21" s="3"/>
      <c r="BB21" s="3"/>
      <c r="BC21" s="3"/>
      <c r="BD21" s="3"/>
      <c r="BE21" s="3"/>
      <c r="BF21" s="3"/>
      <c r="BG21" s="3"/>
    </row>
    <row r="22" customFormat="false" ht="12.9" hidden="false" customHeight="false" outlineLevel="0" collapsed="false">
      <c r="A22" s="64" t="str">
        <f aca="false">_xlfn.CONCAT($A$1, ".", CALC!A22)</f>
        <v>LSD.RID.0.AL.ETPR.18</v>
      </c>
      <c r="B22" s="42" t="str">
        <f aca="false">CALC!C22</f>
        <v>Educational Services</v>
      </c>
      <c r="C22" s="39" t="n">
        <v>0.72</v>
      </c>
      <c r="D22" s="39" t="n">
        <v>0.71</v>
      </c>
      <c r="E22" s="39" t="n">
        <v>0.74</v>
      </c>
      <c r="F22" s="39" t="n">
        <v>0.721</v>
      </c>
      <c r="AF22" s="3"/>
      <c r="AG22" s="3"/>
      <c r="AH22" s="3"/>
      <c r="AI22" s="3"/>
      <c r="AR22" s="39"/>
      <c r="AS22" s="39"/>
      <c r="AT22" s="39"/>
      <c r="AU22" s="39"/>
      <c r="AV22" s="3"/>
      <c r="AW22" s="3"/>
      <c r="AX22" s="3"/>
      <c r="AY22" s="3"/>
      <c r="AZ22" s="3"/>
      <c r="BA22" s="3"/>
      <c r="BB22" s="3"/>
      <c r="BC22" s="3"/>
      <c r="BD22" s="3"/>
      <c r="BE22" s="3"/>
      <c r="BF22" s="3"/>
      <c r="BG22" s="3"/>
    </row>
    <row r="23" customFormat="false" ht="23.85" hidden="false" customHeight="false" outlineLevel="0" collapsed="false">
      <c r="A23" s="64" t="str">
        <f aca="false">_xlfn.CONCAT($A$1, ".", CALC!A23)</f>
        <v>LSD.RID.0.AL.ETPR.19</v>
      </c>
      <c r="B23" s="42" t="str">
        <f aca="false">CALC!C23</f>
        <v>Health Care and
Social Assistance</v>
      </c>
      <c r="C23" s="39" t="n">
        <v>0.74</v>
      </c>
      <c r="D23" s="39" t="n">
        <v>0.73</v>
      </c>
      <c r="E23" s="39" t="n">
        <v>0.76</v>
      </c>
      <c r="F23" s="39" t="n">
        <v>0.741</v>
      </c>
      <c r="AF23" s="3"/>
      <c r="AG23" s="3"/>
      <c r="AH23" s="3"/>
      <c r="AI23" s="3"/>
      <c r="AR23" s="39"/>
      <c r="AS23" s="39"/>
      <c r="AT23" s="39"/>
      <c r="AU23" s="39"/>
      <c r="AV23" s="3"/>
      <c r="AW23" s="3"/>
      <c r="AX23" s="3"/>
      <c r="AY23" s="3"/>
      <c r="AZ23" s="3"/>
      <c r="BA23" s="3"/>
      <c r="BB23" s="3"/>
      <c r="BC23" s="3"/>
      <c r="BD23" s="3"/>
      <c r="BE23" s="3"/>
      <c r="BF23" s="3"/>
      <c r="BG23" s="3"/>
    </row>
    <row r="24" customFormat="false" ht="23.85" hidden="false" customHeight="false" outlineLevel="0" collapsed="false">
      <c r="A24" s="64" t="str">
        <f aca="false">_xlfn.CONCAT($A$1, ".", CALC!A24)</f>
        <v>LSD.RID.0.AL.ETPR.20</v>
      </c>
      <c r="B24" s="42" t="str">
        <f aca="false">CALC!C24</f>
        <v>Arts, Entertainment,
and Recreation</v>
      </c>
      <c r="C24" s="39" t="n">
        <v>0.55</v>
      </c>
      <c r="D24" s="39" t="n">
        <v>0.54</v>
      </c>
      <c r="E24" s="39" t="n">
        <v>0.59</v>
      </c>
      <c r="F24" s="39" t="n">
        <v>0.551</v>
      </c>
      <c r="AF24" s="3"/>
      <c r="AG24" s="3"/>
      <c r="AH24" s="3"/>
      <c r="AI24" s="3"/>
      <c r="AR24" s="39"/>
      <c r="AS24" s="39"/>
      <c r="AT24" s="39"/>
      <c r="AU24" s="39"/>
      <c r="AV24" s="3"/>
      <c r="AW24" s="3"/>
      <c r="AX24" s="3"/>
      <c r="AY24" s="3"/>
      <c r="AZ24" s="3"/>
      <c r="BA24" s="3"/>
      <c r="BB24" s="3"/>
      <c r="BC24" s="3"/>
      <c r="BD24" s="3"/>
      <c r="BE24" s="3"/>
      <c r="BF24" s="3"/>
      <c r="BG24" s="3"/>
    </row>
    <row r="25" customFormat="false" ht="23.85" hidden="false" customHeight="false" outlineLevel="0" collapsed="false">
      <c r="A25" s="64" t="str">
        <f aca="false">_xlfn.CONCAT($A$1, ".", CALC!A25)</f>
        <v>LSD.RID.0.AL.ETPR.21</v>
      </c>
      <c r="B25" s="42" t="str">
        <f aca="false">CALC!C25</f>
        <v>Accommodation
and Food Services</v>
      </c>
      <c r="C25" s="39" t="n">
        <v>0.52</v>
      </c>
      <c r="D25" s="39" t="n">
        <v>0.51</v>
      </c>
      <c r="E25" s="39" t="n">
        <v>0.57</v>
      </c>
      <c r="F25" s="39" t="n">
        <v>0.521</v>
      </c>
      <c r="AF25" s="3"/>
      <c r="AG25" s="3"/>
      <c r="AH25" s="3"/>
      <c r="AI25" s="3"/>
      <c r="AR25" s="39"/>
      <c r="AS25" s="39"/>
      <c r="AT25" s="39"/>
      <c r="AU25" s="39"/>
      <c r="AV25" s="3"/>
      <c r="AW25" s="3"/>
      <c r="AX25" s="3"/>
      <c r="AY25" s="3"/>
      <c r="AZ25" s="3"/>
      <c r="BA25" s="3"/>
      <c r="BB25" s="3"/>
      <c r="BC25" s="3"/>
      <c r="BD25" s="3"/>
      <c r="BE25" s="3"/>
      <c r="BF25" s="3"/>
      <c r="BG25" s="3"/>
    </row>
    <row r="26" customFormat="false" ht="23.85" hidden="false" customHeight="false" outlineLevel="0" collapsed="false">
      <c r="A26" s="64" t="str">
        <f aca="false">_xlfn.CONCAT($A$1, ".", CALC!A26)</f>
        <v>LSD.RID.0.AL.ETPR.22</v>
      </c>
      <c r="B26" s="42" t="str">
        <f aca="false">CALC!C26</f>
        <v>Other Services (except
Public Administration)</v>
      </c>
      <c r="C26" s="39" t="n">
        <v>0.6</v>
      </c>
      <c r="D26" s="39" t="n">
        <v>0.59</v>
      </c>
      <c r="E26" s="39" t="n">
        <v>0.64</v>
      </c>
      <c r="F26" s="39" t="n">
        <v>0.601</v>
      </c>
      <c r="AF26" s="3"/>
      <c r="AG26" s="3"/>
      <c r="AH26" s="3"/>
      <c r="AI26" s="3"/>
      <c r="AR26" s="39"/>
      <c r="AS26" s="39"/>
      <c r="AT26" s="39"/>
      <c r="AU26" s="39"/>
      <c r="AV26" s="3"/>
      <c r="AW26" s="3"/>
      <c r="AX26" s="3"/>
      <c r="AY26" s="3"/>
      <c r="AZ26" s="3"/>
      <c r="BA26" s="3"/>
      <c r="BB26" s="3"/>
      <c r="BC26" s="3"/>
      <c r="BD26" s="3"/>
      <c r="BE26" s="3"/>
      <c r="BF26" s="3"/>
      <c r="BG26" s="3"/>
    </row>
    <row r="27" customFormat="false" ht="12.8" hidden="false" customHeight="false" outlineLevel="0" collapsed="false">
      <c r="A27" s="64" t="str">
        <f aca="false">_xlfn.CONCAT($A$1, ".", CALC!A27)</f>
        <v>LSD.RID.0.AL.ETPR.23</v>
      </c>
      <c r="B27" s="42" t="str">
        <f aca="false">CALC!C27</f>
        <v>Public Administration</v>
      </c>
      <c r="C27" s="39" t="n">
        <v>0.82</v>
      </c>
      <c r="D27" s="39" t="n">
        <v>0.81</v>
      </c>
      <c r="E27" s="39" t="n">
        <v>0.83</v>
      </c>
      <c r="F27" s="39" t="n">
        <v>0.821</v>
      </c>
      <c r="AF27" s="3"/>
      <c r="AG27" s="3"/>
      <c r="AH27" s="3"/>
      <c r="AI27" s="3"/>
      <c r="AR27" s="39"/>
      <c r="AS27" s="39"/>
      <c r="AT27" s="39"/>
      <c r="AU27" s="39"/>
      <c r="AV27" s="3"/>
      <c r="AW27" s="3"/>
      <c r="AX27" s="3"/>
      <c r="AY27" s="3"/>
      <c r="AZ27" s="3"/>
      <c r="BA27" s="3"/>
      <c r="BB27" s="3"/>
      <c r="BC27" s="3"/>
      <c r="BD27" s="3"/>
      <c r="BE27" s="3"/>
      <c r="BF27" s="3"/>
      <c r="BG27" s="3"/>
    </row>
    <row r="125" customFormat="false" ht="12.8" hidden="false" customHeight="false" outlineLevel="0" collapsed="false">
      <c r="A125" s="64" t="str">
        <f aca="false">_xlfn.CONCAT($A$1, ".", "FORM")</f>
        <v>LSD.RID.0.AL.ETPR.FORM</v>
      </c>
      <c r="B125" s="65" t="str">
        <f aca="false">_xlfn.CONCAT($B$1, " ", "Formulae")</f>
        <v>Alabama Employment-to-Population Ratio (ETPR) Formulae</v>
      </c>
    </row>
    <row r="126" customFormat="false" ht="12.8" hidden="false" customHeight="false" outlineLevel="0" collapsed="false">
      <c r="A126" s="49" t="s">
        <v>176</v>
      </c>
      <c r="B126" s="49" t="s">
        <v>177</v>
      </c>
      <c r="C126" s="49" t="s">
        <v>178</v>
      </c>
      <c r="D126" s="49" t="s">
        <v>179</v>
      </c>
      <c r="E126" s="49" t="s">
        <v>180</v>
      </c>
      <c r="F126" s="49" t="s">
        <v>181</v>
      </c>
      <c r="K126" s="49" t="s">
        <v>176</v>
      </c>
      <c r="L126" s="3"/>
      <c r="M126" s="3"/>
      <c r="N126" s="3"/>
      <c r="O126" s="3"/>
      <c r="P126" s="3"/>
    </row>
    <row r="127" customFormat="false" ht="12.8" hidden="false" customHeight="false" outlineLevel="0" collapsed="false">
      <c r="A127" s="39" t="s">
        <v>5244</v>
      </c>
      <c r="B127" s="39" t="s">
        <v>5245</v>
      </c>
      <c r="C127" s="39" t="s">
        <v>5246</v>
      </c>
      <c r="D127" s="39" t="s">
        <v>5247</v>
      </c>
      <c r="E127" s="39" t="s">
        <v>5248</v>
      </c>
      <c r="F127" s="39" t="s">
        <v>5249</v>
      </c>
      <c r="K127" s="39" t="s">
        <v>5250</v>
      </c>
      <c r="L127" s="3"/>
      <c r="M127" s="3"/>
      <c r="N127" s="3"/>
      <c r="O127" s="3"/>
      <c r="P127" s="3"/>
    </row>
    <row r="128" customFormat="false" ht="12.8" hidden="false" customHeight="false" outlineLevel="0" collapsed="false">
      <c r="A128" s="39" t="s">
        <v>5251</v>
      </c>
      <c r="B128" s="39" t="s">
        <v>5252</v>
      </c>
      <c r="C128" s="39" t="s">
        <v>5253</v>
      </c>
      <c r="D128" s="39" t="s">
        <v>5254</v>
      </c>
      <c r="E128" s="39" t="s">
        <v>5255</v>
      </c>
      <c r="F128" s="39" t="s">
        <v>5249</v>
      </c>
      <c r="K128" s="39" t="s">
        <v>5256</v>
      </c>
      <c r="L128" s="3"/>
      <c r="M128" s="3"/>
      <c r="N128" s="3"/>
      <c r="O128" s="3"/>
      <c r="P128" s="3"/>
    </row>
    <row r="129" customFormat="false" ht="12.8" hidden="false" customHeight="false" outlineLevel="0" collapsed="false">
      <c r="A129" s="39" t="s">
        <v>5257</v>
      </c>
      <c r="B129" s="39" t="s">
        <v>5258</v>
      </c>
      <c r="C129" s="39" t="s">
        <v>5259</v>
      </c>
      <c r="D129" s="39" t="s">
        <v>5260</v>
      </c>
      <c r="E129" s="39" t="s">
        <v>5261</v>
      </c>
      <c r="F129" s="39" t="s">
        <v>5249</v>
      </c>
      <c r="K129" s="39" t="s">
        <v>5262</v>
      </c>
      <c r="L129" s="3"/>
      <c r="M129" s="3"/>
      <c r="N129" s="3"/>
      <c r="O129" s="3"/>
      <c r="P129" s="3"/>
    </row>
    <row r="130" customFormat="false" ht="12.8" hidden="false" customHeight="false" outlineLevel="0" collapsed="false">
      <c r="A130" s="39" t="s">
        <v>5263</v>
      </c>
      <c r="B130" s="39" t="s">
        <v>5264</v>
      </c>
      <c r="C130" s="39" t="s">
        <v>5265</v>
      </c>
      <c r="D130" s="39" t="s">
        <v>5266</v>
      </c>
      <c r="E130" s="39" t="s">
        <v>5267</v>
      </c>
      <c r="F130" s="39" t="s">
        <v>5249</v>
      </c>
      <c r="K130" s="39" t="s">
        <v>5268</v>
      </c>
      <c r="L130" s="3"/>
      <c r="M130" s="3"/>
      <c r="N130" s="3"/>
      <c r="O130" s="3"/>
      <c r="P130" s="3"/>
    </row>
    <row r="131" customFormat="false" ht="12.8" hidden="false" customHeight="false" outlineLevel="0" collapsed="false">
      <c r="A131" s="39" t="s">
        <v>5269</v>
      </c>
      <c r="B131" s="39" t="s">
        <v>5245</v>
      </c>
      <c r="C131" s="39" t="s">
        <v>5270</v>
      </c>
      <c r="D131" s="39" t="s">
        <v>5271</v>
      </c>
      <c r="E131" s="39" t="s">
        <v>5272</v>
      </c>
      <c r="F131" s="39" t="s">
        <v>5273</v>
      </c>
      <c r="K131" s="39" t="s">
        <v>5274</v>
      </c>
      <c r="L131" s="3"/>
      <c r="M131" s="3"/>
      <c r="N131" s="3"/>
      <c r="O131" s="3"/>
      <c r="P131" s="3"/>
    </row>
    <row r="132" customFormat="false" ht="12.8" hidden="false" customHeight="false" outlineLevel="0" collapsed="false">
      <c r="A132" s="39" t="s">
        <v>5275</v>
      </c>
      <c r="B132" s="39" t="s">
        <v>5252</v>
      </c>
      <c r="C132" s="39" t="s">
        <v>5276</v>
      </c>
      <c r="D132" s="39" t="s">
        <v>5277</v>
      </c>
      <c r="E132" s="39" t="s">
        <v>5278</v>
      </c>
      <c r="F132" s="39" t="s">
        <v>5273</v>
      </c>
      <c r="K132" s="39" t="s">
        <v>5279</v>
      </c>
      <c r="L132" s="3"/>
      <c r="M132" s="3"/>
      <c r="N132" s="3"/>
      <c r="O132" s="3"/>
      <c r="P132" s="3"/>
    </row>
    <row r="133" customFormat="false" ht="12.8" hidden="false" customHeight="false" outlineLevel="0" collapsed="false">
      <c r="A133" s="39" t="s">
        <v>5280</v>
      </c>
      <c r="B133" s="39" t="s">
        <v>5258</v>
      </c>
      <c r="C133" s="39" t="s">
        <v>5259</v>
      </c>
      <c r="D133" s="39" t="s">
        <v>5281</v>
      </c>
      <c r="E133" s="39" t="s">
        <v>5282</v>
      </c>
      <c r="F133" s="39" t="s">
        <v>5273</v>
      </c>
      <c r="K133" s="39" t="s">
        <v>5283</v>
      </c>
      <c r="L133" s="3"/>
      <c r="M133" s="3"/>
      <c r="N133" s="3"/>
      <c r="O133" s="3"/>
      <c r="P133" s="3"/>
    </row>
    <row r="134" customFormat="false" ht="12.8" hidden="false" customHeight="false" outlineLevel="0" collapsed="false">
      <c r="A134" s="39"/>
    </row>
    <row r="135" customFormat="false" ht="12.8" hidden="false" customHeight="false" outlineLevel="0" collapsed="false">
      <c r="A135" s="39"/>
    </row>
    <row r="136" customFormat="false" ht="12.8" hidden="false" customHeight="false" outlineLevel="0" collapsed="false">
      <c r="A136" s="39"/>
    </row>
    <row r="137" customFormat="false" ht="12.8" hidden="false" customHeight="false" outlineLevel="0" collapsed="false">
      <c r="A137" s="39"/>
    </row>
    <row r="138" customFormat="false" ht="12.8" hidden="false" customHeight="false" outlineLevel="0" collapsed="false">
      <c r="A138" s="39"/>
    </row>
    <row r="140" customFormat="false" ht="12.8" hidden="false" customHeight="false" outlineLevel="0" collapsed="false">
      <c r="A140" s="64" t="str">
        <f aca="false">_xlfn.CONCAT($A$1, ".", "PARAM")</f>
        <v>LSD.RID.0.AL.ETPR.PARAM</v>
      </c>
      <c r="B140" s="65" t="str">
        <f aca="false">_xlfn.CONCAT($B$1, " ", "Parameters")</f>
        <v>Alabama Employment-to-Population Ratio (ETPR) Parameters</v>
      </c>
    </row>
    <row r="141" customFormat="false" ht="12.8" hidden="false" customHeight="false" outlineLevel="0" collapsed="false">
      <c r="A141" s="49" t="s">
        <v>5284</v>
      </c>
      <c r="B141" s="49" t="s">
        <v>178</v>
      </c>
      <c r="C141" s="49" t="s">
        <v>427</v>
      </c>
      <c r="D141" s="49" t="s">
        <v>180</v>
      </c>
      <c r="E141" s="49" t="s">
        <v>428</v>
      </c>
      <c r="F141" s="49" t="s">
        <v>429</v>
      </c>
      <c r="G141" s="49" t="s">
        <v>430</v>
      </c>
      <c r="H141" s="49" t="s">
        <v>181</v>
      </c>
    </row>
    <row r="142" customFormat="false" ht="12.8" hidden="false" customHeight="false" outlineLevel="0" collapsed="false">
      <c r="A142" s="39" t="s">
        <v>5285</v>
      </c>
      <c r="B142" s="39" t="s">
        <v>5286</v>
      </c>
      <c r="C142" s="39" t="s">
        <v>502</v>
      </c>
      <c r="D142" s="39" t="s">
        <v>5287</v>
      </c>
      <c r="E142" s="39" t="s">
        <v>502</v>
      </c>
      <c r="F142" s="39" t="s">
        <v>597</v>
      </c>
      <c r="G142" s="39" t="s">
        <v>5288</v>
      </c>
      <c r="H142" s="39" t="s">
        <v>5249</v>
      </c>
    </row>
    <row r="143" customFormat="false" ht="12.8" hidden="false" customHeight="false" outlineLevel="0" collapsed="false">
      <c r="A143" s="39" t="s">
        <v>5289</v>
      </c>
      <c r="B143" s="39" t="s">
        <v>5032</v>
      </c>
      <c r="C143" s="39" t="s">
        <v>434</v>
      </c>
      <c r="D143" s="39" t="s">
        <v>5290</v>
      </c>
      <c r="E143" s="39" t="s">
        <v>434</v>
      </c>
      <c r="F143" s="39" t="s">
        <v>5291</v>
      </c>
      <c r="G143" s="39" t="s">
        <v>5288</v>
      </c>
      <c r="H143" s="39" t="s">
        <v>5249</v>
      </c>
    </row>
    <row r="144" customFormat="false" ht="12.8" hidden="false" customHeight="false" outlineLevel="0" collapsed="false">
      <c r="A144" s="39" t="s">
        <v>5292</v>
      </c>
      <c r="B144" s="39" t="s">
        <v>5037</v>
      </c>
      <c r="C144" s="39" t="s">
        <v>434</v>
      </c>
      <c r="D144" s="39" t="s">
        <v>5293</v>
      </c>
      <c r="E144" s="39" t="s">
        <v>434</v>
      </c>
      <c r="F144" s="39" t="s">
        <v>5291</v>
      </c>
      <c r="G144" s="39" t="s">
        <v>5288</v>
      </c>
      <c r="H144" s="39" t="s">
        <v>5249</v>
      </c>
    </row>
    <row r="145" customFormat="false" ht="12.8" hidden="false" customHeight="false" outlineLevel="0" collapsed="false">
      <c r="A145" s="39" t="s">
        <v>5294</v>
      </c>
      <c r="B145" s="39" t="s">
        <v>5040</v>
      </c>
      <c r="C145" s="39" t="s">
        <v>502</v>
      </c>
      <c r="D145" s="39" t="s">
        <v>5295</v>
      </c>
      <c r="E145" s="39" t="s">
        <v>502</v>
      </c>
      <c r="F145" s="39" t="s">
        <v>5291</v>
      </c>
      <c r="G145" s="39" t="s">
        <v>5288</v>
      </c>
      <c r="H145" s="39" t="s">
        <v>5249</v>
      </c>
    </row>
    <row r="146" customFormat="false" ht="12.8" hidden="false" customHeight="false" outlineLevel="0" collapsed="false">
      <c r="A146" s="39" t="s">
        <v>5296</v>
      </c>
      <c r="B146" s="39" t="s">
        <v>5043</v>
      </c>
      <c r="C146" s="39" t="s">
        <v>440</v>
      </c>
      <c r="D146" s="39" t="s">
        <v>5297</v>
      </c>
      <c r="E146" s="39" t="s">
        <v>440</v>
      </c>
      <c r="F146" s="39" t="s">
        <v>5291</v>
      </c>
      <c r="G146" s="39" t="s">
        <v>5288</v>
      </c>
      <c r="H146" s="39" t="s">
        <v>5249</v>
      </c>
    </row>
    <row r="147" customFormat="false" ht="12.8" hidden="false" customHeight="false" outlineLevel="0" collapsed="false">
      <c r="A147" s="39" t="s">
        <v>5298</v>
      </c>
      <c r="B147" s="39" t="s">
        <v>5046</v>
      </c>
      <c r="C147" s="39" t="s">
        <v>440</v>
      </c>
      <c r="D147" s="39" t="s">
        <v>5299</v>
      </c>
      <c r="E147" s="39" t="s">
        <v>440</v>
      </c>
      <c r="F147" s="39" t="s">
        <v>5291</v>
      </c>
      <c r="G147" s="39" t="s">
        <v>5288</v>
      </c>
      <c r="H147" s="39" t="s">
        <v>5249</v>
      </c>
    </row>
    <row r="148" customFormat="false" ht="12.8" hidden="false" customHeight="false" outlineLevel="0" collapsed="false">
      <c r="A148" s="39" t="s">
        <v>5300</v>
      </c>
      <c r="B148" s="39" t="s">
        <v>5049</v>
      </c>
      <c r="C148" s="39" t="s">
        <v>434</v>
      </c>
      <c r="D148" s="39" t="s">
        <v>5301</v>
      </c>
      <c r="E148" s="39" t="s">
        <v>434</v>
      </c>
      <c r="F148" s="39" t="s">
        <v>5291</v>
      </c>
      <c r="G148" s="39" t="s">
        <v>5288</v>
      </c>
      <c r="H148" s="39" t="s">
        <v>5249</v>
      </c>
    </row>
    <row r="149" customFormat="false" ht="12.8" hidden="false" customHeight="false" outlineLevel="0" collapsed="false">
      <c r="A149" s="39" t="s">
        <v>5302</v>
      </c>
      <c r="B149" s="39" t="s">
        <v>5052</v>
      </c>
      <c r="C149" s="39" t="s">
        <v>434</v>
      </c>
      <c r="D149" s="39" t="s">
        <v>5303</v>
      </c>
      <c r="E149" s="39" t="s">
        <v>434</v>
      </c>
      <c r="F149" s="39" t="s">
        <v>5291</v>
      </c>
      <c r="G149" s="39" t="s">
        <v>5288</v>
      </c>
      <c r="H149" s="39" t="s">
        <v>5249</v>
      </c>
    </row>
    <row r="150" customFormat="false" ht="12.8" hidden="false" customHeight="false" outlineLevel="0" collapsed="false">
      <c r="A150" s="39" t="s">
        <v>5304</v>
      </c>
      <c r="B150" s="39" t="s">
        <v>5055</v>
      </c>
      <c r="C150" s="39" t="s">
        <v>502</v>
      </c>
      <c r="D150" s="39" t="s">
        <v>5305</v>
      </c>
      <c r="E150" s="39" t="s">
        <v>502</v>
      </c>
      <c r="F150" s="39" t="s">
        <v>5291</v>
      </c>
      <c r="G150" s="39" t="s">
        <v>5288</v>
      </c>
      <c r="H150" s="39" t="s">
        <v>5249</v>
      </c>
    </row>
    <row r="151" customFormat="false" ht="12.8" hidden="false" customHeight="false" outlineLevel="0" collapsed="false">
      <c r="A151" s="39" t="s">
        <v>5306</v>
      </c>
      <c r="B151" s="39" t="s">
        <v>5058</v>
      </c>
      <c r="C151" s="39" t="s">
        <v>502</v>
      </c>
      <c r="D151" s="39" t="s">
        <v>5307</v>
      </c>
      <c r="E151" s="39" t="s">
        <v>502</v>
      </c>
      <c r="F151" s="39" t="s">
        <v>5291</v>
      </c>
      <c r="G151" s="39" t="s">
        <v>5288</v>
      </c>
      <c r="H151" s="39" t="s">
        <v>5249</v>
      </c>
    </row>
    <row r="152" customFormat="false" ht="12.8" hidden="false" customHeight="false" outlineLevel="0" collapsed="false">
      <c r="A152" s="39" t="s">
        <v>5308</v>
      </c>
      <c r="B152" s="39" t="s">
        <v>5061</v>
      </c>
      <c r="C152" s="39" t="s">
        <v>440</v>
      </c>
      <c r="D152" s="39" t="s">
        <v>5309</v>
      </c>
      <c r="E152" s="39" t="s">
        <v>440</v>
      </c>
      <c r="F152" s="39" t="s">
        <v>5291</v>
      </c>
      <c r="G152" s="39" t="s">
        <v>5288</v>
      </c>
      <c r="H152" s="39" t="s">
        <v>5249</v>
      </c>
    </row>
    <row r="153" customFormat="false" ht="12.8" hidden="false" customHeight="false" outlineLevel="0" collapsed="false">
      <c r="A153" s="39" t="s">
        <v>5310</v>
      </c>
      <c r="B153" s="39" t="s">
        <v>5064</v>
      </c>
      <c r="C153" s="39" t="s">
        <v>502</v>
      </c>
      <c r="D153" s="39" t="s">
        <v>5311</v>
      </c>
      <c r="E153" s="39" t="s">
        <v>502</v>
      </c>
      <c r="F153" s="39" t="s">
        <v>5291</v>
      </c>
      <c r="G153" s="39" t="s">
        <v>5288</v>
      </c>
      <c r="H153" s="39" t="s">
        <v>5249</v>
      </c>
    </row>
    <row r="154" customFormat="false" ht="12.8" hidden="false" customHeight="false" outlineLevel="0" collapsed="false">
      <c r="A154" s="39" t="s">
        <v>5312</v>
      </c>
      <c r="B154" s="39" t="s">
        <v>5067</v>
      </c>
      <c r="C154" s="39" t="s">
        <v>434</v>
      </c>
      <c r="D154" s="39" t="s">
        <v>5313</v>
      </c>
      <c r="E154" s="39" t="s">
        <v>434</v>
      </c>
      <c r="F154" s="39" t="s">
        <v>5291</v>
      </c>
      <c r="G154" s="39" t="s">
        <v>5288</v>
      </c>
      <c r="H154" s="39" t="s">
        <v>5249</v>
      </c>
    </row>
    <row r="155" customFormat="false" ht="12.8" hidden="false" customHeight="false" outlineLevel="0" collapsed="false">
      <c r="A155" s="39" t="s">
        <v>5314</v>
      </c>
      <c r="B155" s="39" t="s">
        <v>5070</v>
      </c>
      <c r="C155" s="39" t="s">
        <v>434</v>
      </c>
      <c r="D155" s="39" t="s">
        <v>5315</v>
      </c>
      <c r="E155" s="39" t="s">
        <v>434</v>
      </c>
      <c r="F155" s="39" t="s">
        <v>5291</v>
      </c>
      <c r="G155" s="39" t="s">
        <v>5288</v>
      </c>
      <c r="H155" s="39" t="s">
        <v>5249</v>
      </c>
    </row>
    <row r="156" customFormat="false" ht="12.8" hidden="false" customHeight="false" outlineLevel="0" collapsed="false">
      <c r="A156" s="39" t="s">
        <v>5316</v>
      </c>
      <c r="B156" s="39" t="s">
        <v>5073</v>
      </c>
      <c r="C156" s="39" t="s">
        <v>440</v>
      </c>
      <c r="D156" s="39" t="s">
        <v>5317</v>
      </c>
      <c r="E156" s="39" t="s">
        <v>440</v>
      </c>
      <c r="F156" s="39" t="s">
        <v>5291</v>
      </c>
      <c r="G156" s="39" t="s">
        <v>5288</v>
      </c>
      <c r="H156" s="39" t="s">
        <v>5249</v>
      </c>
    </row>
    <row r="157" customFormat="false" ht="12.8" hidden="false" customHeight="false" outlineLevel="0" collapsed="false">
      <c r="A157" s="39" t="s">
        <v>5318</v>
      </c>
      <c r="B157" s="39" t="s">
        <v>5076</v>
      </c>
      <c r="C157" s="39" t="s">
        <v>434</v>
      </c>
      <c r="D157" s="39" t="s">
        <v>5319</v>
      </c>
      <c r="E157" s="39" t="s">
        <v>434</v>
      </c>
      <c r="F157" s="39" t="s">
        <v>5291</v>
      </c>
      <c r="G157" s="39" t="s">
        <v>5288</v>
      </c>
      <c r="H157" s="39" t="s">
        <v>5249</v>
      </c>
    </row>
    <row r="158" customFormat="false" ht="12.8" hidden="false" customHeight="false" outlineLevel="0" collapsed="false">
      <c r="A158" s="39" t="s">
        <v>5320</v>
      </c>
      <c r="B158" s="39" t="s">
        <v>5079</v>
      </c>
      <c r="C158" s="39" t="s">
        <v>502</v>
      </c>
      <c r="D158" s="39" t="s">
        <v>5321</v>
      </c>
      <c r="E158" s="39" t="s">
        <v>502</v>
      </c>
      <c r="F158" s="39" t="s">
        <v>5291</v>
      </c>
      <c r="G158" s="39" t="s">
        <v>5288</v>
      </c>
      <c r="H158" s="39" t="s">
        <v>5249</v>
      </c>
    </row>
    <row r="159" customFormat="false" ht="12.8" hidden="false" customHeight="false" outlineLevel="0" collapsed="false">
      <c r="A159" s="39" t="s">
        <v>5322</v>
      </c>
      <c r="B159" s="39" t="s">
        <v>5082</v>
      </c>
      <c r="C159" s="39" t="s">
        <v>434</v>
      </c>
      <c r="D159" s="39" t="s">
        <v>5323</v>
      </c>
      <c r="E159" s="39" t="s">
        <v>434</v>
      </c>
      <c r="F159" s="39" t="s">
        <v>5291</v>
      </c>
      <c r="G159" s="39" t="s">
        <v>5288</v>
      </c>
      <c r="H159" s="39" t="s">
        <v>5249</v>
      </c>
    </row>
    <row r="160" customFormat="false" ht="12.8" hidden="false" customHeight="false" outlineLevel="0" collapsed="false">
      <c r="A160" s="39" t="s">
        <v>5324</v>
      </c>
      <c r="B160" s="39" t="s">
        <v>5085</v>
      </c>
      <c r="C160" s="39" t="s">
        <v>434</v>
      </c>
      <c r="D160" s="39" t="s">
        <v>5325</v>
      </c>
      <c r="E160" s="39" t="s">
        <v>434</v>
      </c>
      <c r="F160" s="39" t="s">
        <v>5291</v>
      </c>
      <c r="G160" s="39" t="s">
        <v>5288</v>
      </c>
      <c r="H160" s="39" t="s">
        <v>5249</v>
      </c>
    </row>
    <row r="161" customFormat="false" ht="12.8" hidden="false" customHeight="false" outlineLevel="0" collapsed="false">
      <c r="A161" s="39" t="s">
        <v>5326</v>
      </c>
      <c r="B161" s="39" t="s">
        <v>5088</v>
      </c>
      <c r="C161" s="39" t="s">
        <v>502</v>
      </c>
      <c r="D161" s="39" t="s">
        <v>5327</v>
      </c>
      <c r="E161" s="39" t="s">
        <v>502</v>
      </c>
      <c r="F161" s="39" t="s">
        <v>5291</v>
      </c>
      <c r="G161" s="39" t="s">
        <v>5288</v>
      </c>
      <c r="H161" s="39" t="s">
        <v>5249</v>
      </c>
    </row>
    <row r="162" customFormat="false" ht="12.8" hidden="false" customHeight="false" outlineLevel="0" collapsed="false">
      <c r="A162" s="39" t="s">
        <v>5328</v>
      </c>
      <c r="B162" s="39" t="s">
        <v>5091</v>
      </c>
      <c r="C162" s="39" t="s">
        <v>502</v>
      </c>
      <c r="D162" s="39" t="s">
        <v>5329</v>
      </c>
      <c r="E162" s="39" t="s">
        <v>502</v>
      </c>
      <c r="F162" s="39" t="s">
        <v>5291</v>
      </c>
      <c r="G162" s="39" t="s">
        <v>5288</v>
      </c>
      <c r="H162" s="39" t="s">
        <v>5249</v>
      </c>
    </row>
    <row r="163" customFormat="false" ht="12.8" hidden="false" customHeight="false" outlineLevel="0" collapsed="false">
      <c r="A163" s="39" t="s">
        <v>5330</v>
      </c>
      <c r="B163" s="39" t="s">
        <v>5094</v>
      </c>
      <c r="C163" s="39" t="s">
        <v>502</v>
      </c>
      <c r="D163" s="39" t="s">
        <v>5331</v>
      </c>
      <c r="E163" s="39" t="s">
        <v>502</v>
      </c>
      <c r="F163" s="39" t="s">
        <v>5291</v>
      </c>
      <c r="G163" s="39" t="s">
        <v>5288</v>
      </c>
      <c r="H163" s="39" t="s">
        <v>5249</v>
      </c>
    </row>
    <row r="164" customFormat="false" ht="12.8" hidden="false" customHeight="false" outlineLevel="0" collapsed="false">
      <c r="A164" s="39" t="s">
        <v>5332</v>
      </c>
      <c r="B164" s="39" t="s">
        <v>5097</v>
      </c>
      <c r="C164" s="39" t="s">
        <v>434</v>
      </c>
      <c r="D164" s="39" t="s">
        <v>5333</v>
      </c>
      <c r="E164" s="39" t="s">
        <v>434</v>
      </c>
      <c r="F164" s="39" t="s">
        <v>5291</v>
      </c>
      <c r="G164" s="39" t="s">
        <v>5288</v>
      </c>
      <c r="H164" s="39" t="s">
        <v>5249</v>
      </c>
    </row>
    <row r="165" customFormat="false" ht="12.8" hidden="false" customHeight="false" outlineLevel="0" collapsed="false">
      <c r="A165" s="39" t="s">
        <v>5334</v>
      </c>
      <c r="B165" s="39" t="s">
        <v>5105</v>
      </c>
      <c r="C165" s="39" t="n">
        <v>0.008</v>
      </c>
      <c r="D165" s="39" t="s">
        <v>5335</v>
      </c>
      <c r="E165" s="39" t="s">
        <v>434</v>
      </c>
      <c r="F165" s="39" t="s">
        <v>487</v>
      </c>
      <c r="G165" s="39" t="s">
        <v>5288</v>
      </c>
      <c r="H165" s="39" t="s">
        <v>5249</v>
      </c>
    </row>
    <row r="166" customFormat="false" ht="12.8" hidden="false" customHeight="false" outlineLevel="0" collapsed="false">
      <c r="A166" s="39" t="s">
        <v>5336</v>
      </c>
      <c r="B166" s="39" t="s">
        <v>5337</v>
      </c>
      <c r="C166" s="39" t="n">
        <v>0.012</v>
      </c>
      <c r="D166" s="39" t="s">
        <v>5338</v>
      </c>
      <c r="E166" s="39" t="s">
        <v>502</v>
      </c>
      <c r="F166" s="39" t="s">
        <v>487</v>
      </c>
      <c r="G166" s="39" t="s">
        <v>5288</v>
      </c>
      <c r="H166" s="39" t="s">
        <v>5249</v>
      </c>
    </row>
    <row r="167" customFormat="false" ht="12.8" hidden="false" customHeight="false" outlineLevel="0" collapsed="false">
      <c r="A167" s="39" t="s">
        <v>5339</v>
      </c>
      <c r="B167" s="39" t="s">
        <v>5340</v>
      </c>
      <c r="C167" s="39" t="n">
        <v>1.03</v>
      </c>
      <c r="D167" s="39" t="s">
        <v>5341</v>
      </c>
      <c r="E167" s="39" t="s">
        <v>502</v>
      </c>
      <c r="F167" s="39" t="s">
        <v>4795</v>
      </c>
      <c r="G167" s="39" t="s">
        <v>5288</v>
      </c>
      <c r="H167" s="39" t="s">
        <v>5249</v>
      </c>
    </row>
    <row r="168" customFormat="false" ht="12.8" hidden="false" customHeight="false" outlineLevel="0" collapsed="false">
      <c r="A168" s="39" t="s">
        <v>5342</v>
      </c>
      <c r="B168" s="39" t="s">
        <v>5343</v>
      </c>
      <c r="C168" s="39" t="s">
        <v>5344</v>
      </c>
      <c r="D168" s="39" t="s">
        <v>5345</v>
      </c>
      <c r="E168" s="39" t="s">
        <v>434</v>
      </c>
      <c r="F168" s="39" t="s">
        <v>5182</v>
      </c>
      <c r="G168" s="39" t="s">
        <v>5288</v>
      </c>
      <c r="H168" s="39" t="s">
        <v>5249</v>
      </c>
    </row>
    <row r="169" customFormat="false" ht="12.8" hidden="false" customHeight="false" outlineLevel="0" collapsed="false">
      <c r="A169" s="39" t="s">
        <v>5346</v>
      </c>
      <c r="B169" s="39" t="s">
        <v>5184</v>
      </c>
      <c r="C169" s="39" t="n">
        <v>0.562</v>
      </c>
      <c r="D169" s="39" t="s">
        <v>5347</v>
      </c>
      <c r="E169" s="39" t="s">
        <v>434</v>
      </c>
      <c r="F169" s="39" t="s">
        <v>5348</v>
      </c>
      <c r="G169" s="39" t="s">
        <v>5288</v>
      </c>
      <c r="H169" s="39" t="s">
        <v>5249</v>
      </c>
    </row>
    <row r="170" customFormat="false" ht="12.8" hidden="false" customHeight="false" outlineLevel="0" collapsed="false">
      <c r="A170" s="39" t="s">
        <v>5349</v>
      </c>
      <c r="B170" s="39" t="s">
        <v>5032</v>
      </c>
      <c r="C170" s="39" t="s">
        <v>434</v>
      </c>
      <c r="D170" s="39" t="s">
        <v>5350</v>
      </c>
      <c r="E170" s="39" t="s">
        <v>434</v>
      </c>
      <c r="F170" s="39" t="s">
        <v>5351</v>
      </c>
      <c r="G170" s="52" t="s">
        <v>436</v>
      </c>
      <c r="H170" s="39" t="s">
        <v>5352</v>
      </c>
    </row>
    <row r="171" customFormat="false" ht="12.8" hidden="false" customHeight="false" outlineLevel="0" collapsed="false">
      <c r="A171" s="39" t="s">
        <v>5353</v>
      </c>
      <c r="B171" s="39" t="s">
        <v>5037</v>
      </c>
      <c r="C171" s="39" t="s">
        <v>434</v>
      </c>
      <c r="D171" s="39" t="s">
        <v>5354</v>
      </c>
      <c r="E171" s="39" t="s">
        <v>434</v>
      </c>
      <c r="F171" s="39" t="s">
        <v>5351</v>
      </c>
      <c r="G171" s="52" t="s">
        <v>436</v>
      </c>
      <c r="H171" s="39" t="s">
        <v>5352</v>
      </c>
    </row>
    <row r="172" customFormat="false" ht="12.8" hidden="false" customHeight="false" outlineLevel="0" collapsed="false">
      <c r="A172" s="39" t="s">
        <v>5355</v>
      </c>
      <c r="B172" s="39" t="s">
        <v>5040</v>
      </c>
      <c r="C172" s="39" t="s">
        <v>440</v>
      </c>
      <c r="D172" s="39" t="s">
        <v>5356</v>
      </c>
      <c r="E172" s="39" t="s">
        <v>440</v>
      </c>
      <c r="F172" s="39" t="s">
        <v>5351</v>
      </c>
      <c r="G172" s="52" t="s">
        <v>436</v>
      </c>
      <c r="H172" s="39" t="s">
        <v>5352</v>
      </c>
    </row>
    <row r="173" customFormat="false" ht="12.8" hidden="false" customHeight="false" outlineLevel="0" collapsed="false">
      <c r="A173" s="39" t="s">
        <v>5357</v>
      </c>
      <c r="B173" s="39" t="s">
        <v>5043</v>
      </c>
      <c r="C173" s="39" t="s">
        <v>434</v>
      </c>
      <c r="D173" s="39" t="s">
        <v>5358</v>
      </c>
      <c r="E173" s="39" t="s">
        <v>434</v>
      </c>
      <c r="F173" s="39" t="s">
        <v>5351</v>
      </c>
      <c r="G173" s="52" t="s">
        <v>436</v>
      </c>
      <c r="H173" s="39" t="s">
        <v>5352</v>
      </c>
    </row>
    <row r="174" customFormat="false" ht="12.8" hidden="false" customHeight="false" outlineLevel="0" collapsed="false">
      <c r="A174" s="39" t="s">
        <v>5359</v>
      </c>
      <c r="B174" s="39" t="s">
        <v>5046</v>
      </c>
      <c r="C174" s="39" t="s">
        <v>434</v>
      </c>
      <c r="D174" s="39" t="s">
        <v>5360</v>
      </c>
      <c r="E174" s="39" t="s">
        <v>434</v>
      </c>
      <c r="F174" s="39" t="s">
        <v>5351</v>
      </c>
      <c r="G174" s="52" t="s">
        <v>436</v>
      </c>
      <c r="H174" s="39" t="s">
        <v>5352</v>
      </c>
    </row>
    <row r="175" customFormat="false" ht="12.8" hidden="false" customHeight="false" outlineLevel="0" collapsed="false">
      <c r="A175" s="39" t="s">
        <v>5361</v>
      </c>
      <c r="B175" s="39" t="s">
        <v>5049</v>
      </c>
      <c r="C175" s="39" t="s">
        <v>434</v>
      </c>
      <c r="D175" s="39" t="s">
        <v>5362</v>
      </c>
      <c r="E175" s="39" t="s">
        <v>434</v>
      </c>
      <c r="F175" s="39" t="s">
        <v>5351</v>
      </c>
      <c r="G175" s="52" t="s">
        <v>436</v>
      </c>
      <c r="H175" s="39" t="s">
        <v>5352</v>
      </c>
    </row>
    <row r="176" customFormat="false" ht="12.8" hidden="false" customHeight="false" outlineLevel="0" collapsed="false">
      <c r="A176" s="39" t="s">
        <v>5363</v>
      </c>
      <c r="B176" s="39" t="s">
        <v>5052</v>
      </c>
      <c r="C176" s="39" t="s">
        <v>434</v>
      </c>
      <c r="D176" s="39" t="s">
        <v>5364</v>
      </c>
      <c r="E176" s="39" t="s">
        <v>434</v>
      </c>
      <c r="F176" s="39" t="s">
        <v>5351</v>
      </c>
      <c r="G176" s="52" t="s">
        <v>436</v>
      </c>
      <c r="H176" s="39" t="s">
        <v>5352</v>
      </c>
    </row>
    <row r="177" customFormat="false" ht="12.8" hidden="false" customHeight="false" outlineLevel="0" collapsed="false">
      <c r="A177" s="39" t="s">
        <v>5365</v>
      </c>
      <c r="B177" s="39" t="s">
        <v>5055</v>
      </c>
      <c r="C177" s="39" t="s">
        <v>434</v>
      </c>
      <c r="D177" s="39" t="s">
        <v>5366</v>
      </c>
      <c r="E177" s="39" t="s">
        <v>434</v>
      </c>
      <c r="F177" s="39" t="s">
        <v>5351</v>
      </c>
      <c r="G177" s="52" t="s">
        <v>436</v>
      </c>
      <c r="H177" s="39" t="s">
        <v>5352</v>
      </c>
    </row>
    <row r="178" customFormat="false" ht="12.8" hidden="false" customHeight="false" outlineLevel="0" collapsed="false">
      <c r="A178" s="39" t="s">
        <v>5367</v>
      </c>
      <c r="B178" s="39" t="s">
        <v>5058</v>
      </c>
      <c r="C178" s="39" t="s">
        <v>434</v>
      </c>
      <c r="D178" s="39" t="s">
        <v>5368</v>
      </c>
      <c r="E178" s="39" t="s">
        <v>434</v>
      </c>
      <c r="F178" s="39" t="s">
        <v>5351</v>
      </c>
      <c r="G178" s="52" t="s">
        <v>436</v>
      </c>
      <c r="H178" s="39" t="s">
        <v>5352</v>
      </c>
    </row>
    <row r="179" customFormat="false" ht="12.8" hidden="false" customHeight="false" outlineLevel="0" collapsed="false">
      <c r="A179" s="39" t="s">
        <v>5369</v>
      </c>
      <c r="B179" s="39" t="s">
        <v>5061</v>
      </c>
      <c r="C179" s="39" t="s">
        <v>434</v>
      </c>
      <c r="D179" s="39" t="s">
        <v>5370</v>
      </c>
      <c r="E179" s="39" t="s">
        <v>434</v>
      </c>
      <c r="F179" s="39" t="s">
        <v>5351</v>
      </c>
      <c r="G179" s="52" t="s">
        <v>436</v>
      </c>
      <c r="H179" s="39" t="s">
        <v>5352</v>
      </c>
    </row>
    <row r="180" customFormat="false" ht="12.8" hidden="false" customHeight="false" outlineLevel="0" collapsed="false">
      <c r="A180" s="39" t="s">
        <v>5371</v>
      </c>
      <c r="B180" s="39" t="s">
        <v>5064</v>
      </c>
      <c r="C180" s="39" t="s">
        <v>440</v>
      </c>
      <c r="D180" s="39" t="s">
        <v>5372</v>
      </c>
      <c r="E180" s="39" t="s">
        <v>440</v>
      </c>
      <c r="F180" s="39" t="s">
        <v>5351</v>
      </c>
      <c r="G180" s="52" t="s">
        <v>436</v>
      </c>
      <c r="H180" s="39" t="s">
        <v>5352</v>
      </c>
    </row>
    <row r="181" customFormat="false" ht="12.8" hidden="false" customHeight="false" outlineLevel="0" collapsed="false">
      <c r="A181" s="39" t="s">
        <v>5373</v>
      </c>
      <c r="B181" s="39" t="s">
        <v>5067</v>
      </c>
      <c r="C181" s="39" t="s">
        <v>434</v>
      </c>
      <c r="D181" s="39" t="s">
        <v>5374</v>
      </c>
      <c r="E181" s="39" t="s">
        <v>434</v>
      </c>
      <c r="F181" s="39" t="s">
        <v>5351</v>
      </c>
      <c r="G181" s="52" t="s">
        <v>436</v>
      </c>
      <c r="H181" s="39" t="s">
        <v>5352</v>
      </c>
    </row>
    <row r="182" customFormat="false" ht="12.8" hidden="false" customHeight="false" outlineLevel="0" collapsed="false">
      <c r="A182" s="39" t="s">
        <v>5375</v>
      </c>
      <c r="B182" s="39" t="s">
        <v>5070</v>
      </c>
      <c r="C182" s="39" t="s">
        <v>434</v>
      </c>
      <c r="D182" s="39" t="s">
        <v>5376</v>
      </c>
      <c r="E182" s="39" t="s">
        <v>434</v>
      </c>
      <c r="F182" s="39" t="s">
        <v>5351</v>
      </c>
      <c r="G182" s="52" t="s">
        <v>436</v>
      </c>
      <c r="H182" s="39" t="s">
        <v>5352</v>
      </c>
    </row>
    <row r="183" customFormat="false" ht="12.8" hidden="false" customHeight="false" outlineLevel="0" collapsed="false">
      <c r="A183" s="39" t="s">
        <v>5377</v>
      </c>
      <c r="B183" s="39" t="s">
        <v>5073</v>
      </c>
      <c r="C183" s="39" t="s">
        <v>434</v>
      </c>
      <c r="D183" s="39" t="s">
        <v>5378</v>
      </c>
      <c r="E183" s="39" t="s">
        <v>434</v>
      </c>
      <c r="F183" s="39" t="s">
        <v>5351</v>
      </c>
      <c r="G183" s="52" t="s">
        <v>436</v>
      </c>
      <c r="H183" s="39" t="s">
        <v>5352</v>
      </c>
    </row>
    <row r="184" customFormat="false" ht="12.8" hidden="false" customHeight="false" outlineLevel="0" collapsed="false">
      <c r="A184" s="39" t="s">
        <v>5379</v>
      </c>
      <c r="B184" s="39" t="s">
        <v>5076</v>
      </c>
      <c r="C184" s="39" t="s">
        <v>434</v>
      </c>
      <c r="D184" s="39" t="s">
        <v>5380</v>
      </c>
      <c r="E184" s="39" t="s">
        <v>434</v>
      </c>
      <c r="F184" s="39" t="s">
        <v>5351</v>
      </c>
      <c r="G184" s="52" t="s">
        <v>436</v>
      </c>
      <c r="H184" s="39" t="s">
        <v>5352</v>
      </c>
    </row>
    <row r="185" customFormat="false" ht="12.8" hidden="false" customHeight="false" outlineLevel="0" collapsed="false">
      <c r="A185" s="39" t="s">
        <v>5381</v>
      </c>
      <c r="B185" s="39" t="s">
        <v>5079</v>
      </c>
      <c r="C185" s="39" t="s">
        <v>440</v>
      </c>
      <c r="D185" s="39" t="s">
        <v>5382</v>
      </c>
      <c r="E185" s="39" t="s">
        <v>440</v>
      </c>
      <c r="F185" s="39" t="s">
        <v>5351</v>
      </c>
      <c r="G185" s="52" t="s">
        <v>436</v>
      </c>
      <c r="H185" s="39" t="s">
        <v>5352</v>
      </c>
    </row>
    <row r="186" customFormat="false" ht="12.8" hidden="false" customHeight="false" outlineLevel="0" collapsed="false">
      <c r="A186" s="39" t="s">
        <v>5383</v>
      </c>
      <c r="B186" s="39" t="s">
        <v>5082</v>
      </c>
      <c r="C186" s="39" t="s">
        <v>434</v>
      </c>
      <c r="D186" s="39" t="s">
        <v>5384</v>
      </c>
      <c r="E186" s="39" t="s">
        <v>434</v>
      </c>
      <c r="F186" s="39" t="s">
        <v>5351</v>
      </c>
      <c r="G186" s="52" t="s">
        <v>436</v>
      </c>
      <c r="H186" s="39" t="s">
        <v>5352</v>
      </c>
    </row>
    <row r="187" customFormat="false" ht="12.8" hidden="false" customHeight="false" outlineLevel="0" collapsed="false">
      <c r="A187" s="39" t="s">
        <v>5385</v>
      </c>
      <c r="B187" s="39" t="s">
        <v>5085</v>
      </c>
      <c r="C187" s="39" t="s">
        <v>434</v>
      </c>
      <c r="D187" s="39" t="s">
        <v>5386</v>
      </c>
      <c r="E187" s="39" t="s">
        <v>434</v>
      </c>
      <c r="F187" s="39" t="s">
        <v>5351</v>
      </c>
      <c r="G187" s="52" t="s">
        <v>436</v>
      </c>
      <c r="H187" s="39" t="s">
        <v>5352</v>
      </c>
    </row>
    <row r="188" customFormat="false" ht="12.8" hidden="false" customHeight="false" outlineLevel="0" collapsed="false">
      <c r="A188" s="39" t="s">
        <v>5387</v>
      </c>
      <c r="B188" s="39" t="s">
        <v>5088</v>
      </c>
      <c r="C188" s="39" t="s">
        <v>502</v>
      </c>
      <c r="D188" s="39" t="s">
        <v>5388</v>
      </c>
      <c r="E188" s="39" t="s">
        <v>502</v>
      </c>
      <c r="F188" s="39" t="s">
        <v>5351</v>
      </c>
      <c r="G188" s="52" t="s">
        <v>436</v>
      </c>
      <c r="H188" s="39" t="s">
        <v>5352</v>
      </c>
    </row>
    <row r="189" customFormat="false" ht="12.8" hidden="false" customHeight="false" outlineLevel="0" collapsed="false">
      <c r="A189" s="39" t="s">
        <v>5389</v>
      </c>
      <c r="B189" s="39" t="s">
        <v>5091</v>
      </c>
      <c r="C189" s="39" t="s">
        <v>502</v>
      </c>
      <c r="D189" s="39" t="s">
        <v>5390</v>
      </c>
      <c r="E189" s="39" t="s">
        <v>502</v>
      </c>
      <c r="F189" s="39" t="s">
        <v>5351</v>
      </c>
      <c r="G189" s="52" t="s">
        <v>436</v>
      </c>
      <c r="H189" s="39" t="s">
        <v>5352</v>
      </c>
    </row>
    <row r="190" customFormat="false" ht="12.8" hidden="false" customHeight="false" outlineLevel="0" collapsed="false">
      <c r="A190" s="39" t="s">
        <v>5391</v>
      </c>
      <c r="B190" s="39" t="s">
        <v>5094</v>
      </c>
      <c r="C190" s="39" t="s">
        <v>434</v>
      </c>
      <c r="D190" s="39" t="s">
        <v>5392</v>
      </c>
      <c r="E190" s="39" t="s">
        <v>434</v>
      </c>
      <c r="F190" s="39" t="s">
        <v>5351</v>
      </c>
      <c r="G190" s="52" t="s">
        <v>436</v>
      </c>
      <c r="H190" s="39" t="s">
        <v>5352</v>
      </c>
    </row>
    <row r="191" customFormat="false" ht="12.8" hidden="false" customHeight="false" outlineLevel="0" collapsed="false">
      <c r="A191" s="39" t="s">
        <v>5393</v>
      </c>
      <c r="B191" s="39" t="s">
        <v>5097</v>
      </c>
      <c r="C191" s="39" t="s">
        <v>434</v>
      </c>
      <c r="D191" s="39" t="s">
        <v>5394</v>
      </c>
      <c r="E191" s="39" t="s">
        <v>434</v>
      </c>
      <c r="F191" s="39" t="s">
        <v>5351</v>
      </c>
      <c r="G191" s="52" t="s">
        <v>436</v>
      </c>
      <c r="H191" s="39" t="s">
        <v>5352</v>
      </c>
    </row>
    <row r="192" customFormat="false" ht="12.8" hidden="false" customHeight="false" outlineLevel="0" collapsed="false">
      <c r="A192" s="39" t="s">
        <v>5395</v>
      </c>
      <c r="B192" s="39" t="s">
        <v>5105</v>
      </c>
      <c r="C192" s="39" t="n">
        <v>0.005</v>
      </c>
      <c r="D192" s="39" t="s">
        <v>5396</v>
      </c>
      <c r="E192" s="39" t="s">
        <v>434</v>
      </c>
      <c r="F192" s="39" t="s">
        <v>487</v>
      </c>
      <c r="G192" s="52" t="s">
        <v>436</v>
      </c>
      <c r="H192" s="39" t="s">
        <v>5352</v>
      </c>
    </row>
    <row r="193" customFormat="false" ht="12.8" hidden="false" customHeight="false" outlineLevel="0" collapsed="false">
      <c r="A193" s="39" t="s">
        <v>5397</v>
      </c>
      <c r="B193" s="39" t="s">
        <v>5109</v>
      </c>
      <c r="C193" s="39" t="n">
        <v>0.003</v>
      </c>
      <c r="D193" s="39" t="s">
        <v>5398</v>
      </c>
      <c r="E193" s="39" t="s">
        <v>434</v>
      </c>
      <c r="F193" s="39" t="s">
        <v>487</v>
      </c>
      <c r="G193" s="52" t="s">
        <v>436</v>
      </c>
      <c r="H193" s="39" t="s">
        <v>5352</v>
      </c>
    </row>
    <row r="194" customFormat="false" ht="12.8" hidden="false" customHeight="false" outlineLevel="0" collapsed="false">
      <c r="A194" s="39" t="s">
        <v>5399</v>
      </c>
      <c r="B194" s="39" t="s">
        <v>5112</v>
      </c>
      <c r="C194" s="39" t="n">
        <v>0.002</v>
      </c>
      <c r="D194" s="39" t="s">
        <v>5400</v>
      </c>
      <c r="E194" s="39" t="s">
        <v>434</v>
      </c>
      <c r="F194" s="39" t="s">
        <v>487</v>
      </c>
      <c r="G194" s="52" t="s">
        <v>436</v>
      </c>
      <c r="H194" s="39" t="s">
        <v>5352</v>
      </c>
    </row>
    <row r="195" customFormat="false" ht="12.8" hidden="false" customHeight="false" outlineLevel="0" collapsed="false">
      <c r="A195" s="39" t="s">
        <v>5401</v>
      </c>
      <c r="B195" s="39" t="s">
        <v>5115</v>
      </c>
      <c r="C195" s="39" t="n">
        <v>0.004</v>
      </c>
      <c r="D195" s="39" t="s">
        <v>5402</v>
      </c>
      <c r="E195" s="39" t="s">
        <v>440</v>
      </c>
      <c r="F195" s="39" t="s">
        <v>487</v>
      </c>
      <c r="G195" s="52" t="s">
        <v>436</v>
      </c>
      <c r="H195" s="39" t="s">
        <v>5352</v>
      </c>
    </row>
    <row r="196" customFormat="false" ht="12.8" hidden="false" customHeight="false" outlineLevel="0" collapsed="false">
      <c r="A196" s="39" t="s">
        <v>5403</v>
      </c>
      <c r="B196" s="39" t="s">
        <v>5118</v>
      </c>
      <c r="C196" s="39" t="n">
        <v>0.003</v>
      </c>
      <c r="D196" s="39" t="s">
        <v>5404</v>
      </c>
      <c r="E196" s="39" t="s">
        <v>434</v>
      </c>
      <c r="F196" s="39" t="s">
        <v>487</v>
      </c>
      <c r="G196" s="52" t="s">
        <v>436</v>
      </c>
      <c r="H196" s="39" t="s">
        <v>5352</v>
      </c>
    </row>
    <row r="197" customFormat="false" ht="12.8" hidden="false" customHeight="false" outlineLevel="0" collapsed="false">
      <c r="A197" s="39" t="s">
        <v>5405</v>
      </c>
      <c r="B197" s="39" t="s">
        <v>5121</v>
      </c>
      <c r="C197" s="39" t="n">
        <v>0.003</v>
      </c>
      <c r="D197" s="39" t="s">
        <v>5406</v>
      </c>
      <c r="E197" s="39" t="s">
        <v>434</v>
      </c>
      <c r="F197" s="39" t="s">
        <v>487</v>
      </c>
      <c r="G197" s="52" t="s">
        <v>436</v>
      </c>
      <c r="H197" s="39" t="s">
        <v>5352</v>
      </c>
    </row>
    <row r="198" customFormat="false" ht="12.8" hidden="false" customHeight="false" outlineLevel="0" collapsed="false">
      <c r="A198" s="39" t="s">
        <v>5407</v>
      </c>
      <c r="B198" s="39" t="s">
        <v>5124</v>
      </c>
      <c r="C198" s="39" t="n">
        <v>0.002</v>
      </c>
      <c r="D198" s="39" t="s">
        <v>5408</v>
      </c>
      <c r="E198" s="39" t="s">
        <v>434</v>
      </c>
      <c r="F198" s="39" t="s">
        <v>487</v>
      </c>
      <c r="G198" s="52" t="s">
        <v>436</v>
      </c>
      <c r="H198" s="39" t="s">
        <v>5352</v>
      </c>
    </row>
    <row r="199" customFormat="false" ht="12.8" hidden="false" customHeight="false" outlineLevel="0" collapsed="false">
      <c r="A199" s="39" t="s">
        <v>5409</v>
      </c>
      <c r="B199" s="39" t="s">
        <v>5127</v>
      </c>
      <c r="C199" s="39" t="n">
        <v>0.002</v>
      </c>
      <c r="D199" s="39" t="s">
        <v>5410</v>
      </c>
      <c r="E199" s="39" t="s">
        <v>434</v>
      </c>
      <c r="F199" s="39" t="s">
        <v>487</v>
      </c>
      <c r="G199" s="52" t="s">
        <v>436</v>
      </c>
      <c r="H199" s="39" t="s">
        <v>5352</v>
      </c>
    </row>
    <row r="200" customFormat="false" ht="12.8" hidden="false" customHeight="false" outlineLevel="0" collapsed="false">
      <c r="A200" s="39" t="s">
        <v>5411</v>
      </c>
      <c r="B200" s="39" t="s">
        <v>5130</v>
      </c>
      <c r="C200" s="39" t="n">
        <v>0.004</v>
      </c>
      <c r="D200" s="39" t="s">
        <v>5412</v>
      </c>
      <c r="E200" s="39" t="s">
        <v>440</v>
      </c>
      <c r="F200" s="39" t="s">
        <v>487</v>
      </c>
      <c r="G200" s="52" t="s">
        <v>436</v>
      </c>
      <c r="H200" s="39" t="s">
        <v>5352</v>
      </c>
    </row>
    <row r="201" customFormat="false" ht="12.8" hidden="false" customHeight="false" outlineLevel="0" collapsed="false">
      <c r="A201" s="39" t="s">
        <v>5413</v>
      </c>
      <c r="B201" s="39" t="s">
        <v>5133</v>
      </c>
      <c r="C201" s="39" t="n">
        <v>0.004</v>
      </c>
      <c r="D201" s="39" t="s">
        <v>5414</v>
      </c>
      <c r="E201" s="39" t="s">
        <v>440</v>
      </c>
      <c r="F201" s="39" t="s">
        <v>487</v>
      </c>
      <c r="G201" s="52" t="s">
        <v>436</v>
      </c>
      <c r="H201" s="39" t="s">
        <v>5352</v>
      </c>
    </row>
    <row r="202" customFormat="false" ht="12.8" hidden="false" customHeight="false" outlineLevel="0" collapsed="false">
      <c r="A202" s="39" t="s">
        <v>5415</v>
      </c>
      <c r="B202" s="39" t="s">
        <v>5136</v>
      </c>
      <c r="C202" s="39" t="n">
        <v>0.003</v>
      </c>
      <c r="D202" s="39" t="s">
        <v>5416</v>
      </c>
      <c r="E202" s="39" t="s">
        <v>434</v>
      </c>
      <c r="F202" s="39" t="s">
        <v>487</v>
      </c>
      <c r="G202" s="52" t="s">
        <v>436</v>
      </c>
      <c r="H202" s="39" t="s">
        <v>5352</v>
      </c>
    </row>
    <row r="203" customFormat="false" ht="12.8" hidden="false" customHeight="false" outlineLevel="0" collapsed="false">
      <c r="A203" s="39" t="s">
        <v>5417</v>
      </c>
      <c r="B203" s="39" t="s">
        <v>5139</v>
      </c>
      <c r="C203" s="39" t="n">
        <v>0.004</v>
      </c>
      <c r="D203" s="39" t="s">
        <v>5418</v>
      </c>
      <c r="E203" s="39" t="s">
        <v>440</v>
      </c>
      <c r="F203" s="39" t="s">
        <v>487</v>
      </c>
      <c r="G203" s="52" t="s">
        <v>436</v>
      </c>
      <c r="H203" s="39" t="s">
        <v>5352</v>
      </c>
    </row>
    <row r="204" customFormat="false" ht="12.8" hidden="false" customHeight="false" outlineLevel="0" collapsed="false">
      <c r="A204" s="39" t="s">
        <v>5419</v>
      </c>
      <c r="B204" s="39" t="s">
        <v>5142</v>
      </c>
      <c r="C204" s="39" t="n">
        <v>0.002</v>
      </c>
      <c r="D204" s="39" t="s">
        <v>5420</v>
      </c>
      <c r="E204" s="39" t="s">
        <v>434</v>
      </c>
      <c r="F204" s="39" t="s">
        <v>487</v>
      </c>
      <c r="G204" s="52" t="s">
        <v>436</v>
      </c>
      <c r="H204" s="39" t="s">
        <v>5352</v>
      </c>
    </row>
    <row r="205" customFormat="false" ht="12.8" hidden="false" customHeight="false" outlineLevel="0" collapsed="false">
      <c r="A205" s="39" t="s">
        <v>5421</v>
      </c>
      <c r="B205" s="39" t="s">
        <v>5145</v>
      </c>
      <c r="C205" s="39" t="n">
        <v>0.001</v>
      </c>
      <c r="D205" s="39" t="s">
        <v>5422</v>
      </c>
      <c r="E205" s="39" t="s">
        <v>434</v>
      </c>
      <c r="F205" s="39" t="s">
        <v>487</v>
      </c>
      <c r="G205" s="52" t="s">
        <v>436</v>
      </c>
      <c r="H205" s="39" t="s">
        <v>5352</v>
      </c>
    </row>
    <row r="206" customFormat="false" ht="12.8" hidden="false" customHeight="false" outlineLevel="0" collapsed="false">
      <c r="A206" s="39" t="s">
        <v>5423</v>
      </c>
      <c r="B206" s="39" t="s">
        <v>5148</v>
      </c>
      <c r="C206" s="39" t="n">
        <v>0.002</v>
      </c>
      <c r="D206" s="39" t="s">
        <v>5424</v>
      </c>
      <c r="E206" s="39" t="s">
        <v>434</v>
      </c>
      <c r="F206" s="39" t="s">
        <v>487</v>
      </c>
      <c r="G206" s="52" t="s">
        <v>436</v>
      </c>
      <c r="H206" s="39" t="s">
        <v>5352</v>
      </c>
    </row>
    <row r="207" customFormat="false" ht="12.8" hidden="false" customHeight="false" outlineLevel="0" collapsed="false">
      <c r="A207" s="39" t="s">
        <v>5425</v>
      </c>
      <c r="B207" s="39" t="s">
        <v>5151</v>
      </c>
      <c r="C207" s="39" t="n">
        <v>0.001</v>
      </c>
      <c r="D207" s="39" t="s">
        <v>5426</v>
      </c>
      <c r="E207" s="39" t="s">
        <v>434</v>
      </c>
      <c r="F207" s="39" t="s">
        <v>487</v>
      </c>
      <c r="G207" s="52" t="s">
        <v>436</v>
      </c>
      <c r="H207" s="39" t="s">
        <v>5352</v>
      </c>
    </row>
    <row r="208" customFormat="false" ht="12.8" hidden="false" customHeight="false" outlineLevel="0" collapsed="false">
      <c r="A208" s="39" t="s">
        <v>5427</v>
      </c>
      <c r="B208" s="39" t="s">
        <v>5154</v>
      </c>
      <c r="C208" s="39" t="n">
        <v>0.004</v>
      </c>
      <c r="D208" s="39" t="s">
        <v>5428</v>
      </c>
      <c r="E208" s="39" t="s">
        <v>440</v>
      </c>
      <c r="F208" s="39" t="s">
        <v>487</v>
      </c>
      <c r="G208" s="52" t="s">
        <v>436</v>
      </c>
      <c r="H208" s="39" t="s">
        <v>5352</v>
      </c>
    </row>
    <row r="209" customFormat="false" ht="12.8" hidden="false" customHeight="false" outlineLevel="0" collapsed="false">
      <c r="A209" s="39" t="s">
        <v>5429</v>
      </c>
      <c r="B209" s="39" t="s">
        <v>5157</v>
      </c>
      <c r="C209" s="39" t="n">
        <v>0.001</v>
      </c>
      <c r="D209" s="39" t="s">
        <v>5430</v>
      </c>
      <c r="E209" s="39" t="s">
        <v>434</v>
      </c>
      <c r="F209" s="39" t="s">
        <v>487</v>
      </c>
      <c r="G209" s="52" t="s">
        <v>436</v>
      </c>
      <c r="H209" s="39" t="s">
        <v>5352</v>
      </c>
    </row>
    <row r="210" customFormat="false" ht="12.8" hidden="false" customHeight="false" outlineLevel="0" collapsed="false">
      <c r="A210" s="39" t="s">
        <v>5431</v>
      </c>
      <c r="B210" s="39" t="s">
        <v>5160</v>
      </c>
      <c r="C210" s="39" t="n">
        <v>0.002</v>
      </c>
      <c r="D210" s="39" t="s">
        <v>5432</v>
      </c>
      <c r="E210" s="39" t="s">
        <v>434</v>
      </c>
      <c r="F210" s="39" t="s">
        <v>487</v>
      </c>
      <c r="G210" s="52" t="s">
        <v>436</v>
      </c>
      <c r="H210" s="39" t="s">
        <v>5352</v>
      </c>
    </row>
    <row r="211" customFormat="false" ht="12.8" hidden="false" customHeight="false" outlineLevel="0" collapsed="false">
      <c r="A211" s="39" t="s">
        <v>5433</v>
      </c>
      <c r="B211" s="39" t="s">
        <v>5163</v>
      </c>
      <c r="C211" s="39" t="n">
        <v>0.005</v>
      </c>
      <c r="D211" s="39" t="s">
        <v>5434</v>
      </c>
      <c r="E211" s="39" t="s">
        <v>502</v>
      </c>
      <c r="F211" s="39" t="s">
        <v>487</v>
      </c>
      <c r="G211" s="52" t="s">
        <v>436</v>
      </c>
      <c r="H211" s="39" t="s">
        <v>5352</v>
      </c>
    </row>
    <row r="212" customFormat="false" ht="12.8" hidden="false" customHeight="false" outlineLevel="0" collapsed="false">
      <c r="A212" s="39" t="s">
        <v>5435</v>
      </c>
      <c r="B212" s="39" t="s">
        <v>5166</v>
      </c>
      <c r="C212" s="39" t="n">
        <v>0.005</v>
      </c>
      <c r="D212" s="39" t="s">
        <v>5436</v>
      </c>
      <c r="E212" s="39" t="s">
        <v>502</v>
      </c>
      <c r="F212" s="39" t="s">
        <v>487</v>
      </c>
      <c r="G212" s="52" t="s">
        <v>436</v>
      </c>
      <c r="H212" s="39" t="s">
        <v>5352</v>
      </c>
    </row>
    <row r="213" customFormat="false" ht="12.8" hidden="false" customHeight="false" outlineLevel="0" collapsed="false">
      <c r="A213" s="39" t="s">
        <v>5437</v>
      </c>
      <c r="B213" s="39" t="s">
        <v>5169</v>
      </c>
      <c r="C213" s="39" t="n">
        <v>0.003</v>
      </c>
      <c r="D213" s="39" t="s">
        <v>5438</v>
      </c>
      <c r="E213" s="39" t="s">
        <v>440</v>
      </c>
      <c r="F213" s="39" t="s">
        <v>487</v>
      </c>
      <c r="G213" s="52" t="s">
        <v>436</v>
      </c>
      <c r="H213" s="39" t="s">
        <v>5352</v>
      </c>
    </row>
    <row r="214" customFormat="false" ht="12.8" hidden="false" customHeight="false" outlineLevel="0" collapsed="false">
      <c r="A214" s="39" t="s">
        <v>5439</v>
      </c>
      <c r="B214" s="39" t="s">
        <v>5172</v>
      </c>
      <c r="C214" s="39" t="n">
        <v>0.001</v>
      </c>
      <c r="D214" s="39" t="s">
        <v>5440</v>
      </c>
      <c r="E214" s="39" t="s">
        <v>434</v>
      </c>
      <c r="F214" s="39" t="s">
        <v>487</v>
      </c>
      <c r="G214" s="52" t="s">
        <v>436</v>
      </c>
      <c r="H214" s="39" t="s">
        <v>5352</v>
      </c>
    </row>
    <row r="215" customFormat="false" ht="12.8" hidden="false" customHeight="false" outlineLevel="0" collapsed="false">
      <c r="A215" s="39" t="s">
        <v>5441</v>
      </c>
      <c r="B215" s="39" t="s">
        <v>5184</v>
      </c>
      <c r="C215" s="39" t="n">
        <v>0.562</v>
      </c>
      <c r="D215" s="39" t="s">
        <v>5442</v>
      </c>
      <c r="E215" s="39" t="s">
        <v>434</v>
      </c>
      <c r="F215" s="39" t="s">
        <v>5443</v>
      </c>
      <c r="G215" s="52" t="s">
        <v>436</v>
      </c>
      <c r="H215" s="39" t="s">
        <v>1715</v>
      </c>
    </row>
    <row r="216" customFormat="false" ht="12.8" hidden="false" customHeight="false" outlineLevel="0" collapsed="false">
      <c r="A216" s="39"/>
      <c r="G216" s="52"/>
    </row>
    <row r="217" customFormat="false" ht="12.8" hidden="false" customHeight="false" outlineLevel="0" collapsed="false">
      <c r="A217" s="39"/>
      <c r="G217" s="52"/>
    </row>
    <row r="218" customFormat="false" ht="12.8" hidden="false" customHeight="false" outlineLevel="0" collapsed="false">
      <c r="A218" s="39"/>
      <c r="G218" s="52"/>
    </row>
    <row r="219" customFormat="false" ht="12.8" hidden="false" customHeight="false" outlineLevel="0" collapsed="false">
      <c r="A219" s="39"/>
      <c r="G219" s="52"/>
    </row>
    <row r="220" customFormat="false" ht="12.8" hidden="false" customHeight="false" outlineLevel="0" collapsed="false">
      <c r="A220" s="39"/>
      <c r="G220" s="52"/>
    </row>
    <row r="221" customFormat="false" ht="12.8" hidden="false" customHeight="false" outlineLevel="0" collapsed="false">
      <c r="A221" s="39"/>
      <c r="G221" s="52"/>
    </row>
    <row r="223" customFormat="false" ht="12.8" hidden="false" customHeight="false" outlineLevel="0" collapsed="false">
      <c r="A223" s="64" t="str">
        <f aca="false">_xlfn.CONCAT($A$1, ".", "VALID")</f>
        <v>LSD.RID.0.AL.ETPR.VALID</v>
      </c>
      <c r="B223" s="65" t="str">
        <f aca="false">_xlfn.CONCAT($B$1, " ", "Validation")</f>
        <v>Alabama Employment-to-Population Ratio (ETPR) Validation</v>
      </c>
    </row>
    <row r="224" customFormat="false" ht="12.8" hidden="false" customHeight="false" outlineLevel="0" collapsed="false">
      <c r="A224" s="49" t="s">
        <v>113</v>
      </c>
      <c r="B224" s="49" t="s">
        <v>5193</v>
      </c>
      <c r="C224" s="49" t="s">
        <v>4950</v>
      </c>
      <c r="D224" s="49" t="s">
        <v>5194</v>
      </c>
      <c r="E224" s="49" t="s">
        <v>428</v>
      </c>
      <c r="F224" s="49" t="s">
        <v>5444</v>
      </c>
      <c r="G224" s="49" t="s">
        <v>4953</v>
      </c>
      <c r="H224" s="49" t="s">
        <v>4953</v>
      </c>
    </row>
    <row r="225" customFormat="false" ht="12.8" hidden="false" customHeight="false" outlineLevel="0" collapsed="false">
      <c r="A225" s="39" t="s">
        <v>5445</v>
      </c>
      <c r="B225" s="39" t="s">
        <v>5446</v>
      </c>
      <c r="C225" s="39" t="n">
        <v>0.562</v>
      </c>
      <c r="D225" s="39" t="n">
        <v>0.562</v>
      </c>
      <c r="E225" s="39" t="s">
        <v>434</v>
      </c>
      <c r="F225" s="39" t="s">
        <v>5447</v>
      </c>
      <c r="G225" s="39" t="s">
        <v>5448</v>
      </c>
    </row>
    <row r="226" customFormat="false" ht="12.8" hidden="false" customHeight="false" outlineLevel="0" collapsed="false">
      <c r="A226" s="39" t="s">
        <v>5449</v>
      </c>
      <c r="B226" s="39" t="s">
        <v>5450</v>
      </c>
      <c r="C226" s="39" t="s">
        <v>5451</v>
      </c>
      <c r="D226" s="39" t="s">
        <v>5452</v>
      </c>
      <c r="E226" s="39" t="s">
        <v>434</v>
      </c>
      <c r="F226" s="39" t="s">
        <v>5453</v>
      </c>
      <c r="G226" s="39" t="s">
        <v>5454</v>
      </c>
    </row>
    <row r="227" customFormat="false" ht="12.8" hidden="false" customHeight="false" outlineLevel="0" collapsed="false">
      <c r="A227" s="39" t="s">
        <v>5455</v>
      </c>
      <c r="B227" s="39" t="s">
        <v>5456</v>
      </c>
      <c r="C227" s="39" t="s">
        <v>5457</v>
      </c>
      <c r="D227" s="39" t="s">
        <v>5458</v>
      </c>
      <c r="E227" s="39" t="s">
        <v>434</v>
      </c>
      <c r="F227" s="39" t="s">
        <v>5459</v>
      </c>
      <c r="G227" s="39" t="s">
        <v>5460</v>
      </c>
    </row>
    <row r="228" customFormat="false" ht="12.8" hidden="false" customHeight="false" outlineLevel="0" collapsed="false">
      <c r="A228" s="39" t="s">
        <v>5461</v>
      </c>
      <c r="B228" s="39" t="s">
        <v>5462</v>
      </c>
      <c r="C228" s="39" t="s">
        <v>5463</v>
      </c>
      <c r="D228" s="39" t="s">
        <v>5464</v>
      </c>
      <c r="E228" s="39" t="s">
        <v>434</v>
      </c>
      <c r="F228" s="39" t="s">
        <v>5465</v>
      </c>
      <c r="G228" s="39" t="s">
        <v>5466</v>
      </c>
    </row>
    <row r="229" customFormat="false" ht="12.8" hidden="false" customHeight="false" outlineLevel="0" collapsed="false">
      <c r="A229" s="39" t="s">
        <v>5467</v>
      </c>
      <c r="B229" s="39" t="s">
        <v>5468</v>
      </c>
      <c r="C229" s="39" t="s">
        <v>5469</v>
      </c>
      <c r="D229" s="39" t="s">
        <v>5470</v>
      </c>
      <c r="E229" s="39" t="s">
        <v>434</v>
      </c>
      <c r="F229" s="39" t="s">
        <v>5471</v>
      </c>
      <c r="G229" s="39" t="s">
        <v>5472</v>
      </c>
    </row>
    <row r="230" customFormat="false" ht="12.8" hidden="false" customHeight="false" outlineLevel="0" collapsed="false">
      <c r="A230" s="39" t="s">
        <v>5473</v>
      </c>
      <c r="B230" s="39" t="s">
        <v>5474</v>
      </c>
      <c r="C230" s="39" t="s">
        <v>5475</v>
      </c>
      <c r="D230" s="39" t="s">
        <v>5476</v>
      </c>
      <c r="E230" s="39" t="s">
        <v>434</v>
      </c>
      <c r="F230" s="39" t="s">
        <v>5477</v>
      </c>
      <c r="G230" s="39" t="s">
        <v>5478</v>
      </c>
    </row>
    <row r="231" customFormat="false" ht="12.8" hidden="false" customHeight="false" outlineLevel="0" collapsed="false">
      <c r="A231" s="39" t="s">
        <v>5479</v>
      </c>
      <c r="B231" s="39" t="s">
        <v>5480</v>
      </c>
      <c r="C231" s="39" t="s">
        <v>5481</v>
      </c>
      <c r="D231" s="39" t="s">
        <v>5482</v>
      </c>
      <c r="E231" s="39" t="s">
        <v>434</v>
      </c>
      <c r="F231" s="39" t="s">
        <v>5483</v>
      </c>
      <c r="G231" s="39" t="s">
        <v>5484</v>
      </c>
    </row>
    <row r="232" customFormat="false" ht="12.8" hidden="false" customHeight="false" outlineLevel="0" collapsed="false">
      <c r="A232" s="39" t="s">
        <v>5485</v>
      </c>
      <c r="B232" s="39" t="s">
        <v>5486</v>
      </c>
      <c r="C232" s="39" t="s">
        <v>5487</v>
      </c>
      <c r="D232" s="39" t="n">
        <v>0.562</v>
      </c>
      <c r="E232" s="39" t="s">
        <v>5488</v>
      </c>
      <c r="F232" s="39" t="s">
        <v>434</v>
      </c>
      <c r="G232" s="39" t="s">
        <v>5489</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O149"/>
  <sheetViews>
    <sheetView showFormulas="false" showGridLines="true" showRowColHeaders="true" showZeros="true" rightToLeft="false" tabSelected="false" showOutlineSymbols="true" defaultGridColor="true" view="normal" topLeftCell="A16" colorId="64" zoomScale="75" zoomScaleNormal="75" zoomScalePageLayoutView="100" workbookViewId="0">
      <selection pane="topLeft" activeCell="A139" activeCellId="0" sqref="A139"/>
    </sheetView>
  </sheetViews>
  <sheetFormatPr defaultColWidth="11.53515625" defaultRowHeight="12.8" customHeight="false" zeroHeight="false" outlineLevelRow="0" outlineLevelCol="0"/>
  <cols>
    <col collapsed="false" customWidth="true" hidden="false" outlineLevel="0" max="1" min="1" style="51" width="23.07"/>
    <col collapsed="false" customWidth="true" hidden="false" outlineLevel="0" max="2" min="2" style="39" width="27.68"/>
    <col collapsed="false" customWidth="true" hidden="false" outlineLevel="0" max="3" min="3" style="39" width="21.47"/>
    <col collapsed="false" customWidth="true" hidden="false" outlineLevel="0" max="7" min="4" style="39" width="16.84"/>
    <col collapsed="false" customWidth="true" hidden="false" outlineLevel="0" max="8" min="8" style="39" width="14.53"/>
    <col collapsed="false" customWidth="true" hidden="false" outlineLevel="0" max="34" min="9" style="39" width="16.84"/>
    <col collapsed="false" customWidth="true" hidden="false" outlineLevel="0" max="48" min="35" style="39" width="17.78"/>
    <col collapsed="false" customWidth="true" hidden="false" outlineLevel="0" max="51" min="49" style="39" width="15.48"/>
    <col collapsed="false" customWidth="false" hidden="false" outlineLevel="0" max="55" min="52" style="3" width="11.53"/>
    <col collapsed="false" customWidth="true" hidden="false" outlineLevel="0" max="56" min="56" style="39" width="18.45"/>
    <col collapsed="false" customWidth="true" hidden="false" outlineLevel="0" max="59" min="57" style="39" width="16.14"/>
    <col collapsed="false" customWidth="true" hidden="false" outlineLevel="0" max="67" min="60" style="39" width="13.84"/>
    <col collapsed="false" customWidth="false" hidden="false" outlineLevel="0" max="16384" min="68" style="3" width="11.53"/>
  </cols>
  <sheetData>
    <row r="1" customFormat="false" ht="12.9" hidden="false" customHeight="false" outlineLevel="0" collapsed="false">
      <c r="A1" s="11" t="s">
        <v>5490</v>
      </c>
      <c r="B1" s="42" t="s">
        <v>5491</v>
      </c>
      <c r="C1" s="6" t="s">
        <v>2</v>
      </c>
      <c r="D1" s="42" t="s">
        <v>5492</v>
      </c>
      <c r="E1" s="66" t="s">
        <v>5493</v>
      </c>
      <c r="AZ1" s="39"/>
      <c r="BA1" s="39"/>
      <c r="BB1" s="39"/>
      <c r="BC1" s="39"/>
    </row>
    <row r="2" customFormat="false" ht="12.8" hidden="false" customHeight="false" outlineLevel="0" collapsed="false">
      <c r="A2" s="64" t="str">
        <f aca="false">_xlfn.CONCAT($A$1, ".", "CALC")</f>
        <v>LSD.RID.0.AL.LFPR.CALC</v>
      </c>
      <c r="B2" s="65" t="str">
        <f aca="false">_xlfn.CONCAT($B$1, " ", "Calculations")</f>
        <v>Alabama Labor Force Participation Rate (LFPR) Calculations</v>
      </c>
      <c r="C2" s="3"/>
      <c r="D2" s="3"/>
      <c r="E2" s="3"/>
      <c r="F2" s="3"/>
    </row>
    <row r="3" customFormat="false" ht="12.8" hidden="false" customHeight="false" outlineLevel="0" collapsed="false">
      <c r="A3" s="64" t="str">
        <f aca="false">CALC!A3</f>
        <v>LSID</v>
      </c>
      <c r="B3" s="42" t="str">
        <f aca="false">CALC!C3</f>
        <v>Labor Sector</v>
      </c>
      <c r="C3" s="70" t="str">
        <f aca="false">CALC!P3</f>
        <v>Overall LFPR</v>
      </c>
      <c r="D3" s="70" t="str">
        <f aca="false">CALC!Q3</f>
        <v>Authorized LFPR</v>
      </c>
      <c r="E3" s="70" t="str">
        <f aca="false">CALC!R3</f>
        <v>Unauthorized LFPR</v>
      </c>
      <c r="F3" s="70" t="str">
        <f aca="false">CALC!S3</f>
        <v>American LFPR</v>
      </c>
      <c r="AB3" s="3"/>
      <c r="AC3" s="3"/>
      <c r="AD3" s="3"/>
      <c r="AE3" s="3"/>
      <c r="AR3" s="3"/>
      <c r="AS3" s="3"/>
      <c r="AT3" s="3"/>
      <c r="AU3" s="3"/>
      <c r="AV3" s="3"/>
      <c r="AW3" s="3"/>
      <c r="AX3" s="3"/>
      <c r="AY3" s="3"/>
      <c r="BD3" s="3"/>
      <c r="BE3" s="3"/>
      <c r="BF3" s="3"/>
      <c r="BG3" s="3"/>
      <c r="BH3" s="3"/>
      <c r="BI3" s="3"/>
      <c r="BJ3" s="3"/>
      <c r="BK3" s="3"/>
      <c r="BL3" s="3"/>
      <c r="BM3" s="3"/>
      <c r="BN3" s="3"/>
      <c r="BO3" s="3"/>
    </row>
    <row r="4" customFormat="false" ht="12.8" hidden="false" customHeight="false" outlineLevel="0" collapsed="false">
      <c r="A4" s="64" t="str">
        <f aca="false">_xlfn.CONCAT($A$1, ".", CALC!A4)</f>
        <v>LSD.RID.0.AL.LFPR.0</v>
      </c>
      <c r="B4" s="42" t="str">
        <f aca="false">CALC!C4</f>
        <v>All Industries</v>
      </c>
      <c r="C4" s="39" t="n">
        <v>0.577</v>
      </c>
      <c r="D4" s="39" t="n">
        <v>0.41</v>
      </c>
      <c r="E4" s="39" t="n">
        <v>0.61</v>
      </c>
      <c r="F4" s="39" t="n">
        <v>0.583</v>
      </c>
      <c r="AB4" s="3"/>
      <c r="AC4" s="3"/>
      <c r="AD4" s="3"/>
      <c r="AE4" s="3"/>
      <c r="AR4" s="3"/>
      <c r="AS4" s="3"/>
      <c r="AT4" s="3"/>
      <c r="AU4" s="3"/>
      <c r="AV4" s="3"/>
      <c r="AW4" s="3"/>
      <c r="AX4" s="3"/>
      <c r="AY4" s="3"/>
      <c r="BD4" s="3"/>
      <c r="BE4" s="3"/>
      <c r="BF4" s="3"/>
      <c r="BG4" s="3"/>
      <c r="BH4" s="3"/>
      <c r="BI4" s="3"/>
      <c r="BJ4" s="3"/>
      <c r="BK4" s="3"/>
      <c r="BL4" s="3"/>
      <c r="BM4" s="3"/>
      <c r="BN4" s="3"/>
      <c r="BO4" s="3"/>
    </row>
    <row r="5" customFormat="false" ht="23.85" hidden="false" customHeight="false" outlineLevel="0" collapsed="false">
      <c r="A5" s="64" t="str">
        <f aca="false">_xlfn.CONCAT($A$1, ".", CALC!A5)</f>
        <v>LSD.RID.0.AL.LFPR.1</v>
      </c>
      <c r="B5" s="67" t="str">
        <f aca="false">CALC!C5</f>
        <v>Agriculture, Forestry, 
Fishing and Hunting</v>
      </c>
      <c r="C5" s="39" t="n">
        <v>0.545</v>
      </c>
      <c r="D5" s="39" t="n">
        <v>0.4</v>
      </c>
      <c r="E5" s="39" t="n">
        <v>0.7</v>
      </c>
      <c r="F5" s="39" t="n">
        <v>0.545</v>
      </c>
      <c r="AB5" s="3"/>
      <c r="AC5" s="3"/>
      <c r="AD5" s="3"/>
      <c r="AE5" s="3"/>
      <c r="AR5" s="3"/>
      <c r="AS5" s="3"/>
      <c r="AT5" s="3"/>
      <c r="AU5" s="3"/>
      <c r="AV5" s="3"/>
      <c r="AW5" s="3"/>
      <c r="AX5" s="3"/>
      <c r="AY5" s="3"/>
      <c r="BD5" s="3"/>
      <c r="BE5" s="3"/>
      <c r="BF5" s="3"/>
      <c r="BG5" s="3"/>
      <c r="BH5" s="3"/>
      <c r="BI5" s="3"/>
      <c r="BJ5" s="3"/>
      <c r="BK5" s="3"/>
      <c r="BL5" s="3"/>
      <c r="BM5" s="3"/>
      <c r="BN5" s="3"/>
      <c r="BO5" s="3"/>
    </row>
    <row r="6" customFormat="false" ht="23.85" hidden="false" customHeight="false" outlineLevel="0" collapsed="false">
      <c r="A6" s="64" t="str">
        <f aca="false">_xlfn.CONCAT($A$1, ".", CALC!A6)</f>
        <v>LSD.RID.0.AL.LFPR.2</v>
      </c>
      <c r="B6" s="67" t="str">
        <f aca="false">CALC!C6</f>
        <v>Mining, Quarrying, and
Oil and Gas Extraction</v>
      </c>
      <c r="C6" s="39" t="n">
        <v>0.585</v>
      </c>
      <c r="D6" s="39" t="n">
        <v>0.415</v>
      </c>
      <c r="E6" s="39" t="n">
        <v>0.65</v>
      </c>
      <c r="F6" s="39" t="n">
        <v>0.585</v>
      </c>
      <c r="AB6" s="3"/>
      <c r="AC6" s="3"/>
      <c r="AD6" s="3"/>
      <c r="AE6" s="3"/>
      <c r="AR6" s="3"/>
      <c r="AS6" s="3"/>
      <c r="AT6" s="3"/>
      <c r="AU6" s="3"/>
      <c r="AV6" s="3"/>
      <c r="AW6" s="3"/>
      <c r="AX6" s="3"/>
      <c r="AY6" s="3"/>
      <c r="BD6" s="3"/>
      <c r="BE6" s="3"/>
      <c r="BF6" s="3"/>
      <c r="BG6" s="3"/>
      <c r="BH6" s="3"/>
      <c r="BI6" s="3"/>
      <c r="BJ6" s="3"/>
      <c r="BK6" s="3"/>
      <c r="BL6" s="3"/>
      <c r="BM6" s="3"/>
      <c r="BN6" s="3"/>
      <c r="BO6" s="3"/>
    </row>
    <row r="7" customFormat="false" ht="12.8" hidden="false" customHeight="false" outlineLevel="0" collapsed="false">
      <c r="A7" s="64" t="str">
        <f aca="false">_xlfn.CONCAT($A$1, ".", CALC!A7)</f>
        <v>LSD.RID.0.AL.LFPR.3</v>
      </c>
      <c r="B7" s="42" t="str">
        <f aca="false">CALC!C7</f>
        <v>Utilities</v>
      </c>
      <c r="C7" s="39" t="n">
        <v>0.575</v>
      </c>
      <c r="D7" s="39" t="n">
        <v>0.41</v>
      </c>
      <c r="E7" s="39" t="n">
        <v>0.62</v>
      </c>
      <c r="F7" s="39" t="n">
        <v>0.575</v>
      </c>
      <c r="AB7" s="3"/>
      <c r="AC7" s="3"/>
      <c r="AD7" s="3"/>
      <c r="AE7" s="3"/>
      <c r="AR7" s="3"/>
      <c r="AS7" s="3"/>
      <c r="AT7" s="3"/>
      <c r="AU7" s="3"/>
      <c r="AV7" s="3"/>
      <c r="AW7" s="3"/>
      <c r="AX7" s="3"/>
      <c r="AY7" s="3"/>
      <c r="BD7" s="3"/>
      <c r="BE7" s="3"/>
      <c r="BF7" s="3"/>
      <c r="BG7" s="3"/>
      <c r="BH7" s="3"/>
      <c r="BI7" s="3"/>
      <c r="BJ7" s="3"/>
      <c r="BK7" s="3"/>
      <c r="BL7" s="3"/>
      <c r="BM7" s="3"/>
      <c r="BN7" s="3"/>
      <c r="BO7" s="3"/>
    </row>
    <row r="8" customFormat="false" ht="12.8" hidden="false" customHeight="false" outlineLevel="0" collapsed="false">
      <c r="A8" s="64" t="str">
        <f aca="false">_xlfn.CONCAT($A$1, ".", CALC!A8)</f>
        <v>LSD.RID.0.AL.LFPR.4</v>
      </c>
      <c r="B8" s="42" t="str">
        <f aca="false">CALC!C8</f>
        <v>Construction</v>
      </c>
      <c r="C8" s="39" t="n">
        <v>0.545</v>
      </c>
      <c r="D8" s="39" t="n">
        <v>0.4</v>
      </c>
      <c r="E8" s="39" t="n">
        <v>0.7</v>
      </c>
      <c r="F8" s="39" t="n">
        <v>0.545</v>
      </c>
      <c r="AB8" s="3"/>
      <c r="AC8" s="3"/>
      <c r="AD8" s="3"/>
      <c r="AE8" s="3"/>
      <c r="AR8" s="3"/>
      <c r="AS8" s="3"/>
      <c r="AT8" s="3"/>
      <c r="AU8" s="3"/>
      <c r="AV8" s="3"/>
      <c r="AW8" s="3"/>
      <c r="AX8" s="3"/>
      <c r="AY8" s="3"/>
      <c r="BD8" s="3"/>
      <c r="BE8" s="3"/>
      <c r="BF8" s="3"/>
      <c r="BG8" s="3"/>
      <c r="BH8" s="3"/>
      <c r="BI8" s="3"/>
      <c r="BJ8" s="3"/>
      <c r="BK8" s="3"/>
      <c r="BL8" s="3"/>
      <c r="BM8" s="3"/>
      <c r="BN8" s="3"/>
      <c r="BO8" s="3"/>
    </row>
    <row r="9" customFormat="false" ht="23.85" hidden="false" customHeight="false" outlineLevel="0" collapsed="false">
      <c r="A9" s="64" t="str">
        <f aca="false">_xlfn.CONCAT($A$1, ".", CALC!A9)</f>
        <v>LSD.RID.0.AL.LFPR.5</v>
      </c>
      <c r="B9" s="67" t="str">
        <f aca="false">CALC!C9</f>
        <v>Manufacturing
(Food,Textile, etc.)</v>
      </c>
      <c r="C9" s="39" t="n">
        <v>0.565</v>
      </c>
      <c r="D9" s="39" t="n">
        <v>0.405</v>
      </c>
      <c r="E9" s="39" t="n">
        <v>0.66</v>
      </c>
      <c r="F9" s="39" t="n">
        <v>0.565</v>
      </c>
      <c r="AB9" s="3"/>
      <c r="AC9" s="3"/>
      <c r="AD9" s="3"/>
      <c r="AE9" s="3"/>
      <c r="AR9" s="3"/>
      <c r="AS9" s="3"/>
      <c r="AT9" s="3"/>
      <c r="AU9" s="3"/>
      <c r="AV9" s="3"/>
      <c r="AW9" s="3"/>
      <c r="AX9" s="3"/>
      <c r="AY9" s="3"/>
      <c r="BD9" s="3"/>
      <c r="BE9" s="3"/>
      <c r="BF9" s="3"/>
      <c r="BG9" s="3"/>
      <c r="BH9" s="3"/>
      <c r="BI9" s="3"/>
      <c r="BJ9" s="3"/>
      <c r="BK9" s="3"/>
      <c r="BL9" s="3"/>
      <c r="BM9" s="3"/>
      <c r="BN9" s="3"/>
      <c r="BO9" s="3"/>
    </row>
    <row r="10" customFormat="false" ht="23.85" hidden="false" customHeight="false" outlineLevel="0" collapsed="false">
      <c r="A10" s="64" t="str">
        <f aca="false">_xlfn.CONCAT($A$1, ".", CALC!A10)</f>
        <v>LSD.RID.0.AL.LFPR.6</v>
      </c>
      <c r="B10" s="67" t="str">
        <f aca="false">CALC!C10</f>
        <v>Manufacturing (Wood,
Paper, Printing, etc.)</v>
      </c>
      <c r="C10" s="39" t="n">
        <v>0.565</v>
      </c>
      <c r="D10" s="39" t="n">
        <v>0.405</v>
      </c>
      <c r="E10" s="39" t="n">
        <v>0.66</v>
      </c>
      <c r="F10" s="39" t="n">
        <v>0.565</v>
      </c>
      <c r="AB10" s="3"/>
      <c r="AC10" s="3"/>
      <c r="AD10" s="3"/>
      <c r="AE10" s="3"/>
      <c r="AR10" s="3"/>
      <c r="AS10" s="3"/>
      <c r="AT10" s="3"/>
      <c r="AU10" s="3"/>
      <c r="AV10" s="3"/>
      <c r="AW10" s="3"/>
      <c r="AX10" s="3"/>
      <c r="AY10" s="3"/>
      <c r="BD10" s="3"/>
      <c r="BE10" s="3"/>
      <c r="BF10" s="3"/>
      <c r="BG10" s="3"/>
      <c r="BH10" s="3"/>
      <c r="BI10" s="3"/>
      <c r="BJ10" s="3"/>
      <c r="BK10" s="3"/>
      <c r="BL10" s="3"/>
      <c r="BM10" s="3"/>
      <c r="BN10" s="3"/>
      <c r="BO10" s="3"/>
    </row>
    <row r="11" customFormat="false" ht="23.85" hidden="false" customHeight="false" outlineLevel="0" collapsed="false">
      <c r="A11" s="64" t="str">
        <f aca="false">_xlfn.CONCAT($A$1, ".", CALC!A11)</f>
        <v>LSD.RID.0.AL.LFPR.7</v>
      </c>
      <c r="B11" s="67" t="str">
        <f aca="false">CALC!C11</f>
        <v>Manufacturing
(Machinery, Transport)</v>
      </c>
      <c r="C11" s="39" t="n">
        <v>0.565</v>
      </c>
      <c r="D11" s="39" t="n">
        <v>0.405</v>
      </c>
      <c r="E11" s="39" t="n">
        <v>0.66</v>
      </c>
      <c r="F11" s="39" t="n">
        <v>0.565</v>
      </c>
      <c r="AB11" s="3"/>
      <c r="AC11" s="3"/>
      <c r="AD11" s="3"/>
      <c r="AE11" s="3"/>
      <c r="AR11" s="3"/>
      <c r="AS11" s="3"/>
      <c r="AT11" s="3"/>
      <c r="AU11" s="3"/>
      <c r="AV11" s="3"/>
      <c r="AW11" s="3"/>
      <c r="AX11" s="3"/>
      <c r="AY11" s="3"/>
      <c r="BD11" s="3"/>
      <c r="BE11" s="3"/>
      <c r="BF11" s="3"/>
      <c r="BG11" s="3"/>
      <c r="BH11" s="3"/>
      <c r="BI11" s="3"/>
      <c r="BJ11" s="3"/>
      <c r="BK11" s="3"/>
      <c r="BL11" s="3"/>
      <c r="BM11" s="3"/>
      <c r="BN11" s="3"/>
      <c r="BO11" s="3"/>
    </row>
    <row r="12" customFormat="false" ht="12.8" hidden="false" customHeight="false" outlineLevel="0" collapsed="false">
      <c r="A12" s="64" t="str">
        <f aca="false">_xlfn.CONCAT($A$1, ".", CALC!A12)</f>
        <v>LSD.RID.0.AL.LFPR.8</v>
      </c>
      <c r="B12" s="42" t="str">
        <f aca="false">CALC!C12</f>
        <v>Wholesale Trade</v>
      </c>
      <c r="C12" s="39" t="n">
        <v>0.57</v>
      </c>
      <c r="D12" s="39" t="n">
        <v>0.41</v>
      </c>
      <c r="E12" s="39" t="n">
        <v>0.64</v>
      </c>
      <c r="F12" s="39" t="n">
        <v>0.57</v>
      </c>
      <c r="AB12" s="3"/>
      <c r="AC12" s="3"/>
      <c r="AD12" s="3"/>
      <c r="AE12" s="3"/>
      <c r="AR12" s="3"/>
      <c r="AS12" s="3"/>
      <c r="AT12" s="3"/>
      <c r="AU12" s="3"/>
      <c r="AV12" s="3"/>
      <c r="AW12" s="3"/>
      <c r="AX12" s="3"/>
      <c r="AY12" s="3"/>
      <c r="BD12" s="3"/>
      <c r="BE12" s="3"/>
      <c r="BF12" s="3"/>
      <c r="BG12" s="3"/>
      <c r="BH12" s="3"/>
      <c r="BI12" s="3"/>
      <c r="BJ12" s="3"/>
      <c r="BK12" s="3"/>
      <c r="BL12" s="3"/>
      <c r="BM12" s="3"/>
      <c r="BN12" s="3"/>
      <c r="BO12" s="3"/>
    </row>
    <row r="13" customFormat="false" ht="23.85" hidden="false" customHeight="false" outlineLevel="0" collapsed="false">
      <c r="A13" s="64" t="str">
        <f aca="false">_xlfn.CONCAT($A$1, ".", CALC!A13)</f>
        <v>LSD.RID.0.AL.LFPR.9</v>
      </c>
      <c r="B13" s="67" t="str">
        <f aca="false">CALC!C13</f>
        <v>Retail Trade (Motor
Vehicle, Electronics)</v>
      </c>
      <c r="C13" s="39" t="n">
        <v>0.57</v>
      </c>
      <c r="D13" s="39" t="n">
        <v>0.41</v>
      </c>
      <c r="E13" s="39" t="n">
        <v>0.64</v>
      </c>
      <c r="F13" s="39" t="n">
        <v>0.57</v>
      </c>
      <c r="AB13" s="3"/>
      <c r="AC13" s="3"/>
      <c r="AD13" s="3"/>
      <c r="AE13" s="3"/>
      <c r="AR13" s="3"/>
      <c r="AS13" s="3"/>
      <c r="AT13" s="3"/>
      <c r="AU13" s="3"/>
      <c r="AV13" s="3"/>
      <c r="AW13" s="3"/>
      <c r="AX13" s="3"/>
      <c r="AY13" s="3"/>
      <c r="BD13" s="3"/>
      <c r="BE13" s="3"/>
      <c r="BF13" s="3"/>
      <c r="BG13" s="3"/>
      <c r="BH13" s="3"/>
      <c r="BI13" s="3"/>
      <c r="BJ13" s="3"/>
      <c r="BK13" s="3"/>
      <c r="BL13" s="3"/>
      <c r="BM13" s="3"/>
      <c r="BN13" s="3"/>
      <c r="BO13" s="3"/>
    </row>
    <row r="14" customFormat="false" ht="23.85" hidden="false" customHeight="false" outlineLevel="0" collapsed="false">
      <c r="A14" s="64" t="str">
        <f aca="false">_xlfn.CONCAT($A$1, ".", CALC!A14)</f>
        <v>LSD.RID.0.AL.LFPR.10</v>
      </c>
      <c r="B14" s="67" t="str">
        <f aca="false">CALC!C14</f>
        <v>Retail Trade (Food, Clothing,
General Merchandise, etc.)</v>
      </c>
      <c r="C14" s="39" t="n">
        <v>0.57</v>
      </c>
      <c r="D14" s="39" t="n">
        <v>0.41</v>
      </c>
      <c r="E14" s="39" t="n">
        <v>0.64</v>
      </c>
      <c r="F14" s="39" t="n">
        <v>0.57</v>
      </c>
      <c r="AB14" s="3"/>
      <c r="AC14" s="3"/>
      <c r="AD14" s="3"/>
      <c r="AE14" s="3"/>
      <c r="AR14" s="3"/>
      <c r="AS14" s="3"/>
      <c r="AT14" s="3"/>
      <c r="AU14" s="3"/>
      <c r="AV14" s="3"/>
      <c r="AW14" s="3"/>
      <c r="AX14" s="3"/>
      <c r="AY14" s="3"/>
      <c r="BD14" s="3"/>
      <c r="BE14" s="3"/>
      <c r="BF14" s="3"/>
      <c r="BG14" s="3"/>
      <c r="BH14" s="3"/>
      <c r="BI14" s="3"/>
      <c r="BJ14" s="3"/>
      <c r="BK14" s="3"/>
      <c r="BL14" s="3"/>
      <c r="BM14" s="3"/>
      <c r="BN14" s="3"/>
      <c r="BO14" s="3"/>
    </row>
    <row r="15" customFormat="false" ht="12.8" hidden="false" customHeight="false" outlineLevel="0" collapsed="false">
      <c r="A15" s="64" t="str">
        <f aca="false">_xlfn.CONCAT($A$1, ".", CALC!A15)</f>
        <v>LSD.RID.0.AL.LFPR.11</v>
      </c>
      <c r="B15" s="42" t="str">
        <f aca="false">CALC!C15</f>
        <v>Transportation</v>
      </c>
      <c r="C15" s="39" t="n">
        <v>0.57</v>
      </c>
      <c r="D15" s="39" t="n">
        <v>0.41</v>
      </c>
      <c r="E15" s="39" t="n">
        <v>0.64</v>
      </c>
      <c r="F15" s="39" t="n">
        <v>0.57</v>
      </c>
      <c r="AB15" s="3"/>
      <c r="AC15" s="3"/>
      <c r="AD15" s="3"/>
      <c r="AE15" s="3"/>
      <c r="AR15" s="3"/>
      <c r="AS15" s="3"/>
      <c r="AT15" s="3"/>
      <c r="AU15" s="3"/>
      <c r="AV15" s="3"/>
      <c r="AW15" s="3"/>
      <c r="AX15" s="3"/>
      <c r="AY15" s="3"/>
      <c r="BD15" s="3"/>
      <c r="BE15" s="3"/>
      <c r="BF15" s="3"/>
      <c r="BG15" s="3"/>
      <c r="BH15" s="3"/>
      <c r="BI15" s="3"/>
      <c r="BJ15" s="3"/>
      <c r="BK15" s="3"/>
      <c r="BL15" s="3"/>
      <c r="BM15" s="3"/>
      <c r="BN15" s="3"/>
      <c r="BO15" s="3"/>
    </row>
    <row r="16" customFormat="false" ht="12.8" hidden="false" customHeight="false" outlineLevel="0" collapsed="false">
      <c r="A16" s="64" t="str">
        <f aca="false">_xlfn.CONCAT($A$1, ".", CALC!A16)</f>
        <v>LSD.RID.0.AL.LFPR.12</v>
      </c>
      <c r="B16" s="42" t="str">
        <f aca="false">CALC!C16</f>
        <v>Warehousing and Storage</v>
      </c>
      <c r="C16" s="39" t="n">
        <v>0.57</v>
      </c>
      <c r="D16" s="39" t="n">
        <v>0.41</v>
      </c>
      <c r="E16" s="39" t="n">
        <v>0.64</v>
      </c>
      <c r="F16" s="39" t="n">
        <v>0.57</v>
      </c>
      <c r="AB16" s="3"/>
      <c r="AC16" s="3"/>
      <c r="AD16" s="3"/>
      <c r="AE16" s="3"/>
      <c r="AR16" s="3"/>
      <c r="AS16" s="3"/>
      <c r="AT16" s="3"/>
      <c r="AU16" s="3"/>
      <c r="AV16" s="3"/>
      <c r="AW16" s="3"/>
      <c r="AX16" s="3"/>
      <c r="AY16" s="3"/>
      <c r="BD16" s="3"/>
      <c r="BE16" s="3"/>
      <c r="BF16" s="3"/>
      <c r="BG16" s="3"/>
      <c r="BH16" s="3"/>
      <c r="BI16" s="3"/>
      <c r="BJ16" s="3"/>
      <c r="BK16" s="3"/>
      <c r="BL16" s="3"/>
      <c r="BM16" s="3"/>
      <c r="BN16" s="3"/>
      <c r="BO16" s="3"/>
    </row>
    <row r="17" customFormat="false" ht="12.8" hidden="false" customHeight="false" outlineLevel="0" collapsed="false">
      <c r="A17" s="64" t="str">
        <f aca="false">_xlfn.CONCAT($A$1, ".", CALC!A17)</f>
        <v>LSD.RID.0.AL.LFPR.13</v>
      </c>
      <c r="B17" s="42" t="str">
        <f aca="false">CALC!C17</f>
        <v>Information</v>
      </c>
      <c r="C17" s="39" t="n">
        <v>0.58</v>
      </c>
      <c r="D17" s="39" t="n">
        <v>0.415</v>
      </c>
      <c r="E17" s="39" t="n">
        <v>0.6</v>
      </c>
      <c r="F17" s="39" t="n">
        <v>0.58</v>
      </c>
      <c r="AB17" s="3"/>
      <c r="AC17" s="3"/>
      <c r="AD17" s="3"/>
      <c r="AE17" s="3"/>
      <c r="AR17" s="3"/>
      <c r="AS17" s="3"/>
      <c r="AT17" s="3"/>
      <c r="AU17" s="3"/>
      <c r="AV17" s="3"/>
      <c r="AW17" s="3"/>
      <c r="AX17" s="3"/>
      <c r="AY17" s="3"/>
      <c r="BD17" s="3"/>
      <c r="BE17" s="3"/>
      <c r="BF17" s="3"/>
      <c r="BG17" s="3"/>
      <c r="BH17" s="3"/>
      <c r="BI17" s="3"/>
      <c r="BJ17" s="3"/>
      <c r="BK17" s="3"/>
      <c r="BL17" s="3"/>
      <c r="BM17" s="3"/>
      <c r="BN17" s="3"/>
      <c r="BO17" s="3"/>
    </row>
    <row r="18" customFormat="false" ht="12.8" hidden="false" customHeight="false" outlineLevel="0" collapsed="false">
      <c r="A18" s="64" t="str">
        <f aca="false">_xlfn.CONCAT($A$1, ".", CALC!A18)</f>
        <v>LSD.RID.0.AL.LFPR.14</v>
      </c>
      <c r="B18" s="42" t="str">
        <f aca="false">CALC!C18</f>
        <v>Finance and Insurance</v>
      </c>
      <c r="C18" s="39" t="n">
        <v>0.595</v>
      </c>
      <c r="D18" s="39" t="n">
        <v>0.42</v>
      </c>
      <c r="E18" s="39" t="n">
        <v>0.52</v>
      </c>
      <c r="F18" s="39" t="n">
        <v>0.595</v>
      </c>
      <c r="AB18" s="3"/>
      <c r="AC18" s="3"/>
      <c r="AD18" s="3"/>
      <c r="AE18" s="3"/>
      <c r="AR18" s="3"/>
      <c r="AS18" s="3"/>
      <c r="AT18" s="3"/>
      <c r="AU18" s="3"/>
      <c r="AV18" s="3"/>
      <c r="AW18" s="3"/>
      <c r="AX18" s="3"/>
      <c r="AY18" s="3"/>
      <c r="BD18" s="3"/>
      <c r="BE18" s="3"/>
      <c r="BF18" s="3"/>
      <c r="BG18" s="3"/>
      <c r="BH18" s="3"/>
      <c r="BI18" s="3"/>
      <c r="BJ18" s="3"/>
      <c r="BK18" s="3"/>
      <c r="BL18" s="3"/>
      <c r="BM18" s="3"/>
      <c r="BN18" s="3"/>
      <c r="BO18" s="3"/>
    </row>
    <row r="19" customFormat="false" ht="23.85" hidden="false" customHeight="false" outlineLevel="0" collapsed="false">
      <c r="A19" s="64" t="str">
        <f aca="false">_xlfn.CONCAT($A$1, ".", CALC!A19)</f>
        <v>LSD.RID.0.AL.LFPR.15</v>
      </c>
      <c r="B19" s="67" t="str">
        <f aca="false">CALC!C19</f>
        <v>Real Estate and
Rental and Leasing</v>
      </c>
      <c r="C19" s="39" t="n">
        <v>0.575</v>
      </c>
      <c r="D19" s="39" t="n">
        <v>0.415</v>
      </c>
      <c r="E19" s="39" t="n">
        <v>0.6</v>
      </c>
      <c r="F19" s="39" t="n">
        <v>0.575</v>
      </c>
      <c r="AB19" s="3"/>
      <c r="AC19" s="3"/>
      <c r="AD19" s="3"/>
      <c r="AE19" s="3"/>
      <c r="AR19" s="3"/>
      <c r="AS19" s="3"/>
      <c r="AT19" s="3"/>
      <c r="AU19" s="3"/>
      <c r="AV19" s="3"/>
      <c r="AW19" s="3"/>
      <c r="AX19" s="3"/>
      <c r="AY19" s="3"/>
      <c r="BD19" s="3"/>
      <c r="BE19" s="3"/>
      <c r="BF19" s="3"/>
      <c r="BG19" s="3"/>
      <c r="BH19" s="3"/>
      <c r="BI19" s="3"/>
      <c r="BJ19" s="3"/>
      <c r="BK19" s="3"/>
      <c r="BL19" s="3"/>
      <c r="BM19" s="3"/>
      <c r="BN19" s="3"/>
      <c r="BO19" s="3"/>
    </row>
    <row r="20" customFormat="false" ht="23.85" hidden="false" customHeight="false" outlineLevel="0" collapsed="false">
      <c r="A20" s="64" t="str">
        <f aca="false">_xlfn.CONCAT($A$1, ".", CALC!A20)</f>
        <v>LSD.RID.0.AL.LFPR.16</v>
      </c>
      <c r="B20" s="67" t="str">
        <f aca="false">CALC!C20</f>
        <v>Professional, Scientific,
and Technical Services</v>
      </c>
      <c r="C20" s="39" t="n">
        <v>0.605</v>
      </c>
      <c r="D20" s="39" t="n">
        <v>0.42</v>
      </c>
      <c r="E20" s="39" t="n">
        <v>0.56</v>
      </c>
      <c r="F20" s="39" t="n">
        <v>0.605</v>
      </c>
      <c r="AB20" s="3"/>
      <c r="AC20" s="3"/>
      <c r="AD20" s="3"/>
      <c r="AE20" s="3"/>
      <c r="AR20" s="3"/>
      <c r="AS20" s="3"/>
      <c r="AT20" s="3"/>
      <c r="AU20" s="3"/>
      <c r="AV20" s="3"/>
      <c r="AW20" s="3"/>
      <c r="AX20" s="3"/>
      <c r="AY20" s="3"/>
      <c r="BD20" s="3"/>
      <c r="BE20" s="3"/>
      <c r="BF20" s="3"/>
      <c r="BG20" s="3"/>
      <c r="BH20" s="3"/>
      <c r="BI20" s="3"/>
      <c r="BJ20" s="3"/>
      <c r="BK20" s="3"/>
      <c r="BL20" s="3"/>
      <c r="BM20" s="3"/>
      <c r="BN20" s="3"/>
      <c r="BO20" s="3"/>
    </row>
    <row r="21" customFormat="false" ht="35.05" hidden="false" customHeight="false" outlineLevel="0" collapsed="false">
      <c r="A21" s="64" t="str">
        <f aca="false">_xlfn.CONCAT($A$1, ".", CALC!A21)</f>
        <v>LSD.RID.0.AL.LFPR.17</v>
      </c>
      <c r="B21" s="67" t="str">
        <f aca="false">CALC!C21</f>
        <v>Administrative and Support
and Waste Management
and Remediation Services</v>
      </c>
      <c r="C21" s="39" t="n">
        <v>0.565</v>
      </c>
      <c r="D21" s="39" t="n">
        <v>0.405</v>
      </c>
      <c r="E21" s="39" t="n">
        <v>0.67</v>
      </c>
      <c r="F21" s="39" t="n">
        <v>0.565</v>
      </c>
      <c r="AB21" s="3"/>
      <c r="AC21" s="3"/>
      <c r="AD21" s="3"/>
      <c r="AE21" s="3"/>
      <c r="AR21" s="3"/>
      <c r="AS21" s="3"/>
      <c r="AT21" s="3"/>
      <c r="AU21" s="3"/>
      <c r="AV21" s="3"/>
      <c r="AW21" s="3"/>
      <c r="AX21" s="3"/>
      <c r="AY21" s="3"/>
      <c r="BD21" s="3"/>
      <c r="BE21" s="3"/>
      <c r="BF21" s="3"/>
      <c r="BG21" s="3"/>
      <c r="BH21" s="3"/>
      <c r="BI21" s="3"/>
      <c r="BJ21" s="3"/>
      <c r="BK21" s="3"/>
      <c r="BL21" s="3"/>
      <c r="BM21" s="3"/>
      <c r="BN21" s="3"/>
      <c r="BO21" s="3"/>
    </row>
    <row r="22" customFormat="false" ht="12.8" hidden="false" customHeight="false" outlineLevel="0" collapsed="false">
      <c r="A22" s="64" t="str">
        <f aca="false">_xlfn.CONCAT($A$1, ".", CALC!A22)</f>
        <v>LSD.RID.0.AL.LFPR.18</v>
      </c>
      <c r="B22" s="42" t="str">
        <f aca="false">CALC!C22</f>
        <v>Educational Services</v>
      </c>
      <c r="C22" s="39" t="n">
        <v>0.58</v>
      </c>
      <c r="D22" s="39" t="n">
        <v>0.42</v>
      </c>
      <c r="E22" s="39" t="n">
        <v>0.56</v>
      </c>
      <c r="F22" s="39" t="n">
        <v>0.58</v>
      </c>
      <c r="AB22" s="3"/>
      <c r="AC22" s="3"/>
      <c r="AD22" s="3"/>
      <c r="AE22" s="3"/>
      <c r="AR22" s="3"/>
      <c r="AS22" s="3"/>
      <c r="AT22" s="3"/>
      <c r="AU22" s="3"/>
      <c r="AV22" s="3"/>
      <c r="AW22" s="3"/>
      <c r="AX22" s="3"/>
      <c r="AY22" s="3"/>
      <c r="BD22" s="3"/>
      <c r="BE22" s="3"/>
      <c r="BF22" s="3"/>
      <c r="BG22" s="3"/>
      <c r="BH22" s="3"/>
      <c r="BI22" s="3"/>
      <c r="BJ22" s="3"/>
      <c r="BK22" s="3"/>
      <c r="BL22" s="3"/>
      <c r="BM22" s="3"/>
      <c r="BN22" s="3"/>
      <c r="BO22" s="3"/>
    </row>
    <row r="23" customFormat="false" ht="23.85" hidden="false" customHeight="false" outlineLevel="0" collapsed="false">
      <c r="A23" s="64" t="str">
        <f aca="false">_xlfn.CONCAT($A$1, ".", CALC!A23)</f>
        <v>LSD.RID.0.AL.LFPR.19</v>
      </c>
      <c r="B23" s="67" t="str">
        <f aca="false">CALC!C23</f>
        <v>Health Care and
Social Assistance</v>
      </c>
      <c r="C23" s="39" t="n">
        <v>0.58</v>
      </c>
      <c r="D23" s="39" t="n">
        <v>0.42</v>
      </c>
      <c r="E23" s="39" t="n">
        <v>0.56</v>
      </c>
      <c r="F23" s="39" t="n">
        <v>0.58</v>
      </c>
      <c r="AB23" s="3"/>
      <c r="AC23" s="3"/>
      <c r="AD23" s="3"/>
      <c r="AE23" s="3"/>
      <c r="AR23" s="3"/>
      <c r="AS23" s="3"/>
      <c r="AT23" s="3"/>
      <c r="AU23" s="3"/>
      <c r="AV23" s="3"/>
      <c r="AW23" s="3"/>
      <c r="AX23" s="3"/>
      <c r="AY23" s="3"/>
      <c r="BD23" s="3"/>
      <c r="BE23" s="3"/>
      <c r="BF23" s="3"/>
      <c r="BG23" s="3"/>
      <c r="BH23" s="3"/>
      <c r="BI23" s="3"/>
      <c r="BJ23" s="3"/>
      <c r="BK23" s="3"/>
      <c r="BL23" s="3"/>
      <c r="BM23" s="3"/>
      <c r="BN23" s="3"/>
      <c r="BO23" s="3"/>
    </row>
    <row r="24" customFormat="false" ht="23.85" hidden="false" customHeight="false" outlineLevel="0" collapsed="false">
      <c r="A24" s="64" t="str">
        <f aca="false">_xlfn.CONCAT($A$1, ".", CALC!A24)</f>
        <v>LSD.RID.0.AL.LFPR.20</v>
      </c>
      <c r="B24" s="67" t="str">
        <f aca="false">CALC!C24</f>
        <v>Arts, Entertainment,
and Recreation</v>
      </c>
      <c r="C24" s="39" t="n">
        <v>0.565</v>
      </c>
      <c r="D24" s="39" t="n">
        <v>0.405</v>
      </c>
      <c r="E24" s="39" t="n">
        <v>0.67</v>
      </c>
      <c r="F24" s="39" t="n">
        <v>0.565</v>
      </c>
      <c r="AB24" s="3"/>
      <c r="AC24" s="3"/>
      <c r="AD24" s="3"/>
      <c r="AE24" s="3"/>
      <c r="AR24" s="3"/>
      <c r="AS24" s="3"/>
      <c r="AT24" s="3"/>
      <c r="AU24" s="3"/>
      <c r="AV24" s="3"/>
      <c r="AW24" s="3"/>
      <c r="AX24" s="3"/>
      <c r="AY24" s="3"/>
      <c r="BD24" s="3"/>
      <c r="BE24" s="3"/>
      <c r="BF24" s="3"/>
      <c r="BG24" s="3"/>
      <c r="BH24" s="3"/>
      <c r="BI24" s="3"/>
      <c r="BJ24" s="3"/>
      <c r="BK24" s="3"/>
      <c r="BL24" s="3"/>
      <c r="BM24" s="3"/>
      <c r="BN24" s="3"/>
      <c r="BO24" s="3"/>
    </row>
    <row r="25" customFormat="false" ht="23.85" hidden="false" customHeight="false" outlineLevel="0" collapsed="false">
      <c r="A25" s="64" t="str">
        <f aca="false">_xlfn.CONCAT($A$1, ".", CALC!A25)</f>
        <v>LSD.RID.0.AL.LFPR.21</v>
      </c>
      <c r="B25" s="67" t="str">
        <f aca="false">CALC!C25</f>
        <v>Accommodation
and Food Services</v>
      </c>
      <c r="C25" s="39" t="n">
        <v>0.545</v>
      </c>
      <c r="D25" s="39" t="n">
        <v>0.4</v>
      </c>
      <c r="E25" s="39" t="n">
        <v>0.7</v>
      </c>
      <c r="F25" s="39" t="n">
        <v>0.545</v>
      </c>
      <c r="AB25" s="3"/>
      <c r="AC25" s="3"/>
      <c r="AD25" s="3"/>
      <c r="AE25" s="3"/>
      <c r="AR25" s="3"/>
      <c r="AS25" s="3"/>
      <c r="AT25" s="3"/>
      <c r="AU25" s="3"/>
      <c r="AV25" s="3"/>
      <c r="AW25" s="3"/>
      <c r="AX25" s="3"/>
      <c r="AY25" s="3"/>
      <c r="BD25" s="3"/>
      <c r="BE25" s="3"/>
      <c r="BF25" s="3"/>
      <c r="BG25" s="3"/>
      <c r="BH25" s="3"/>
      <c r="BI25" s="3"/>
      <c r="BJ25" s="3"/>
      <c r="BK25" s="3"/>
      <c r="BL25" s="3"/>
      <c r="BM25" s="3"/>
      <c r="BN25" s="3"/>
      <c r="BO25" s="3"/>
    </row>
    <row r="26" customFormat="false" ht="23.85" hidden="false" customHeight="false" outlineLevel="0" collapsed="false">
      <c r="A26" s="64" t="str">
        <f aca="false">_xlfn.CONCAT($A$1, ".", CALC!A26)</f>
        <v>LSD.RID.0.AL.LFPR.22</v>
      </c>
      <c r="B26" s="67" t="str">
        <f aca="false">CALC!C26</f>
        <v>Other Services (except
Public Administration)</v>
      </c>
      <c r="C26" s="39" t="n">
        <v>0.565</v>
      </c>
      <c r="D26" s="39" t="n">
        <v>0.405</v>
      </c>
      <c r="E26" s="39" t="n">
        <v>0.67</v>
      </c>
      <c r="F26" s="39" t="n">
        <v>0.565</v>
      </c>
      <c r="AB26" s="3"/>
      <c r="AC26" s="3"/>
      <c r="AD26" s="3"/>
      <c r="AE26" s="3"/>
      <c r="AR26" s="3"/>
      <c r="AS26" s="3"/>
      <c r="AT26" s="3"/>
      <c r="AU26" s="3"/>
      <c r="AV26" s="3"/>
      <c r="AW26" s="3"/>
      <c r="AX26" s="3"/>
      <c r="AY26" s="3"/>
      <c r="BD26" s="3"/>
      <c r="BE26" s="3"/>
      <c r="BF26" s="3"/>
      <c r="BG26" s="3"/>
      <c r="BH26" s="3"/>
      <c r="BI26" s="3"/>
      <c r="BJ26" s="3"/>
      <c r="BK26" s="3"/>
      <c r="BL26" s="3"/>
      <c r="BM26" s="3"/>
      <c r="BN26" s="3"/>
      <c r="BO26" s="3"/>
    </row>
    <row r="27" customFormat="false" ht="12.8" hidden="false" customHeight="false" outlineLevel="0" collapsed="false">
      <c r="A27" s="64" t="str">
        <f aca="false">_xlfn.CONCAT($A$1, ".", CALC!A27)</f>
        <v>LSD.RID.0.AL.LFPR.23</v>
      </c>
      <c r="B27" s="42" t="str">
        <f aca="false">CALC!C27</f>
        <v>Public Administration</v>
      </c>
      <c r="C27" s="39" t="n">
        <v>0.595</v>
      </c>
      <c r="D27" s="39" t="n">
        <v>0.42</v>
      </c>
      <c r="E27" s="39" t="n">
        <v>0.5</v>
      </c>
      <c r="F27" s="39" t="n">
        <v>0.595</v>
      </c>
      <c r="AB27" s="3"/>
      <c r="AC27" s="3"/>
      <c r="AD27" s="3"/>
      <c r="AE27" s="3"/>
      <c r="AR27" s="3"/>
      <c r="AS27" s="3"/>
      <c r="AT27" s="3"/>
      <c r="AU27" s="3"/>
      <c r="AV27" s="3"/>
      <c r="AW27" s="3"/>
      <c r="AX27" s="3"/>
      <c r="AY27" s="3"/>
      <c r="BD27" s="3"/>
      <c r="BE27" s="3"/>
      <c r="BF27" s="3"/>
      <c r="BG27" s="3"/>
      <c r="BH27" s="3"/>
      <c r="BI27" s="3"/>
      <c r="BJ27" s="3"/>
      <c r="BK27" s="3"/>
      <c r="BL27" s="3"/>
      <c r="BM27" s="3"/>
      <c r="BN27" s="3"/>
      <c r="BO27" s="3"/>
    </row>
    <row r="28" customFormat="false" ht="12.8" hidden="false" customHeight="false" outlineLevel="0" collapsed="false">
      <c r="A28" s="4"/>
      <c r="B28" s="49"/>
      <c r="C28" s="70"/>
      <c r="D28" s="70"/>
      <c r="E28" s="70"/>
      <c r="F28" s="70"/>
    </row>
    <row r="29" customFormat="false" ht="12.8" hidden="false" customHeight="false" outlineLevel="0" collapsed="false">
      <c r="A29" s="4"/>
      <c r="B29" s="49"/>
      <c r="C29" s="70"/>
      <c r="D29" s="70"/>
      <c r="E29" s="70"/>
      <c r="F29" s="70"/>
    </row>
    <row r="125" customFormat="false" ht="12.8" hidden="false" customHeight="false" outlineLevel="0" collapsed="false">
      <c r="A125" s="64" t="str">
        <f aca="false">_xlfn.CONCAT($A$1, ".", "FORM")</f>
        <v>LSD.RID.0.AL.LFPR.FORM</v>
      </c>
      <c r="B125" s="65" t="str">
        <f aca="false">_xlfn.CONCAT($B$1, " ", "Formulae")</f>
        <v>Alabama Labor Force Participation Rate (LFPR) Formulae</v>
      </c>
    </row>
    <row r="126" customFormat="false" ht="12.8" hidden="false" customHeight="false" outlineLevel="0" collapsed="false">
      <c r="A126" s="49" t="s">
        <v>176</v>
      </c>
      <c r="B126" s="49" t="s">
        <v>177</v>
      </c>
      <c r="C126" s="49" t="s">
        <v>178</v>
      </c>
      <c r="D126" s="49" t="s">
        <v>5494</v>
      </c>
      <c r="E126" s="49" t="s">
        <v>180</v>
      </c>
      <c r="F126" s="49" t="s">
        <v>181</v>
      </c>
    </row>
    <row r="127" customFormat="false" ht="12.8" hidden="false" customHeight="false" outlineLevel="0" collapsed="false">
      <c r="A127" s="39" t="s">
        <v>5495</v>
      </c>
      <c r="B127" s="39" t="s">
        <v>333</v>
      </c>
      <c r="C127" s="39" t="s">
        <v>5496</v>
      </c>
      <c r="D127" s="39" t="s">
        <v>5497</v>
      </c>
      <c r="E127" s="39" t="s">
        <v>5498</v>
      </c>
      <c r="F127" s="39" t="s">
        <v>5499</v>
      </c>
    </row>
    <row r="128" customFormat="false" ht="12.8" hidden="false" customHeight="false" outlineLevel="0" collapsed="false">
      <c r="A128" s="39" t="s">
        <v>5500</v>
      </c>
      <c r="B128" s="39" t="s">
        <v>333</v>
      </c>
      <c r="C128" s="39" t="s">
        <v>5501</v>
      </c>
      <c r="D128" s="39" t="s">
        <v>5502</v>
      </c>
      <c r="E128" s="39" t="s">
        <v>5503</v>
      </c>
      <c r="F128" s="39" t="s">
        <v>5499</v>
      </c>
    </row>
    <row r="129" customFormat="false" ht="12.8" hidden="false" customHeight="false" outlineLevel="0" collapsed="false">
      <c r="A129" s="39" t="s">
        <v>5504</v>
      </c>
      <c r="B129" s="39" t="s">
        <v>333</v>
      </c>
      <c r="C129" s="39" t="s">
        <v>5505</v>
      </c>
      <c r="D129" s="39" t="s">
        <v>5506</v>
      </c>
      <c r="E129" s="39" t="s">
        <v>5507</v>
      </c>
      <c r="F129" s="39" t="s">
        <v>5499</v>
      </c>
    </row>
    <row r="132" customFormat="false" ht="12.8" hidden="false" customHeight="false" outlineLevel="0" collapsed="false">
      <c r="A132" s="64" t="str">
        <f aca="false">_xlfn.CONCAT($A$1, ".", "PARAM")</f>
        <v>LSD.RID.0.AL.LFPR.PARAM</v>
      </c>
      <c r="B132" s="65" t="str">
        <f aca="false">_xlfn.CONCAT($B$1, " ", "Parameters")</f>
        <v>Alabama Labor Force Participation Rate (LFPR) Parameters</v>
      </c>
    </row>
    <row r="133" customFormat="false" ht="12.8" hidden="false" customHeight="false" outlineLevel="0" collapsed="false">
      <c r="A133" s="49" t="s">
        <v>176</v>
      </c>
      <c r="B133" s="49" t="s">
        <v>178</v>
      </c>
      <c r="C133" s="49" t="s">
        <v>5508</v>
      </c>
      <c r="D133" s="49" t="s">
        <v>180</v>
      </c>
      <c r="E133" s="49" t="s">
        <v>428</v>
      </c>
      <c r="F133" s="49" t="s">
        <v>429</v>
      </c>
      <c r="G133" s="49" t="s">
        <v>430</v>
      </c>
      <c r="H133" s="49" t="s">
        <v>181</v>
      </c>
    </row>
    <row r="134" customFormat="false" ht="12.8" hidden="false" customHeight="false" outlineLevel="0" collapsed="false">
      <c r="A134" s="39" t="s">
        <v>5509</v>
      </c>
      <c r="B134" s="39" t="s">
        <v>5510</v>
      </c>
      <c r="C134" s="39" t="n">
        <v>0.577</v>
      </c>
      <c r="D134" s="39" t="s">
        <v>5511</v>
      </c>
      <c r="E134" s="39" t="s">
        <v>434</v>
      </c>
      <c r="F134" s="39" t="s">
        <v>1786</v>
      </c>
      <c r="G134" s="52" t="s">
        <v>436</v>
      </c>
      <c r="H134" s="39" t="s">
        <v>5499</v>
      </c>
    </row>
    <row r="135" customFormat="false" ht="12.8" hidden="false" customHeight="false" outlineLevel="0" collapsed="false">
      <c r="A135" s="39" t="s">
        <v>5512</v>
      </c>
      <c r="B135" s="39" t="s">
        <v>5513</v>
      </c>
      <c r="C135" s="39" t="s">
        <v>5514</v>
      </c>
      <c r="D135" s="39" t="s">
        <v>5515</v>
      </c>
      <c r="E135" s="39" t="s">
        <v>5516</v>
      </c>
      <c r="F135" s="39" t="s">
        <v>5517</v>
      </c>
      <c r="G135" s="52" t="s">
        <v>436</v>
      </c>
      <c r="H135" s="39" t="s">
        <v>5499</v>
      </c>
    </row>
    <row r="136" customFormat="false" ht="12.8" hidden="false" customHeight="false" outlineLevel="0" collapsed="false">
      <c r="A136" s="39" t="s">
        <v>5518</v>
      </c>
      <c r="B136" s="39" t="s">
        <v>5519</v>
      </c>
      <c r="C136" s="39" t="s">
        <v>5520</v>
      </c>
      <c r="D136" s="39" t="s">
        <v>5521</v>
      </c>
      <c r="E136" s="39" t="s">
        <v>5516</v>
      </c>
      <c r="F136" s="39" t="s">
        <v>5517</v>
      </c>
      <c r="G136" s="52" t="s">
        <v>436</v>
      </c>
      <c r="H136" s="39" t="s">
        <v>5499</v>
      </c>
    </row>
    <row r="137" customFormat="false" ht="12.8" hidden="false" customHeight="false" outlineLevel="0" collapsed="false">
      <c r="A137" s="39" t="s">
        <v>5522</v>
      </c>
      <c r="B137" s="39" t="s">
        <v>5523</v>
      </c>
      <c r="C137" s="39" t="s">
        <v>5524</v>
      </c>
      <c r="D137" s="39" t="s">
        <v>5525</v>
      </c>
      <c r="E137" s="39" t="s">
        <v>5516</v>
      </c>
      <c r="F137" s="39" t="s">
        <v>5517</v>
      </c>
      <c r="G137" s="52" t="s">
        <v>436</v>
      </c>
      <c r="H137" s="39" t="s">
        <v>5499</v>
      </c>
    </row>
    <row r="138" customFormat="false" ht="12.8" hidden="false" customHeight="false" outlineLevel="0" collapsed="false">
      <c r="A138" s="39" t="s">
        <v>5526</v>
      </c>
      <c r="B138" s="39" t="s">
        <v>5527</v>
      </c>
      <c r="C138" s="39" t="s">
        <v>5528</v>
      </c>
      <c r="D138" s="39" t="s">
        <v>5529</v>
      </c>
      <c r="E138" s="39" t="s">
        <v>5516</v>
      </c>
      <c r="F138" s="39" t="s">
        <v>5517</v>
      </c>
      <c r="G138" s="52" t="s">
        <v>436</v>
      </c>
      <c r="H138" s="39" t="s">
        <v>5499</v>
      </c>
    </row>
    <row r="140" customFormat="false" ht="12.8" hidden="false" customHeight="false" outlineLevel="0" collapsed="false">
      <c r="A140" s="64" t="str">
        <f aca="false">_xlfn.CONCAT($A$1, ".", "VALID")</f>
        <v>LSD.RID.0.AL.LFPR.VALID</v>
      </c>
      <c r="B140" s="65" t="str">
        <f aca="false">_xlfn.CONCAT($B$1, " ", "Validation")</f>
        <v>Alabama Labor Force Participation Rate (LFPR) Validation</v>
      </c>
    </row>
    <row r="141" customFormat="false" ht="12.8" hidden="false" customHeight="false" outlineLevel="0" collapsed="false">
      <c r="A141" s="49" t="s">
        <v>113</v>
      </c>
      <c r="B141" s="49" t="s">
        <v>4949</v>
      </c>
      <c r="C141" s="49" t="s">
        <v>4950</v>
      </c>
      <c r="D141" s="49" t="s">
        <v>4951</v>
      </c>
      <c r="E141" s="49" t="s">
        <v>429</v>
      </c>
      <c r="F141" s="49" t="s">
        <v>4952</v>
      </c>
      <c r="G141" s="49" t="s">
        <v>4953</v>
      </c>
    </row>
    <row r="142" customFormat="false" ht="12.8" hidden="false" customHeight="false" outlineLevel="0" collapsed="false">
      <c r="A142" s="51" t="s">
        <v>5530</v>
      </c>
      <c r="B142" s="39" t="s">
        <v>5531</v>
      </c>
      <c r="C142" s="39" t="n">
        <v>0.577</v>
      </c>
      <c r="D142" s="39" t="n">
        <v>0.577</v>
      </c>
      <c r="E142" s="39" t="s">
        <v>5532</v>
      </c>
      <c r="F142" s="39" t="s">
        <v>434</v>
      </c>
      <c r="G142" s="39" t="s">
        <v>5533</v>
      </c>
    </row>
    <row r="143" customFormat="false" ht="12.8" hidden="false" customHeight="false" outlineLevel="0" collapsed="false">
      <c r="A143" s="51" t="s">
        <v>5534</v>
      </c>
      <c r="B143" s="39" t="s">
        <v>5535</v>
      </c>
      <c r="C143" s="39" t="n">
        <v>0.41</v>
      </c>
      <c r="D143" s="39" t="s">
        <v>5536</v>
      </c>
      <c r="E143" s="39" t="s">
        <v>5537</v>
      </c>
      <c r="F143" s="39" t="s">
        <v>440</v>
      </c>
      <c r="G143" s="39" t="s">
        <v>5538</v>
      </c>
    </row>
    <row r="144" customFormat="false" ht="12.8" hidden="false" customHeight="false" outlineLevel="0" collapsed="false">
      <c r="A144" s="51" t="s">
        <v>5539</v>
      </c>
      <c r="B144" s="39" t="s">
        <v>5540</v>
      </c>
      <c r="C144" s="39" t="s">
        <v>5541</v>
      </c>
      <c r="D144" s="39" t="s">
        <v>5542</v>
      </c>
      <c r="E144" s="39" t="s">
        <v>5543</v>
      </c>
      <c r="F144" s="39" t="s">
        <v>434</v>
      </c>
      <c r="G144" s="39" t="s">
        <v>5544</v>
      </c>
    </row>
    <row r="145" customFormat="false" ht="12.8" hidden="false" customHeight="false" outlineLevel="0" collapsed="false">
      <c r="A145" s="51" t="s">
        <v>5545</v>
      </c>
      <c r="B145" s="39" t="s">
        <v>5546</v>
      </c>
      <c r="C145" s="39" t="n">
        <v>0.583</v>
      </c>
      <c r="D145" s="39" t="s">
        <v>5547</v>
      </c>
      <c r="E145" s="39" t="s">
        <v>5548</v>
      </c>
      <c r="F145" s="39" t="s">
        <v>434</v>
      </c>
      <c r="G145" s="39" t="s">
        <v>5549</v>
      </c>
    </row>
    <row r="146" customFormat="false" ht="12.8" hidden="false" customHeight="false" outlineLevel="0" collapsed="false">
      <c r="A146" s="51" t="s">
        <v>5550</v>
      </c>
      <c r="B146" s="39" t="s">
        <v>5551</v>
      </c>
      <c r="C146" s="39" t="s">
        <v>5552</v>
      </c>
      <c r="D146" s="39" t="s">
        <v>5553</v>
      </c>
      <c r="E146" s="39" t="s">
        <v>5554</v>
      </c>
      <c r="F146" s="39" t="s">
        <v>434</v>
      </c>
      <c r="G146" s="39" t="s">
        <v>5555</v>
      </c>
    </row>
    <row r="147" customFormat="false" ht="12.8" hidden="false" customHeight="false" outlineLevel="0" collapsed="false">
      <c r="A147" s="51" t="s">
        <v>5556</v>
      </c>
      <c r="B147" s="39" t="s">
        <v>5557</v>
      </c>
      <c r="C147" s="39" t="s">
        <v>5558</v>
      </c>
      <c r="D147" s="39" t="s">
        <v>5553</v>
      </c>
      <c r="E147" s="39" t="s">
        <v>5559</v>
      </c>
      <c r="F147" s="39" t="s">
        <v>434</v>
      </c>
      <c r="G147" s="39" t="s">
        <v>5560</v>
      </c>
    </row>
    <row r="148" customFormat="false" ht="12.8" hidden="false" customHeight="false" outlineLevel="0" collapsed="false">
      <c r="A148" s="51" t="s">
        <v>5561</v>
      </c>
      <c r="B148" s="39" t="s">
        <v>5562</v>
      </c>
      <c r="C148" s="39" t="s">
        <v>5563</v>
      </c>
      <c r="D148" s="39" t="s">
        <v>5564</v>
      </c>
      <c r="E148" s="39" t="s">
        <v>5565</v>
      </c>
      <c r="F148" s="39" t="s">
        <v>434</v>
      </c>
      <c r="G148" s="39" t="s">
        <v>5566</v>
      </c>
    </row>
    <row r="149" customFormat="false" ht="12.8" hidden="false" customHeight="false" outlineLevel="0" collapsed="false">
      <c r="A149" s="51" t="s">
        <v>5567</v>
      </c>
      <c r="B149" s="39" t="s">
        <v>5568</v>
      </c>
      <c r="C149" s="39" t="s">
        <v>5569</v>
      </c>
      <c r="D149" s="39" t="n">
        <v>0.577</v>
      </c>
      <c r="E149" s="39" t="s">
        <v>5570</v>
      </c>
      <c r="F149" s="39" t="s">
        <v>434</v>
      </c>
      <c r="G149" s="39" t="s">
        <v>5571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O164"/>
  <sheetViews>
    <sheetView showFormulas="false" showGridLines="true" showRowColHeaders="true" showZeros="true" rightToLeft="false" tabSelected="false" showOutlineSymbols="true" defaultGridColor="true" view="normal" topLeftCell="A105" colorId="64" zoomScale="75" zoomScaleNormal="75" zoomScalePageLayoutView="100" workbookViewId="0">
      <selection pane="topLeft" activeCell="A158" activeCellId="0" sqref="A158"/>
    </sheetView>
  </sheetViews>
  <sheetFormatPr defaultColWidth="11.53515625" defaultRowHeight="12.8" customHeight="false" zeroHeight="false" outlineLevelRow="0" outlineLevelCol="0"/>
  <cols>
    <col collapsed="false" customWidth="true" hidden="false" outlineLevel="0" max="1" min="1" style="51" width="20.76"/>
    <col collapsed="false" customWidth="true" hidden="false" outlineLevel="0" max="2" min="2" style="39" width="29.98"/>
    <col collapsed="false" customWidth="true" hidden="false" outlineLevel="0" max="3" min="3" style="39" width="21.47"/>
    <col collapsed="false" customWidth="true" hidden="false" outlineLevel="0" max="27" min="4" style="39" width="16.84"/>
    <col collapsed="false" customWidth="true" hidden="false" outlineLevel="0" max="41" min="28" style="39" width="17.78"/>
    <col collapsed="false" customWidth="true" hidden="false" outlineLevel="0" max="44" min="42" style="39" width="15.48"/>
    <col collapsed="false" customWidth="true" hidden="false" outlineLevel="0" max="49" min="49" style="39" width="18.45"/>
    <col collapsed="false" customWidth="true" hidden="false" outlineLevel="0" max="52" min="50" style="39" width="16.14"/>
    <col collapsed="false" customWidth="true" hidden="false" outlineLevel="0" max="60" min="53" style="39" width="13.84"/>
  </cols>
  <sheetData>
    <row r="1" customFormat="false" ht="12.9" hidden="false" customHeight="false" outlineLevel="0" collapsed="false">
      <c r="A1" s="11" t="s">
        <v>5572</v>
      </c>
      <c r="B1" s="42" t="s">
        <v>5573</v>
      </c>
      <c r="C1" s="6" t="s">
        <v>2</v>
      </c>
      <c r="D1" s="66" t="s">
        <v>5574</v>
      </c>
      <c r="AS1" s="39"/>
      <c r="BI1" s="39"/>
    </row>
    <row r="2" customFormat="false" ht="12.8" hidden="false" customHeight="false" outlineLevel="0" collapsed="false">
      <c r="A2" s="64" t="str">
        <f aca="false">_xlfn.CONCAT($A$1, ".", "CALC")</f>
        <v>LSD.RID.0.AL.U3R.CALC</v>
      </c>
      <c r="B2" s="65" t="str">
        <f aca="false">_xlfn.CONCAT($B$1, " ", "Calculations")</f>
        <v>Alabama Unemployment Rate (U3R) Calculations</v>
      </c>
      <c r="C2" s="3"/>
      <c r="D2" s="3"/>
      <c r="E2" s="3"/>
      <c r="F2" s="3"/>
      <c r="AS2" s="39"/>
      <c r="AT2" s="39"/>
      <c r="AU2" s="39"/>
      <c r="AV2" s="39"/>
      <c r="AZ2" s="3"/>
      <c r="BA2" s="3"/>
      <c r="BB2" s="3"/>
      <c r="BC2" s="3"/>
      <c r="BI2" s="39"/>
      <c r="BJ2" s="39"/>
      <c r="BK2" s="39"/>
      <c r="BL2" s="39"/>
      <c r="BM2" s="39"/>
      <c r="BN2" s="39"/>
      <c r="BO2" s="39"/>
    </row>
    <row r="3" customFormat="false" ht="12.8" hidden="false" customHeight="false" outlineLevel="0" collapsed="false">
      <c r="A3" s="64" t="str">
        <f aca="false">CALC!A3</f>
        <v>LSID</v>
      </c>
      <c r="B3" s="42" t="str">
        <f aca="false">CALC!C3</f>
        <v>Labor Sector</v>
      </c>
      <c r="C3" s="70" t="str">
        <f aca="false">CALC!T3</f>
        <v>Overall U3R</v>
      </c>
      <c r="D3" s="70" t="str">
        <f aca="false">CALC!U3</f>
        <v>Authorized U3R</v>
      </c>
      <c r="E3" s="70" t="str">
        <f aca="false">CALC!V3</f>
        <v>Unauthorized U3R</v>
      </c>
      <c r="F3" s="70" t="str">
        <f aca="false">CALC!W3</f>
        <v>American U3R</v>
      </c>
      <c r="H3" s="69"/>
      <c r="AF3" s="3"/>
      <c r="AG3" s="3"/>
      <c r="AH3" s="3"/>
      <c r="AI3" s="3"/>
      <c r="AS3" s="39"/>
      <c r="AT3" s="39"/>
      <c r="AU3" s="39"/>
      <c r="AV3" s="3"/>
      <c r="AW3" s="3"/>
      <c r="AX3" s="3"/>
      <c r="AY3" s="3"/>
      <c r="AZ3" s="3"/>
      <c r="BA3" s="3"/>
      <c r="BB3" s="3"/>
      <c r="BC3" s="0"/>
      <c r="BD3" s="0"/>
      <c r="BE3" s="0"/>
      <c r="BF3" s="0"/>
      <c r="BG3" s="0"/>
      <c r="BH3" s="0"/>
    </row>
    <row r="4" customFormat="false" ht="12.8" hidden="false" customHeight="false" outlineLevel="0" collapsed="false">
      <c r="A4" s="64" t="str">
        <f aca="false">_xlfn.CONCAT($A$1, ".", CALC!A4)</f>
        <v>LSD.RID.0.AL.U3R.0</v>
      </c>
      <c r="B4" s="42" t="str">
        <f aca="false">CALC!C4</f>
        <v>All Industries</v>
      </c>
      <c r="C4" s="39" t="n">
        <v>0.027</v>
      </c>
      <c r="D4" s="39" t="n">
        <v>0.029</v>
      </c>
      <c r="E4" s="39" t="n">
        <v>0.038</v>
      </c>
      <c r="F4" s="39" t="n">
        <v>0.026</v>
      </c>
      <c r="G4" s="40"/>
      <c r="H4" s="40"/>
      <c r="AF4" s="3"/>
      <c r="AG4" s="3"/>
      <c r="AH4" s="3"/>
      <c r="AI4" s="3"/>
      <c r="AS4" s="39"/>
      <c r="AT4" s="39"/>
      <c r="AU4" s="39"/>
      <c r="AV4" s="3"/>
      <c r="AW4" s="3"/>
      <c r="AX4" s="3"/>
      <c r="AY4" s="3"/>
      <c r="AZ4" s="3"/>
      <c r="BA4" s="3"/>
      <c r="BB4" s="3"/>
      <c r="BC4" s="0"/>
      <c r="BD4" s="0"/>
      <c r="BE4" s="0"/>
      <c r="BF4" s="0"/>
      <c r="BG4" s="0"/>
      <c r="BH4" s="0"/>
    </row>
    <row r="5" customFormat="false" ht="23.85" hidden="false" customHeight="false" outlineLevel="0" collapsed="false">
      <c r="A5" s="64" t="str">
        <f aca="false">_xlfn.CONCAT($A$1, ".", CALC!A5)</f>
        <v>LSD.RID.0.AL.U3R.1</v>
      </c>
      <c r="B5" s="67" t="str">
        <f aca="false">CALC!C5</f>
        <v>Agriculture, Forestry, 
Fishing and Hunting</v>
      </c>
      <c r="C5" s="39" t="n">
        <v>0.045</v>
      </c>
      <c r="D5" s="39" t="n">
        <v>0.048</v>
      </c>
      <c r="E5" s="39" t="n">
        <v>0.062</v>
      </c>
      <c r="F5" s="39" t="n">
        <v>0.042</v>
      </c>
      <c r="G5" s="40"/>
      <c r="H5" s="40"/>
      <c r="AF5" s="3"/>
      <c r="AG5" s="3"/>
      <c r="AH5" s="3"/>
      <c r="AI5" s="3"/>
      <c r="AS5" s="39"/>
      <c r="AT5" s="39"/>
      <c r="AU5" s="39"/>
      <c r="AV5" s="3"/>
      <c r="AW5" s="3"/>
      <c r="AX5" s="3"/>
      <c r="AY5" s="3"/>
      <c r="AZ5" s="3"/>
      <c r="BA5" s="3"/>
      <c r="BB5" s="3"/>
      <c r="BC5" s="0"/>
      <c r="BD5" s="0"/>
      <c r="BE5" s="0"/>
      <c r="BF5" s="0"/>
      <c r="BG5" s="0"/>
      <c r="BH5" s="0"/>
    </row>
    <row r="6" customFormat="false" ht="23.85" hidden="false" customHeight="false" outlineLevel="0" collapsed="false">
      <c r="A6" s="64" t="str">
        <f aca="false">_xlfn.CONCAT($A$1, ".", CALC!A6)</f>
        <v>LSD.RID.0.AL.U3R.2</v>
      </c>
      <c r="B6" s="67" t="str">
        <f aca="false">CALC!C6</f>
        <v>Mining, Quarrying, and
Oil and Gas Extraction</v>
      </c>
      <c r="C6" s="39" t="n">
        <v>0.038</v>
      </c>
      <c r="D6" s="39" t="n">
        <v>0.04</v>
      </c>
      <c r="E6" s="39" t="n">
        <v>0.052</v>
      </c>
      <c r="F6" s="39" t="n">
        <v>0.036</v>
      </c>
      <c r="G6" s="40"/>
      <c r="H6" s="40"/>
      <c r="AF6" s="3"/>
      <c r="AG6" s="3"/>
      <c r="AH6" s="3"/>
      <c r="AI6" s="3"/>
      <c r="AS6" s="39"/>
      <c r="AT6" s="39"/>
      <c r="AU6" s="39"/>
      <c r="AV6" s="3"/>
      <c r="AW6" s="3"/>
      <c r="AX6" s="3"/>
      <c r="AY6" s="3"/>
      <c r="AZ6" s="3"/>
      <c r="BA6" s="3"/>
      <c r="BB6" s="3"/>
      <c r="BC6" s="0"/>
      <c r="BD6" s="0"/>
      <c r="BE6" s="0"/>
      <c r="BF6" s="0"/>
      <c r="BG6" s="0"/>
      <c r="BH6" s="0"/>
    </row>
    <row r="7" customFormat="false" ht="12.8" hidden="false" customHeight="false" outlineLevel="0" collapsed="false">
      <c r="A7" s="64" t="str">
        <f aca="false">_xlfn.CONCAT($A$1, ".", CALC!A7)</f>
        <v>LSD.RID.0.AL.U3R.3</v>
      </c>
      <c r="B7" s="42" t="str">
        <f aca="false">CALC!C7</f>
        <v>Utilities</v>
      </c>
      <c r="C7" s="39" t="n">
        <v>0.018</v>
      </c>
      <c r="D7" s="39" t="n">
        <v>0.019</v>
      </c>
      <c r="E7" s="39" t="n">
        <v>0.022</v>
      </c>
      <c r="F7" s="39" t="n">
        <v>0.018</v>
      </c>
      <c r="G7" s="40"/>
      <c r="H7" s="40"/>
      <c r="AF7" s="3"/>
      <c r="AG7" s="3"/>
      <c r="AH7" s="3"/>
      <c r="AI7" s="3"/>
      <c r="AS7" s="39"/>
      <c r="AT7" s="39"/>
      <c r="AU7" s="39"/>
      <c r="AV7" s="3"/>
      <c r="AW7" s="3"/>
      <c r="AX7" s="3"/>
      <c r="AY7" s="3"/>
      <c r="AZ7" s="3"/>
      <c r="BA7" s="3"/>
      <c r="BB7" s="3"/>
      <c r="BC7" s="0"/>
      <c r="BD7" s="0"/>
      <c r="BE7" s="0"/>
      <c r="BF7" s="0"/>
      <c r="BG7" s="0"/>
      <c r="BH7" s="0"/>
    </row>
    <row r="8" customFormat="false" ht="12.8" hidden="false" customHeight="false" outlineLevel="0" collapsed="false">
      <c r="A8" s="64" t="str">
        <f aca="false">_xlfn.CONCAT($A$1, ".", CALC!A8)</f>
        <v>LSD.RID.0.AL.U3R.4</v>
      </c>
      <c r="B8" s="42" t="str">
        <f aca="false">CALC!C8</f>
        <v>Construction</v>
      </c>
      <c r="C8" s="39" t="n">
        <v>0.052</v>
      </c>
      <c r="D8" s="39" t="n">
        <v>0.056</v>
      </c>
      <c r="E8" s="39" t="n">
        <v>0.075</v>
      </c>
      <c r="F8" s="39" t="n">
        <v>0.048</v>
      </c>
      <c r="G8" s="40"/>
      <c r="H8" s="40"/>
      <c r="AF8" s="3"/>
      <c r="AG8" s="3"/>
      <c r="AH8" s="3"/>
      <c r="AI8" s="3"/>
      <c r="AS8" s="39"/>
      <c r="AT8" s="39"/>
      <c r="AU8" s="39"/>
      <c r="AV8" s="3"/>
      <c r="AW8" s="3"/>
      <c r="AX8" s="3"/>
      <c r="AY8" s="3"/>
      <c r="AZ8" s="3"/>
      <c r="BA8" s="3"/>
      <c r="BB8" s="3"/>
      <c r="BC8" s="0"/>
      <c r="BD8" s="0"/>
      <c r="BE8" s="0"/>
      <c r="BF8" s="0"/>
      <c r="BG8" s="0"/>
      <c r="BH8" s="0"/>
    </row>
    <row r="9" customFormat="false" ht="23.85" hidden="false" customHeight="false" outlineLevel="0" collapsed="false">
      <c r="A9" s="64" t="str">
        <f aca="false">_xlfn.CONCAT($A$1, ".", CALC!A9)</f>
        <v>LSD.RID.0.AL.U3R.5</v>
      </c>
      <c r="B9" s="67" t="str">
        <f aca="false">CALC!C9</f>
        <v>Manufacturing
(Food,Textile, etc.)</v>
      </c>
      <c r="C9" s="39" t="n">
        <v>0.035</v>
      </c>
      <c r="D9" s="39" t="n">
        <v>0.038</v>
      </c>
      <c r="E9" s="39" t="n">
        <v>0.048</v>
      </c>
      <c r="F9" s="39" t="n">
        <v>0.034</v>
      </c>
      <c r="G9" s="40"/>
      <c r="H9" s="40"/>
      <c r="AF9" s="3"/>
      <c r="AG9" s="3"/>
      <c r="AH9" s="3"/>
      <c r="AI9" s="3"/>
      <c r="AS9" s="39"/>
      <c r="AT9" s="39"/>
      <c r="AU9" s="39"/>
      <c r="AV9" s="3"/>
      <c r="AW9" s="3"/>
      <c r="AX9" s="3"/>
      <c r="AY9" s="3"/>
      <c r="AZ9" s="3"/>
      <c r="BA9" s="3"/>
      <c r="BB9" s="3"/>
      <c r="BC9" s="0"/>
      <c r="BD9" s="0"/>
      <c r="BE9" s="0"/>
      <c r="BF9" s="0"/>
      <c r="BG9" s="0"/>
      <c r="BH9" s="0"/>
    </row>
    <row r="10" customFormat="false" ht="23.85" hidden="false" customHeight="false" outlineLevel="0" collapsed="false">
      <c r="A10" s="64" t="str">
        <f aca="false">_xlfn.CONCAT($A$1, ".", CALC!A10)</f>
        <v>LSD.RID.0.AL.U3R.6</v>
      </c>
      <c r="B10" s="67" t="str">
        <f aca="false">CALC!C10</f>
        <v>Manufacturing (Wood,
Paper, Printing, etc.)</v>
      </c>
      <c r="C10" s="39" t="n">
        <v>0.035</v>
      </c>
      <c r="D10" s="39" t="n">
        <v>0.038</v>
      </c>
      <c r="E10" s="39" t="n">
        <v>0.048</v>
      </c>
      <c r="F10" s="39" t="n">
        <v>0.034</v>
      </c>
      <c r="G10" s="40"/>
      <c r="H10" s="40"/>
      <c r="AF10" s="3"/>
      <c r="AG10" s="3"/>
      <c r="AH10" s="3"/>
      <c r="AI10" s="3"/>
      <c r="AS10" s="39"/>
      <c r="AT10" s="39"/>
      <c r="AU10" s="39"/>
      <c r="AV10" s="3"/>
      <c r="AW10" s="3"/>
      <c r="AX10" s="3"/>
      <c r="AY10" s="3"/>
      <c r="AZ10" s="3"/>
      <c r="BA10" s="3"/>
      <c r="BB10" s="3"/>
      <c r="BC10" s="0"/>
      <c r="BD10" s="0"/>
      <c r="BE10" s="0"/>
      <c r="BF10" s="0"/>
      <c r="BG10" s="0"/>
      <c r="BH10" s="0"/>
    </row>
    <row r="11" customFormat="false" ht="23.85" hidden="false" customHeight="false" outlineLevel="0" collapsed="false">
      <c r="A11" s="64" t="str">
        <f aca="false">_xlfn.CONCAT($A$1, ".", CALC!A11)</f>
        <v>LSD.RID.0.AL.U3R.7</v>
      </c>
      <c r="B11" s="67" t="str">
        <f aca="false">CALC!C11</f>
        <v>Manufacturing
(Machinery, Transport)</v>
      </c>
      <c r="C11" s="39" t="n">
        <v>0.035</v>
      </c>
      <c r="D11" s="39" t="n">
        <v>0.038</v>
      </c>
      <c r="E11" s="39" t="n">
        <v>0.048</v>
      </c>
      <c r="F11" s="39" t="n">
        <v>0.034</v>
      </c>
      <c r="G11" s="40"/>
      <c r="H11" s="40"/>
      <c r="AF11" s="3"/>
      <c r="AG11" s="3"/>
      <c r="AH11" s="3"/>
      <c r="AI11" s="3"/>
      <c r="AS11" s="39"/>
      <c r="AT11" s="39"/>
      <c r="AU11" s="39"/>
      <c r="AV11" s="3"/>
      <c r="AW11" s="3"/>
      <c r="AX11" s="3"/>
      <c r="AY11" s="3"/>
      <c r="AZ11" s="3"/>
      <c r="BA11" s="3"/>
      <c r="BB11" s="3"/>
      <c r="BC11" s="0"/>
      <c r="BD11" s="0"/>
      <c r="BE11" s="0"/>
      <c r="BF11" s="0"/>
      <c r="BG11" s="0"/>
      <c r="BH11" s="0"/>
    </row>
    <row r="12" customFormat="false" ht="12.9" hidden="false" customHeight="false" outlineLevel="0" collapsed="false">
      <c r="A12" s="64" t="str">
        <f aca="false">_xlfn.CONCAT($A$1, ".", CALC!A12)</f>
        <v>LSD.RID.0.AL.U3R.8</v>
      </c>
      <c r="B12" s="42" t="str">
        <f aca="false">CALC!C12</f>
        <v>Wholesale Trade</v>
      </c>
      <c r="C12" s="39" t="n">
        <v>0.032</v>
      </c>
      <c r="D12" s="39" t="n">
        <v>0.034</v>
      </c>
      <c r="E12" s="39" t="n">
        <v>0.042</v>
      </c>
      <c r="F12" s="39" t="n">
        <v>0.031</v>
      </c>
      <c r="G12" s="40"/>
      <c r="H12" s="40"/>
      <c r="AF12" s="3"/>
      <c r="AG12" s="3"/>
      <c r="AH12" s="3"/>
      <c r="AI12" s="3"/>
      <c r="AS12" s="39"/>
      <c r="AT12" s="39"/>
      <c r="AU12" s="39"/>
      <c r="AV12" s="3"/>
      <c r="AW12" s="3"/>
      <c r="AX12" s="3"/>
      <c r="AY12" s="3"/>
      <c r="AZ12" s="3"/>
      <c r="BA12" s="3"/>
      <c r="BB12" s="3"/>
      <c r="BC12" s="0"/>
      <c r="BD12" s="0"/>
      <c r="BE12" s="0"/>
      <c r="BF12" s="0"/>
      <c r="BG12" s="0"/>
      <c r="BH12" s="0"/>
    </row>
    <row r="13" customFormat="false" ht="23.85" hidden="false" customHeight="false" outlineLevel="0" collapsed="false">
      <c r="A13" s="64" t="str">
        <f aca="false">_xlfn.CONCAT($A$1, ".", CALC!A13)</f>
        <v>LSD.RID.0.AL.U3R.9</v>
      </c>
      <c r="B13" s="67" t="str">
        <f aca="false">CALC!C13</f>
        <v>Retail Trade (Motor
Vehicle, Electronics)</v>
      </c>
      <c r="C13" s="39" t="n">
        <v>0.04</v>
      </c>
      <c r="D13" s="39" t="n">
        <v>0.043</v>
      </c>
      <c r="E13" s="39" t="n">
        <v>0.055</v>
      </c>
      <c r="F13" s="39" t="n">
        <v>0.038</v>
      </c>
      <c r="G13" s="40"/>
      <c r="H13" s="40"/>
      <c r="AF13" s="3"/>
      <c r="AG13" s="3"/>
      <c r="AH13" s="3"/>
      <c r="AI13" s="3"/>
      <c r="AS13" s="39"/>
      <c r="AT13" s="39"/>
      <c r="AU13" s="39"/>
      <c r="AV13" s="3"/>
      <c r="AW13" s="3"/>
      <c r="AX13" s="3"/>
      <c r="AY13" s="3"/>
      <c r="AZ13" s="3"/>
      <c r="BA13" s="3"/>
      <c r="BB13" s="3"/>
      <c r="BC13" s="0"/>
      <c r="BD13" s="0"/>
      <c r="BE13" s="0"/>
      <c r="BF13" s="0"/>
      <c r="BG13" s="0"/>
      <c r="BH13" s="0"/>
    </row>
    <row r="14" customFormat="false" ht="23.85" hidden="false" customHeight="false" outlineLevel="0" collapsed="false">
      <c r="A14" s="64" t="str">
        <f aca="false">_xlfn.CONCAT($A$1, ".", CALC!A14)</f>
        <v>LSD.RID.0.AL.U3R.10</v>
      </c>
      <c r="B14" s="67" t="str">
        <f aca="false">CALC!C14</f>
        <v>Retail Trade (Food, Clothing,
General Merchandise, etc.)</v>
      </c>
      <c r="C14" s="39" t="n">
        <v>0.04</v>
      </c>
      <c r="D14" s="39" t="n">
        <v>0.043</v>
      </c>
      <c r="E14" s="39" t="n">
        <v>0.055</v>
      </c>
      <c r="F14" s="39" t="n">
        <v>0.038</v>
      </c>
      <c r="G14" s="40"/>
      <c r="H14" s="40"/>
      <c r="AF14" s="3"/>
      <c r="AG14" s="3"/>
      <c r="AH14" s="3"/>
      <c r="AI14" s="3"/>
      <c r="AS14" s="39"/>
      <c r="AT14" s="39"/>
      <c r="AU14" s="39"/>
      <c r="AV14" s="3"/>
      <c r="AW14" s="3"/>
      <c r="AX14" s="3"/>
      <c r="AY14" s="3"/>
      <c r="AZ14" s="3"/>
      <c r="BA14" s="3"/>
      <c r="BB14" s="3"/>
      <c r="BC14" s="0"/>
      <c r="BD14" s="0"/>
      <c r="BE14" s="0"/>
      <c r="BF14" s="0"/>
      <c r="BG14" s="0"/>
      <c r="BH14" s="0"/>
    </row>
    <row r="15" customFormat="false" ht="12.8" hidden="false" customHeight="false" outlineLevel="0" collapsed="false">
      <c r="A15" s="64" t="str">
        <f aca="false">_xlfn.CONCAT($A$1, ".", CALC!A15)</f>
        <v>LSD.RID.0.AL.U3R.11</v>
      </c>
      <c r="B15" s="42" t="str">
        <f aca="false">CALC!C15</f>
        <v>Transportation</v>
      </c>
      <c r="C15" s="39" t="n">
        <v>0.038</v>
      </c>
      <c r="D15" s="39" t="n">
        <v>0.041</v>
      </c>
      <c r="E15" s="39" t="n">
        <v>0.052</v>
      </c>
      <c r="F15" s="39" t="n">
        <v>0.036</v>
      </c>
      <c r="G15" s="40"/>
      <c r="H15" s="40"/>
      <c r="AF15" s="3"/>
      <c r="AG15" s="3"/>
      <c r="AH15" s="3"/>
      <c r="AI15" s="3"/>
      <c r="AS15" s="39"/>
      <c r="AT15" s="39"/>
      <c r="AU15" s="39"/>
      <c r="AV15" s="3"/>
      <c r="AW15" s="3"/>
      <c r="AX15" s="3"/>
      <c r="AY15" s="3"/>
      <c r="AZ15" s="3"/>
      <c r="BA15" s="3"/>
      <c r="BB15" s="3"/>
      <c r="BC15" s="0"/>
      <c r="BD15" s="0"/>
      <c r="BE15" s="0"/>
      <c r="BF15" s="0"/>
      <c r="BG15" s="0"/>
      <c r="BH15" s="0"/>
    </row>
    <row r="16" customFormat="false" ht="12.8" hidden="false" customHeight="false" outlineLevel="0" collapsed="false">
      <c r="A16" s="64" t="str">
        <f aca="false">_xlfn.CONCAT($A$1, ".", CALC!A16)</f>
        <v>LSD.RID.0.AL.U3R.12</v>
      </c>
      <c r="B16" s="42" t="str">
        <f aca="false">CALC!C16</f>
        <v>Warehousing and Storage</v>
      </c>
      <c r="C16" s="39" t="n">
        <v>0.038</v>
      </c>
      <c r="D16" s="39" t="n">
        <v>0.041</v>
      </c>
      <c r="E16" s="39" t="n">
        <v>0.052</v>
      </c>
      <c r="F16" s="39" t="n">
        <v>0.036</v>
      </c>
      <c r="G16" s="40"/>
      <c r="H16" s="40"/>
      <c r="AF16" s="3"/>
      <c r="AG16" s="3"/>
      <c r="AH16" s="3"/>
      <c r="AI16" s="3"/>
      <c r="AS16" s="39"/>
      <c r="AT16" s="39"/>
      <c r="AU16" s="39"/>
      <c r="AV16" s="3"/>
      <c r="AW16" s="3"/>
      <c r="AX16" s="3"/>
      <c r="AY16" s="3"/>
      <c r="AZ16" s="3"/>
      <c r="BA16" s="3"/>
      <c r="BB16" s="3"/>
      <c r="BC16" s="0"/>
      <c r="BD16" s="0"/>
      <c r="BE16" s="0"/>
      <c r="BF16" s="0"/>
      <c r="BG16" s="0"/>
      <c r="BH16" s="0"/>
    </row>
    <row r="17" customFormat="false" ht="12.8" hidden="false" customHeight="false" outlineLevel="0" collapsed="false">
      <c r="A17" s="64" t="str">
        <f aca="false">_xlfn.CONCAT($A$1, ".", CALC!A17)</f>
        <v>LSD.RID.0.AL.U3R.13</v>
      </c>
      <c r="B17" s="42" t="str">
        <f aca="false">CALC!C17</f>
        <v>Information</v>
      </c>
      <c r="C17" s="39" t="n">
        <v>0.028</v>
      </c>
      <c r="D17" s="39" t="n">
        <v>0.03</v>
      </c>
      <c r="E17" s="39" t="n">
        <v>0.035</v>
      </c>
      <c r="F17" s="39" t="n">
        <v>0.027</v>
      </c>
      <c r="G17" s="40"/>
      <c r="H17" s="40"/>
      <c r="AF17" s="3"/>
      <c r="AG17" s="3"/>
      <c r="AH17" s="3"/>
      <c r="AI17" s="3"/>
      <c r="AS17" s="39"/>
      <c r="AT17" s="39"/>
      <c r="AU17" s="39"/>
      <c r="AV17" s="3"/>
      <c r="AW17" s="3"/>
      <c r="AX17" s="3"/>
      <c r="AY17" s="3"/>
      <c r="AZ17" s="3"/>
      <c r="BA17" s="3"/>
      <c r="BB17" s="3"/>
      <c r="BC17" s="0"/>
      <c r="BD17" s="0"/>
      <c r="BE17" s="0"/>
      <c r="BF17" s="0"/>
      <c r="BG17" s="0"/>
      <c r="BH17" s="0"/>
    </row>
    <row r="18" customFormat="false" ht="12.8" hidden="false" customHeight="false" outlineLevel="0" collapsed="false">
      <c r="A18" s="64" t="str">
        <f aca="false">_xlfn.CONCAT($A$1, ".", CALC!A18)</f>
        <v>LSD.RID.0.AL.U3R.14</v>
      </c>
      <c r="B18" s="42" t="str">
        <f aca="false">CALC!C18</f>
        <v>Finance and Insurance</v>
      </c>
      <c r="C18" s="39" t="n">
        <v>0.022</v>
      </c>
      <c r="D18" s="39" t="n">
        <v>0.024</v>
      </c>
      <c r="E18" s="39" t="n">
        <v>0.028</v>
      </c>
      <c r="F18" s="39" t="n">
        <v>0.021</v>
      </c>
      <c r="G18" s="40"/>
      <c r="H18" s="40"/>
      <c r="AF18" s="3"/>
      <c r="AG18" s="3"/>
      <c r="AH18" s="3"/>
      <c r="AI18" s="3"/>
      <c r="AS18" s="39"/>
      <c r="AT18" s="39"/>
      <c r="AU18" s="39"/>
      <c r="AV18" s="3"/>
      <c r="AW18" s="3"/>
      <c r="AX18" s="3"/>
      <c r="AY18" s="3"/>
      <c r="AZ18" s="3"/>
      <c r="BA18" s="3"/>
      <c r="BB18" s="3"/>
      <c r="BC18" s="0"/>
      <c r="BD18" s="0"/>
      <c r="BE18" s="0"/>
      <c r="BF18" s="0"/>
      <c r="BG18" s="0"/>
      <c r="BH18" s="0"/>
    </row>
    <row r="19" customFormat="false" ht="23.85" hidden="false" customHeight="false" outlineLevel="0" collapsed="false">
      <c r="A19" s="64" t="str">
        <f aca="false">_xlfn.CONCAT($A$1, ".", CALC!A19)</f>
        <v>LSD.RID.0.AL.U3R.15</v>
      </c>
      <c r="B19" s="67" t="str">
        <f aca="false">CALC!C19</f>
        <v>Real Estate and
Rental and Leasing</v>
      </c>
      <c r="C19" s="39" t="n">
        <v>0.03</v>
      </c>
      <c r="D19" s="39" t="n">
        <v>0.032</v>
      </c>
      <c r="E19" s="39" t="n">
        <v>0.038</v>
      </c>
      <c r="F19" s="39" t="n">
        <v>0.029</v>
      </c>
      <c r="G19" s="40"/>
      <c r="H19" s="40"/>
      <c r="AF19" s="3"/>
      <c r="AG19" s="3"/>
      <c r="AH19" s="3"/>
      <c r="AI19" s="3"/>
      <c r="AS19" s="39"/>
      <c r="AT19" s="39"/>
      <c r="AU19" s="39"/>
      <c r="AV19" s="3"/>
      <c r="AW19" s="3"/>
      <c r="AX19" s="3"/>
      <c r="AY19" s="3"/>
      <c r="AZ19" s="3"/>
      <c r="BA19" s="3"/>
      <c r="BB19" s="3"/>
      <c r="BC19" s="0"/>
      <c r="BD19" s="0"/>
      <c r="BE19" s="0"/>
      <c r="BF19" s="0"/>
      <c r="BG19" s="0"/>
      <c r="BH19" s="0"/>
    </row>
    <row r="20" customFormat="false" ht="23.85" hidden="false" customHeight="false" outlineLevel="0" collapsed="false">
      <c r="A20" s="64" t="str">
        <f aca="false">_xlfn.CONCAT($A$1, ".", CALC!A20)</f>
        <v>LSD.RID.0.AL.U3R.16</v>
      </c>
      <c r="B20" s="67" t="str">
        <f aca="false">CALC!C20</f>
        <v>Professional, Scientific,
and Technical Services</v>
      </c>
      <c r="C20" s="39" t="n">
        <v>0.025</v>
      </c>
      <c r="D20" s="39" t="n">
        <v>0.027</v>
      </c>
      <c r="E20" s="39" t="n">
        <v>0.032</v>
      </c>
      <c r="F20" s="39" t="n">
        <v>0.024</v>
      </c>
      <c r="G20" s="40"/>
      <c r="H20" s="40"/>
      <c r="AF20" s="3"/>
      <c r="AG20" s="3"/>
      <c r="AH20" s="3"/>
      <c r="AI20" s="3"/>
      <c r="AS20" s="39"/>
      <c r="AT20" s="39"/>
      <c r="AU20" s="39"/>
      <c r="AV20" s="3"/>
      <c r="AW20" s="3"/>
      <c r="AX20" s="3"/>
      <c r="AY20" s="3"/>
      <c r="AZ20" s="3"/>
      <c r="BA20" s="3"/>
      <c r="BB20" s="3"/>
      <c r="BC20" s="0"/>
      <c r="BD20" s="0"/>
      <c r="BE20" s="0"/>
      <c r="BF20" s="0"/>
      <c r="BG20" s="0"/>
      <c r="BH20" s="0"/>
    </row>
    <row r="21" customFormat="false" ht="34.8" hidden="false" customHeight="false" outlineLevel="0" collapsed="false">
      <c r="A21" s="64" t="str">
        <f aca="false">_xlfn.CONCAT($A$1, ".", CALC!A21)</f>
        <v>LSD.RID.0.AL.U3R.17</v>
      </c>
      <c r="B21" s="67" t="str">
        <f aca="false">CALC!C21</f>
        <v>Administrative and Support
and Waste Management
and Remediation Services</v>
      </c>
      <c r="C21" s="39" t="n">
        <v>0.045</v>
      </c>
      <c r="D21" s="39" t="n">
        <v>0.048</v>
      </c>
      <c r="E21" s="39" t="n">
        <v>0.062</v>
      </c>
      <c r="F21" s="39" t="n">
        <v>0.043</v>
      </c>
      <c r="G21" s="40"/>
      <c r="H21" s="40"/>
      <c r="AF21" s="3"/>
      <c r="AG21" s="3"/>
      <c r="AH21" s="3"/>
      <c r="AI21" s="3"/>
      <c r="AS21" s="39"/>
      <c r="AT21" s="39"/>
      <c r="AU21" s="39"/>
      <c r="AV21" s="3"/>
      <c r="AW21" s="3"/>
      <c r="AX21" s="3"/>
      <c r="AY21" s="3"/>
      <c r="AZ21" s="3"/>
      <c r="BA21" s="3"/>
      <c r="BB21" s="3"/>
      <c r="BC21" s="0"/>
      <c r="BD21" s="0"/>
      <c r="BE21" s="0"/>
      <c r="BF21" s="0"/>
      <c r="BG21" s="0"/>
      <c r="BH21" s="0"/>
    </row>
    <row r="22" customFormat="false" ht="12.8" hidden="false" customHeight="false" outlineLevel="0" collapsed="false">
      <c r="A22" s="64" t="str">
        <f aca="false">_xlfn.CONCAT($A$1, ".", CALC!A22)</f>
        <v>LSD.RID.0.AL.U3R.18</v>
      </c>
      <c r="B22" s="42" t="str">
        <f aca="false">CALC!C22</f>
        <v>Educational Services</v>
      </c>
      <c r="C22" s="39" t="n">
        <v>0.025</v>
      </c>
      <c r="D22" s="39" t="n">
        <v>0.027</v>
      </c>
      <c r="E22" s="39" t="n">
        <v>0.032</v>
      </c>
      <c r="F22" s="39" t="n">
        <v>0.024</v>
      </c>
      <c r="G22" s="40"/>
      <c r="H22" s="40"/>
      <c r="AF22" s="3"/>
      <c r="AG22" s="3"/>
      <c r="AH22" s="3"/>
      <c r="AI22" s="3"/>
      <c r="AS22" s="39"/>
      <c r="AT22" s="39"/>
      <c r="AU22" s="39"/>
      <c r="AV22" s="3"/>
      <c r="AW22" s="3"/>
      <c r="AX22" s="3"/>
      <c r="AY22" s="3"/>
      <c r="AZ22" s="3"/>
      <c r="BA22" s="3"/>
      <c r="BB22" s="3"/>
      <c r="BC22" s="0"/>
      <c r="BD22" s="0"/>
      <c r="BE22" s="0"/>
      <c r="BF22" s="0"/>
      <c r="BG22" s="0"/>
      <c r="BH22" s="0"/>
    </row>
    <row r="23" customFormat="false" ht="23.85" hidden="false" customHeight="false" outlineLevel="0" collapsed="false">
      <c r="A23" s="64" t="str">
        <f aca="false">_xlfn.CONCAT($A$1, ".", CALC!A23)</f>
        <v>LSD.RID.0.AL.U3R.19</v>
      </c>
      <c r="B23" s="67" t="str">
        <f aca="false">CALC!C23</f>
        <v>Health Care and
Social Assistance</v>
      </c>
      <c r="C23" s="39" t="n">
        <v>0.025</v>
      </c>
      <c r="D23" s="39" t="n">
        <v>0.027</v>
      </c>
      <c r="E23" s="39" t="n">
        <v>0.032</v>
      </c>
      <c r="F23" s="39" t="n">
        <v>0.024</v>
      </c>
      <c r="G23" s="40"/>
      <c r="H23" s="40"/>
      <c r="AF23" s="3"/>
      <c r="AG23" s="3"/>
      <c r="AH23" s="3"/>
      <c r="AI23" s="3"/>
      <c r="AS23" s="39"/>
      <c r="AT23" s="39"/>
      <c r="AU23" s="39"/>
      <c r="AV23" s="3"/>
      <c r="AW23" s="3"/>
      <c r="AX23" s="3"/>
      <c r="AY23" s="3"/>
      <c r="AZ23" s="3"/>
      <c r="BA23" s="3"/>
      <c r="BB23" s="3"/>
      <c r="BC23" s="0"/>
      <c r="BD23" s="0"/>
      <c r="BE23" s="0"/>
      <c r="BF23" s="0"/>
      <c r="BG23" s="0"/>
      <c r="BH23" s="0"/>
    </row>
    <row r="24" customFormat="false" ht="23.85" hidden="false" customHeight="false" outlineLevel="0" collapsed="false">
      <c r="A24" s="64" t="str">
        <f aca="false">_xlfn.CONCAT($A$1, ".", CALC!A24)</f>
        <v>LSD.RID.0.AL.U3R.20</v>
      </c>
      <c r="B24" s="67" t="str">
        <f aca="false">CALC!C24</f>
        <v>Arts, Entertainment,
and Recreation</v>
      </c>
      <c r="C24" s="39" t="n">
        <v>0.045</v>
      </c>
      <c r="D24" s="39" t="n">
        <v>0.048</v>
      </c>
      <c r="E24" s="39" t="n">
        <v>0.062</v>
      </c>
      <c r="F24" s="39" t="n">
        <v>0.043</v>
      </c>
      <c r="G24" s="40"/>
      <c r="H24" s="40"/>
      <c r="AF24" s="3"/>
      <c r="AG24" s="3"/>
      <c r="AH24" s="3"/>
      <c r="AI24" s="3"/>
      <c r="AS24" s="39"/>
      <c r="AT24" s="39"/>
      <c r="AU24" s="39"/>
      <c r="AV24" s="3"/>
      <c r="AW24" s="3"/>
      <c r="AX24" s="3"/>
      <c r="AY24" s="3"/>
      <c r="AZ24" s="3"/>
      <c r="BA24" s="3"/>
      <c r="BB24" s="3"/>
      <c r="BC24" s="0"/>
      <c r="BD24" s="0"/>
      <c r="BE24" s="0"/>
      <c r="BF24" s="0"/>
      <c r="BG24" s="0"/>
      <c r="BH24" s="0"/>
    </row>
    <row r="25" customFormat="false" ht="23.85" hidden="false" customHeight="false" outlineLevel="0" collapsed="false">
      <c r="A25" s="64" t="str">
        <f aca="false">_xlfn.CONCAT($A$1, ".", CALC!A25)</f>
        <v>LSD.RID.0.AL.U3R.21</v>
      </c>
      <c r="B25" s="67" t="str">
        <f aca="false">CALC!C25</f>
        <v>Accommodation
and Food Services</v>
      </c>
      <c r="C25" s="39" t="n">
        <v>0.065</v>
      </c>
      <c r="D25" s="39" t="n">
        <v>0.07</v>
      </c>
      <c r="E25" s="39" t="n">
        <v>0.09</v>
      </c>
      <c r="F25" s="39" t="n">
        <v>0.062</v>
      </c>
      <c r="G25" s="40"/>
      <c r="H25" s="40"/>
      <c r="AF25" s="3"/>
      <c r="AG25" s="3"/>
      <c r="AH25" s="3"/>
      <c r="AI25" s="3"/>
      <c r="AS25" s="39"/>
      <c r="AT25" s="39"/>
      <c r="AU25" s="39"/>
      <c r="AV25" s="3"/>
      <c r="AW25" s="3"/>
      <c r="AX25" s="3"/>
      <c r="AY25" s="3"/>
      <c r="AZ25" s="3"/>
      <c r="BA25" s="3"/>
      <c r="BB25" s="3"/>
      <c r="BC25" s="0"/>
      <c r="BD25" s="0"/>
      <c r="BE25" s="0"/>
      <c r="BF25" s="0"/>
      <c r="BG25" s="0"/>
      <c r="BH25" s="0"/>
    </row>
    <row r="26" customFormat="false" ht="23.85" hidden="false" customHeight="false" outlineLevel="0" collapsed="false">
      <c r="A26" s="64" t="str">
        <f aca="false">_xlfn.CONCAT($A$1, ".", CALC!A26)</f>
        <v>LSD.RID.0.AL.U3R.22</v>
      </c>
      <c r="B26" s="67" t="str">
        <f aca="false">CALC!C26</f>
        <v>Other Services (except
Public Administration)</v>
      </c>
      <c r="C26" s="39" t="n">
        <v>0.04</v>
      </c>
      <c r="D26" s="39" t="n">
        <v>0.043</v>
      </c>
      <c r="E26" s="39" t="n">
        <v>0.055</v>
      </c>
      <c r="F26" s="39" t="n">
        <v>0.038</v>
      </c>
      <c r="G26" s="40"/>
      <c r="H26" s="40"/>
      <c r="AF26" s="3"/>
      <c r="AG26" s="3"/>
      <c r="AH26" s="3"/>
      <c r="AI26" s="3"/>
      <c r="AS26" s="39"/>
      <c r="AT26" s="39"/>
      <c r="AU26" s="39"/>
      <c r="AV26" s="3"/>
      <c r="AW26" s="3"/>
      <c r="AX26" s="3"/>
      <c r="AY26" s="3"/>
      <c r="AZ26" s="3"/>
      <c r="BA26" s="3"/>
      <c r="BB26" s="3"/>
      <c r="BC26" s="0"/>
      <c r="BD26" s="0"/>
      <c r="BE26" s="0"/>
      <c r="BF26" s="0"/>
      <c r="BG26" s="0"/>
      <c r="BH26" s="0"/>
    </row>
    <row r="27" customFormat="false" ht="12.8" hidden="false" customHeight="false" outlineLevel="0" collapsed="false">
      <c r="A27" s="64" t="str">
        <f aca="false">_xlfn.CONCAT($A$1, ".", CALC!A27)</f>
        <v>LSD.RID.0.AL.U3R.23</v>
      </c>
      <c r="B27" s="42" t="str">
        <f aca="false">CALC!C27</f>
        <v>Public Administration</v>
      </c>
      <c r="C27" s="39" t="n">
        <v>0.018</v>
      </c>
      <c r="D27" s="39" t="n">
        <v>0.019</v>
      </c>
      <c r="E27" s="39" t="n">
        <v>0.022</v>
      </c>
      <c r="F27" s="39" t="n">
        <v>0.018</v>
      </c>
      <c r="H27" s="40"/>
      <c r="AF27" s="3"/>
      <c r="AG27" s="3"/>
      <c r="AH27" s="3"/>
      <c r="AI27" s="3"/>
      <c r="AS27" s="39"/>
      <c r="AT27" s="39"/>
      <c r="AU27" s="39"/>
      <c r="AV27" s="3"/>
      <c r="AW27" s="3"/>
      <c r="AX27" s="3"/>
      <c r="AY27" s="3"/>
      <c r="AZ27" s="3"/>
      <c r="BA27" s="3"/>
      <c r="BB27" s="3"/>
      <c r="BC27" s="0"/>
      <c r="BD27" s="0"/>
      <c r="BE27" s="0"/>
      <c r="BF27" s="0"/>
      <c r="BG27" s="0"/>
      <c r="BH27" s="0"/>
    </row>
    <row r="130" customFormat="false" ht="12.8" hidden="false" customHeight="false" outlineLevel="0" collapsed="false">
      <c r="A130" s="64" t="str">
        <f aca="false">_xlfn.CONCAT($A$1, ".", "FORM")</f>
        <v>LSD.RID.0.AL.U3R.FORM</v>
      </c>
      <c r="B130" s="65" t="str">
        <f aca="false">_xlfn.CONCAT($B$1, " ", "Formulae")</f>
        <v>Alabama Unemployment Rate (U3R) Formulae</v>
      </c>
    </row>
    <row r="131" customFormat="false" ht="12.8" hidden="false" customHeight="false" outlineLevel="0" collapsed="false">
      <c r="A131" s="49" t="s">
        <v>176</v>
      </c>
      <c r="B131" s="49" t="s">
        <v>177</v>
      </c>
      <c r="C131" s="49" t="s">
        <v>178</v>
      </c>
      <c r="D131" s="49" t="s">
        <v>5494</v>
      </c>
      <c r="E131" s="49" t="s">
        <v>180</v>
      </c>
      <c r="F131" s="49" t="s">
        <v>181</v>
      </c>
    </row>
    <row r="132" customFormat="false" ht="12.8" hidden="false" customHeight="false" outlineLevel="0" collapsed="false">
      <c r="A132" s="39" t="s">
        <v>5575</v>
      </c>
      <c r="B132" s="39" t="s">
        <v>349</v>
      </c>
      <c r="C132" s="39" t="s">
        <v>5576</v>
      </c>
      <c r="D132" s="39" t="s">
        <v>5577</v>
      </c>
      <c r="E132" s="39" t="s">
        <v>5498</v>
      </c>
      <c r="F132" s="39" t="s">
        <v>5499</v>
      </c>
    </row>
    <row r="133" customFormat="false" ht="12.8" hidden="false" customHeight="false" outlineLevel="0" collapsed="false">
      <c r="A133" s="39" t="s">
        <v>5578</v>
      </c>
      <c r="B133" s="39" t="s">
        <v>349</v>
      </c>
      <c r="C133" s="39" t="s">
        <v>5501</v>
      </c>
      <c r="D133" s="39" t="s">
        <v>5579</v>
      </c>
      <c r="E133" s="39" t="s">
        <v>5580</v>
      </c>
      <c r="F133" s="39" t="s">
        <v>5499</v>
      </c>
    </row>
    <row r="134" customFormat="false" ht="12.8" hidden="false" customHeight="false" outlineLevel="0" collapsed="false">
      <c r="A134" s="39" t="s">
        <v>5581</v>
      </c>
      <c r="B134" s="39" t="s">
        <v>349</v>
      </c>
      <c r="C134" s="39" t="s">
        <v>5505</v>
      </c>
      <c r="D134" s="39" t="s">
        <v>5582</v>
      </c>
      <c r="E134" s="39" t="s">
        <v>5583</v>
      </c>
      <c r="F134" s="39" t="s">
        <v>5499</v>
      </c>
    </row>
    <row r="135" customFormat="false" ht="12.8" hidden="false" customHeight="false" outlineLevel="0" collapsed="false">
      <c r="A135" s="39" t="s">
        <v>5584</v>
      </c>
      <c r="B135" s="39" t="s">
        <v>5585</v>
      </c>
      <c r="C135" s="39" t="s">
        <v>5586</v>
      </c>
      <c r="D135" s="39" t="s">
        <v>5587</v>
      </c>
      <c r="E135" s="39" t="s">
        <v>5588</v>
      </c>
      <c r="F135" s="39" t="s">
        <v>5589</v>
      </c>
    </row>
    <row r="140" customFormat="false" ht="12.8" hidden="false" customHeight="false" outlineLevel="0" collapsed="false">
      <c r="A140" s="64" t="str">
        <f aca="false">_xlfn.CONCAT($A$1, ".", "PARAM")</f>
        <v>LSD.RID.0.AL.U3R.PARAM</v>
      </c>
      <c r="B140" s="65" t="str">
        <f aca="false">_xlfn.CONCAT($B$1, " ", "Parameters")</f>
        <v>Alabama Unemployment Rate (U3R) Parameters</v>
      </c>
    </row>
    <row r="141" customFormat="false" ht="23.85" hidden="false" customHeight="false" outlineLevel="0" collapsed="false">
      <c r="A141" s="69" t="s">
        <v>176</v>
      </c>
      <c r="B141" s="69" t="s">
        <v>178</v>
      </c>
      <c r="C141" s="69" t="s">
        <v>5508</v>
      </c>
      <c r="D141" s="69" t="s">
        <v>180</v>
      </c>
      <c r="E141" s="69" t="s">
        <v>428</v>
      </c>
      <c r="F141" s="69" t="s">
        <v>429</v>
      </c>
      <c r="G141" s="69" t="s">
        <v>430</v>
      </c>
      <c r="H141" s="69" t="s">
        <v>181</v>
      </c>
    </row>
    <row r="142" customFormat="false" ht="23.85" hidden="false" customHeight="false" outlineLevel="0" collapsed="false">
      <c r="A142" s="40" t="s">
        <v>5590</v>
      </c>
      <c r="B142" s="40" t="s">
        <v>5591</v>
      </c>
      <c r="C142" s="40" t="n">
        <v>0.027</v>
      </c>
      <c r="D142" s="40" t="s">
        <v>5592</v>
      </c>
      <c r="E142" s="40" t="s">
        <v>434</v>
      </c>
      <c r="F142" s="40" t="s">
        <v>1786</v>
      </c>
      <c r="G142" s="71" t="s">
        <v>436</v>
      </c>
      <c r="H142" s="40" t="s">
        <v>5593</v>
      </c>
    </row>
    <row r="143" customFormat="false" ht="23.85" hidden="false" customHeight="false" outlineLevel="0" collapsed="false">
      <c r="A143" s="40" t="s">
        <v>5594</v>
      </c>
      <c r="B143" s="40" t="s">
        <v>5595</v>
      </c>
      <c r="C143" s="40" t="s">
        <v>5596</v>
      </c>
      <c r="D143" s="40" t="s">
        <v>5515</v>
      </c>
      <c r="E143" s="40" t="s">
        <v>5516</v>
      </c>
      <c r="F143" s="40" t="s">
        <v>5517</v>
      </c>
      <c r="G143" s="71" t="s">
        <v>436</v>
      </c>
      <c r="H143" s="40" t="s">
        <v>5499</v>
      </c>
    </row>
    <row r="144" customFormat="false" ht="23.85" hidden="false" customHeight="false" outlineLevel="0" collapsed="false">
      <c r="A144" s="40" t="s">
        <v>5597</v>
      </c>
      <c r="B144" s="40" t="s">
        <v>5598</v>
      </c>
      <c r="C144" s="40" t="s">
        <v>5599</v>
      </c>
      <c r="D144" s="40" t="s">
        <v>5521</v>
      </c>
      <c r="E144" s="40" t="s">
        <v>5516</v>
      </c>
      <c r="F144" s="40" t="s">
        <v>5517</v>
      </c>
      <c r="G144" s="71" t="s">
        <v>436</v>
      </c>
      <c r="H144" s="40" t="s">
        <v>5499</v>
      </c>
    </row>
    <row r="145" customFormat="false" ht="35.05" hidden="false" customHeight="false" outlineLevel="0" collapsed="false">
      <c r="A145" s="40" t="s">
        <v>5600</v>
      </c>
      <c r="B145" s="40" t="s">
        <v>5601</v>
      </c>
      <c r="C145" s="40" t="s">
        <v>5602</v>
      </c>
      <c r="D145" s="40" t="s">
        <v>5525</v>
      </c>
      <c r="E145" s="40" t="s">
        <v>5516</v>
      </c>
      <c r="F145" s="40" t="s">
        <v>5517</v>
      </c>
      <c r="G145" s="71" t="s">
        <v>436</v>
      </c>
      <c r="H145" s="40" t="s">
        <v>5499</v>
      </c>
    </row>
    <row r="146" customFormat="false" ht="23.85" hidden="false" customHeight="false" outlineLevel="0" collapsed="false">
      <c r="A146" s="40" t="s">
        <v>5603</v>
      </c>
      <c r="B146" s="40" t="s">
        <v>5604</v>
      </c>
      <c r="C146" s="40" t="s">
        <v>5605</v>
      </c>
      <c r="D146" s="40" t="s">
        <v>5529</v>
      </c>
      <c r="E146" s="40" t="s">
        <v>5516</v>
      </c>
      <c r="F146" s="40" t="s">
        <v>5517</v>
      </c>
      <c r="G146" s="71" t="s">
        <v>436</v>
      </c>
      <c r="H146" s="40" t="s">
        <v>5499</v>
      </c>
    </row>
    <row r="155" customFormat="false" ht="12.8" hidden="false" customHeight="false" outlineLevel="0" collapsed="false">
      <c r="A155" s="64" t="str">
        <f aca="false">_xlfn.CONCAT($A$1, ".", "VALID")</f>
        <v>LSD.RID.0.AL.U3R.VALID</v>
      </c>
      <c r="B155" s="65" t="str">
        <f aca="false">_xlfn.CONCAT($B$1, " ", "Validation")</f>
        <v>Alabama Unemployment Rate (U3R) Validation</v>
      </c>
    </row>
    <row r="156" customFormat="false" ht="12.8" hidden="false" customHeight="false" outlineLevel="0" collapsed="false">
      <c r="A156" s="49" t="s">
        <v>113</v>
      </c>
      <c r="B156" s="49" t="s">
        <v>180</v>
      </c>
      <c r="C156" s="49" t="s">
        <v>427</v>
      </c>
      <c r="D156" s="49" t="s">
        <v>5606</v>
      </c>
      <c r="E156" s="49" t="s">
        <v>428</v>
      </c>
      <c r="F156" s="49" t="s">
        <v>5607</v>
      </c>
      <c r="G156" s="49"/>
    </row>
    <row r="157" customFormat="false" ht="12.8" hidden="false" customHeight="false" outlineLevel="0" collapsed="false">
      <c r="A157" s="39" t="s">
        <v>5608</v>
      </c>
      <c r="B157" s="39" t="s">
        <v>4600</v>
      </c>
      <c r="C157" s="39" t="n">
        <v>0.027</v>
      </c>
      <c r="D157" s="39" t="s">
        <v>1786</v>
      </c>
      <c r="E157" s="39" t="s">
        <v>434</v>
      </c>
      <c r="F157" s="39" t="s">
        <v>5609</v>
      </c>
    </row>
    <row r="158" customFormat="false" ht="12.8" hidden="false" customHeight="false" outlineLevel="0" collapsed="false">
      <c r="A158" s="39" t="s">
        <v>5610</v>
      </c>
      <c r="B158" s="39" t="s">
        <v>5611</v>
      </c>
      <c r="C158" s="39" t="s">
        <v>5612</v>
      </c>
      <c r="D158" s="39" t="s">
        <v>5613</v>
      </c>
      <c r="E158" s="39" t="s">
        <v>434</v>
      </c>
      <c r="F158" s="39" t="s">
        <v>5614</v>
      </c>
    </row>
    <row r="159" customFormat="false" ht="12.8" hidden="false" customHeight="false" outlineLevel="0" collapsed="false">
      <c r="A159" s="39" t="s">
        <v>5615</v>
      </c>
      <c r="B159" s="39" t="s">
        <v>5616</v>
      </c>
      <c r="C159" s="39" t="s">
        <v>5617</v>
      </c>
      <c r="D159" s="39" t="s">
        <v>5618</v>
      </c>
      <c r="E159" s="39" t="s">
        <v>434</v>
      </c>
      <c r="F159" s="39" t="s">
        <v>5619</v>
      </c>
    </row>
    <row r="160" customFormat="false" ht="12.8" hidden="false" customHeight="false" outlineLevel="0" collapsed="false">
      <c r="A160" s="39" t="s">
        <v>5620</v>
      </c>
      <c r="B160" s="39" t="s">
        <v>5621</v>
      </c>
      <c r="C160" s="39" t="s">
        <v>5622</v>
      </c>
      <c r="D160" s="39" t="s">
        <v>5623</v>
      </c>
      <c r="E160" s="39" t="s">
        <v>440</v>
      </c>
      <c r="F160" s="39" t="s">
        <v>5624</v>
      </c>
    </row>
    <row r="161" customFormat="false" ht="12.8" hidden="false" customHeight="false" outlineLevel="0" collapsed="false">
      <c r="A161" s="39" t="s">
        <v>5625</v>
      </c>
      <c r="B161" s="39" t="s">
        <v>5474</v>
      </c>
      <c r="C161" s="39" t="s">
        <v>5626</v>
      </c>
      <c r="D161" s="39" t="s">
        <v>5476</v>
      </c>
      <c r="E161" s="39" t="s">
        <v>5627</v>
      </c>
      <c r="F161" s="39" t="s">
        <v>434</v>
      </c>
      <c r="G161" s="39" t="s">
        <v>5628</v>
      </c>
    </row>
    <row r="162" customFormat="false" ht="12.8" hidden="false" customHeight="false" outlineLevel="0" collapsed="false">
      <c r="A162" s="39" t="s">
        <v>5629</v>
      </c>
      <c r="B162" s="39" t="s">
        <v>5480</v>
      </c>
      <c r="C162" s="39" t="s">
        <v>5481</v>
      </c>
      <c r="D162" s="39" t="s">
        <v>5630</v>
      </c>
      <c r="E162" s="39" t="s">
        <v>434</v>
      </c>
      <c r="F162" s="39" t="s">
        <v>5631</v>
      </c>
    </row>
    <row r="163" customFormat="false" ht="12.8" hidden="false" customHeight="false" outlineLevel="0" collapsed="false">
      <c r="A163" s="39" t="s">
        <v>5632</v>
      </c>
      <c r="B163" s="39" t="s">
        <v>5633</v>
      </c>
      <c r="C163" s="39" t="s">
        <v>5634</v>
      </c>
      <c r="D163" s="39" t="s">
        <v>5635</v>
      </c>
      <c r="E163" s="39" t="s">
        <v>434</v>
      </c>
      <c r="F163" s="39" t="s">
        <v>5636</v>
      </c>
    </row>
    <row r="164" customFormat="false" ht="12.8" hidden="false" customHeight="false" outlineLevel="0" collapsed="false">
      <c r="A164" s="39" t="s">
        <v>5632</v>
      </c>
      <c r="B164" s="39" t="s">
        <v>5637</v>
      </c>
      <c r="C164" s="39" t="s">
        <v>5638</v>
      </c>
      <c r="D164" s="39" t="s">
        <v>5639</v>
      </c>
      <c r="E164" s="39" t="s">
        <v>5640</v>
      </c>
      <c r="F164" s="39" t="s">
        <v>434</v>
      </c>
      <c r="G164" s="39" t="s">
        <v>5641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P15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23" activeCellId="0" sqref="H23"/>
    </sheetView>
  </sheetViews>
  <sheetFormatPr defaultColWidth="11.53515625" defaultRowHeight="12.8" customHeight="false" zeroHeight="false" outlineLevelRow="0" outlineLevelCol="0"/>
  <cols>
    <col collapsed="false" customWidth="false" hidden="false" outlineLevel="0" max="1" min="1" style="51"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9" hidden="false" customHeight="false" outlineLevel="0" collapsed="false">
      <c r="A1" s="4" t="s">
        <v>5642</v>
      </c>
      <c r="B1" s="42" t="s">
        <v>5643</v>
      </c>
      <c r="C1" s="6" t="s">
        <v>2</v>
      </c>
      <c r="D1" s="66" t="s">
        <v>5644</v>
      </c>
      <c r="AZ1" s="39"/>
      <c r="BP1" s="39"/>
    </row>
    <row r="2" customFormat="false" ht="12.8" hidden="false" customHeight="false" outlineLevel="0" collapsed="false">
      <c r="A2" s="64" t="str">
        <f aca="false">_xlfn.CONCAT($A$1, ".", "CALC")</f>
        <v>LSD.RID.0.AL.U6R.CALC</v>
      </c>
      <c r="B2" s="65" t="str">
        <f aca="false">_xlfn.CONCAT($B$1, " ", "Calculations")</f>
        <v>Alabama Underemployment Rate (U6R) Calculations</v>
      </c>
      <c r="C2" s="3"/>
      <c r="D2" s="3"/>
      <c r="E2" s="3"/>
      <c r="F2" s="3"/>
      <c r="AZ2" s="3"/>
      <c r="BA2" s="3"/>
      <c r="BB2" s="3"/>
      <c r="BC2" s="3"/>
    </row>
    <row r="3" customFormat="false" ht="12.8" hidden="false" customHeight="false" outlineLevel="0" collapsed="false">
      <c r="A3" s="64" t="str">
        <f aca="false">CALC!A3</f>
        <v>LSID</v>
      </c>
      <c r="B3" s="42" t="str">
        <f aca="false">CALC!C3</f>
        <v>Labor Sector</v>
      </c>
      <c r="C3" s="70" t="str">
        <f aca="false">CALC!X3</f>
        <v>Overall U6R</v>
      </c>
      <c r="D3" s="70" t="str">
        <f aca="false">CALC!Y3</f>
        <v>Authorized U6R</v>
      </c>
      <c r="E3" s="70" t="str">
        <f aca="false">CALC!Z3</f>
        <v>Unauthorized U6R</v>
      </c>
      <c r="F3" s="70" t="str">
        <f aca="false">CALC!AA3</f>
        <v>American U6R</v>
      </c>
      <c r="H3" s="69"/>
      <c r="I3" s="69"/>
      <c r="J3" s="69"/>
      <c r="K3" s="69"/>
      <c r="L3" s="69"/>
      <c r="M3" s="69"/>
      <c r="N3" s="69"/>
    </row>
    <row r="4" customFormat="false" ht="12.8" hidden="false" customHeight="false" outlineLevel="0" collapsed="false">
      <c r="A4" s="64" t="str">
        <f aca="false">_xlfn.CONCAT($A$1, ".", CALC!A4)</f>
        <v>LSD.RID.0.AL.U6R.0</v>
      </c>
      <c r="B4" s="42" t="str">
        <f aca="false">CALC!C4</f>
        <v>All Industries</v>
      </c>
      <c r="C4" s="0" t="n">
        <v>0.045</v>
      </c>
      <c r="D4" s="3" t="n">
        <v>0.048</v>
      </c>
      <c r="E4" s="0" t="n">
        <v>0.065</v>
      </c>
      <c r="F4" s="0" t="n">
        <v>0.043</v>
      </c>
      <c r="G4" s="40"/>
      <c r="H4" s="40"/>
      <c r="I4" s="40"/>
      <c r="J4" s="40"/>
      <c r="K4" s="40"/>
      <c r="L4" s="40"/>
      <c r="M4" s="40"/>
      <c r="N4" s="40"/>
    </row>
    <row r="5" customFormat="false" ht="23.85" hidden="false" customHeight="false" outlineLevel="0" collapsed="false">
      <c r="A5" s="64" t="str">
        <f aca="false">_xlfn.CONCAT($A$1, ".", CALC!A5)</f>
        <v>LSD.RID.0.AL.U6R.1</v>
      </c>
      <c r="B5" s="67" t="str">
        <f aca="false">CALC!C5</f>
        <v>Agriculture, Forestry, 
Fishing and Hunting</v>
      </c>
      <c r="C5" s="0" t="n">
        <v>0.072</v>
      </c>
      <c r="D5" s="3" t="n">
        <v>0.077</v>
      </c>
      <c r="E5" s="0" t="n">
        <v>0.098</v>
      </c>
      <c r="F5" s="0" t="n">
        <v>0.068</v>
      </c>
      <c r="G5" s="40"/>
      <c r="H5" s="40"/>
      <c r="I5" s="40"/>
      <c r="J5" s="40"/>
      <c r="K5" s="40"/>
      <c r="L5" s="40"/>
      <c r="M5" s="40"/>
      <c r="N5" s="40"/>
    </row>
    <row r="6" customFormat="false" ht="23.85" hidden="false" customHeight="false" outlineLevel="0" collapsed="false">
      <c r="A6" s="64" t="str">
        <f aca="false">_xlfn.CONCAT($A$1, ".", CALC!A6)</f>
        <v>LSD.RID.0.AL.U6R.2</v>
      </c>
      <c r="B6" s="67" t="str">
        <f aca="false">CALC!C6</f>
        <v>Mining, Quarrying, and
Oil and Gas Extraction</v>
      </c>
      <c r="C6" s="0" t="n">
        <v>0.061</v>
      </c>
      <c r="D6" s="3" t="n">
        <v>0.065</v>
      </c>
      <c r="E6" s="0" t="n">
        <v>0.083</v>
      </c>
      <c r="F6" s="0" t="n">
        <v>0.058</v>
      </c>
      <c r="G6" s="40"/>
      <c r="H6" s="40"/>
      <c r="I6" s="40"/>
      <c r="J6" s="40"/>
      <c r="K6" s="40"/>
      <c r="L6" s="40"/>
      <c r="M6" s="40"/>
      <c r="N6" s="40"/>
    </row>
    <row r="7" customFormat="false" ht="12.8" hidden="false" customHeight="false" outlineLevel="0" collapsed="false">
      <c r="A7" s="64" t="str">
        <f aca="false">_xlfn.CONCAT($A$1, ".", CALC!A7)</f>
        <v>LSD.RID.0.AL.U6R.3</v>
      </c>
      <c r="B7" s="42" t="str">
        <f aca="false">CALC!C7</f>
        <v>Utilities</v>
      </c>
      <c r="C7" s="0" t="n">
        <v>0.027</v>
      </c>
      <c r="D7" s="3" t="n">
        <v>0.029</v>
      </c>
      <c r="E7" s="0" t="n">
        <v>0.033</v>
      </c>
      <c r="F7" s="0" t="n">
        <v>0.027</v>
      </c>
      <c r="G7" s="40"/>
      <c r="H7" s="40"/>
      <c r="I7" s="40"/>
      <c r="J7" s="40"/>
      <c r="K7" s="40"/>
      <c r="L7" s="40"/>
      <c r="M7" s="40"/>
      <c r="N7" s="40"/>
    </row>
    <row r="8" customFormat="false" ht="12.8" hidden="false" customHeight="false" outlineLevel="0" collapsed="false">
      <c r="A8" s="64" t="str">
        <f aca="false">_xlfn.CONCAT($A$1, ".", CALC!A8)</f>
        <v>LSD.RID.0.AL.U6R.4</v>
      </c>
      <c r="B8" s="42" t="str">
        <f aca="false">CALC!C8</f>
        <v>Construction</v>
      </c>
      <c r="C8" s="0" t="n">
        <v>0.085</v>
      </c>
      <c r="D8" s="3" t="n">
        <v>0.091</v>
      </c>
      <c r="E8" s="0" t="n">
        <v>0.12</v>
      </c>
      <c r="F8" s="0" t="n">
        <v>0.08</v>
      </c>
      <c r="G8" s="40"/>
      <c r="H8" s="40"/>
      <c r="I8" s="40"/>
      <c r="J8" s="40"/>
      <c r="K8" s="40"/>
      <c r="L8" s="40"/>
      <c r="M8" s="40"/>
      <c r="N8" s="40"/>
    </row>
    <row r="9" customFormat="false" ht="23.85" hidden="false" customHeight="false" outlineLevel="0" collapsed="false">
      <c r="A9" s="64" t="str">
        <f aca="false">_xlfn.CONCAT($A$1, ".", CALC!A9)</f>
        <v>LSD.RID.0.AL.U6R.5</v>
      </c>
      <c r="B9" s="67" t="str">
        <f aca="false">CALC!C9</f>
        <v>Manufacturing
(Food,Textile, etc.)</v>
      </c>
      <c r="C9" s="0" t="n">
        <v>0.058</v>
      </c>
      <c r="D9" s="3" t="n">
        <v>0.062</v>
      </c>
      <c r="E9" s="0" t="n">
        <v>0.08</v>
      </c>
      <c r="F9" s="0" t="n">
        <v>0.056</v>
      </c>
      <c r="G9" s="40"/>
      <c r="H9" s="40"/>
      <c r="I9" s="40"/>
      <c r="J9" s="40"/>
      <c r="K9" s="40"/>
      <c r="L9" s="40"/>
      <c r="M9" s="40"/>
      <c r="N9" s="40"/>
    </row>
    <row r="10" customFormat="false" ht="23.85" hidden="false" customHeight="false" outlineLevel="0" collapsed="false">
      <c r="A10" s="64" t="str">
        <f aca="false">_xlfn.CONCAT($A$1, ".", CALC!A10)</f>
        <v>LSD.RID.0.AL.U6R.6</v>
      </c>
      <c r="B10" s="67" t="str">
        <f aca="false">CALC!C10</f>
        <v>Manufacturing (Wood,
Paper, Printing, etc.)</v>
      </c>
      <c r="C10" s="0" t="n">
        <v>0.058</v>
      </c>
      <c r="D10" s="3" t="n">
        <v>0.062</v>
      </c>
      <c r="E10" s="0" t="n">
        <v>0.08</v>
      </c>
      <c r="F10" s="0" t="n">
        <v>0.056</v>
      </c>
      <c r="G10" s="40"/>
      <c r="H10" s="40"/>
      <c r="I10" s="40"/>
      <c r="J10" s="40"/>
      <c r="K10" s="40"/>
      <c r="L10" s="40"/>
      <c r="M10" s="40"/>
      <c r="N10" s="40"/>
    </row>
    <row r="11" customFormat="false" ht="23.85" hidden="false" customHeight="false" outlineLevel="0" collapsed="false">
      <c r="A11" s="64" t="str">
        <f aca="false">_xlfn.CONCAT($A$1, ".", CALC!A11)</f>
        <v>LSD.RID.0.AL.U6R.7</v>
      </c>
      <c r="B11" s="67" t="str">
        <f aca="false">CALC!C11</f>
        <v>Manufacturing
(Machinery, Transport)</v>
      </c>
      <c r="C11" s="0" t="n">
        <v>0.058</v>
      </c>
      <c r="D11" s="3" t="n">
        <v>0.062</v>
      </c>
      <c r="E11" s="0" t="n">
        <v>0.08</v>
      </c>
      <c r="F11" s="0" t="n">
        <v>0.056</v>
      </c>
      <c r="G11" s="40"/>
      <c r="H11" s="40"/>
      <c r="I11" s="40"/>
      <c r="J11" s="40"/>
      <c r="K11" s="40"/>
      <c r="L11" s="40"/>
      <c r="M11" s="40"/>
      <c r="N11" s="40"/>
    </row>
    <row r="12" customFormat="false" ht="12.8" hidden="false" customHeight="false" outlineLevel="0" collapsed="false">
      <c r="A12" s="64" t="str">
        <f aca="false">_xlfn.CONCAT($A$1, ".", CALC!A12)</f>
        <v>LSD.RID.0.AL.U6R.8</v>
      </c>
      <c r="B12" s="42" t="str">
        <f aca="false">CALC!C12</f>
        <v>Wholesale Trade</v>
      </c>
      <c r="C12" s="0" t="n">
        <v>0.053</v>
      </c>
      <c r="D12" s="3" t="n">
        <v>0.057</v>
      </c>
      <c r="E12" s="0" t="n">
        <v>0.07</v>
      </c>
      <c r="F12" s="0" t="n">
        <v>0.051</v>
      </c>
      <c r="G12" s="40"/>
      <c r="H12" s="40"/>
      <c r="I12" s="40"/>
      <c r="J12" s="40"/>
      <c r="K12" s="40"/>
      <c r="L12" s="40"/>
      <c r="M12" s="40"/>
      <c r="N12" s="40"/>
    </row>
    <row r="13" customFormat="false" ht="23.85" hidden="false" customHeight="false" outlineLevel="0" collapsed="false">
      <c r="A13" s="64" t="str">
        <f aca="false">_xlfn.CONCAT($A$1, ".", CALC!A13)</f>
        <v>LSD.RID.0.AL.U6R.9</v>
      </c>
      <c r="B13" s="67" t="str">
        <f aca="false">CALC!C13</f>
        <v>Retail Trade (Motor
Vehicle, Electronics)</v>
      </c>
      <c r="C13" s="0" t="n">
        <v>0.067</v>
      </c>
      <c r="D13" s="3" t="n">
        <v>0.072</v>
      </c>
      <c r="E13" s="0" t="n">
        <v>0.092</v>
      </c>
      <c r="F13" s="0" t="n">
        <v>0.064</v>
      </c>
      <c r="G13" s="40"/>
      <c r="H13" s="40"/>
      <c r="I13" s="40"/>
      <c r="J13" s="40"/>
      <c r="K13" s="40"/>
      <c r="L13" s="40"/>
      <c r="M13" s="40"/>
      <c r="N13" s="40"/>
    </row>
    <row r="14" customFormat="false" ht="23.85" hidden="false" customHeight="false" outlineLevel="0" collapsed="false">
      <c r="A14" s="64" t="str">
        <f aca="false">_xlfn.CONCAT($A$1, ".", CALC!A14)</f>
        <v>LSD.RID.0.AL.U6R.10</v>
      </c>
      <c r="B14" s="67" t="str">
        <f aca="false">CALC!C14</f>
        <v>Retail Trade (Food, Clothing,
General Merchandise, etc.)</v>
      </c>
      <c r="C14" s="0" t="n">
        <v>0.067</v>
      </c>
      <c r="D14" s="3" t="n">
        <v>0.072</v>
      </c>
      <c r="E14" s="0" t="n">
        <v>0.092</v>
      </c>
      <c r="F14" s="0" t="n">
        <v>0.064</v>
      </c>
      <c r="G14" s="40"/>
      <c r="H14" s="40"/>
      <c r="I14" s="40"/>
      <c r="J14" s="40"/>
      <c r="K14" s="40"/>
      <c r="L14" s="40"/>
      <c r="M14" s="40"/>
      <c r="N14" s="40"/>
    </row>
    <row r="15" customFormat="false" ht="12.8" hidden="false" customHeight="false" outlineLevel="0" collapsed="false">
      <c r="A15" s="64" t="str">
        <f aca="false">_xlfn.CONCAT($A$1, ".", CALC!A15)</f>
        <v>LSD.RID.0.AL.U6R.11</v>
      </c>
      <c r="B15" s="42" t="str">
        <f aca="false">CALC!C15</f>
        <v>Transportation</v>
      </c>
      <c r="C15" s="0" t="n">
        <v>0.063</v>
      </c>
      <c r="D15" s="3" t="n">
        <v>0.068</v>
      </c>
      <c r="E15" s="0" t="n">
        <v>0.087</v>
      </c>
      <c r="F15" s="0" t="n">
        <v>0.06</v>
      </c>
      <c r="G15" s="40"/>
      <c r="H15" s="40"/>
      <c r="I15" s="40"/>
      <c r="J15" s="40"/>
      <c r="K15" s="40"/>
      <c r="L15" s="40"/>
      <c r="M15" s="40"/>
      <c r="N15" s="40"/>
    </row>
    <row r="16" customFormat="false" ht="12.8" hidden="false" customHeight="false" outlineLevel="0" collapsed="false">
      <c r="A16" s="64" t="str">
        <f aca="false">_xlfn.CONCAT($A$1, ".", CALC!A16)</f>
        <v>LSD.RID.0.AL.U6R.12</v>
      </c>
      <c r="B16" s="42" t="str">
        <f aca="false">CALC!C16</f>
        <v>Warehousing and Storage</v>
      </c>
      <c r="C16" s="0" t="n">
        <v>0.063</v>
      </c>
      <c r="D16" s="3" t="n">
        <v>0.068</v>
      </c>
      <c r="E16" s="0" t="n">
        <v>0.087</v>
      </c>
      <c r="F16" s="0" t="n">
        <v>0.06</v>
      </c>
      <c r="G16" s="40"/>
      <c r="H16" s="40"/>
      <c r="I16" s="40"/>
      <c r="J16" s="40"/>
      <c r="K16" s="40"/>
      <c r="L16" s="40"/>
      <c r="M16" s="40"/>
      <c r="N16" s="40"/>
    </row>
    <row r="17" customFormat="false" ht="12.8" hidden="false" customHeight="false" outlineLevel="0" collapsed="false">
      <c r="A17" s="64" t="str">
        <f aca="false">_xlfn.CONCAT($A$1, ".", CALC!A17)</f>
        <v>LSD.RID.0.AL.U6R.13</v>
      </c>
      <c r="B17" s="42" t="str">
        <f aca="false">CALC!C17</f>
        <v>Information</v>
      </c>
      <c r="C17" s="0" t="n">
        <v>0.047</v>
      </c>
      <c r="D17" s="3" t="n">
        <v>0.05</v>
      </c>
      <c r="E17" s="0" t="n">
        <v>0.058</v>
      </c>
      <c r="F17" s="0" t="n">
        <v>0.045</v>
      </c>
      <c r="G17" s="40"/>
      <c r="H17" s="40"/>
      <c r="I17" s="40"/>
      <c r="J17" s="40"/>
      <c r="K17" s="40"/>
      <c r="L17" s="40"/>
      <c r="M17" s="40"/>
      <c r="N17" s="40"/>
    </row>
    <row r="18" customFormat="false" ht="12.8" hidden="false" customHeight="false" outlineLevel="0" collapsed="false">
      <c r="A18" s="64" t="str">
        <f aca="false">_xlfn.CONCAT($A$1, ".", CALC!A18)</f>
        <v>LSD.RID.0.AL.U6R.14</v>
      </c>
      <c r="B18" s="42" t="str">
        <f aca="false">CALC!C18</f>
        <v>Finance and Insurance</v>
      </c>
      <c r="C18" s="0" t="n">
        <v>0.037</v>
      </c>
      <c r="D18" s="3" t="n">
        <v>0.04</v>
      </c>
      <c r="E18" s="0" t="n">
        <v>0.047</v>
      </c>
      <c r="F18" s="0" t="n">
        <v>0.035</v>
      </c>
      <c r="G18" s="40"/>
      <c r="H18" s="40"/>
      <c r="I18" s="40"/>
      <c r="J18" s="40"/>
      <c r="K18" s="40"/>
      <c r="L18" s="40"/>
      <c r="M18" s="40"/>
      <c r="N18" s="40"/>
    </row>
    <row r="19" customFormat="false" ht="23.85" hidden="false" customHeight="false" outlineLevel="0" collapsed="false">
      <c r="A19" s="64" t="str">
        <f aca="false">_xlfn.CONCAT($A$1, ".", CALC!A19)</f>
        <v>LSD.RID.0.AL.U6R.15</v>
      </c>
      <c r="B19" s="67" t="str">
        <f aca="false">CALC!C19</f>
        <v>Real Estate and
Rental and Leasing</v>
      </c>
      <c r="C19" s="0" t="n">
        <v>0.05</v>
      </c>
      <c r="D19" s="3" t="n">
        <v>0.054</v>
      </c>
      <c r="E19" s="0" t="n">
        <v>0.063</v>
      </c>
      <c r="F19" s="0" t="n">
        <v>0.048</v>
      </c>
      <c r="G19" s="40"/>
      <c r="H19" s="40"/>
      <c r="I19" s="40"/>
      <c r="J19" s="40"/>
      <c r="K19" s="40"/>
      <c r="L19" s="40"/>
      <c r="M19" s="40"/>
      <c r="N19" s="40"/>
    </row>
    <row r="20" customFormat="false" ht="23.85" hidden="false" customHeight="false" outlineLevel="0" collapsed="false">
      <c r="A20" s="64" t="str">
        <f aca="false">_xlfn.CONCAT($A$1, ".", CALC!A20)</f>
        <v>LSD.RID.0.AL.U6R.16</v>
      </c>
      <c r="B20" s="67" t="str">
        <f aca="false">CALC!C20</f>
        <v>Professional, Scientific,
and Technical Services</v>
      </c>
      <c r="C20" s="0" t="n">
        <v>0.042</v>
      </c>
      <c r="D20" s="3" t="n">
        <v>0.045</v>
      </c>
      <c r="E20" s="0" t="n">
        <v>0.053</v>
      </c>
      <c r="F20" s="0" t="n">
        <v>0.04</v>
      </c>
      <c r="G20" s="40"/>
      <c r="H20" s="40"/>
      <c r="I20" s="40"/>
      <c r="J20" s="40"/>
      <c r="K20" s="40"/>
      <c r="L20" s="40"/>
      <c r="M20" s="40"/>
      <c r="N20" s="40"/>
    </row>
    <row r="21" customFormat="false" ht="34.8" hidden="false" customHeight="false" outlineLevel="0" collapsed="false">
      <c r="A21" s="64" t="str">
        <f aca="false">_xlfn.CONCAT($A$1, ".", CALC!A21)</f>
        <v>LSD.RID.0.AL.U6R.17</v>
      </c>
      <c r="B21" s="67" t="str">
        <f aca="false">CALC!C21</f>
        <v>Administrative and Support
and Waste Management
and Remediation Services</v>
      </c>
      <c r="C21" s="0" t="n">
        <v>0.075</v>
      </c>
      <c r="D21" s="3" t="n">
        <v>0.08</v>
      </c>
      <c r="E21" s="0" t="n">
        <v>0.103</v>
      </c>
      <c r="F21" s="0" t="n">
        <v>0.072</v>
      </c>
      <c r="G21" s="40"/>
      <c r="H21" s="40"/>
      <c r="I21" s="40"/>
      <c r="J21" s="40"/>
      <c r="K21" s="40"/>
      <c r="L21" s="40"/>
      <c r="M21" s="40"/>
      <c r="N21" s="40"/>
    </row>
    <row r="22" customFormat="false" ht="12.8" hidden="false" customHeight="false" outlineLevel="0" collapsed="false">
      <c r="A22" s="64" t="str">
        <f aca="false">_xlfn.CONCAT($A$1, ".", CALC!A22)</f>
        <v>LSD.RID.0.AL.U6R.18</v>
      </c>
      <c r="B22" s="42" t="str">
        <f aca="false">CALC!C22</f>
        <v>Educational Services</v>
      </c>
      <c r="C22" s="0" t="n">
        <v>0.042</v>
      </c>
      <c r="D22" s="3" t="n">
        <v>0.045</v>
      </c>
      <c r="E22" s="0" t="n">
        <v>0.053</v>
      </c>
      <c r="F22" s="0" t="n">
        <v>0.04</v>
      </c>
      <c r="G22" s="40"/>
      <c r="H22" s="40"/>
      <c r="I22" s="40"/>
      <c r="J22" s="40"/>
      <c r="K22" s="40"/>
      <c r="L22" s="40"/>
      <c r="M22" s="40"/>
      <c r="N22" s="40"/>
    </row>
    <row r="23" customFormat="false" ht="23.85" hidden="false" customHeight="false" outlineLevel="0" collapsed="false">
      <c r="A23" s="64" t="str">
        <f aca="false">_xlfn.CONCAT($A$1, ".", CALC!A23)</f>
        <v>LSD.RID.0.AL.U6R.19</v>
      </c>
      <c r="B23" s="67" t="str">
        <f aca="false">CALC!C23</f>
        <v>Health Care and
Social Assistance</v>
      </c>
      <c r="C23" s="0" t="n">
        <v>0.042</v>
      </c>
      <c r="D23" s="3" t="n">
        <v>0.045</v>
      </c>
      <c r="E23" s="0" t="n">
        <v>0.053</v>
      </c>
      <c r="F23" s="0" t="n">
        <v>0.04</v>
      </c>
      <c r="G23" s="40"/>
      <c r="H23" s="40"/>
      <c r="I23" s="40"/>
      <c r="J23" s="40"/>
      <c r="K23" s="40"/>
      <c r="L23" s="40"/>
      <c r="M23" s="40"/>
      <c r="N23" s="40"/>
    </row>
    <row r="24" customFormat="false" ht="23.85" hidden="false" customHeight="false" outlineLevel="0" collapsed="false">
      <c r="A24" s="64" t="str">
        <f aca="false">_xlfn.CONCAT($A$1, ".", CALC!A24)</f>
        <v>LSD.RID.0.AL.U6R.20</v>
      </c>
      <c r="B24" s="67" t="str">
        <f aca="false">CALC!C24</f>
        <v>Arts, Entertainment,
and Recreation</v>
      </c>
      <c r="C24" s="0" t="n">
        <v>0.075</v>
      </c>
      <c r="D24" s="3" t="n">
        <v>0.08</v>
      </c>
      <c r="E24" s="0" t="n">
        <v>0.103</v>
      </c>
      <c r="F24" s="0" t="n">
        <v>0.072</v>
      </c>
      <c r="G24" s="40"/>
      <c r="H24" s="40"/>
      <c r="I24" s="40"/>
      <c r="J24" s="40"/>
      <c r="K24" s="40"/>
      <c r="L24" s="40"/>
      <c r="M24" s="40"/>
      <c r="N24" s="40"/>
    </row>
    <row r="25" customFormat="false" ht="23.85" hidden="false" customHeight="false" outlineLevel="0" collapsed="false">
      <c r="A25" s="64" t="str">
        <f aca="false">_xlfn.CONCAT($A$1, ".", CALC!A25)</f>
        <v>LSD.RID.0.AL.U6R.21</v>
      </c>
      <c r="B25" s="67" t="str">
        <f aca="false">CALC!C25</f>
        <v>Accommodation
and Food Services</v>
      </c>
      <c r="C25" s="0" t="n">
        <v>0.108</v>
      </c>
      <c r="D25" s="3" t="n">
        <v>0.116</v>
      </c>
      <c r="E25" s="0" t="n">
        <v>0.15</v>
      </c>
      <c r="F25" s="0" t="n">
        <v>0.103</v>
      </c>
      <c r="G25" s="40"/>
      <c r="H25" s="40"/>
      <c r="I25" s="40"/>
      <c r="J25" s="40"/>
      <c r="K25" s="40"/>
      <c r="L25" s="40"/>
      <c r="M25" s="40"/>
      <c r="N25" s="40"/>
    </row>
    <row r="26" customFormat="false" ht="23.85" hidden="false" customHeight="false" outlineLevel="0" collapsed="false">
      <c r="A26" s="64" t="str">
        <f aca="false">_xlfn.CONCAT($A$1, ".", CALC!A26)</f>
        <v>LSD.RID.0.AL.U6R.22</v>
      </c>
      <c r="B26" s="67" t="str">
        <f aca="false">CALC!C26</f>
        <v>Other Services (except
Public Administration)</v>
      </c>
      <c r="C26" s="0" t="n">
        <v>0.067</v>
      </c>
      <c r="D26" s="3" t="n">
        <v>0.072</v>
      </c>
      <c r="E26" s="0" t="n">
        <v>0.092</v>
      </c>
      <c r="F26" s="0" t="n">
        <v>0.064</v>
      </c>
      <c r="G26" s="40"/>
      <c r="H26" s="40"/>
      <c r="I26" s="40"/>
      <c r="J26" s="40"/>
      <c r="K26" s="40"/>
      <c r="L26" s="40"/>
      <c r="M26" s="40"/>
      <c r="N26" s="40"/>
    </row>
    <row r="27" customFormat="false" ht="12.8" hidden="false" customHeight="false" outlineLevel="0" collapsed="false">
      <c r="A27" s="64" t="str">
        <f aca="false">_xlfn.CONCAT($A$1, ".", CALC!A27)</f>
        <v>LSD.RID.0.AL.U6R.23</v>
      </c>
      <c r="B27" s="42" t="str">
        <f aca="false">CALC!C27</f>
        <v>Public Administration</v>
      </c>
      <c r="C27" s="0" t="n">
        <v>0.03</v>
      </c>
      <c r="D27" s="3" t="n">
        <v>0.032</v>
      </c>
      <c r="E27" s="0" t="n">
        <v>0.037</v>
      </c>
      <c r="F27" s="0" t="n">
        <v>0.029</v>
      </c>
      <c r="G27" s="40"/>
      <c r="H27" s="40"/>
      <c r="I27" s="40"/>
      <c r="J27" s="40"/>
      <c r="K27" s="40"/>
      <c r="L27" s="40"/>
      <c r="M27" s="40"/>
      <c r="N27" s="40"/>
    </row>
    <row r="129" customFormat="false" ht="12.8" hidden="false" customHeight="false" outlineLevel="0" collapsed="false">
      <c r="A129" s="64" t="str">
        <f aca="false">_xlfn.CONCAT($A$1, ".", "FORM")</f>
        <v>LSD.RID.0.AL.U6R.FORM</v>
      </c>
      <c r="B129" s="64" t="str">
        <f aca="false">_xlfn.CONCAT($A$1, ".", "FORM")</f>
        <v>LSD.RID.0.AL.U6R.FORM</v>
      </c>
      <c r="C129" s="65" t="str">
        <f aca="false">_xlfn.CONCAT($B$1, " ", "Formulae")</f>
        <v>Alabama Underemployment Rate (U6R) Formulae</v>
      </c>
    </row>
    <row r="130" customFormat="false" ht="12.8" hidden="false" customHeight="false" outlineLevel="0" collapsed="false">
      <c r="A130" s="48" t="s">
        <v>5645</v>
      </c>
      <c r="B130" s="3" t="s">
        <v>177</v>
      </c>
      <c r="C130" s="0" t="s">
        <v>178</v>
      </c>
      <c r="D130" s="3" t="s">
        <v>5494</v>
      </c>
      <c r="E130" s="0" t="s">
        <v>180</v>
      </c>
      <c r="F130" s="0" t="s">
        <v>181</v>
      </c>
      <c r="G130" s="0"/>
      <c r="H130" s="0"/>
      <c r="I130" s="0"/>
      <c r="J130" s="0"/>
      <c r="K130" s="0"/>
      <c r="L130" s="0"/>
      <c r="M130" s="0"/>
      <c r="N130" s="0"/>
      <c r="O130" s="0"/>
      <c r="P130" s="0"/>
      <c r="Q130" s="0"/>
      <c r="R130" s="0"/>
      <c r="S130" s="0"/>
      <c r="T130" s="0"/>
      <c r="U130" s="0"/>
      <c r="V130" s="0"/>
      <c r="W130" s="0"/>
      <c r="X130" s="0"/>
      <c r="Y130" s="0"/>
      <c r="Z130" s="0"/>
      <c r="AA130" s="0"/>
      <c r="AB130" s="0"/>
      <c r="AC130" s="0"/>
      <c r="AD130" s="0"/>
      <c r="AE130" s="0"/>
      <c r="AF130" s="0"/>
      <c r="AG130" s="0"/>
      <c r="AH130" s="0"/>
      <c r="AI130" s="0"/>
      <c r="AJ130" s="0"/>
      <c r="AK130" s="0"/>
      <c r="AL130" s="0"/>
      <c r="AM130" s="0"/>
      <c r="AN130" s="0"/>
      <c r="AO130" s="0"/>
      <c r="AP130" s="0"/>
      <c r="AQ130" s="0"/>
      <c r="AR130" s="0"/>
      <c r="AS130" s="0"/>
      <c r="AT130" s="0"/>
      <c r="AU130" s="0"/>
      <c r="AV130" s="0"/>
      <c r="AW130" s="0"/>
      <c r="AX130" s="0"/>
      <c r="AY130" s="0"/>
      <c r="BD130" s="0"/>
      <c r="BE130" s="0"/>
      <c r="BF130" s="0"/>
      <c r="BG130" s="0"/>
      <c r="BH130" s="0"/>
      <c r="BI130" s="0"/>
      <c r="BJ130" s="0"/>
      <c r="BK130" s="0"/>
      <c r="BL130" s="0"/>
      <c r="BM130" s="0"/>
      <c r="BN130" s="0"/>
      <c r="BO130" s="0"/>
    </row>
    <row r="131" customFormat="false" ht="12.8" hidden="false" customHeight="false" outlineLevel="0" collapsed="false">
      <c r="A131" s="48" t="s">
        <v>5646</v>
      </c>
      <c r="B131" s="3" t="s">
        <v>365</v>
      </c>
      <c r="C131" s="0" t="s">
        <v>5647</v>
      </c>
      <c r="D131" s="3" t="s">
        <v>5648</v>
      </c>
      <c r="E131" s="0" t="s">
        <v>5498</v>
      </c>
      <c r="F131" s="0" t="s">
        <v>5499</v>
      </c>
      <c r="G131" s="0"/>
      <c r="H131" s="0"/>
      <c r="I131" s="0"/>
      <c r="J131" s="0"/>
      <c r="K131" s="0"/>
      <c r="L131" s="0"/>
      <c r="M131" s="0"/>
      <c r="N131" s="0"/>
      <c r="O131" s="0"/>
      <c r="P131" s="0"/>
      <c r="Q131" s="0"/>
      <c r="R131" s="0"/>
      <c r="S131" s="0"/>
      <c r="T131" s="0"/>
      <c r="U131" s="0"/>
      <c r="V131" s="0"/>
      <c r="W131" s="0"/>
      <c r="X131" s="0"/>
      <c r="Y131" s="0"/>
      <c r="Z131" s="0"/>
      <c r="AA131" s="0"/>
      <c r="AB131" s="0"/>
      <c r="AC131" s="0"/>
      <c r="AD131" s="0"/>
      <c r="AE131" s="0"/>
      <c r="AF131" s="0"/>
      <c r="AG131" s="0"/>
      <c r="AH131" s="0"/>
      <c r="AI131" s="0"/>
      <c r="AJ131" s="0"/>
      <c r="AK131" s="0"/>
      <c r="AL131" s="0"/>
      <c r="AM131" s="0"/>
      <c r="AN131" s="0"/>
      <c r="AO131" s="0"/>
      <c r="AP131" s="0"/>
      <c r="AQ131" s="0"/>
      <c r="AR131" s="0"/>
      <c r="AS131" s="0"/>
      <c r="AT131" s="0"/>
      <c r="AU131" s="0"/>
      <c r="AV131" s="0"/>
      <c r="AW131" s="0"/>
      <c r="AX131" s="0"/>
      <c r="AY131" s="0"/>
      <c r="BD131" s="0"/>
      <c r="BE131" s="0"/>
      <c r="BF131" s="0"/>
      <c r="BG131" s="0"/>
      <c r="BH131" s="0"/>
      <c r="BI131" s="0"/>
      <c r="BJ131" s="0"/>
      <c r="BK131" s="0"/>
      <c r="BL131" s="0"/>
      <c r="BM131" s="0"/>
      <c r="BN131" s="0"/>
      <c r="BO131" s="0"/>
    </row>
    <row r="132" customFormat="false" ht="12.8" hidden="false" customHeight="false" outlineLevel="0" collapsed="false">
      <c r="A132" s="48" t="s">
        <v>5649</v>
      </c>
      <c r="B132" s="3" t="s">
        <v>365</v>
      </c>
      <c r="C132" s="0" t="s">
        <v>5501</v>
      </c>
      <c r="D132" s="3" t="s">
        <v>5650</v>
      </c>
      <c r="E132" s="0" t="s">
        <v>5580</v>
      </c>
      <c r="F132" s="0" t="s">
        <v>5499</v>
      </c>
      <c r="G132" s="0"/>
      <c r="H132" s="0"/>
      <c r="I132" s="0"/>
      <c r="J132" s="0"/>
      <c r="K132" s="0"/>
      <c r="L132" s="0"/>
      <c r="M132" s="0"/>
      <c r="N132" s="0"/>
      <c r="O132" s="0"/>
      <c r="P132" s="0"/>
      <c r="Q132" s="0"/>
      <c r="R132" s="0"/>
      <c r="S132" s="0"/>
      <c r="T132" s="0"/>
      <c r="U132" s="0"/>
      <c r="V132" s="0"/>
      <c r="W132" s="0"/>
      <c r="X132" s="0"/>
      <c r="Y132" s="0"/>
      <c r="Z132" s="0"/>
      <c r="AA132" s="0"/>
      <c r="AB132" s="0"/>
      <c r="AC132" s="0"/>
      <c r="AD132" s="0"/>
      <c r="AE132" s="0"/>
      <c r="AF132" s="0"/>
      <c r="AG132" s="0"/>
      <c r="AH132" s="0"/>
      <c r="AI132" s="0"/>
      <c r="AJ132" s="0"/>
      <c r="AK132" s="0"/>
      <c r="AL132" s="0"/>
      <c r="AM132" s="0"/>
      <c r="AN132" s="0"/>
      <c r="AO132" s="0"/>
      <c r="AP132" s="0"/>
      <c r="AQ132" s="0"/>
      <c r="AR132" s="0"/>
      <c r="AS132" s="0"/>
      <c r="AT132" s="0"/>
      <c r="AU132" s="0"/>
      <c r="AV132" s="0"/>
      <c r="AW132" s="0"/>
      <c r="AX132" s="0"/>
      <c r="AY132" s="0"/>
      <c r="BD132" s="0"/>
      <c r="BE132" s="0"/>
      <c r="BF132" s="0"/>
      <c r="BG132" s="0"/>
      <c r="BH132" s="0"/>
      <c r="BI132" s="0"/>
      <c r="BJ132" s="0"/>
      <c r="BK132" s="0"/>
      <c r="BL132" s="0"/>
      <c r="BM132" s="0"/>
      <c r="BN132" s="0"/>
      <c r="BO132" s="0"/>
    </row>
    <row r="133" customFormat="false" ht="12.8" hidden="false" customHeight="false" outlineLevel="0" collapsed="false">
      <c r="A133" s="48" t="s">
        <v>5651</v>
      </c>
      <c r="B133" s="3" t="s">
        <v>365</v>
      </c>
      <c r="C133" s="0" t="s">
        <v>5505</v>
      </c>
      <c r="D133" s="3" t="s">
        <v>5652</v>
      </c>
      <c r="E133" s="0" t="s">
        <v>5653</v>
      </c>
      <c r="F133" s="0" t="s">
        <v>5499</v>
      </c>
      <c r="G133" s="0"/>
      <c r="H133" s="0"/>
      <c r="I133" s="0"/>
      <c r="J133" s="0"/>
      <c r="K133" s="0"/>
      <c r="L133" s="0"/>
      <c r="M133" s="0"/>
      <c r="N133" s="0"/>
      <c r="O133" s="0"/>
      <c r="P133" s="0"/>
      <c r="Q133" s="0"/>
      <c r="R133" s="0"/>
      <c r="S133" s="0"/>
      <c r="T133" s="0"/>
      <c r="U133" s="0"/>
      <c r="V133" s="0"/>
      <c r="W133" s="0"/>
      <c r="X133" s="0"/>
      <c r="Y133" s="0"/>
      <c r="Z133" s="0"/>
      <c r="AA133" s="0"/>
      <c r="AB133" s="0"/>
      <c r="AC133" s="0"/>
      <c r="AD133" s="0"/>
      <c r="AE133" s="0"/>
      <c r="AF133" s="0"/>
      <c r="AG133" s="0"/>
      <c r="AH133" s="0"/>
      <c r="AI133" s="0"/>
      <c r="AJ133" s="0"/>
      <c r="AK133" s="0"/>
      <c r="AL133" s="0"/>
      <c r="AM133" s="0"/>
      <c r="AN133" s="0"/>
      <c r="AO133" s="0"/>
      <c r="AP133" s="0"/>
      <c r="AQ133" s="0"/>
      <c r="AR133" s="0"/>
      <c r="AS133" s="0"/>
      <c r="AT133" s="0"/>
      <c r="AU133" s="0"/>
      <c r="AV133" s="0"/>
      <c r="AW133" s="0"/>
      <c r="AX133" s="0"/>
      <c r="AY133" s="0"/>
      <c r="BD133" s="0"/>
      <c r="BE133" s="0"/>
      <c r="BF133" s="0"/>
      <c r="BG133" s="0"/>
      <c r="BH133" s="0"/>
      <c r="BI133" s="0"/>
      <c r="BJ133" s="0"/>
      <c r="BK133" s="0"/>
      <c r="BL133" s="0"/>
      <c r="BM133" s="0"/>
      <c r="BN133" s="0"/>
      <c r="BO133" s="0"/>
    </row>
    <row r="135" customFormat="false" ht="12.8" hidden="false" customHeight="false" outlineLevel="0" collapsed="false">
      <c r="A135" s="64" t="str">
        <f aca="false">_xlfn.CONCAT($A$1, ".", "PARAM")</f>
        <v>LSD.RID.0.AL.U6R.PARAM</v>
      </c>
      <c r="B135" s="64" t="str">
        <f aca="false">_xlfn.CONCAT($A$1, ".", "PARAM")</f>
        <v>LSD.RID.0.AL.U6R.PARAM</v>
      </c>
      <c r="C135" s="65" t="str">
        <f aca="false">_xlfn.CONCAT($B$1, " ", "Parameters")</f>
        <v>Alabama Underemployment Rate (U6R) Parameters</v>
      </c>
    </row>
    <row r="136" customFormat="false" ht="12.8" hidden="false" customHeight="false" outlineLevel="0" collapsed="false">
      <c r="A136" s="49" t="s">
        <v>5284</v>
      </c>
      <c r="B136" s="49" t="s">
        <v>178</v>
      </c>
      <c r="C136" s="49" t="s">
        <v>427</v>
      </c>
      <c r="D136" s="49" t="s">
        <v>180</v>
      </c>
      <c r="E136" s="49" t="s">
        <v>428</v>
      </c>
      <c r="F136" s="49" t="s">
        <v>429</v>
      </c>
      <c r="G136" s="49" t="s">
        <v>430</v>
      </c>
      <c r="H136" s="49" t="s">
        <v>181</v>
      </c>
      <c r="AY136" s="3"/>
      <c r="BC136" s="39"/>
      <c r="BO136" s="3"/>
    </row>
    <row r="137" customFormat="false" ht="12.8" hidden="false" customHeight="false" outlineLevel="0" collapsed="false">
      <c r="A137" s="48" t="s">
        <v>5654</v>
      </c>
      <c r="B137" s="3" t="s">
        <v>5655</v>
      </c>
      <c r="C137" s="0" t="n">
        <v>0.045</v>
      </c>
      <c r="D137" s="3" t="s">
        <v>5656</v>
      </c>
      <c r="E137" s="0" t="s">
        <v>434</v>
      </c>
      <c r="F137" s="0" t="s">
        <v>2793</v>
      </c>
      <c r="G137" s="72" t="s">
        <v>436</v>
      </c>
      <c r="H137" s="0" t="s">
        <v>5499</v>
      </c>
      <c r="I137" s="0"/>
      <c r="J137" s="0"/>
      <c r="K137" s="0"/>
      <c r="L137" s="0"/>
      <c r="M137" s="0"/>
      <c r="N137" s="0"/>
      <c r="O137" s="0"/>
      <c r="P137" s="0"/>
      <c r="Q137" s="0"/>
      <c r="R137" s="0"/>
      <c r="S137" s="0"/>
      <c r="T137" s="0"/>
      <c r="U137" s="0"/>
      <c r="V137" s="0"/>
      <c r="W137" s="0"/>
      <c r="X137" s="0"/>
      <c r="Y137" s="0"/>
      <c r="Z137" s="0"/>
      <c r="AA137" s="0"/>
      <c r="AB137" s="0"/>
      <c r="AC137" s="0"/>
      <c r="AD137" s="0"/>
      <c r="AE137" s="0"/>
      <c r="AF137" s="0"/>
      <c r="AG137" s="0"/>
      <c r="AH137" s="0"/>
      <c r="AI137" s="0"/>
      <c r="AJ137" s="0"/>
      <c r="AK137" s="0"/>
      <c r="AL137" s="0"/>
      <c r="AM137" s="0"/>
      <c r="AN137" s="0"/>
      <c r="AO137" s="0"/>
      <c r="AP137" s="0"/>
      <c r="AQ137" s="0"/>
      <c r="AR137" s="0"/>
      <c r="AS137" s="0"/>
      <c r="AT137" s="0"/>
      <c r="AU137" s="0"/>
      <c r="AV137" s="0"/>
      <c r="AW137" s="0"/>
      <c r="AX137" s="0"/>
      <c r="AY137" s="0"/>
      <c r="BD137" s="0"/>
      <c r="BE137" s="0"/>
      <c r="BF137" s="0"/>
      <c r="BG137" s="0"/>
      <c r="BH137" s="0"/>
      <c r="BI137" s="0"/>
      <c r="BJ137" s="0"/>
      <c r="BK137" s="0"/>
      <c r="BL137" s="0"/>
      <c r="BM137" s="0"/>
      <c r="BN137" s="0"/>
      <c r="BO137" s="0"/>
    </row>
    <row r="138" customFormat="false" ht="12.8" hidden="false" customHeight="false" outlineLevel="0" collapsed="false">
      <c r="A138" s="48" t="s">
        <v>5657</v>
      </c>
      <c r="B138" s="3" t="s">
        <v>5658</v>
      </c>
      <c r="C138" s="0" t="s">
        <v>5659</v>
      </c>
      <c r="D138" s="3" t="s">
        <v>5515</v>
      </c>
      <c r="E138" s="0" t="s">
        <v>5516</v>
      </c>
      <c r="F138" s="0" t="s">
        <v>5517</v>
      </c>
      <c r="G138" s="72" t="s">
        <v>436</v>
      </c>
      <c r="H138" s="0" t="s">
        <v>5499</v>
      </c>
      <c r="I138" s="0"/>
      <c r="J138" s="0"/>
      <c r="K138" s="0"/>
      <c r="L138" s="0"/>
      <c r="M138" s="0"/>
      <c r="N138" s="0"/>
      <c r="O138" s="0"/>
      <c r="P138" s="0"/>
      <c r="Q138" s="0"/>
      <c r="R138" s="0"/>
      <c r="S138" s="0"/>
      <c r="T138" s="0"/>
      <c r="U138" s="0"/>
      <c r="V138" s="0"/>
      <c r="W138" s="0"/>
      <c r="X138" s="0"/>
      <c r="Y138" s="0"/>
      <c r="Z138" s="0"/>
      <c r="AA138" s="0"/>
      <c r="AB138" s="0"/>
      <c r="AC138" s="0"/>
      <c r="AD138" s="0"/>
      <c r="AE138" s="0"/>
      <c r="AF138" s="0"/>
      <c r="AG138" s="0"/>
      <c r="AH138" s="0"/>
      <c r="AI138" s="0"/>
      <c r="AJ138" s="0"/>
      <c r="AK138" s="0"/>
      <c r="AL138" s="0"/>
      <c r="AM138" s="0"/>
      <c r="AN138" s="0"/>
      <c r="AO138" s="0"/>
      <c r="AP138" s="0"/>
      <c r="AQ138" s="0"/>
      <c r="AR138" s="0"/>
      <c r="AS138" s="0"/>
      <c r="AT138" s="0"/>
      <c r="AU138" s="0"/>
      <c r="AV138" s="0"/>
      <c r="AW138" s="0"/>
      <c r="AX138" s="0"/>
      <c r="AY138" s="0"/>
      <c r="BD138" s="0"/>
      <c r="BE138" s="0"/>
      <c r="BF138" s="0"/>
      <c r="BG138" s="0"/>
      <c r="BH138" s="0"/>
      <c r="BI138" s="0"/>
      <c r="BJ138" s="0"/>
      <c r="BK138" s="0"/>
      <c r="BL138" s="0"/>
      <c r="BM138" s="0"/>
      <c r="BN138" s="0"/>
      <c r="BO138" s="0"/>
    </row>
    <row r="139" customFormat="false" ht="12.8" hidden="false" customHeight="false" outlineLevel="0" collapsed="false">
      <c r="A139" s="48" t="s">
        <v>5660</v>
      </c>
      <c r="B139" s="3" t="s">
        <v>5661</v>
      </c>
      <c r="C139" s="0" t="s">
        <v>5662</v>
      </c>
      <c r="D139" s="3" t="s">
        <v>5521</v>
      </c>
      <c r="E139" s="0" t="s">
        <v>5516</v>
      </c>
      <c r="F139" s="0" t="s">
        <v>5517</v>
      </c>
      <c r="G139" s="72" t="s">
        <v>436</v>
      </c>
      <c r="H139" s="0" t="s">
        <v>5499</v>
      </c>
      <c r="I139" s="0"/>
      <c r="J139" s="0"/>
      <c r="K139" s="0"/>
      <c r="L139" s="0"/>
      <c r="M139" s="0"/>
      <c r="N139" s="0"/>
      <c r="O139" s="0"/>
      <c r="P139" s="0"/>
      <c r="Q139" s="0"/>
      <c r="R139" s="0"/>
      <c r="S139" s="0"/>
      <c r="T139" s="0"/>
      <c r="U139" s="0"/>
      <c r="V139" s="0"/>
      <c r="W139" s="0"/>
      <c r="X139" s="0"/>
      <c r="Y139" s="0"/>
      <c r="Z139" s="0"/>
      <c r="AA139" s="0"/>
      <c r="AB139" s="0"/>
      <c r="AC139" s="0"/>
      <c r="AD139" s="0"/>
      <c r="AE139" s="0"/>
      <c r="AF139" s="0"/>
      <c r="AG139" s="0"/>
      <c r="AH139" s="0"/>
      <c r="AI139" s="0"/>
      <c r="AJ139" s="0"/>
      <c r="AK139" s="0"/>
      <c r="AL139" s="0"/>
      <c r="AM139" s="0"/>
      <c r="AN139" s="0"/>
      <c r="AO139" s="0"/>
      <c r="AP139" s="0"/>
      <c r="AQ139" s="0"/>
      <c r="AR139" s="0"/>
      <c r="AS139" s="0"/>
      <c r="AT139" s="0"/>
      <c r="AU139" s="0"/>
      <c r="AV139" s="0"/>
      <c r="AW139" s="0"/>
      <c r="AX139" s="0"/>
      <c r="AY139" s="0"/>
      <c r="BD139" s="0"/>
      <c r="BE139" s="0"/>
      <c r="BF139" s="0"/>
      <c r="BG139" s="0"/>
      <c r="BH139" s="0"/>
      <c r="BI139" s="0"/>
      <c r="BJ139" s="0"/>
      <c r="BK139" s="0"/>
      <c r="BL139" s="0"/>
      <c r="BM139" s="0"/>
      <c r="BN139" s="0"/>
      <c r="BO139" s="0"/>
    </row>
    <row r="140" customFormat="false" ht="12.8" hidden="false" customHeight="false" outlineLevel="0" collapsed="false">
      <c r="A140" s="48" t="s">
        <v>5663</v>
      </c>
      <c r="B140" s="3" t="s">
        <v>5664</v>
      </c>
      <c r="C140" s="0" t="s">
        <v>5665</v>
      </c>
      <c r="D140" s="3" t="s">
        <v>5525</v>
      </c>
      <c r="E140" s="0" t="s">
        <v>5516</v>
      </c>
      <c r="F140" s="0" t="s">
        <v>5517</v>
      </c>
      <c r="G140" s="72" t="s">
        <v>436</v>
      </c>
      <c r="H140" s="0" t="s">
        <v>5499</v>
      </c>
      <c r="I140" s="0"/>
      <c r="J140" s="0"/>
      <c r="K140" s="0"/>
      <c r="L140" s="0"/>
      <c r="M140" s="0"/>
      <c r="N140" s="0"/>
      <c r="O140" s="0"/>
      <c r="P140" s="0"/>
      <c r="Q140" s="0"/>
      <c r="R140" s="0"/>
      <c r="S140" s="0"/>
      <c r="T140" s="0"/>
      <c r="U140" s="0"/>
      <c r="V140" s="0"/>
      <c r="W140" s="0"/>
      <c r="X140" s="0"/>
      <c r="Y140" s="0"/>
      <c r="Z140" s="0"/>
      <c r="AA140" s="0"/>
      <c r="AB140" s="0"/>
      <c r="AC140" s="0"/>
      <c r="AD140" s="0"/>
      <c r="AE140" s="0"/>
      <c r="AF140" s="0"/>
      <c r="AG140" s="0"/>
      <c r="AH140" s="0"/>
      <c r="AI140" s="0"/>
      <c r="AJ140" s="0"/>
      <c r="AK140" s="0"/>
      <c r="AL140" s="0"/>
      <c r="AM140" s="0"/>
      <c r="AN140" s="0"/>
      <c r="AO140" s="0"/>
      <c r="AP140" s="0"/>
      <c r="AQ140" s="0"/>
      <c r="AR140" s="0"/>
      <c r="AS140" s="0"/>
      <c r="AT140" s="0"/>
      <c r="AU140" s="0"/>
      <c r="AV140" s="0"/>
      <c r="AW140" s="0"/>
      <c r="AX140" s="0"/>
      <c r="AY140" s="0"/>
      <c r="BD140" s="0"/>
      <c r="BE140" s="0"/>
      <c r="BF140" s="0"/>
      <c r="BG140" s="0"/>
      <c r="BH140" s="0"/>
      <c r="BI140" s="0"/>
      <c r="BJ140" s="0"/>
      <c r="BK140" s="0"/>
      <c r="BL140" s="0"/>
      <c r="BM140" s="0"/>
      <c r="BN140" s="0"/>
      <c r="BO140" s="0"/>
    </row>
    <row r="141" customFormat="false" ht="12.8" hidden="false" customHeight="false" outlineLevel="0" collapsed="false">
      <c r="A141" s="48" t="s">
        <v>5666</v>
      </c>
      <c r="B141" s="3" t="s">
        <v>5667</v>
      </c>
      <c r="C141" s="0" t="s">
        <v>5668</v>
      </c>
      <c r="D141" s="3" t="s">
        <v>5529</v>
      </c>
      <c r="E141" s="0" t="s">
        <v>5516</v>
      </c>
      <c r="F141" s="0" t="s">
        <v>5517</v>
      </c>
      <c r="G141" s="72" t="s">
        <v>436</v>
      </c>
      <c r="H141" s="0" t="s">
        <v>5499</v>
      </c>
      <c r="I141" s="0"/>
      <c r="J141" s="0"/>
      <c r="K141" s="0"/>
      <c r="L141" s="0"/>
      <c r="M141" s="0"/>
      <c r="N141" s="0"/>
      <c r="O141" s="0"/>
      <c r="P141" s="0"/>
      <c r="Q141" s="0"/>
      <c r="R141" s="0"/>
      <c r="S141" s="0"/>
      <c r="T141" s="0"/>
      <c r="U141" s="0"/>
      <c r="V141" s="0"/>
      <c r="W141" s="0"/>
      <c r="X141" s="0"/>
      <c r="Y141" s="0"/>
      <c r="Z141" s="0"/>
      <c r="AA141" s="0"/>
      <c r="AB141" s="0"/>
      <c r="AC141" s="0"/>
      <c r="AD141" s="0"/>
      <c r="AE141" s="0"/>
      <c r="AF141" s="0"/>
      <c r="AG141" s="0"/>
      <c r="AH141" s="0"/>
      <c r="AI141" s="0"/>
      <c r="AJ141" s="0"/>
      <c r="AK141" s="0"/>
      <c r="AL141" s="0"/>
      <c r="AM141" s="0"/>
      <c r="AN141" s="0"/>
      <c r="AO141" s="0"/>
      <c r="AP141" s="0"/>
      <c r="AQ141" s="0"/>
      <c r="AR141" s="0"/>
      <c r="AS141" s="0"/>
      <c r="AT141" s="0"/>
      <c r="AU141" s="0"/>
      <c r="AV141" s="0"/>
      <c r="AW141" s="0"/>
      <c r="AX141" s="0"/>
      <c r="AY141" s="0"/>
      <c r="BD141" s="0"/>
      <c r="BE141" s="0"/>
      <c r="BF141" s="0"/>
      <c r="BG141" s="0"/>
      <c r="BH141" s="0"/>
      <c r="BI141" s="0"/>
      <c r="BJ141" s="0"/>
      <c r="BK141" s="0"/>
      <c r="BL141" s="0"/>
      <c r="BM141" s="0"/>
      <c r="BN141" s="0"/>
      <c r="BO141" s="0"/>
    </row>
    <row r="142" customFormat="false" ht="12.8" hidden="false" customHeight="false" outlineLevel="0" collapsed="false">
      <c r="A142" s="64"/>
      <c r="B142" s="65"/>
    </row>
    <row r="143" customFormat="false" ht="12.8" hidden="false" customHeight="false" outlineLevel="0" collapsed="false">
      <c r="A143" s="64" t="str">
        <f aca="false">_xlfn.CONCAT($A$1, ".", "VALID")</f>
        <v>LSD.RID.0.AL.U6R.VALID</v>
      </c>
      <c r="B143" s="65" t="str">
        <f aca="false">_xlfn.CONCAT($B$1, " ", "Validation")</f>
        <v>Alabama Underemployment Rate (U6R) Validation</v>
      </c>
    </row>
    <row r="144" customFormat="false" ht="12.8" hidden="false" customHeight="false" outlineLevel="0" collapsed="false">
      <c r="A144" s="49" t="s">
        <v>113</v>
      </c>
      <c r="B144" s="49" t="s">
        <v>5193</v>
      </c>
      <c r="C144" s="49" t="s">
        <v>4950</v>
      </c>
      <c r="D144" s="49" t="s">
        <v>5194</v>
      </c>
      <c r="E144" s="49" t="s">
        <v>5195</v>
      </c>
      <c r="F144" s="49" t="s">
        <v>428</v>
      </c>
      <c r="G144" s="49" t="s">
        <v>5196</v>
      </c>
    </row>
    <row r="145" customFormat="false" ht="12.8" hidden="false" customHeight="false" outlineLevel="0" collapsed="false">
      <c r="A145" s="48" t="s">
        <v>5669</v>
      </c>
      <c r="B145" s="3" t="s">
        <v>4604</v>
      </c>
      <c r="C145" s="0" t="n">
        <v>0.045</v>
      </c>
      <c r="D145" s="3" t="s">
        <v>5670</v>
      </c>
      <c r="E145" s="0" t="s">
        <v>440</v>
      </c>
      <c r="F145" s="0" t="s">
        <v>5671</v>
      </c>
      <c r="G145" s="0"/>
      <c r="H145" s="0"/>
      <c r="I145" s="0"/>
      <c r="J145" s="0"/>
      <c r="K145" s="0"/>
      <c r="L145" s="0"/>
      <c r="M145" s="0"/>
      <c r="N145" s="0"/>
      <c r="O145" s="0"/>
      <c r="P145" s="0"/>
      <c r="Q145" s="0"/>
      <c r="R145" s="0"/>
      <c r="S145" s="0"/>
      <c r="T145" s="0"/>
      <c r="U145" s="0"/>
      <c r="V145" s="0"/>
      <c r="W145" s="0"/>
      <c r="X145" s="0"/>
      <c r="Y145" s="0"/>
      <c r="Z145" s="0"/>
      <c r="AA145" s="0"/>
      <c r="AB145" s="0"/>
      <c r="AC145" s="0"/>
      <c r="AD145" s="0"/>
      <c r="AE145" s="0"/>
      <c r="AF145" s="0"/>
      <c r="AG145" s="0"/>
      <c r="AH145" s="0"/>
      <c r="AI145" s="0"/>
      <c r="AJ145" s="0"/>
      <c r="AK145" s="0"/>
      <c r="AL145" s="0"/>
      <c r="AM145" s="0"/>
      <c r="AN145" s="0"/>
      <c r="AO145" s="0"/>
      <c r="AP145" s="0"/>
      <c r="AQ145" s="0"/>
      <c r="AR145" s="0"/>
      <c r="AS145" s="0"/>
      <c r="AT145" s="0"/>
      <c r="AU145" s="0"/>
      <c r="AV145" s="0"/>
      <c r="AW145" s="0"/>
      <c r="AX145" s="0"/>
      <c r="AY145" s="0"/>
      <c r="BD145" s="0"/>
      <c r="BE145" s="0"/>
      <c r="BF145" s="0"/>
      <c r="BG145" s="0"/>
      <c r="BH145" s="0"/>
      <c r="BI145" s="0"/>
      <c r="BJ145" s="0"/>
      <c r="BK145" s="0"/>
      <c r="BL145" s="0"/>
      <c r="BM145" s="0"/>
      <c r="BN145" s="0"/>
      <c r="BO145" s="0"/>
    </row>
    <row r="146" customFormat="false" ht="12.8" hidden="false" customHeight="false" outlineLevel="0" collapsed="false">
      <c r="A146" s="48" t="s">
        <v>5672</v>
      </c>
      <c r="B146" s="3" t="s">
        <v>5611</v>
      </c>
      <c r="C146" s="0" t="s">
        <v>5673</v>
      </c>
      <c r="D146" s="3" t="s">
        <v>5613</v>
      </c>
      <c r="E146" s="0" t="s">
        <v>434</v>
      </c>
      <c r="F146" s="0" t="s">
        <v>5674</v>
      </c>
      <c r="G146" s="0"/>
      <c r="H146" s="0"/>
      <c r="I146" s="0"/>
      <c r="J146" s="0"/>
      <c r="K146" s="0"/>
      <c r="L146" s="0"/>
      <c r="M146" s="0"/>
      <c r="N146" s="0"/>
      <c r="O146" s="0"/>
      <c r="P146" s="0"/>
      <c r="Q146" s="0"/>
      <c r="R146" s="0"/>
      <c r="S146" s="0"/>
      <c r="T146" s="0"/>
      <c r="U146" s="0"/>
      <c r="V146" s="0"/>
      <c r="W146" s="0"/>
      <c r="X146" s="0"/>
      <c r="Y146" s="0"/>
      <c r="Z146" s="0"/>
      <c r="AA146" s="0"/>
      <c r="AB146" s="0"/>
      <c r="AC146" s="0"/>
      <c r="AD146" s="0"/>
      <c r="AE146" s="0"/>
      <c r="AF146" s="0"/>
      <c r="AG146" s="0"/>
      <c r="AH146" s="0"/>
      <c r="AI146" s="0"/>
      <c r="AJ146" s="0"/>
      <c r="AK146" s="0"/>
      <c r="AL146" s="0"/>
      <c r="AM146" s="0"/>
      <c r="AN146" s="0"/>
      <c r="AO146" s="0"/>
      <c r="AP146" s="0"/>
      <c r="AQ146" s="0"/>
      <c r="AR146" s="0"/>
      <c r="AS146" s="0"/>
      <c r="AT146" s="0"/>
      <c r="AU146" s="0"/>
      <c r="AV146" s="0"/>
      <c r="AW146" s="0"/>
      <c r="AX146" s="0"/>
      <c r="AY146" s="0"/>
      <c r="BD146" s="0"/>
      <c r="BE146" s="0"/>
      <c r="BF146" s="0"/>
      <c r="BG146" s="0"/>
      <c r="BH146" s="0"/>
      <c r="BI146" s="0"/>
      <c r="BJ146" s="0"/>
      <c r="BK146" s="0"/>
      <c r="BL146" s="0"/>
      <c r="BM146" s="0"/>
      <c r="BN146" s="0"/>
      <c r="BO146" s="0"/>
    </row>
    <row r="147" customFormat="false" ht="12.8" hidden="false" customHeight="false" outlineLevel="0" collapsed="false">
      <c r="A147" s="48" t="s">
        <v>5675</v>
      </c>
      <c r="B147" s="3" t="s">
        <v>5676</v>
      </c>
      <c r="C147" s="0" t="s">
        <v>5677</v>
      </c>
      <c r="D147" s="3" t="s">
        <v>5678</v>
      </c>
      <c r="E147" s="0" t="s">
        <v>434</v>
      </c>
      <c r="F147" s="0" t="s">
        <v>5619</v>
      </c>
      <c r="G147" s="0"/>
      <c r="H147" s="0"/>
      <c r="I147" s="0"/>
      <c r="J147" s="0"/>
      <c r="K147" s="0"/>
      <c r="L147" s="0"/>
      <c r="M147" s="0"/>
      <c r="N147" s="0"/>
      <c r="O147" s="0"/>
      <c r="P147" s="0"/>
      <c r="Q147" s="0"/>
      <c r="R147" s="0"/>
      <c r="S147" s="0"/>
      <c r="T147" s="0"/>
      <c r="U147" s="0"/>
      <c r="V147" s="0"/>
      <c r="W147" s="0"/>
      <c r="X147" s="0"/>
      <c r="Y147" s="0"/>
      <c r="Z147" s="0"/>
      <c r="AA147" s="0"/>
      <c r="AB147" s="0"/>
      <c r="AC147" s="0"/>
      <c r="AD147" s="0"/>
      <c r="AE147" s="0"/>
      <c r="AF147" s="0"/>
      <c r="AG147" s="0"/>
      <c r="AH147" s="0"/>
      <c r="AI147" s="0"/>
      <c r="AJ147" s="0"/>
      <c r="AK147" s="0"/>
      <c r="AL147" s="0"/>
      <c r="AM147" s="0"/>
      <c r="AN147" s="0"/>
      <c r="AO147" s="0"/>
      <c r="AP147" s="0"/>
      <c r="AQ147" s="0"/>
      <c r="AR147" s="0"/>
      <c r="AS147" s="0"/>
      <c r="AT147" s="0"/>
      <c r="AU147" s="0"/>
      <c r="AV147" s="0"/>
      <c r="AW147" s="0"/>
      <c r="AX147" s="0"/>
      <c r="AY147" s="0"/>
      <c r="BD147" s="0"/>
      <c r="BE147" s="0"/>
      <c r="BF147" s="0"/>
      <c r="BG147" s="0"/>
      <c r="BH147" s="0"/>
      <c r="BI147" s="0"/>
      <c r="BJ147" s="0"/>
      <c r="BK147" s="0"/>
      <c r="BL147" s="0"/>
      <c r="BM147" s="0"/>
      <c r="BN147" s="0"/>
      <c r="BO147" s="0"/>
    </row>
    <row r="148" customFormat="false" ht="12.8" hidden="false" customHeight="false" outlineLevel="0" collapsed="false">
      <c r="A148" s="48" t="s">
        <v>5679</v>
      </c>
      <c r="B148" s="3" t="s">
        <v>5621</v>
      </c>
      <c r="C148" s="0" t="s">
        <v>5622</v>
      </c>
      <c r="D148" s="3" t="s">
        <v>5680</v>
      </c>
      <c r="E148" s="0" t="s">
        <v>502</v>
      </c>
      <c r="F148" s="0" t="s">
        <v>5681</v>
      </c>
      <c r="G148" s="0"/>
      <c r="H148" s="0"/>
      <c r="I148" s="0"/>
      <c r="J148" s="0"/>
      <c r="K148" s="0"/>
      <c r="L148" s="0"/>
      <c r="M148" s="0"/>
      <c r="N148" s="0"/>
      <c r="O148" s="0"/>
      <c r="P148" s="0"/>
      <c r="Q148" s="0"/>
      <c r="R148" s="0"/>
      <c r="S148" s="0"/>
      <c r="T148" s="0"/>
      <c r="U148" s="0"/>
      <c r="V148" s="0"/>
      <c r="W148" s="0"/>
      <c r="X148" s="0"/>
      <c r="Y148" s="0"/>
      <c r="Z148" s="0"/>
      <c r="AA148" s="0"/>
      <c r="AB148" s="0"/>
      <c r="AC148" s="0"/>
      <c r="AD148" s="0"/>
      <c r="AE148" s="0"/>
      <c r="AF148" s="0"/>
      <c r="AG148" s="0"/>
      <c r="AH148" s="0"/>
      <c r="AI148" s="0"/>
      <c r="AJ148" s="0"/>
      <c r="AK148" s="0"/>
      <c r="AL148" s="0"/>
      <c r="AM148" s="0"/>
      <c r="AN148" s="0"/>
      <c r="AO148" s="0"/>
      <c r="AP148" s="0"/>
      <c r="AQ148" s="0"/>
      <c r="AR148" s="0"/>
      <c r="AS148" s="0"/>
      <c r="AT148" s="0"/>
      <c r="AU148" s="0"/>
      <c r="AV148" s="0"/>
      <c r="AW148" s="0"/>
      <c r="AX148" s="0"/>
      <c r="AY148" s="0"/>
      <c r="BD148" s="0"/>
      <c r="BE148" s="0"/>
      <c r="BF148" s="0"/>
      <c r="BG148" s="0"/>
      <c r="BH148" s="0"/>
      <c r="BI148" s="0"/>
      <c r="BJ148" s="0"/>
      <c r="BK148" s="0"/>
      <c r="BL148" s="0"/>
      <c r="BM148" s="0"/>
      <c r="BN148" s="0"/>
      <c r="BO148" s="0"/>
    </row>
    <row r="149" customFormat="false" ht="12.8" hidden="false" customHeight="false" outlineLevel="0" collapsed="false">
      <c r="A149" s="48" t="s">
        <v>5682</v>
      </c>
      <c r="B149" s="3" t="s">
        <v>5474</v>
      </c>
      <c r="C149" s="0" t="s">
        <v>5683</v>
      </c>
      <c r="D149" s="3" t="s">
        <v>5476</v>
      </c>
      <c r="E149" s="0" t="s">
        <v>5684</v>
      </c>
      <c r="F149" s="0" t="s">
        <v>434</v>
      </c>
      <c r="G149" s="0" t="s">
        <v>5685</v>
      </c>
      <c r="H149" s="0"/>
      <c r="I149" s="0"/>
      <c r="J149" s="0"/>
      <c r="K149" s="0"/>
      <c r="L149" s="0"/>
      <c r="M149" s="0"/>
      <c r="N149" s="0"/>
      <c r="O149" s="0"/>
      <c r="P149" s="0"/>
      <c r="Q149" s="0"/>
      <c r="R149" s="0"/>
      <c r="S149" s="0"/>
      <c r="T149" s="0"/>
      <c r="U149" s="0"/>
      <c r="V149" s="0"/>
      <c r="W149" s="0"/>
      <c r="X149" s="0"/>
      <c r="Y149" s="0"/>
      <c r="Z149" s="0"/>
      <c r="AA149" s="0"/>
      <c r="AB149" s="0"/>
      <c r="AC149" s="0"/>
      <c r="AD149" s="0"/>
      <c r="AE149" s="0"/>
      <c r="AF149" s="0"/>
      <c r="AG149" s="0"/>
      <c r="AH149" s="0"/>
      <c r="AI149" s="0"/>
      <c r="AJ149" s="0"/>
      <c r="AK149" s="0"/>
      <c r="AL149" s="0"/>
      <c r="AM149" s="0"/>
      <c r="AN149" s="0"/>
      <c r="AO149" s="0"/>
      <c r="AP149" s="0"/>
      <c r="AQ149" s="0"/>
      <c r="AR149" s="0"/>
      <c r="AS149" s="0"/>
      <c r="AT149" s="0"/>
      <c r="AU149" s="0"/>
      <c r="AV149" s="0"/>
      <c r="AW149" s="0"/>
      <c r="AX149" s="0"/>
      <c r="AY149" s="0"/>
      <c r="BD149" s="0"/>
      <c r="BE149" s="0"/>
      <c r="BF149" s="0"/>
      <c r="BG149" s="0"/>
      <c r="BH149" s="0"/>
      <c r="BI149" s="0"/>
      <c r="BJ149" s="0"/>
      <c r="BK149" s="0"/>
      <c r="BL149" s="0"/>
      <c r="BM149" s="0"/>
      <c r="BN149" s="0"/>
      <c r="BO149" s="0"/>
    </row>
    <row r="150" customFormat="false" ht="12.8" hidden="false" customHeight="false" outlineLevel="0" collapsed="false">
      <c r="A150" s="48" t="s">
        <v>5686</v>
      </c>
      <c r="B150" s="3" t="s">
        <v>5480</v>
      </c>
      <c r="C150" s="0" t="s">
        <v>5481</v>
      </c>
      <c r="D150" s="3" t="s">
        <v>5687</v>
      </c>
      <c r="E150" s="0" t="s">
        <v>434</v>
      </c>
      <c r="F150" s="0" t="s">
        <v>5688</v>
      </c>
      <c r="G150" s="0"/>
      <c r="H150" s="0"/>
      <c r="I150" s="0"/>
      <c r="J150" s="0"/>
      <c r="K150" s="0"/>
      <c r="L150" s="0"/>
      <c r="M150" s="0"/>
      <c r="N150" s="0"/>
      <c r="O150" s="0"/>
      <c r="P150" s="0"/>
      <c r="Q150" s="0"/>
      <c r="R150" s="0"/>
      <c r="S150" s="0"/>
      <c r="T150" s="0"/>
      <c r="U150" s="0"/>
      <c r="V150" s="0"/>
      <c r="W150" s="0"/>
      <c r="X150" s="0"/>
      <c r="Y150" s="0"/>
      <c r="Z150" s="0"/>
      <c r="AA150" s="0"/>
      <c r="AB150" s="0"/>
      <c r="AC150" s="0"/>
      <c r="AD150" s="0"/>
      <c r="AE150" s="0"/>
      <c r="AF150" s="0"/>
      <c r="AG150" s="0"/>
      <c r="AH150" s="0"/>
      <c r="AI150" s="0"/>
      <c r="AJ150" s="0"/>
      <c r="AK150" s="0"/>
      <c r="AL150" s="0"/>
      <c r="AM150" s="0"/>
      <c r="AN150" s="0"/>
      <c r="AO150" s="0"/>
      <c r="AP150" s="0"/>
      <c r="AQ150" s="0"/>
      <c r="AR150" s="0"/>
      <c r="AS150" s="0"/>
      <c r="AT150" s="0"/>
      <c r="AU150" s="0"/>
      <c r="AV150" s="0"/>
      <c r="AW150" s="0"/>
      <c r="AX150" s="0"/>
      <c r="AY150" s="0"/>
      <c r="BD150" s="0"/>
      <c r="BE150" s="0"/>
      <c r="BF150" s="0"/>
      <c r="BG150" s="0"/>
      <c r="BH150" s="0"/>
      <c r="BI150" s="0"/>
      <c r="BJ150" s="0"/>
      <c r="BK150" s="0"/>
      <c r="BL150" s="0"/>
      <c r="BM150" s="0"/>
      <c r="BN150" s="0"/>
      <c r="BO150" s="0"/>
    </row>
    <row r="151" customFormat="false" ht="12.8" hidden="false" customHeight="false" outlineLevel="0" collapsed="false">
      <c r="A151" s="48" t="s">
        <v>5689</v>
      </c>
      <c r="B151" s="3" t="s">
        <v>5690</v>
      </c>
      <c r="C151" s="0" t="s">
        <v>5691</v>
      </c>
      <c r="D151" s="3" t="s">
        <v>5692</v>
      </c>
      <c r="E151" s="0" t="s">
        <v>440</v>
      </c>
      <c r="F151" s="0" t="s">
        <v>5693</v>
      </c>
      <c r="G151" s="0"/>
      <c r="H151" s="0"/>
      <c r="I151" s="0"/>
      <c r="J151" s="0"/>
      <c r="K151" s="0"/>
      <c r="L151" s="0"/>
      <c r="M151" s="0"/>
      <c r="N151" s="0"/>
      <c r="O151" s="0"/>
      <c r="P151" s="0"/>
      <c r="Q151" s="0"/>
      <c r="R151" s="0"/>
      <c r="S151" s="0"/>
      <c r="T151" s="0"/>
      <c r="U151" s="0"/>
      <c r="V151" s="0"/>
      <c r="W151" s="0"/>
      <c r="X151" s="0"/>
      <c r="Y151" s="0"/>
      <c r="Z151" s="0"/>
      <c r="AA151" s="0"/>
      <c r="AB151" s="0"/>
      <c r="AC151" s="0"/>
      <c r="AD151" s="0"/>
      <c r="AE151" s="0"/>
      <c r="AF151" s="0"/>
      <c r="AG151" s="0"/>
      <c r="AH151" s="0"/>
      <c r="AI151" s="0"/>
      <c r="AJ151" s="0"/>
      <c r="AK151" s="0"/>
      <c r="AL151" s="0"/>
      <c r="AM151" s="0"/>
      <c r="AN151" s="0"/>
      <c r="AO151" s="0"/>
      <c r="AP151" s="0"/>
      <c r="AQ151" s="0"/>
      <c r="AR151" s="0"/>
      <c r="AS151" s="0"/>
      <c r="AT151" s="0"/>
      <c r="AU151" s="0"/>
      <c r="AV151" s="0"/>
      <c r="AW151" s="0"/>
      <c r="AX151" s="0"/>
      <c r="AY151" s="0"/>
      <c r="BD151" s="0"/>
      <c r="BE151" s="0"/>
      <c r="BF151" s="0"/>
      <c r="BG151" s="0"/>
      <c r="BH151" s="0"/>
      <c r="BI151" s="0"/>
      <c r="BJ151" s="0"/>
      <c r="BK151" s="0"/>
      <c r="BL151" s="0"/>
      <c r="BM151" s="0"/>
      <c r="BN151" s="0"/>
      <c r="BO151" s="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P18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D1" activeCellId="0" sqref="D1"/>
    </sheetView>
  </sheetViews>
  <sheetFormatPr defaultColWidth="11.53515625" defaultRowHeight="12.8" customHeight="false" zeroHeight="false" outlineLevelRow="0" outlineLevelCol="0"/>
  <cols>
    <col collapsed="false" customWidth="false" hidden="false" outlineLevel="0" max="1" min="1" style="51" width="11.53"/>
    <col collapsed="false" customWidth="true" hidden="false" outlineLevel="0" max="2" min="2" style="39" width="29.98"/>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5694</v>
      </c>
      <c r="B1" s="67" t="s">
        <v>5695</v>
      </c>
      <c r="C1" s="6" t="s">
        <v>2</v>
      </c>
      <c r="D1" s="73" t="s">
        <v>5696</v>
      </c>
      <c r="AZ1" s="39"/>
      <c r="BP1" s="39"/>
    </row>
    <row r="2" customFormat="false" ht="12.8" hidden="false" customHeight="false" outlineLevel="0" collapsed="false">
      <c r="A2" s="64" t="str">
        <f aca="false">_xlfn.CONCAT($A$1, ".", "CALC")</f>
        <v>LSD.RID.0.AL.AIAVG.CALC</v>
      </c>
      <c r="B2" s="65" t="str">
        <f aca="false">_xlfn.CONCAT($B$1, " ", "Calculations")</f>
        <v>Alabama Wage Average (AIAVG) Calculations</v>
      </c>
      <c r="C2" s="3"/>
      <c r="D2" s="3"/>
      <c r="E2" s="3"/>
      <c r="F2" s="3"/>
    </row>
    <row r="3" customFormat="false" ht="23.85" hidden="false" customHeight="false" outlineLevel="0" collapsed="false">
      <c r="A3" s="64" t="str">
        <f aca="false">CALC!A3</f>
        <v>LSID</v>
      </c>
      <c r="B3" s="42" t="str">
        <f aca="false">CALC!C3</f>
        <v>Labor Sector</v>
      </c>
      <c r="C3" s="74" t="str">
        <f aca="false">CALC!AB3</f>
        <v>Overall WAVG</v>
      </c>
      <c r="D3" s="74" t="str">
        <f aca="false">CALC!AC3</f>
        <v>Authorized WAVG</v>
      </c>
      <c r="E3" s="74" t="str">
        <f aca="false">CALC!AD3</f>
        <v>Unauthorized WAVG</v>
      </c>
      <c r="F3" s="74" t="str">
        <f aca="false">CALC!AE3</f>
        <v>American WAVG</v>
      </c>
      <c r="AM3" s="3"/>
      <c r="AN3" s="3"/>
      <c r="AO3" s="3"/>
      <c r="AP3" s="3"/>
      <c r="AZ3" s="39"/>
      <c r="BA3" s="39"/>
      <c r="BB3" s="39"/>
      <c r="BC3" s="3"/>
      <c r="BD3" s="3"/>
      <c r="BE3" s="3"/>
      <c r="BF3" s="3"/>
      <c r="BG3" s="3"/>
      <c r="BH3" s="3"/>
      <c r="BI3" s="3"/>
      <c r="BJ3" s="0"/>
      <c r="BK3" s="0"/>
      <c r="BL3" s="0"/>
      <c r="BM3" s="0"/>
      <c r="BN3" s="0"/>
      <c r="BO3" s="0"/>
    </row>
    <row r="4" customFormat="false" ht="12.8" hidden="false" customHeight="false" outlineLevel="0" collapsed="false">
      <c r="A4" s="64" t="str">
        <f aca="false">_xlfn.CONCAT($A$1, ".", CALC!A4)</f>
        <v>LSD.RID.0.AL.AIAVG.0</v>
      </c>
      <c r="B4" s="42" t="str">
        <f aca="false">CALC!C4</f>
        <v>All Industries</v>
      </c>
      <c r="C4" s="39" t="n">
        <v>31.96</v>
      </c>
      <c r="D4" s="39" t="n">
        <v>32.48</v>
      </c>
      <c r="E4" s="39" t="n">
        <v>24.85</v>
      </c>
      <c r="F4" s="39" t="n">
        <v>32.18</v>
      </c>
      <c r="AM4" s="3"/>
      <c r="AN4" s="3"/>
      <c r="AO4" s="3"/>
      <c r="AP4" s="3"/>
      <c r="AZ4" s="39"/>
      <c r="BA4" s="39"/>
      <c r="BB4" s="39"/>
      <c r="BC4" s="3"/>
      <c r="BD4" s="3"/>
      <c r="BE4" s="3"/>
      <c r="BF4" s="3"/>
      <c r="BG4" s="3"/>
      <c r="BH4" s="3"/>
      <c r="BI4" s="3"/>
      <c r="BJ4" s="0"/>
      <c r="BK4" s="0"/>
      <c r="BL4" s="0"/>
      <c r="BM4" s="0"/>
      <c r="BN4" s="0"/>
      <c r="BO4" s="0"/>
    </row>
    <row r="5" customFormat="false" ht="23.85" hidden="false" customHeight="false" outlineLevel="0" collapsed="false">
      <c r="A5" s="64" t="str">
        <f aca="false">_xlfn.CONCAT($A$1, ".", CALC!A5)</f>
        <v>LSD.RID.0.AL.AIAVG.1</v>
      </c>
      <c r="B5" s="67" t="str">
        <f aca="false">CALC!C5</f>
        <v>Agriculture, Forestry, 
Fishing and Hunting</v>
      </c>
      <c r="C5" s="39" t="n">
        <v>18.5</v>
      </c>
      <c r="D5" s="39" t="n">
        <v>18.87</v>
      </c>
      <c r="E5" s="39" t="n">
        <v>12.95</v>
      </c>
      <c r="F5" s="39" t="n">
        <v>18.61</v>
      </c>
      <c r="AM5" s="3"/>
      <c r="AN5" s="3"/>
      <c r="AO5" s="3"/>
      <c r="AP5" s="3"/>
      <c r="AZ5" s="39"/>
      <c r="BA5" s="39"/>
      <c r="BB5" s="39"/>
      <c r="BC5" s="3"/>
      <c r="BD5" s="3"/>
      <c r="BE5" s="3"/>
      <c r="BF5" s="3"/>
      <c r="BG5" s="3"/>
      <c r="BH5" s="3"/>
      <c r="BI5" s="3"/>
      <c r="BJ5" s="0"/>
      <c r="BK5" s="0"/>
      <c r="BL5" s="0"/>
      <c r="BM5" s="0"/>
      <c r="BN5" s="0"/>
      <c r="BO5" s="0"/>
    </row>
    <row r="6" customFormat="false" ht="23.85" hidden="false" customHeight="false" outlineLevel="0" collapsed="false">
      <c r="A6" s="64" t="str">
        <f aca="false">_xlfn.CONCAT($A$1, ".", CALC!A6)</f>
        <v>LSD.RID.0.AL.AIAVG.2</v>
      </c>
      <c r="B6" s="67" t="str">
        <f aca="false">CALC!C6</f>
        <v>Mining, Quarrying, and
Oil and Gas Extraction</v>
      </c>
      <c r="C6" s="39" t="n">
        <v>35</v>
      </c>
      <c r="D6" s="39" t="n">
        <v>36.05</v>
      </c>
      <c r="E6" s="39" t="n">
        <v>28</v>
      </c>
      <c r="F6" s="39" t="n">
        <v>35.18</v>
      </c>
      <c r="AM6" s="3"/>
      <c r="AN6" s="3"/>
      <c r="AO6" s="3"/>
      <c r="AP6" s="3"/>
      <c r="AZ6" s="39"/>
      <c r="BA6" s="39"/>
      <c r="BB6" s="39"/>
      <c r="BC6" s="3"/>
      <c r="BD6" s="3"/>
      <c r="BE6" s="3"/>
      <c r="BF6" s="3"/>
      <c r="BG6" s="3"/>
      <c r="BH6" s="3"/>
      <c r="BI6" s="3"/>
      <c r="BJ6" s="0"/>
      <c r="BK6" s="0"/>
      <c r="BL6" s="0"/>
      <c r="BM6" s="0"/>
      <c r="BN6" s="0"/>
      <c r="BO6" s="0"/>
    </row>
    <row r="7" customFormat="false" ht="12.8" hidden="false" customHeight="false" outlineLevel="0" collapsed="false">
      <c r="A7" s="64" t="str">
        <f aca="false">_xlfn.CONCAT($A$1, ".", CALC!A7)</f>
        <v>LSD.RID.0.AL.AIAVG.3</v>
      </c>
      <c r="B7" s="42" t="str">
        <f aca="false">CALC!C7</f>
        <v>Utilities</v>
      </c>
      <c r="C7" s="39" t="n">
        <v>40</v>
      </c>
      <c r="D7" s="39" t="n">
        <v>40.4</v>
      </c>
      <c r="E7" s="39" t="n">
        <v>34</v>
      </c>
      <c r="F7" s="39" t="n">
        <v>40.08</v>
      </c>
      <c r="AM7" s="3"/>
      <c r="AN7" s="3"/>
      <c r="AO7" s="3"/>
      <c r="AP7" s="3"/>
      <c r="AZ7" s="39"/>
      <c r="BA7" s="39"/>
      <c r="BB7" s="39"/>
      <c r="BC7" s="3"/>
      <c r="BD7" s="3"/>
      <c r="BE7" s="3"/>
      <c r="BF7" s="3"/>
      <c r="BG7" s="3"/>
      <c r="BH7" s="3"/>
      <c r="BI7" s="3"/>
      <c r="BJ7" s="0"/>
      <c r="BK7" s="0"/>
      <c r="BL7" s="0"/>
      <c r="BM7" s="0"/>
      <c r="BN7" s="0"/>
      <c r="BO7" s="0"/>
    </row>
    <row r="8" customFormat="false" ht="12.8" hidden="false" customHeight="false" outlineLevel="0" collapsed="false">
      <c r="A8" s="64" t="str">
        <f aca="false">_xlfn.CONCAT($A$1, ".", CALC!A8)</f>
        <v>LSD.RID.0.AL.AIAVG.4</v>
      </c>
      <c r="B8" s="42" t="str">
        <f aca="false">CALC!C8</f>
        <v>Construction</v>
      </c>
      <c r="C8" s="39" t="n">
        <v>28</v>
      </c>
      <c r="D8" s="39" t="n">
        <v>28.56</v>
      </c>
      <c r="E8" s="39" t="n">
        <v>21</v>
      </c>
      <c r="F8" s="39" t="n">
        <v>28.14</v>
      </c>
      <c r="AM8" s="3"/>
      <c r="AN8" s="3"/>
      <c r="AO8" s="3"/>
      <c r="AP8" s="3"/>
      <c r="AZ8" s="39"/>
      <c r="BA8" s="39"/>
      <c r="BB8" s="39"/>
      <c r="BC8" s="3"/>
      <c r="BD8" s="3"/>
      <c r="BE8" s="3"/>
      <c r="BF8" s="3"/>
      <c r="BG8" s="3"/>
      <c r="BH8" s="3"/>
      <c r="BI8" s="3"/>
      <c r="BJ8" s="0"/>
      <c r="BK8" s="0"/>
      <c r="BL8" s="0"/>
      <c r="BM8" s="0"/>
      <c r="BN8" s="0"/>
      <c r="BO8" s="0"/>
    </row>
    <row r="9" customFormat="false" ht="23.85" hidden="false" customHeight="false" outlineLevel="0" collapsed="false">
      <c r="A9" s="64" t="str">
        <f aca="false">_xlfn.CONCAT($A$1, ".", CALC!A9)</f>
        <v>LSD.RID.0.AL.AIAVG.5</v>
      </c>
      <c r="B9" s="67" t="str">
        <f aca="false">CALC!C9</f>
        <v>Manufacturing
(Food,Textile, etc.)</v>
      </c>
      <c r="C9" s="39" t="n">
        <v>32</v>
      </c>
      <c r="D9" s="39" t="n">
        <v>32.48</v>
      </c>
      <c r="E9" s="39" t="n">
        <v>24.96</v>
      </c>
      <c r="F9" s="39" t="n">
        <v>32.1</v>
      </c>
      <c r="AM9" s="3"/>
      <c r="AN9" s="3"/>
      <c r="AO9" s="3"/>
      <c r="AP9" s="3"/>
      <c r="AZ9" s="39"/>
      <c r="BA9" s="39"/>
      <c r="BB9" s="39"/>
      <c r="BC9" s="3"/>
      <c r="BD9" s="3"/>
      <c r="BE9" s="3"/>
      <c r="BF9" s="3"/>
      <c r="BG9" s="3"/>
      <c r="BH9" s="3"/>
      <c r="BI9" s="3"/>
      <c r="BJ9" s="0"/>
      <c r="BK9" s="0"/>
      <c r="BL9" s="0"/>
      <c r="BM9" s="0"/>
      <c r="BN9" s="0"/>
      <c r="BO9" s="0"/>
    </row>
    <row r="10" customFormat="false" ht="23.85" hidden="false" customHeight="false" outlineLevel="0" collapsed="false">
      <c r="A10" s="64" t="str">
        <f aca="false">_xlfn.CONCAT($A$1, ".", CALC!A10)</f>
        <v>LSD.RID.0.AL.AIAVG.6</v>
      </c>
      <c r="B10" s="67" t="str">
        <f aca="false">CALC!C10</f>
        <v>Manufacturing (Wood,
Paper, Printing, etc.)</v>
      </c>
      <c r="C10" s="39" t="n">
        <v>30</v>
      </c>
      <c r="D10" s="39" t="n">
        <v>30.45</v>
      </c>
      <c r="E10" s="39" t="n">
        <v>23.4</v>
      </c>
      <c r="F10" s="39" t="n">
        <v>30.08</v>
      </c>
      <c r="AM10" s="3"/>
      <c r="AN10" s="3"/>
      <c r="AO10" s="3"/>
      <c r="AP10" s="3"/>
      <c r="AZ10" s="39"/>
      <c r="BA10" s="39"/>
      <c r="BB10" s="39"/>
      <c r="BC10" s="3"/>
      <c r="BD10" s="3"/>
      <c r="BE10" s="3"/>
      <c r="BF10" s="3"/>
      <c r="BG10" s="3"/>
      <c r="BH10" s="3"/>
      <c r="BI10" s="3"/>
      <c r="BJ10" s="0"/>
      <c r="BK10" s="0"/>
      <c r="BL10" s="0"/>
      <c r="BM10" s="0"/>
      <c r="BN10" s="0"/>
      <c r="BO10" s="0"/>
    </row>
    <row r="11" customFormat="false" ht="23.85" hidden="false" customHeight="false" outlineLevel="0" collapsed="false">
      <c r="A11" s="64" t="str">
        <f aca="false">_xlfn.CONCAT($A$1, ".", CALC!A11)</f>
        <v>LSD.RID.0.AL.AIAVG.7</v>
      </c>
      <c r="B11" s="67" t="str">
        <f aca="false">CALC!C11</f>
        <v>Manufacturing
(Machinery, Transport)</v>
      </c>
      <c r="C11" s="39" t="n">
        <v>35</v>
      </c>
      <c r="D11" s="39" t="n">
        <v>35.53</v>
      </c>
      <c r="E11" s="39" t="n">
        <v>28</v>
      </c>
      <c r="F11" s="39" t="n">
        <v>35.1</v>
      </c>
      <c r="AM11" s="3"/>
      <c r="AN11" s="3"/>
      <c r="AO11" s="3"/>
      <c r="AP11" s="3"/>
      <c r="AZ11" s="39"/>
      <c r="BA11" s="39"/>
      <c r="BB11" s="39"/>
      <c r="BC11" s="3"/>
      <c r="BD11" s="3"/>
      <c r="BE11" s="3"/>
      <c r="BF11" s="3"/>
      <c r="BG11" s="3"/>
      <c r="BH11" s="3"/>
      <c r="BI11" s="3"/>
      <c r="BJ11" s="0"/>
      <c r="BK11" s="0"/>
      <c r="BL11" s="0"/>
      <c r="BM11" s="0"/>
      <c r="BN11" s="0"/>
      <c r="BO11" s="0"/>
    </row>
    <row r="12" customFormat="false" ht="12.9" hidden="false" customHeight="false" outlineLevel="0" collapsed="false">
      <c r="A12" s="64" t="str">
        <f aca="false">_xlfn.CONCAT($A$1, ".", CALC!A12)</f>
        <v>LSD.RID.0.AL.AIAVG.8</v>
      </c>
      <c r="B12" s="42" t="str">
        <f aca="false">CALC!C12</f>
        <v>Wholesale Trade</v>
      </c>
      <c r="C12" s="39" t="n">
        <v>32</v>
      </c>
      <c r="D12" s="39" t="n">
        <v>32.32</v>
      </c>
      <c r="E12" s="39" t="n">
        <v>26.24</v>
      </c>
      <c r="F12" s="39" t="n">
        <v>32.06</v>
      </c>
      <c r="AM12" s="3"/>
      <c r="AN12" s="3"/>
      <c r="AO12" s="3"/>
      <c r="AP12" s="3"/>
      <c r="AZ12" s="39"/>
      <c r="BA12" s="39"/>
      <c r="BB12" s="39"/>
      <c r="BC12" s="3"/>
      <c r="BD12" s="3"/>
      <c r="BE12" s="3"/>
      <c r="BF12" s="3"/>
      <c r="BG12" s="3"/>
      <c r="BH12" s="3"/>
      <c r="BI12" s="3"/>
      <c r="BJ12" s="0"/>
      <c r="BK12" s="0"/>
      <c r="BL12" s="0"/>
      <c r="BM12" s="0"/>
      <c r="BN12" s="0"/>
      <c r="BO12" s="0"/>
    </row>
    <row r="13" customFormat="false" ht="23.85" hidden="false" customHeight="false" outlineLevel="0" collapsed="false">
      <c r="A13" s="64" t="str">
        <f aca="false">_xlfn.CONCAT($A$1, ".", CALC!A13)</f>
        <v>LSD.RID.0.AL.AIAVG.9</v>
      </c>
      <c r="B13" s="67" t="str">
        <f aca="false">CALC!C13</f>
        <v>Retail Trade (Motor
Vehicle, Electronics)</v>
      </c>
      <c r="C13" s="39" t="n">
        <v>25</v>
      </c>
      <c r="D13" s="39" t="n">
        <v>25.5</v>
      </c>
      <c r="E13" s="39" t="n">
        <v>18.75</v>
      </c>
      <c r="F13" s="39" t="n">
        <v>25.1</v>
      </c>
      <c r="AM13" s="3"/>
      <c r="AN13" s="3"/>
      <c r="AO13" s="3"/>
      <c r="AP13" s="3"/>
      <c r="AZ13" s="39"/>
      <c r="BA13" s="39"/>
      <c r="BB13" s="39"/>
      <c r="BC13" s="3"/>
      <c r="BD13" s="3"/>
      <c r="BE13" s="3"/>
      <c r="BF13" s="3"/>
      <c r="BG13" s="3"/>
      <c r="BH13" s="3"/>
      <c r="BI13" s="3"/>
      <c r="BJ13" s="0"/>
      <c r="BK13" s="0"/>
      <c r="BL13" s="0"/>
      <c r="BM13" s="0"/>
      <c r="BN13" s="0"/>
      <c r="BO13" s="0"/>
    </row>
    <row r="14" customFormat="false" ht="23.85" hidden="false" customHeight="false" outlineLevel="0" collapsed="false">
      <c r="A14" s="64" t="str">
        <f aca="false">_xlfn.CONCAT($A$1, ".", CALC!A14)</f>
        <v>LSD.RID.0.AL.AIAVG.10</v>
      </c>
      <c r="B14" s="67" t="str">
        <f aca="false">CALC!C14</f>
        <v>Retail Trade (Food, Clothing,
General Merchandise, etc.)</v>
      </c>
      <c r="C14" s="39" t="n">
        <v>22</v>
      </c>
      <c r="D14" s="39" t="n">
        <v>22.44</v>
      </c>
      <c r="E14" s="39" t="n">
        <v>15.84</v>
      </c>
      <c r="F14" s="39" t="n">
        <v>22.07</v>
      </c>
      <c r="AM14" s="3"/>
      <c r="AN14" s="3"/>
      <c r="AO14" s="3"/>
      <c r="AP14" s="3"/>
      <c r="AZ14" s="39"/>
      <c r="BA14" s="39"/>
      <c r="BB14" s="39"/>
      <c r="BC14" s="3"/>
      <c r="BD14" s="3"/>
      <c r="BE14" s="3"/>
      <c r="BF14" s="3"/>
      <c r="BG14" s="3"/>
      <c r="BH14" s="3"/>
      <c r="BI14" s="3"/>
      <c r="BJ14" s="0"/>
      <c r="BK14" s="0"/>
      <c r="BL14" s="0"/>
      <c r="BM14" s="0"/>
      <c r="BN14" s="0"/>
      <c r="BO14" s="0"/>
    </row>
    <row r="15" customFormat="false" ht="12.8" hidden="false" customHeight="false" outlineLevel="0" collapsed="false">
      <c r="A15" s="64" t="str">
        <f aca="false">_xlfn.CONCAT($A$1, ".", CALC!A15)</f>
        <v>LSD.RID.0.AL.AIAVG.11</v>
      </c>
      <c r="B15" s="42" t="str">
        <f aca="false">CALC!C15</f>
        <v>Transportation</v>
      </c>
      <c r="C15" s="39" t="n">
        <v>30</v>
      </c>
      <c r="D15" s="39" t="n">
        <v>30.45</v>
      </c>
      <c r="E15" s="39" t="n">
        <v>23.4</v>
      </c>
      <c r="F15" s="39" t="n">
        <v>30.08</v>
      </c>
      <c r="AM15" s="3"/>
      <c r="AN15" s="3"/>
      <c r="AO15" s="3"/>
      <c r="AP15" s="3"/>
      <c r="AZ15" s="39"/>
      <c r="BA15" s="39"/>
      <c r="BB15" s="39"/>
      <c r="BC15" s="3"/>
      <c r="BD15" s="3"/>
      <c r="BE15" s="3"/>
      <c r="BF15" s="3"/>
      <c r="BG15" s="3"/>
      <c r="BH15" s="3"/>
      <c r="BI15" s="3"/>
      <c r="BJ15" s="0"/>
      <c r="BK15" s="0"/>
      <c r="BL15" s="0"/>
      <c r="BM15" s="0"/>
      <c r="BN15" s="0"/>
      <c r="BO15" s="0"/>
    </row>
    <row r="16" customFormat="false" ht="12.8" hidden="false" customHeight="false" outlineLevel="0" collapsed="false">
      <c r="A16" s="64" t="str">
        <f aca="false">_xlfn.CONCAT($A$1, ".", CALC!A16)</f>
        <v>LSD.RID.0.AL.AIAVG.12</v>
      </c>
      <c r="B16" s="42" t="str">
        <f aca="false">CALC!C16</f>
        <v>Warehousing and Storage</v>
      </c>
      <c r="C16" s="39" t="n">
        <v>28</v>
      </c>
      <c r="D16" s="39" t="n">
        <v>28.42</v>
      </c>
      <c r="E16" s="39" t="n">
        <v>21.84</v>
      </c>
      <c r="F16" s="39" t="n">
        <v>28.07</v>
      </c>
      <c r="AM16" s="3"/>
      <c r="AN16" s="3"/>
      <c r="AO16" s="3"/>
      <c r="AP16" s="3"/>
      <c r="AZ16" s="39"/>
      <c r="BA16" s="39"/>
      <c r="BB16" s="39"/>
      <c r="BC16" s="3"/>
      <c r="BD16" s="3"/>
      <c r="BE16" s="3"/>
      <c r="BF16" s="3"/>
      <c r="BG16" s="3"/>
      <c r="BH16" s="3"/>
      <c r="BI16" s="3"/>
      <c r="BJ16" s="0"/>
      <c r="BK16" s="0"/>
      <c r="BL16" s="0"/>
      <c r="BM16" s="0"/>
      <c r="BN16" s="0"/>
      <c r="BO16" s="0"/>
    </row>
    <row r="17" customFormat="false" ht="12.8" hidden="false" customHeight="false" outlineLevel="0" collapsed="false">
      <c r="A17" s="64" t="str">
        <f aca="false">_xlfn.CONCAT($A$1, ".", CALC!A17)</f>
        <v>LSD.RID.0.AL.AIAVG.13</v>
      </c>
      <c r="B17" s="42" t="str">
        <f aca="false">CALC!C17</f>
        <v>Information</v>
      </c>
      <c r="C17" s="39" t="n">
        <v>40</v>
      </c>
      <c r="D17" s="39" t="n">
        <v>40.4</v>
      </c>
      <c r="E17" s="39" t="n">
        <v>34</v>
      </c>
      <c r="F17" s="39" t="n">
        <v>40.08</v>
      </c>
      <c r="AM17" s="3"/>
      <c r="AN17" s="3"/>
      <c r="AO17" s="3"/>
      <c r="AP17" s="3"/>
      <c r="AZ17" s="39"/>
      <c r="BA17" s="39"/>
      <c r="BB17" s="39"/>
      <c r="BC17" s="3"/>
      <c r="BD17" s="3"/>
      <c r="BE17" s="3"/>
      <c r="BF17" s="3"/>
      <c r="BG17" s="3"/>
      <c r="BH17" s="3"/>
      <c r="BI17" s="3"/>
      <c r="BJ17" s="0"/>
      <c r="BK17" s="0"/>
      <c r="BL17" s="0"/>
      <c r="BM17" s="0"/>
      <c r="BN17" s="0"/>
      <c r="BO17" s="0"/>
    </row>
    <row r="18" customFormat="false" ht="12.8" hidden="false" customHeight="false" outlineLevel="0" collapsed="false">
      <c r="A18" s="64" t="str">
        <f aca="false">_xlfn.CONCAT($A$1, ".", CALC!A18)</f>
        <v>LSD.RID.0.AL.AIAVG.14</v>
      </c>
      <c r="B18" s="42" t="str">
        <f aca="false">CALC!C18</f>
        <v>Finance and Insurance</v>
      </c>
      <c r="C18" s="39" t="n">
        <v>55</v>
      </c>
      <c r="D18" s="39" t="n">
        <v>55.28</v>
      </c>
      <c r="E18" s="39" t="n">
        <v>49.5</v>
      </c>
      <c r="F18" s="39" t="n">
        <v>55.06</v>
      </c>
      <c r="AM18" s="3"/>
      <c r="AN18" s="3"/>
      <c r="AO18" s="3"/>
      <c r="AP18" s="3"/>
      <c r="AZ18" s="39"/>
      <c r="BA18" s="39"/>
      <c r="BB18" s="39"/>
      <c r="BC18" s="3"/>
      <c r="BD18" s="3"/>
      <c r="BE18" s="3"/>
      <c r="BF18" s="3"/>
      <c r="BG18" s="3"/>
      <c r="BH18" s="3"/>
      <c r="BI18" s="3"/>
      <c r="BJ18" s="0"/>
      <c r="BK18" s="0"/>
      <c r="BL18" s="0"/>
      <c r="BM18" s="0"/>
      <c r="BN18" s="0"/>
      <c r="BO18" s="0"/>
    </row>
    <row r="19" customFormat="false" ht="23.85" hidden="false" customHeight="false" outlineLevel="0" collapsed="false">
      <c r="A19" s="64" t="str">
        <f aca="false">_xlfn.CONCAT($A$1, ".", CALC!A19)</f>
        <v>LSD.RID.0.AL.AIAVG.15</v>
      </c>
      <c r="B19" s="67" t="str">
        <f aca="false">CALC!C19</f>
        <v>Real Estate and
Rental and Leasing</v>
      </c>
      <c r="C19" s="39" t="n">
        <v>32</v>
      </c>
      <c r="D19" s="39" t="n">
        <v>32.48</v>
      </c>
      <c r="E19" s="39" t="n">
        <v>26.24</v>
      </c>
      <c r="F19" s="39" t="n">
        <v>32.1</v>
      </c>
      <c r="AM19" s="3"/>
      <c r="AN19" s="3"/>
      <c r="AO19" s="3"/>
      <c r="AP19" s="3"/>
      <c r="AZ19" s="39"/>
      <c r="BA19" s="39"/>
      <c r="BB19" s="39"/>
      <c r="BC19" s="3"/>
      <c r="BD19" s="3"/>
      <c r="BE19" s="3"/>
      <c r="BF19" s="3"/>
      <c r="BG19" s="3"/>
      <c r="BH19" s="3"/>
      <c r="BI19" s="3"/>
      <c r="BJ19" s="0"/>
      <c r="BK19" s="0"/>
      <c r="BL19" s="0"/>
      <c r="BM19" s="0"/>
      <c r="BN19" s="0"/>
      <c r="BO19" s="0"/>
    </row>
    <row r="20" customFormat="false" ht="23.85" hidden="false" customHeight="false" outlineLevel="0" collapsed="false">
      <c r="A20" s="64" t="str">
        <f aca="false">_xlfn.CONCAT($A$1, ".", CALC!A20)</f>
        <v>LSD.RID.0.AL.AIAVG.16</v>
      </c>
      <c r="B20" s="67" t="str">
        <f aca="false">CALC!C20</f>
        <v>Professional, Scientific,
and Technical Services</v>
      </c>
      <c r="C20" s="39" t="n">
        <v>45</v>
      </c>
      <c r="D20" s="39" t="n">
        <v>45.23</v>
      </c>
      <c r="E20" s="39" t="n">
        <v>39.6</v>
      </c>
      <c r="F20" s="39" t="n">
        <v>45.05</v>
      </c>
      <c r="AM20" s="3"/>
      <c r="AN20" s="3"/>
      <c r="AO20" s="3"/>
      <c r="AP20" s="3"/>
      <c r="AZ20" s="39"/>
      <c r="BA20" s="39"/>
      <c r="BB20" s="39"/>
      <c r="BC20" s="3"/>
      <c r="BD20" s="3"/>
      <c r="BE20" s="3"/>
      <c r="BF20" s="3"/>
      <c r="BG20" s="3"/>
      <c r="BH20" s="3"/>
      <c r="BI20" s="3"/>
      <c r="BJ20" s="0"/>
      <c r="BK20" s="0"/>
      <c r="BL20" s="0"/>
      <c r="BM20" s="0"/>
      <c r="BN20" s="0"/>
      <c r="BO20" s="0"/>
    </row>
    <row r="21" customFormat="false" ht="34.8" hidden="false" customHeight="false" outlineLevel="0" collapsed="false">
      <c r="A21" s="64" t="str">
        <f aca="false">_xlfn.CONCAT($A$1, ".", CALC!A21)</f>
        <v>LSD.RID.0.AL.AIAVG.17</v>
      </c>
      <c r="B21" s="67" t="str">
        <f aca="false">CALC!C21</f>
        <v>Administrative and Support
and Waste Management
and Remediation Services</v>
      </c>
      <c r="C21" s="39" t="n">
        <v>25</v>
      </c>
      <c r="D21" s="39" t="n">
        <v>25.5</v>
      </c>
      <c r="E21" s="39" t="n">
        <v>18.75</v>
      </c>
      <c r="F21" s="39" t="n">
        <v>25.1</v>
      </c>
      <c r="AM21" s="3"/>
      <c r="AN21" s="3"/>
      <c r="AO21" s="3"/>
      <c r="AP21" s="3"/>
      <c r="AZ21" s="39"/>
      <c r="BA21" s="39"/>
      <c r="BB21" s="39"/>
      <c r="BC21" s="3"/>
      <c r="BD21" s="3"/>
      <c r="BE21" s="3"/>
      <c r="BF21" s="3"/>
      <c r="BG21" s="3"/>
      <c r="BH21" s="3"/>
      <c r="BI21" s="3"/>
      <c r="BJ21" s="0"/>
      <c r="BK21" s="0"/>
      <c r="BL21" s="0"/>
      <c r="BM21" s="0"/>
      <c r="BN21" s="0"/>
      <c r="BO21" s="0"/>
    </row>
    <row r="22" customFormat="false" ht="12.8" hidden="false" customHeight="false" outlineLevel="0" collapsed="false">
      <c r="A22" s="64" t="str">
        <f aca="false">_xlfn.CONCAT($A$1, ".", CALC!A22)</f>
        <v>LSD.RID.0.AL.AIAVG.18</v>
      </c>
      <c r="B22" s="42" t="str">
        <f aca="false">CALC!C22</f>
        <v>Educational Services</v>
      </c>
      <c r="C22" s="39" t="n">
        <v>35</v>
      </c>
      <c r="D22" s="39" t="n">
        <v>35.35</v>
      </c>
      <c r="E22" s="39" t="n">
        <v>29.75</v>
      </c>
      <c r="F22" s="39" t="n">
        <v>35.07</v>
      </c>
      <c r="AM22" s="3"/>
      <c r="AN22" s="3"/>
      <c r="AO22" s="3"/>
      <c r="AP22" s="3"/>
      <c r="AZ22" s="39"/>
      <c r="BA22" s="39"/>
      <c r="BB22" s="39"/>
      <c r="BC22" s="3"/>
      <c r="BD22" s="3"/>
      <c r="BE22" s="3"/>
      <c r="BF22" s="3"/>
      <c r="BG22" s="3"/>
      <c r="BH22" s="3"/>
      <c r="BI22" s="3"/>
      <c r="BJ22" s="0"/>
      <c r="BK22" s="0"/>
      <c r="BL22" s="0"/>
      <c r="BM22" s="0"/>
      <c r="BN22" s="0"/>
      <c r="BO22" s="0"/>
    </row>
    <row r="23" customFormat="false" ht="23.85" hidden="false" customHeight="false" outlineLevel="0" collapsed="false">
      <c r="A23" s="64" t="str">
        <f aca="false">_xlfn.CONCAT($A$1, ".", CALC!A23)</f>
        <v>LSD.RID.0.AL.AIAVG.19</v>
      </c>
      <c r="B23" s="67" t="str">
        <f aca="false">CALC!C23</f>
        <v>Health Care and
Social Assistance</v>
      </c>
      <c r="C23" s="39" t="n">
        <v>35</v>
      </c>
      <c r="D23" s="39" t="n">
        <v>35.35</v>
      </c>
      <c r="E23" s="39" t="n">
        <v>29.75</v>
      </c>
      <c r="F23" s="39" t="n">
        <v>35.07</v>
      </c>
      <c r="AM23" s="3"/>
      <c r="AN23" s="3"/>
      <c r="AO23" s="3"/>
      <c r="AP23" s="3"/>
      <c r="AZ23" s="39"/>
      <c r="BA23" s="39"/>
      <c r="BB23" s="39"/>
      <c r="BC23" s="3"/>
      <c r="BD23" s="3"/>
      <c r="BE23" s="3"/>
      <c r="BF23" s="3"/>
      <c r="BG23" s="3"/>
      <c r="BH23" s="3"/>
      <c r="BI23" s="3"/>
      <c r="BJ23" s="0"/>
      <c r="BK23" s="0"/>
      <c r="BL23" s="0"/>
      <c r="BM23" s="0"/>
      <c r="BN23" s="0"/>
      <c r="BO23" s="0"/>
    </row>
    <row r="24" customFormat="false" ht="23.85" hidden="false" customHeight="false" outlineLevel="0" collapsed="false">
      <c r="A24" s="64" t="str">
        <f aca="false">_xlfn.CONCAT($A$1, ".", CALC!A24)</f>
        <v>LSD.RID.0.AL.AIAVG.20</v>
      </c>
      <c r="B24" s="67" t="str">
        <f aca="false">CALC!C24</f>
        <v>Arts, Entertainment,
and Recreation</v>
      </c>
      <c r="C24" s="39" t="n">
        <v>20</v>
      </c>
      <c r="D24" s="39" t="n">
        <v>20.4</v>
      </c>
      <c r="E24" s="39" t="n">
        <v>14.4</v>
      </c>
      <c r="F24" s="39" t="n">
        <v>20.06</v>
      </c>
      <c r="AM24" s="3"/>
      <c r="AN24" s="3"/>
      <c r="AO24" s="3"/>
      <c r="AP24" s="3"/>
      <c r="AZ24" s="39"/>
      <c r="BA24" s="39"/>
      <c r="BB24" s="39"/>
      <c r="BC24" s="3"/>
      <c r="BD24" s="3"/>
      <c r="BE24" s="3"/>
      <c r="BF24" s="3"/>
      <c r="BG24" s="3"/>
      <c r="BH24" s="3"/>
      <c r="BI24" s="3"/>
      <c r="BJ24" s="0"/>
      <c r="BK24" s="0"/>
      <c r="BL24" s="0"/>
      <c r="BM24" s="0"/>
      <c r="BN24" s="0"/>
      <c r="BO24" s="0"/>
    </row>
    <row r="25" customFormat="false" ht="23.85" hidden="false" customHeight="false" outlineLevel="0" collapsed="false">
      <c r="A25" s="64" t="str">
        <f aca="false">_xlfn.CONCAT($A$1, ".", CALC!A25)</f>
        <v>LSD.RID.0.AL.AIAVG.21</v>
      </c>
      <c r="B25" s="67" t="str">
        <f aca="false">CALC!C25</f>
        <v>Accommodation
and Food Services</v>
      </c>
      <c r="C25" s="39" t="n">
        <v>16</v>
      </c>
      <c r="D25" s="39" t="n">
        <v>16.4</v>
      </c>
      <c r="E25" s="39" t="n">
        <v>11.2</v>
      </c>
      <c r="F25" s="39" t="n">
        <v>16.04</v>
      </c>
      <c r="AM25" s="3"/>
      <c r="AN25" s="3"/>
      <c r="AO25" s="3"/>
      <c r="AP25" s="3"/>
      <c r="AZ25" s="39"/>
      <c r="BA25" s="39"/>
      <c r="BB25" s="39"/>
      <c r="BC25" s="3"/>
      <c r="BD25" s="3"/>
      <c r="BE25" s="3"/>
      <c r="BF25" s="3"/>
      <c r="BG25" s="3"/>
      <c r="BH25" s="3"/>
      <c r="BI25" s="3"/>
      <c r="BJ25" s="0"/>
      <c r="BK25" s="0"/>
      <c r="BL25" s="0"/>
      <c r="BM25" s="0"/>
      <c r="BN25" s="0"/>
      <c r="BO25" s="0"/>
    </row>
    <row r="26" customFormat="false" ht="23.85" hidden="false" customHeight="false" outlineLevel="0" collapsed="false">
      <c r="A26" s="64" t="str">
        <f aca="false">_xlfn.CONCAT($A$1, ".", CALC!A26)</f>
        <v>LSD.RID.0.AL.AIAVG.22</v>
      </c>
      <c r="B26" s="67" t="str">
        <f aca="false">CALC!C26</f>
        <v>Other Services (except
Public Administration)</v>
      </c>
      <c r="C26" s="39" t="n">
        <v>25</v>
      </c>
      <c r="D26" s="39" t="n">
        <v>25.5</v>
      </c>
      <c r="E26" s="39" t="n">
        <v>18.75</v>
      </c>
      <c r="F26" s="39" t="n">
        <v>25.1</v>
      </c>
      <c r="AM26" s="3"/>
      <c r="AN26" s="3"/>
      <c r="AO26" s="3"/>
      <c r="AP26" s="3"/>
      <c r="AZ26" s="39"/>
      <c r="BA26" s="39"/>
      <c r="BB26" s="39"/>
      <c r="BC26" s="3"/>
      <c r="BD26" s="3"/>
      <c r="BE26" s="3"/>
      <c r="BF26" s="3"/>
      <c r="BG26" s="3"/>
      <c r="BH26" s="3"/>
      <c r="BI26" s="3"/>
      <c r="BJ26" s="0"/>
      <c r="BK26" s="0"/>
      <c r="BL26" s="0"/>
      <c r="BM26" s="0"/>
      <c r="BN26" s="0"/>
      <c r="BO26" s="0"/>
    </row>
    <row r="27" customFormat="false" ht="12.8" hidden="false" customHeight="false" outlineLevel="0" collapsed="false">
      <c r="A27" s="64" t="str">
        <f aca="false">_xlfn.CONCAT($A$1, ".", CALC!A27)</f>
        <v>LSD.RID.0.AL.AIAVG.23</v>
      </c>
      <c r="B27" s="42" t="str">
        <f aca="false">CALC!C27</f>
        <v>Public Administration</v>
      </c>
      <c r="C27" s="39" t="n">
        <v>35</v>
      </c>
      <c r="D27" s="39" t="n">
        <v>35.35</v>
      </c>
      <c r="E27" s="39" t="n">
        <v>29.75</v>
      </c>
      <c r="F27" s="39" t="n">
        <v>35.07</v>
      </c>
      <c r="AM27" s="3"/>
      <c r="AN27" s="3"/>
      <c r="AO27" s="3"/>
      <c r="AP27" s="3"/>
      <c r="AZ27" s="39"/>
      <c r="BA27" s="39"/>
      <c r="BB27" s="39"/>
      <c r="BC27" s="3"/>
      <c r="BD27" s="3"/>
      <c r="BE27" s="3"/>
      <c r="BF27" s="3"/>
      <c r="BG27" s="3"/>
      <c r="BH27" s="3"/>
      <c r="BI27" s="3"/>
      <c r="BJ27" s="0"/>
      <c r="BK27" s="0"/>
      <c r="BL27" s="0"/>
      <c r="BM27" s="0"/>
      <c r="BN27" s="0"/>
      <c r="BO27" s="0"/>
    </row>
    <row r="130" customFormat="false" ht="12.8" hidden="false" customHeight="false" outlineLevel="0" collapsed="false">
      <c r="A130" s="64" t="str">
        <f aca="false">_xlfn.CONCAT($A$1, ".", "FORM")</f>
        <v>LSD.RID.0.AL.AIAVG.FORM</v>
      </c>
      <c r="B130" s="65" t="str">
        <f aca="false">_xlfn.CONCAT($B$1, " ", "Formulae")</f>
        <v>Alabama Wage Average (AIAVG) Formulae</v>
      </c>
      <c r="C130" s="65"/>
    </row>
    <row r="131" customFormat="false" ht="12.8" hidden="false" customHeight="false" outlineLevel="0" collapsed="false">
      <c r="A131" s="49" t="s">
        <v>5645</v>
      </c>
      <c r="B131" s="49" t="s">
        <v>177</v>
      </c>
      <c r="C131" s="49" t="s">
        <v>178</v>
      </c>
      <c r="D131" s="49" t="s">
        <v>5005</v>
      </c>
      <c r="E131" s="49" t="s">
        <v>180</v>
      </c>
      <c r="F131" s="49" t="s">
        <v>181</v>
      </c>
    </row>
    <row r="132" customFormat="false" ht="12.8" hidden="false" customHeight="false" outlineLevel="0" collapsed="false">
      <c r="A132" s="39" t="s">
        <v>5697</v>
      </c>
      <c r="B132" s="39" t="s">
        <v>5698</v>
      </c>
      <c r="C132" s="39" t="s">
        <v>5699</v>
      </c>
      <c r="D132" s="39" t="s">
        <v>5700</v>
      </c>
      <c r="E132" s="39" t="s">
        <v>5701</v>
      </c>
      <c r="F132" s="39" t="s">
        <v>1258</v>
      </c>
    </row>
    <row r="133" customFormat="false" ht="12.8" hidden="false" customHeight="false" outlineLevel="0" collapsed="false">
      <c r="A133" s="39" t="s">
        <v>5702</v>
      </c>
      <c r="B133" s="39" t="s">
        <v>5703</v>
      </c>
      <c r="C133" s="39" t="s">
        <v>5704</v>
      </c>
      <c r="D133" s="39" t="s">
        <v>5705</v>
      </c>
      <c r="E133" s="39" t="s">
        <v>5706</v>
      </c>
      <c r="F133" s="39" t="s">
        <v>1258</v>
      </c>
    </row>
    <row r="134" customFormat="false" ht="12.8" hidden="false" customHeight="false" outlineLevel="0" collapsed="false">
      <c r="A134" s="39" t="s">
        <v>5707</v>
      </c>
      <c r="B134" s="39" t="s">
        <v>5708</v>
      </c>
      <c r="C134" s="39" t="s">
        <v>5709</v>
      </c>
      <c r="D134" s="39" t="s">
        <v>5710</v>
      </c>
      <c r="E134" s="39" t="s">
        <v>5711</v>
      </c>
      <c r="F134" s="39" t="s">
        <v>1258</v>
      </c>
    </row>
    <row r="135" customFormat="false" ht="12.8" hidden="false" customHeight="false" outlineLevel="0" collapsed="false">
      <c r="A135" s="39" t="s">
        <v>5712</v>
      </c>
      <c r="B135" s="39" t="s">
        <v>5713</v>
      </c>
      <c r="C135" s="39" t="s">
        <v>5714</v>
      </c>
      <c r="D135" s="39" t="s">
        <v>5715</v>
      </c>
      <c r="E135" s="39" t="s">
        <v>5716</v>
      </c>
      <c r="F135" s="39" t="s">
        <v>1258</v>
      </c>
    </row>
    <row r="140" customFormat="false" ht="12.8" hidden="false" customHeight="false" outlineLevel="0" collapsed="false">
      <c r="A140" s="64" t="str">
        <f aca="false">_xlfn.CONCAT($A$1, ".", "PARAM")</f>
        <v>LSD.RID.0.AL.AIAVG.PARAM</v>
      </c>
      <c r="B140" s="65" t="str">
        <f aca="false">_xlfn.CONCAT($B$1, " ", "Parameters")</f>
        <v>Alabama Wage Average (AIAVG) Parameters</v>
      </c>
      <c r="C140" s="65"/>
    </row>
    <row r="141" customFormat="false" ht="12.8" hidden="false" customHeight="false" outlineLevel="0" collapsed="false">
      <c r="A141" s="49" t="s">
        <v>5284</v>
      </c>
      <c r="B141" s="49" t="s">
        <v>178</v>
      </c>
      <c r="C141" s="49" t="s">
        <v>427</v>
      </c>
      <c r="D141" s="49" t="s">
        <v>180</v>
      </c>
      <c r="E141" s="49" t="s">
        <v>428</v>
      </c>
      <c r="F141" s="49" t="s">
        <v>429</v>
      </c>
      <c r="G141" s="49" t="s">
        <v>430</v>
      </c>
      <c r="H141" s="49" t="s">
        <v>181</v>
      </c>
    </row>
    <row r="142" customFormat="false" ht="12.8" hidden="false" customHeight="false" outlineLevel="0" collapsed="false">
      <c r="A142" s="39" t="s">
        <v>5717</v>
      </c>
      <c r="B142" s="39" t="s">
        <v>5032</v>
      </c>
      <c r="C142" s="39" t="s">
        <v>434</v>
      </c>
      <c r="D142" s="39" t="s">
        <v>5718</v>
      </c>
      <c r="E142" s="39" t="s">
        <v>434</v>
      </c>
      <c r="F142" s="39" t="s">
        <v>5719</v>
      </c>
      <c r="G142" s="52" t="s">
        <v>436</v>
      </c>
      <c r="H142" s="39" t="s">
        <v>1556</v>
      </c>
    </row>
    <row r="143" customFormat="false" ht="12.8" hidden="false" customHeight="false" outlineLevel="0" collapsed="false">
      <c r="A143" s="39" t="s">
        <v>5720</v>
      </c>
      <c r="B143" s="39" t="s">
        <v>5037</v>
      </c>
      <c r="C143" s="39" t="s">
        <v>434</v>
      </c>
      <c r="D143" s="39" t="s">
        <v>5721</v>
      </c>
      <c r="E143" s="39" t="s">
        <v>434</v>
      </c>
      <c r="F143" s="39" t="s">
        <v>5719</v>
      </c>
      <c r="G143" s="52" t="s">
        <v>436</v>
      </c>
    </row>
    <row r="144" customFormat="false" ht="12.8" hidden="false" customHeight="false" outlineLevel="0" collapsed="false">
      <c r="A144" s="39" t="s">
        <v>5722</v>
      </c>
      <c r="B144" s="39" t="s">
        <v>5040</v>
      </c>
      <c r="C144" s="39" t="s">
        <v>440</v>
      </c>
      <c r="D144" s="39" t="s">
        <v>5723</v>
      </c>
      <c r="E144" s="39" t="s">
        <v>440</v>
      </c>
      <c r="F144" s="39" t="s">
        <v>5719</v>
      </c>
      <c r="G144" s="52" t="s">
        <v>436</v>
      </c>
    </row>
    <row r="145" customFormat="false" ht="12.8" hidden="false" customHeight="false" outlineLevel="0" collapsed="false">
      <c r="A145" s="39" t="s">
        <v>5724</v>
      </c>
      <c r="B145" s="39" t="s">
        <v>5043</v>
      </c>
      <c r="C145" s="39" t="s">
        <v>434</v>
      </c>
      <c r="D145" s="39" t="s">
        <v>5725</v>
      </c>
      <c r="E145" s="39" t="s">
        <v>434</v>
      </c>
      <c r="F145" s="39" t="s">
        <v>5719</v>
      </c>
      <c r="G145" s="52" t="s">
        <v>436</v>
      </c>
    </row>
    <row r="146" customFormat="false" ht="12.8" hidden="false" customHeight="false" outlineLevel="0" collapsed="false">
      <c r="A146" s="39" t="s">
        <v>5726</v>
      </c>
      <c r="B146" s="39" t="s">
        <v>5046</v>
      </c>
      <c r="C146" s="39" t="s">
        <v>434</v>
      </c>
      <c r="D146" s="39" t="s">
        <v>5727</v>
      </c>
      <c r="E146" s="39" t="s">
        <v>434</v>
      </c>
      <c r="F146" s="39" t="s">
        <v>5719</v>
      </c>
      <c r="G146" s="52" t="s">
        <v>436</v>
      </c>
    </row>
    <row r="147" customFormat="false" ht="12.8" hidden="false" customHeight="false" outlineLevel="0" collapsed="false">
      <c r="A147" s="39" t="s">
        <v>5728</v>
      </c>
      <c r="B147" s="39" t="s">
        <v>5049</v>
      </c>
      <c r="C147" s="39" t="s">
        <v>434</v>
      </c>
      <c r="D147" s="39" t="s">
        <v>5729</v>
      </c>
      <c r="E147" s="39" t="s">
        <v>434</v>
      </c>
      <c r="F147" s="39" t="s">
        <v>5719</v>
      </c>
      <c r="G147" s="52" t="s">
        <v>436</v>
      </c>
    </row>
    <row r="148" customFormat="false" ht="12.8" hidden="false" customHeight="false" outlineLevel="0" collapsed="false">
      <c r="A148" s="39" t="s">
        <v>5730</v>
      </c>
      <c r="B148" s="39" t="s">
        <v>5052</v>
      </c>
      <c r="C148" s="39" t="s">
        <v>434</v>
      </c>
      <c r="D148" s="39" t="s">
        <v>5731</v>
      </c>
      <c r="E148" s="39" t="s">
        <v>434</v>
      </c>
      <c r="F148" s="39" t="s">
        <v>5719</v>
      </c>
      <c r="G148" s="52" t="s">
        <v>436</v>
      </c>
    </row>
    <row r="149" customFormat="false" ht="12.8" hidden="false" customHeight="false" outlineLevel="0" collapsed="false">
      <c r="A149" s="39" t="s">
        <v>5732</v>
      </c>
      <c r="B149" s="39" t="s">
        <v>5055</v>
      </c>
      <c r="C149" s="39" t="s">
        <v>434</v>
      </c>
      <c r="D149" s="39" t="s">
        <v>5733</v>
      </c>
      <c r="E149" s="39" t="s">
        <v>434</v>
      </c>
      <c r="F149" s="39" t="s">
        <v>5719</v>
      </c>
      <c r="G149" s="52" t="s">
        <v>436</v>
      </c>
    </row>
    <row r="150" customFormat="false" ht="12.8" hidden="false" customHeight="false" outlineLevel="0" collapsed="false">
      <c r="A150" s="39" t="s">
        <v>5734</v>
      </c>
      <c r="B150" s="39" t="s">
        <v>5058</v>
      </c>
      <c r="C150" s="39" t="s">
        <v>434</v>
      </c>
      <c r="D150" s="39" t="s">
        <v>5735</v>
      </c>
      <c r="E150" s="39" t="s">
        <v>434</v>
      </c>
      <c r="F150" s="39" t="s">
        <v>5719</v>
      </c>
      <c r="G150" s="52" t="s">
        <v>436</v>
      </c>
    </row>
    <row r="151" customFormat="false" ht="12.8" hidden="false" customHeight="false" outlineLevel="0" collapsed="false">
      <c r="A151" s="39" t="s">
        <v>5736</v>
      </c>
      <c r="B151" s="39" t="s">
        <v>5061</v>
      </c>
      <c r="C151" s="39" t="s">
        <v>434</v>
      </c>
      <c r="D151" s="39" t="s">
        <v>5737</v>
      </c>
      <c r="E151" s="39" t="s">
        <v>434</v>
      </c>
      <c r="F151" s="39" t="s">
        <v>5719</v>
      </c>
      <c r="G151" s="52" t="s">
        <v>436</v>
      </c>
    </row>
    <row r="152" customFormat="false" ht="12.8" hidden="false" customHeight="false" outlineLevel="0" collapsed="false">
      <c r="A152" s="39" t="s">
        <v>5738</v>
      </c>
      <c r="B152" s="39" t="s">
        <v>5064</v>
      </c>
      <c r="C152" s="39" t="s">
        <v>440</v>
      </c>
      <c r="D152" s="39" t="s">
        <v>5739</v>
      </c>
      <c r="E152" s="39" t="s">
        <v>440</v>
      </c>
      <c r="F152" s="39" t="s">
        <v>5719</v>
      </c>
      <c r="G152" s="52" t="s">
        <v>436</v>
      </c>
    </row>
    <row r="153" customFormat="false" ht="12.8" hidden="false" customHeight="false" outlineLevel="0" collapsed="false">
      <c r="A153" s="39" t="s">
        <v>5740</v>
      </c>
      <c r="B153" s="39" t="s">
        <v>5067</v>
      </c>
      <c r="C153" s="39" t="s">
        <v>434</v>
      </c>
      <c r="D153" s="39" t="s">
        <v>5741</v>
      </c>
      <c r="E153" s="39" t="s">
        <v>434</v>
      </c>
      <c r="F153" s="39" t="s">
        <v>5719</v>
      </c>
      <c r="G153" s="52" t="s">
        <v>436</v>
      </c>
    </row>
    <row r="154" customFormat="false" ht="12.8" hidden="false" customHeight="false" outlineLevel="0" collapsed="false">
      <c r="A154" s="39" t="s">
        <v>5742</v>
      </c>
      <c r="B154" s="39" t="s">
        <v>5070</v>
      </c>
      <c r="C154" s="39" t="s">
        <v>434</v>
      </c>
      <c r="D154" s="39" t="s">
        <v>5743</v>
      </c>
      <c r="E154" s="39" t="s">
        <v>434</v>
      </c>
      <c r="F154" s="39" t="s">
        <v>5719</v>
      </c>
      <c r="G154" s="52" t="s">
        <v>436</v>
      </c>
    </row>
    <row r="155" customFormat="false" ht="12.8" hidden="false" customHeight="false" outlineLevel="0" collapsed="false">
      <c r="A155" s="39" t="s">
        <v>5744</v>
      </c>
      <c r="B155" s="39" t="s">
        <v>5073</v>
      </c>
      <c r="C155" s="39" t="s">
        <v>434</v>
      </c>
      <c r="D155" s="39" t="s">
        <v>5745</v>
      </c>
      <c r="E155" s="39" t="s">
        <v>434</v>
      </c>
      <c r="F155" s="39" t="s">
        <v>5719</v>
      </c>
      <c r="G155" s="52" t="s">
        <v>436</v>
      </c>
    </row>
    <row r="156" customFormat="false" ht="12.8" hidden="false" customHeight="false" outlineLevel="0" collapsed="false">
      <c r="A156" s="39" t="s">
        <v>5746</v>
      </c>
      <c r="B156" s="39" t="s">
        <v>5076</v>
      </c>
      <c r="C156" s="39" t="s">
        <v>434</v>
      </c>
      <c r="D156" s="39" t="s">
        <v>5747</v>
      </c>
      <c r="E156" s="39" t="s">
        <v>434</v>
      </c>
      <c r="F156" s="39" t="s">
        <v>5719</v>
      </c>
      <c r="G156" s="52" t="s">
        <v>436</v>
      </c>
    </row>
    <row r="157" customFormat="false" ht="12.8" hidden="false" customHeight="false" outlineLevel="0" collapsed="false">
      <c r="A157" s="39" t="s">
        <v>5748</v>
      </c>
      <c r="B157" s="39" t="s">
        <v>5079</v>
      </c>
      <c r="C157" s="39" t="s">
        <v>440</v>
      </c>
      <c r="D157" s="39" t="s">
        <v>5749</v>
      </c>
      <c r="E157" s="39" t="s">
        <v>440</v>
      </c>
      <c r="F157" s="39" t="s">
        <v>5719</v>
      </c>
      <c r="G157" s="52" t="s">
        <v>436</v>
      </c>
    </row>
    <row r="158" customFormat="false" ht="12.8" hidden="false" customHeight="false" outlineLevel="0" collapsed="false">
      <c r="A158" s="39" t="s">
        <v>5750</v>
      </c>
      <c r="B158" s="39" t="s">
        <v>5082</v>
      </c>
      <c r="C158" s="39" t="s">
        <v>434</v>
      </c>
      <c r="D158" s="39" t="s">
        <v>5751</v>
      </c>
      <c r="E158" s="39" t="s">
        <v>434</v>
      </c>
      <c r="F158" s="39" t="s">
        <v>5719</v>
      </c>
      <c r="G158" s="52" t="s">
        <v>436</v>
      </c>
    </row>
    <row r="159" customFormat="false" ht="12.8" hidden="false" customHeight="false" outlineLevel="0" collapsed="false">
      <c r="A159" s="39" t="s">
        <v>5752</v>
      </c>
      <c r="B159" s="39" t="s">
        <v>5085</v>
      </c>
      <c r="C159" s="39" t="s">
        <v>434</v>
      </c>
      <c r="D159" s="39" t="s">
        <v>5753</v>
      </c>
      <c r="E159" s="39" t="s">
        <v>434</v>
      </c>
      <c r="F159" s="39" t="s">
        <v>5719</v>
      </c>
      <c r="G159" s="52" t="s">
        <v>436</v>
      </c>
    </row>
    <row r="160" customFormat="false" ht="12.8" hidden="false" customHeight="false" outlineLevel="0" collapsed="false">
      <c r="A160" s="39" t="s">
        <v>5754</v>
      </c>
      <c r="B160" s="39" t="s">
        <v>5088</v>
      </c>
      <c r="C160" s="39" t="s">
        <v>502</v>
      </c>
      <c r="D160" s="39" t="s">
        <v>5755</v>
      </c>
      <c r="E160" s="39" t="s">
        <v>502</v>
      </c>
      <c r="F160" s="39" t="s">
        <v>5719</v>
      </c>
      <c r="G160" s="52" t="s">
        <v>436</v>
      </c>
    </row>
    <row r="161" customFormat="false" ht="12.8" hidden="false" customHeight="false" outlineLevel="0" collapsed="false">
      <c r="A161" s="39" t="s">
        <v>5756</v>
      </c>
      <c r="B161" s="39" t="s">
        <v>5091</v>
      </c>
      <c r="C161" s="39" t="s">
        <v>502</v>
      </c>
      <c r="D161" s="39" t="s">
        <v>5757</v>
      </c>
      <c r="E161" s="39" t="s">
        <v>502</v>
      </c>
      <c r="F161" s="39" t="s">
        <v>5719</v>
      </c>
      <c r="G161" s="52" t="s">
        <v>436</v>
      </c>
    </row>
    <row r="162" customFormat="false" ht="12.8" hidden="false" customHeight="false" outlineLevel="0" collapsed="false">
      <c r="A162" s="39" t="s">
        <v>5758</v>
      </c>
      <c r="B162" s="39" t="s">
        <v>5094</v>
      </c>
      <c r="C162" s="39" t="s">
        <v>434</v>
      </c>
      <c r="D162" s="39" t="s">
        <v>5759</v>
      </c>
      <c r="E162" s="39" t="s">
        <v>434</v>
      </c>
      <c r="F162" s="39" t="s">
        <v>5719</v>
      </c>
      <c r="G162" s="52" t="s">
        <v>436</v>
      </c>
    </row>
    <row r="163" customFormat="false" ht="12.8" hidden="false" customHeight="false" outlineLevel="0" collapsed="false">
      <c r="A163" s="39" t="s">
        <v>5760</v>
      </c>
      <c r="B163" s="39" t="s">
        <v>5097</v>
      </c>
      <c r="C163" s="39" t="s">
        <v>434</v>
      </c>
      <c r="D163" s="39" t="s">
        <v>5761</v>
      </c>
      <c r="E163" s="39" t="s">
        <v>434</v>
      </c>
      <c r="F163" s="39" t="s">
        <v>5719</v>
      </c>
      <c r="G163" s="52" t="s">
        <v>436</v>
      </c>
    </row>
    <row r="164" customFormat="false" ht="12.8" hidden="false" customHeight="false" outlineLevel="0" collapsed="false">
      <c r="A164" s="39" t="s">
        <v>5762</v>
      </c>
      <c r="B164" s="39" t="s">
        <v>5105</v>
      </c>
      <c r="C164" s="39" t="n">
        <v>0.1</v>
      </c>
      <c r="D164" s="39" t="s">
        <v>5763</v>
      </c>
      <c r="E164" s="39" t="s">
        <v>440</v>
      </c>
      <c r="F164" s="39" t="s">
        <v>487</v>
      </c>
      <c r="G164" s="52" t="s">
        <v>436</v>
      </c>
      <c r="H164" s="39" t="s">
        <v>1258</v>
      </c>
    </row>
    <row r="165" customFormat="false" ht="12.8" hidden="false" customHeight="false" outlineLevel="0" collapsed="false">
      <c r="A165" s="39" t="s">
        <v>5764</v>
      </c>
      <c r="B165" s="39" t="s">
        <v>5765</v>
      </c>
      <c r="C165" s="39" t="n">
        <v>0.5</v>
      </c>
      <c r="D165" s="39" t="s">
        <v>5766</v>
      </c>
      <c r="E165" s="39" t="s">
        <v>434</v>
      </c>
      <c r="F165" s="39" t="s">
        <v>487</v>
      </c>
      <c r="G165" s="52" t="s">
        <v>436</v>
      </c>
      <c r="H165" s="39" t="s">
        <v>5767</v>
      </c>
    </row>
    <row r="166" customFormat="false" ht="12.8" hidden="false" customHeight="false" outlineLevel="0" collapsed="false">
      <c r="A166" s="39" t="s">
        <v>5768</v>
      </c>
      <c r="B166" s="39" t="s">
        <v>5769</v>
      </c>
      <c r="C166" s="39" t="n">
        <v>1.03</v>
      </c>
      <c r="D166" s="39" t="s">
        <v>5770</v>
      </c>
      <c r="E166" s="39" t="s">
        <v>502</v>
      </c>
      <c r="F166" s="39" t="s">
        <v>4795</v>
      </c>
      <c r="G166" s="52" t="s">
        <v>436</v>
      </c>
      <c r="H166" s="39" t="s">
        <v>1258</v>
      </c>
    </row>
    <row r="167" customFormat="false" ht="12.8" hidden="false" customHeight="false" outlineLevel="0" collapsed="false">
      <c r="A167" s="39" t="s">
        <v>5771</v>
      </c>
      <c r="B167" s="39" t="s">
        <v>5772</v>
      </c>
      <c r="C167" s="39" t="s">
        <v>5773</v>
      </c>
      <c r="D167" s="39" t="s">
        <v>5774</v>
      </c>
      <c r="E167" s="39" t="s">
        <v>434</v>
      </c>
      <c r="F167" s="39" t="s">
        <v>5182</v>
      </c>
      <c r="G167" s="52" t="s">
        <v>436</v>
      </c>
      <c r="H167" s="39" t="s">
        <v>1258</v>
      </c>
    </row>
    <row r="168" customFormat="false" ht="12.8" hidden="false" customHeight="false" outlineLevel="0" collapsed="false">
      <c r="A168" s="39" t="s">
        <v>5775</v>
      </c>
      <c r="B168" s="39" t="s">
        <v>5184</v>
      </c>
      <c r="C168" s="39" t="n">
        <v>32</v>
      </c>
      <c r="D168" s="39" t="s">
        <v>5776</v>
      </c>
      <c r="E168" s="39" t="s">
        <v>434</v>
      </c>
      <c r="F168" s="39" t="s">
        <v>5186</v>
      </c>
      <c r="G168" s="52" t="s">
        <v>436</v>
      </c>
      <c r="H168" s="39" t="s">
        <v>1258</v>
      </c>
    </row>
    <row r="169" customFormat="false" ht="12.8" hidden="false" customHeight="false" outlineLevel="0" collapsed="false">
      <c r="A169" s="39" t="s">
        <v>5777</v>
      </c>
      <c r="B169" s="39" t="s">
        <v>5778</v>
      </c>
      <c r="C169" s="39" t="n">
        <v>18.5</v>
      </c>
      <c r="D169" s="39" t="s">
        <v>5779</v>
      </c>
      <c r="E169" s="39" t="s">
        <v>502</v>
      </c>
      <c r="F169" s="39" t="s">
        <v>5102</v>
      </c>
      <c r="G169" s="52" t="s">
        <v>436</v>
      </c>
      <c r="H169" s="39" t="s">
        <v>5780</v>
      </c>
    </row>
    <row r="175" customFormat="false" ht="12.8" hidden="false" customHeight="false" outlineLevel="0" collapsed="false">
      <c r="A175" s="64" t="str">
        <f aca="false">_xlfn.CONCAT($A$1, ".", "VALID")</f>
        <v>LSD.RID.0.AL.AIAVG.VALID</v>
      </c>
      <c r="B175" s="65" t="str">
        <f aca="false">_xlfn.CONCAT($B$1, " ", "Validation")</f>
        <v>Alabama Wage Average (AIAVG) Validation</v>
      </c>
    </row>
    <row r="176" customFormat="false" ht="12.8" hidden="false" customHeight="false" outlineLevel="0" collapsed="false">
      <c r="A176" s="49" t="s">
        <v>113</v>
      </c>
      <c r="B176" s="49" t="s">
        <v>5193</v>
      </c>
      <c r="C176" s="49" t="s">
        <v>4950</v>
      </c>
      <c r="D176" s="49" t="s">
        <v>5194</v>
      </c>
      <c r="E176" s="49" t="s">
        <v>5195</v>
      </c>
      <c r="F176" s="49" t="s">
        <v>428</v>
      </c>
      <c r="G176" s="49" t="s">
        <v>5196</v>
      </c>
    </row>
    <row r="177" customFormat="false" ht="12.8" hidden="false" customHeight="false" outlineLevel="0" collapsed="false">
      <c r="A177" s="51" t="s">
        <v>5781</v>
      </c>
      <c r="B177" s="39" t="s">
        <v>4608</v>
      </c>
      <c r="C177" s="39" t="n">
        <v>31.96</v>
      </c>
      <c r="D177" s="39" t="s">
        <v>1470</v>
      </c>
      <c r="E177" s="39" t="s">
        <v>434</v>
      </c>
      <c r="F177" s="39" t="s">
        <v>5782</v>
      </c>
    </row>
    <row r="178" customFormat="false" ht="12.8" hidden="false" customHeight="false" outlineLevel="0" collapsed="false">
      <c r="A178" s="51" t="s">
        <v>5783</v>
      </c>
      <c r="B178" s="39" t="s">
        <v>5611</v>
      </c>
      <c r="C178" s="39" t="s">
        <v>5784</v>
      </c>
      <c r="D178" s="39" t="s">
        <v>5785</v>
      </c>
      <c r="E178" s="39" t="s">
        <v>434</v>
      </c>
      <c r="F178" s="39" t="s">
        <v>5786</v>
      </c>
    </row>
    <row r="179" customFormat="false" ht="12.8" hidden="false" customHeight="false" outlineLevel="0" collapsed="false">
      <c r="A179" s="51" t="s">
        <v>5787</v>
      </c>
      <c r="B179" s="39" t="s">
        <v>5788</v>
      </c>
      <c r="C179" s="39" t="s">
        <v>5789</v>
      </c>
      <c r="D179" s="39" t="s">
        <v>5790</v>
      </c>
      <c r="E179" s="39" t="s">
        <v>434</v>
      </c>
      <c r="F179" s="39" t="s">
        <v>5619</v>
      </c>
    </row>
    <row r="180" customFormat="false" ht="12.8" hidden="false" customHeight="false" outlineLevel="0" collapsed="false">
      <c r="A180" s="51" t="s">
        <v>5791</v>
      </c>
      <c r="B180" s="39" t="s">
        <v>5792</v>
      </c>
      <c r="C180" s="39" t="s">
        <v>5793</v>
      </c>
      <c r="D180" s="39" t="s">
        <v>5794</v>
      </c>
      <c r="E180" s="39" t="s">
        <v>440</v>
      </c>
      <c r="F180" s="39" t="s">
        <v>5795</v>
      </c>
    </row>
    <row r="181" customFormat="false" ht="12.8" hidden="false" customHeight="false" outlineLevel="0" collapsed="false">
      <c r="A181" s="51" t="s">
        <v>5796</v>
      </c>
      <c r="B181" s="39" t="s">
        <v>5474</v>
      </c>
      <c r="C181" s="39" t="s">
        <v>5797</v>
      </c>
      <c r="D181" s="39" t="s">
        <v>5476</v>
      </c>
      <c r="E181" s="39" t="s">
        <v>5798</v>
      </c>
      <c r="F181" s="39" t="s">
        <v>434</v>
      </c>
      <c r="G181" s="39" t="s">
        <v>5799</v>
      </c>
    </row>
    <row r="182" customFormat="false" ht="12.8" hidden="false" customHeight="false" outlineLevel="0" collapsed="false">
      <c r="A182" s="51" t="s">
        <v>5800</v>
      </c>
      <c r="B182" s="39" t="s">
        <v>5480</v>
      </c>
      <c r="C182" s="39" t="s">
        <v>5481</v>
      </c>
      <c r="D182" s="39" t="s">
        <v>5801</v>
      </c>
      <c r="E182" s="39" t="s">
        <v>434</v>
      </c>
      <c r="F182" s="39" t="s">
        <v>5802</v>
      </c>
    </row>
    <row r="183" customFormat="false" ht="12.8" hidden="false" customHeight="false" outlineLevel="0" collapsed="false">
      <c r="A183" s="51" t="s">
        <v>5803</v>
      </c>
      <c r="B183" s="39" t="s">
        <v>5804</v>
      </c>
      <c r="C183" s="39" t="s">
        <v>5805</v>
      </c>
      <c r="D183" s="39" t="s">
        <v>5806</v>
      </c>
      <c r="E183" s="39" t="s">
        <v>434</v>
      </c>
      <c r="F183" s="39" t="s">
        <v>5807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154"/>
  <sheetViews>
    <sheetView showFormulas="false" showGridLines="true" showRowColHeaders="true" showZeros="true" rightToLeft="false" tabSelected="true" showOutlineSymbols="true" defaultGridColor="true" view="normal" topLeftCell="A1" colorId="64" zoomScale="75" zoomScaleNormal="7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51"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5808</v>
      </c>
      <c r="B1" s="67" t="s">
        <v>5809</v>
      </c>
      <c r="C1" s="6" t="s">
        <v>2</v>
      </c>
      <c r="D1" s="66" t="s">
        <v>5810</v>
      </c>
      <c r="AZ1" s="39"/>
      <c r="BP1" s="39"/>
    </row>
    <row r="2" customFormat="false" ht="12.8" hidden="false" customHeight="false" outlineLevel="0" collapsed="false">
      <c r="A2" s="64" t="str">
        <f aca="false">_xlfn.CONCAT($A$1, ".", "CALC")</f>
        <v>LSD.RID.0.AL.AIAVG.CALC</v>
      </c>
      <c r="B2" s="65" t="str">
        <f aca="false">_xlfn.CONCAT($B$1, " ", "Calculations")</f>
        <v>Alabama Annual Income Average (AIAVG) Calculations</v>
      </c>
      <c r="C2" s="3"/>
      <c r="D2" s="0"/>
      <c r="E2" s="0"/>
      <c r="F2" s="0"/>
    </row>
    <row r="3" customFormat="false" ht="23.85" hidden="false" customHeight="false" outlineLevel="0" collapsed="false">
      <c r="A3" s="64" t="str">
        <f aca="false">CALC!A3</f>
        <v>LSID</v>
      </c>
      <c r="B3" s="42" t="str">
        <f aca="false">CALC!C3</f>
        <v>Labor Sector</v>
      </c>
      <c r="C3" s="75" t="str">
        <f aca="false">CALC!AF3</f>
        <v>Overall AIAVG</v>
      </c>
      <c r="D3" s="75" t="str">
        <f aca="false">CALC!AG3</f>
        <v>Authorized AIAVG</v>
      </c>
      <c r="E3" s="75" t="str">
        <f aca="false">CALC!AH3</f>
        <v>Unauthorized AIAVG</v>
      </c>
      <c r="F3" s="75" t="str">
        <f aca="false">CALC!AI3</f>
        <v>American AIAVG</v>
      </c>
      <c r="AT3" s="0"/>
      <c r="AU3" s="0"/>
      <c r="AV3" s="0"/>
      <c r="AW3" s="0"/>
      <c r="AZ3" s="39"/>
      <c r="BA3" s="39"/>
      <c r="BB3" s="39"/>
      <c r="BC3" s="39"/>
      <c r="BJ3" s="0"/>
      <c r="BK3" s="0"/>
      <c r="BL3" s="0"/>
      <c r="BM3" s="0"/>
      <c r="BN3" s="0"/>
      <c r="BO3" s="0"/>
    </row>
    <row r="4" customFormat="false" ht="12.9" hidden="false" customHeight="false" outlineLevel="0" collapsed="false">
      <c r="A4" s="64" t="str">
        <f aca="false">_xlfn.CONCAT($A$1, ".", CALC!A4)</f>
        <v>LSD.RID.0.AL.AIAVG.0</v>
      </c>
      <c r="B4" s="42" t="str">
        <f aca="false">CALC!C4</f>
        <v>All Industries</v>
      </c>
      <c r="C4" s="39" t="n">
        <v>66477</v>
      </c>
      <c r="D4" s="39" t="n">
        <v>68064</v>
      </c>
      <c r="E4" s="39" t="n">
        <v>46534</v>
      </c>
      <c r="F4" s="39" t="n">
        <v>66857</v>
      </c>
      <c r="AT4" s="0"/>
      <c r="AU4" s="0"/>
      <c r="AV4" s="0"/>
      <c r="AW4" s="0"/>
      <c r="AZ4" s="39"/>
      <c r="BA4" s="39"/>
      <c r="BB4" s="39"/>
      <c r="BC4" s="39"/>
      <c r="BJ4" s="0"/>
      <c r="BK4" s="0"/>
      <c r="BL4" s="0"/>
      <c r="BM4" s="0"/>
      <c r="BN4" s="0"/>
      <c r="BO4" s="0"/>
    </row>
    <row r="5" customFormat="false" ht="23.85" hidden="false" customHeight="false" outlineLevel="0" collapsed="false">
      <c r="A5" s="64" t="str">
        <f aca="false">_xlfn.CONCAT($A$1, ".", CALC!A5)</f>
        <v>LSD.RID.0.AL.AIAVG.1</v>
      </c>
      <c r="B5" s="67" t="str">
        <f aca="false">CALC!C5</f>
        <v>Agriculture, Forestry, 
Fishing and Hunting</v>
      </c>
      <c r="C5" s="39" t="n">
        <v>35150</v>
      </c>
      <c r="D5" s="39" t="n">
        <v>36105</v>
      </c>
      <c r="E5" s="39" t="n">
        <v>22848</v>
      </c>
      <c r="F5" s="39" t="n">
        <v>35301</v>
      </c>
      <c r="AT5" s="0"/>
      <c r="AU5" s="0"/>
      <c r="AV5" s="0"/>
      <c r="AW5" s="0"/>
      <c r="AZ5" s="39"/>
      <c r="BA5" s="39"/>
      <c r="BB5" s="39"/>
      <c r="BC5" s="39"/>
      <c r="BJ5" s="0"/>
      <c r="BK5" s="0"/>
      <c r="BL5" s="0"/>
      <c r="BM5" s="0"/>
      <c r="BN5" s="0"/>
      <c r="BO5" s="0"/>
    </row>
    <row r="6" customFormat="false" ht="23.85" hidden="false" customHeight="false" outlineLevel="0" collapsed="false">
      <c r="A6" s="64" t="str">
        <f aca="false">_xlfn.CONCAT($A$1, ".", CALC!A6)</f>
        <v>LSD.RID.0.AL.AIAVG.2</v>
      </c>
      <c r="B6" s="67" t="str">
        <f aca="false">CALC!C6</f>
        <v>Mining, Quarrying, and
Oil and Gas Extraction</v>
      </c>
      <c r="C6" s="39" t="n">
        <v>73500</v>
      </c>
      <c r="D6" s="39" t="n">
        <v>76440</v>
      </c>
      <c r="E6" s="39" t="n">
        <v>55125</v>
      </c>
      <c r="F6" s="39" t="n">
        <v>73926</v>
      </c>
      <c r="AT6" s="0"/>
      <c r="AU6" s="0"/>
      <c r="AV6" s="0"/>
      <c r="AW6" s="0"/>
      <c r="AZ6" s="39"/>
      <c r="BA6" s="39"/>
      <c r="BB6" s="39"/>
      <c r="BC6" s="39"/>
      <c r="BJ6" s="0"/>
      <c r="BK6" s="0"/>
      <c r="BL6" s="0"/>
      <c r="BM6" s="0"/>
      <c r="BN6" s="0"/>
      <c r="BO6" s="0"/>
    </row>
    <row r="7" customFormat="false" ht="12.9" hidden="false" customHeight="false" outlineLevel="0" collapsed="false">
      <c r="A7" s="64" t="str">
        <f aca="false">_xlfn.CONCAT($A$1, ".", CALC!A7)</f>
        <v>LSD.RID.0.AL.AIAVG.3</v>
      </c>
      <c r="B7" s="42" t="str">
        <f aca="false">CALC!C7</f>
        <v>Utilities</v>
      </c>
      <c r="C7" s="39" t="n">
        <v>83200</v>
      </c>
      <c r="D7" s="39" t="n">
        <v>84864</v>
      </c>
      <c r="E7" s="39" t="n">
        <v>66560</v>
      </c>
      <c r="F7" s="39" t="n">
        <v>83392</v>
      </c>
      <c r="AT7" s="0"/>
      <c r="AU7" s="0"/>
      <c r="AV7" s="0"/>
      <c r="AW7" s="0"/>
      <c r="AZ7" s="39"/>
      <c r="BA7" s="39"/>
      <c r="BB7" s="39"/>
      <c r="BC7" s="39"/>
      <c r="BJ7" s="0"/>
      <c r="BK7" s="0"/>
      <c r="BL7" s="0"/>
      <c r="BM7" s="0"/>
      <c r="BN7" s="0"/>
      <c r="BO7" s="0"/>
    </row>
    <row r="8" customFormat="false" ht="12.9" hidden="false" customHeight="false" outlineLevel="0" collapsed="false">
      <c r="A8" s="64" t="str">
        <f aca="false">_xlfn.CONCAT($A$1, ".", CALC!A8)</f>
        <v>LSD.RID.0.AL.AIAVG.4</v>
      </c>
      <c r="B8" s="42" t="str">
        <f aca="false">CALC!C8</f>
        <v>Construction</v>
      </c>
      <c r="C8" s="39" t="n">
        <v>57400</v>
      </c>
      <c r="D8" s="39" t="n">
        <v>59122</v>
      </c>
      <c r="E8" s="39" t="n">
        <v>40180</v>
      </c>
      <c r="F8" s="39" t="n">
        <v>57687</v>
      </c>
      <c r="AT8" s="0"/>
      <c r="AU8" s="0"/>
      <c r="AV8" s="0"/>
      <c r="AW8" s="0"/>
      <c r="AZ8" s="39"/>
      <c r="BA8" s="39"/>
      <c r="BB8" s="39"/>
      <c r="BC8" s="39"/>
      <c r="BJ8" s="0"/>
      <c r="BK8" s="0"/>
      <c r="BL8" s="0"/>
      <c r="BM8" s="0"/>
      <c r="BN8" s="0"/>
      <c r="BO8" s="0"/>
    </row>
    <row r="9" customFormat="false" ht="23.85" hidden="false" customHeight="false" outlineLevel="0" collapsed="false">
      <c r="A9" s="64" t="str">
        <f aca="false">_xlfn.CONCAT($A$1, ".", CALC!A9)</f>
        <v>LSD.RID.0.AL.AIAVG.5</v>
      </c>
      <c r="B9" s="67" t="str">
        <f aca="false">CALC!C9</f>
        <v>Manufacturing
(Food,Textile, etc.)</v>
      </c>
      <c r="C9" s="39" t="n">
        <v>64000</v>
      </c>
      <c r="D9" s="39" t="n">
        <v>65280</v>
      </c>
      <c r="E9" s="39" t="n">
        <v>46080</v>
      </c>
      <c r="F9" s="39" t="n">
        <v>64128</v>
      </c>
      <c r="AT9" s="0"/>
      <c r="AU9" s="0"/>
      <c r="AV9" s="0"/>
      <c r="AW9" s="0"/>
      <c r="AZ9" s="39"/>
      <c r="BA9" s="39"/>
      <c r="BB9" s="39"/>
      <c r="BC9" s="39"/>
      <c r="BJ9" s="0"/>
      <c r="BK9" s="0"/>
      <c r="BL9" s="0"/>
      <c r="BM9" s="0"/>
      <c r="BN9" s="0"/>
      <c r="BO9" s="0"/>
    </row>
    <row r="10" customFormat="false" ht="23.85" hidden="false" customHeight="false" outlineLevel="0" collapsed="false">
      <c r="A10" s="64" t="str">
        <f aca="false">_xlfn.CONCAT($A$1, ".", CALC!A10)</f>
        <v>LSD.RID.0.AL.AIAVG.6</v>
      </c>
      <c r="B10" s="67" t="str">
        <f aca="false">CALC!C10</f>
        <v>Manufacturing (Wood,
Paper, Printing, etc.)</v>
      </c>
      <c r="C10" s="39" t="n">
        <v>60000</v>
      </c>
      <c r="D10" s="39" t="n">
        <v>61200</v>
      </c>
      <c r="E10" s="39" t="n">
        <v>43200</v>
      </c>
      <c r="F10" s="39" t="n">
        <v>60120</v>
      </c>
      <c r="AT10" s="0"/>
      <c r="AU10" s="0"/>
      <c r="AV10" s="0"/>
      <c r="AW10" s="0"/>
      <c r="AZ10" s="39"/>
      <c r="BA10" s="39"/>
      <c r="BB10" s="39"/>
      <c r="BC10" s="39"/>
      <c r="BJ10" s="0"/>
      <c r="BK10" s="0"/>
      <c r="BL10" s="0"/>
      <c r="BM10" s="0"/>
      <c r="BN10" s="0"/>
      <c r="BO10" s="0"/>
    </row>
    <row r="11" customFormat="false" ht="23.85" hidden="false" customHeight="false" outlineLevel="0" collapsed="false">
      <c r="A11" s="64" t="str">
        <f aca="false">_xlfn.CONCAT($A$1, ".", CALC!A11)</f>
        <v>LSD.RID.0.AL.AIAVG.7</v>
      </c>
      <c r="B11" s="67" t="str">
        <f aca="false">CALC!C11</f>
        <v>Manufacturing
(Machinery, Transport)</v>
      </c>
      <c r="C11" s="39" t="n">
        <v>73500</v>
      </c>
      <c r="D11" s="39" t="n">
        <v>74970</v>
      </c>
      <c r="E11" s="39" t="n">
        <v>55125</v>
      </c>
      <c r="F11" s="39" t="n">
        <v>73755</v>
      </c>
      <c r="AT11" s="0"/>
      <c r="AU11" s="0"/>
      <c r="AV11" s="0"/>
      <c r="AW11" s="0"/>
      <c r="AZ11" s="39"/>
      <c r="BA11" s="39"/>
      <c r="BB11" s="39"/>
      <c r="BC11" s="39"/>
      <c r="BJ11" s="0"/>
      <c r="BK11" s="0"/>
      <c r="BL11" s="0"/>
      <c r="BM11" s="0"/>
      <c r="BN11" s="0"/>
      <c r="BO11" s="0"/>
    </row>
    <row r="12" customFormat="false" ht="12.9" hidden="false" customHeight="false" outlineLevel="0" collapsed="false">
      <c r="A12" s="64" t="str">
        <f aca="false">_xlfn.CONCAT($A$1, ".", CALC!A12)</f>
        <v>LSD.RID.0.AL.AIAVG.8</v>
      </c>
      <c r="B12" s="42" t="str">
        <f aca="false">CALC!C12</f>
        <v>Wholesale Trade</v>
      </c>
      <c r="C12" s="39" t="n">
        <v>65600</v>
      </c>
      <c r="D12" s="39" t="n">
        <v>66584</v>
      </c>
      <c r="E12" s="39" t="n">
        <v>51168</v>
      </c>
      <c r="F12" s="39" t="n">
        <v>65752</v>
      </c>
      <c r="AT12" s="0"/>
      <c r="AU12" s="0"/>
      <c r="AV12" s="0"/>
      <c r="AW12" s="0"/>
      <c r="AZ12" s="39"/>
      <c r="BA12" s="39"/>
      <c r="BB12" s="39"/>
      <c r="BC12" s="39"/>
      <c r="BJ12" s="0"/>
      <c r="BK12" s="0"/>
      <c r="BL12" s="0"/>
      <c r="BM12" s="0"/>
      <c r="BN12" s="0"/>
      <c r="BO12" s="0"/>
    </row>
    <row r="13" customFormat="false" ht="23.85" hidden="false" customHeight="false" outlineLevel="0" collapsed="false">
      <c r="A13" s="64" t="str">
        <f aca="false">_xlfn.CONCAT($A$1, ".", CALC!A13)</f>
        <v>LSD.RID.0.AL.AIAVG.9</v>
      </c>
      <c r="B13" s="67" t="str">
        <f aca="false">CALC!C13</f>
        <v>Retail Trade (Motor
Vehicle, Electronics)</v>
      </c>
      <c r="C13" s="39" t="n">
        <v>45000</v>
      </c>
      <c r="D13" s="39" t="n">
        <v>46350</v>
      </c>
      <c r="E13" s="39" t="n">
        <v>31500</v>
      </c>
      <c r="F13" s="39" t="n">
        <v>45135</v>
      </c>
      <c r="AT13" s="0"/>
      <c r="AU13" s="0"/>
      <c r="AV13" s="0"/>
      <c r="AW13" s="0"/>
      <c r="AZ13" s="39"/>
      <c r="BA13" s="39"/>
      <c r="BB13" s="39"/>
      <c r="BC13" s="39"/>
      <c r="BJ13" s="0"/>
      <c r="BK13" s="0"/>
      <c r="BL13" s="0"/>
      <c r="BM13" s="0"/>
      <c r="BN13" s="0"/>
      <c r="BO13" s="0"/>
    </row>
    <row r="14" customFormat="false" ht="23.85" hidden="false" customHeight="false" outlineLevel="0" collapsed="false">
      <c r="A14" s="64" t="str">
        <f aca="false">_xlfn.CONCAT($A$1, ".", CALC!A14)</f>
        <v>LSD.RID.0.AL.AIAVG.10</v>
      </c>
      <c r="B14" s="67" t="str">
        <f aca="false">CALC!C14</f>
        <v>Retail Trade (Food, Clothing,
General Merchandise, etc.)</v>
      </c>
      <c r="C14" s="39" t="n">
        <v>38500</v>
      </c>
      <c r="D14" s="39" t="n">
        <v>39655</v>
      </c>
      <c r="E14" s="39" t="n">
        <v>26180</v>
      </c>
      <c r="F14" s="39" t="n">
        <v>38611</v>
      </c>
      <c r="AT14" s="0"/>
      <c r="AU14" s="0"/>
      <c r="AV14" s="0"/>
      <c r="AW14" s="0"/>
      <c r="AZ14" s="39"/>
      <c r="BA14" s="39"/>
      <c r="BB14" s="39"/>
      <c r="BC14" s="39"/>
      <c r="BJ14" s="0"/>
      <c r="BK14" s="0"/>
      <c r="BL14" s="0"/>
      <c r="BM14" s="0"/>
      <c r="BN14" s="0"/>
      <c r="BO14" s="0"/>
    </row>
    <row r="15" customFormat="false" ht="12.9" hidden="false" customHeight="false" outlineLevel="0" collapsed="false">
      <c r="A15" s="64" t="str">
        <f aca="false">_xlfn.CONCAT($A$1, ".", CALC!A15)</f>
        <v>LSD.RID.0.AL.AIAVG.11</v>
      </c>
      <c r="B15" s="42" t="str">
        <f aca="false">CALC!C15</f>
        <v>Transportation</v>
      </c>
      <c r="C15" s="39" t="n">
        <v>60000</v>
      </c>
      <c r="D15" s="39" t="n">
        <v>61200</v>
      </c>
      <c r="E15" s="39" t="n">
        <v>43200</v>
      </c>
      <c r="F15" s="39" t="n">
        <v>60120</v>
      </c>
      <c r="AT15" s="0"/>
      <c r="AU15" s="0"/>
      <c r="AV15" s="0"/>
      <c r="AW15" s="0"/>
      <c r="AZ15" s="39"/>
      <c r="BA15" s="39"/>
      <c r="BB15" s="39"/>
      <c r="BC15" s="39"/>
      <c r="BJ15" s="0"/>
      <c r="BK15" s="0"/>
      <c r="BL15" s="0"/>
      <c r="BM15" s="0"/>
      <c r="BN15" s="0"/>
      <c r="BO15" s="0"/>
    </row>
    <row r="16" customFormat="false" ht="12.9" hidden="false" customHeight="false" outlineLevel="0" collapsed="false">
      <c r="A16" s="64" t="str">
        <f aca="false">_xlfn.CONCAT($A$1, ".", CALC!A16)</f>
        <v>LSD.RID.0.AL.AIAVG.12</v>
      </c>
      <c r="B16" s="42" t="str">
        <f aca="false">CALC!C16</f>
        <v>Warehousing and Storage</v>
      </c>
      <c r="C16" s="39" t="n">
        <v>54600</v>
      </c>
      <c r="D16" s="39" t="n">
        <v>55692</v>
      </c>
      <c r="E16" s="39" t="n">
        <v>39312</v>
      </c>
      <c r="F16" s="39" t="n">
        <v>54781</v>
      </c>
      <c r="AT16" s="0"/>
      <c r="AU16" s="0"/>
      <c r="AV16" s="0"/>
      <c r="AW16" s="0"/>
      <c r="AZ16" s="39"/>
      <c r="BA16" s="39"/>
      <c r="BB16" s="39"/>
      <c r="BC16" s="39"/>
      <c r="BJ16" s="0"/>
      <c r="BK16" s="0"/>
      <c r="BL16" s="0"/>
      <c r="BM16" s="0"/>
      <c r="BN16" s="0"/>
      <c r="BO16" s="0"/>
    </row>
    <row r="17" customFormat="false" ht="12.9" hidden="false" customHeight="false" outlineLevel="0" collapsed="false">
      <c r="A17" s="64" t="str">
        <f aca="false">_xlfn.CONCAT($A$1, ".", CALC!A17)</f>
        <v>LSD.RID.0.AL.AIAVG.13</v>
      </c>
      <c r="B17" s="42" t="str">
        <f aca="false">CALC!C17</f>
        <v>Information</v>
      </c>
      <c r="C17" s="39" t="n">
        <v>83200</v>
      </c>
      <c r="D17" s="39" t="n">
        <v>84864</v>
      </c>
      <c r="E17" s="39" t="n">
        <v>66560</v>
      </c>
      <c r="F17" s="39" t="n">
        <v>83392</v>
      </c>
      <c r="AT17" s="0"/>
      <c r="AU17" s="0"/>
      <c r="AV17" s="0"/>
      <c r="AW17" s="0"/>
      <c r="AZ17" s="39"/>
      <c r="BA17" s="39"/>
      <c r="BB17" s="39"/>
      <c r="BC17" s="39"/>
      <c r="BJ17" s="0"/>
      <c r="BK17" s="0"/>
      <c r="BL17" s="0"/>
      <c r="BM17" s="0"/>
      <c r="BN17" s="0"/>
      <c r="BO17" s="0"/>
    </row>
    <row r="18" customFormat="false" ht="12.9" hidden="false" customHeight="false" outlineLevel="0" collapsed="false">
      <c r="A18" s="64" t="str">
        <f aca="false">_xlfn.CONCAT($A$1, ".", CALC!A18)</f>
        <v>LSD.RID.0.AL.AIAVG.14</v>
      </c>
      <c r="B18" s="42" t="str">
        <f aca="false">CALC!C18</f>
        <v>Finance and Insurance</v>
      </c>
      <c r="C18" s="39" t="n">
        <v>114400</v>
      </c>
      <c r="D18" s="39" t="n">
        <v>115544</v>
      </c>
      <c r="E18" s="39" t="n">
        <v>97240</v>
      </c>
      <c r="F18" s="39" t="n">
        <v>114644</v>
      </c>
      <c r="AT18" s="0"/>
      <c r="AU18" s="0"/>
      <c r="AV18" s="0"/>
      <c r="AW18" s="0"/>
      <c r="AZ18" s="39"/>
      <c r="BA18" s="39"/>
      <c r="BB18" s="39"/>
      <c r="BC18" s="39"/>
      <c r="BJ18" s="0"/>
      <c r="BK18" s="0"/>
      <c r="BL18" s="0"/>
      <c r="BM18" s="0"/>
      <c r="BN18" s="0"/>
      <c r="BO18" s="0"/>
    </row>
    <row r="19" customFormat="false" ht="23.85" hidden="false" customHeight="false" outlineLevel="0" collapsed="false">
      <c r="A19" s="64" t="str">
        <f aca="false">_xlfn.CONCAT($A$1, ".", CALC!A19)</f>
        <v>LSD.RID.0.AL.AIAVG.15</v>
      </c>
      <c r="B19" s="67" t="str">
        <f aca="false">CALC!C19</f>
        <v>Real Estate and
Rental and Leasing</v>
      </c>
      <c r="C19" s="39" t="n">
        <v>64000</v>
      </c>
      <c r="D19" s="39" t="n">
        <v>65280</v>
      </c>
      <c r="E19" s="39" t="n">
        <v>49920</v>
      </c>
      <c r="F19" s="39" t="n">
        <v>64128</v>
      </c>
      <c r="AT19" s="0"/>
      <c r="AU19" s="0"/>
      <c r="AV19" s="0"/>
      <c r="AW19" s="0"/>
      <c r="AZ19" s="39"/>
      <c r="BA19" s="39"/>
      <c r="BB19" s="39"/>
      <c r="BC19" s="39"/>
      <c r="BJ19" s="0"/>
      <c r="BK19" s="0"/>
      <c r="BL19" s="0"/>
      <c r="BM19" s="0"/>
      <c r="BN19" s="0"/>
      <c r="BO19" s="0"/>
    </row>
    <row r="20" customFormat="false" ht="23.85" hidden="false" customHeight="false" outlineLevel="0" collapsed="false">
      <c r="A20" s="64" t="str">
        <f aca="false">_xlfn.CONCAT($A$1, ".", CALC!A20)</f>
        <v>LSD.RID.0.AL.AIAVG.16</v>
      </c>
      <c r="B20" s="67" t="str">
        <f aca="false">CALC!C20</f>
        <v>Professional, Scientific,
and Technical Services</v>
      </c>
      <c r="C20" s="39" t="n">
        <v>96750</v>
      </c>
      <c r="D20" s="39" t="n">
        <v>97718</v>
      </c>
      <c r="E20" s="39" t="n">
        <v>79335</v>
      </c>
      <c r="F20" s="39" t="n">
        <v>96891</v>
      </c>
      <c r="AT20" s="0"/>
      <c r="AU20" s="0"/>
      <c r="AV20" s="0"/>
      <c r="AW20" s="0"/>
      <c r="AZ20" s="39"/>
      <c r="BA20" s="39"/>
      <c r="BB20" s="39"/>
      <c r="BC20" s="39"/>
      <c r="BJ20" s="0"/>
      <c r="BK20" s="0"/>
      <c r="BL20" s="0"/>
      <c r="BM20" s="0"/>
      <c r="BN20" s="0"/>
      <c r="BO20" s="0"/>
    </row>
    <row r="21" customFormat="false" ht="34.8" hidden="false" customHeight="false" outlineLevel="0" collapsed="false">
      <c r="A21" s="64" t="str">
        <f aca="false">_xlfn.CONCAT($A$1, ".", CALC!A21)</f>
        <v>LSD.RID.0.AL.AIAVG.17</v>
      </c>
      <c r="B21" s="67" t="str">
        <f aca="false">CALC!C21</f>
        <v>Administrative and Support
and Waste Management
and Remediation Services</v>
      </c>
      <c r="C21" s="39" t="n">
        <v>45000</v>
      </c>
      <c r="D21" s="39" t="n">
        <v>46350</v>
      </c>
      <c r="E21" s="39" t="n">
        <v>31500</v>
      </c>
      <c r="F21" s="39" t="n">
        <v>45135</v>
      </c>
      <c r="AT21" s="0"/>
      <c r="AU21" s="0"/>
      <c r="AV21" s="0"/>
      <c r="AW21" s="0"/>
      <c r="AZ21" s="39"/>
      <c r="BA21" s="39"/>
      <c r="BB21" s="39"/>
      <c r="BC21" s="39"/>
      <c r="BJ21" s="0"/>
      <c r="BK21" s="0"/>
      <c r="BL21" s="0"/>
      <c r="BM21" s="0"/>
      <c r="BN21" s="0"/>
      <c r="BO21" s="0"/>
    </row>
    <row r="22" customFormat="false" ht="12.9" hidden="false" customHeight="false" outlineLevel="0" collapsed="false">
      <c r="A22" s="64" t="str">
        <f aca="false">_xlfn.CONCAT($A$1, ".", CALC!A22)</f>
        <v>LSD.RID.0.AL.AIAVG.18</v>
      </c>
      <c r="B22" s="42" t="str">
        <f aca="false">CALC!C22</f>
        <v>Educational Services</v>
      </c>
      <c r="C22" s="39" t="n">
        <v>68250</v>
      </c>
      <c r="D22" s="39" t="n">
        <v>69314</v>
      </c>
      <c r="E22" s="39" t="n">
        <v>54600</v>
      </c>
      <c r="F22" s="39" t="n">
        <v>68429</v>
      </c>
      <c r="AT22" s="0"/>
      <c r="AU22" s="0"/>
      <c r="AV22" s="0"/>
      <c r="AW22" s="0"/>
      <c r="AZ22" s="39"/>
      <c r="BA22" s="39"/>
      <c r="BB22" s="39"/>
      <c r="BC22" s="39"/>
      <c r="BJ22" s="0"/>
      <c r="BK22" s="0"/>
      <c r="BL22" s="0"/>
      <c r="BM22" s="0"/>
      <c r="BN22" s="0"/>
      <c r="BO22" s="0"/>
    </row>
    <row r="23" customFormat="false" ht="23.85" hidden="false" customHeight="false" outlineLevel="0" collapsed="false">
      <c r="A23" s="64" t="str">
        <f aca="false">_xlfn.CONCAT($A$1, ".", CALC!A23)</f>
        <v>LSD.RID.0.AL.AIAVG.19</v>
      </c>
      <c r="B23" s="67" t="str">
        <f aca="false">CALC!C23</f>
        <v>Health Care and
Social Assistance</v>
      </c>
      <c r="C23" s="39" t="n">
        <v>70000</v>
      </c>
      <c r="D23" s="39" t="n">
        <v>71050</v>
      </c>
      <c r="E23" s="39" t="n">
        <v>56000</v>
      </c>
      <c r="F23" s="39" t="n">
        <v>70175</v>
      </c>
      <c r="AT23" s="0"/>
      <c r="AU23" s="0"/>
      <c r="AV23" s="0"/>
      <c r="AW23" s="0"/>
      <c r="AZ23" s="39"/>
      <c r="BA23" s="39"/>
      <c r="BB23" s="39"/>
      <c r="BC23" s="39"/>
      <c r="BJ23" s="0"/>
      <c r="BK23" s="0"/>
      <c r="BL23" s="0"/>
      <c r="BM23" s="0"/>
      <c r="BN23" s="0"/>
      <c r="BO23" s="0"/>
    </row>
    <row r="24" customFormat="false" ht="23.85" hidden="false" customHeight="false" outlineLevel="0" collapsed="false">
      <c r="A24" s="64" t="str">
        <f aca="false">_xlfn.CONCAT($A$1, ".", CALC!A24)</f>
        <v>LSD.RID.0.AL.AIAVG.20</v>
      </c>
      <c r="B24" s="67" t="str">
        <f aca="false">CALC!C24</f>
        <v>Arts, Entertainment,
and Recreation</v>
      </c>
      <c r="C24" s="39" t="n">
        <v>34000</v>
      </c>
      <c r="D24" s="39" t="n">
        <v>35020</v>
      </c>
      <c r="E24" s="39" t="n">
        <v>23120</v>
      </c>
      <c r="F24" s="39" t="n">
        <v>34134</v>
      </c>
      <c r="AT24" s="0"/>
      <c r="AU24" s="0"/>
      <c r="AV24" s="0"/>
      <c r="AW24" s="0"/>
      <c r="AZ24" s="39"/>
      <c r="BA24" s="39"/>
      <c r="BB24" s="39"/>
      <c r="BC24" s="39"/>
      <c r="BJ24" s="0"/>
      <c r="BK24" s="0"/>
      <c r="BL24" s="0"/>
      <c r="BM24" s="0"/>
      <c r="BN24" s="0"/>
      <c r="BO24" s="0"/>
    </row>
    <row r="25" customFormat="false" ht="23.85" hidden="false" customHeight="false" outlineLevel="0" collapsed="false">
      <c r="A25" s="64" t="str">
        <f aca="false">_xlfn.CONCAT($A$1, ".", CALC!A25)</f>
        <v>LSD.RID.0.AL.AIAVG.21</v>
      </c>
      <c r="B25" s="67" t="str">
        <f aca="false">CALC!C25</f>
        <v>Accommodation
and Food Services</v>
      </c>
      <c r="C25" s="39" t="n">
        <v>25600</v>
      </c>
      <c r="D25" s="39" t="n">
        <v>26496</v>
      </c>
      <c r="E25" s="39" t="n">
        <v>16640</v>
      </c>
      <c r="F25" s="39" t="n">
        <v>25664</v>
      </c>
      <c r="AT25" s="0"/>
      <c r="AU25" s="0"/>
      <c r="AV25" s="0"/>
      <c r="AW25" s="0"/>
      <c r="AZ25" s="39"/>
      <c r="BA25" s="39"/>
      <c r="BB25" s="39"/>
      <c r="BC25" s="39"/>
      <c r="BJ25" s="0"/>
      <c r="BK25" s="0"/>
      <c r="BL25" s="0"/>
      <c r="BM25" s="0"/>
      <c r="BN25" s="0"/>
      <c r="BO25" s="0"/>
    </row>
    <row r="26" customFormat="false" ht="23.85" hidden="false" customHeight="false" outlineLevel="0" collapsed="false">
      <c r="A26" s="64" t="str">
        <f aca="false">_xlfn.CONCAT($A$1, ".", CALC!A26)</f>
        <v>LSD.RID.0.AL.AIAVG.22</v>
      </c>
      <c r="B26" s="67" t="str">
        <f aca="false">CALC!C26</f>
        <v>Other Services (except
Public Administration)</v>
      </c>
      <c r="C26" s="39" t="n">
        <v>46250</v>
      </c>
      <c r="D26" s="39" t="n">
        <v>47638</v>
      </c>
      <c r="E26" s="39" t="n">
        <v>32375</v>
      </c>
      <c r="F26" s="39" t="n">
        <v>46431</v>
      </c>
      <c r="AT26" s="0"/>
      <c r="AU26" s="0"/>
      <c r="AV26" s="0"/>
      <c r="AW26" s="0"/>
      <c r="AZ26" s="39"/>
      <c r="BA26" s="39"/>
      <c r="BB26" s="39"/>
      <c r="BC26" s="39"/>
      <c r="BJ26" s="0"/>
      <c r="BK26" s="0"/>
      <c r="BL26" s="0"/>
      <c r="BM26" s="0"/>
      <c r="BN26" s="0"/>
      <c r="BO26" s="0"/>
    </row>
    <row r="27" customFormat="false" ht="12.8" hidden="false" customHeight="false" outlineLevel="0" collapsed="false">
      <c r="A27" s="64" t="str">
        <f aca="false">_xlfn.CONCAT($A$1, ".", CALC!A27)</f>
        <v>LSD.RID.0.AL.AIAVG.23</v>
      </c>
      <c r="B27" s="42" t="str">
        <f aca="false">CALC!C27</f>
        <v>Public Administration</v>
      </c>
      <c r="C27" s="39" t="n">
        <v>72800</v>
      </c>
      <c r="D27" s="39" t="n">
        <v>73992</v>
      </c>
      <c r="E27" s="39" t="n">
        <v>58240</v>
      </c>
      <c r="F27" s="39" t="n">
        <v>72984</v>
      </c>
      <c r="AT27" s="0"/>
      <c r="AU27" s="0"/>
      <c r="AV27" s="0"/>
      <c r="AW27" s="0"/>
      <c r="AZ27" s="39"/>
      <c r="BA27" s="39"/>
      <c r="BB27" s="39"/>
      <c r="BC27" s="39"/>
      <c r="BJ27" s="0"/>
      <c r="BK27" s="0"/>
      <c r="BL27" s="0"/>
      <c r="BM27" s="0"/>
      <c r="BN27" s="0"/>
      <c r="BO27" s="0"/>
    </row>
    <row r="28" customFormat="false" ht="12.8" hidden="false" customHeight="false" outlineLevel="0" collapsed="false">
      <c r="C28" s="75"/>
      <c r="D28" s="75"/>
      <c r="E28" s="75"/>
      <c r="F28" s="75"/>
    </row>
    <row r="29" customFormat="false" ht="12.8" hidden="false" customHeight="false" outlineLevel="0" collapsed="false">
      <c r="C29" s="75"/>
      <c r="D29" s="75"/>
      <c r="E29" s="75"/>
      <c r="F29" s="75"/>
    </row>
    <row r="30" customFormat="false" ht="12.8" hidden="false" customHeight="false" outlineLevel="0" collapsed="false">
      <c r="C30" s="75"/>
      <c r="D30" s="75"/>
      <c r="E30" s="75"/>
      <c r="F30" s="75"/>
    </row>
    <row r="31" customFormat="false" ht="12.8" hidden="false" customHeight="false" outlineLevel="0" collapsed="false">
      <c r="C31" s="75"/>
      <c r="D31" s="75"/>
      <c r="E31" s="75"/>
      <c r="F31" s="75"/>
    </row>
    <row r="130" customFormat="false" ht="12.8" hidden="false" customHeight="false" outlineLevel="0" collapsed="false">
      <c r="A130" s="64" t="str">
        <f aca="false">_xlfn.CONCAT($A$1, ".", "FORM")</f>
        <v>LSD.RID.0.AL.AIAVG.FORM</v>
      </c>
      <c r="B130" s="65" t="str">
        <f aca="false">_xlfn.CONCAT($B$1, " ", "Formulae")</f>
        <v>Alabama Annual Income Average (AIAVG) Formulae</v>
      </c>
      <c r="C130" s="65"/>
    </row>
    <row r="131" customFormat="false" ht="12.8" hidden="false" customHeight="false" outlineLevel="0" collapsed="false">
      <c r="A131" s="76" t="s">
        <v>5645</v>
      </c>
      <c r="B131" s="76" t="s">
        <v>177</v>
      </c>
      <c r="C131" s="76" t="s">
        <v>178</v>
      </c>
      <c r="D131" s="76" t="s">
        <v>5494</v>
      </c>
      <c r="E131" s="76" t="s">
        <v>180</v>
      </c>
      <c r="F131" s="76" t="s">
        <v>181</v>
      </c>
    </row>
    <row r="132" customFormat="false" ht="12.8" hidden="false" customHeight="false" outlineLevel="0" collapsed="false">
      <c r="A132" s="50" t="s">
        <v>5811</v>
      </c>
      <c r="B132" s="50" t="s">
        <v>396</v>
      </c>
      <c r="C132" s="50" t="s">
        <v>5812</v>
      </c>
      <c r="D132" s="50" t="s">
        <v>5813</v>
      </c>
      <c r="E132" s="50" t="s">
        <v>5814</v>
      </c>
      <c r="F132" s="50" t="s">
        <v>5499</v>
      </c>
    </row>
    <row r="133" customFormat="false" ht="12.8" hidden="false" customHeight="false" outlineLevel="0" collapsed="false">
      <c r="A133" s="50" t="s">
        <v>5815</v>
      </c>
      <c r="B133" s="50" t="s">
        <v>396</v>
      </c>
      <c r="C133" s="50" t="s">
        <v>5501</v>
      </c>
      <c r="D133" s="50" t="s">
        <v>5816</v>
      </c>
      <c r="E133" s="50" t="s">
        <v>5817</v>
      </c>
      <c r="F133" s="50" t="s">
        <v>5499</v>
      </c>
    </row>
    <row r="134" customFormat="false" ht="12.8" hidden="false" customHeight="false" outlineLevel="0" collapsed="false">
      <c r="A134" s="50" t="s">
        <v>5818</v>
      </c>
      <c r="B134" s="50" t="s">
        <v>396</v>
      </c>
      <c r="C134" s="50" t="s">
        <v>5505</v>
      </c>
      <c r="D134" s="50" t="s">
        <v>5819</v>
      </c>
      <c r="E134" s="50" t="s">
        <v>5820</v>
      </c>
      <c r="F134" s="50" t="s">
        <v>5499</v>
      </c>
    </row>
    <row r="138" customFormat="false" ht="12.8" hidden="false" customHeight="false" outlineLevel="0" collapsed="false">
      <c r="A138" s="64" t="str">
        <f aca="false">_xlfn.CONCAT($A$1, ".", "PARAM")</f>
        <v>LSD.RID.0.AL.AIAVG.PARAM</v>
      </c>
      <c r="B138" s="65" t="str">
        <f aca="false">_xlfn.CONCAT($B$1, " ", "Parameters")</f>
        <v>Alabama Annual Income Average (AIAVG) Parameters</v>
      </c>
      <c r="C138" s="65"/>
    </row>
    <row r="139" customFormat="false" ht="23.85" hidden="false" customHeight="false" outlineLevel="0" collapsed="false">
      <c r="A139" s="77" t="s">
        <v>5284</v>
      </c>
      <c r="B139" s="77" t="s">
        <v>178</v>
      </c>
      <c r="C139" s="77" t="s">
        <v>5508</v>
      </c>
      <c r="D139" s="77" t="s">
        <v>180</v>
      </c>
      <c r="E139" s="77" t="s">
        <v>428</v>
      </c>
      <c r="F139" s="77" t="s">
        <v>429</v>
      </c>
      <c r="G139" s="77" t="s">
        <v>430</v>
      </c>
      <c r="H139" s="77" t="s">
        <v>181</v>
      </c>
    </row>
    <row r="140" customFormat="false" ht="35.05" hidden="false" customHeight="false" outlineLevel="0" collapsed="false">
      <c r="A140" s="78" t="s">
        <v>5821</v>
      </c>
      <c r="B140" s="78" t="s">
        <v>5822</v>
      </c>
      <c r="C140" s="78" t="n">
        <v>66477</v>
      </c>
      <c r="D140" s="78" t="s">
        <v>5823</v>
      </c>
      <c r="E140" s="78" t="s">
        <v>434</v>
      </c>
      <c r="F140" s="78" t="s">
        <v>3415</v>
      </c>
      <c r="G140" s="79" t="s">
        <v>436</v>
      </c>
      <c r="H140" s="78" t="s">
        <v>5499</v>
      </c>
    </row>
    <row r="141" customFormat="false" ht="35.05" hidden="false" customHeight="false" outlineLevel="0" collapsed="false">
      <c r="A141" s="78" t="s">
        <v>5824</v>
      </c>
      <c r="B141" s="78" t="s">
        <v>5825</v>
      </c>
      <c r="C141" s="78" t="s">
        <v>5826</v>
      </c>
      <c r="D141" s="78" t="s">
        <v>5827</v>
      </c>
      <c r="E141" s="78" t="s">
        <v>5516</v>
      </c>
      <c r="F141" s="78" t="s">
        <v>5517</v>
      </c>
      <c r="G141" s="79" t="s">
        <v>436</v>
      </c>
      <c r="H141" s="78" t="s">
        <v>5499</v>
      </c>
    </row>
    <row r="142" customFormat="false" ht="35.05" hidden="false" customHeight="false" outlineLevel="0" collapsed="false">
      <c r="A142" s="78" t="s">
        <v>5828</v>
      </c>
      <c r="B142" s="78" t="s">
        <v>5829</v>
      </c>
      <c r="C142" s="78" t="s">
        <v>5830</v>
      </c>
      <c r="D142" s="78" t="s">
        <v>5831</v>
      </c>
      <c r="E142" s="78" t="s">
        <v>5516</v>
      </c>
      <c r="F142" s="78" t="s">
        <v>5517</v>
      </c>
      <c r="G142" s="79" t="s">
        <v>436</v>
      </c>
      <c r="H142" s="78" t="s">
        <v>5499</v>
      </c>
    </row>
    <row r="143" customFormat="false" ht="35.05" hidden="false" customHeight="false" outlineLevel="0" collapsed="false">
      <c r="A143" s="78" t="s">
        <v>5832</v>
      </c>
      <c r="B143" s="78" t="s">
        <v>5833</v>
      </c>
      <c r="C143" s="78" t="s">
        <v>5834</v>
      </c>
      <c r="D143" s="78" t="s">
        <v>5835</v>
      </c>
      <c r="E143" s="78" t="s">
        <v>5516</v>
      </c>
      <c r="F143" s="78" t="s">
        <v>5517</v>
      </c>
      <c r="G143" s="79" t="s">
        <v>436</v>
      </c>
      <c r="H143" s="78" t="s">
        <v>5499</v>
      </c>
    </row>
    <row r="144" customFormat="false" ht="35.05" hidden="false" customHeight="false" outlineLevel="0" collapsed="false">
      <c r="A144" s="78" t="s">
        <v>5836</v>
      </c>
      <c r="B144" s="78" t="s">
        <v>5837</v>
      </c>
      <c r="C144" s="78" t="s">
        <v>5838</v>
      </c>
      <c r="D144" s="78" t="s">
        <v>5529</v>
      </c>
      <c r="E144" s="78" t="s">
        <v>5516</v>
      </c>
      <c r="F144" s="78" t="s">
        <v>5517</v>
      </c>
      <c r="G144" s="79" t="s">
        <v>436</v>
      </c>
      <c r="H144" s="78" t="s">
        <v>5499</v>
      </c>
    </row>
    <row r="145" customFormat="false" ht="35.05" hidden="false" customHeight="false" outlineLevel="0" collapsed="false">
      <c r="A145" s="78"/>
      <c r="B145" s="78"/>
      <c r="C145" s="78"/>
      <c r="D145" s="78"/>
      <c r="E145" s="78"/>
      <c r="F145" s="78"/>
      <c r="G145" s="79"/>
      <c r="H145" s="78"/>
    </row>
    <row r="146" customFormat="false" ht="12.8" hidden="false" customHeight="false" outlineLevel="0" collapsed="false">
      <c r="A146" s="64" t="str">
        <f aca="false">_xlfn.CONCAT($A$1, ".", "VALID")</f>
        <v>LSD.RID.0.AL.AIAVG.VALID</v>
      </c>
      <c r="B146" s="65" t="str">
        <f aca="false">_xlfn.CONCAT($B$1, " ", "Validation")</f>
        <v>Alabama Annual Income Average (AIAVG) Validation</v>
      </c>
    </row>
    <row r="147" customFormat="false" ht="12.8" hidden="false" customHeight="false" outlineLevel="0" collapsed="false">
      <c r="A147" s="51" t="s">
        <v>113</v>
      </c>
      <c r="B147" s="39" t="s">
        <v>180</v>
      </c>
      <c r="C147" s="39" t="s">
        <v>427</v>
      </c>
      <c r="D147" s="39" t="s">
        <v>5606</v>
      </c>
      <c r="E147" s="39" t="s">
        <v>428</v>
      </c>
      <c r="F147" s="39" t="s">
        <v>5607</v>
      </c>
    </row>
    <row r="148" customFormat="false" ht="12.8" hidden="false" customHeight="false" outlineLevel="0" collapsed="false">
      <c r="A148" s="51" t="s">
        <v>5839</v>
      </c>
      <c r="B148" s="39" t="s">
        <v>4612</v>
      </c>
      <c r="C148" s="39" t="n">
        <v>66477</v>
      </c>
      <c r="D148" s="39" t="s">
        <v>5840</v>
      </c>
      <c r="E148" s="39" t="s">
        <v>434</v>
      </c>
      <c r="F148" s="39" t="s">
        <v>5841</v>
      </c>
    </row>
    <row r="149" customFormat="false" ht="12.8" hidden="false" customHeight="false" outlineLevel="0" collapsed="false">
      <c r="A149" s="51" t="s">
        <v>5842</v>
      </c>
      <c r="B149" s="39" t="s">
        <v>5611</v>
      </c>
      <c r="C149" s="39" t="s">
        <v>5784</v>
      </c>
      <c r="D149" s="39" t="s">
        <v>5785</v>
      </c>
      <c r="E149" s="39" t="s">
        <v>434</v>
      </c>
      <c r="F149" s="39" t="s">
        <v>5843</v>
      </c>
    </row>
    <row r="150" customFormat="false" ht="12.8" hidden="false" customHeight="false" outlineLevel="0" collapsed="false">
      <c r="A150" s="51" t="s">
        <v>5844</v>
      </c>
      <c r="B150" s="39" t="s">
        <v>5845</v>
      </c>
      <c r="C150" s="39" t="s">
        <v>5846</v>
      </c>
      <c r="D150" s="39" t="s">
        <v>5847</v>
      </c>
      <c r="E150" s="39" t="s">
        <v>434</v>
      </c>
      <c r="F150" s="39" t="s">
        <v>5619</v>
      </c>
    </row>
    <row r="151" customFormat="false" ht="12.8" hidden="false" customHeight="false" outlineLevel="0" collapsed="false">
      <c r="A151" s="51" t="s">
        <v>5848</v>
      </c>
      <c r="B151" s="39" t="s">
        <v>5792</v>
      </c>
      <c r="C151" s="39" t="s">
        <v>5793</v>
      </c>
      <c r="D151" s="39" t="s">
        <v>5849</v>
      </c>
      <c r="E151" s="39" t="s">
        <v>440</v>
      </c>
      <c r="F151" s="39" t="s">
        <v>5795</v>
      </c>
    </row>
    <row r="152" customFormat="false" ht="12.8" hidden="false" customHeight="false" outlineLevel="0" collapsed="false">
      <c r="A152" s="51" t="s">
        <v>5850</v>
      </c>
      <c r="B152" s="39" t="s">
        <v>5474</v>
      </c>
      <c r="C152" s="39" t="s">
        <v>5797</v>
      </c>
      <c r="D152" s="39" t="s">
        <v>5476</v>
      </c>
      <c r="E152" s="39" t="s">
        <v>5851</v>
      </c>
      <c r="F152" s="39" t="s">
        <v>434</v>
      </c>
      <c r="G152" s="39" t="s">
        <v>5852</v>
      </c>
    </row>
    <row r="153" customFormat="false" ht="12.8" hidden="false" customHeight="false" outlineLevel="0" collapsed="false">
      <c r="A153" s="51" t="s">
        <v>5853</v>
      </c>
      <c r="B153" s="39" t="s">
        <v>5480</v>
      </c>
      <c r="C153" s="39" t="s">
        <v>5481</v>
      </c>
      <c r="D153" s="39" t="s">
        <v>5854</v>
      </c>
      <c r="E153" s="39" t="s">
        <v>434</v>
      </c>
      <c r="F153" s="39" t="s">
        <v>5855</v>
      </c>
    </row>
    <row r="154" customFormat="false" ht="12.8" hidden="false" customHeight="false" outlineLevel="0" collapsed="false">
      <c r="A154" s="51" t="s">
        <v>5856</v>
      </c>
      <c r="B154" s="39" t="s">
        <v>5857</v>
      </c>
      <c r="C154" s="39" t="s">
        <v>5858</v>
      </c>
      <c r="D154" s="39" t="s">
        <v>5859</v>
      </c>
      <c r="E154" s="39" t="s">
        <v>434</v>
      </c>
      <c r="F154" s="39" t="s">
        <v>5860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O14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4" activeCellId="0" sqref="C4"/>
    </sheetView>
  </sheetViews>
  <sheetFormatPr defaultColWidth="11.53515625" defaultRowHeight="12.8" customHeight="false" zeroHeight="false" outlineLevelRow="0" outlineLevelCol="0"/>
  <cols>
    <col collapsed="false" customWidth="false" hidden="false" outlineLevel="0" max="1" min="1" style="51"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5861</v>
      </c>
      <c r="B1" s="42" t="s">
        <v>5862</v>
      </c>
      <c r="C1" s="6" t="s">
        <v>2</v>
      </c>
      <c r="D1" s="66" t="s">
        <v>5863</v>
      </c>
      <c r="AZ1" s="39"/>
      <c r="BA1" s="39"/>
      <c r="BB1" s="39"/>
      <c r="BC1" s="39"/>
    </row>
    <row r="2" customFormat="false" ht="12.8" hidden="false" customHeight="false" outlineLevel="0" collapsed="false">
      <c r="A2" s="64" t="str">
        <f aca="false">_xlfn.CONCAT($A$1, ".", "CALC")</f>
        <v>LSD.RID.0.AL.FPITREV.CALC</v>
      </c>
      <c r="B2" s="65" t="str">
        <f aca="false">_xlfn.CONCAT($B$1, " ", "Calculations")</f>
        <v>Alabama Federal Personal Income Tax Revenue (FPITREV) Calculations</v>
      </c>
      <c r="C2" s="3"/>
      <c r="D2" s="0"/>
      <c r="E2" s="0"/>
      <c r="F2" s="0"/>
    </row>
    <row r="3" customFormat="false" ht="45.75" hidden="false" customHeight="false" outlineLevel="0" collapsed="false">
      <c r="A3" s="64" t="str">
        <f aca="false">CALC!A3</f>
        <v>LSID</v>
      </c>
      <c r="B3" s="42" t="str">
        <f aca="false">CALC!C3</f>
        <v>Labor Sector</v>
      </c>
      <c r="C3" s="80" t="str">
        <f aca="false">CALC!AJ3</f>
        <v>Overall FPITREV</v>
      </c>
      <c r="D3" s="80" t="str">
        <f aca="false">CALC!AK3</f>
        <v>Authorized FPITREV</v>
      </c>
      <c r="E3" s="80" t="str">
        <f aca="false">CALC!AL3</f>
        <v>Unauthorized FPITREV</v>
      </c>
      <c r="F3" s="80" t="str">
        <f aca="false">CALC!AM3</f>
        <v>American FPITREV</v>
      </c>
      <c r="AT3" s="0"/>
      <c r="AU3" s="0"/>
      <c r="AV3" s="0"/>
      <c r="AW3" s="0"/>
      <c r="AZ3" s="39"/>
      <c r="BA3" s="39"/>
      <c r="BB3" s="39"/>
      <c r="BC3" s="39"/>
      <c r="BJ3" s="0"/>
      <c r="BK3" s="0"/>
      <c r="BL3" s="0"/>
      <c r="BM3" s="0"/>
      <c r="BN3" s="0"/>
      <c r="BO3" s="0"/>
    </row>
    <row r="4" customFormat="false" ht="12.8" hidden="false" customHeight="false" outlineLevel="0" collapsed="false">
      <c r="A4" s="64" t="str">
        <f aca="false">_xlfn.CONCAT($A$1, ".", CALC!A4)</f>
        <v>LSD.RID.0.AL.FPITREV.0</v>
      </c>
      <c r="B4" s="42" t="str">
        <f aca="false">CALC!C4</f>
        <v>All Industries</v>
      </c>
      <c r="C4" s="39" t="n">
        <v>9640</v>
      </c>
      <c r="D4" s="39" t="n">
        <v>10398</v>
      </c>
      <c r="E4" s="39" t="n">
        <v>3257</v>
      </c>
      <c r="F4" s="39" t="n">
        <v>9678</v>
      </c>
      <c r="AT4" s="0"/>
      <c r="AU4" s="0"/>
      <c r="AV4" s="0"/>
      <c r="AW4" s="0"/>
      <c r="AZ4" s="39"/>
      <c r="BA4" s="39"/>
      <c r="BB4" s="39"/>
      <c r="BC4" s="39"/>
      <c r="BJ4" s="0"/>
      <c r="BK4" s="0"/>
      <c r="BL4" s="0"/>
      <c r="BM4" s="0"/>
      <c r="BN4" s="0"/>
      <c r="BO4" s="0"/>
    </row>
    <row r="5" customFormat="false" ht="23.85" hidden="false" customHeight="false" outlineLevel="0" collapsed="false">
      <c r="A5" s="64" t="str">
        <f aca="false">_xlfn.CONCAT($A$1, ".", CALC!A5)</f>
        <v>LSD.RID.0.AL.FPITREV.1</v>
      </c>
      <c r="B5" s="67" t="str">
        <f aca="false">CALC!C5</f>
        <v>Agriculture, Forestry, 
Fishing and Hunting</v>
      </c>
      <c r="C5" s="39" t="n">
        <v>2812</v>
      </c>
      <c r="D5" s="39" t="n">
        <v>2896</v>
      </c>
      <c r="E5" s="39" t="n">
        <v>1257</v>
      </c>
      <c r="F5" s="39" t="n">
        <v>2826</v>
      </c>
      <c r="AT5" s="0"/>
      <c r="AU5" s="0"/>
      <c r="AV5" s="0"/>
      <c r="AW5" s="0"/>
      <c r="AZ5" s="39"/>
      <c r="BA5" s="39"/>
      <c r="BB5" s="39"/>
      <c r="BC5" s="39"/>
      <c r="BJ5" s="0"/>
      <c r="BK5" s="0"/>
      <c r="BL5" s="0"/>
      <c r="BM5" s="0"/>
      <c r="BN5" s="0"/>
      <c r="BO5" s="0"/>
    </row>
    <row r="6" customFormat="false" ht="23.85" hidden="false" customHeight="false" outlineLevel="0" collapsed="false">
      <c r="A6" s="64" t="str">
        <f aca="false">_xlfn.CONCAT($A$1, ".", CALC!A6)</f>
        <v>LSD.RID.0.AL.FPITREV.2</v>
      </c>
      <c r="B6" s="67" t="str">
        <f aca="false">CALC!C6</f>
        <v>Mining, Quarrying, and
Oil and Gas Extraction</v>
      </c>
      <c r="C6" s="39" t="n">
        <v>14700</v>
      </c>
      <c r="D6" s="39" t="n">
        <v>14994</v>
      </c>
      <c r="E6" s="39" t="n">
        <v>8820</v>
      </c>
      <c r="F6" s="39" t="n">
        <v>14755</v>
      </c>
      <c r="AT6" s="0"/>
      <c r="AU6" s="0"/>
      <c r="AV6" s="0"/>
      <c r="AW6" s="0"/>
      <c r="AZ6" s="39"/>
      <c r="BA6" s="39"/>
      <c r="BB6" s="39"/>
      <c r="BC6" s="39"/>
      <c r="BJ6" s="0"/>
      <c r="BK6" s="0"/>
      <c r="BL6" s="0"/>
      <c r="BM6" s="0"/>
      <c r="BN6" s="0"/>
      <c r="BO6" s="0"/>
    </row>
    <row r="7" customFormat="false" ht="12.8" hidden="false" customHeight="false" outlineLevel="0" collapsed="false">
      <c r="A7" s="64" t="str">
        <f aca="false">_xlfn.CONCAT($A$1, ".", CALC!A7)</f>
        <v>LSD.RID.0.AL.FPITREV.3</v>
      </c>
      <c r="B7" s="42" t="str">
        <f aca="false">CALC!C7</f>
        <v>Utilities</v>
      </c>
      <c r="C7" s="39" t="n">
        <v>18304</v>
      </c>
      <c r="D7" s="39" t="n">
        <v>18671</v>
      </c>
      <c r="E7" s="39" t="n">
        <v>14169</v>
      </c>
      <c r="F7" s="39" t="n">
        <v>18345</v>
      </c>
      <c r="AT7" s="0"/>
      <c r="AU7" s="0"/>
      <c r="AV7" s="0"/>
      <c r="AW7" s="0"/>
      <c r="AZ7" s="39"/>
      <c r="BA7" s="39"/>
      <c r="BB7" s="39"/>
      <c r="BC7" s="39"/>
      <c r="BJ7" s="0"/>
      <c r="BK7" s="0"/>
      <c r="BL7" s="0"/>
      <c r="BM7" s="0"/>
      <c r="BN7" s="0"/>
      <c r="BO7" s="0"/>
    </row>
    <row r="8" customFormat="false" ht="12.8" hidden="false" customHeight="false" outlineLevel="0" collapsed="false">
      <c r="A8" s="64" t="str">
        <f aca="false">_xlfn.CONCAT($A$1, ".", CALC!A8)</f>
        <v>LSD.RID.0.AL.FPITREV.4</v>
      </c>
      <c r="B8" s="42" t="str">
        <f aca="false">CALC!C8</f>
        <v>Construction</v>
      </c>
      <c r="C8" s="39" t="n">
        <v>9184</v>
      </c>
      <c r="D8" s="39" t="n">
        <v>9424</v>
      </c>
      <c r="E8" s="39" t="n">
        <v>5835</v>
      </c>
      <c r="F8" s="39" t="n">
        <v>9228</v>
      </c>
      <c r="AT8" s="0"/>
      <c r="AU8" s="0"/>
      <c r="AV8" s="0"/>
      <c r="AW8" s="0"/>
      <c r="AZ8" s="39"/>
      <c r="BA8" s="39"/>
      <c r="BB8" s="39"/>
      <c r="BC8" s="39"/>
      <c r="BJ8" s="0"/>
      <c r="BK8" s="0"/>
      <c r="BL8" s="0"/>
      <c r="BM8" s="0"/>
      <c r="BN8" s="0"/>
      <c r="BO8" s="0"/>
    </row>
    <row r="9" customFormat="false" ht="23.85" hidden="false" customHeight="false" outlineLevel="0" collapsed="false">
      <c r="A9" s="64" t="str">
        <f aca="false">_xlfn.CONCAT($A$1, ".", CALC!A9)</f>
        <v>LSD.RID.0.AL.FPITREV.5</v>
      </c>
      <c r="B9" s="67" t="str">
        <f aca="false">CALC!C9</f>
        <v>Manufacturing
(Food,Textile, etc.)</v>
      </c>
      <c r="C9" s="39" t="n">
        <v>9600</v>
      </c>
      <c r="D9" s="39" t="n">
        <v>9792</v>
      </c>
      <c r="E9" s="39" t="n">
        <v>6269</v>
      </c>
      <c r="F9" s="39" t="n">
        <v>9634</v>
      </c>
      <c r="AT9" s="0"/>
      <c r="AU9" s="0"/>
      <c r="AV9" s="0"/>
      <c r="AW9" s="0"/>
      <c r="AZ9" s="39"/>
      <c r="BA9" s="39"/>
      <c r="BB9" s="39"/>
      <c r="BC9" s="39"/>
      <c r="BJ9" s="0"/>
      <c r="BK9" s="0"/>
      <c r="BL9" s="0"/>
      <c r="BM9" s="0"/>
      <c r="BN9" s="0"/>
      <c r="BO9" s="0"/>
    </row>
    <row r="10" customFormat="false" ht="23.85" hidden="false" customHeight="false" outlineLevel="0" collapsed="false">
      <c r="A10" s="64" t="str">
        <f aca="false">_xlfn.CONCAT($A$1, ".", CALC!A10)</f>
        <v>LSD.RID.0.AL.FPITREV.6</v>
      </c>
      <c r="B10" s="67" t="str">
        <f aca="false">CALC!C10</f>
        <v>Manufacturing (Wood,
Paper, Printing, etc.)</v>
      </c>
      <c r="C10" s="39" t="n">
        <v>8400</v>
      </c>
      <c r="D10" s="39" t="n">
        <v>8568</v>
      </c>
      <c r="E10" s="39" t="n">
        <v>5712</v>
      </c>
      <c r="F10" s="39" t="n">
        <v>8430</v>
      </c>
      <c r="AT10" s="0"/>
      <c r="AU10" s="0"/>
      <c r="AV10" s="0"/>
      <c r="AW10" s="0"/>
      <c r="AZ10" s="39"/>
      <c r="BA10" s="39"/>
      <c r="BB10" s="39"/>
      <c r="BC10" s="39"/>
      <c r="BJ10" s="0"/>
      <c r="BK10" s="0"/>
      <c r="BL10" s="0"/>
      <c r="BM10" s="0"/>
      <c r="BN10" s="0"/>
      <c r="BO10" s="0"/>
    </row>
    <row r="11" customFormat="false" ht="23.85" hidden="false" customHeight="false" outlineLevel="0" collapsed="false">
      <c r="A11" s="64" t="str">
        <f aca="false">_xlfn.CONCAT($A$1, ".", CALC!A11)</f>
        <v>LSD.RID.0.AL.FPITREV.7</v>
      </c>
      <c r="B11" s="67" t="str">
        <f aca="false">CALC!C11</f>
        <v>Manufacturing
(Machinery, Transport)</v>
      </c>
      <c r="C11" s="39" t="n">
        <v>13230</v>
      </c>
      <c r="D11" s="39" t="n">
        <v>13495</v>
      </c>
      <c r="E11" s="39" t="n">
        <v>9504</v>
      </c>
      <c r="F11" s="39" t="n">
        <v>13277</v>
      </c>
      <c r="AT11" s="0"/>
      <c r="AU11" s="0"/>
      <c r="AV11" s="0"/>
      <c r="AW11" s="0"/>
      <c r="AZ11" s="39"/>
      <c r="BA11" s="39"/>
      <c r="BB11" s="39"/>
      <c r="BC11" s="39"/>
      <c r="BJ11" s="0"/>
      <c r="BK11" s="0"/>
      <c r="BL11" s="0"/>
      <c r="BM11" s="0"/>
      <c r="BN11" s="0"/>
      <c r="BO11" s="0"/>
    </row>
    <row r="12" customFormat="false" ht="12.8" hidden="false" customHeight="false" outlineLevel="0" collapsed="false">
      <c r="A12" s="64" t="str">
        <f aca="false">_xlfn.CONCAT($A$1, ".", CALC!A12)</f>
        <v>LSD.RID.0.AL.FPITREV.8</v>
      </c>
      <c r="B12" s="42" t="str">
        <f aca="false">CALC!C12</f>
        <v>Wholesale Trade</v>
      </c>
      <c r="C12" s="39" t="n">
        <v>10496</v>
      </c>
      <c r="D12" s="39" t="n">
        <v>10655</v>
      </c>
      <c r="E12" s="39" t="n">
        <v>7885</v>
      </c>
      <c r="F12" s="39" t="n">
        <v>10523</v>
      </c>
      <c r="AT12" s="0"/>
      <c r="AU12" s="0"/>
      <c r="AV12" s="0"/>
      <c r="AW12" s="0"/>
      <c r="AZ12" s="39"/>
      <c r="BA12" s="39"/>
      <c r="BB12" s="39"/>
      <c r="BC12" s="39"/>
      <c r="BJ12" s="0"/>
      <c r="BK12" s="0"/>
      <c r="BL12" s="0"/>
      <c r="BM12" s="0"/>
      <c r="BN12" s="0"/>
      <c r="BO12" s="0"/>
    </row>
    <row r="13" customFormat="false" ht="23.85" hidden="false" customHeight="false" outlineLevel="0" collapsed="false">
      <c r="A13" s="64" t="str">
        <f aca="false">_xlfn.CONCAT($A$1, ".", CALC!A13)</f>
        <v>LSD.RID.0.AL.FPITREV.9</v>
      </c>
      <c r="B13" s="67" t="str">
        <f aca="false">CALC!C13</f>
        <v>Retail Trade (Motor
Vehicle, Electronics)</v>
      </c>
      <c r="C13" s="39" t="n">
        <v>5850</v>
      </c>
      <c r="D13" s="39" t="n">
        <v>5996</v>
      </c>
      <c r="E13" s="39" t="n">
        <v>3510</v>
      </c>
      <c r="F13" s="39" t="n">
        <v>5873</v>
      </c>
      <c r="AT13" s="0"/>
      <c r="AU13" s="0"/>
      <c r="AV13" s="0"/>
      <c r="AW13" s="0"/>
      <c r="AZ13" s="39"/>
      <c r="BA13" s="39"/>
      <c r="BB13" s="39"/>
      <c r="BC13" s="39"/>
      <c r="BJ13" s="0"/>
      <c r="BK13" s="0"/>
      <c r="BL13" s="0"/>
      <c r="BM13" s="0"/>
      <c r="BN13" s="0"/>
      <c r="BO13" s="0"/>
    </row>
    <row r="14" customFormat="false" ht="23.85" hidden="false" customHeight="false" outlineLevel="0" collapsed="false">
      <c r="A14" s="64" t="str">
        <f aca="false">_xlfn.CONCAT($A$1, ".", CALC!A14)</f>
        <v>LSD.RID.0.AL.FPITREV.10</v>
      </c>
      <c r="B14" s="67" t="str">
        <f aca="false">CALC!C14</f>
        <v>Retail Trade (Food, Clothing,
General Merchandise, etc.)</v>
      </c>
      <c r="C14" s="39" t="n">
        <v>4235</v>
      </c>
      <c r="D14" s="39" t="n">
        <v>4358</v>
      </c>
      <c r="E14" s="39" t="n">
        <v>2459</v>
      </c>
      <c r="F14" s="39" t="n">
        <v>4253</v>
      </c>
      <c r="AT14" s="0"/>
      <c r="AU14" s="0"/>
      <c r="AV14" s="0"/>
      <c r="AW14" s="0"/>
      <c r="AZ14" s="39"/>
      <c r="BA14" s="39"/>
      <c r="BB14" s="39"/>
      <c r="BC14" s="39"/>
      <c r="BJ14" s="0"/>
      <c r="BK14" s="0"/>
      <c r="BL14" s="0"/>
      <c r="BM14" s="0"/>
      <c r="BN14" s="0"/>
      <c r="BO14" s="0"/>
    </row>
    <row r="15" customFormat="false" ht="12.8" hidden="false" customHeight="false" outlineLevel="0" collapsed="false">
      <c r="A15" s="64" t="str">
        <f aca="false">_xlfn.CONCAT($A$1, ".", CALC!A15)</f>
        <v>LSD.RID.0.AL.FPITREV.11</v>
      </c>
      <c r="B15" s="42" t="str">
        <f aca="false">CALC!C15</f>
        <v>Transportation</v>
      </c>
      <c r="C15" s="39" t="n">
        <v>9000</v>
      </c>
      <c r="D15" s="39" t="n">
        <v>9180</v>
      </c>
      <c r="E15" s="39" t="n">
        <v>5850</v>
      </c>
      <c r="F15" s="39" t="n">
        <v>9036</v>
      </c>
      <c r="AT15" s="0"/>
      <c r="AU15" s="0"/>
      <c r="AV15" s="0"/>
      <c r="AW15" s="0"/>
      <c r="AZ15" s="39"/>
      <c r="BA15" s="39"/>
      <c r="BB15" s="39"/>
      <c r="BC15" s="39"/>
      <c r="BJ15" s="0"/>
      <c r="BK15" s="0"/>
      <c r="BL15" s="0"/>
      <c r="BM15" s="0"/>
      <c r="BN15" s="0"/>
      <c r="BO15" s="0"/>
    </row>
    <row r="16" customFormat="false" ht="12.8" hidden="false" customHeight="false" outlineLevel="0" collapsed="false">
      <c r="A16" s="64" t="str">
        <f aca="false">_xlfn.CONCAT($A$1, ".", CALC!A16)</f>
        <v>LSD.RID.0.AL.FPITREV.12</v>
      </c>
      <c r="B16" s="42" t="str">
        <f aca="false">CALC!C16</f>
        <v>Warehousing and Storage</v>
      </c>
      <c r="C16" s="39" t="n">
        <v>7644</v>
      </c>
      <c r="D16" s="39" t="n">
        <v>7797</v>
      </c>
      <c r="E16" s="39" t="n">
        <v>4969</v>
      </c>
      <c r="F16" s="39" t="n">
        <v>7672</v>
      </c>
      <c r="AT16" s="0"/>
      <c r="AU16" s="0"/>
      <c r="AV16" s="0"/>
      <c r="AW16" s="0"/>
      <c r="AZ16" s="39"/>
      <c r="BA16" s="39"/>
      <c r="BB16" s="39"/>
      <c r="BC16" s="39"/>
      <c r="BJ16" s="0"/>
      <c r="BK16" s="0"/>
      <c r="BL16" s="0"/>
      <c r="BM16" s="0"/>
      <c r="BN16" s="0"/>
      <c r="BO16" s="0"/>
    </row>
    <row r="17" customFormat="false" ht="12.8" hidden="false" customHeight="false" outlineLevel="0" collapsed="false">
      <c r="A17" s="64" t="str">
        <f aca="false">_xlfn.CONCAT($A$1, ".", CALC!A17)</f>
        <v>LSD.RID.0.AL.FPITREV.13</v>
      </c>
      <c r="B17" s="42" t="str">
        <f aca="false">CALC!C17</f>
        <v>Information</v>
      </c>
      <c r="C17" s="39" t="n">
        <v>18304</v>
      </c>
      <c r="D17" s="39" t="n">
        <v>18671</v>
      </c>
      <c r="E17" s="39" t="n">
        <v>14169</v>
      </c>
      <c r="F17" s="39" t="n">
        <v>18345</v>
      </c>
      <c r="AT17" s="0"/>
      <c r="AU17" s="0"/>
      <c r="AV17" s="0"/>
      <c r="AW17" s="0"/>
      <c r="AZ17" s="39"/>
      <c r="BA17" s="39"/>
      <c r="BB17" s="39"/>
      <c r="BC17" s="39"/>
      <c r="BJ17" s="0"/>
      <c r="BK17" s="0"/>
      <c r="BL17" s="0"/>
      <c r="BM17" s="0"/>
      <c r="BN17" s="0"/>
      <c r="BO17" s="0"/>
    </row>
    <row r="18" customFormat="false" ht="12.8" hidden="false" customHeight="false" outlineLevel="0" collapsed="false">
      <c r="A18" s="64" t="str">
        <f aca="false">_xlfn.CONCAT($A$1, ".", CALC!A18)</f>
        <v>LSD.RID.0.AL.FPITREV.14</v>
      </c>
      <c r="B18" s="42" t="str">
        <f aca="false">CALC!C18</f>
        <v>Finance and Insurance</v>
      </c>
      <c r="C18" s="39" t="n">
        <v>32032</v>
      </c>
      <c r="D18" s="39" t="n">
        <v>32352</v>
      </c>
      <c r="E18" s="39" t="n">
        <v>24887</v>
      </c>
      <c r="F18" s="39" t="n">
        <v>32099</v>
      </c>
      <c r="AT18" s="0"/>
      <c r="AU18" s="0"/>
      <c r="AV18" s="0"/>
      <c r="AW18" s="0"/>
      <c r="AZ18" s="39"/>
      <c r="BA18" s="39"/>
      <c r="BB18" s="39"/>
      <c r="BC18" s="39"/>
      <c r="BJ18" s="0"/>
      <c r="BK18" s="0"/>
      <c r="BL18" s="0"/>
      <c r="BM18" s="0"/>
      <c r="BN18" s="0"/>
      <c r="BO18" s="0"/>
    </row>
    <row r="19" customFormat="false" ht="23.85" hidden="false" customHeight="false" outlineLevel="0" collapsed="false">
      <c r="A19" s="64" t="str">
        <f aca="false">_xlfn.CONCAT($A$1, ".", CALC!A19)</f>
        <v>LSD.RID.0.AL.FPITREV.15</v>
      </c>
      <c r="B19" s="67" t="str">
        <f aca="false">CALC!C19</f>
        <v>Real Estate and
Rental and Leasing</v>
      </c>
      <c r="C19" s="39" t="n">
        <v>10880</v>
      </c>
      <c r="D19" s="39" t="n">
        <v>11098</v>
      </c>
      <c r="E19" s="39" t="n">
        <v>7616</v>
      </c>
      <c r="F19" s="39" t="n">
        <v>10930</v>
      </c>
      <c r="AT19" s="0"/>
      <c r="AU19" s="0"/>
      <c r="AV19" s="0"/>
      <c r="AW19" s="0"/>
      <c r="AZ19" s="39"/>
      <c r="BA19" s="39"/>
      <c r="BB19" s="39"/>
      <c r="BC19" s="39"/>
      <c r="BJ19" s="0"/>
      <c r="BK19" s="0"/>
      <c r="BL19" s="0"/>
      <c r="BM19" s="0"/>
      <c r="BN19" s="0"/>
      <c r="BO19" s="0"/>
    </row>
    <row r="20" customFormat="false" ht="23.85" hidden="false" customHeight="false" outlineLevel="0" collapsed="false">
      <c r="A20" s="64" t="str">
        <f aca="false">_xlfn.CONCAT($A$1, ".", CALC!A20)</f>
        <v>LSD.RID.0.AL.FPITREV.16</v>
      </c>
      <c r="B20" s="67" t="str">
        <f aca="false">CALC!C20</f>
        <v>Professional, Scientific,
and Technical Services</v>
      </c>
      <c r="C20" s="39" t="n">
        <v>24188</v>
      </c>
      <c r="D20" s="39" t="n">
        <v>24430</v>
      </c>
      <c r="E20" s="39" t="n">
        <v>19522</v>
      </c>
      <c r="F20" s="39" t="n">
        <v>24248</v>
      </c>
      <c r="AT20" s="0"/>
      <c r="AU20" s="0"/>
      <c r="AV20" s="0"/>
      <c r="AW20" s="0"/>
      <c r="AZ20" s="39"/>
      <c r="BA20" s="39"/>
      <c r="BB20" s="39"/>
      <c r="BC20" s="39"/>
      <c r="BJ20" s="0"/>
      <c r="BK20" s="0"/>
      <c r="BL20" s="0"/>
      <c r="BM20" s="0"/>
      <c r="BN20" s="0"/>
      <c r="BO20" s="0"/>
    </row>
    <row r="21" customFormat="false" ht="34.8" hidden="false" customHeight="false" outlineLevel="0" collapsed="false">
      <c r="A21" s="64" t="str">
        <f aca="false">_xlfn.CONCAT($A$1, ".", CALC!A21)</f>
        <v>LSD.RID.0.AL.FPITREV.17</v>
      </c>
      <c r="B21" s="67" t="str">
        <f aca="false">CALC!C21</f>
        <v>Administrative and Support
and Waste Management
and Remediation Services</v>
      </c>
      <c r="C21" s="39" t="n">
        <v>5400</v>
      </c>
      <c r="D21" s="39" t="n">
        <v>5535</v>
      </c>
      <c r="E21" s="39" t="n">
        <v>3240</v>
      </c>
      <c r="F21" s="39" t="n">
        <v>5423</v>
      </c>
      <c r="AT21" s="0"/>
      <c r="AU21" s="0"/>
      <c r="AV21" s="0"/>
      <c r="AW21" s="0"/>
      <c r="AZ21" s="39"/>
      <c r="BA21" s="39"/>
      <c r="BB21" s="39"/>
      <c r="BC21" s="39"/>
      <c r="BJ21" s="0"/>
      <c r="BK21" s="0"/>
      <c r="BL21" s="0"/>
      <c r="BM21" s="0"/>
      <c r="BN21" s="0"/>
      <c r="BO21" s="0"/>
    </row>
    <row r="22" customFormat="false" ht="12.8" hidden="false" customHeight="false" outlineLevel="0" collapsed="false">
      <c r="A22" s="64" t="str">
        <f aca="false">_xlfn.CONCAT($A$1, ".", CALC!A22)</f>
        <v>LSD.RID.0.AL.FPITREV.18</v>
      </c>
      <c r="B22" s="42" t="str">
        <f aca="false">CALC!C22</f>
        <v>Educational Services</v>
      </c>
      <c r="C22" s="39" t="n">
        <v>12285</v>
      </c>
      <c r="D22" s="39" t="n">
        <v>12470</v>
      </c>
      <c r="E22" s="39" t="n">
        <v>8833</v>
      </c>
      <c r="F22" s="39" t="n">
        <v>12332</v>
      </c>
      <c r="AT22" s="0"/>
      <c r="AU22" s="0"/>
      <c r="AV22" s="0"/>
      <c r="AW22" s="0"/>
      <c r="AZ22" s="39"/>
      <c r="BA22" s="39"/>
      <c r="BB22" s="39"/>
      <c r="BC22" s="39"/>
      <c r="BJ22" s="0"/>
      <c r="BK22" s="0"/>
      <c r="BL22" s="0"/>
      <c r="BM22" s="0"/>
      <c r="BN22" s="0"/>
      <c r="BO22" s="0"/>
    </row>
    <row r="23" customFormat="false" ht="23.85" hidden="false" customHeight="false" outlineLevel="0" collapsed="false">
      <c r="A23" s="64" t="str">
        <f aca="false">_xlfn.CONCAT($A$1, ".", CALC!A23)</f>
        <v>LSD.RID.0.AL.FPITREV.19</v>
      </c>
      <c r="B23" s="67" t="str">
        <f aca="false">CALC!C23</f>
        <v>Health Care and
Social Assistance</v>
      </c>
      <c r="C23" s="39" t="n">
        <v>13300</v>
      </c>
      <c r="D23" s="39" t="n">
        <v>13503</v>
      </c>
      <c r="E23" s="39" t="n">
        <v>9576</v>
      </c>
      <c r="F23" s="39" t="n">
        <v>13348</v>
      </c>
      <c r="AT23" s="0"/>
      <c r="AU23" s="0"/>
      <c r="AV23" s="0"/>
      <c r="AW23" s="0"/>
      <c r="AZ23" s="39"/>
      <c r="BA23" s="39"/>
      <c r="BB23" s="39"/>
      <c r="BC23" s="39"/>
      <c r="BJ23" s="0"/>
      <c r="BK23" s="0"/>
      <c r="BL23" s="0"/>
      <c r="BM23" s="0"/>
      <c r="BN23" s="0"/>
      <c r="BO23" s="0"/>
    </row>
    <row r="24" customFormat="false" ht="23.85" hidden="false" customHeight="false" outlineLevel="0" collapsed="false">
      <c r="A24" s="64" t="str">
        <f aca="false">_xlfn.CONCAT($A$1, ".", CALC!A24)</f>
        <v>LSD.RID.0.AL.FPITREV.20</v>
      </c>
      <c r="B24" s="67" t="str">
        <f aca="false">CALC!C24</f>
        <v>Arts, Entertainment,
and Recreation</v>
      </c>
      <c r="C24" s="39" t="n">
        <v>4420</v>
      </c>
      <c r="D24" s="39" t="n">
        <v>4531</v>
      </c>
      <c r="E24" s="39" t="n">
        <v>2564</v>
      </c>
      <c r="F24" s="39" t="n">
        <v>4437</v>
      </c>
      <c r="AT24" s="0"/>
      <c r="AU24" s="0"/>
      <c r="AV24" s="0"/>
      <c r="AW24" s="0"/>
      <c r="AZ24" s="39"/>
      <c r="BA24" s="39"/>
      <c r="BB24" s="39"/>
      <c r="BC24" s="39"/>
      <c r="BJ24" s="0"/>
      <c r="BK24" s="0"/>
      <c r="BL24" s="0"/>
      <c r="BM24" s="0"/>
      <c r="BN24" s="0"/>
      <c r="BO24" s="0"/>
    </row>
    <row r="25" customFormat="false" ht="23.85" hidden="false" customHeight="false" outlineLevel="0" collapsed="false">
      <c r="A25" s="64" t="str">
        <f aca="false">_xlfn.CONCAT($A$1, ".", CALC!A25)</f>
        <v>LSD.RID.0.AL.FPITREV.21</v>
      </c>
      <c r="B25" s="67" t="str">
        <f aca="false">CALC!C25</f>
        <v>Accommodation
and Food Services</v>
      </c>
      <c r="C25" s="39" t="n">
        <v>2304</v>
      </c>
      <c r="D25" s="39" t="n">
        <v>2385</v>
      </c>
      <c r="E25" s="39" t="n">
        <v>1267</v>
      </c>
      <c r="F25" s="39" t="n">
        <v>2315</v>
      </c>
      <c r="AT25" s="0"/>
      <c r="AU25" s="0"/>
      <c r="AV25" s="0"/>
      <c r="AW25" s="0"/>
      <c r="AZ25" s="39"/>
      <c r="BA25" s="39"/>
      <c r="BB25" s="39"/>
      <c r="BC25" s="39"/>
      <c r="BJ25" s="0"/>
      <c r="BK25" s="0"/>
      <c r="BL25" s="0"/>
      <c r="BM25" s="0"/>
      <c r="BN25" s="0"/>
      <c r="BO25" s="0"/>
    </row>
    <row r="26" customFormat="false" ht="23.85" hidden="false" customHeight="false" outlineLevel="0" collapsed="false">
      <c r="A26" s="64" t="str">
        <f aca="false">_xlfn.CONCAT($A$1, ".", CALC!A26)</f>
        <v>LSD.RID.0.AL.FPITREV.22</v>
      </c>
      <c r="B26" s="67" t="str">
        <f aca="false">CALC!C26</f>
        <v>Other Services (except
Public Administration)</v>
      </c>
      <c r="C26" s="39" t="n">
        <v>6475</v>
      </c>
      <c r="D26" s="39" t="n">
        <v>6659</v>
      </c>
      <c r="E26" s="39" t="n">
        <v>3885</v>
      </c>
      <c r="F26" s="39" t="n">
        <v>6501</v>
      </c>
      <c r="AT26" s="0"/>
      <c r="AU26" s="0"/>
      <c r="AV26" s="0"/>
      <c r="AW26" s="0"/>
      <c r="AZ26" s="39"/>
      <c r="BA26" s="39"/>
      <c r="BB26" s="39"/>
      <c r="BC26" s="39"/>
      <c r="BJ26" s="0"/>
      <c r="BK26" s="0"/>
      <c r="BL26" s="0"/>
      <c r="BM26" s="0"/>
      <c r="BN26" s="0"/>
      <c r="BO26" s="0"/>
    </row>
    <row r="27" customFormat="false" ht="12.8" hidden="false" customHeight="false" outlineLevel="0" collapsed="false">
      <c r="A27" s="64" t="str">
        <f aca="false">_xlfn.CONCAT($A$1, ".", CALC!A27)</f>
        <v>LSD.RID.0.AL.FPITREV.23</v>
      </c>
      <c r="B27" s="42" t="str">
        <f aca="false">CALC!C27</f>
        <v>Public Administration</v>
      </c>
      <c r="C27" s="39" t="n">
        <v>14560</v>
      </c>
      <c r="D27" s="39" t="n">
        <v>14792</v>
      </c>
      <c r="E27" s="39" t="n">
        <v>10980</v>
      </c>
      <c r="F27" s="39" t="n">
        <v>14608</v>
      </c>
      <c r="AT27" s="0"/>
      <c r="AU27" s="0"/>
      <c r="AV27" s="0"/>
      <c r="AW27" s="0"/>
      <c r="AZ27" s="39"/>
      <c r="BA27" s="39"/>
      <c r="BB27" s="39"/>
      <c r="BC27" s="39"/>
      <c r="BJ27" s="0"/>
      <c r="BK27" s="0"/>
      <c r="BL27" s="0"/>
      <c r="BM27" s="0"/>
      <c r="BN27" s="0"/>
      <c r="BO27" s="0"/>
    </row>
    <row r="29" customFormat="false" ht="12.8" hidden="false" customHeight="false" outlineLevel="0" collapsed="false">
      <c r="B29" s="3"/>
    </row>
    <row r="131" customFormat="false" ht="12.8" hidden="false" customHeight="false" outlineLevel="0" collapsed="false">
      <c r="A131" s="51" t="s">
        <v>176</v>
      </c>
      <c r="B131" s="39" t="s">
        <v>177</v>
      </c>
      <c r="C131" s="39" t="s">
        <v>178</v>
      </c>
      <c r="D131" s="39" t="s">
        <v>5494</v>
      </c>
      <c r="E131" s="39" t="s">
        <v>180</v>
      </c>
      <c r="F131" s="39" t="s">
        <v>181</v>
      </c>
    </row>
    <row r="132" customFormat="false" ht="12.8" hidden="false" customHeight="false" outlineLevel="0" collapsed="false">
      <c r="A132" s="51" t="s">
        <v>5864</v>
      </c>
      <c r="B132" s="39" t="s">
        <v>411</v>
      </c>
      <c r="C132" s="39" t="s">
        <v>5865</v>
      </c>
      <c r="D132" s="39" t="s">
        <v>5866</v>
      </c>
      <c r="E132" s="39" t="s">
        <v>5867</v>
      </c>
      <c r="F132" s="39" t="s">
        <v>5499</v>
      </c>
    </row>
    <row r="133" customFormat="false" ht="12.8" hidden="false" customHeight="false" outlineLevel="0" collapsed="false">
      <c r="A133" s="51" t="s">
        <v>5868</v>
      </c>
      <c r="B133" s="39" t="s">
        <v>411</v>
      </c>
      <c r="C133" s="39" t="s">
        <v>5501</v>
      </c>
      <c r="D133" s="39" t="s">
        <v>5869</v>
      </c>
      <c r="E133" s="39" t="s">
        <v>5817</v>
      </c>
      <c r="F133" s="39" t="s">
        <v>5499</v>
      </c>
    </row>
    <row r="134" customFormat="false" ht="12.8" hidden="false" customHeight="false" outlineLevel="0" collapsed="false">
      <c r="A134" s="51" t="s">
        <v>5870</v>
      </c>
      <c r="B134" s="39" t="s">
        <v>411</v>
      </c>
      <c r="C134" s="39" t="s">
        <v>5505</v>
      </c>
      <c r="D134" s="39" t="s">
        <v>5871</v>
      </c>
      <c r="E134" s="39" t="s">
        <v>5872</v>
      </c>
      <c r="F134" s="39" t="s">
        <v>5499</v>
      </c>
    </row>
    <row r="141" customFormat="false" ht="12.8" hidden="false" customHeight="false" outlineLevel="0" collapsed="false">
      <c r="A141" s="51" t="s">
        <v>176</v>
      </c>
      <c r="B141" s="39" t="s">
        <v>178</v>
      </c>
      <c r="C141" s="39" t="s">
        <v>5508</v>
      </c>
      <c r="D141" s="39" t="s">
        <v>180</v>
      </c>
      <c r="E141" s="39" t="s">
        <v>428</v>
      </c>
      <c r="F141" s="39" t="s">
        <v>429</v>
      </c>
      <c r="G141" s="39" t="s">
        <v>430</v>
      </c>
      <c r="H141" s="39" t="s">
        <v>181</v>
      </c>
    </row>
    <row r="142" customFormat="false" ht="12.8" hidden="false" customHeight="false" outlineLevel="0" collapsed="false">
      <c r="A142" s="51" t="s">
        <v>5873</v>
      </c>
      <c r="B142" s="39" t="s">
        <v>5874</v>
      </c>
      <c r="C142" s="39" t="s">
        <v>5875</v>
      </c>
      <c r="D142" s="39" t="s">
        <v>5876</v>
      </c>
      <c r="E142" s="39" t="s">
        <v>434</v>
      </c>
      <c r="F142" s="39" t="s">
        <v>4026</v>
      </c>
      <c r="G142" s="52" t="s">
        <v>436</v>
      </c>
      <c r="H142" s="39" t="s">
        <v>5877</v>
      </c>
    </row>
    <row r="143" customFormat="false" ht="12.8" hidden="false" customHeight="false" outlineLevel="0" collapsed="false">
      <c r="A143" s="51" t="s">
        <v>5878</v>
      </c>
      <c r="B143" s="39" t="s">
        <v>5879</v>
      </c>
      <c r="C143" s="39" t="s">
        <v>5880</v>
      </c>
      <c r="D143" s="39" t="s">
        <v>5881</v>
      </c>
      <c r="E143" s="39" t="s">
        <v>5516</v>
      </c>
      <c r="F143" s="39" t="s">
        <v>5517</v>
      </c>
      <c r="G143" s="52" t="s">
        <v>436</v>
      </c>
      <c r="H143" s="39" t="s">
        <v>5499</v>
      </c>
    </row>
    <row r="144" customFormat="false" ht="12.8" hidden="false" customHeight="false" outlineLevel="0" collapsed="false">
      <c r="A144" s="51" t="s">
        <v>5882</v>
      </c>
      <c r="B144" s="39" t="s">
        <v>5883</v>
      </c>
      <c r="C144" s="39" t="s">
        <v>5884</v>
      </c>
      <c r="D144" s="39" t="s">
        <v>5885</v>
      </c>
      <c r="E144" s="39" t="s">
        <v>5516</v>
      </c>
      <c r="F144" s="39" t="s">
        <v>5517</v>
      </c>
      <c r="G144" s="52" t="s">
        <v>436</v>
      </c>
      <c r="H144" s="39" t="s">
        <v>5499</v>
      </c>
    </row>
    <row r="145" customFormat="false" ht="12.8" hidden="false" customHeight="false" outlineLevel="0" collapsed="false">
      <c r="A145" s="51" t="s">
        <v>5886</v>
      </c>
      <c r="B145" s="39" t="s">
        <v>5887</v>
      </c>
      <c r="C145" s="39" t="s">
        <v>5888</v>
      </c>
      <c r="D145" s="39" t="s">
        <v>5831</v>
      </c>
      <c r="E145" s="39" t="s">
        <v>5516</v>
      </c>
      <c r="F145" s="39" t="s">
        <v>5517</v>
      </c>
      <c r="G145" s="52" t="s">
        <v>436</v>
      </c>
      <c r="H145" s="39" t="s">
        <v>5499</v>
      </c>
    </row>
    <row r="146" customFormat="false" ht="12.8" hidden="false" customHeight="false" outlineLevel="0" collapsed="false">
      <c r="A146" s="51" t="s">
        <v>5889</v>
      </c>
      <c r="B146" s="39" t="s">
        <v>5890</v>
      </c>
      <c r="C146" s="39" t="s">
        <v>5891</v>
      </c>
      <c r="D146" s="39" t="s">
        <v>5835</v>
      </c>
      <c r="E146" s="39" t="s">
        <v>5516</v>
      </c>
      <c r="F146" s="39" t="s">
        <v>5517</v>
      </c>
      <c r="G146" s="52" t="s">
        <v>436</v>
      </c>
      <c r="H146" s="39" t="s">
        <v>5499</v>
      </c>
    </row>
    <row r="147" customFormat="false" ht="12.8" hidden="false" customHeight="false" outlineLevel="0" collapsed="false">
      <c r="A147" s="51" t="s">
        <v>5892</v>
      </c>
      <c r="B147" s="39" t="s">
        <v>5893</v>
      </c>
      <c r="C147" s="39" t="s">
        <v>5894</v>
      </c>
      <c r="D147" s="39" t="s">
        <v>5529</v>
      </c>
      <c r="E147" s="39" t="s">
        <v>5516</v>
      </c>
      <c r="F147" s="39" t="s">
        <v>5517</v>
      </c>
      <c r="G147" s="52" t="s">
        <v>436</v>
      </c>
      <c r="H147" s="39" t="s">
        <v>5499</v>
      </c>
    </row>
    <row r="148" customFormat="false" ht="12.8" hidden="false" customHeight="false" outlineLevel="0" collapsed="false">
      <c r="A148" s="51" t="s">
        <v>5895</v>
      </c>
      <c r="B148" s="39" t="s">
        <v>5896</v>
      </c>
      <c r="C148" s="39" t="s">
        <v>5897</v>
      </c>
      <c r="D148" s="39" t="s">
        <v>5898</v>
      </c>
      <c r="E148" s="39" t="s">
        <v>5516</v>
      </c>
      <c r="F148" s="39" t="s">
        <v>5517</v>
      </c>
      <c r="G148" s="52" t="s">
        <v>436</v>
      </c>
      <c r="H148" s="39" t="s">
        <v>5499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1" width="11.53"/>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5899</v>
      </c>
      <c r="B1" s="67" t="s">
        <v>5900</v>
      </c>
      <c r="C1" s="6" t="s">
        <v>2</v>
      </c>
      <c r="D1" s="66" t="s">
        <v>5901</v>
      </c>
      <c r="AZ1" s="39"/>
      <c r="BP1" s="39"/>
    </row>
    <row r="2" customFormat="false" ht="46.25" hidden="false" customHeight="false" outlineLevel="0" collapsed="false">
      <c r="A2" s="81" t="s">
        <v>5902</v>
      </c>
      <c r="B2" s="67" t="s">
        <v>5903</v>
      </c>
      <c r="C2" s="80" t="str">
        <f aca="false">CALC!AJ3</f>
        <v>Overall FPITREV</v>
      </c>
      <c r="D2" s="80" t="str">
        <f aca="false">CALC!AK3</f>
        <v>Authorized FPITREV</v>
      </c>
      <c r="E2" s="80" t="str">
        <f aca="false">CALC!AL3</f>
        <v>Unauthorized FPITREV</v>
      </c>
      <c r="F2" s="80" t="str">
        <f aca="false">CALC!AM3</f>
        <v>American FPITREV</v>
      </c>
    </row>
    <row r="3" customFormat="false" ht="12.8" hidden="false" customHeight="false" outlineLevel="0" collapsed="false">
      <c r="A3" s="4" t="e">
        <f aca="false">_xlfn.CONCAT($A$1, ".", #REF!)</f>
        <v>#REF!</v>
      </c>
      <c r="B3" s="49"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1" t="e">
        <f aca="false">_xlfn.CONCAT($A$1, ".", #REF!)</f>
        <v>#REF!</v>
      </c>
      <c r="B4" s="82"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1" t="e">
        <f aca="false">_xlfn.CONCAT($A$1, ".", #REF!)</f>
        <v>#REF!</v>
      </c>
      <c r="B5" s="82"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1" t="e">
        <f aca="false">_xlfn.CONCAT($A$1, ".", #REF!)</f>
        <v>#REF!</v>
      </c>
      <c r="B6" s="82"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1" t="e">
        <f aca="false">_xlfn.CONCAT($A$1, ".", #REF!)</f>
        <v>#REF!</v>
      </c>
      <c r="B7" s="82"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1" t="e">
        <f aca="false">_xlfn.CONCAT($A$1, ".", #REF!)</f>
        <v>#REF!</v>
      </c>
      <c r="B8" s="82"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1" t="e">
        <f aca="false">_xlfn.CONCAT($A$1, ".", #REF!)</f>
        <v>#REF!</v>
      </c>
      <c r="B9" s="82"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1" t="e">
        <f aca="false">_xlfn.CONCAT($A$1, ".", #REF!)</f>
        <v>#REF!</v>
      </c>
      <c r="B10" s="82"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1" t="e">
        <f aca="false">_xlfn.CONCAT($A$1, ".", #REF!)</f>
        <v>#REF!</v>
      </c>
      <c r="B11" s="82"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1" t="e">
        <f aca="false">_xlfn.CONCAT($A$1, ".", #REF!)</f>
        <v>#REF!</v>
      </c>
      <c r="B12" s="82"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1" t="e">
        <f aca="false">_xlfn.CONCAT($A$1, ".", #REF!)</f>
        <v>#REF!</v>
      </c>
      <c r="B13" s="82"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1" t="e">
        <f aca="false">_xlfn.CONCAT($A$1, ".", #REF!)</f>
        <v>#REF!</v>
      </c>
      <c r="B14" s="82"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1" t="e">
        <f aca="false">_xlfn.CONCAT($A$1, ".", #REF!)</f>
        <v>#REF!</v>
      </c>
      <c r="B15" s="82"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1" t="e">
        <f aca="false">_xlfn.CONCAT($A$1, ".", #REF!)</f>
        <v>#REF!</v>
      </c>
      <c r="B16" s="82"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1" t="e">
        <f aca="false">_xlfn.CONCAT($A$1, ".", #REF!)</f>
        <v>#REF!</v>
      </c>
      <c r="B17" s="82"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1" t="e">
        <f aca="false">_xlfn.CONCAT($A$1, ".", #REF!)</f>
        <v>#REF!</v>
      </c>
      <c r="B18" s="82"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1" t="e">
        <f aca="false">_xlfn.CONCAT($A$1, ".", #REF!)</f>
        <v>#REF!</v>
      </c>
      <c r="B19" s="82"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1" t="e">
        <f aca="false">_xlfn.CONCAT($A$1, ".", #REF!)</f>
        <v>#REF!</v>
      </c>
      <c r="B20" s="82"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1" t="e">
        <f aca="false">_xlfn.CONCAT($A$1, ".", #REF!)</f>
        <v>#REF!</v>
      </c>
      <c r="B21" s="82"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1" t="e">
        <f aca="false">_xlfn.CONCAT($A$1, ".", #REF!)</f>
        <v>#REF!</v>
      </c>
      <c r="B22" s="82"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1" t="e">
        <f aca="false">_xlfn.CONCAT($A$1, ".", #REF!)</f>
        <v>#REF!</v>
      </c>
      <c r="B23" s="82"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1" t="e">
        <f aca="false">_xlfn.CONCAT($A$1, ".", #REF!)</f>
        <v>#REF!</v>
      </c>
      <c r="B24" s="82"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1" t="e">
        <f aca="false">_xlfn.CONCAT($A$1, ".", #REF!)</f>
        <v>#REF!</v>
      </c>
      <c r="B25" s="82"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1" t="e">
        <f aca="false">_xlfn.CONCAT($A$1, ".", #REF!)</f>
        <v>#REF!</v>
      </c>
      <c r="B26" s="82"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1" t="e">
        <f aca="false">_xlfn.CONCAT($A$1, ".", #REF!)</f>
        <v>#REF!</v>
      </c>
      <c r="B27" s="82"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1" t="e">
        <f aca="false">_xlfn.CONCAT($A$1, ".", #REF!)</f>
        <v>#REF!</v>
      </c>
      <c r="B28" s="82"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1" t="e">
        <f aca="false">_xlfn.CONCAT($A$1, ".", #REF!)</f>
        <v>#REF!</v>
      </c>
      <c r="B29" s="82"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1" t="e">
        <f aca="false">_xlfn.CONCAT($A$1, ".", #REF!)</f>
        <v>#REF!</v>
      </c>
      <c r="B30" s="82"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1" t="e">
        <f aca="false">_xlfn.CONCAT($A$1, ".", #REF!)</f>
        <v>#REF!</v>
      </c>
      <c r="B31" s="82"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1" t="e">
        <f aca="false">_xlfn.CONCAT($A$1, ".", #REF!)</f>
        <v>#REF!</v>
      </c>
      <c r="B32" s="82"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1" t="e">
        <f aca="false">_xlfn.CONCAT($A$1, ".", #REF!)</f>
        <v>#REF!</v>
      </c>
      <c r="B33" s="82"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1" t="e">
        <f aca="false">_xlfn.CONCAT($A$1, ".", #REF!)</f>
        <v>#REF!</v>
      </c>
      <c r="B34" s="82"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1" t="e">
        <f aca="false">_xlfn.CONCAT($A$1, ".", #REF!)</f>
        <v>#REF!</v>
      </c>
      <c r="B35" s="82"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1" t="e">
        <f aca="false">_xlfn.CONCAT($A$1, ".", #REF!)</f>
        <v>#REF!</v>
      </c>
      <c r="B36" s="82"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1" t="e">
        <f aca="false">_xlfn.CONCAT($A$1, ".", #REF!)</f>
        <v>#REF!</v>
      </c>
      <c r="B37" s="82"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1" t="e">
        <f aca="false">_xlfn.CONCAT($A$1, ".", #REF!)</f>
        <v>#REF!</v>
      </c>
      <c r="B38" s="82"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1" t="e">
        <f aca="false">_xlfn.CONCAT($A$1, ".", #REF!)</f>
        <v>#REF!</v>
      </c>
      <c r="B39" s="82"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1" t="e">
        <f aca="false">_xlfn.CONCAT($A$1, ".", #REF!)</f>
        <v>#REF!</v>
      </c>
      <c r="B40" s="82"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1" t="e">
        <f aca="false">_xlfn.CONCAT($A$1, ".", #REF!)</f>
        <v>#REF!</v>
      </c>
      <c r="B41" s="82"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1" t="e">
        <f aca="false">_xlfn.CONCAT($A$1, ".", #REF!)</f>
        <v>#REF!</v>
      </c>
      <c r="B42" s="82"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1" t="e">
        <f aca="false">_xlfn.CONCAT($A$1, ".", #REF!)</f>
        <v>#REF!</v>
      </c>
      <c r="B43" s="82"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1" t="e">
        <f aca="false">_xlfn.CONCAT($A$1, ".", #REF!)</f>
        <v>#REF!</v>
      </c>
      <c r="B44" s="82"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1" t="e">
        <f aca="false">_xlfn.CONCAT($A$1, ".", #REF!)</f>
        <v>#REF!</v>
      </c>
      <c r="B45" s="82"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1" t="e">
        <f aca="false">_xlfn.CONCAT($A$1, ".", #REF!)</f>
        <v>#REF!</v>
      </c>
      <c r="B46" s="82"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1" t="e">
        <f aca="false">_xlfn.CONCAT($A$1, ".", #REF!)</f>
        <v>#REF!</v>
      </c>
      <c r="B47" s="82"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1" t="e">
        <f aca="false">_xlfn.CONCAT($A$1, ".", #REF!)</f>
        <v>#REF!</v>
      </c>
      <c r="B48" s="82"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1" t="e">
        <f aca="false">_xlfn.CONCAT($A$1, ".", #REF!)</f>
        <v>#REF!</v>
      </c>
      <c r="B49" s="82"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1" t="e">
        <f aca="false">_xlfn.CONCAT($A$1, ".", #REF!)</f>
        <v>#REF!</v>
      </c>
      <c r="B50" s="82"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1" t="e">
        <f aca="false">_xlfn.CONCAT($A$1, ".", #REF!)</f>
        <v>#REF!</v>
      </c>
      <c r="B51" s="82"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1" t="e">
        <f aca="false">_xlfn.CONCAT($A$1, ".", #REF!)</f>
        <v>#REF!</v>
      </c>
      <c r="B52" s="82"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1" t="e">
        <f aca="false">_xlfn.CONCAT($A$1, ".", #REF!)</f>
        <v>#REF!</v>
      </c>
      <c r="B53" s="82"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1" t="e">
        <f aca="false">_xlfn.CONCAT($A$1, ".", #REF!)</f>
        <v>#REF!</v>
      </c>
      <c r="B54" s="82"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1" t="e">
        <f aca="false">_xlfn.CONCAT($A$1, ".", #REF!)</f>
        <v>#REF!</v>
      </c>
      <c r="B55" s="82" t="e">
        <f aca="false">_xlfn.CONCAT(#REF!, ":", #REF!)</f>
        <v>#REF!</v>
      </c>
      <c r="C55" s="83" t="e">
        <f aca="false">#REF!</f>
        <v>#REF!</v>
      </c>
      <c r="D55" s="83" t="e">
        <f aca="false">#REF!</f>
        <v>#REF!</v>
      </c>
      <c r="E55" s="83" t="e">
        <f aca="false">#REF!</f>
        <v>#REF!</v>
      </c>
      <c r="F55" s="83" t="e">
        <f aca="false">#REF!</f>
        <v>#REF!</v>
      </c>
    </row>
    <row r="56" customFormat="false" ht="12.8" hidden="false" customHeight="false" outlineLevel="0" collapsed="false">
      <c r="C56" s="80"/>
      <c r="D56" s="80"/>
      <c r="E56" s="80"/>
      <c r="F56" s="80"/>
    </row>
    <row r="57" customFormat="false" ht="12.8" hidden="false" customHeight="false" outlineLevel="0" collapsed="false">
      <c r="C57" s="80"/>
      <c r="D57" s="80"/>
      <c r="E57" s="80"/>
      <c r="F57" s="80"/>
    </row>
    <row r="58" customFormat="false" ht="12.8" hidden="false" customHeight="false" outlineLevel="0" collapsed="false">
      <c r="C58" s="80"/>
      <c r="D58" s="80"/>
      <c r="E58" s="80"/>
      <c r="F58" s="80"/>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5904</v>
      </c>
      <c r="B1" s="67" t="s">
        <v>5905</v>
      </c>
      <c r="C1" s="6" t="s">
        <v>2</v>
      </c>
      <c r="D1" s="66" t="s">
        <v>5906</v>
      </c>
      <c r="AZ1" s="39"/>
      <c r="BP1" s="39"/>
    </row>
    <row r="2" customFormat="false" ht="35.05" hidden="false" customHeight="false" outlineLevel="0" collapsed="false">
      <c r="A2" s="81" t="s">
        <v>5902</v>
      </c>
      <c r="B2" s="67" t="s">
        <v>5903</v>
      </c>
      <c r="C2" s="80" t="str">
        <f aca="false">CALC!AR3</f>
        <v>EITC Credit Refund</v>
      </c>
      <c r="D2" s="80" t="str">
        <f aca="false">CALC!AS3</f>
        <v>Authorized Immigrant EITC Credit Refund</v>
      </c>
      <c r="E2" s="80" t="str">
        <f aca="false">CALC!AT3</f>
        <v>Unauthorized Immigrant EITC Credit Refund</v>
      </c>
      <c r="F2" s="80" t="str">
        <f aca="false">CALC!AU3</f>
        <v>American EITC Refund</v>
      </c>
    </row>
    <row r="3" customFormat="false" ht="12.8" hidden="false" customHeight="false" outlineLevel="0" collapsed="false">
      <c r="A3" s="4" t="e">
        <f aca="false">_xlfn.CONCAT($A$1, ".", #REF!)</f>
        <v>#REF!</v>
      </c>
      <c r="B3" s="49"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1" t="e">
        <f aca="false">_xlfn.CONCAT($A$1, ".", #REF!)</f>
        <v>#REF!</v>
      </c>
      <c r="B4" s="82"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1" t="e">
        <f aca="false">_xlfn.CONCAT($A$1, ".", #REF!)</f>
        <v>#REF!</v>
      </c>
      <c r="B5" s="82"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1" t="e">
        <f aca="false">_xlfn.CONCAT($A$1, ".", #REF!)</f>
        <v>#REF!</v>
      </c>
      <c r="B6" s="82"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1" t="e">
        <f aca="false">_xlfn.CONCAT($A$1, ".", #REF!)</f>
        <v>#REF!</v>
      </c>
      <c r="B7" s="82"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1" t="e">
        <f aca="false">_xlfn.CONCAT($A$1, ".", #REF!)</f>
        <v>#REF!</v>
      </c>
      <c r="B8" s="82"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1" t="e">
        <f aca="false">_xlfn.CONCAT($A$1, ".", #REF!)</f>
        <v>#REF!</v>
      </c>
      <c r="B9" s="82"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1" t="e">
        <f aca="false">_xlfn.CONCAT($A$1, ".", #REF!)</f>
        <v>#REF!</v>
      </c>
      <c r="B10" s="82"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1" t="e">
        <f aca="false">_xlfn.CONCAT($A$1, ".", #REF!)</f>
        <v>#REF!</v>
      </c>
      <c r="B11" s="82"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1" t="e">
        <f aca="false">_xlfn.CONCAT($A$1, ".", #REF!)</f>
        <v>#REF!</v>
      </c>
      <c r="B12" s="82"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1" t="e">
        <f aca="false">_xlfn.CONCAT($A$1, ".", #REF!)</f>
        <v>#REF!</v>
      </c>
      <c r="B13" s="82"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1" t="e">
        <f aca="false">_xlfn.CONCAT($A$1, ".", #REF!)</f>
        <v>#REF!</v>
      </c>
      <c r="B14" s="82"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1" t="e">
        <f aca="false">_xlfn.CONCAT($A$1, ".", #REF!)</f>
        <v>#REF!</v>
      </c>
      <c r="B15" s="82"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1" t="e">
        <f aca="false">_xlfn.CONCAT($A$1, ".", #REF!)</f>
        <v>#REF!</v>
      </c>
      <c r="B16" s="82"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1" t="e">
        <f aca="false">_xlfn.CONCAT($A$1, ".", #REF!)</f>
        <v>#REF!</v>
      </c>
      <c r="B17" s="82"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1" t="e">
        <f aca="false">_xlfn.CONCAT($A$1, ".", #REF!)</f>
        <v>#REF!</v>
      </c>
      <c r="B18" s="82"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1" t="e">
        <f aca="false">_xlfn.CONCAT($A$1, ".", #REF!)</f>
        <v>#REF!</v>
      </c>
      <c r="B19" s="82"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1" t="e">
        <f aca="false">_xlfn.CONCAT($A$1, ".", #REF!)</f>
        <v>#REF!</v>
      </c>
      <c r="B20" s="82"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1" t="e">
        <f aca="false">_xlfn.CONCAT($A$1, ".", #REF!)</f>
        <v>#REF!</v>
      </c>
      <c r="B21" s="82"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1" t="e">
        <f aca="false">_xlfn.CONCAT($A$1, ".", #REF!)</f>
        <v>#REF!</v>
      </c>
      <c r="B22" s="82"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1" t="e">
        <f aca="false">_xlfn.CONCAT($A$1, ".", #REF!)</f>
        <v>#REF!</v>
      </c>
      <c r="B23" s="82"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1" t="e">
        <f aca="false">_xlfn.CONCAT($A$1, ".", #REF!)</f>
        <v>#REF!</v>
      </c>
      <c r="B24" s="82"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1" t="e">
        <f aca="false">_xlfn.CONCAT($A$1, ".", #REF!)</f>
        <v>#REF!</v>
      </c>
      <c r="B25" s="82"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1" t="e">
        <f aca="false">_xlfn.CONCAT($A$1, ".", #REF!)</f>
        <v>#REF!</v>
      </c>
      <c r="B26" s="82"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1" t="e">
        <f aca="false">_xlfn.CONCAT($A$1, ".", #REF!)</f>
        <v>#REF!</v>
      </c>
      <c r="B27" s="82"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1" t="e">
        <f aca="false">_xlfn.CONCAT($A$1, ".", #REF!)</f>
        <v>#REF!</v>
      </c>
      <c r="B28" s="82"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1" t="e">
        <f aca="false">_xlfn.CONCAT($A$1, ".", #REF!)</f>
        <v>#REF!</v>
      </c>
      <c r="B29" s="82"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1" t="e">
        <f aca="false">_xlfn.CONCAT($A$1, ".", #REF!)</f>
        <v>#REF!</v>
      </c>
      <c r="B30" s="82"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1" t="e">
        <f aca="false">_xlfn.CONCAT($A$1, ".", #REF!)</f>
        <v>#REF!</v>
      </c>
      <c r="B31" s="82"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1" t="e">
        <f aca="false">_xlfn.CONCAT($A$1, ".", #REF!)</f>
        <v>#REF!</v>
      </c>
      <c r="B32" s="82"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1" t="e">
        <f aca="false">_xlfn.CONCAT($A$1, ".", #REF!)</f>
        <v>#REF!</v>
      </c>
      <c r="B33" s="82"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1" t="e">
        <f aca="false">_xlfn.CONCAT($A$1, ".", #REF!)</f>
        <v>#REF!</v>
      </c>
      <c r="B34" s="82"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1" t="e">
        <f aca="false">_xlfn.CONCAT($A$1, ".", #REF!)</f>
        <v>#REF!</v>
      </c>
      <c r="B35" s="82"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1" t="e">
        <f aca="false">_xlfn.CONCAT($A$1, ".", #REF!)</f>
        <v>#REF!</v>
      </c>
      <c r="B36" s="82"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1" t="e">
        <f aca="false">_xlfn.CONCAT($A$1, ".", #REF!)</f>
        <v>#REF!</v>
      </c>
      <c r="B37" s="82"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1" t="e">
        <f aca="false">_xlfn.CONCAT($A$1, ".", #REF!)</f>
        <v>#REF!</v>
      </c>
      <c r="B38" s="82"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1" t="e">
        <f aca="false">_xlfn.CONCAT($A$1, ".", #REF!)</f>
        <v>#REF!</v>
      </c>
      <c r="B39" s="82"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1" t="e">
        <f aca="false">_xlfn.CONCAT($A$1, ".", #REF!)</f>
        <v>#REF!</v>
      </c>
      <c r="B40" s="82"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1" t="e">
        <f aca="false">_xlfn.CONCAT($A$1, ".", #REF!)</f>
        <v>#REF!</v>
      </c>
      <c r="B41" s="82"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1" t="e">
        <f aca="false">_xlfn.CONCAT($A$1, ".", #REF!)</f>
        <v>#REF!</v>
      </c>
      <c r="B42" s="82"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1" t="e">
        <f aca="false">_xlfn.CONCAT($A$1, ".", #REF!)</f>
        <v>#REF!</v>
      </c>
      <c r="B43" s="82"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1" t="e">
        <f aca="false">_xlfn.CONCAT($A$1, ".", #REF!)</f>
        <v>#REF!</v>
      </c>
      <c r="B44" s="82"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1" t="e">
        <f aca="false">_xlfn.CONCAT($A$1, ".", #REF!)</f>
        <v>#REF!</v>
      </c>
      <c r="B45" s="82"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1" t="e">
        <f aca="false">_xlfn.CONCAT($A$1, ".", #REF!)</f>
        <v>#REF!</v>
      </c>
      <c r="B46" s="82"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1" t="e">
        <f aca="false">_xlfn.CONCAT($A$1, ".", #REF!)</f>
        <v>#REF!</v>
      </c>
      <c r="B47" s="82"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1" t="e">
        <f aca="false">_xlfn.CONCAT($A$1, ".", #REF!)</f>
        <v>#REF!</v>
      </c>
      <c r="B48" s="82"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1" t="e">
        <f aca="false">_xlfn.CONCAT($A$1, ".", #REF!)</f>
        <v>#REF!</v>
      </c>
      <c r="B49" s="82"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1" t="e">
        <f aca="false">_xlfn.CONCAT($A$1, ".", #REF!)</f>
        <v>#REF!</v>
      </c>
      <c r="B50" s="82"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1" t="e">
        <f aca="false">_xlfn.CONCAT($A$1, ".", #REF!)</f>
        <v>#REF!</v>
      </c>
      <c r="B51" s="82"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1" t="e">
        <f aca="false">_xlfn.CONCAT($A$1, ".", #REF!)</f>
        <v>#REF!</v>
      </c>
      <c r="B52" s="82"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1" t="e">
        <f aca="false">_xlfn.CONCAT($A$1, ".", #REF!)</f>
        <v>#REF!</v>
      </c>
      <c r="B53" s="82"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1" t="e">
        <f aca="false">_xlfn.CONCAT($A$1, ".", #REF!)</f>
        <v>#REF!</v>
      </c>
      <c r="B54" s="82"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1" t="e">
        <f aca="false">_xlfn.CONCAT($A$1, ".", #REF!)</f>
        <v>#REF!</v>
      </c>
      <c r="B55" s="82" t="e">
        <f aca="false">_xlfn.CONCAT(#REF!, ":", #REF!)</f>
        <v>#REF!</v>
      </c>
      <c r="C55" s="83" t="e">
        <f aca="false">#REF!</f>
        <v>#REF!</v>
      </c>
      <c r="D55" s="83" t="e">
        <f aca="false">#REF!</f>
        <v>#REF!</v>
      </c>
      <c r="E55" s="83" t="e">
        <f aca="false">#REF!</f>
        <v>#REF!</v>
      </c>
      <c r="F55" s="83"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75" zoomScaleNormal="75" zoomScalePageLayoutView="100" workbookViewId="0">
      <selection pane="topLeft" activeCell="B45" activeCellId="0" sqref="B4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5907</v>
      </c>
      <c r="B1" s="67" t="s">
        <v>5908</v>
      </c>
      <c r="C1" s="6" t="s">
        <v>2</v>
      </c>
      <c r="D1" s="66" t="s">
        <v>5909</v>
      </c>
      <c r="AZ1" s="39"/>
      <c r="BP1" s="39"/>
    </row>
    <row r="2" customFormat="false" ht="35.05" hidden="false" customHeight="false" outlineLevel="0" collapsed="false">
      <c r="A2" s="81" t="s">
        <v>5902</v>
      </c>
      <c r="B2" s="67" t="s">
        <v>5903</v>
      </c>
      <c r="C2" s="80" t="str">
        <f aca="false">CALC!AV3</f>
        <v>ACTC Refund</v>
      </c>
      <c r="D2" s="80" t="str">
        <f aca="false">CALC!AW3</f>
        <v>Authorized Immigrant ACTC Refund</v>
      </c>
      <c r="E2" s="80" t="str">
        <f aca="false">CALC!AX3</f>
        <v>Unauthorized Immigrant ACTC Refund</v>
      </c>
      <c r="F2" s="80" t="str">
        <f aca="false">CALC!AY3</f>
        <v>American Tax ACTC Refund</v>
      </c>
    </row>
    <row r="3" customFormat="false" ht="12.8" hidden="false" customHeight="false" outlineLevel="0" collapsed="false">
      <c r="A3" s="4" t="e">
        <f aca="false">_xlfn.CONCAT($A$1, ".", #REF!)</f>
        <v>#REF!</v>
      </c>
      <c r="B3" s="49"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1" t="e">
        <f aca="false">_xlfn.CONCAT($A$1, ".", #REF!)</f>
        <v>#REF!</v>
      </c>
      <c r="B4" s="82"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1" t="e">
        <f aca="false">_xlfn.CONCAT($A$1, ".", #REF!)</f>
        <v>#REF!</v>
      </c>
      <c r="B5" s="82"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1" t="e">
        <f aca="false">_xlfn.CONCAT($A$1, ".", #REF!)</f>
        <v>#REF!</v>
      </c>
      <c r="B6" s="82"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1" t="e">
        <f aca="false">_xlfn.CONCAT($A$1, ".", #REF!)</f>
        <v>#REF!</v>
      </c>
      <c r="B7" s="82"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1" t="e">
        <f aca="false">_xlfn.CONCAT($A$1, ".", #REF!)</f>
        <v>#REF!</v>
      </c>
      <c r="B8" s="82"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1" t="e">
        <f aca="false">_xlfn.CONCAT($A$1, ".", #REF!)</f>
        <v>#REF!</v>
      </c>
      <c r="B9" s="82"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1" t="e">
        <f aca="false">_xlfn.CONCAT($A$1, ".", #REF!)</f>
        <v>#REF!</v>
      </c>
      <c r="B10" s="82"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1" t="e">
        <f aca="false">_xlfn.CONCAT($A$1, ".", #REF!)</f>
        <v>#REF!</v>
      </c>
      <c r="B11" s="82"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1" t="e">
        <f aca="false">_xlfn.CONCAT($A$1, ".", #REF!)</f>
        <v>#REF!</v>
      </c>
      <c r="B12" s="82"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1" t="e">
        <f aca="false">_xlfn.CONCAT($A$1, ".", #REF!)</f>
        <v>#REF!</v>
      </c>
      <c r="B13" s="82"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1" t="e">
        <f aca="false">_xlfn.CONCAT($A$1, ".", #REF!)</f>
        <v>#REF!</v>
      </c>
      <c r="B14" s="82"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1" t="e">
        <f aca="false">_xlfn.CONCAT($A$1, ".", #REF!)</f>
        <v>#REF!</v>
      </c>
      <c r="B15" s="82"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1" t="e">
        <f aca="false">_xlfn.CONCAT($A$1, ".", #REF!)</f>
        <v>#REF!</v>
      </c>
      <c r="B16" s="82"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1" t="e">
        <f aca="false">_xlfn.CONCAT($A$1, ".", #REF!)</f>
        <v>#REF!</v>
      </c>
      <c r="B17" s="82"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1" t="e">
        <f aca="false">_xlfn.CONCAT($A$1, ".", #REF!)</f>
        <v>#REF!</v>
      </c>
      <c r="B18" s="82"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1" t="e">
        <f aca="false">_xlfn.CONCAT($A$1, ".", #REF!)</f>
        <v>#REF!</v>
      </c>
      <c r="B19" s="82"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1" t="e">
        <f aca="false">_xlfn.CONCAT($A$1, ".", #REF!)</f>
        <v>#REF!</v>
      </c>
      <c r="B20" s="82"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1" t="e">
        <f aca="false">_xlfn.CONCAT($A$1, ".", #REF!)</f>
        <v>#REF!</v>
      </c>
      <c r="B21" s="82"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1" t="e">
        <f aca="false">_xlfn.CONCAT($A$1, ".", #REF!)</f>
        <v>#REF!</v>
      </c>
      <c r="B22" s="82"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1" t="e">
        <f aca="false">_xlfn.CONCAT($A$1, ".", #REF!)</f>
        <v>#REF!</v>
      </c>
      <c r="B23" s="82"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1" t="e">
        <f aca="false">_xlfn.CONCAT($A$1, ".", #REF!)</f>
        <v>#REF!</v>
      </c>
      <c r="B24" s="82"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1" t="e">
        <f aca="false">_xlfn.CONCAT($A$1, ".", #REF!)</f>
        <v>#REF!</v>
      </c>
      <c r="B25" s="82"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1" t="e">
        <f aca="false">_xlfn.CONCAT($A$1, ".", #REF!)</f>
        <v>#REF!</v>
      </c>
      <c r="B26" s="82"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1" t="e">
        <f aca="false">_xlfn.CONCAT($A$1, ".", #REF!)</f>
        <v>#REF!</v>
      </c>
      <c r="B27" s="82"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1" t="e">
        <f aca="false">_xlfn.CONCAT($A$1, ".", #REF!)</f>
        <v>#REF!</v>
      </c>
      <c r="B28" s="82"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1" t="e">
        <f aca="false">_xlfn.CONCAT($A$1, ".", #REF!)</f>
        <v>#REF!</v>
      </c>
      <c r="B29" s="82"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1" t="e">
        <f aca="false">_xlfn.CONCAT($A$1, ".", #REF!)</f>
        <v>#REF!</v>
      </c>
      <c r="B30" s="82"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1" t="e">
        <f aca="false">_xlfn.CONCAT($A$1, ".", #REF!)</f>
        <v>#REF!</v>
      </c>
      <c r="B31" s="82"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1" t="e">
        <f aca="false">_xlfn.CONCAT($A$1, ".", #REF!)</f>
        <v>#REF!</v>
      </c>
      <c r="B32" s="82"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1" t="e">
        <f aca="false">_xlfn.CONCAT($A$1, ".", #REF!)</f>
        <v>#REF!</v>
      </c>
      <c r="B33" s="82"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1" t="e">
        <f aca="false">_xlfn.CONCAT($A$1, ".", #REF!)</f>
        <v>#REF!</v>
      </c>
      <c r="B34" s="82"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1" t="e">
        <f aca="false">_xlfn.CONCAT($A$1, ".", #REF!)</f>
        <v>#REF!</v>
      </c>
      <c r="B35" s="82"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1" t="e">
        <f aca="false">_xlfn.CONCAT($A$1, ".", #REF!)</f>
        <v>#REF!</v>
      </c>
      <c r="B36" s="82"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1" t="e">
        <f aca="false">_xlfn.CONCAT($A$1, ".", #REF!)</f>
        <v>#REF!</v>
      </c>
      <c r="B37" s="82"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1" t="e">
        <f aca="false">_xlfn.CONCAT($A$1, ".", #REF!)</f>
        <v>#REF!</v>
      </c>
      <c r="B38" s="82"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1" t="e">
        <f aca="false">_xlfn.CONCAT($A$1, ".", #REF!)</f>
        <v>#REF!</v>
      </c>
      <c r="B39" s="82"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1" t="e">
        <f aca="false">_xlfn.CONCAT($A$1, ".", #REF!)</f>
        <v>#REF!</v>
      </c>
      <c r="B40" s="82"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1" t="e">
        <f aca="false">_xlfn.CONCAT($A$1, ".", #REF!)</f>
        <v>#REF!</v>
      </c>
      <c r="B41" s="82"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1" t="e">
        <f aca="false">_xlfn.CONCAT($A$1, ".", #REF!)</f>
        <v>#REF!</v>
      </c>
      <c r="B42" s="82"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1" t="e">
        <f aca="false">_xlfn.CONCAT($A$1, ".", #REF!)</f>
        <v>#REF!</v>
      </c>
      <c r="B43" s="82"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1" t="e">
        <f aca="false">_xlfn.CONCAT($A$1, ".", #REF!)</f>
        <v>#REF!</v>
      </c>
      <c r="B44" s="82"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1" t="e">
        <f aca="false">_xlfn.CONCAT($A$1, ".", #REF!)</f>
        <v>#REF!</v>
      </c>
      <c r="B45" s="82"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1" t="e">
        <f aca="false">_xlfn.CONCAT($A$1, ".", #REF!)</f>
        <v>#REF!</v>
      </c>
      <c r="B46" s="82"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1" t="e">
        <f aca="false">_xlfn.CONCAT($A$1, ".", #REF!)</f>
        <v>#REF!</v>
      </c>
      <c r="B47" s="82"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1" t="e">
        <f aca="false">_xlfn.CONCAT($A$1, ".", #REF!)</f>
        <v>#REF!</v>
      </c>
      <c r="B48" s="82"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1" t="e">
        <f aca="false">_xlfn.CONCAT($A$1, ".", #REF!)</f>
        <v>#REF!</v>
      </c>
      <c r="B49" s="82"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1" t="e">
        <f aca="false">_xlfn.CONCAT($A$1, ".", #REF!)</f>
        <v>#REF!</v>
      </c>
      <c r="B50" s="82"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1" t="e">
        <f aca="false">_xlfn.CONCAT($A$1, ".", #REF!)</f>
        <v>#REF!</v>
      </c>
      <c r="B51" s="82"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1" t="e">
        <f aca="false">_xlfn.CONCAT($A$1, ".", #REF!)</f>
        <v>#REF!</v>
      </c>
      <c r="B52" s="82"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1" t="e">
        <f aca="false">_xlfn.CONCAT($A$1, ".", #REF!)</f>
        <v>#REF!</v>
      </c>
      <c r="B53" s="82"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1" t="e">
        <f aca="false">_xlfn.CONCAT($A$1, ".", #REF!)</f>
        <v>#REF!</v>
      </c>
      <c r="B54" s="82"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1" t="e">
        <f aca="false">_xlfn.CONCAT($A$1, ".", #REF!)</f>
        <v>#REF!</v>
      </c>
      <c r="B55" s="82" t="e">
        <f aca="false">_xlfn.CONCAT(#REF!, ":", #REF!)</f>
        <v>#REF!</v>
      </c>
      <c r="C55" s="83" t="e">
        <f aca="false">#REF!</f>
        <v>#REF!</v>
      </c>
      <c r="D55" s="83" t="e">
        <f aca="false">#REF!</f>
        <v>#REF!</v>
      </c>
      <c r="E55" s="83" t="e">
        <f aca="false">#REF!</f>
        <v>#REF!</v>
      </c>
      <c r="F55" s="83" t="e">
        <f aca="false">#REF!</f>
        <v>#REF!</v>
      </c>
    </row>
    <row r="56" customFormat="false" ht="12.8" hidden="false" customHeight="false" outlineLevel="0" collapsed="false">
      <c r="C56" s="80"/>
      <c r="D56" s="80"/>
      <c r="E56" s="80"/>
      <c r="F56" s="80"/>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32" activeCellId="0" sqref="H32"/>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5910</v>
      </c>
      <c r="B1" s="85" t="s">
        <v>5911</v>
      </c>
      <c r="C1" s="6" t="s">
        <v>2</v>
      </c>
      <c r="D1" s="39" t="s">
        <v>5912</v>
      </c>
      <c r="AZ1" s="39"/>
      <c r="BP1" s="39"/>
    </row>
    <row r="2" customFormat="false" ht="35.05" hidden="false" customHeight="false" outlineLevel="0" collapsed="false">
      <c r="A2" s="86" t="s">
        <v>5902</v>
      </c>
      <c r="B2" s="87" t="s">
        <v>5903</v>
      </c>
      <c r="C2" s="80" t="str">
        <f aca="false">CALC!AZ3</f>
        <v>AOTC Refund</v>
      </c>
      <c r="D2" s="80" t="str">
        <f aca="false">CALC!BA3</f>
        <v>Authorized Immigrant AOTC Refund</v>
      </c>
      <c r="E2" s="80" t="str">
        <f aca="false">CALC!BB3</f>
        <v>Unauthorized Immigrant AOTC Refund</v>
      </c>
      <c r="F2" s="80" t="str">
        <f aca="false">CALC!BC3</f>
        <v>American Tax AOTC Refund</v>
      </c>
    </row>
    <row r="3" customFormat="false" ht="12.8" hidden="false" customHeight="false" outlineLevel="0" collapsed="false">
      <c r="A3" s="51" t="e">
        <f aca="false">_xlfn.CONCAT($A$1, ".", #REF!)</f>
        <v>#REF!</v>
      </c>
      <c r="B3" s="68"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1" t="e">
        <f aca="false">_xlfn.CONCAT($A$1, ".", #REF!)</f>
        <v>#REF!</v>
      </c>
      <c r="B4" s="68" t="e">
        <f aca="false">_xlfn.CONCAT(#REF!, ":", #REF!)</f>
        <v>#REF!</v>
      </c>
      <c r="C4" s="80" t="e">
        <f aca="false">#REF!</f>
        <v>#REF!</v>
      </c>
      <c r="D4" s="80" t="e">
        <f aca="false">#REF!</f>
        <v>#REF!</v>
      </c>
      <c r="E4" s="80" t="e">
        <f aca="false">#REF!</f>
        <v>#REF!</v>
      </c>
      <c r="F4" s="80" t="e">
        <f aca="false">#REF!</f>
        <v>#REF!</v>
      </c>
    </row>
    <row r="5" customFormat="false" ht="12.8" hidden="false" customHeight="false" outlineLevel="0" collapsed="false">
      <c r="A5" s="51" t="e">
        <f aca="false">_xlfn.CONCAT($A$1, ".", #REF!)</f>
        <v>#REF!</v>
      </c>
      <c r="B5" s="68" t="e">
        <f aca="false">_xlfn.CONCAT(#REF!, ":", #REF!)</f>
        <v>#REF!</v>
      </c>
      <c r="C5" s="80" t="e">
        <f aca="false">#REF!</f>
        <v>#REF!</v>
      </c>
      <c r="D5" s="80" t="e">
        <f aca="false">#REF!</f>
        <v>#REF!</v>
      </c>
      <c r="E5" s="80" t="e">
        <f aca="false">#REF!</f>
        <v>#REF!</v>
      </c>
      <c r="F5" s="80" t="e">
        <f aca="false">#REF!</f>
        <v>#REF!</v>
      </c>
    </row>
    <row r="6" customFormat="false" ht="12.8" hidden="false" customHeight="false" outlineLevel="0" collapsed="false">
      <c r="A6" s="51" t="e">
        <f aca="false">_xlfn.CONCAT($A$1, ".", #REF!)</f>
        <v>#REF!</v>
      </c>
      <c r="B6" s="68" t="e">
        <f aca="false">_xlfn.CONCAT(#REF!, ":", #REF!)</f>
        <v>#REF!</v>
      </c>
      <c r="C6" s="80" t="e">
        <f aca="false">#REF!</f>
        <v>#REF!</v>
      </c>
      <c r="D6" s="80" t="e">
        <f aca="false">#REF!</f>
        <v>#REF!</v>
      </c>
      <c r="E6" s="80" t="e">
        <f aca="false">#REF!</f>
        <v>#REF!</v>
      </c>
      <c r="F6" s="80" t="e">
        <f aca="false">#REF!</f>
        <v>#REF!</v>
      </c>
    </row>
    <row r="7" customFormat="false" ht="12.8" hidden="false" customHeight="false" outlineLevel="0" collapsed="false">
      <c r="A7" s="51" t="e">
        <f aca="false">_xlfn.CONCAT($A$1, ".", #REF!)</f>
        <v>#REF!</v>
      </c>
      <c r="B7" s="68" t="e">
        <f aca="false">_xlfn.CONCAT(#REF!, ":", #REF!)</f>
        <v>#REF!</v>
      </c>
      <c r="C7" s="80" t="e">
        <f aca="false">#REF!</f>
        <v>#REF!</v>
      </c>
      <c r="D7" s="80" t="e">
        <f aca="false">#REF!</f>
        <v>#REF!</v>
      </c>
      <c r="E7" s="80" t="e">
        <f aca="false">#REF!</f>
        <v>#REF!</v>
      </c>
      <c r="F7" s="80" t="e">
        <f aca="false">#REF!</f>
        <v>#REF!</v>
      </c>
    </row>
    <row r="8" customFormat="false" ht="12.8" hidden="false" customHeight="false" outlineLevel="0" collapsed="false">
      <c r="A8" s="51" t="e">
        <f aca="false">_xlfn.CONCAT($A$1, ".", #REF!)</f>
        <v>#REF!</v>
      </c>
      <c r="B8" s="68" t="e">
        <f aca="false">_xlfn.CONCAT(#REF!, ":", #REF!)</f>
        <v>#REF!</v>
      </c>
      <c r="C8" s="80" t="e">
        <f aca="false">#REF!</f>
        <v>#REF!</v>
      </c>
      <c r="D8" s="80" t="e">
        <f aca="false">#REF!</f>
        <v>#REF!</v>
      </c>
      <c r="E8" s="80" t="e">
        <f aca="false">#REF!</f>
        <v>#REF!</v>
      </c>
      <c r="F8" s="80" t="e">
        <f aca="false">#REF!</f>
        <v>#REF!</v>
      </c>
    </row>
    <row r="9" customFormat="false" ht="12.8" hidden="false" customHeight="false" outlineLevel="0" collapsed="false">
      <c r="A9" s="51" t="e">
        <f aca="false">_xlfn.CONCAT($A$1, ".", #REF!)</f>
        <v>#REF!</v>
      </c>
      <c r="B9" s="68" t="e">
        <f aca="false">_xlfn.CONCAT(#REF!, ":", #REF!)</f>
        <v>#REF!</v>
      </c>
      <c r="C9" s="80" t="e">
        <f aca="false">#REF!</f>
        <v>#REF!</v>
      </c>
      <c r="D9" s="80" t="e">
        <f aca="false">#REF!</f>
        <v>#REF!</v>
      </c>
      <c r="E9" s="80" t="e">
        <f aca="false">#REF!</f>
        <v>#REF!</v>
      </c>
      <c r="F9" s="80" t="e">
        <f aca="false">#REF!</f>
        <v>#REF!</v>
      </c>
    </row>
    <row r="10" customFormat="false" ht="12.8" hidden="false" customHeight="false" outlineLevel="0" collapsed="false">
      <c r="A10" s="51" t="e">
        <f aca="false">_xlfn.CONCAT($A$1, ".", #REF!)</f>
        <v>#REF!</v>
      </c>
      <c r="B10" s="68" t="e">
        <f aca="false">_xlfn.CONCAT(#REF!, ":", #REF!)</f>
        <v>#REF!</v>
      </c>
      <c r="C10" s="80" t="e">
        <f aca="false">#REF!</f>
        <v>#REF!</v>
      </c>
      <c r="D10" s="80" t="e">
        <f aca="false">#REF!</f>
        <v>#REF!</v>
      </c>
      <c r="E10" s="80" t="e">
        <f aca="false">#REF!</f>
        <v>#REF!</v>
      </c>
      <c r="F10" s="80" t="e">
        <f aca="false">#REF!</f>
        <v>#REF!</v>
      </c>
    </row>
    <row r="11" customFormat="false" ht="12.8" hidden="false" customHeight="false" outlineLevel="0" collapsed="false">
      <c r="A11" s="51" t="e">
        <f aca="false">_xlfn.CONCAT($A$1, ".", #REF!)</f>
        <v>#REF!</v>
      </c>
      <c r="B11" s="68" t="e">
        <f aca="false">_xlfn.CONCAT(#REF!, ":", #REF!)</f>
        <v>#REF!</v>
      </c>
      <c r="C11" s="80" t="e">
        <f aca="false">#REF!</f>
        <v>#REF!</v>
      </c>
      <c r="D11" s="80" t="e">
        <f aca="false">#REF!</f>
        <v>#REF!</v>
      </c>
      <c r="E11" s="80" t="e">
        <f aca="false">#REF!</f>
        <v>#REF!</v>
      </c>
      <c r="F11" s="80" t="e">
        <f aca="false">#REF!</f>
        <v>#REF!</v>
      </c>
    </row>
    <row r="12" customFormat="false" ht="12.8" hidden="false" customHeight="false" outlineLevel="0" collapsed="false">
      <c r="A12" s="51" t="e">
        <f aca="false">_xlfn.CONCAT($A$1, ".", #REF!)</f>
        <v>#REF!</v>
      </c>
      <c r="B12" s="68" t="e">
        <f aca="false">_xlfn.CONCAT(#REF!, ":", #REF!)</f>
        <v>#REF!</v>
      </c>
      <c r="C12" s="80" t="e">
        <f aca="false">#REF!</f>
        <v>#REF!</v>
      </c>
      <c r="D12" s="80" t="e">
        <f aca="false">#REF!</f>
        <v>#REF!</v>
      </c>
      <c r="E12" s="80" t="e">
        <f aca="false">#REF!</f>
        <v>#REF!</v>
      </c>
      <c r="F12" s="80" t="e">
        <f aca="false">#REF!</f>
        <v>#REF!</v>
      </c>
    </row>
    <row r="13" customFormat="false" ht="12.8" hidden="false" customHeight="false" outlineLevel="0" collapsed="false">
      <c r="A13" s="51" t="e">
        <f aca="false">_xlfn.CONCAT($A$1, ".", #REF!)</f>
        <v>#REF!</v>
      </c>
      <c r="B13" s="68" t="e">
        <f aca="false">_xlfn.CONCAT(#REF!, ":", #REF!)</f>
        <v>#REF!</v>
      </c>
      <c r="C13" s="80" t="e">
        <f aca="false">#REF!</f>
        <v>#REF!</v>
      </c>
      <c r="D13" s="80" t="e">
        <f aca="false">#REF!</f>
        <v>#REF!</v>
      </c>
      <c r="E13" s="80" t="e">
        <f aca="false">#REF!</f>
        <v>#REF!</v>
      </c>
      <c r="F13" s="80" t="e">
        <f aca="false">#REF!</f>
        <v>#REF!</v>
      </c>
    </row>
    <row r="14" customFormat="false" ht="12.8" hidden="false" customHeight="false" outlineLevel="0" collapsed="false">
      <c r="A14" s="51" t="e">
        <f aca="false">_xlfn.CONCAT($A$1, ".", #REF!)</f>
        <v>#REF!</v>
      </c>
      <c r="B14" s="68" t="e">
        <f aca="false">_xlfn.CONCAT(#REF!, ":", #REF!)</f>
        <v>#REF!</v>
      </c>
      <c r="C14" s="80" t="e">
        <f aca="false">#REF!</f>
        <v>#REF!</v>
      </c>
      <c r="D14" s="80" t="e">
        <f aca="false">#REF!</f>
        <v>#REF!</v>
      </c>
      <c r="E14" s="80" t="e">
        <f aca="false">#REF!</f>
        <v>#REF!</v>
      </c>
      <c r="F14" s="80" t="e">
        <f aca="false">#REF!</f>
        <v>#REF!</v>
      </c>
    </row>
    <row r="15" customFormat="false" ht="12.8" hidden="false" customHeight="false" outlineLevel="0" collapsed="false">
      <c r="A15" s="51" t="e">
        <f aca="false">_xlfn.CONCAT($A$1, ".", #REF!)</f>
        <v>#REF!</v>
      </c>
      <c r="B15" s="68" t="e">
        <f aca="false">_xlfn.CONCAT(#REF!, ":", #REF!)</f>
        <v>#REF!</v>
      </c>
      <c r="C15" s="80" t="e">
        <f aca="false">#REF!</f>
        <v>#REF!</v>
      </c>
      <c r="D15" s="80" t="e">
        <f aca="false">#REF!</f>
        <v>#REF!</v>
      </c>
      <c r="E15" s="80" t="e">
        <f aca="false">#REF!</f>
        <v>#REF!</v>
      </c>
      <c r="F15" s="80" t="e">
        <f aca="false">#REF!</f>
        <v>#REF!</v>
      </c>
    </row>
    <row r="16" customFormat="false" ht="12.8" hidden="false" customHeight="false" outlineLevel="0" collapsed="false">
      <c r="A16" s="51" t="e">
        <f aca="false">_xlfn.CONCAT($A$1, ".", #REF!)</f>
        <v>#REF!</v>
      </c>
      <c r="B16" s="68" t="e">
        <f aca="false">_xlfn.CONCAT(#REF!, ":", #REF!)</f>
        <v>#REF!</v>
      </c>
      <c r="C16" s="80" t="e">
        <f aca="false">#REF!</f>
        <v>#REF!</v>
      </c>
      <c r="D16" s="80" t="e">
        <f aca="false">#REF!</f>
        <v>#REF!</v>
      </c>
      <c r="E16" s="80" t="e">
        <f aca="false">#REF!</f>
        <v>#REF!</v>
      </c>
      <c r="F16" s="80" t="e">
        <f aca="false">#REF!</f>
        <v>#REF!</v>
      </c>
    </row>
    <row r="17" customFormat="false" ht="12.8" hidden="false" customHeight="false" outlineLevel="0" collapsed="false">
      <c r="A17" s="51" t="e">
        <f aca="false">_xlfn.CONCAT($A$1, ".", #REF!)</f>
        <v>#REF!</v>
      </c>
      <c r="B17" s="68" t="e">
        <f aca="false">_xlfn.CONCAT(#REF!, ":", #REF!)</f>
        <v>#REF!</v>
      </c>
      <c r="C17" s="80" t="e">
        <f aca="false">#REF!</f>
        <v>#REF!</v>
      </c>
      <c r="D17" s="80" t="e">
        <f aca="false">#REF!</f>
        <v>#REF!</v>
      </c>
      <c r="E17" s="80" t="e">
        <f aca="false">#REF!</f>
        <v>#REF!</v>
      </c>
      <c r="F17" s="80" t="e">
        <f aca="false">#REF!</f>
        <v>#REF!</v>
      </c>
    </row>
    <row r="18" customFormat="false" ht="12.8" hidden="false" customHeight="false" outlineLevel="0" collapsed="false">
      <c r="A18" s="51" t="e">
        <f aca="false">_xlfn.CONCAT($A$1, ".", #REF!)</f>
        <v>#REF!</v>
      </c>
      <c r="B18" s="68" t="e">
        <f aca="false">_xlfn.CONCAT(#REF!, ":", #REF!)</f>
        <v>#REF!</v>
      </c>
      <c r="C18" s="80" t="e">
        <f aca="false">#REF!</f>
        <v>#REF!</v>
      </c>
      <c r="D18" s="80" t="e">
        <f aca="false">#REF!</f>
        <v>#REF!</v>
      </c>
      <c r="E18" s="80" t="e">
        <f aca="false">#REF!</f>
        <v>#REF!</v>
      </c>
      <c r="F18" s="80" t="e">
        <f aca="false">#REF!</f>
        <v>#REF!</v>
      </c>
    </row>
    <row r="19" customFormat="false" ht="12.8" hidden="false" customHeight="false" outlineLevel="0" collapsed="false">
      <c r="A19" s="51" t="e">
        <f aca="false">_xlfn.CONCAT($A$1, ".", #REF!)</f>
        <v>#REF!</v>
      </c>
      <c r="B19" s="68" t="e">
        <f aca="false">_xlfn.CONCAT(#REF!, ":", #REF!)</f>
        <v>#REF!</v>
      </c>
      <c r="C19" s="80" t="e">
        <f aca="false">#REF!</f>
        <v>#REF!</v>
      </c>
      <c r="D19" s="80" t="e">
        <f aca="false">#REF!</f>
        <v>#REF!</v>
      </c>
      <c r="E19" s="80" t="e">
        <f aca="false">#REF!</f>
        <v>#REF!</v>
      </c>
      <c r="F19" s="80" t="e">
        <f aca="false">#REF!</f>
        <v>#REF!</v>
      </c>
    </row>
    <row r="20" customFormat="false" ht="12.8" hidden="false" customHeight="false" outlineLevel="0" collapsed="false">
      <c r="A20" s="51" t="e">
        <f aca="false">_xlfn.CONCAT($A$1, ".", #REF!)</f>
        <v>#REF!</v>
      </c>
      <c r="B20" s="68" t="e">
        <f aca="false">_xlfn.CONCAT(#REF!, ":", #REF!)</f>
        <v>#REF!</v>
      </c>
      <c r="C20" s="80" t="e">
        <f aca="false">#REF!</f>
        <v>#REF!</v>
      </c>
      <c r="D20" s="80" t="e">
        <f aca="false">#REF!</f>
        <v>#REF!</v>
      </c>
      <c r="E20" s="80" t="e">
        <f aca="false">#REF!</f>
        <v>#REF!</v>
      </c>
      <c r="F20" s="80" t="e">
        <f aca="false">#REF!</f>
        <v>#REF!</v>
      </c>
    </row>
    <row r="21" customFormat="false" ht="12.8" hidden="false" customHeight="false" outlineLevel="0" collapsed="false">
      <c r="A21" s="51" t="e">
        <f aca="false">_xlfn.CONCAT($A$1, ".", #REF!)</f>
        <v>#REF!</v>
      </c>
      <c r="B21" s="68" t="e">
        <f aca="false">_xlfn.CONCAT(#REF!, ":", #REF!)</f>
        <v>#REF!</v>
      </c>
      <c r="C21" s="80" t="e">
        <f aca="false">#REF!</f>
        <v>#REF!</v>
      </c>
      <c r="D21" s="80" t="e">
        <f aca="false">#REF!</f>
        <v>#REF!</v>
      </c>
      <c r="E21" s="80" t="e">
        <f aca="false">#REF!</f>
        <v>#REF!</v>
      </c>
      <c r="F21" s="80" t="e">
        <f aca="false">#REF!</f>
        <v>#REF!</v>
      </c>
    </row>
    <row r="22" customFormat="false" ht="12.8" hidden="false" customHeight="false" outlineLevel="0" collapsed="false">
      <c r="A22" s="51" t="e">
        <f aca="false">_xlfn.CONCAT($A$1, ".", #REF!)</f>
        <v>#REF!</v>
      </c>
      <c r="B22" s="68" t="e">
        <f aca="false">_xlfn.CONCAT(#REF!, ":", #REF!)</f>
        <v>#REF!</v>
      </c>
      <c r="C22" s="80" t="e">
        <f aca="false">#REF!</f>
        <v>#REF!</v>
      </c>
      <c r="D22" s="80" t="e">
        <f aca="false">#REF!</f>
        <v>#REF!</v>
      </c>
      <c r="E22" s="80" t="e">
        <f aca="false">#REF!</f>
        <v>#REF!</v>
      </c>
      <c r="F22" s="80" t="e">
        <f aca="false">#REF!</f>
        <v>#REF!</v>
      </c>
    </row>
    <row r="23" customFormat="false" ht="12.8" hidden="false" customHeight="false" outlineLevel="0" collapsed="false">
      <c r="A23" s="51" t="e">
        <f aca="false">_xlfn.CONCAT($A$1, ".", #REF!)</f>
        <v>#REF!</v>
      </c>
      <c r="B23" s="68" t="e">
        <f aca="false">_xlfn.CONCAT(#REF!, ":", #REF!)</f>
        <v>#REF!</v>
      </c>
      <c r="C23" s="80" t="e">
        <f aca="false">#REF!</f>
        <v>#REF!</v>
      </c>
      <c r="D23" s="80" t="e">
        <f aca="false">#REF!</f>
        <v>#REF!</v>
      </c>
      <c r="E23" s="80" t="e">
        <f aca="false">#REF!</f>
        <v>#REF!</v>
      </c>
      <c r="F23" s="80" t="e">
        <f aca="false">#REF!</f>
        <v>#REF!</v>
      </c>
    </row>
    <row r="24" customFormat="false" ht="12.8" hidden="false" customHeight="false" outlineLevel="0" collapsed="false">
      <c r="A24" s="51" t="e">
        <f aca="false">_xlfn.CONCAT($A$1, ".", #REF!)</f>
        <v>#REF!</v>
      </c>
      <c r="B24" s="68" t="e">
        <f aca="false">_xlfn.CONCAT(#REF!, ":", #REF!)</f>
        <v>#REF!</v>
      </c>
      <c r="C24" s="80" t="e">
        <f aca="false">#REF!</f>
        <v>#REF!</v>
      </c>
      <c r="D24" s="80" t="e">
        <f aca="false">#REF!</f>
        <v>#REF!</v>
      </c>
      <c r="E24" s="80" t="e">
        <f aca="false">#REF!</f>
        <v>#REF!</v>
      </c>
      <c r="F24" s="80" t="e">
        <f aca="false">#REF!</f>
        <v>#REF!</v>
      </c>
    </row>
    <row r="25" customFormat="false" ht="12.8" hidden="false" customHeight="false" outlineLevel="0" collapsed="false">
      <c r="A25" s="51" t="e">
        <f aca="false">_xlfn.CONCAT($A$1, ".", #REF!)</f>
        <v>#REF!</v>
      </c>
      <c r="B25" s="68" t="e">
        <f aca="false">_xlfn.CONCAT(#REF!, ":", #REF!)</f>
        <v>#REF!</v>
      </c>
      <c r="C25" s="80" t="e">
        <f aca="false">#REF!</f>
        <v>#REF!</v>
      </c>
      <c r="D25" s="80" t="e">
        <f aca="false">#REF!</f>
        <v>#REF!</v>
      </c>
      <c r="E25" s="80" t="e">
        <f aca="false">#REF!</f>
        <v>#REF!</v>
      </c>
      <c r="F25" s="80" t="e">
        <f aca="false">#REF!</f>
        <v>#REF!</v>
      </c>
    </row>
    <row r="26" customFormat="false" ht="12.8" hidden="false" customHeight="false" outlineLevel="0" collapsed="false">
      <c r="A26" s="51" t="e">
        <f aca="false">_xlfn.CONCAT($A$1, ".", #REF!)</f>
        <v>#REF!</v>
      </c>
      <c r="B26" s="68" t="e">
        <f aca="false">_xlfn.CONCAT(#REF!, ":", #REF!)</f>
        <v>#REF!</v>
      </c>
      <c r="C26" s="80" t="e">
        <f aca="false">#REF!</f>
        <v>#REF!</v>
      </c>
      <c r="D26" s="80" t="e">
        <f aca="false">#REF!</f>
        <v>#REF!</v>
      </c>
      <c r="E26" s="80" t="e">
        <f aca="false">#REF!</f>
        <v>#REF!</v>
      </c>
      <c r="F26" s="80" t="e">
        <f aca="false">#REF!</f>
        <v>#REF!</v>
      </c>
    </row>
    <row r="27" customFormat="false" ht="12.8" hidden="false" customHeight="false" outlineLevel="0" collapsed="false">
      <c r="A27" s="51" t="e">
        <f aca="false">_xlfn.CONCAT($A$1, ".", #REF!)</f>
        <v>#REF!</v>
      </c>
      <c r="B27" s="68" t="e">
        <f aca="false">_xlfn.CONCAT(#REF!, ":", #REF!)</f>
        <v>#REF!</v>
      </c>
      <c r="C27" s="80" t="e">
        <f aca="false">#REF!</f>
        <v>#REF!</v>
      </c>
      <c r="D27" s="80" t="e">
        <f aca="false">#REF!</f>
        <v>#REF!</v>
      </c>
      <c r="E27" s="80" t="e">
        <f aca="false">#REF!</f>
        <v>#REF!</v>
      </c>
      <c r="F27" s="80" t="e">
        <f aca="false">#REF!</f>
        <v>#REF!</v>
      </c>
    </row>
    <row r="28" customFormat="false" ht="12.8" hidden="false" customHeight="false" outlineLevel="0" collapsed="false">
      <c r="A28" s="51" t="e">
        <f aca="false">_xlfn.CONCAT($A$1, ".", #REF!)</f>
        <v>#REF!</v>
      </c>
      <c r="B28" s="68" t="e">
        <f aca="false">_xlfn.CONCAT(#REF!, ":", #REF!)</f>
        <v>#REF!</v>
      </c>
      <c r="C28" s="80" t="e">
        <f aca="false">#REF!</f>
        <v>#REF!</v>
      </c>
      <c r="D28" s="80" t="e">
        <f aca="false">#REF!</f>
        <v>#REF!</v>
      </c>
      <c r="E28" s="80" t="e">
        <f aca="false">#REF!</f>
        <v>#REF!</v>
      </c>
      <c r="F28" s="80" t="e">
        <f aca="false">#REF!</f>
        <v>#REF!</v>
      </c>
    </row>
    <row r="29" customFormat="false" ht="12.8" hidden="false" customHeight="false" outlineLevel="0" collapsed="false">
      <c r="A29" s="51" t="e">
        <f aca="false">_xlfn.CONCAT($A$1, ".", #REF!)</f>
        <v>#REF!</v>
      </c>
      <c r="B29" s="68" t="e">
        <f aca="false">_xlfn.CONCAT(#REF!, ":", #REF!)</f>
        <v>#REF!</v>
      </c>
      <c r="C29" s="80" t="e">
        <f aca="false">#REF!</f>
        <v>#REF!</v>
      </c>
      <c r="D29" s="80" t="e">
        <f aca="false">#REF!</f>
        <v>#REF!</v>
      </c>
      <c r="E29" s="80" t="e">
        <f aca="false">#REF!</f>
        <v>#REF!</v>
      </c>
      <c r="F29" s="80" t="e">
        <f aca="false">#REF!</f>
        <v>#REF!</v>
      </c>
    </row>
    <row r="30" customFormat="false" ht="12.8" hidden="false" customHeight="false" outlineLevel="0" collapsed="false">
      <c r="A30" s="51" t="e">
        <f aca="false">_xlfn.CONCAT($A$1, ".", #REF!)</f>
        <v>#REF!</v>
      </c>
      <c r="B30" s="68" t="e">
        <f aca="false">_xlfn.CONCAT(#REF!, ":", #REF!)</f>
        <v>#REF!</v>
      </c>
      <c r="C30" s="80" t="e">
        <f aca="false">#REF!</f>
        <v>#REF!</v>
      </c>
      <c r="D30" s="80" t="e">
        <f aca="false">#REF!</f>
        <v>#REF!</v>
      </c>
      <c r="E30" s="80" t="e">
        <f aca="false">#REF!</f>
        <v>#REF!</v>
      </c>
      <c r="F30" s="80" t="e">
        <f aca="false">#REF!</f>
        <v>#REF!</v>
      </c>
    </row>
    <row r="31" customFormat="false" ht="12.8" hidden="false" customHeight="false" outlineLevel="0" collapsed="false">
      <c r="A31" s="51" t="e">
        <f aca="false">_xlfn.CONCAT($A$1, ".", #REF!)</f>
        <v>#REF!</v>
      </c>
      <c r="B31" s="68" t="e">
        <f aca="false">_xlfn.CONCAT(#REF!, ":", #REF!)</f>
        <v>#REF!</v>
      </c>
      <c r="C31" s="80" t="e">
        <f aca="false">#REF!</f>
        <v>#REF!</v>
      </c>
      <c r="D31" s="80" t="e">
        <f aca="false">#REF!</f>
        <v>#REF!</v>
      </c>
      <c r="E31" s="80" t="e">
        <f aca="false">#REF!</f>
        <v>#REF!</v>
      </c>
      <c r="F31" s="80" t="e">
        <f aca="false">#REF!</f>
        <v>#REF!</v>
      </c>
    </row>
    <row r="32" customFormat="false" ht="12.8" hidden="false" customHeight="false" outlineLevel="0" collapsed="false">
      <c r="A32" s="51" t="e">
        <f aca="false">_xlfn.CONCAT($A$1, ".", #REF!)</f>
        <v>#REF!</v>
      </c>
      <c r="B32" s="68" t="e">
        <f aca="false">_xlfn.CONCAT(#REF!, ":", #REF!)</f>
        <v>#REF!</v>
      </c>
      <c r="C32" s="80" t="e">
        <f aca="false">#REF!</f>
        <v>#REF!</v>
      </c>
      <c r="D32" s="80" t="e">
        <f aca="false">#REF!</f>
        <v>#REF!</v>
      </c>
      <c r="E32" s="80" t="e">
        <f aca="false">#REF!</f>
        <v>#REF!</v>
      </c>
      <c r="F32" s="80" t="e">
        <f aca="false">#REF!</f>
        <v>#REF!</v>
      </c>
    </row>
    <row r="33" customFormat="false" ht="12.8" hidden="false" customHeight="false" outlineLevel="0" collapsed="false">
      <c r="A33" s="51" t="e">
        <f aca="false">_xlfn.CONCAT($A$1, ".", #REF!)</f>
        <v>#REF!</v>
      </c>
      <c r="B33" s="68" t="e">
        <f aca="false">_xlfn.CONCAT(#REF!, ":", #REF!)</f>
        <v>#REF!</v>
      </c>
      <c r="C33" s="80" t="e">
        <f aca="false">#REF!</f>
        <v>#REF!</v>
      </c>
      <c r="D33" s="80" t="e">
        <f aca="false">#REF!</f>
        <v>#REF!</v>
      </c>
      <c r="E33" s="80" t="e">
        <f aca="false">#REF!</f>
        <v>#REF!</v>
      </c>
      <c r="F33" s="80" t="e">
        <f aca="false">#REF!</f>
        <v>#REF!</v>
      </c>
    </row>
    <row r="34" customFormat="false" ht="12.8" hidden="false" customHeight="false" outlineLevel="0" collapsed="false">
      <c r="A34" s="51" t="e">
        <f aca="false">_xlfn.CONCAT($A$1, ".", #REF!)</f>
        <v>#REF!</v>
      </c>
      <c r="B34" s="68" t="e">
        <f aca="false">_xlfn.CONCAT(#REF!, ":", #REF!)</f>
        <v>#REF!</v>
      </c>
      <c r="C34" s="80" t="e">
        <f aca="false">#REF!</f>
        <v>#REF!</v>
      </c>
      <c r="D34" s="80" t="e">
        <f aca="false">#REF!</f>
        <v>#REF!</v>
      </c>
      <c r="E34" s="80" t="e">
        <f aca="false">#REF!</f>
        <v>#REF!</v>
      </c>
      <c r="F34" s="80" t="e">
        <f aca="false">#REF!</f>
        <v>#REF!</v>
      </c>
    </row>
    <row r="35" customFormat="false" ht="12.8" hidden="false" customHeight="false" outlineLevel="0" collapsed="false">
      <c r="A35" s="51" t="e">
        <f aca="false">_xlfn.CONCAT($A$1, ".", #REF!)</f>
        <v>#REF!</v>
      </c>
      <c r="B35" s="68" t="e">
        <f aca="false">_xlfn.CONCAT(#REF!, ":", #REF!)</f>
        <v>#REF!</v>
      </c>
      <c r="C35" s="80" t="e">
        <f aca="false">#REF!</f>
        <v>#REF!</v>
      </c>
      <c r="D35" s="80" t="e">
        <f aca="false">#REF!</f>
        <v>#REF!</v>
      </c>
      <c r="E35" s="80" t="e">
        <f aca="false">#REF!</f>
        <v>#REF!</v>
      </c>
      <c r="F35" s="80" t="e">
        <f aca="false">#REF!</f>
        <v>#REF!</v>
      </c>
    </row>
    <row r="36" customFormat="false" ht="12.8" hidden="false" customHeight="false" outlineLevel="0" collapsed="false">
      <c r="A36" s="51" t="e">
        <f aca="false">_xlfn.CONCAT($A$1, ".", #REF!)</f>
        <v>#REF!</v>
      </c>
      <c r="B36" s="68" t="e">
        <f aca="false">_xlfn.CONCAT(#REF!, ":", #REF!)</f>
        <v>#REF!</v>
      </c>
      <c r="C36" s="80" t="e">
        <f aca="false">#REF!</f>
        <v>#REF!</v>
      </c>
      <c r="D36" s="80" t="e">
        <f aca="false">#REF!</f>
        <v>#REF!</v>
      </c>
      <c r="E36" s="80" t="e">
        <f aca="false">#REF!</f>
        <v>#REF!</v>
      </c>
      <c r="F36" s="80" t="e">
        <f aca="false">#REF!</f>
        <v>#REF!</v>
      </c>
    </row>
    <row r="37" customFormat="false" ht="12.8" hidden="false" customHeight="false" outlineLevel="0" collapsed="false">
      <c r="A37" s="51" t="e">
        <f aca="false">_xlfn.CONCAT($A$1, ".", #REF!)</f>
        <v>#REF!</v>
      </c>
      <c r="B37" s="68" t="e">
        <f aca="false">_xlfn.CONCAT(#REF!, ":", #REF!)</f>
        <v>#REF!</v>
      </c>
      <c r="C37" s="80" t="e">
        <f aca="false">#REF!</f>
        <v>#REF!</v>
      </c>
      <c r="D37" s="80" t="e">
        <f aca="false">#REF!</f>
        <v>#REF!</v>
      </c>
      <c r="E37" s="80" t="e">
        <f aca="false">#REF!</f>
        <v>#REF!</v>
      </c>
      <c r="F37" s="80" t="e">
        <f aca="false">#REF!</f>
        <v>#REF!</v>
      </c>
    </row>
    <row r="38" customFormat="false" ht="12.8" hidden="false" customHeight="false" outlineLevel="0" collapsed="false">
      <c r="A38" s="51" t="e">
        <f aca="false">_xlfn.CONCAT($A$1, ".", #REF!)</f>
        <v>#REF!</v>
      </c>
      <c r="B38" s="68" t="e">
        <f aca="false">_xlfn.CONCAT(#REF!, ":", #REF!)</f>
        <v>#REF!</v>
      </c>
      <c r="C38" s="80" t="e">
        <f aca="false">#REF!</f>
        <v>#REF!</v>
      </c>
      <c r="D38" s="80" t="e">
        <f aca="false">#REF!</f>
        <v>#REF!</v>
      </c>
      <c r="E38" s="80" t="e">
        <f aca="false">#REF!</f>
        <v>#REF!</v>
      </c>
      <c r="F38" s="80" t="e">
        <f aca="false">#REF!</f>
        <v>#REF!</v>
      </c>
    </row>
    <row r="39" customFormat="false" ht="12.8" hidden="false" customHeight="false" outlineLevel="0" collapsed="false">
      <c r="A39" s="51" t="e">
        <f aca="false">_xlfn.CONCAT($A$1, ".", #REF!)</f>
        <v>#REF!</v>
      </c>
      <c r="B39" s="68" t="e">
        <f aca="false">_xlfn.CONCAT(#REF!, ":", #REF!)</f>
        <v>#REF!</v>
      </c>
      <c r="C39" s="80" t="e">
        <f aca="false">#REF!</f>
        <v>#REF!</v>
      </c>
      <c r="D39" s="80" t="e">
        <f aca="false">#REF!</f>
        <v>#REF!</v>
      </c>
      <c r="E39" s="80" t="e">
        <f aca="false">#REF!</f>
        <v>#REF!</v>
      </c>
      <c r="F39" s="80" t="e">
        <f aca="false">#REF!</f>
        <v>#REF!</v>
      </c>
    </row>
    <row r="40" customFormat="false" ht="12.8" hidden="false" customHeight="false" outlineLevel="0" collapsed="false">
      <c r="A40" s="51" t="e">
        <f aca="false">_xlfn.CONCAT($A$1, ".", #REF!)</f>
        <v>#REF!</v>
      </c>
      <c r="B40" s="68" t="e">
        <f aca="false">_xlfn.CONCAT(#REF!, ":", #REF!)</f>
        <v>#REF!</v>
      </c>
      <c r="C40" s="80" t="e">
        <f aca="false">#REF!</f>
        <v>#REF!</v>
      </c>
      <c r="D40" s="80" t="e">
        <f aca="false">#REF!</f>
        <v>#REF!</v>
      </c>
      <c r="E40" s="80" t="e">
        <f aca="false">#REF!</f>
        <v>#REF!</v>
      </c>
      <c r="F40" s="80" t="e">
        <f aca="false">#REF!</f>
        <v>#REF!</v>
      </c>
    </row>
    <row r="41" customFormat="false" ht="12.8" hidden="false" customHeight="false" outlineLevel="0" collapsed="false">
      <c r="A41" s="51" t="e">
        <f aca="false">_xlfn.CONCAT($A$1, ".", #REF!)</f>
        <v>#REF!</v>
      </c>
      <c r="B41" s="68" t="e">
        <f aca="false">_xlfn.CONCAT(#REF!, ":", #REF!)</f>
        <v>#REF!</v>
      </c>
      <c r="C41" s="80" t="e">
        <f aca="false">#REF!</f>
        <v>#REF!</v>
      </c>
      <c r="D41" s="80" t="e">
        <f aca="false">#REF!</f>
        <v>#REF!</v>
      </c>
      <c r="E41" s="80" t="e">
        <f aca="false">#REF!</f>
        <v>#REF!</v>
      </c>
      <c r="F41" s="80" t="e">
        <f aca="false">#REF!</f>
        <v>#REF!</v>
      </c>
    </row>
    <row r="42" customFormat="false" ht="12.8" hidden="false" customHeight="false" outlineLevel="0" collapsed="false">
      <c r="A42" s="51" t="e">
        <f aca="false">_xlfn.CONCAT($A$1, ".", #REF!)</f>
        <v>#REF!</v>
      </c>
      <c r="B42" s="68" t="e">
        <f aca="false">_xlfn.CONCAT(#REF!, ":", #REF!)</f>
        <v>#REF!</v>
      </c>
      <c r="C42" s="80" t="e">
        <f aca="false">#REF!</f>
        <v>#REF!</v>
      </c>
      <c r="D42" s="80" t="e">
        <f aca="false">#REF!</f>
        <v>#REF!</v>
      </c>
      <c r="E42" s="80" t="e">
        <f aca="false">#REF!</f>
        <v>#REF!</v>
      </c>
      <c r="F42" s="80" t="e">
        <f aca="false">#REF!</f>
        <v>#REF!</v>
      </c>
    </row>
    <row r="43" customFormat="false" ht="12.8" hidden="false" customHeight="false" outlineLevel="0" collapsed="false">
      <c r="A43" s="51" t="e">
        <f aca="false">_xlfn.CONCAT($A$1, ".", #REF!)</f>
        <v>#REF!</v>
      </c>
      <c r="B43" s="68" t="e">
        <f aca="false">_xlfn.CONCAT(#REF!, ":", #REF!)</f>
        <v>#REF!</v>
      </c>
      <c r="C43" s="80" t="e">
        <f aca="false">#REF!</f>
        <v>#REF!</v>
      </c>
      <c r="D43" s="80" t="e">
        <f aca="false">#REF!</f>
        <v>#REF!</v>
      </c>
      <c r="E43" s="80" t="e">
        <f aca="false">#REF!</f>
        <v>#REF!</v>
      </c>
      <c r="F43" s="80" t="e">
        <f aca="false">#REF!</f>
        <v>#REF!</v>
      </c>
    </row>
    <row r="44" customFormat="false" ht="12.8" hidden="false" customHeight="false" outlineLevel="0" collapsed="false">
      <c r="A44" s="51" t="e">
        <f aca="false">_xlfn.CONCAT($A$1, ".", #REF!)</f>
        <v>#REF!</v>
      </c>
      <c r="B44" s="68" t="e">
        <f aca="false">_xlfn.CONCAT(#REF!, ":", #REF!)</f>
        <v>#REF!</v>
      </c>
      <c r="C44" s="80" t="e">
        <f aca="false">#REF!</f>
        <v>#REF!</v>
      </c>
      <c r="D44" s="80" t="e">
        <f aca="false">#REF!</f>
        <v>#REF!</v>
      </c>
      <c r="E44" s="80" t="e">
        <f aca="false">#REF!</f>
        <v>#REF!</v>
      </c>
      <c r="F44" s="80" t="e">
        <f aca="false">#REF!</f>
        <v>#REF!</v>
      </c>
    </row>
    <row r="45" customFormat="false" ht="12.8" hidden="false" customHeight="false" outlineLevel="0" collapsed="false">
      <c r="A45" s="51" t="e">
        <f aca="false">_xlfn.CONCAT($A$1, ".", #REF!)</f>
        <v>#REF!</v>
      </c>
      <c r="B45" s="68" t="e">
        <f aca="false">_xlfn.CONCAT(#REF!, ":", #REF!)</f>
        <v>#REF!</v>
      </c>
      <c r="C45" s="80" t="e">
        <f aca="false">#REF!</f>
        <v>#REF!</v>
      </c>
      <c r="D45" s="80" t="e">
        <f aca="false">#REF!</f>
        <v>#REF!</v>
      </c>
      <c r="E45" s="80" t="e">
        <f aca="false">#REF!</f>
        <v>#REF!</v>
      </c>
      <c r="F45" s="80" t="e">
        <f aca="false">#REF!</f>
        <v>#REF!</v>
      </c>
    </row>
    <row r="46" customFormat="false" ht="12.8" hidden="false" customHeight="false" outlineLevel="0" collapsed="false">
      <c r="A46" s="51" t="e">
        <f aca="false">_xlfn.CONCAT($A$1, ".", #REF!)</f>
        <v>#REF!</v>
      </c>
      <c r="B46" s="68" t="e">
        <f aca="false">_xlfn.CONCAT(#REF!, ":", #REF!)</f>
        <v>#REF!</v>
      </c>
      <c r="C46" s="80" t="e">
        <f aca="false">#REF!</f>
        <v>#REF!</v>
      </c>
      <c r="D46" s="80" t="e">
        <f aca="false">#REF!</f>
        <v>#REF!</v>
      </c>
      <c r="E46" s="80" t="e">
        <f aca="false">#REF!</f>
        <v>#REF!</v>
      </c>
      <c r="F46" s="80" t="e">
        <f aca="false">#REF!</f>
        <v>#REF!</v>
      </c>
    </row>
    <row r="47" customFormat="false" ht="12.8" hidden="false" customHeight="false" outlineLevel="0" collapsed="false">
      <c r="A47" s="51" t="e">
        <f aca="false">_xlfn.CONCAT($A$1, ".", #REF!)</f>
        <v>#REF!</v>
      </c>
      <c r="B47" s="68" t="e">
        <f aca="false">_xlfn.CONCAT(#REF!, ":", #REF!)</f>
        <v>#REF!</v>
      </c>
      <c r="C47" s="80" t="e">
        <f aca="false">#REF!</f>
        <v>#REF!</v>
      </c>
      <c r="D47" s="80" t="e">
        <f aca="false">#REF!</f>
        <v>#REF!</v>
      </c>
      <c r="E47" s="80" t="e">
        <f aca="false">#REF!</f>
        <v>#REF!</v>
      </c>
      <c r="F47" s="80" t="e">
        <f aca="false">#REF!</f>
        <v>#REF!</v>
      </c>
    </row>
    <row r="48" customFormat="false" ht="12.8" hidden="false" customHeight="false" outlineLevel="0" collapsed="false">
      <c r="A48" s="51" t="e">
        <f aca="false">_xlfn.CONCAT($A$1, ".", #REF!)</f>
        <v>#REF!</v>
      </c>
      <c r="B48" s="68" t="e">
        <f aca="false">_xlfn.CONCAT(#REF!, ":", #REF!)</f>
        <v>#REF!</v>
      </c>
      <c r="C48" s="80" t="e">
        <f aca="false">#REF!</f>
        <v>#REF!</v>
      </c>
      <c r="D48" s="80" t="e">
        <f aca="false">#REF!</f>
        <v>#REF!</v>
      </c>
      <c r="E48" s="80" t="e">
        <f aca="false">#REF!</f>
        <v>#REF!</v>
      </c>
      <c r="F48" s="80" t="e">
        <f aca="false">#REF!</f>
        <v>#REF!</v>
      </c>
    </row>
    <row r="49" customFormat="false" ht="12.8" hidden="false" customHeight="false" outlineLevel="0" collapsed="false">
      <c r="A49" s="51" t="e">
        <f aca="false">_xlfn.CONCAT($A$1, ".", #REF!)</f>
        <v>#REF!</v>
      </c>
      <c r="B49" s="68" t="e">
        <f aca="false">_xlfn.CONCAT(#REF!, ":", #REF!)</f>
        <v>#REF!</v>
      </c>
      <c r="C49" s="80" t="e">
        <f aca="false">#REF!</f>
        <v>#REF!</v>
      </c>
      <c r="D49" s="80" t="e">
        <f aca="false">#REF!</f>
        <v>#REF!</v>
      </c>
      <c r="E49" s="80" t="e">
        <f aca="false">#REF!</f>
        <v>#REF!</v>
      </c>
      <c r="F49" s="80" t="e">
        <f aca="false">#REF!</f>
        <v>#REF!</v>
      </c>
    </row>
    <row r="50" customFormat="false" ht="12.8" hidden="false" customHeight="false" outlineLevel="0" collapsed="false">
      <c r="A50" s="51" t="e">
        <f aca="false">_xlfn.CONCAT($A$1, ".", #REF!)</f>
        <v>#REF!</v>
      </c>
      <c r="B50" s="68" t="e">
        <f aca="false">_xlfn.CONCAT(#REF!, ":", #REF!)</f>
        <v>#REF!</v>
      </c>
      <c r="C50" s="80" t="e">
        <f aca="false">#REF!</f>
        <v>#REF!</v>
      </c>
      <c r="D50" s="80" t="e">
        <f aca="false">#REF!</f>
        <v>#REF!</v>
      </c>
      <c r="E50" s="80" t="e">
        <f aca="false">#REF!</f>
        <v>#REF!</v>
      </c>
      <c r="F50" s="80" t="e">
        <f aca="false">#REF!</f>
        <v>#REF!</v>
      </c>
    </row>
    <row r="51" customFormat="false" ht="12.8" hidden="false" customHeight="false" outlineLevel="0" collapsed="false">
      <c r="A51" s="51" t="e">
        <f aca="false">_xlfn.CONCAT($A$1, ".", #REF!)</f>
        <v>#REF!</v>
      </c>
      <c r="B51" s="68" t="e">
        <f aca="false">_xlfn.CONCAT(#REF!, ":", #REF!)</f>
        <v>#REF!</v>
      </c>
      <c r="C51" s="80" t="e">
        <f aca="false">#REF!</f>
        <v>#REF!</v>
      </c>
      <c r="D51" s="80" t="e">
        <f aca="false">#REF!</f>
        <v>#REF!</v>
      </c>
      <c r="E51" s="80" t="e">
        <f aca="false">#REF!</f>
        <v>#REF!</v>
      </c>
      <c r="F51" s="80" t="e">
        <f aca="false">#REF!</f>
        <v>#REF!</v>
      </c>
    </row>
    <row r="52" customFormat="false" ht="12.8" hidden="false" customHeight="false" outlineLevel="0" collapsed="false">
      <c r="A52" s="51" t="e">
        <f aca="false">_xlfn.CONCAT($A$1, ".", #REF!)</f>
        <v>#REF!</v>
      </c>
      <c r="B52" s="68" t="e">
        <f aca="false">_xlfn.CONCAT(#REF!, ":", #REF!)</f>
        <v>#REF!</v>
      </c>
      <c r="C52" s="80" t="e">
        <f aca="false">#REF!</f>
        <v>#REF!</v>
      </c>
      <c r="D52" s="80" t="e">
        <f aca="false">#REF!</f>
        <v>#REF!</v>
      </c>
      <c r="E52" s="80" t="e">
        <f aca="false">#REF!</f>
        <v>#REF!</v>
      </c>
      <c r="F52" s="80" t="e">
        <f aca="false">#REF!</f>
        <v>#REF!</v>
      </c>
    </row>
    <row r="53" customFormat="false" ht="12.8" hidden="false" customHeight="false" outlineLevel="0" collapsed="false">
      <c r="A53" s="51" t="e">
        <f aca="false">_xlfn.CONCAT($A$1, ".", #REF!)</f>
        <v>#REF!</v>
      </c>
      <c r="B53" s="68" t="e">
        <f aca="false">_xlfn.CONCAT(#REF!, ":", #REF!)</f>
        <v>#REF!</v>
      </c>
      <c r="C53" s="80" t="e">
        <f aca="false">#REF!</f>
        <v>#REF!</v>
      </c>
      <c r="D53" s="80" t="e">
        <f aca="false">#REF!</f>
        <v>#REF!</v>
      </c>
      <c r="E53" s="80" t="e">
        <f aca="false">#REF!</f>
        <v>#REF!</v>
      </c>
      <c r="F53" s="80" t="e">
        <f aca="false">#REF!</f>
        <v>#REF!</v>
      </c>
    </row>
    <row r="54" customFormat="false" ht="12.8" hidden="false" customHeight="false" outlineLevel="0" collapsed="false">
      <c r="A54" s="51" t="e">
        <f aca="false">_xlfn.CONCAT($A$1, ".", #REF!)</f>
        <v>#REF!</v>
      </c>
      <c r="B54" s="68" t="e">
        <f aca="false">_xlfn.CONCAT(#REF!, ":", #REF!)</f>
        <v>#REF!</v>
      </c>
      <c r="C54" s="80" t="e">
        <f aca="false">#REF!</f>
        <v>#REF!</v>
      </c>
      <c r="D54" s="80" t="e">
        <f aca="false">#REF!</f>
        <v>#REF!</v>
      </c>
      <c r="E54" s="80" t="e">
        <f aca="false">#REF!</f>
        <v>#REF!</v>
      </c>
      <c r="F54" s="80" t="e">
        <f aca="false">#REF!</f>
        <v>#REF!</v>
      </c>
    </row>
    <row r="55" customFormat="false" ht="12.8" hidden="false" customHeight="false" outlineLevel="0" collapsed="false">
      <c r="A55" s="51" t="e">
        <f aca="false">_xlfn.CONCAT($A$1, ".", #REF!)</f>
        <v>#REF!</v>
      </c>
      <c r="B55" s="68" t="e">
        <f aca="false">_xlfn.CONCAT(#REF!, ":", #REF!)</f>
        <v>#REF!</v>
      </c>
      <c r="C55" s="80" t="e">
        <f aca="false">#REF!</f>
        <v>#REF!</v>
      </c>
      <c r="D55" s="80" t="e">
        <f aca="false">#REF!</f>
        <v>#REF!</v>
      </c>
      <c r="E55" s="80" t="e">
        <f aca="false">#REF!</f>
        <v>#REF!</v>
      </c>
      <c r="F55" s="80"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P249"/>
  <sheetViews>
    <sheetView showFormulas="false" showGridLines="true" showRowColHeaders="true" showZeros="true" rightToLeft="false" tabSelected="false" showOutlineSymbols="true" defaultGridColor="true" view="normal" topLeftCell="E188" colorId="64" zoomScale="75" zoomScaleNormal="75" zoomScalePageLayoutView="100" workbookViewId="0">
      <selection pane="topLeft" activeCell="J224" activeCellId="0" sqref="J224"/>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5913</v>
      </c>
      <c r="B1" s="85" t="s">
        <v>5914</v>
      </c>
      <c r="C1" s="6" t="s">
        <v>2</v>
      </c>
      <c r="D1" s="39" t="s">
        <v>5915</v>
      </c>
      <c r="AZ1" s="39"/>
      <c r="BP1" s="39"/>
    </row>
    <row r="2" customFormat="false" ht="45.9" hidden="false" customHeight="false" outlineLevel="0" collapsed="false">
      <c r="A2" s="86" t="s">
        <v>5902</v>
      </c>
      <c r="B2" s="87" t="s">
        <v>5903</v>
      </c>
      <c r="C2" s="69" t="str">
        <f aca="false">CALC!BD3</f>
        <v>Employed Population</v>
      </c>
      <c r="D2" s="69" t="str">
        <f aca="false">CALC!BE3</f>
        <v>Authorized Immigrant Employed Population</v>
      </c>
      <c r="E2" s="69" t="str">
        <f aca="false">CALC!BF3</f>
        <v>Unauthorized Immigrant Employed Population</v>
      </c>
      <c r="F2" s="69" t="str">
        <f aca="false">CALC!BG3</f>
        <v>American Employed Population</v>
      </c>
    </row>
    <row r="3" customFormat="false" ht="12.8" hidden="false" customHeight="false" outlineLevel="0" collapsed="false">
      <c r="A3" s="51" t="e">
        <f aca="false">_xlfn.CONCAT($A$1, ".", #REF!)</f>
        <v>#REF!</v>
      </c>
      <c r="B3" s="68" t="e">
        <f aca="false">_xlfn.CONCAT(#REF!, ":", #REF!)</f>
        <v>#REF!</v>
      </c>
      <c r="C3" s="69" t="e">
        <f aca="false">#REF!</f>
        <v>#REF!</v>
      </c>
      <c r="D3" s="69" t="e">
        <f aca="false">#REF!</f>
        <v>#REF!</v>
      </c>
      <c r="E3" s="69" t="e">
        <f aca="false">#REF!</f>
        <v>#REF!</v>
      </c>
      <c r="F3" s="69" t="e">
        <f aca="false">#REF!</f>
        <v>#REF!</v>
      </c>
    </row>
    <row r="4" customFormat="false" ht="12.8" hidden="false" customHeight="false" outlineLevel="0" collapsed="false">
      <c r="A4" s="51"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1"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1"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1"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1"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1"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1"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1"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1"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1"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1"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1"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1"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1"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1"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1"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1"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1"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1"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1"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1"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1"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1"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1"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1"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1"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1"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1"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1"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1"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1"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1"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1"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1"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1"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1"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1"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1"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1"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1"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1"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1"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1"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1"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1"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1"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1"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1"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1"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1"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1"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1"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P249"/>
  <sheetViews>
    <sheetView showFormulas="false" showGridLines="true" showRowColHeaders="true" showZeros="true" rightToLeft="false" tabSelected="false" showOutlineSymbols="true" defaultGridColor="true" view="normal" topLeftCell="A206" colorId="64" zoomScale="75" zoomScaleNormal="75" zoomScalePageLayoutView="100" workbookViewId="0">
      <selection pane="topLeft" activeCell="A225" activeCellId="0" sqref="A22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5913</v>
      </c>
      <c r="B1" s="85" t="s">
        <v>5916</v>
      </c>
      <c r="C1" s="6" t="s">
        <v>2</v>
      </c>
      <c r="D1" s="39" t="s">
        <v>5917</v>
      </c>
      <c r="AZ1" s="39"/>
      <c r="BP1" s="39"/>
    </row>
    <row r="2" customFormat="false" ht="46.25" hidden="false" customHeight="false" outlineLevel="0" collapsed="false">
      <c r="A2" s="86" t="s">
        <v>5902</v>
      </c>
      <c r="B2" s="87" t="s">
        <v>5903</v>
      </c>
      <c r="C2" s="69" t="str">
        <f aca="false">CALC!BH3</f>
        <v>Average Weekly Hours Worked</v>
      </c>
      <c r="D2" s="69" t="str">
        <f aca="false">CALC!BI3</f>
        <v>Authorized Immigrant Average Weekly Hours Worked</v>
      </c>
      <c r="E2" s="69" t="str">
        <f aca="false">CALC!BJ3</f>
        <v>Unauthorized Immigrant Average Weekly Hours Worked</v>
      </c>
      <c r="F2" s="69" t="str">
        <f aca="false">CALC!BK3</f>
        <v>American Average Weekly Hours Worked</v>
      </c>
    </row>
    <row r="3" customFormat="false" ht="12.8" hidden="false" customHeight="false" outlineLevel="0" collapsed="false">
      <c r="A3" s="51" t="e">
        <f aca="false">_xlfn.CONCAT($A$1, ".", #REF!)</f>
        <v>#REF!</v>
      </c>
      <c r="B3" s="68" t="e">
        <f aca="false">_xlfn.CONCAT(#REF!, ":", #REF!)</f>
        <v>#REF!</v>
      </c>
      <c r="C3" s="69" t="e">
        <f aca="false">#REF!</f>
        <v>#REF!</v>
      </c>
      <c r="D3" s="69" t="e">
        <f aca="false">#REF!</f>
        <v>#REF!</v>
      </c>
      <c r="E3" s="69" t="e">
        <f aca="false">#REF!</f>
        <v>#REF!</v>
      </c>
      <c r="F3" s="69" t="e">
        <f aca="false">#REF!</f>
        <v>#REF!</v>
      </c>
    </row>
    <row r="4" customFormat="false" ht="12.8" hidden="false" customHeight="false" outlineLevel="0" collapsed="false">
      <c r="A4" s="51"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1"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1"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1"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1"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1"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1"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1"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1"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1"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1"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1"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1"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1"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1"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1"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1"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1"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1"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1"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1"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1"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1"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1"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1"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1"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1"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1"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1"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1"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1"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1"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1"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1"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1"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1"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1"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1"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1"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1"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1"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1"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1"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1"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1"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1"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1"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1"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1"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1"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1"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1"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49"/>
  <sheetViews>
    <sheetView showFormulas="false" showGridLines="true" showRowColHeaders="true" showZeros="true" rightToLeft="false" tabSelected="false" showOutlineSymbols="true" defaultGridColor="true" view="normal" topLeftCell="A111" colorId="64" zoomScale="75" zoomScaleNormal="75" zoomScalePageLayoutView="100" workbookViewId="0">
      <selection pane="topLeft" activeCell="E155" activeCellId="0" sqref="E15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5913</v>
      </c>
      <c r="B1" s="85" t="s">
        <v>5918</v>
      </c>
      <c r="C1" s="6" t="s">
        <v>2</v>
      </c>
      <c r="D1" s="39" t="s">
        <v>5919</v>
      </c>
      <c r="AZ1" s="39"/>
      <c r="BP1" s="39"/>
    </row>
    <row r="2" customFormat="false" ht="46.25" hidden="false" customHeight="false" outlineLevel="0" collapsed="false">
      <c r="A2" s="86" t="s">
        <v>5902</v>
      </c>
      <c r="B2" s="87" t="s">
        <v>5903</v>
      </c>
      <c r="C2" s="88" t="str">
        <f aca="false">CALC!BN3</f>
        <v>Full-Time Employment Rate</v>
      </c>
      <c r="D2" s="88" t="str">
        <f aca="false">CALC!BO3</f>
        <v>Authorized Immigrant Full-Time Employment Rate</v>
      </c>
      <c r="E2" s="88" t="str">
        <f aca="false">CALC!BP3</f>
        <v>Unauthorized Immigrant Full-Time Employment Rate</v>
      </c>
      <c r="F2" s="88" t="str">
        <f aca="false">CALC!BQ3</f>
        <v>American Full-Time Employment Rate</v>
      </c>
    </row>
    <row r="3" customFormat="false" ht="12.8" hidden="false" customHeight="false" outlineLevel="0" collapsed="false">
      <c r="A3" s="51" t="e">
        <f aca="false">_xlfn.CONCAT($A$1, ".", #REF!)</f>
        <v>#REF!</v>
      </c>
      <c r="B3" s="68" t="e">
        <f aca="false">_xlfn.CONCAT(#REF!, ":", #REF!)</f>
        <v>#REF!</v>
      </c>
      <c r="C3" s="88" t="e">
        <f aca="false">#REF!</f>
        <v>#REF!</v>
      </c>
      <c r="D3" s="88" t="e">
        <f aca="false">#REF!</f>
        <v>#REF!</v>
      </c>
      <c r="E3" s="88" t="e">
        <f aca="false">#REF!</f>
        <v>#REF!</v>
      </c>
      <c r="F3" s="88" t="e">
        <f aca="false">#REF!</f>
        <v>#REF!</v>
      </c>
    </row>
    <row r="4" customFormat="false" ht="12.8" hidden="false" customHeight="false" outlineLevel="0" collapsed="false">
      <c r="A4" s="51" t="e">
        <f aca="false">_xlfn.CONCAT($A$1, ".", #REF!)</f>
        <v>#REF!</v>
      </c>
      <c r="B4" s="68" t="e">
        <f aca="false">_xlfn.CONCAT(#REF!, ":", #REF!)</f>
        <v>#REF!</v>
      </c>
      <c r="C4" s="88" t="e">
        <f aca="false">#REF!</f>
        <v>#REF!</v>
      </c>
      <c r="D4" s="88" t="e">
        <f aca="false">#REF!</f>
        <v>#REF!</v>
      </c>
      <c r="E4" s="88" t="e">
        <f aca="false">#REF!</f>
        <v>#REF!</v>
      </c>
      <c r="F4" s="88" t="e">
        <f aca="false">#REF!</f>
        <v>#REF!</v>
      </c>
    </row>
    <row r="5" customFormat="false" ht="12.8" hidden="false" customHeight="false" outlineLevel="0" collapsed="false">
      <c r="A5" s="51" t="e">
        <f aca="false">_xlfn.CONCAT($A$1, ".", #REF!)</f>
        <v>#REF!</v>
      </c>
      <c r="B5" s="68" t="e">
        <f aca="false">_xlfn.CONCAT(#REF!, ":", #REF!)</f>
        <v>#REF!</v>
      </c>
      <c r="C5" s="88" t="e">
        <f aca="false">#REF!</f>
        <v>#REF!</v>
      </c>
      <c r="D5" s="88" t="e">
        <f aca="false">#REF!</f>
        <v>#REF!</v>
      </c>
      <c r="E5" s="88" t="e">
        <f aca="false">#REF!</f>
        <v>#REF!</v>
      </c>
      <c r="F5" s="88" t="e">
        <f aca="false">#REF!</f>
        <v>#REF!</v>
      </c>
    </row>
    <row r="6" customFormat="false" ht="12.8" hidden="false" customHeight="false" outlineLevel="0" collapsed="false">
      <c r="A6" s="51" t="e">
        <f aca="false">_xlfn.CONCAT($A$1, ".", #REF!)</f>
        <v>#REF!</v>
      </c>
      <c r="B6" s="68" t="e">
        <f aca="false">_xlfn.CONCAT(#REF!, ":", #REF!)</f>
        <v>#REF!</v>
      </c>
      <c r="C6" s="88" t="e">
        <f aca="false">#REF!</f>
        <v>#REF!</v>
      </c>
      <c r="D6" s="88" t="e">
        <f aca="false">#REF!</f>
        <v>#REF!</v>
      </c>
      <c r="E6" s="88" t="e">
        <f aca="false">#REF!</f>
        <v>#REF!</v>
      </c>
      <c r="F6" s="88" t="e">
        <f aca="false">#REF!</f>
        <v>#REF!</v>
      </c>
    </row>
    <row r="7" customFormat="false" ht="12.8" hidden="false" customHeight="false" outlineLevel="0" collapsed="false">
      <c r="A7" s="51" t="e">
        <f aca="false">_xlfn.CONCAT($A$1, ".", #REF!)</f>
        <v>#REF!</v>
      </c>
      <c r="B7" s="68" t="e">
        <f aca="false">_xlfn.CONCAT(#REF!, ":", #REF!)</f>
        <v>#REF!</v>
      </c>
      <c r="C7" s="88" t="e">
        <f aca="false">#REF!</f>
        <v>#REF!</v>
      </c>
      <c r="D7" s="88" t="e">
        <f aca="false">#REF!</f>
        <v>#REF!</v>
      </c>
      <c r="E7" s="88" t="e">
        <f aca="false">#REF!</f>
        <v>#REF!</v>
      </c>
      <c r="F7" s="88" t="e">
        <f aca="false">#REF!</f>
        <v>#REF!</v>
      </c>
    </row>
    <row r="8" customFormat="false" ht="12.8" hidden="false" customHeight="false" outlineLevel="0" collapsed="false">
      <c r="A8" s="51" t="e">
        <f aca="false">_xlfn.CONCAT($A$1, ".", #REF!)</f>
        <v>#REF!</v>
      </c>
      <c r="B8" s="68" t="e">
        <f aca="false">_xlfn.CONCAT(#REF!, ":", #REF!)</f>
        <v>#REF!</v>
      </c>
      <c r="C8" s="88" t="e">
        <f aca="false">#REF!</f>
        <v>#REF!</v>
      </c>
      <c r="D8" s="88" t="e">
        <f aca="false">#REF!</f>
        <v>#REF!</v>
      </c>
      <c r="E8" s="88" t="e">
        <f aca="false">#REF!</f>
        <v>#REF!</v>
      </c>
      <c r="F8" s="88" t="e">
        <f aca="false">#REF!</f>
        <v>#REF!</v>
      </c>
    </row>
    <row r="9" customFormat="false" ht="12.8" hidden="false" customHeight="false" outlineLevel="0" collapsed="false">
      <c r="A9" s="51" t="e">
        <f aca="false">_xlfn.CONCAT($A$1, ".", #REF!)</f>
        <v>#REF!</v>
      </c>
      <c r="B9" s="68" t="e">
        <f aca="false">_xlfn.CONCAT(#REF!, ":", #REF!)</f>
        <v>#REF!</v>
      </c>
      <c r="C9" s="88" t="e">
        <f aca="false">#REF!</f>
        <v>#REF!</v>
      </c>
      <c r="D9" s="88" t="e">
        <f aca="false">#REF!</f>
        <v>#REF!</v>
      </c>
      <c r="E9" s="88" t="e">
        <f aca="false">#REF!</f>
        <v>#REF!</v>
      </c>
      <c r="F9" s="88" t="e">
        <f aca="false">#REF!</f>
        <v>#REF!</v>
      </c>
    </row>
    <row r="10" customFormat="false" ht="12.8" hidden="false" customHeight="false" outlineLevel="0" collapsed="false">
      <c r="A10" s="51" t="e">
        <f aca="false">_xlfn.CONCAT($A$1, ".", #REF!)</f>
        <v>#REF!</v>
      </c>
      <c r="B10" s="68" t="e">
        <f aca="false">_xlfn.CONCAT(#REF!, ":", #REF!)</f>
        <v>#REF!</v>
      </c>
      <c r="C10" s="88" t="e">
        <f aca="false">#REF!</f>
        <v>#REF!</v>
      </c>
      <c r="D10" s="88" t="e">
        <f aca="false">#REF!</f>
        <v>#REF!</v>
      </c>
      <c r="E10" s="88" t="e">
        <f aca="false">#REF!</f>
        <v>#REF!</v>
      </c>
      <c r="F10" s="88" t="e">
        <f aca="false">#REF!</f>
        <v>#REF!</v>
      </c>
    </row>
    <row r="11" customFormat="false" ht="12.8" hidden="false" customHeight="false" outlineLevel="0" collapsed="false">
      <c r="A11" s="51" t="e">
        <f aca="false">_xlfn.CONCAT($A$1, ".", #REF!)</f>
        <v>#REF!</v>
      </c>
      <c r="B11" s="68" t="e">
        <f aca="false">_xlfn.CONCAT(#REF!, ":", #REF!)</f>
        <v>#REF!</v>
      </c>
      <c r="C11" s="88" t="e">
        <f aca="false">#REF!</f>
        <v>#REF!</v>
      </c>
      <c r="D11" s="88" t="e">
        <f aca="false">#REF!</f>
        <v>#REF!</v>
      </c>
      <c r="E11" s="88" t="e">
        <f aca="false">#REF!</f>
        <v>#REF!</v>
      </c>
      <c r="F11" s="88" t="e">
        <f aca="false">#REF!</f>
        <v>#REF!</v>
      </c>
    </row>
    <row r="12" customFormat="false" ht="12.8" hidden="false" customHeight="false" outlineLevel="0" collapsed="false">
      <c r="A12" s="51" t="e">
        <f aca="false">_xlfn.CONCAT($A$1, ".", #REF!)</f>
        <v>#REF!</v>
      </c>
      <c r="B12" s="68" t="e">
        <f aca="false">_xlfn.CONCAT(#REF!, ":", #REF!)</f>
        <v>#REF!</v>
      </c>
      <c r="C12" s="88" t="e">
        <f aca="false">#REF!</f>
        <v>#REF!</v>
      </c>
      <c r="D12" s="88" t="e">
        <f aca="false">#REF!</f>
        <v>#REF!</v>
      </c>
      <c r="E12" s="88" t="e">
        <f aca="false">#REF!</f>
        <v>#REF!</v>
      </c>
      <c r="F12" s="88" t="e">
        <f aca="false">#REF!</f>
        <v>#REF!</v>
      </c>
    </row>
    <row r="13" customFormat="false" ht="12.8" hidden="false" customHeight="false" outlineLevel="0" collapsed="false">
      <c r="A13" s="51" t="e">
        <f aca="false">_xlfn.CONCAT($A$1, ".", #REF!)</f>
        <v>#REF!</v>
      </c>
      <c r="B13" s="68" t="e">
        <f aca="false">_xlfn.CONCAT(#REF!, ":", #REF!)</f>
        <v>#REF!</v>
      </c>
      <c r="C13" s="88" t="e">
        <f aca="false">#REF!</f>
        <v>#REF!</v>
      </c>
      <c r="D13" s="88" t="e">
        <f aca="false">#REF!</f>
        <v>#REF!</v>
      </c>
      <c r="E13" s="88" t="e">
        <f aca="false">#REF!</f>
        <v>#REF!</v>
      </c>
      <c r="F13" s="88" t="e">
        <f aca="false">#REF!</f>
        <v>#REF!</v>
      </c>
    </row>
    <row r="14" customFormat="false" ht="12.8" hidden="false" customHeight="false" outlineLevel="0" collapsed="false">
      <c r="A14" s="51" t="e">
        <f aca="false">_xlfn.CONCAT($A$1, ".", #REF!)</f>
        <v>#REF!</v>
      </c>
      <c r="B14" s="68" t="e">
        <f aca="false">_xlfn.CONCAT(#REF!, ":", #REF!)</f>
        <v>#REF!</v>
      </c>
      <c r="C14" s="88" t="e">
        <f aca="false">#REF!</f>
        <v>#REF!</v>
      </c>
      <c r="D14" s="88" t="e">
        <f aca="false">#REF!</f>
        <v>#REF!</v>
      </c>
      <c r="E14" s="88" t="e">
        <f aca="false">#REF!</f>
        <v>#REF!</v>
      </c>
      <c r="F14" s="88" t="e">
        <f aca="false">#REF!</f>
        <v>#REF!</v>
      </c>
    </row>
    <row r="15" customFormat="false" ht="12.8" hidden="false" customHeight="false" outlineLevel="0" collapsed="false">
      <c r="A15" s="51" t="e">
        <f aca="false">_xlfn.CONCAT($A$1, ".", #REF!)</f>
        <v>#REF!</v>
      </c>
      <c r="B15" s="68" t="e">
        <f aca="false">_xlfn.CONCAT(#REF!, ":", #REF!)</f>
        <v>#REF!</v>
      </c>
      <c r="C15" s="88" t="e">
        <f aca="false">#REF!</f>
        <v>#REF!</v>
      </c>
      <c r="D15" s="88" t="e">
        <f aca="false">#REF!</f>
        <v>#REF!</v>
      </c>
      <c r="E15" s="88" t="e">
        <f aca="false">#REF!</f>
        <v>#REF!</v>
      </c>
      <c r="F15" s="88" t="e">
        <f aca="false">#REF!</f>
        <v>#REF!</v>
      </c>
    </row>
    <row r="16" customFormat="false" ht="12.8" hidden="false" customHeight="false" outlineLevel="0" collapsed="false">
      <c r="A16" s="51" t="e">
        <f aca="false">_xlfn.CONCAT($A$1, ".", #REF!)</f>
        <v>#REF!</v>
      </c>
      <c r="B16" s="68" t="e">
        <f aca="false">_xlfn.CONCAT(#REF!, ":", #REF!)</f>
        <v>#REF!</v>
      </c>
      <c r="C16" s="88" t="e">
        <f aca="false">#REF!</f>
        <v>#REF!</v>
      </c>
      <c r="D16" s="88" t="e">
        <f aca="false">#REF!</f>
        <v>#REF!</v>
      </c>
      <c r="E16" s="88" t="e">
        <f aca="false">#REF!</f>
        <v>#REF!</v>
      </c>
      <c r="F16" s="88" t="e">
        <f aca="false">#REF!</f>
        <v>#REF!</v>
      </c>
    </row>
    <row r="17" customFormat="false" ht="12.8" hidden="false" customHeight="false" outlineLevel="0" collapsed="false">
      <c r="A17" s="51" t="e">
        <f aca="false">_xlfn.CONCAT($A$1, ".", #REF!)</f>
        <v>#REF!</v>
      </c>
      <c r="B17" s="68" t="e">
        <f aca="false">_xlfn.CONCAT(#REF!, ":", #REF!)</f>
        <v>#REF!</v>
      </c>
      <c r="C17" s="88" t="e">
        <f aca="false">#REF!</f>
        <v>#REF!</v>
      </c>
      <c r="D17" s="88" t="e">
        <f aca="false">#REF!</f>
        <v>#REF!</v>
      </c>
      <c r="E17" s="88" t="e">
        <f aca="false">#REF!</f>
        <v>#REF!</v>
      </c>
      <c r="F17" s="88" t="e">
        <f aca="false">#REF!</f>
        <v>#REF!</v>
      </c>
    </row>
    <row r="18" customFormat="false" ht="12.8" hidden="false" customHeight="false" outlineLevel="0" collapsed="false">
      <c r="A18" s="51" t="e">
        <f aca="false">_xlfn.CONCAT($A$1, ".", #REF!)</f>
        <v>#REF!</v>
      </c>
      <c r="B18" s="68" t="e">
        <f aca="false">_xlfn.CONCAT(#REF!, ":", #REF!)</f>
        <v>#REF!</v>
      </c>
      <c r="C18" s="88" t="e">
        <f aca="false">#REF!</f>
        <v>#REF!</v>
      </c>
      <c r="D18" s="88" t="e">
        <f aca="false">#REF!</f>
        <v>#REF!</v>
      </c>
      <c r="E18" s="88" t="e">
        <f aca="false">#REF!</f>
        <v>#REF!</v>
      </c>
      <c r="F18" s="88" t="e">
        <f aca="false">#REF!</f>
        <v>#REF!</v>
      </c>
    </row>
    <row r="19" customFormat="false" ht="12.8" hidden="false" customHeight="false" outlineLevel="0" collapsed="false">
      <c r="A19" s="51" t="e">
        <f aca="false">_xlfn.CONCAT($A$1, ".", #REF!)</f>
        <v>#REF!</v>
      </c>
      <c r="B19" s="68" t="e">
        <f aca="false">_xlfn.CONCAT(#REF!, ":", #REF!)</f>
        <v>#REF!</v>
      </c>
      <c r="C19" s="88" t="e">
        <f aca="false">#REF!</f>
        <v>#REF!</v>
      </c>
      <c r="D19" s="88" t="e">
        <f aca="false">#REF!</f>
        <v>#REF!</v>
      </c>
      <c r="E19" s="88" t="e">
        <f aca="false">#REF!</f>
        <v>#REF!</v>
      </c>
      <c r="F19" s="88" t="e">
        <f aca="false">#REF!</f>
        <v>#REF!</v>
      </c>
    </row>
    <row r="20" customFormat="false" ht="12.8" hidden="false" customHeight="false" outlineLevel="0" collapsed="false">
      <c r="A20" s="51" t="e">
        <f aca="false">_xlfn.CONCAT($A$1, ".", #REF!)</f>
        <v>#REF!</v>
      </c>
      <c r="B20" s="68" t="e">
        <f aca="false">_xlfn.CONCAT(#REF!, ":", #REF!)</f>
        <v>#REF!</v>
      </c>
      <c r="C20" s="88" t="e">
        <f aca="false">#REF!</f>
        <v>#REF!</v>
      </c>
      <c r="D20" s="88" t="e">
        <f aca="false">#REF!</f>
        <v>#REF!</v>
      </c>
      <c r="E20" s="88" t="e">
        <f aca="false">#REF!</f>
        <v>#REF!</v>
      </c>
      <c r="F20" s="88" t="e">
        <f aca="false">#REF!</f>
        <v>#REF!</v>
      </c>
    </row>
    <row r="21" customFormat="false" ht="12.8" hidden="false" customHeight="false" outlineLevel="0" collapsed="false">
      <c r="A21" s="51" t="e">
        <f aca="false">_xlfn.CONCAT($A$1, ".", #REF!)</f>
        <v>#REF!</v>
      </c>
      <c r="B21" s="68" t="e">
        <f aca="false">_xlfn.CONCAT(#REF!, ":", #REF!)</f>
        <v>#REF!</v>
      </c>
      <c r="C21" s="88" t="e">
        <f aca="false">#REF!</f>
        <v>#REF!</v>
      </c>
      <c r="D21" s="88" t="e">
        <f aca="false">#REF!</f>
        <v>#REF!</v>
      </c>
      <c r="E21" s="88" t="e">
        <f aca="false">#REF!</f>
        <v>#REF!</v>
      </c>
      <c r="F21" s="88" t="e">
        <f aca="false">#REF!</f>
        <v>#REF!</v>
      </c>
    </row>
    <row r="22" customFormat="false" ht="12.8" hidden="false" customHeight="false" outlineLevel="0" collapsed="false">
      <c r="A22" s="51" t="e">
        <f aca="false">_xlfn.CONCAT($A$1, ".", #REF!)</f>
        <v>#REF!</v>
      </c>
      <c r="B22" s="68" t="e">
        <f aca="false">_xlfn.CONCAT(#REF!, ":", #REF!)</f>
        <v>#REF!</v>
      </c>
      <c r="C22" s="88" t="e">
        <f aca="false">#REF!</f>
        <v>#REF!</v>
      </c>
      <c r="D22" s="88" t="e">
        <f aca="false">#REF!</f>
        <v>#REF!</v>
      </c>
      <c r="E22" s="88" t="e">
        <f aca="false">#REF!</f>
        <v>#REF!</v>
      </c>
      <c r="F22" s="88" t="e">
        <f aca="false">#REF!</f>
        <v>#REF!</v>
      </c>
    </row>
    <row r="23" customFormat="false" ht="12.8" hidden="false" customHeight="false" outlineLevel="0" collapsed="false">
      <c r="A23" s="51" t="e">
        <f aca="false">_xlfn.CONCAT($A$1, ".", #REF!)</f>
        <v>#REF!</v>
      </c>
      <c r="B23" s="68" t="e">
        <f aca="false">_xlfn.CONCAT(#REF!, ":", #REF!)</f>
        <v>#REF!</v>
      </c>
      <c r="C23" s="88" t="e">
        <f aca="false">#REF!</f>
        <v>#REF!</v>
      </c>
      <c r="D23" s="88" t="e">
        <f aca="false">#REF!</f>
        <v>#REF!</v>
      </c>
      <c r="E23" s="88" t="e">
        <f aca="false">#REF!</f>
        <v>#REF!</v>
      </c>
      <c r="F23" s="88" t="e">
        <f aca="false">#REF!</f>
        <v>#REF!</v>
      </c>
    </row>
    <row r="24" customFormat="false" ht="12.8" hidden="false" customHeight="false" outlineLevel="0" collapsed="false">
      <c r="A24" s="51" t="e">
        <f aca="false">_xlfn.CONCAT($A$1, ".", #REF!)</f>
        <v>#REF!</v>
      </c>
      <c r="B24" s="68" t="e">
        <f aca="false">_xlfn.CONCAT(#REF!, ":", #REF!)</f>
        <v>#REF!</v>
      </c>
      <c r="C24" s="88" t="e">
        <f aca="false">#REF!</f>
        <v>#REF!</v>
      </c>
      <c r="D24" s="88" t="e">
        <f aca="false">#REF!</f>
        <v>#REF!</v>
      </c>
      <c r="E24" s="88" t="e">
        <f aca="false">#REF!</f>
        <v>#REF!</v>
      </c>
      <c r="F24" s="88" t="e">
        <f aca="false">#REF!</f>
        <v>#REF!</v>
      </c>
    </row>
    <row r="25" customFormat="false" ht="12.8" hidden="false" customHeight="false" outlineLevel="0" collapsed="false">
      <c r="A25" s="51" t="e">
        <f aca="false">_xlfn.CONCAT($A$1, ".", #REF!)</f>
        <v>#REF!</v>
      </c>
      <c r="B25" s="68" t="e">
        <f aca="false">_xlfn.CONCAT(#REF!, ":", #REF!)</f>
        <v>#REF!</v>
      </c>
      <c r="C25" s="88" t="e">
        <f aca="false">#REF!</f>
        <v>#REF!</v>
      </c>
      <c r="D25" s="88" t="e">
        <f aca="false">#REF!</f>
        <v>#REF!</v>
      </c>
      <c r="E25" s="88" t="e">
        <f aca="false">#REF!</f>
        <v>#REF!</v>
      </c>
      <c r="F25" s="88" t="e">
        <f aca="false">#REF!</f>
        <v>#REF!</v>
      </c>
    </row>
    <row r="26" customFormat="false" ht="12.8" hidden="false" customHeight="false" outlineLevel="0" collapsed="false">
      <c r="A26" s="51" t="e">
        <f aca="false">_xlfn.CONCAT($A$1, ".", #REF!)</f>
        <v>#REF!</v>
      </c>
      <c r="B26" s="68" t="e">
        <f aca="false">_xlfn.CONCAT(#REF!, ":", #REF!)</f>
        <v>#REF!</v>
      </c>
      <c r="C26" s="88" t="e">
        <f aca="false">#REF!</f>
        <v>#REF!</v>
      </c>
      <c r="D26" s="88" t="e">
        <f aca="false">#REF!</f>
        <v>#REF!</v>
      </c>
      <c r="E26" s="88" t="e">
        <f aca="false">#REF!</f>
        <v>#REF!</v>
      </c>
      <c r="F26" s="88" t="e">
        <f aca="false">#REF!</f>
        <v>#REF!</v>
      </c>
    </row>
    <row r="27" customFormat="false" ht="12.8" hidden="false" customHeight="false" outlineLevel="0" collapsed="false">
      <c r="A27" s="51" t="e">
        <f aca="false">_xlfn.CONCAT($A$1, ".", #REF!)</f>
        <v>#REF!</v>
      </c>
      <c r="B27" s="68" t="e">
        <f aca="false">_xlfn.CONCAT(#REF!, ":", #REF!)</f>
        <v>#REF!</v>
      </c>
      <c r="C27" s="88" t="e">
        <f aca="false">#REF!</f>
        <v>#REF!</v>
      </c>
      <c r="D27" s="88" t="e">
        <f aca="false">#REF!</f>
        <v>#REF!</v>
      </c>
      <c r="E27" s="88" t="e">
        <f aca="false">#REF!</f>
        <v>#REF!</v>
      </c>
      <c r="F27" s="88" t="e">
        <f aca="false">#REF!</f>
        <v>#REF!</v>
      </c>
    </row>
    <row r="28" customFormat="false" ht="12.8" hidden="false" customHeight="false" outlineLevel="0" collapsed="false">
      <c r="A28" s="51" t="e">
        <f aca="false">_xlfn.CONCAT($A$1, ".", #REF!)</f>
        <v>#REF!</v>
      </c>
      <c r="B28" s="68" t="e">
        <f aca="false">_xlfn.CONCAT(#REF!, ":", #REF!)</f>
        <v>#REF!</v>
      </c>
      <c r="C28" s="88" t="e">
        <f aca="false">#REF!</f>
        <v>#REF!</v>
      </c>
      <c r="D28" s="88" t="e">
        <f aca="false">#REF!</f>
        <v>#REF!</v>
      </c>
      <c r="E28" s="88" t="e">
        <f aca="false">#REF!</f>
        <v>#REF!</v>
      </c>
      <c r="F28" s="88" t="e">
        <f aca="false">#REF!</f>
        <v>#REF!</v>
      </c>
    </row>
    <row r="29" customFormat="false" ht="12.8" hidden="false" customHeight="false" outlineLevel="0" collapsed="false">
      <c r="A29" s="51" t="e">
        <f aca="false">_xlfn.CONCAT($A$1, ".", #REF!)</f>
        <v>#REF!</v>
      </c>
      <c r="B29" s="68" t="e">
        <f aca="false">_xlfn.CONCAT(#REF!, ":", #REF!)</f>
        <v>#REF!</v>
      </c>
      <c r="C29" s="88" t="e">
        <f aca="false">#REF!</f>
        <v>#REF!</v>
      </c>
      <c r="D29" s="88" t="e">
        <f aca="false">#REF!</f>
        <v>#REF!</v>
      </c>
      <c r="E29" s="88" t="e">
        <f aca="false">#REF!</f>
        <v>#REF!</v>
      </c>
      <c r="F29" s="88" t="e">
        <f aca="false">#REF!</f>
        <v>#REF!</v>
      </c>
    </row>
    <row r="30" customFormat="false" ht="12.8" hidden="false" customHeight="false" outlineLevel="0" collapsed="false">
      <c r="A30" s="51" t="e">
        <f aca="false">_xlfn.CONCAT($A$1, ".", #REF!)</f>
        <v>#REF!</v>
      </c>
      <c r="B30" s="68" t="e">
        <f aca="false">_xlfn.CONCAT(#REF!, ":", #REF!)</f>
        <v>#REF!</v>
      </c>
      <c r="C30" s="88" t="e">
        <f aca="false">#REF!</f>
        <v>#REF!</v>
      </c>
      <c r="D30" s="88" t="e">
        <f aca="false">#REF!</f>
        <v>#REF!</v>
      </c>
      <c r="E30" s="88" t="e">
        <f aca="false">#REF!</f>
        <v>#REF!</v>
      </c>
      <c r="F30" s="88" t="e">
        <f aca="false">#REF!</f>
        <v>#REF!</v>
      </c>
    </row>
    <row r="31" customFormat="false" ht="12.8" hidden="false" customHeight="false" outlineLevel="0" collapsed="false">
      <c r="A31" s="51" t="e">
        <f aca="false">_xlfn.CONCAT($A$1, ".", #REF!)</f>
        <v>#REF!</v>
      </c>
      <c r="B31" s="68" t="e">
        <f aca="false">_xlfn.CONCAT(#REF!, ":", #REF!)</f>
        <v>#REF!</v>
      </c>
      <c r="C31" s="88" t="e">
        <f aca="false">#REF!</f>
        <v>#REF!</v>
      </c>
      <c r="D31" s="88" t="e">
        <f aca="false">#REF!</f>
        <v>#REF!</v>
      </c>
      <c r="E31" s="88" t="e">
        <f aca="false">#REF!</f>
        <v>#REF!</v>
      </c>
      <c r="F31" s="88" t="e">
        <f aca="false">#REF!</f>
        <v>#REF!</v>
      </c>
    </row>
    <row r="32" customFormat="false" ht="12.8" hidden="false" customHeight="false" outlineLevel="0" collapsed="false">
      <c r="A32" s="51" t="e">
        <f aca="false">_xlfn.CONCAT($A$1, ".", #REF!)</f>
        <v>#REF!</v>
      </c>
      <c r="B32" s="68" t="e">
        <f aca="false">_xlfn.CONCAT(#REF!, ":", #REF!)</f>
        <v>#REF!</v>
      </c>
      <c r="C32" s="88" t="e">
        <f aca="false">#REF!</f>
        <v>#REF!</v>
      </c>
      <c r="D32" s="88" t="e">
        <f aca="false">#REF!</f>
        <v>#REF!</v>
      </c>
      <c r="E32" s="88" t="e">
        <f aca="false">#REF!</f>
        <v>#REF!</v>
      </c>
      <c r="F32" s="88" t="e">
        <f aca="false">#REF!</f>
        <v>#REF!</v>
      </c>
    </row>
    <row r="33" customFormat="false" ht="12.8" hidden="false" customHeight="false" outlineLevel="0" collapsed="false">
      <c r="A33" s="51" t="e">
        <f aca="false">_xlfn.CONCAT($A$1, ".", #REF!)</f>
        <v>#REF!</v>
      </c>
      <c r="B33" s="68" t="e">
        <f aca="false">_xlfn.CONCAT(#REF!, ":", #REF!)</f>
        <v>#REF!</v>
      </c>
      <c r="C33" s="88" t="e">
        <f aca="false">#REF!</f>
        <v>#REF!</v>
      </c>
      <c r="D33" s="88" t="e">
        <f aca="false">#REF!</f>
        <v>#REF!</v>
      </c>
      <c r="E33" s="88" t="e">
        <f aca="false">#REF!</f>
        <v>#REF!</v>
      </c>
      <c r="F33" s="88" t="e">
        <f aca="false">#REF!</f>
        <v>#REF!</v>
      </c>
    </row>
    <row r="34" customFormat="false" ht="12.8" hidden="false" customHeight="false" outlineLevel="0" collapsed="false">
      <c r="A34" s="51" t="e">
        <f aca="false">_xlfn.CONCAT($A$1, ".", #REF!)</f>
        <v>#REF!</v>
      </c>
      <c r="B34" s="68" t="e">
        <f aca="false">_xlfn.CONCAT(#REF!, ":", #REF!)</f>
        <v>#REF!</v>
      </c>
      <c r="C34" s="88" t="e">
        <f aca="false">#REF!</f>
        <v>#REF!</v>
      </c>
      <c r="D34" s="88" t="e">
        <f aca="false">#REF!</f>
        <v>#REF!</v>
      </c>
      <c r="E34" s="88" t="e">
        <f aca="false">#REF!</f>
        <v>#REF!</v>
      </c>
      <c r="F34" s="88" t="e">
        <f aca="false">#REF!</f>
        <v>#REF!</v>
      </c>
    </row>
    <row r="35" customFormat="false" ht="12.8" hidden="false" customHeight="false" outlineLevel="0" collapsed="false">
      <c r="A35" s="51" t="e">
        <f aca="false">_xlfn.CONCAT($A$1, ".", #REF!)</f>
        <v>#REF!</v>
      </c>
      <c r="B35" s="68" t="e">
        <f aca="false">_xlfn.CONCAT(#REF!, ":", #REF!)</f>
        <v>#REF!</v>
      </c>
      <c r="C35" s="88" t="e">
        <f aca="false">#REF!</f>
        <v>#REF!</v>
      </c>
      <c r="D35" s="88" t="e">
        <f aca="false">#REF!</f>
        <v>#REF!</v>
      </c>
      <c r="E35" s="88" t="e">
        <f aca="false">#REF!</f>
        <v>#REF!</v>
      </c>
      <c r="F35" s="88" t="e">
        <f aca="false">#REF!</f>
        <v>#REF!</v>
      </c>
    </row>
    <row r="36" customFormat="false" ht="12.8" hidden="false" customHeight="false" outlineLevel="0" collapsed="false">
      <c r="A36" s="51" t="e">
        <f aca="false">_xlfn.CONCAT($A$1, ".", #REF!)</f>
        <v>#REF!</v>
      </c>
      <c r="B36" s="68" t="e">
        <f aca="false">_xlfn.CONCAT(#REF!, ":", #REF!)</f>
        <v>#REF!</v>
      </c>
      <c r="C36" s="88" t="e">
        <f aca="false">#REF!</f>
        <v>#REF!</v>
      </c>
      <c r="D36" s="88" t="e">
        <f aca="false">#REF!</f>
        <v>#REF!</v>
      </c>
      <c r="E36" s="88" t="e">
        <f aca="false">#REF!</f>
        <v>#REF!</v>
      </c>
      <c r="F36" s="88" t="e">
        <f aca="false">#REF!</f>
        <v>#REF!</v>
      </c>
    </row>
    <row r="37" customFormat="false" ht="12.8" hidden="false" customHeight="false" outlineLevel="0" collapsed="false">
      <c r="A37" s="51" t="e">
        <f aca="false">_xlfn.CONCAT($A$1, ".", #REF!)</f>
        <v>#REF!</v>
      </c>
      <c r="B37" s="68" t="e">
        <f aca="false">_xlfn.CONCAT(#REF!, ":", #REF!)</f>
        <v>#REF!</v>
      </c>
      <c r="C37" s="88" t="e">
        <f aca="false">#REF!</f>
        <v>#REF!</v>
      </c>
      <c r="D37" s="88" t="e">
        <f aca="false">#REF!</f>
        <v>#REF!</v>
      </c>
      <c r="E37" s="88" t="e">
        <f aca="false">#REF!</f>
        <v>#REF!</v>
      </c>
      <c r="F37" s="88" t="e">
        <f aca="false">#REF!</f>
        <v>#REF!</v>
      </c>
    </row>
    <row r="38" customFormat="false" ht="12.8" hidden="false" customHeight="false" outlineLevel="0" collapsed="false">
      <c r="A38" s="51" t="e">
        <f aca="false">_xlfn.CONCAT($A$1, ".", #REF!)</f>
        <v>#REF!</v>
      </c>
      <c r="B38" s="68" t="e">
        <f aca="false">_xlfn.CONCAT(#REF!, ":", #REF!)</f>
        <v>#REF!</v>
      </c>
      <c r="C38" s="88" t="e">
        <f aca="false">#REF!</f>
        <v>#REF!</v>
      </c>
      <c r="D38" s="88" t="e">
        <f aca="false">#REF!</f>
        <v>#REF!</v>
      </c>
      <c r="E38" s="88" t="e">
        <f aca="false">#REF!</f>
        <v>#REF!</v>
      </c>
      <c r="F38" s="88" t="e">
        <f aca="false">#REF!</f>
        <v>#REF!</v>
      </c>
    </row>
    <row r="39" customFormat="false" ht="12.8" hidden="false" customHeight="false" outlineLevel="0" collapsed="false">
      <c r="A39" s="51" t="e">
        <f aca="false">_xlfn.CONCAT($A$1, ".", #REF!)</f>
        <v>#REF!</v>
      </c>
      <c r="B39" s="68" t="e">
        <f aca="false">_xlfn.CONCAT(#REF!, ":", #REF!)</f>
        <v>#REF!</v>
      </c>
      <c r="C39" s="88" t="e">
        <f aca="false">#REF!</f>
        <v>#REF!</v>
      </c>
      <c r="D39" s="88" t="e">
        <f aca="false">#REF!</f>
        <v>#REF!</v>
      </c>
      <c r="E39" s="88" t="e">
        <f aca="false">#REF!</f>
        <v>#REF!</v>
      </c>
      <c r="F39" s="88" t="e">
        <f aca="false">#REF!</f>
        <v>#REF!</v>
      </c>
    </row>
    <row r="40" customFormat="false" ht="12.8" hidden="false" customHeight="false" outlineLevel="0" collapsed="false">
      <c r="A40" s="51" t="e">
        <f aca="false">_xlfn.CONCAT($A$1, ".", #REF!)</f>
        <v>#REF!</v>
      </c>
      <c r="B40" s="68" t="e">
        <f aca="false">_xlfn.CONCAT(#REF!, ":", #REF!)</f>
        <v>#REF!</v>
      </c>
      <c r="C40" s="88" t="e">
        <f aca="false">#REF!</f>
        <v>#REF!</v>
      </c>
      <c r="D40" s="88" t="e">
        <f aca="false">#REF!</f>
        <v>#REF!</v>
      </c>
      <c r="E40" s="88" t="e">
        <f aca="false">#REF!</f>
        <v>#REF!</v>
      </c>
      <c r="F40" s="88" t="e">
        <f aca="false">#REF!</f>
        <v>#REF!</v>
      </c>
    </row>
    <row r="41" customFormat="false" ht="12.8" hidden="false" customHeight="false" outlineLevel="0" collapsed="false">
      <c r="A41" s="51" t="e">
        <f aca="false">_xlfn.CONCAT($A$1, ".", #REF!)</f>
        <v>#REF!</v>
      </c>
      <c r="B41" s="68" t="e">
        <f aca="false">_xlfn.CONCAT(#REF!, ":", #REF!)</f>
        <v>#REF!</v>
      </c>
      <c r="C41" s="88" t="e">
        <f aca="false">#REF!</f>
        <v>#REF!</v>
      </c>
      <c r="D41" s="88" t="e">
        <f aca="false">#REF!</f>
        <v>#REF!</v>
      </c>
      <c r="E41" s="88" t="e">
        <f aca="false">#REF!</f>
        <v>#REF!</v>
      </c>
      <c r="F41" s="88" t="e">
        <f aca="false">#REF!</f>
        <v>#REF!</v>
      </c>
    </row>
    <row r="42" customFormat="false" ht="12.8" hidden="false" customHeight="false" outlineLevel="0" collapsed="false">
      <c r="A42" s="51" t="e">
        <f aca="false">_xlfn.CONCAT($A$1, ".", #REF!)</f>
        <v>#REF!</v>
      </c>
      <c r="B42" s="68" t="e">
        <f aca="false">_xlfn.CONCAT(#REF!, ":", #REF!)</f>
        <v>#REF!</v>
      </c>
      <c r="C42" s="88" t="e">
        <f aca="false">#REF!</f>
        <v>#REF!</v>
      </c>
      <c r="D42" s="88" t="e">
        <f aca="false">#REF!</f>
        <v>#REF!</v>
      </c>
      <c r="E42" s="88" t="e">
        <f aca="false">#REF!</f>
        <v>#REF!</v>
      </c>
      <c r="F42" s="88" t="e">
        <f aca="false">#REF!</f>
        <v>#REF!</v>
      </c>
    </row>
    <row r="43" customFormat="false" ht="12.8" hidden="false" customHeight="false" outlineLevel="0" collapsed="false">
      <c r="A43" s="51" t="e">
        <f aca="false">_xlfn.CONCAT($A$1, ".", #REF!)</f>
        <v>#REF!</v>
      </c>
      <c r="B43" s="68" t="e">
        <f aca="false">_xlfn.CONCAT(#REF!, ":", #REF!)</f>
        <v>#REF!</v>
      </c>
      <c r="C43" s="88" t="e">
        <f aca="false">#REF!</f>
        <v>#REF!</v>
      </c>
      <c r="D43" s="88" t="e">
        <f aca="false">#REF!</f>
        <v>#REF!</v>
      </c>
      <c r="E43" s="88" t="e">
        <f aca="false">#REF!</f>
        <v>#REF!</v>
      </c>
      <c r="F43" s="88" t="e">
        <f aca="false">#REF!</f>
        <v>#REF!</v>
      </c>
    </row>
    <row r="44" customFormat="false" ht="12.8" hidden="false" customHeight="false" outlineLevel="0" collapsed="false">
      <c r="A44" s="51" t="e">
        <f aca="false">_xlfn.CONCAT($A$1, ".", #REF!)</f>
        <v>#REF!</v>
      </c>
      <c r="B44" s="68" t="e">
        <f aca="false">_xlfn.CONCAT(#REF!, ":", #REF!)</f>
        <v>#REF!</v>
      </c>
      <c r="C44" s="88" t="e">
        <f aca="false">#REF!</f>
        <v>#REF!</v>
      </c>
      <c r="D44" s="88" t="e">
        <f aca="false">#REF!</f>
        <v>#REF!</v>
      </c>
      <c r="E44" s="88" t="e">
        <f aca="false">#REF!</f>
        <v>#REF!</v>
      </c>
      <c r="F44" s="88" t="e">
        <f aca="false">#REF!</f>
        <v>#REF!</v>
      </c>
    </row>
    <row r="45" customFormat="false" ht="12.8" hidden="false" customHeight="false" outlineLevel="0" collapsed="false">
      <c r="A45" s="51" t="e">
        <f aca="false">_xlfn.CONCAT($A$1, ".", #REF!)</f>
        <v>#REF!</v>
      </c>
      <c r="B45" s="68" t="e">
        <f aca="false">_xlfn.CONCAT(#REF!, ":", #REF!)</f>
        <v>#REF!</v>
      </c>
      <c r="C45" s="88" t="e">
        <f aca="false">#REF!</f>
        <v>#REF!</v>
      </c>
      <c r="D45" s="88" t="e">
        <f aca="false">#REF!</f>
        <v>#REF!</v>
      </c>
      <c r="E45" s="88" t="e">
        <f aca="false">#REF!</f>
        <v>#REF!</v>
      </c>
      <c r="F45" s="88" t="e">
        <f aca="false">#REF!</f>
        <v>#REF!</v>
      </c>
    </row>
    <row r="46" customFormat="false" ht="12.8" hidden="false" customHeight="false" outlineLevel="0" collapsed="false">
      <c r="A46" s="51" t="e">
        <f aca="false">_xlfn.CONCAT($A$1, ".", #REF!)</f>
        <v>#REF!</v>
      </c>
      <c r="B46" s="68" t="e">
        <f aca="false">_xlfn.CONCAT(#REF!, ":", #REF!)</f>
        <v>#REF!</v>
      </c>
      <c r="C46" s="88" t="e">
        <f aca="false">#REF!</f>
        <v>#REF!</v>
      </c>
      <c r="D46" s="88" t="e">
        <f aca="false">#REF!</f>
        <v>#REF!</v>
      </c>
      <c r="E46" s="88" t="e">
        <f aca="false">#REF!</f>
        <v>#REF!</v>
      </c>
      <c r="F46" s="88" t="e">
        <f aca="false">#REF!</f>
        <v>#REF!</v>
      </c>
    </row>
    <row r="47" customFormat="false" ht="12.8" hidden="false" customHeight="false" outlineLevel="0" collapsed="false">
      <c r="A47" s="51" t="e">
        <f aca="false">_xlfn.CONCAT($A$1, ".", #REF!)</f>
        <v>#REF!</v>
      </c>
      <c r="B47" s="68" t="e">
        <f aca="false">_xlfn.CONCAT(#REF!, ":", #REF!)</f>
        <v>#REF!</v>
      </c>
      <c r="C47" s="88" t="e">
        <f aca="false">#REF!</f>
        <v>#REF!</v>
      </c>
      <c r="D47" s="88" t="e">
        <f aca="false">#REF!</f>
        <v>#REF!</v>
      </c>
      <c r="E47" s="88" t="e">
        <f aca="false">#REF!</f>
        <v>#REF!</v>
      </c>
      <c r="F47" s="88" t="e">
        <f aca="false">#REF!</f>
        <v>#REF!</v>
      </c>
    </row>
    <row r="48" customFormat="false" ht="12.8" hidden="false" customHeight="false" outlineLevel="0" collapsed="false">
      <c r="A48" s="51" t="e">
        <f aca="false">_xlfn.CONCAT($A$1, ".", #REF!)</f>
        <v>#REF!</v>
      </c>
      <c r="B48" s="68" t="e">
        <f aca="false">_xlfn.CONCAT(#REF!, ":", #REF!)</f>
        <v>#REF!</v>
      </c>
      <c r="C48" s="88" t="e">
        <f aca="false">#REF!</f>
        <v>#REF!</v>
      </c>
      <c r="D48" s="88" t="e">
        <f aca="false">#REF!</f>
        <v>#REF!</v>
      </c>
      <c r="E48" s="88" t="e">
        <f aca="false">#REF!</f>
        <v>#REF!</v>
      </c>
      <c r="F48" s="88" t="e">
        <f aca="false">#REF!</f>
        <v>#REF!</v>
      </c>
    </row>
    <row r="49" customFormat="false" ht="12.8" hidden="false" customHeight="false" outlineLevel="0" collapsed="false">
      <c r="A49" s="51" t="e">
        <f aca="false">_xlfn.CONCAT($A$1, ".", #REF!)</f>
        <v>#REF!</v>
      </c>
      <c r="B49" s="68" t="e">
        <f aca="false">_xlfn.CONCAT(#REF!, ":", #REF!)</f>
        <v>#REF!</v>
      </c>
      <c r="C49" s="88" t="e">
        <f aca="false">#REF!</f>
        <v>#REF!</v>
      </c>
      <c r="D49" s="88" t="e">
        <f aca="false">#REF!</f>
        <v>#REF!</v>
      </c>
      <c r="E49" s="88" t="e">
        <f aca="false">#REF!</f>
        <v>#REF!</v>
      </c>
      <c r="F49" s="88" t="e">
        <f aca="false">#REF!</f>
        <v>#REF!</v>
      </c>
    </row>
    <row r="50" customFormat="false" ht="12.8" hidden="false" customHeight="false" outlineLevel="0" collapsed="false">
      <c r="A50" s="51" t="e">
        <f aca="false">_xlfn.CONCAT($A$1, ".", #REF!)</f>
        <v>#REF!</v>
      </c>
      <c r="B50" s="68" t="e">
        <f aca="false">_xlfn.CONCAT(#REF!, ":", #REF!)</f>
        <v>#REF!</v>
      </c>
      <c r="C50" s="88" t="e">
        <f aca="false">#REF!</f>
        <v>#REF!</v>
      </c>
      <c r="D50" s="88" t="e">
        <f aca="false">#REF!</f>
        <v>#REF!</v>
      </c>
      <c r="E50" s="88" t="e">
        <f aca="false">#REF!</f>
        <v>#REF!</v>
      </c>
      <c r="F50" s="88" t="e">
        <f aca="false">#REF!</f>
        <v>#REF!</v>
      </c>
    </row>
    <row r="51" customFormat="false" ht="12.8" hidden="false" customHeight="false" outlineLevel="0" collapsed="false">
      <c r="A51" s="51" t="e">
        <f aca="false">_xlfn.CONCAT($A$1, ".", #REF!)</f>
        <v>#REF!</v>
      </c>
      <c r="B51" s="68" t="e">
        <f aca="false">_xlfn.CONCAT(#REF!, ":", #REF!)</f>
        <v>#REF!</v>
      </c>
      <c r="C51" s="88" t="e">
        <f aca="false">#REF!</f>
        <v>#REF!</v>
      </c>
      <c r="D51" s="88" t="e">
        <f aca="false">#REF!</f>
        <v>#REF!</v>
      </c>
      <c r="E51" s="88" t="e">
        <f aca="false">#REF!</f>
        <v>#REF!</v>
      </c>
      <c r="F51" s="88" t="e">
        <f aca="false">#REF!</f>
        <v>#REF!</v>
      </c>
    </row>
    <row r="52" customFormat="false" ht="12.8" hidden="false" customHeight="false" outlineLevel="0" collapsed="false">
      <c r="A52" s="51" t="e">
        <f aca="false">_xlfn.CONCAT($A$1, ".", #REF!)</f>
        <v>#REF!</v>
      </c>
      <c r="B52" s="68" t="e">
        <f aca="false">_xlfn.CONCAT(#REF!, ":", #REF!)</f>
        <v>#REF!</v>
      </c>
      <c r="C52" s="88" t="e">
        <f aca="false">#REF!</f>
        <v>#REF!</v>
      </c>
      <c r="D52" s="88" t="e">
        <f aca="false">#REF!</f>
        <v>#REF!</v>
      </c>
      <c r="E52" s="88" t="e">
        <f aca="false">#REF!</f>
        <v>#REF!</v>
      </c>
      <c r="F52" s="88" t="e">
        <f aca="false">#REF!</f>
        <v>#REF!</v>
      </c>
    </row>
    <row r="53" customFormat="false" ht="12.8" hidden="false" customHeight="false" outlineLevel="0" collapsed="false">
      <c r="A53" s="51" t="e">
        <f aca="false">_xlfn.CONCAT($A$1, ".", #REF!)</f>
        <v>#REF!</v>
      </c>
      <c r="B53" s="68" t="e">
        <f aca="false">_xlfn.CONCAT(#REF!, ":", #REF!)</f>
        <v>#REF!</v>
      </c>
      <c r="C53" s="88" t="e">
        <f aca="false">#REF!</f>
        <v>#REF!</v>
      </c>
      <c r="D53" s="88" t="e">
        <f aca="false">#REF!</f>
        <v>#REF!</v>
      </c>
      <c r="E53" s="88" t="e">
        <f aca="false">#REF!</f>
        <v>#REF!</v>
      </c>
      <c r="F53" s="88" t="e">
        <f aca="false">#REF!</f>
        <v>#REF!</v>
      </c>
    </row>
    <row r="54" customFormat="false" ht="12.8" hidden="false" customHeight="false" outlineLevel="0" collapsed="false">
      <c r="A54" s="51" t="e">
        <f aca="false">_xlfn.CONCAT($A$1, ".", #REF!)</f>
        <v>#REF!</v>
      </c>
      <c r="B54" s="68" t="e">
        <f aca="false">_xlfn.CONCAT(#REF!, ":", #REF!)</f>
        <v>#REF!</v>
      </c>
      <c r="C54" s="88" t="e">
        <f aca="false">#REF!</f>
        <v>#REF!</v>
      </c>
      <c r="D54" s="88" t="e">
        <f aca="false">#REF!</f>
        <v>#REF!</v>
      </c>
      <c r="E54" s="88" t="e">
        <f aca="false">#REF!</f>
        <v>#REF!</v>
      </c>
      <c r="F54" s="88" t="e">
        <f aca="false">#REF!</f>
        <v>#REF!</v>
      </c>
    </row>
    <row r="55" customFormat="false" ht="12.8" hidden="false" customHeight="false" outlineLevel="0" collapsed="false">
      <c r="A55" s="51" t="e">
        <f aca="false">_xlfn.CONCAT($A$1, ".", #REF!)</f>
        <v>#REF!</v>
      </c>
      <c r="B55" s="68" t="e">
        <f aca="false">_xlfn.CONCAT(#REF!, ":", #REF!)</f>
        <v>#REF!</v>
      </c>
      <c r="C55" s="88" t="e">
        <f aca="false">#REF!</f>
        <v>#REF!</v>
      </c>
      <c r="D55" s="88" t="e">
        <f aca="false">#REF!</f>
        <v>#REF!</v>
      </c>
      <c r="E55" s="88" t="e">
        <f aca="false">#REF!</f>
        <v>#REF!</v>
      </c>
      <c r="F55" s="88"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P249"/>
  <sheetViews>
    <sheetView showFormulas="false" showGridLines="true" showRowColHeaders="true" showZeros="true" rightToLeft="false" tabSelected="false" showOutlineSymbols="true" defaultGridColor="true" view="normal" topLeftCell="A180" colorId="64" zoomScale="75" zoomScaleNormal="75" zoomScalePageLayoutView="100" workbookViewId="0">
      <selection pane="topLeft" activeCell="C55" activeCellId="0" sqref="C5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5913</v>
      </c>
      <c r="B1" s="85" t="s">
        <v>5920</v>
      </c>
      <c r="C1" s="6" t="s">
        <v>2</v>
      </c>
      <c r="D1" s="39" t="s">
        <v>5921</v>
      </c>
      <c r="AZ1" s="39"/>
      <c r="BP1" s="39"/>
    </row>
    <row r="2" customFormat="false" ht="46.25" hidden="false" customHeight="false" outlineLevel="0" collapsed="false">
      <c r="A2" s="86" t="s">
        <v>5902</v>
      </c>
      <c r="B2" s="87" t="s">
        <v>5903</v>
      </c>
      <c r="C2" s="88" t="str">
        <f aca="false">CALC!BR3</f>
        <v>Part-Time Employment Rate</v>
      </c>
      <c r="D2" s="88" t="str">
        <f aca="false">CALC!BS3</f>
        <v>Authorized Immigrant Part-Time Employment Rate</v>
      </c>
      <c r="E2" s="88" t="str">
        <f aca="false">CALC!BT3</f>
        <v>Unauthorized Immigrant Part-Time Employment Rate</v>
      </c>
      <c r="F2" s="88" t="str">
        <f aca="false">CALC!BU3</f>
        <v>American Part-Time Employment Rate</v>
      </c>
    </row>
    <row r="3" customFormat="false" ht="12.8" hidden="false" customHeight="false" outlineLevel="0" collapsed="false">
      <c r="A3" s="51" t="e">
        <f aca="false">_xlfn.CONCAT($A$1, ".", #REF!)</f>
        <v>#REF!</v>
      </c>
      <c r="B3" s="68" t="e">
        <f aca="false">_xlfn.CONCAT(#REF!, ":", #REF!)</f>
        <v>#REF!</v>
      </c>
      <c r="C3" s="88" t="e">
        <f aca="false">#REF!</f>
        <v>#REF!</v>
      </c>
      <c r="D3" s="88" t="e">
        <f aca="false">#REF!</f>
        <v>#REF!</v>
      </c>
      <c r="E3" s="88" t="e">
        <f aca="false">#REF!</f>
        <v>#REF!</v>
      </c>
      <c r="F3" s="88" t="e">
        <f aca="false">#REF!</f>
        <v>#REF!</v>
      </c>
    </row>
    <row r="4" customFormat="false" ht="12.8" hidden="false" customHeight="false" outlineLevel="0" collapsed="false">
      <c r="A4" s="51" t="e">
        <f aca="false">_xlfn.CONCAT($A$1, ".", #REF!)</f>
        <v>#REF!</v>
      </c>
      <c r="B4" s="68" t="e">
        <f aca="false">_xlfn.CONCAT(#REF!, ":", #REF!)</f>
        <v>#REF!</v>
      </c>
      <c r="C4" s="88" t="e">
        <f aca="false">#REF!</f>
        <v>#REF!</v>
      </c>
      <c r="D4" s="88" t="e">
        <f aca="false">#REF!</f>
        <v>#REF!</v>
      </c>
      <c r="E4" s="88" t="e">
        <f aca="false">#REF!</f>
        <v>#REF!</v>
      </c>
      <c r="F4" s="88" t="e">
        <f aca="false">#REF!</f>
        <v>#REF!</v>
      </c>
    </row>
    <row r="5" customFormat="false" ht="12.8" hidden="false" customHeight="false" outlineLevel="0" collapsed="false">
      <c r="A5" s="51" t="e">
        <f aca="false">_xlfn.CONCAT($A$1, ".", #REF!)</f>
        <v>#REF!</v>
      </c>
      <c r="B5" s="68" t="e">
        <f aca="false">_xlfn.CONCAT(#REF!, ":", #REF!)</f>
        <v>#REF!</v>
      </c>
      <c r="C5" s="88" t="e">
        <f aca="false">#REF!</f>
        <v>#REF!</v>
      </c>
      <c r="D5" s="88" t="e">
        <f aca="false">#REF!</f>
        <v>#REF!</v>
      </c>
      <c r="E5" s="88" t="e">
        <f aca="false">#REF!</f>
        <v>#REF!</v>
      </c>
      <c r="F5" s="88" t="e">
        <f aca="false">#REF!</f>
        <v>#REF!</v>
      </c>
    </row>
    <row r="6" customFormat="false" ht="12.8" hidden="false" customHeight="false" outlineLevel="0" collapsed="false">
      <c r="A6" s="51" t="e">
        <f aca="false">_xlfn.CONCAT($A$1, ".", #REF!)</f>
        <v>#REF!</v>
      </c>
      <c r="B6" s="68" t="e">
        <f aca="false">_xlfn.CONCAT(#REF!, ":", #REF!)</f>
        <v>#REF!</v>
      </c>
      <c r="C6" s="88" t="e">
        <f aca="false">#REF!</f>
        <v>#REF!</v>
      </c>
      <c r="D6" s="88" t="e">
        <f aca="false">#REF!</f>
        <v>#REF!</v>
      </c>
      <c r="E6" s="88" t="e">
        <f aca="false">#REF!</f>
        <v>#REF!</v>
      </c>
      <c r="F6" s="88" t="e">
        <f aca="false">#REF!</f>
        <v>#REF!</v>
      </c>
    </row>
    <row r="7" customFormat="false" ht="12.8" hidden="false" customHeight="false" outlineLevel="0" collapsed="false">
      <c r="A7" s="51" t="e">
        <f aca="false">_xlfn.CONCAT($A$1, ".", #REF!)</f>
        <v>#REF!</v>
      </c>
      <c r="B7" s="68" t="e">
        <f aca="false">_xlfn.CONCAT(#REF!, ":", #REF!)</f>
        <v>#REF!</v>
      </c>
      <c r="C7" s="88" t="e">
        <f aca="false">#REF!</f>
        <v>#REF!</v>
      </c>
      <c r="D7" s="88" t="e">
        <f aca="false">#REF!</f>
        <v>#REF!</v>
      </c>
      <c r="E7" s="88" t="e">
        <f aca="false">#REF!</f>
        <v>#REF!</v>
      </c>
      <c r="F7" s="88" t="e">
        <f aca="false">#REF!</f>
        <v>#REF!</v>
      </c>
    </row>
    <row r="8" customFormat="false" ht="12.8" hidden="false" customHeight="false" outlineLevel="0" collapsed="false">
      <c r="A8" s="51" t="e">
        <f aca="false">_xlfn.CONCAT($A$1, ".", #REF!)</f>
        <v>#REF!</v>
      </c>
      <c r="B8" s="68" t="e">
        <f aca="false">_xlfn.CONCAT(#REF!, ":", #REF!)</f>
        <v>#REF!</v>
      </c>
      <c r="C8" s="88" t="e">
        <f aca="false">#REF!</f>
        <v>#REF!</v>
      </c>
      <c r="D8" s="88" t="e">
        <f aca="false">#REF!</f>
        <v>#REF!</v>
      </c>
      <c r="E8" s="88" t="e">
        <f aca="false">#REF!</f>
        <v>#REF!</v>
      </c>
      <c r="F8" s="88" t="e">
        <f aca="false">#REF!</f>
        <v>#REF!</v>
      </c>
    </row>
    <row r="9" customFormat="false" ht="12.8" hidden="false" customHeight="false" outlineLevel="0" collapsed="false">
      <c r="A9" s="51" t="e">
        <f aca="false">_xlfn.CONCAT($A$1, ".", #REF!)</f>
        <v>#REF!</v>
      </c>
      <c r="B9" s="68" t="e">
        <f aca="false">_xlfn.CONCAT(#REF!, ":", #REF!)</f>
        <v>#REF!</v>
      </c>
      <c r="C9" s="88" t="e">
        <f aca="false">#REF!</f>
        <v>#REF!</v>
      </c>
      <c r="D9" s="88" t="e">
        <f aca="false">#REF!</f>
        <v>#REF!</v>
      </c>
      <c r="E9" s="88" t="e">
        <f aca="false">#REF!</f>
        <v>#REF!</v>
      </c>
      <c r="F9" s="88" t="e">
        <f aca="false">#REF!</f>
        <v>#REF!</v>
      </c>
    </row>
    <row r="10" customFormat="false" ht="12.8" hidden="false" customHeight="false" outlineLevel="0" collapsed="false">
      <c r="A10" s="51" t="e">
        <f aca="false">_xlfn.CONCAT($A$1, ".", #REF!)</f>
        <v>#REF!</v>
      </c>
      <c r="B10" s="68" t="e">
        <f aca="false">_xlfn.CONCAT(#REF!, ":", #REF!)</f>
        <v>#REF!</v>
      </c>
      <c r="C10" s="88" t="e">
        <f aca="false">#REF!</f>
        <v>#REF!</v>
      </c>
      <c r="D10" s="88" t="e">
        <f aca="false">#REF!</f>
        <v>#REF!</v>
      </c>
      <c r="E10" s="88" t="e">
        <f aca="false">#REF!</f>
        <v>#REF!</v>
      </c>
      <c r="F10" s="88" t="e">
        <f aca="false">#REF!</f>
        <v>#REF!</v>
      </c>
    </row>
    <row r="11" customFormat="false" ht="12.8" hidden="false" customHeight="false" outlineLevel="0" collapsed="false">
      <c r="A11" s="51" t="e">
        <f aca="false">_xlfn.CONCAT($A$1, ".", #REF!)</f>
        <v>#REF!</v>
      </c>
      <c r="B11" s="68" t="e">
        <f aca="false">_xlfn.CONCAT(#REF!, ":", #REF!)</f>
        <v>#REF!</v>
      </c>
      <c r="C11" s="88" t="e">
        <f aca="false">#REF!</f>
        <v>#REF!</v>
      </c>
      <c r="D11" s="88" t="e">
        <f aca="false">#REF!</f>
        <v>#REF!</v>
      </c>
      <c r="E11" s="88" t="e">
        <f aca="false">#REF!</f>
        <v>#REF!</v>
      </c>
      <c r="F11" s="88" t="e">
        <f aca="false">#REF!</f>
        <v>#REF!</v>
      </c>
    </row>
    <row r="12" customFormat="false" ht="12.8" hidden="false" customHeight="false" outlineLevel="0" collapsed="false">
      <c r="A12" s="51" t="e">
        <f aca="false">_xlfn.CONCAT($A$1, ".", #REF!)</f>
        <v>#REF!</v>
      </c>
      <c r="B12" s="68" t="e">
        <f aca="false">_xlfn.CONCAT(#REF!, ":", #REF!)</f>
        <v>#REF!</v>
      </c>
      <c r="C12" s="88" t="e">
        <f aca="false">#REF!</f>
        <v>#REF!</v>
      </c>
      <c r="D12" s="88" t="e">
        <f aca="false">#REF!</f>
        <v>#REF!</v>
      </c>
      <c r="E12" s="88" t="e">
        <f aca="false">#REF!</f>
        <v>#REF!</v>
      </c>
      <c r="F12" s="88" t="e">
        <f aca="false">#REF!</f>
        <v>#REF!</v>
      </c>
    </row>
    <row r="13" customFormat="false" ht="12.8" hidden="false" customHeight="false" outlineLevel="0" collapsed="false">
      <c r="A13" s="51" t="e">
        <f aca="false">_xlfn.CONCAT($A$1, ".", #REF!)</f>
        <v>#REF!</v>
      </c>
      <c r="B13" s="68" t="e">
        <f aca="false">_xlfn.CONCAT(#REF!, ":", #REF!)</f>
        <v>#REF!</v>
      </c>
      <c r="C13" s="88" t="e">
        <f aca="false">#REF!</f>
        <v>#REF!</v>
      </c>
      <c r="D13" s="88" t="e">
        <f aca="false">#REF!</f>
        <v>#REF!</v>
      </c>
      <c r="E13" s="88" t="e">
        <f aca="false">#REF!</f>
        <v>#REF!</v>
      </c>
      <c r="F13" s="88" t="e">
        <f aca="false">#REF!</f>
        <v>#REF!</v>
      </c>
    </row>
    <row r="14" customFormat="false" ht="12.8" hidden="false" customHeight="false" outlineLevel="0" collapsed="false">
      <c r="A14" s="51" t="e">
        <f aca="false">_xlfn.CONCAT($A$1, ".", #REF!)</f>
        <v>#REF!</v>
      </c>
      <c r="B14" s="68" t="e">
        <f aca="false">_xlfn.CONCAT(#REF!, ":", #REF!)</f>
        <v>#REF!</v>
      </c>
      <c r="C14" s="88" t="e">
        <f aca="false">#REF!</f>
        <v>#REF!</v>
      </c>
      <c r="D14" s="88" t="e">
        <f aca="false">#REF!</f>
        <v>#REF!</v>
      </c>
      <c r="E14" s="88" t="e">
        <f aca="false">#REF!</f>
        <v>#REF!</v>
      </c>
      <c r="F14" s="88" t="e">
        <f aca="false">#REF!</f>
        <v>#REF!</v>
      </c>
    </row>
    <row r="15" customFormat="false" ht="12.8" hidden="false" customHeight="false" outlineLevel="0" collapsed="false">
      <c r="A15" s="51" t="e">
        <f aca="false">_xlfn.CONCAT($A$1, ".", #REF!)</f>
        <v>#REF!</v>
      </c>
      <c r="B15" s="68" t="e">
        <f aca="false">_xlfn.CONCAT(#REF!, ":", #REF!)</f>
        <v>#REF!</v>
      </c>
      <c r="C15" s="88" t="e">
        <f aca="false">#REF!</f>
        <v>#REF!</v>
      </c>
      <c r="D15" s="88" t="e">
        <f aca="false">#REF!</f>
        <v>#REF!</v>
      </c>
      <c r="E15" s="88" t="e">
        <f aca="false">#REF!</f>
        <v>#REF!</v>
      </c>
      <c r="F15" s="88" t="e">
        <f aca="false">#REF!</f>
        <v>#REF!</v>
      </c>
    </row>
    <row r="16" customFormat="false" ht="12.8" hidden="false" customHeight="false" outlineLevel="0" collapsed="false">
      <c r="A16" s="51" t="e">
        <f aca="false">_xlfn.CONCAT($A$1, ".", #REF!)</f>
        <v>#REF!</v>
      </c>
      <c r="B16" s="68" t="e">
        <f aca="false">_xlfn.CONCAT(#REF!, ":", #REF!)</f>
        <v>#REF!</v>
      </c>
      <c r="C16" s="88" t="e">
        <f aca="false">#REF!</f>
        <v>#REF!</v>
      </c>
      <c r="D16" s="88" t="e">
        <f aca="false">#REF!</f>
        <v>#REF!</v>
      </c>
      <c r="E16" s="88" t="e">
        <f aca="false">#REF!</f>
        <v>#REF!</v>
      </c>
      <c r="F16" s="88" t="e">
        <f aca="false">#REF!</f>
        <v>#REF!</v>
      </c>
    </row>
    <row r="17" customFormat="false" ht="12.8" hidden="false" customHeight="false" outlineLevel="0" collapsed="false">
      <c r="A17" s="51" t="e">
        <f aca="false">_xlfn.CONCAT($A$1, ".", #REF!)</f>
        <v>#REF!</v>
      </c>
      <c r="B17" s="68" t="e">
        <f aca="false">_xlfn.CONCAT(#REF!, ":", #REF!)</f>
        <v>#REF!</v>
      </c>
      <c r="C17" s="88" t="e">
        <f aca="false">#REF!</f>
        <v>#REF!</v>
      </c>
      <c r="D17" s="88" t="e">
        <f aca="false">#REF!</f>
        <v>#REF!</v>
      </c>
      <c r="E17" s="88" t="e">
        <f aca="false">#REF!</f>
        <v>#REF!</v>
      </c>
      <c r="F17" s="88" t="e">
        <f aca="false">#REF!</f>
        <v>#REF!</v>
      </c>
    </row>
    <row r="18" customFormat="false" ht="12.8" hidden="false" customHeight="false" outlineLevel="0" collapsed="false">
      <c r="A18" s="51" t="e">
        <f aca="false">_xlfn.CONCAT($A$1, ".", #REF!)</f>
        <v>#REF!</v>
      </c>
      <c r="B18" s="68" t="e">
        <f aca="false">_xlfn.CONCAT(#REF!, ":", #REF!)</f>
        <v>#REF!</v>
      </c>
      <c r="C18" s="88" t="e">
        <f aca="false">#REF!</f>
        <v>#REF!</v>
      </c>
      <c r="D18" s="88" t="e">
        <f aca="false">#REF!</f>
        <v>#REF!</v>
      </c>
      <c r="E18" s="88" t="e">
        <f aca="false">#REF!</f>
        <v>#REF!</v>
      </c>
      <c r="F18" s="88" t="e">
        <f aca="false">#REF!</f>
        <v>#REF!</v>
      </c>
    </row>
    <row r="19" customFormat="false" ht="12.8" hidden="false" customHeight="false" outlineLevel="0" collapsed="false">
      <c r="A19" s="51" t="e">
        <f aca="false">_xlfn.CONCAT($A$1, ".", #REF!)</f>
        <v>#REF!</v>
      </c>
      <c r="B19" s="68" t="e">
        <f aca="false">_xlfn.CONCAT(#REF!, ":", #REF!)</f>
        <v>#REF!</v>
      </c>
      <c r="C19" s="88" t="e">
        <f aca="false">#REF!</f>
        <v>#REF!</v>
      </c>
      <c r="D19" s="88" t="e">
        <f aca="false">#REF!</f>
        <v>#REF!</v>
      </c>
      <c r="E19" s="88" t="e">
        <f aca="false">#REF!</f>
        <v>#REF!</v>
      </c>
      <c r="F19" s="88" t="e">
        <f aca="false">#REF!</f>
        <v>#REF!</v>
      </c>
    </row>
    <row r="20" customFormat="false" ht="12.8" hidden="false" customHeight="false" outlineLevel="0" collapsed="false">
      <c r="A20" s="51" t="e">
        <f aca="false">_xlfn.CONCAT($A$1, ".", #REF!)</f>
        <v>#REF!</v>
      </c>
      <c r="B20" s="68" t="e">
        <f aca="false">_xlfn.CONCAT(#REF!, ":", #REF!)</f>
        <v>#REF!</v>
      </c>
      <c r="C20" s="88" t="e">
        <f aca="false">#REF!</f>
        <v>#REF!</v>
      </c>
      <c r="D20" s="88" t="e">
        <f aca="false">#REF!</f>
        <v>#REF!</v>
      </c>
      <c r="E20" s="88" t="e">
        <f aca="false">#REF!</f>
        <v>#REF!</v>
      </c>
      <c r="F20" s="88" t="e">
        <f aca="false">#REF!</f>
        <v>#REF!</v>
      </c>
    </row>
    <row r="21" customFormat="false" ht="12.8" hidden="false" customHeight="false" outlineLevel="0" collapsed="false">
      <c r="A21" s="51" t="e">
        <f aca="false">_xlfn.CONCAT($A$1, ".", #REF!)</f>
        <v>#REF!</v>
      </c>
      <c r="B21" s="68" t="e">
        <f aca="false">_xlfn.CONCAT(#REF!, ":", #REF!)</f>
        <v>#REF!</v>
      </c>
      <c r="C21" s="88" t="e">
        <f aca="false">#REF!</f>
        <v>#REF!</v>
      </c>
      <c r="D21" s="88" t="e">
        <f aca="false">#REF!</f>
        <v>#REF!</v>
      </c>
      <c r="E21" s="88" t="e">
        <f aca="false">#REF!</f>
        <v>#REF!</v>
      </c>
      <c r="F21" s="88" t="e">
        <f aca="false">#REF!</f>
        <v>#REF!</v>
      </c>
    </row>
    <row r="22" customFormat="false" ht="12.8" hidden="false" customHeight="false" outlineLevel="0" collapsed="false">
      <c r="A22" s="51" t="e">
        <f aca="false">_xlfn.CONCAT($A$1, ".", #REF!)</f>
        <v>#REF!</v>
      </c>
      <c r="B22" s="68" t="e">
        <f aca="false">_xlfn.CONCAT(#REF!, ":", #REF!)</f>
        <v>#REF!</v>
      </c>
      <c r="C22" s="88" t="e">
        <f aca="false">#REF!</f>
        <v>#REF!</v>
      </c>
      <c r="D22" s="88" t="e">
        <f aca="false">#REF!</f>
        <v>#REF!</v>
      </c>
      <c r="E22" s="88" t="e">
        <f aca="false">#REF!</f>
        <v>#REF!</v>
      </c>
      <c r="F22" s="88" t="e">
        <f aca="false">#REF!</f>
        <v>#REF!</v>
      </c>
    </row>
    <row r="23" customFormat="false" ht="12.8" hidden="false" customHeight="false" outlineLevel="0" collapsed="false">
      <c r="A23" s="51" t="e">
        <f aca="false">_xlfn.CONCAT($A$1, ".", #REF!)</f>
        <v>#REF!</v>
      </c>
      <c r="B23" s="68" t="e">
        <f aca="false">_xlfn.CONCAT(#REF!, ":", #REF!)</f>
        <v>#REF!</v>
      </c>
      <c r="C23" s="88" t="e">
        <f aca="false">#REF!</f>
        <v>#REF!</v>
      </c>
      <c r="D23" s="88" t="e">
        <f aca="false">#REF!</f>
        <v>#REF!</v>
      </c>
      <c r="E23" s="88" t="e">
        <f aca="false">#REF!</f>
        <v>#REF!</v>
      </c>
      <c r="F23" s="88" t="e">
        <f aca="false">#REF!</f>
        <v>#REF!</v>
      </c>
    </row>
    <row r="24" customFormat="false" ht="12.8" hidden="false" customHeight="false" outlineLevel="0" collapsed="false">
      <c r="A24" s="51" t="e">
        <f aca="false">_xlfn.CONCAT($A$1, ".", #REF!)</f>
        <v>#REF!</v>
      </c>
      <c r="B24" s="68" t="e">
        <f aca="false">_xlfn.CONCAT(#REF!, ":", #REF!)</f>
        <v>#REF!</v>
      </c>
      <c r="C24" s="88" t="e">
        <f aca="false">#REF!</f>
        <v>#REF!</v>
      </c>
      <c r="D24" s="88" t="e">
        <f aca="false">#REF!</f>
        <v>#REF!</v>
      </c>
      <c r="E24" s="88" t="e">
        <f aca="false">#REF!</f>
        <v>#REF!</v>
      </c>
      <c r="F24" s="88" t="e">
        <f aca="false">#REF!</f>
        <v>#REF!</v>
      </c>
    </row>
    <row r="25" customFormat="false" ht="12.8" hidden="false" customHeight="false" outlineLevel="0" collapsed="false">
      <c r="A25" s="51" t="e">
        <f aca="false">_xlfn.CONCAT($A$1, ".", #REF!)</f>
        <v>#REF!</v>
      </c>
      <c r="B25" s="68" t="e">
        <f aca="false">_xlfn.CONCAT(#REF!, ":", #REF!)</f>
        <v>#REF!</v>
      </c>
      <c r="C25" s="88" t="e">
        <f aca="false">#REF!</f>
        <v>#REF!</v>
      </c>
      <c r="D25" s="88" t="e">
        <f aca="false">#REF!</f>
        <v>#REF!</v>
      </c>
      <c r="E25" s="88" t="e">
        <f aca="false">#REF!</f>
        <v>#REF!</v>
      </c>
      <c r="F25" s="88" t="e">
        <f aca="false">#REF!</f>
        <v>#REF!</v>
      </c>
    </row>
    <row r="26" customFormat="false" ht="12.8" hidden="false" customHeight="false" outlineLevel="0" collapsed="false">
      <c r="A26" s="51" t="e">
        <f aca="false">_xlfn.CONCAT($A$1, ".", #REF!)</f>
        <v>#REF!</v>
      </c>
      <c r="B26" s="68" t="e">
        <f aca="false">_xlfn.CONCAT(#REF!, ":", #REF!)</f>
        <v>#REF!</v>
      </c>
      <c r="C26" s="88" t="e">
        <f aca="false">#REF!</f>
        <v>#REF!</v>
      </c>
      <c r="D26" s="88" t="e">
        <f aca="false">#REF!</f>
        <v>#REF!</v>
      </c>
      <c r="E26" s="88" t="e">
        <f aca="false">#REF!</f>
        <v>#REF!</v>
      </c>
      <c r="F26" s="88" t="e">
        <f aca="false">#REF!</f>
        <v>#REF!</v>
      </c>
    </row>
    <row r="27" customFormat="false" ht="12.8" hidden="false" customHeight="false" outlineLevel="0" collapsed="false">
      <c r="A27" s="51" t="e">
        <f aca="false">_xlfn.CONCAT($A$1, ".", #REF!)</f>
        <v>#REF!</v>
      </c>
      <c r="B27" s="68" t="e">
        <f aca="false">_xlfn.CONCAT(#REF!, ":", #REF!)</f>
        <v>#REF!</v>
      </c>
      <c r="C27" s="88" t="e">
        <f aca="false">#REF!</f>
        <v>#REF!</v>
      </c>
      <c r="D27" s="88" t="e">
        <f aca="false">#REF!</f>
        <v>#REF!</v>
      </c>
      <c r="E27" s="88" t="e">
        <f aca="false">#REF!</f>
        <v>#REF!</v>
      </c>
      <c r="F27" s="88" t="e">
        <f aca="false">#REF!</f>
        <v>#REF!</v>
      </c>
    </row>
    <row r="28" customFormat="false" ht="12.8" hidden="false" customHeight="false" outlineLevel="0" collapsed="false">
      <c r="A28" s="51" t="e">
        <f aca="false">_xlfn.CONCAT($A$1, ".", #REF!)</f>
        <v>#REF!</v>
      </c>
      <c r="B28" s="68" t="e">
        <f aca="false">_xlfn.CONCAT(#REF!, ":", #REF!)</f>
        <v>#REF!</v>
      </c>
      <c r="C28" s="88" t="e">
        <f aca="false">#REF!</f>
        <v>#REF!</v>
      </c>
      <c r="D28" s="88" t="e">
        <f aca="false">#REF!</f>
        <v>#REF!</v>
      </c>
      <c r="E28" s="88" t="e">
        <f aca="false">#REF!</f>
        <v>#REF!</v>
      </c>
      <c r="F28" s="88" t="e">
        <f aca="false">#REF!</f>
        <v>#REF!</v>
      </c>
    </row>
    <row r="29" customFormat="false" ht="12.8" hidden="false" customHeight="false" outlineLevel="0" collapsed="false">
      <c r="A29" s="51" t="e">
        <f aca="false">_xlfn.CONCAT($A$1, ".", #REF!)</f>
        <v>#REF!</v>
      </c>
      <c r="B29" s="68" t="e">
        <f aca="false">_xlfn.CONCAT(#REF!, ":", #REF!)</f>
        <v>#REF!</v>
      </c>
      <c r="C29" s="88" t="e">
        <f aca="false">#REF!</f>
        <v>#REF!</v>
      </c>
      <c r="D29" s="88" t="e">
        <f aca="false">#REF!</f>
        <v>#REF!</v>
      </c>
      <c r="E29" s="88" t="e">
        <f aca="false">#REF!</f>
        <v>#REF!</v>
      </c>
      <c r="F29" s="88" t="e">
        <f aca="false">#REF!</f>
        <v>#REF!</v>
      </c>
    </row>
    <row r="30" customFormat="false" ht="12.8" hidden="false" customHeight="false" outlineLevel="0" collapsed="false">
      <c r="A30" s="51" t="e">
        <f aca="false">_xlfn.CONCAT($A$1, ".", #REF!)</f>
        <v>#REF!</v>
      </c>
      <c r="B30" s="68" t="e">
        <f aca="false">_xlfn.CONCAT(#REF!, ":", #REF!)</f>
        <v>#REF!</v>
      </c>
      <c r="C30" s="88" t="e">
        <f aca="false">#REF!</f>
        <v>#REF!</v>
      </c>
      <c r="D30" s="88" t="e">
        <f aca="false">#REF!</f>
        <v>#REF!</v>
      </c>
      <c r="E30" s="88" t="e">
        <f aca="false">#REF!</f>
        <v>#REF!</v>
      </c>
      <c r="F30" s="88" t="e">
        <f aca="false">#REF!</f>
        <v>#REF!</v>
      </c>
    </row>
    <row r="31" customFormat="false" ht="12.8" hidden="false" customHeight="false" outlineLevel="0" collapsed="false">
      <c r="A31" s="51" t="e">
        <f aca="false">_xlfn.CONCAT($A$1, ".", #REF!)</f>
        <v>#REF!</v>
      </c>
      <c r="B31" s="68" t="e">
        <f aca="false">_xlfn.CONCAT(#REF!, ":", #REF!)</f>
        <v>#REF!</v>
      </c>
      <c r="C31" s="88" t="e">
        <f aca="false">#REF!</f>
        <v>#REF!</v>
      </c>
      <c r="D31" s="88" t="e">
        <f aca="false">#REF!</f>
        <v>#REF!</v>
      </c>
      <c r="E31" s="88" t="e">
        <f aca="false">#REF!</f>
        <v>#REF!</v>
      </c>
      <c r="F31" s="88" t="e">
        <f aca="false">#REF!</f>
        <v>#REF!</v>
      </c>
    </row>
    <row r="32" customFormat="false" ht="12.8" hidden="false" customHeight="false" outlineLevel="0" collapsed="false">
      <c r="A32" s="51" t="e">
        <f aca="false">_xlfn.CONCAT($A$1, ".", #REF!)</f>
        <v>#REF!</v>
      </c>
      <c r="B32" s="68" t="e">
        <f aca="false">_xlfn.CONCAT(#REF!, ":", #REF!)</f>
        <v>#REF!</v>
      </c>
      <c r="C32" s="88" t="e">
        <f aca="false">#REF!</f>
        <v>#REF!</v>
      </c>
      <c r="D32" s="88" t="e">
        <f aca="false">#REF!</f>
        <v>#REF!</v>
      </c>
      <c r="E32" s="88" t="e">
        <f aca="false">#REF!</f>
        <v>#REF!</v>
      </c>
      <c r="F32" s="88" t="e">
        <f aca="false">#REF!</f>
        <v>#REF!</v>
      </c>
    </row>
    <row r="33" customFormat="false" ht="12.8" hidden="false" customHeight="false" outlineLevel="0" collapsed="false">
      <c r="A33" s="51" t="e">
        <f aca="false">_xlfn.CONCAT($A$1, ".", #REF!)</f>
        <v>#REF!</v>
      </c>
      <c r="B33" s="68" t="e">
        <f aca="false">_xlfn.CONCAT(#REF!, ":", #REF!)</f>
        <v>#REF!</v>
      </c>
      <c r="C33" s="88" t="e">
        <f aca="false">#REF!</f>
        <v>#REF!</v>
      </c>
      <c r="D33" s="88" t="e">
        <f aca="false">#REF!</f>
        <v>#REF!</v>
      </c>
      <c r="E33" s="88" t="e">
        <f aca="false">#REF!</f>
        <v>#REF!</v>
      </c>
      <c r="F33" s="88" t="e">
        <f aca="false">#REF!</f>
        <v>#REF!</v>
      </c>
    </row>
    <row r="34" customFormat="false" ht="12.8" hidden="false" customHeight="false" outlineLevel="0" collapsed="false">
      <c r="A34" s="51" t="e">
        <f aca="false">_xlfn.CONCAT($A$1, ".", #REF!)</f>
        <v>#REF!</v>
      </c>
      <c r="B34" s="68" t="e">
        <f aca="false">_xlfn.CONCAT(#REF!, ":", #REF!)</f>
        <v>#REF!</v>
      </c>
      <c r="C34" s="88" t="e">
        <f aca="false">#REF!</f>
        <v>#REF!</v>
      </c>
      <c r="D34" s="88" t="e">
        <f aca="false">#REF!</f>
        <v>#REF!</v>
      </c>
      <c r="E34" s="88" t="e">
        <f aca="false">#REF!</f>
        <v>#REF!</v>
      </c>
      <c r="F34" s="88" t="e">
        <f aca="false">#REF!</f>
        <v>#REF!</v>
      </c>
    </row>
    <row r="35" customFormat="false" ht="12.8" hidden="false" customHeight="false" outlineLevel="0" collapsed="false">
      <c r="A35" s="51" t="e">
        <f aca="false">_xlfn.CONCAT($A$1, ".", #REF!)</f>
        <v>#REF!</v>
      </c>
      <c r="B35" s="68" t="e">
        <f aca="false">_xlfn.CONCAT(#REF!, ":", #REF!)</f>
        <v>#REF!</v>
      </c>
      <c r="C35" s="88" t="e">
        <f aca="false">#REF!</f>
        <v>#REF!</v>
      </c>
      <c r="D35" s="88" t="e">
        <f aca="false">#REF!</f>
        <v>#REF!</v>
      </c>
      <c r="E35" s="88" t="e">
        <f aca="false">#REF!</f>
        <v>#REF!</v>
      </c>
      <c r="F35" s="88" t="e">
        <f aca="false">#REF!</f>
        <v>#REF!</v>
      </c>
    </row>
    <row r="36" customFormat="false" ht="12.8" hidden="false" customHeight="false" outlineLevel="0" collapsed="false">
      <c r="A36" s="51" t="e">
        <f aca="false">_xlfn.CONCAT($A$1, ".", #REF!)</f>
        <v>#REF!</v>
      </c>
      <c r="B36" s="68" t="e">
        <f aca="false">_xlfn.CONCAT(#REF!, ":", #REF!)</f>
        <v>#REF!</v>
      </c>
      <c r="C36" s="88" t="e">
        <f aca="false">#REF!</f>
        <v>#REF!</v>
      </c>
      <c r="D36" s="88" t="e">
        <f aca="false">#REF!</f>
        <v>#REF!</v>
      </c>
      <c r="E36" s="88" t="e">
        <f aca="false">#REF!</f>
        <v>#REF!</v>
      </c>
      <c r="F36" s="88" t="e">
        <f aca="false">#REF!</f>
        <v>#REF!</v>
      </c>
    </row>
    <row r="37" customFormat="false" ht="12.8" hidden="false" customHeight="false" outlineLevel="0" collapsed="false">
      <c r="A37" s="51" t="e">
        <f aca="false">_xlfn.CONCAT($A$1, ".", #REF!)</f>
        <v>#REF!</v>
      </c>
      <c r="B37" s="68" t="e">
        <f aca="false">_xlfn.CONCAT(#REF!, ":", #REF!)</f>
        <v>#REF!</v>
      </c>
      <c r="C37" s="88" t="e">
        <f aca="false">#REF!</f>
        <v>#REF!</v>
      </c>
      <c r="D37" s="88" t="e">
        <f aca="false">#REF!</f>
        <v>#REF!</v>
      </c>
      <c r="E37" s="88" t="e">
        <f aca="false">#REF!</f>
        <v>#REF!</v>
      </c>
      <c r="F37" s="88" t="e">
        <f aca="false">#REF!</f>
        <v>#REF!</v>
      </c>
    </row>
    <row r="38" customFormat="false" ht="12.8" hidden="false" customHeight="false" outlineLevel="0" collapsed="false">
      <c r="A38" s="51" t="e">
        <f aca="false">_xlfn.CONCAT($A$1, ".", #REF!)</f>
        <v>#REF!</v>
      </c>
      <c r="B38" s="68" t="e">
        <f aca="false">_xlfn.CONCAT(#REF!, ":", #REF!)</f>
        <v>#REF!</v>
      </c>
      <c r="C38" s="88" t="e">
        <f aca="false">#REF!</f>
        <v>#REF!</v>
      </c>
      <c r="D38" s="88" t="e">
        <f aca="false">#REF!</f>
        <v>#REF!</v>
      </c>
      <c r="E38" s="88" t="e">
        <f aca="false">#REF!</f>
        <v>#REF!</v>
      </c>
      <c r="F38" s="88" t="e">
        <f aca="false">#REF!</f>
        <v>#REF!</v>
      </c>
    </row>
    <row r="39" customFormat="false" ht="12.8" hidden="false" customHeight="false" outlineLevel="0" collapsed="false">
      <c r="A39" s="51" t="e">
        <f aca="false">_xlfn.CONCAT($A$1, ".", #REF!)</f>
        <v>#REF!</v>
      </c>
      <c r="B39" s="68" t="e">
        <f aca="false">_xlfn.CONCAT(#REF!, ":", #REF!)</f>
        <v>#REF!</v>
      </c>
      <c r="C39" s="88" t="e">
        <f aca="false">#REF!</f>
        <v>#REF!</v>
      </c>
      <c r="D39" s="88" t="e">
        <f aca="false">#REF!</f>
        <v>#REF!</v>
      </c>
      <c r="E39" s="88" t="e">
        <f aca="false">#REF!</f>
        <v>#REF!</v>
      </c>
      <c r="F39" s="88" t="e">
        <f aca="false">#REF!</f>
        <v>#REF!</v>
      </c>
    </row>
    <row r="40" customFormat="false" ht="12.8" hidden="false" customHeight="false" outlineLevel="0" collapsed="false">
      <c r="A40" s="51" t="e">
        <f aca="false">_xlfn.CONCAT($A$1, ".", #REF!)</f>
        <v>#REF!</v>
      </c>
      <c r="B40" s="68" t="e">
        <f aca="false">_xlfn.CONCAT(#REF!, ":", #REF!)</f>
        <v>#REF!</v>
      </c>
      <c r="C40" s="88" t="e">
        <f aca="false">#REF!</f>
        <v>#REF!</v>
      </c>
      <c r="D40" s="88" t="e">
        <f aca="false">#REF!</f>
        <v>#REF!</v>
      </c>
      <c r="E40" s="88" t="e">
        <f aca="false">#REF!</f>
        <v>#REF!</v>
      </c>
      <c r="F40" s="88" t="e">
        <f aca="false">#REF!</f>
        <v>#REF!</v>
      </c>
    </row>
    <row r="41" customFormat="false" ht="12.8" hidden="false" customHeight="false" outlineLevel="0" collapsed="false">
      <c r="A41" s="51" t="e">
        <f aca="false">_xlfn.CONCAT($A$1, ".", #REF!)</f>
        <v>#REF!</v>
      </c>
      <c r="B41" s="68" t="e">
        <f aca="false">_xlfn.CONCAT(#REF!, ":", #REF!)</f>
        <v>#REF!</v>
      </c>
      <c r="C41" s="88" t="e">
        <f aca="false">#REF!</f>
        <v>#REF!</v>
      </c>
      <c r="D41" s="88" t="e">
        <f aca="false">#REF!</f>
        <v>#REF!</v>
      </c>
      <c r="E41" s="88" t="e">
        <f aca="false">#REF!</f>
        <v>#REF!</v>
      </c>
      <c r="F41" s="88" t="e">
        <f aca="false">#REF!</f>
        <v>#REF!</v>
      </c>
    </row>
    <row r="42" customFormat="false" ht="12.8" hidden="false" customHeight="false" outlineLevel="0" collapsed="false">
      <c r="A42" s="51" t="e">
        <f aca="false">_xlfn.CONCAT($A$1, ".", #REF!)</f>
        <v>#REF!</v>
      </c>
      <c r="B42" s="68" t="e">
        <f aca="false">_xlfn.CONCAT(#REF!, ":", #REF!)</f>
        <v>#REF!</v>
      </c>
      <c r="C42" s="88" t="e">
        <f aca="false">#REF!</f>
        <v>#REF!</v>
      </c>
      <c r="D42" s="88" t="e">
        <f aca="false">#REF!</f>
        <v>#REF!</v>
      </c>
      <c r="E42" s="88" t="e">
        <f aca="false">#REF!</f>
        <v>#REF!</v>
      </c>
      <c r="F42" s="88" t="e">
        <f aca="false">#REF!</f>
        <v>#REF!</v>
      </c>
    </row>
    <row r="43" customFormat="false" ht="12.8" hidden="false" customHeight="false" outlineLevel="0" collapsed="false">
      <c r="A43" s="51" t="e">
        <f aca="false">_xlfn.CONCAT($A$1, ".", #REF!)</f>
        <v>#REF!</v>
      </c>
      <c r="B43" s="68" t="e">
        <f aca="false">_xlfn.CONCAT(#REF!, ":", #REF!)</f>
        <v>#REF!</v>
      </c>
      <c r="C43" s="88" t="e">
        <f aca="false">#REF!</f>
        <v>#REF!</v>
      </c>
      <c r="D43" s="88" t="e">
        <f aca="false">#REF!</f>
        <v>#REF!</v>
      </c>
      <c r="E43" s="88" t="e">
        <f aca="false">#REF!</f>
        <v>#REF!</v>
      </c>
      <c r="F43" s="88" t="e">
        <f aca="false">#REF!</f>
        <v>#REF!</v>
      </c>
    </row>
    <row r="44" customFormat="false" ht="12.8" hidden="false" customHeight="false" outlineLevel="0" collapsed="false">
      <c r="A44" s="51" t="e">
        <f aca="false">_xlfn.CONCAT($A$1, ".", #REF!)</f>
        <v>#REF!</v>
      </c>
      <c r="B44" s="68" t="e">
        <f aca="false">_xlfn.CONCAT(#REF!, ":", #REF!)</f>
        <v>#REF!</v>
      </c>
      <c r="C44" s="88" t="e">
        <f aca="false">#REF!</f>
        <v>#REF!</v>
      </c>
      <c r="D44" s="88" t="e">
        <f aca="false">#REF!</f>
        <v>#REF!</v>
      </c>
      <c r="E44" s="88" t="e">
        <f aca="false">#REF!</f>
        <v>#REF!</v>
      </c>
      <c r="F44" s="88" t="e">
        <f aca="false">#REF!</f>
        <v>#REF!</v>
      </c>
    </row>
    <row r="45" customFormat="false" ht="12.8" hidden="false" customHeight="false" outlineLevel="0" collapsed="false">
      <c r="A45" s="51" t="e">
        <f aca="false">_xlfn.CONCAT($A$1, ".", #REF!)</f>
        <v>#REF!</v>
      </c>
      <c r="B45" s="68" t="e">
        <f aca="false">_xlfn.CONCAT(#REF!, ":", #REF!)</f>
        <v>#REF!</v>
      </c>
      <c r="C45" s="88" t="e">
        <f aca="false">#REF!</f>
        <v>#REF!</v>
      </c>
      <c r="D45" s="88" t="e">
        <f aca="false">#REF!</f>
        <v>#REF!</v>
      </c>
      <c r="E45" s="88" t="e">
        <f aca="false">#REF!</f>
        <v>#REF!</v>
      </c>
      <c r="F45" s="88" t="e">
        <f aca="false">#REF!</f>
        <v>#REF!</v>
      </c>
    </row>
    <row r="46" customFormat="false" ht="12.8" hidden="false" customHeight="false" outlineLevel="0" collapsed="false">
      <c r="A46" s="51" t="e">
        <f aca="false">_xlfn.CONCAT($A$1, ".", #REF!)</f>
        <v>#REF!</v>
      </c>
      <c r="B46" s="68" t="e">
        <f aca="false">_xlfn.CONCAT(#REF!, ":", #REF!)</f>
        <v>#REF!</v>
      </c>
      <c r="C46" s="88" t="e">
        <f aca="false">#REF!</f>
        <v>#REF!</v>
      </c>
      <c r="D46" s="88" t="e">
        <f aca="false">#REF!</f>
        <v>#REF!</v>
      </c>
      <c r="E46" s="88" t="e">
        <f aca="false">#REF!</f>
        <v>#REF!</v>
      </c>
      <c r="F46" s="88" t="e">
        <f aca="false">#REF!</f>
        <v>#REF!</v>
      </c>
    </row>
    <row r="47" customFormat="false" ht="12.8" hidden="false" customHeight="false" outlineLevel="0" collapsed="false">
      <c r="A47" s="51" t="e">
        <f aca="false">_xlfn.CONCAT($A$1, ".", #REF!)</f>
        <v>#REF!</v>
      </c>
      <c r="B47" s="68" t="e">
        <f aca="false">_xlfn.CONCAT(#REF!, ":", #REF!)</f>
        <v>#REF!</v>
      </c>
      <c r="C47" s="88" t="e">
        <f aca="false">#REF!</f>
        <v>#REF!</v>
      </c>
      <c r="D47" s="88" t="e">
        <f aca="false">#REF!</f>
        <v>#REF!</v>
      </c>
      <c r="E47" s="88" t="e">
        <f aca="false">#REF!</f>
        <v>#REF!</v>
      </c>
      <c r="F47" s="88" t="e">
        <f aca="false">#REF!</f>
        <v>#REF!</v>
      </c>
    </row>
    <row r="48" customFormat="false" ht="12.8" hidden="false" customHeight="false" outlineLevel="0" collapsed="false">
      <c r="A48" s="51" t="e">
        <f aca="false">_xlfn.CONCAT($A$1, ".", #REF!)</f>
        <v>#REF!</v>
      </c>
      <c r="B48" s="68" t="e">
        <f aca="false">_xlfn.CONCAT(#REF!, ":", #REF!)</f>
        <v>#REF!</v>
      </c>
      <c r="C48" s="88" t="e">
        <f aca="false">#REF!</f>
        <v>#REF!</v>
      </c>
      <c r="D48" s="88" t="e">
        <f aca="false">#REF!</f>
        <v>#REF!</v>
      </c>
      <c r="E48" s="88" t="e">
        <f aca="false">#REF!</f>
        <v>#REF!</v>
      </c>
      <c r="F48" s="88" t="e">
        <f aca="false">#REF!</f>
        <v>#REF!</v>
      </c>
    </row>
    <row r="49" customFormat="false" ht="12.8" hidden="false" customHeight="false" outlineLevel="0" collapsed="false">
      <c r="A49" s="51" t="e">
        <f aca="false">_xlfn.CONCAT($A$1, ".", #REF!)</f>
        <v>#REF!</v>
      </c>
      <c r="B49" s="68" t="e">
        <f aca="false">_xlfn.CONCAT(#REF!, ":", #REF!)</f>
        <v>#REF!</v>
      </c>
      <c r="C49" s="88" t="e">
        <f aca="false">#REF!</f>
        <v>#REF!</v>
      </c>
      <c r="D49" s="88" t="e">
        <f aca="false">#REF!</f>
        <v>#REF!</v>
      </c>
      <c r="E49" s="88" t="e">
        <f aca="false">#REF!</f>
        <v>#REF!</v>
      </c>
      <c r="F49" s="88" t="e">
        <f aca="false">#REF!</f>
        <v>#REF!</v>
      </c>
    </row>
    <row r="50" customFormat="false" ht="12.8" hidden="false" customHeight="false" outlineLevel="0" collapsed="false">
      <c r="A50" s="51" t="e">
        <f aca="false">_xlfn.CONCAT($A$1, ".", #REF!)</f>
        <v>#REF!</v>
      </c>
      <c r="B50" s="68" t="e">
        <f aca="false">_xlfn.CONCAT(#REF!, ":", #REF!)</f>
        <v>#REF!</v>
      </c>
      <c r="C50" s="88" t="e">
        <f aca="false">#REF!</f>
        <v>#REF!</v>
      </c>
      <c r="D50" s="88" t="e">
        <f aca="false">#REF!</f>
        <v>#REF!</v>
      </c>
      <c r="E50" s="88" t="e">
        <f aca="false">#REF!</f>
        <v>#REF!</v>
      </c>
      <c r="F50" s="88" t="e">
        <f aca="false">#REF!</f>
        <v>#REF!</v>
      </c>
    </row>
    <row r="51" customFormat="false" ht="12.8" hidden="false" customHeight="false" outlineLevel="0" collapsed="false">
      <c r="A51" s="51" t="e">
        <f aca="false">_xlfn.CONCAT($A$1, ".", #REF!)</f>
        <v>#REF!</v>
      </c>
      <c r="B51" s="68" t="e">
        <f aca="false">_xlfn.CONCAT(#REF!, ":", #REF!)</f>
        <v>#REF!</v>
      </c>
      <c r="C51" s="88" t="e">
        <f aca="false">#REF!</f>
        <v>#REF!</v>
      </c>
      <c r="D51" s="88" t="e">
        <f aca="false">#REF!</f>
        <v>#REF!</v>
      </c>
      <c r="E51" s="88" t="e">
        <f aca="false">#REF!</f>
        <v>#REF!</v>
      </c>
      <c r="F51" s="88" t="e">
        <f aca="false">#REF!</f>
        <v>#REF!</v>
      </c>
    </row>
    <row r="52" customFormat="false" ht="12.8" hidden="false" customHeight="false" outlineLevel="0" collapsed="false">
      <c r="A52" s="51" t="e">
        <f aca="false">_xlfn.CONCAT($A$1, ".", #REF!)</f>
        <v>#REF!</v>
      </c>
      <c r="B52" s="68" t="e">
        <f aca="false">_xlfn.CONCAT(#REF!, ":", #REF!)</f>
        <v>#REF!</v>
      </c>
      <c r="C52" s="88" t="e">
        <f aca="false">#REF!</f>
        <v>#REF!</v>
      </c>
      <c r="D52" s="88" t="e">
        <f aca="false">#REF!</f>
        <v>#REF!</v>
      </c>
      <c r="E52" s="88" t="e">
        <f aca="false">#REF!</f>
        <v>#REF!</v>
      </c>
      <c r="F52" s="88" t="e">
        <f aca="false">#REF!</f>
        <v>#REF!</v>
      </c>
    </row>
    <row r="53" customFormat="false" ht="12.8" hidden="false" customHeight="false" outlineLevel="0" collapsed="false">
      <c r="A53" s="51" t="e">
        <f aca="false">_xlfn.CONCAT($A$1, ".", #REF!)</f>
        <v>#REF!</v>
      </c>
      <c r="B53" s="68" t="e">
        <f aca="false">_xlfn.CONCAT(#REF!, ":", #REF!)</f>
        <v>#REF!</v>
      </c>
      <c r="C53" s="88" t="e">
        <f aca="false">#REF!</f>
        <v>#REF!</v>
      </c>
      <c r="D53" s="88" t="e">
        <f aca="false">#REF!</f>
        <v>#REF!</v>
      </c>
      <c r="E53" s="88" t="e">
        <f aca="false">#REF!</f>
        <v>#REF!</v>
      </c>
      <c r="F53" s="88" t="e">
        <f aca="false">#REF!</f>
        <v>#REF!</v>
      </c>
    </row>
    <row r="54" customFormat="false" ht="12.8" hidden="false" customHeight="false" outlineLevel="0" collapsed="false">
      <c r="A54" s="51" t="e">
        <f aca="false">_xlfn.CONCAT($A$1, ".", #REF!)</f>
        <v>#REF!</v>
      </c>
      <c r="B54" s="68" t="e">
        <f aca="false">_xlfn.CONCAT(#REF!, ":", #REF!)</f>
        <v>#REF!</v>
      </c>
      <c r="C54" s="88" t="e">
        <f aca="false">#REF!</f>
        <v>#REF!</v>
      </c>
      <c r="D54" s="88" t="e">
        <f aca="false">#REF!</f>
        <v>#REF!</v>
      </c>
      <c r="E54" s="88" t="e">
        <f aca="false">#REF!</f>
        <v>#REF!</v>
      </c>
      <c r="F54" s="88" t="e">
        <f aca="false">#REF!</f>
        <v>#REF!</v>
      </c>
    </row>
    <row r="55" customFormat="false" ht="12.8" hidden="false" customHeight="false" outlineLevel="0" collapsed="false">
      <c r="A55" s="51" t="e">
        <f aca="false">_xlfn.CONCAT($A$1, ".", #REF!)</f>
        <v>#REF!</v>
      </c>
      <c r="B55" s="68" t="e">
        <f aca="false">_xlfn.CONCAT(#REF!, ":", #REF!)</f>
        <v>#REF!</v>
      </c>
      <c r="C55" s="88" t="e">
        <f aca="false">#REF!</f>
        <v>#REF!</v>
      </c>
      <c r="D55" s="88" t="e">
        <f aca="false">#REF!</f>
        <v>#REF!</v>
      </c>
      <c r="E55" s="88" t="e">
        <f aca="false">#REF!</f>
        <v>#REF!</v>
      </c>
      <c r="F55" s="88"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75" zoomScaleNormal="75" zoomScalePageLayoutView="100" workbookViewId="0">
      <selection pane="topLeft" activeCell="A255" activeCellId="0" sqref="A255"/>
    </sheetView>
  </sheetViews>
  <sheetFormatPr defaultColWidth="11.53515625" defaultRowHeight="12.8" customHeight="false" zeroHeight="false" outlineLevelRow="1" outlineLevelCol="0"/>
  <cols>
    <col collapsed="false" customWidth="true" hidden="false" outlineLevel="0" max="1" min="1" style="51" width="13.84"/>
    <col collapsed="false" customWidth="true" hidden="false" outlineLevel="0" max="2" min="2" style="84"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5913</v>
      </c>
      <c r="B1" s="85" t="s">
        <v>5922</v>
      </c>
      <c r="C1" s="6" t="s">
        <v>2</v>
      </c>
      <c r="D1" s="39" t="s">
        <v>5923</v>
      </c>
      <c r="AZ1" s="39"/>
      <c r="BP1" s="39"/>
    </row>
    <row r="2" customFormat="false" ht="35.05" hidden="false" customHeight="false" outlineLevel="0" collapsed="false">
      <c r="A2" s="86" t="s">
        <v>5902</v>
      </c>
      <c r="B2" s="87" t="s">
        <v>5903</v>
      </c>
      <c r="C2" s="69" t="str">
        <f aca="false">CALC!BV3</f>
        <v>Job Tenure Average (years)</v>
      </c>
      <c r="D2" s="69" t="str">
        <f aca="false">CALC!BW3</f>
        <v>Authorized Immigrant Job Tenure Average</v>
      </c>
      <c r="E2" s="69" t="str">
        <f aca="false">CALC!BX3</f>
        <v>Unauthorized Immigrant Job Tenure Average</v>
      </c>
      <c r="F2" s="69" t="str">
        <f aca="false">CALC!BY3</f>
        <v>American Job Tenure Average</v>
      </c>
    </row>
    <row r="3" customFormat="false" ht="12.8" hidden="false" customHeight="false" outlineLevel="0" collapsed="false">
      <c r="A3" s="51" t="e">
        <f aca="false">_xlfn.CONCAT($A$1, ".", #REF!)</f>
        <v>#REF!</v>
      </c>
      <c r="B3" s="68" t="e">
        <f aca="false">_xlfn.CONCAT(#REF!, ":", #REF!)</f>
        <v>#REF!</v>
      </c>
      <c r="C3" s="69" t="e">
        <f aca="false">#REF!</f>
        <v>#REF!</v>
      </c>
      <c r="D3" s="69" t="e">
        <f aca="false">#REF!</f>
        <v>#REF!</v>
      </c>
      <c r="E3" s="69" t="e">
        <f aca="false">#REF!</f>
        <v>#REF!</v>
      </c>
      <c r="F3" s="69" t="e">
        <f aca="false">#REF!</f>
        <v>#REF!</v>
      </c>
    </row>
    <row r="4" customFormat="false" ht="12.8" hidden="false" customHeight="false" outlineLevel="0" collapsed="false">
      <c r="A4" s="51" t="e">
        <f aca="false">_xlfn.CONCAT($A$1, ".", #REF!)</f>
        <v>#REF!</v>
      </c>
      <c r="B4" s="68" t="e">
        <f aca="false">_xlfn.CONCAT(#REF!, ":", #REF!)</f>
        <v>#REF!</v>
      </c>
      <c r="C4" s="69" t="e">
        <f aca="false">#REF!</f>
        <v>#REF!</v>
      </c>
      <c r="D4" s="69" t="e">
        <f aca="false">#REF!</f>
        <v>#REF!</v>
      </c>
      <c r="E4" s="69" t="e">
        <f aca="false">#REF!</f>
        <v>#REF!</v>
      </c>
      <c r="F4" s="69" t="e">
        <f aca="false">#REF!</f>
        <v>#REF!</v>
      </c>
    </row>
    <row r="5" customFormat="false" ht="12.8" hidden="false" customHeight="false" outlineLevel="0" collapsed="false">
      <c r="A5" s="51" t="e">
        <f aca="false">_xlfn.CONCAT($A$1, ".", #REF!)</f>
        <v>#REF!</v>
      </c>
      <c r="B5" s="68" t="e">
        <f aca="false">_xlfn.CONCAT(#REF!, ":", #REF!)</f>
        <v>#REF!</v>
      </c>
      <c r="C5" s="69" t="e">
        <f aca="false">#REF!</f>
        <v>#REF!</v>
      </c>
      <c r="D5" s="69" t="e">
        <f aca="false">#REF!</f>
        <v>#REF!</v>
      </c>
      <c r="E5" s="69" t="e">
        <f aca="false">#REF!</f>
        <v>#REF!</v>
      </c>
      <c r="F5" s="69" t="e">
        <f aca="false">#REF!</f>
        <v>#REF!</v>
      </c>
    </row>
    <row r="6" customFormat="false" ht="12.8" hidden="false" customHeight="false" outlineLevel="0" collapsed="false">
      <c r="A6" s="51" t="e">
        <f aca="false">_xlfn.CONCAT($A$1, ".", #REF!)</f>
        <v>#REF!</v>
      </c>
      <c r="B6" s="68" t="e">
        <f aca="false">_xlfn.CONCAT(#REF!, ":", #REF!)</f>
        <v>#REF!</v>
      </c>
      <c r="C6" s="69" t="e">
        <f aca="false">#REF!</f>
        <v>#REF!</v>
      </c>
      <c r="D6" s="69" t="e">
        <f aca="false">#REF!</f>
        <v>#REF!</v>
      </c>
      <c r="E6" s="69" t="e">
        <f aca="false">#REF!</f>
        <v>#REF!</v>
      </c>
      <c r="F6" s="69" t="e">
        <f aca="false">#REF!</f>
        <v>#REF!</v>
      </c>
    </row>
    <row r="7" customFormat="false" ht="12.8" hidden="false" customHeight="false" outlineLevel="0" collapsed="false">
      <c r="A7" s="51" t="e">
        <f aca="false">_xlfn.CONCAT($A$1, ".", #REF!)</f>
        <v>#REF!</v>
      </c>
      <c r="B7" s="68" t="e">
        <f aca="false">_xlfn.CONCAT(#REF!, ":", #REF!)</f>
        <v>#REF!</v>
      </c>
      <c r="C7" s="69" t="e">
        <f aca="false">#REF!</f>
        <v>#REF!</v>
      </c>
      <c r="D7" s="69" t="e">
        <f aca="false">#REF!</f>
        <v>#REF!</v>
      </c>
      <c r="E7" s="69" t="e">
        <f aca="false">#REF!</f>
        <v>#REF!</v>
      </c>
      <c r="F7" s="69" t="e">
        <f aca="false">#REF!</f>
        <v>#REF!</v>
      </c>
    </row>
    <row r="8" customFormat="false" ht="12.8" hidden="false" customHeight="false" outlineLevel="0" collapsed="false">
      <c r="A8" s="51" t="e">
        <f aca="false">_xlfn.CONCAT($A$1, ".", #REF!)</f>
        <v>#REF!</v>
      </c>
      <c r="B8" s="68" t="e">
        <f aca="false">_xlfn.CONCAT(#REF!, ":", #REF!)</f>
        <v>#REF!</v>
      </c>
      <c r="C8" s="69" t="e">
        <f aca="false">#REF!</f>
        <v>#REF!</v>
      </c>
      <c r="D8" s="69" t="e">
        <f aca="false">#REF!</f>
        <v>#REF!</v>
      </c>
      <c r="E8" s="69" t="e">
        <f aca="false">#REF!</f>
        <v>#REF!</v>
      </c>
      <c r="F8" s="69" t="e">
        <f aca="false">#REF!</f>
        <v>#REF!</v>
      </c>
    </row>
    <row r="9" customFormat="false" ht="12.8" hidden="false" customHeight="false" outlineLevel="0" collapsed="false">
      <c r="A9" s="51" t="e">
        <f aca="false">_xlfn.CONCAT($A$1, ".", #REF!)</f>
        <v>#REF!</v>
      </c>
      <c r="B9" s="68" t="e">
        <f aca="false">_xlfn.CONCAT(#REF!, ":", #REF!)</f>
        <v>#REF!</v>
      </c>
      <c r="C9" s="69" t="e">
        <f aca="false">#REF!</f>
        <v>#REF!</v>
      </c>
      <c r="D9" s="69" t="e">
        <f aca="false">#REF!</f>
        <v>#REF!</v>
      </c>
      <c r="E9" s="69" t="e">
        <f aca="false">#REF!</f>
        <v>#REF!</v>
      </c>
      <c r="F9" s="69" t="e">
        <f aca="false">#REF!</f>
        <v>#REF!</v>
      </c>
    </row>
    <row r="10" customFormat="false" ht="12.8" hidden="false" customHeight="false" outlineLevel="0" collapsed="false">
      <c r="A10" s="51" t="e">
        <f aca="false">_xlfn.CONCAT($A$1, ".", #REF!)</f>
        <v>#REF!</v>
      </c>
      <c r="B10" s="68" t="e">
        <f aca="false">_xlfn.CONCAT(#REF!, ":", #REF!)</f>
        <v>#REF!</v>
      </c>
      <c r="C10" s="69" t="e">
        <f aca="false">#REF!</f>
        <v>#REF!</v>
      </c>
      <c r="D10" s="69" t="e">
        <f aca="false">#REF!</f>
        <v>#REF!</v>
      </c>
      <c r="E10" s="69" t="e">
        <f aca="false">#REF!</f>
        <v>#REF!</v>
      </c>
      <c r="F10" s="69" t="e">
        <f aca="false">#REF!</f>
        <v>#REF!</v>
      </c>
    </row>
    <row r="11" customFormat="false" ht="12.8" hidden="false" customHeight="false" outlineLevel="0" collapsed="false">
      <c r="A11" s="51" t="e">
        <f aca="false">_xlfn.CONCAT($A$1, ".", #REF!)</f>
        <v>#REF!</v>
      </c>
      <c r="B11" s="68" t="e">
        <f aca="false">_xlfn.CONCAT(#REF!, ":", #REF!)</f>
        <v>#REF!</v>
      </c>
      <c r="C11" s="69" t="e">
        <f aca="false">#REF!</f>
        <v>#REF!</v>
      </c>
      <c r="D11" s="69" t="e">
        <f aca="false">#REF!</f>
        <v>#REF!</v>
      </c>
      <c r="E11" s="69" t="e">
        <f aca="false">#REF!</f>
        <v>#REF!</v>
      </c>
      <c r="F11" s="69" t="e">
        <f aca="false">#REF!</f>
        <v>#REF!</v>
      </c>
    </row>
    <row r="12" customFormat="false" ht="12.8" hidden="false" customHeight="false" outlineLevel="0" collapsed="false">
      <c r="A12" s="51" t="e">
        <f aca="false">_xlfn.CONCAT($A$1, ".", #REF!)</f>
        <v>#REF!</v>
      </c>
      <c r="B12" s="68" t="e">
        <f aca="false">_xlfn.CONCAT(#REF!, ":", #REF!)</f>
        <v>#REF!</v>
      </c>
      <c r="C12" s="69" t="e">
        <f aca="false">#REF!</f>
        <v>#REF!</v>
      </c>
      <c r="D12" s="69" t="e">
        <f aca="false">#REF!</f>
        <v>#REF!</v>
      </c>
      <c r="E12" s="69" t="e">
        <f aca="false">#REF!</f>
        <v>#REF!</v>
      </c>
      <c r="F12" s="69" t="e">
        <f aca="false">#REF!</f>
        <v>#REF!</v>
      </c>
    </row>
    <row r="13" customFormat="false" ht="12.8" hidden="false" customHeight="false" outlineLevel="0" collapsed="false">
      <c r="A13" s="51" t="e">
        <f aca="false">_xlfn.CONCAT($A$1, ".", #REF!)</f>
        <v>#REF!</v>
      </c>
      <c r="B13" s="68" t="e">
        <f aca="false">_xlfn.CONCAT(#REF!, ":", #REF!)</f>
        <v>#REF!</v>
      </c>
      <c r="C13" s="69" t="e">
        <f aca="false">#REF!</f>
        <v>#REF!</v>
      </c>
      <c r="D13" s="69" t="e">
        <f aca="false">#REF!</f>
        <v>#REF!</v>
      </c>
      <c r="E13" s="69" t="e">
        <f aca="false">#REF!</f>
        <v>#REF!</v>
      </c>
      <c r="F13" s="69" t="e">
        <f aca="false">#REF!</f>
        <v>#REF!</v>
      </c>
    </row>
    <row r="14" customFormat="false" ht="12.8" hidden="false" customHeight="false" outlineLevel="0" collapsed="false">
      <c r="A14" s="51" t="e">
        <f aca="false">_xlfn.CONCAT($A$1, ".", #REF!)</f>
        <v>#REF!</v>
      </c>
      <c r="B14" s="68" t="e">
        <f aca="false">_xlfn.CONCAT(#REF!, ":", #REF!)</f>
        <v>#REF!</v>
      </c>
      <c r="C14" s="69" t="e">
        <f aca="false">#REF!</f>
        <v>#REF!</v>
      </c>
      <c r="D14" s="69" t="e">
        <f aca="false">#REF!</f>
        <v>#REF!</v>
      </c>
      <c r="E14" s="69" t="e">
        <f aca="false">#REF!</f>
        <v>#REF!</v>
      </c>
      <c r="F14" s="69" t="e">
        <f aca="false">#REF!</f>
        <v>#REF!</v>
      </c>
    </row>
    <row r="15" customFormat="false" ht="12.8" hidden="false" customHeight="false" outlineLevel="0" collapsed="false">
      <c r="A15" s="51" t="e">
        <f aca="false">_xlfn.CONCAT($A$1, ".", #REF!)</f>
        <v>#REF!</v>
      </c>
      <c r="B15" s="68" t="e">
        <f aca="false">_xlfn.CONCAT(#REF!, ":", #REF!)</f>
        <v>#REF!</v>
      </c>
      <c r="C15" s="69" t="e">
        <f aca="false">#REF!</f>
        <v>#REF!</v>
      </c>
      <c r="D15" s="69" t="e">
        <f aca="false">#REF!</f>
        <v>#REF!</v>
      </c>
      <c r="E15" s="69" t="e">
        <f aca="false">#REF!</f>
        <v>#REF!</v>
      </c>
      <c r="F15" s="69" t="e">
        <f aca="false">#REF!</f>
        <v>#REF!</v>
      </c>
    </row>
    <row r="16" customFormat="false" ht="12.8" hidden="false" customHeight="false" outlineLevel="0" collapsed="false">
      <c r="A16" s="51" t="e">
        <f aca="false">_xlfn.CONCAT($A$1, ".", #REF!)</f>
        <v>#REF!</v>
      </c>
      <c r="B16" s="68" t="e">
        <f aca="false">_xlfn.CONCAT(#REF!, ":", #REF!)</f>
        <v>#REF!</v>
      </c>
      <c r="C16" s="69" t="e">
        <f aca="false">#REF!</f>
        <v>#REF!</v>
      </c>
      <c r="D16" s="69" t="e">
        <f aca="false">#REF!</f>
        <v>#REF!</v>
      </c>
      <c r="E16" s="69" t="e">
        <f aca="false">#REF!</f>
        <v>#REF!</v>
      </c>
      <c r="F16" s="69" t="e">
        <f aca="false">#REF!</f>
        <v>#REF!</v>
      </c>
    </row>
    <row r="17" customFormat="false" ht="12.8" hidden="false" customHeight="false" outlineLevel="0" collapsed="false">
      <c r="A17" s="51" t="e">
        <f aca="false">_xlfn.CONCAT($A$1, ".", #REF!)</f>
        <v>#REF!</v>
      </c>
      <c r="B17" s="68" t="e">
        <f aca="false">_xlfn.CONCAT(#REF!, ":", #REF!)</f>
        <v>#REF!</v>
      </c>
      <c r="C17" s="69" t="e">
        <f aca="false">#REF!</f>
        <v>#REF!</v>
      </c>
      <c r="D17" s="69" t="e">
        <f aca="false">#REF!</f>
        <v>#REF!</v>
      </c>
      <c r="E17" s="69" t="e">
        <f aca="false">#REF!</f>
        <v>#REF!</v>
      </c>
      <c r="F17" s="69" t="e">
        <f aca="false">#REF!</f>
        <v>#REF!</v>
      </c>
    </row>
    <row r="18" customFormat="false" ht="12.8" hidden="false" customHeight="false" outlineLevel="0" collapsed="false">
      <c r="A18" s="51" t="e">
        <f aca="false">_xlfn.CONCAT($A$1, ".", #REF!)</f>
        <v>#REF!</v>
      </c>
      <c r="B18" s="68" t="e">
        <f aca="false">_xlfn.CONCAT(#REF!, ":", #REF!)</f>
        <v>#REF!</v>
      </c>
      <c r="C18" s="69" t="e">
        <f aca="false">#REF!</f>
        <v>#REF!</v>
      </c>
      <c r="D18" s="69" t="e">
        <f aca="false">#REF!</f>
        <v>#REF!</v>
      </c>
      <c r="E18" s="69" t="e">
        <f aca="false">#REF!</f>
        <v>#REF!</v>
      </c>
      <c r="F18" s="69" t="e">
        <f aca="false">#REF!</f>
        <v>#REF!</v>
      </c>
    </row>
    <row r="19" customFormat="false" ht="12.8" hidden="false" customHeight="false" outlineLevel="0" collapsed="false">
      <c r="A19" s="51" t="e">
        <f aca="false">_xlfn.CONCAT($A$1, ".", #REF!)</f>
        <v>#REF!</v>
      </c>
      <c r="B19" s="68" t="e">
        <f aca="false">_xlfn.CONCAT(#REF!, ":", #REF!)</f>
        <v>#REF!</v>
      </c>
      <c r="C19" s="69" t="e">
        <f aca="false">#REF!</f>
        <v>#REF!</v>
      </c>
      <c r="D19" s="69" t="e">
        <f aca="false">#REF!</f>
        <v>#REF!</v>
      </c>
      <c r="E19" s="69" t="e">
        <f aca="false">#REF!</f>
        <v>#REF!</v>
      </c>
      <c r="F19" s="69" t="e">
        <f aca="false">#REF!</f>
        <v>#REF!</v>
      </c>
    </row>
    <row r="20" customFormat="false" ht="12.8" hidden="false" customHeight="false" outlineLevel="0" collapsed="false">
      <c r="A20" s="51" t="e">
        <f aca="false">_xlfn.CONCAT($A$1, ".", #REF!)</f>
        <v>#REF!</v>
      </c>
      <c r="B20" s="68" t="e">
        <f aca="false">_xlfn.CONCAT(#REF!, ":", #REF!)</f>
        <v>#REF!</v>
      </c>
      <c r="C20" s="69" t="e">
        <f aca="false">#REF!</f>
        <v>#REF!</v>
      </c>
      <c r="D20" s="69" t="e">
        <f aca="false">#REF!</f>
        <v>#REF!</v>
      </c>
      <c r="E20" s="69" t="e">
        <f aca="false">#REF!</f>
        <v>#REF!</v>
      </c>
      <c r="F20" s="69" t="e">
        <f aca="false">#REF!</f>
        <v>#REF!</v>
      </c>
    </row>
    <row r="21" customFormat="false" ht="12.8" hidden="false" customHeight="false" outlineLevel="0" collapsed="false">
      <c r="A21" s="51" t="e">
        <f aca="false">_xlfn.CONCAT($A$1, ".", #REF!)</f>
        <v>#REF!</v>
      </c>
      <c r="B21" s="68" t="e">
        <f aca="false">_xlfn.CONCAT(#REF!, ":", #REF!)</f>
        <v>#REF!</v>
      </c>
      <c r="C21" s="69" t="e">
        <f aca="false">#REF!</f>
        <v>#REF!</v>
      </c>
      <c r="D21" s="69" t="e">
        <f aca="false">#REF!</f>
        <v>#REF!</v>
      </c>
      <c r="E21" s="69" t="e">
        <f aca="false">#REF!</f>
        <v>#REF!</v>
      </c>
      <c r="F21" s="69" t="e">
        <f aca="false">#REF!</f>
        <v>#REF!</v>
      </c>
    </row>
    <row r="22" customFormat="false" ht="12.8" hidden="false" customHeight="false" outlineLevel="0" collapsed="false">
      <c r="A22" s="51" t="e">
        <f aca="false">_xlfn.CONCAT($A$1, ".", #REF!)</f>
        <v>#REF!</v>
      </c>
      <c r="B22" s="68" t="e">
        <f aca="false">_xlfn.CONCAT(#REF!, ":", #REF!)</f>
        <v>#REF!</v>
      </c>
      <c r="C22" s="69" t="e">
        <f aca="false">#REF!</f>
        <v>#REF!</v>
      </c>
      <c r="D22" s="69" t="e">
        <f aca="false">#REF!</f>
        <v>#REF!</v>
      </c>
      <c r="E22" s="69" t="e">
        <f aca="false">#REF!</f>
        <v>#REF!</v>
      </c>
      <c r="F22" s="69" t="e">
        <f aca="false">#REF!</f>
        <v>#REF!</v>
      </c>
    </row>
    <row r="23" customFormat="false" ht="12.8" hidden="false" customHeight="false" outlineLevel="0" collapsed="false">
      <c r="A23" s="51" t="e">
        <f aca="false">_xlfn.CONCAT($A$1, ".", #REF!)</f>
        <v>#REF!</v>
      </c>
      <c r="B23" s="68" t="e">
        <f aca="false">_xlfn.CONCAT(#REF!, ":", #REF!)</f>
        <v>#REF!</v>
      </c>
      <c r="C23" s="69" t="e">
        <f aca="false">#REF!</f>
        <v>#REF!</v>
      </c>
      <c r="D23" s="69" t="e">
        <f aca="false">#REF!</f>
        <v>#REF!</v>
      </c>
      <c r="E23" s="69" t="e">
        <f aca="false">#REF!</f>
        <v>#REF!</v>
      </c>
      <c r="F23" s="69" t="e">
        <f aca="false">#REF!</f>
        <v>#REF!</v>
      </c>
    </row>
    <row r="24" customFormat="false" ht="12.8" hidden="false" customHeight="false" outlineLevel="0" collapsed="false">
      <c r="A24" s="51" t="e">
        <f aca="false">_xlfn.CONCAT($A$1, ".", #REF!)</f>
        <v>#REF!</v>
      </c>
      <c r="B24" s="68" t="e">
        <f aca="false">_xlfn.CONCAT(#REF!, ":", #REF!)</f>
        <v>#REF!</v>
      </c>
      <c r="C24" s="69" t="e">
        <f aca="false">#REF!</f>
        <v>#REF!</v>
      </c>
      <c r="D24" s="69" t="e">
        <f aca="false">#REF!</f>
        <v>#REF!</v>
      </c>
      <c r="E24" s="69" t="e">
        <f aca="false">#REF!</f>
        <v>#REF!</v>
      </c>
      <c r="F24" s="69" t="e">
        <f aca="false">#REF!</f>
        <v>#REF!</v>
      </c>
    </row>
    <row r="25" customFormat="false" ht="12.8" hidden="false" customHeight="false" outlineLevel="0" collapsed="false">
      <c r="A25" s="51" t="e">
        <f aca="false">_xlfn.CONCAT($A$1, ".", #REF!)</f>
        <v>#REF!</v>
      </c>
      <c r="B25" s="68" t="e">
        <f aca="false">_xlfn.CONCAT(#REF!, ":", #REF!)</f>
        <v>#REF!</v>
      </c>
      <c r="C25" s="69" t="e">
        <f aca="false">#REF!</f>
        <v>#REF!</v>
      </c>
      <c r="D25" s="69" t="e">
        <f aca="false">#REF!</f>
        <v>#REF!</v>
      </c>
      <c r="E25" s="69" t="e">
        <f aca="false">#REF!</f>
        <v>#REF!</v>
      </c>
      <c r="F25" s="69" t="e">
        <f aca="false">#REF!</f>
        <v>#REF!</v>
      </c>
    </row>
    <row r="26" customFormat="false" ht="12.8" hidden="false" customHeight="false" outlineLevel="0" collapsed="false">
      <c r="A26" s="51" t="e">
        <f aca="false">_xlfn.CONCAT($A$1, ".", #REF!)</f>
        <v>#REF!</v>
      </c>
      <c r="B26" s="68" t="e">
        <f aca="false">_xlfn.CONCAT(#REF!, ":", #REF!)</f>
        <v>#REF!</v>
      </c>
      <c r="C26" s="69" t="e">
        <f aca="false">#REF!</f>
        <v>#REF!</v>
      </c>
      <c r="D26" s="69" t="e">
        <f aca="false">#REF!</f>
        <v>#REF!</v>
      </c>
      <c r="E26" s="69" t="e">
        <f aca="false">#REF!</f>
        <v>#REF!</v>
      </c>
      <c r="F26" s="69" t="e">
        <f aca="false">#REF!</f>
        <v>#REF!</v>
      </c>
    </row>
    <row r="27" customFormat="false" ht="12.8" hidden="false" customHeight="false" outlineLevel="0" collapsed="false">
      <c r="A27" s="51" t="e">
        <f aca="false">_xlfn.CONCAT($A$1, ".", #REF!)</f>
        <v>#REF!</v>
      </c>
      <c r="B27" s="68" t="e">
        <f aca="false">_xlfn.CONCAT(#REF!, ":", #REF!)</f>
        <v>#REF!</v>
      </c>
      <c r="C27" s="69" t="e">
        <f aca="false">#REF!</f>
        <v>#REF!</v>
      </c>
      <c r="D27" s="69" t="e">
        <f aca="false">#REF!</f>
        <v>#REF!</v>
      </c>
      <c r="E27" s="69" t="e">
        <f aca="false">#REF!</f>
        <v>#REF!</v>
      </c>
      <c r="F27" s="69" t="e">
        <f aca="false">#REF!</f>
        <v>#REF!</v>
      </c>
    </row>
    <row r="28" customFormat="false" ht="12.8" hidden="false" customHeight="false" outlineLevel="0" collapsed="false">
      <c r="A28" s="51" t="e">
        <f aca="false">_xlfn.CONCAT($A$1, ".", #REF!)</f>
        <v>#REF!</v>
      </c>
      <c r="B28" s="68" t="e">
        <f aca="false">_xlfn.CONCAT(#REF!, ":", #REF!)</f>
        <v>#REF!</v>
      </c>
      <c r="C28" s="69" t="e">
        <f aca="false">#REF!</f>
        <v>#REF!</v>
      </c>
      <c r="D28" s="69" t="e">
        <f aca="false">#REF!</f>
        <v>#REF!</v>
      </c>
      <c r="E28" s="69" t="e">
        <f aca="false">#REF!</f>
        <v>#REF!</v>
      </c>
      <c r="F28" s="69" t="e">
        <f aca="false">#REF!</f>
        <v>#REF!</v>
      </c>
    </row>
    <row r="29" customFormat="false" ht="12.8" hidden="false" customHeight="false" outlineLevel="0" collapsed="false">
      <c r="A29" s="51" t="e">
        <f aca="false">_xlfn.CONCAT($A$1, ".", #REF!)</f>
        <v>#REF!</v>
      </c>
      <c r="B29" s="68" t="e">
        <f aca="false">_xlfn.CONCAT(#REF!, ":", #REF!)</f>
        <v>#REF!</v>
      </c>
      <c r="C29" s="69" t="e">
        <f aca="false">#REF!</f>
        <v>#REF!</v>
      </c>
      <c r="D29" s="69" t="e">
        <f aca="false">#REF!</f>
        <v>#REF!</v>
      </c>
      <c r="E29" s="69" t="e">
        <f aca="false">#REF!</f>
        <v>#REF!</v>
      </c>
      <c r="F29" s="69" t="e">
        <f aca="false">#REF!</f>
        <v>#REF!</v>
      </c>
    </row>
    <row r="30" customFormat="false" ht="12.8" hidden="false" customHeight="false" outlineLevel="0" collapsed="false">
      <c r="A30" s="51" t="e">
        <f aca="false">_xlfn.CONCAT($A$1, ".", #REF!)</f>
        <v>#REF!</v>
      </c>
      <c r="B30" s="68" t="e">
        <f aca="false">_xlfn.CONCAT(#REF!, ":", #REF!)</f>
        <v>#REF!</v>
      </c>
      <c r="C30" s="69" t="e">
        <f aca="false">#REF!</f>
        <v>#REF!</v>
      </c>
      <c r="D30" s="69" t="e">
        <f aca="false">#REF!</f>
        <v>#REF!</v>
      </c>
      <c r="E30" s="69" t="e">
        <f aca="false">#REF!</f>
        <v>#REF!</v>
      </c>
      <c r="F30" s="69" t="e">
        <f aca="false">#REF!</f>
        <v>#REF!</v>
      </c>
    </row>
    <row r="31" customFormat="false" ht="12.8" hidden="false" customHeight="false" outlineLevel="0" collapsed="false">
      <c r="A31" s="51" t="e">
        <f aca="false">_xlfn.CONCAT($A$1, ".", #REF!)</f>
        <v>#REF!</v>
      </c>
      <c r="B31" s="68" t="e">
        <f aca="false">_xlfn.CONCAT(#REF!, ":", #REF!)</f>
        <v>#REF!</v>
      </c>
      <c r="C31" s="69" t="e">
        <f aca="false">#REF!</f>
        <v>#REF!</v>
      </c>
      <c r="D31" s="69" t="e">
        <f aca="false">#REF!</f>
        <v>#REF!</v>
      </c>
      <c r="E31" s="69" t="e">
        <f aca="false">#REF!</f>
        <v>#REF!</v>
      </c>
      <c r="F31" s="69" t="e">
        <f aca="false">#REF!</f>
        <v>#REF!</v>
      </c>
    </row>
    <row r="32" customFormat="false" ht="12.8" hidden="false" customHeight="false" outlineLevel="0" collapsed="false">
      <c r="A32" s="51" t="e">
        <f aca="false">_xlfn.CONCAT($A$1, ".", #REF!)</f>
        <v>#REF!</v>
      </c>
      <c r="B32" s="68" t="e">
        <f aca="false">_xlfn.CONCAT(#REF!, ":", #REF!)</f>
        <v>#REF!</v>
      </c>
      <c r="C32" s="69" t="e">
        <f aca="false">#REF!</f>
        <v>#REF!</v>
      </c>
      <c r="D32" s="69" t="e">
        <f aca="false">#REF!</f>
        <v>#REF!</v>
      </c>
      <c r="E32" s="69" t="e">
        <f aca="false">#REF!</f>
        <v>#REF!</v>
      </c>
      <c r="F32" s="69" t="e">
        <f aca="false">#REF!</f>
        <v>#REF!</v>
      </c>
    </row>
    <row r="33" customFormat="false" ht="12.8" hidden="false" customHeight="false" outlineLevel="0" collapsed="false">
      <c r="A33" s="51" t="e">
        <f aca="false">_xlfn.CONCAT($A$1, ".", #REF!)</f>
        <v>#REF!</v>
      </c>
      <c r="B33" s="68" t="e">
        <f aca="false">_xlfn.CONCAT(#REF!, ":", #REF!)</f>
        <v>#REF!</v>
      </c>
      <c r="C33" s="69" t="e">
        <f aca="false">#REF!</f>
        <v>#REF!</v>
      </c>
      <c r="D33" s="69" t="e">
        <f aca="false">#REF!</f>
        <v>#REF!</v>
      </c>
      <c r="E33" s="69" t="e">
        <f aca="false">#REF!</f>
        <v>#REF!</v>
      </c>
      <c r="F33" s="69" t="e">
        <f aca="false">#REF!</f>
        <v>#REF!</v>
      </c>
    </row>
    <row r="34" customFormat="false" ht="12.8" hidden="false" customHeight="false" outlineLevel="0" collapsed="false">
      <c r="A34" s="51" t="e">
        <f aca="false">_xlfn.CONCAT($A$1, ".", #REF!)</f>
        <v>#REF!</v>
      </c>
      <c r="B34" s="68" t="e">
        <f aca="false">_xlfn.CONCAT(#REF!, ":", #REF!)</f>
        <v>#REF!</v>
      </c>
      <c r="C34" s="69" t="e">
        <f aca="false">#REF!</f>
        <v>#REF!</v>
      </c>
      <c r="D34" s="69" t="e">
        <f aca="false">#REF!</f>
        <v>#REF!</v>
      </c>
      <c r="E34" s="69" t="e">
        <f aca="false">#REF!</f>
        <v>#REF!</v>
      </c>
      <c r="F34" s="69" t="e">
        <f aca="false">#REF!</f>
        <v>#REF!</v>
      </c>
    </row>
    <row r="35" customFormat="false" ht="12.8" hidden="false" customHeight="false" outlineLevel="0" collapsed="false">
      <c r="A35" s="51" t="e">
        <f aca="false">_xlfn.CONCAT($A$1, ".", #REF!)</f>
        <v>#REF!</v>
      </c>
      <c r="B35" s="68" t="e">
        <f aca="false">_xlfn.CONCAT(#REF!, ":", #REF!)</f>
        <v>#REF!</v>
      </c>
      <c r="C35" s="69" t="e">
        <f aca="false">#REF!</f>
        <v>#REF!</v>
      </c>
      <c r="D35" s="69" t="e">
        <f aca="false">#REF!</f>
        <v>#REF!</v>
      </c>
      <c r="E35" s="69" t="e">
        <f aca="false">#REF!</f>
        <v>#REF!</v>
      </c>
      <c r="F35" s="69" t="e">
        <f aca="false">#REF!</f>
        <v>#REF!</v>
      </c>
    </row>
    <row r="36" customFormat="false" ht="12.8" hidden="false" customHeight="false" outlineLevel="0" collapsed="false">
      <c r="A36" s="51" t="e">
        <f aca="false">_xlfn.CONCAT($A$1, ".", #REF!)</f>
        <v>#REF!</v>
      </c>
      <c r="B36" s="68" t="e">
        <f aca="false">_xlfn.CONCAT(#REF!, ":", #REF!)</f>
        <v>#REF!</v>
      </c>
      <c r="C36" s="69" t="e">
        <f aca="false">#REF!</f>
        <v>#REF!</v>
      </c>
      <c r="D36" s="69" t="e">
        <f aca="false">#REF!</f>
        <v>#REF!</v>
      </c>
      <c r="E36" s="69" t="e">
        <f aca="false">#REF!</f>
        <v>#REF!</v>
      </c>
      <c r="F36" s="69" t="e">
        <f aca="false">#REF!</f>
        <v>#REF!</v>
      </c>
    </row>
    <row r="37" customFormat="false" ht="12.8" hidden="false" customHeight="false" outlineLevel="0" collapsed="false">
      <c r="A37" s="51" t="e">
        <f aca="false">_xlfn.CONCAT($A$1, ".", #REF!)</f>
        <v>#REF!</v>
      </c>
      <c r="B37" s="68" t="e">
        <f aca="false">_xlfn.CONCAT(#REF!, ":", #REF!)</f>
        <v>#REF!</v>
      </c>
      <c r="C37" s="69" t="e">
        <f aca="false">#REF!</f>
        <v>#REF!</v>
      </c>
      <c r="D37" s="69" t="e">
        <f aca="false">#REF!</f>
        <v>#REF!</v>
      </c>
      <c r="E37" s="69" t="e">
        <f aca="false">#REF!</f>
        <v>#REF!</v>
      </c>
      <c r="F37" s="69" t="e">
        <f aca="false">#REF!</f>
        <v>#REF!</v>
      </c>
    </row>
    <row r="38" customFormat="false" ht="12.8" hidden="false" customHeight="false" outlineLevel="0" collapsed="false">
      <c r="A38" s="51" t="e">
        <f aca="false">_xlfn.CONCAT($A$1, ".", #REF!)</f>
        <v>#REF!</v>
      </c>
      <c r="B38" s="68" t="e">
        <f aca="false">_xlfn.CONCAT(#REF!, ":", #REF!)</f>
        <v>#REF!</v>
      </c>
      <c r="C38" s="69" t="e">
        <f aca="false">#REF!</f>
        <v>#REF!</v>
      </c>
      <c r="D38" s="69" t="e">
        <f aca="false">#REF!</f>
        <v>#REF!</v>
      </c>
      <c r="E38" s="69" t="e">
        <f aca="false">#REF!</f>
        <v>#REF!</v>
      </c>
      <c r="F38" s="69" t="e">
        <f aca="false">#REF!</f>
        <v>#REF!</v>
      </c>
    </row>
    <row r="39" customFormat="false" ht="12.8" hidden="false" customHeight="false" outlineLevel="0" collapsed="false">
      <c r="A39" s="51" t="e">
        <f aca="false">_xlfn.CONCAT($A$1, ".", #REF!)</f>
        <v>#REF!</v>
      </c>
      <c r="B39" s="68" t="e">
        <f aca="false">_xlfn.CONCAT(#REF!, ":", #REF!)</f>
        <v>#REF!</v>
      </c>
      <c r="C39" s="69" t="e">
        <f aca="false">#REF!</f>
        <v>#REF!</v>
      </c>
      <c r="D39" s="69" t="e">
        <f aca="false">#REF!</f>
        <v>#REF!</v>
      </c>
      <c r="E39" s="69" t="e">
        <f aca="false">#REF!</f>
        <v>#REF!</v>
      </c>
      <c r="F39" s="69" t="e">
        <f aca="false">#REF!</f>
        <v>#REF!</v>
      </c>
    </row>
    <row r="40" customFormat="false" ht="12.8" hidden="false" customHeight="false" outlineLevel="0" collapsed="false">
      <c r="A40" s="51" t="e">
        <f aca="false">_xlfn.CONCAT($A$1, ".", #REF!)</f>
        <v>#REF!</v>
      </c>
      <c r="B40" s="68" t="e">
        <f aca="false">_xlfn.CONCAT(#REF!, ":", #REF!)</f>
        <v>#REF!</v>
      </c>
      <c r="C40" s="69" t="e">
        <f aca="false">#REF!</f>
        <v>#REF!</v>
      </c>
      <c r="D40" s="69" t="e">
        <f aca="false">#REF!</f>
        <v>#REF!</v>
      </c>
      <c r="E40" s="69" t="e">
        <f aca="false">#REF!</f>
        <v>#REF!</v>
      </c>
      <c r="F40" s="69" t="e">
        <f aca="false">#REF!</f>
        <v>#REF!</v>
      </c>
    </row>
    <row r="41" customFormat="false" ht="12.8" hidden="false" customHeight="false" outlineLevel="0" collapsed="false">
      <c r="A41" s="51" t="e">
        <f aca="false">_xlfn.CONCAT($A$1, ".", #REF!)</f>
        <v>#REF!</v>
      </c>
      <c r="B41" s="68" t="e">
        <f aca="false">_xlfn.CONCAT(#REF!, ":", #REF!)</f>
        <v>#REF!</v>
      </c>
      <c r="C41" s="69" t="e">
        <f aca="false">#REF!</f>
        <v>#REF!</v>
      </c>
      <c r="D41" s="69" t="e">
        <f aca="false">#REF!</f>
        <v>#REF!</v>
      </c>
      <c r="E41" s="69" t="e">
        <f aca="false">#REF!</f>
        <v>#REF!</v>
      </c>
      <c r="F41" s="69" t="e">
        <f aca="false">#REF!</f>
        <v>#REF!</v>
      </c>
    </row>
    <row r="42" customFormat="false" ht="12.8" hidden="false" customHeight="false" outlineLevel="0" collapsed="false">
      <c r="A42" s="51" t="e">
        <f aca="false">_xlfn.CONCAT($A$1, ".", #REF!)</f>
        <v>#REF!</v>
      </c>
      <c r="B42" s="68" t="e">
        <f aca="false">_xlfn.CONCAT(#REF!, ":", #REF!)</f>
        <v>#REF!</v>
      </c>
      <c r="C42" s="69" t="e">
        <f aca="false">#REF!</f>
        <v>#REF!</v>
      </c>
      <c r="D42" s="69" t="e">
        <f aca="false">#REF!</f>
        <v>#REF!</v>
      </c>
      <c r="E42" s="69" t="e">
        <f aca="false">#REF!</f>
        <v>#REF!</v>
      </c>
      <c r="F42" s="69" t="e">
        <f aca="false">#REF!</f>
        <v>#REF!</v>
      </c>
    </row>
    <row r="43" customFormat="false" ht="12.8" hidden="false" customHeight="false" outlineLevel="0" collapsed="false">
      <c r="A43" s="51" t="e">
        <f aca="false">_xlfn.CONCAT($A$1, ".", #REF!)</f>
        <v>#REF!</v>
      </c>
      <c r="B43" s="68" t="e">
        <f aca="false">_xlfn.CONCAT(#REF!, ":", #REF!)</f>
        <v>#REF!</v>
      </c>
      <c r="C43" s="69" t="e">
        <f aca="false">#REF!</f>
        <v>#REF!</v>
      </c>
      <c r="D43" s="69" t="e">
        <f aca="false">#REF!</f>
        <v>#REF!</v>
      </c>
      <c r="E43" s="69" t="e">
        <f aca="false">#REF!</f>
        <v>#REF!</v>
      </c>
      <c r="F43" s="69" t="e">
        <f aca="false">#REF!</f>
        <v>#REF!</v>
      </c>
    </row>
    <row r="44" customFormat="false" ht="12.8" hidden="false" customHeight="false" outlineLevel="0" collapsed="false">
      <c r="A44" s="51" t="e">
        <f aca="false">_xlfn.CONCAT($A$1, ".", #REF!)</f>
        <v>#REF!</v>
      </c>
      <c r="B44" s="68" t="e">
        <f aca="false">_xlfn.CONCAT(#REF!, ":", #REF!)</f>
        <v>#REF!</v>
      </c>
      <c r="C44" s="69" t="e">
        <f aca="false">#REF!</f>
        <v>#REF!</v>
      </c>
      <c r="D44" s="69" t="e">
        <f aca="false">#REF!</f>
        <v>#REF!</v>
      </c>
      <c r="E44" s="69" t="e">
        <f aca="false">#REF!</f>
        <v>#REF!</v>
      </c>
      <c r="F44" s="69" t="e">
        <f aca="false">#REF!</f>
        <v>#REF!</v>
      </c>
    </row>
    <row r="45" customFormat="false" ht="12.8" hidden="false" customHeight="false" outlineLevel="0" collapsed="false">
      <c r="A45" s="51" t="e">
        <f aca="false">_xlfn.CONCAT($A$1, ".", #REF!)</f>
        <v>#REF!</v>
      </c>
      <c r="B45" s="68" t="e">
        <f aca="false">_xlfn.CONCAT(#REF!, ":", #REF!)</f>
        <v>#REF!</v>
      </c>
      <c r="C45" s="69" t="e">
        <f aca="false">#REF!</f>
        <v>#REF!</v>
      </c>
      <c r="D45" s="69" t="e">
        <f aca="false">#REF!</f>
        <v>#REF!</v>
      </c>
      <c r="E45" s="69" t="e">
        <f aca="false">#REF!</f>
        <v>#REF!</v>
      </c>
      <c r="F45" s="69" t="e">
        <f aca="false">#REF!</f>
        <v>#REF!</v>
      </c>
    </row>
    <row r="46" customFormat="false" ht="12.8" hidden="false" customHeight="false" outlineLevel="0" collapsed="false">
      <c r="A46" s="51" t="e">
        <f aca="false">_xlfn.CONCAT($A$1, ".", #REF!)</f>
        <v>#REF!</v>
      </c>
      <c r="B46" s="68" t="e">
        <f aca="false">_xlfn.CONCAT(#REF!, ":", #REF!)</f>
        <v>#REF!</v>
      </c>
      <c r="C46" s="69" t="e">
        <f aca="false">#REF!</f>
        <v>#REF!</v>
      </c>
      <c r="D46" s="69" t="e">
        <f aca="false">#REF!</f>
        <v>#REF!</v>
      </c>
      <c r="E46" s="69" t="e">
        <f aca="false">#REF!</f>
        <v>#REF!</v>
      </c>
      <c r="F46" s="69" t="e">
        <f aca="false">#REF!</f>
        <v>#REF!</v>
      </c>
    </row>
    <row r="47" customFormat="false" ht="12.8" hidden="false" customHeight="false" outlineLevel="0" collapsed="false">
      <c r="A47" s="51" t="e">
        <f aca="false">_xlfn.CONCAT($A$1, ".", #REF!)</f>
        <v>#REF!</v>
      </c>
      <c r="B47" s="68" t="e">
        <f aca="false">_xlfn.CONCAT(#REF!, ":", #REF!)</f>
        <v>#REF!</v>
      </c>
      <c r="C47" s="69" t="e">
        <f aca="false">#REF!</f>
        <v>#REF!</v>
      </c>
      <c r="D47" s="69" t="e">
        <f aca="false">#REF!</f>
        <v>#REF!</v>
      </c>
      <c r="E47" s="69" t="e">
        <f aca="false">#REF!</f>
        <v>#REF!</v>
      </c>
      <c r="F47" s="69" t="e">
        <f aca="false">#REF!</f>
        <v>#REF!</v>
      </c>
    </row>
    <row r="48" customFormat="false" ht="12.8" hidden="false" customHeight="false" outlineLevel="0" collapsed="false">
      <c r="A48" s="51" t="e">
        <f aca="false">_xlfn.CONCAT($A$1, ".", #REF!)</f>
        <v>#REF!</v>
      </c>
      <c r="B48" s="68" t="e">
        <f aca="false">_xlfn.CONCAT(#REF!, ":", #REF!)</f>
        <v>#REF!</v>
      </c>
      <c r="C48" s="69" t="e">
        <f aca="false">#REF!</f>
        <v>#REF!</v>
      </c>
      <c r="D48" s="69" t="e">
        <f aca="false">#REF!</f>
        <v>#REF!</v>
      </c>
      <c r="E48" s="69" t="e">
        <f aca="false">#REF!</f>
        <v>#REF!</v>
      </c>
      <c r="F48" s="69" t="e">
        <f aca="false">#REF!</f>
        <v>#REF!</v>
      </c>
    </row>
    <row r="49" customFormat="false" ht="12.8" hidden="false" customHeight="false" outlineLevel="0" collapsed="false">
      <c r="A49" s="51" t="e">
        <f aca="false">_xlfn.CONCAT($A$1, ".", #REF!)</f>
        <v>#REF!</v>
      </c>
      <c r="B49" s="68" t="e">
        <f aca="false">_xlfn.CONCAT(#REF!, ":", #REF!)</f>
        <v>#REF!</v>
      </c>
      <c r="C49" s="69" t="e">
        <f aca="false">#REF!</f>
        <v>#REF!</v>
      </c>
      <c r="D49" s="69" t="e">
        <f aca="false">#REF!</f>
        <v>#REF!</v>
      </c>
      <c r="E49" s="69" t="e">
        <f aca="false">#REF!</f>
        <v>#REF!</v>
      </c>
      <c r="F49" s="69" t="e">
        <f aca="false">#REF!</f>
        <v>#REF!</v>
      </c>
    </row>
    <row r="50" customFormat="false" ht="12.8" hidden="false" customHeight="false" outlineLevel="0" collapsed="false">
      <c r="A50" s="51" t="e">
        <f aca="false">_xlfn.CONCAT($A$1, ".", #REF!)</f>
        <v>#REF!</v>
      </c>
      <c r="B50" s="68" t="e">
        <f aca="false">_xlfn.CONCAT(#REF!, ":", #REF!)</f>
        <v>#REF!</v>
      </c>
      <c r="C50" s="69" t="e">
        <f aca="false">#REF!</f>
        <v>#REF!</v>
      </c>
      <c r="D50" s="69" t="e">
        <f aca="false">#REF!</f>
        <v>#REF!</v>
      </c>
      <c r="E50" s="69" t="e">
        <f aca="false">#REF!</f>
        <v>#REF!</v>
      </c>
      <c r="F50" s="69" t="e">
        <f aca="false">#REF!</f>
        <v>#REF!</v>
      </c>
    </row>
    <row r="51" customFormat="false" ht="12.8" hidden="false" customHeight="false" outlineLevel="0" collapsed="false">
      <c r="A51" s="51" t="e">
        <f aca="false">_xlfn.CONCAT($A$1, ".", #REF!)</f>
        <v>#REF!</v>
      </c>
      <c r="B51" s="68" t="e">
        <f aca="false">_xlfn.CONCAT(#REF!, ":", #REF!)</f>
        <v>#REF!</v>
      </c>
      <c r="C51" s="69" t="e">
        <f aca="false">#REF!</f>
        <v>#REF!</v>
      </c>
      <c r="D51" s="69" t="e">
        <f aca="false">#REF!</f>
        <v>#REF!</v>
      </c>
      <c r="E51" s="69" t="e">
        <f aca="false">#REF!</f>
        <v>#REF!</v>
      </c>
      <c r="F51" s="69" t="e">
        <f aca="false">#REF!</f>
        <v>#REF!</v>
      </c>
    </row>
    <row r="52" customFormat="false" ht="12.8" hidden="false" customHeight="false" outlineLevel="0" collapsed="false">
      <c r="A52" s="51" t="e">
        <f aca="false">_xlfn.CONCAT($A$1, ".", #REF!)</f>
        <v>#REF!</v>
      </c>
      <c r="B52" s="68" t="e">
        <f aca="false">_xlfn.CONCAT(#REF!, ":", #REF!)</f>
        <v>#REF!</v>
      </c>
      <c r="C52" s="69" t="e">
        <f aca="false">#REF!</f>
        <v>#REF!</v>
      </c>
      <c r="D52" s="69" t="e">
        <f aca="false">#REF!</f>
        <v>#REF!</v>
      </c>
      <c r="E52" s="69" t="e">
        <f aca="false">#REF!</f>
        <v>#REF!</v>
      </c>
      <c r="F52" s="69" t="e">
        <f aca="false">#REF!</f>
        <v>#REF!</v>
      </c>
    </row>
    <row r="53" customFormat="false" ht="12.8" hidden="false" customHeight="false" outlineLevel="0" collapsed="false">
      <c r="A53" s="51" t="e">
        <f aca="false">_xlfn.CONCAT($A$1, ".", #REF!)</f>
        <v>#REF!</v>
      </c>
      <c r="B53" s="68" t="e">
        <f aca="false">_xlfn.CONCAT(#REF!, ":", #REF!)</f>
        <v>#REF!</v>
      </c>
      <c r="C53" s="69" t="e">
        <f aca="false">#REF!</f>
        <v>#REF!</v>
      </c>
      <c r="D53" s="69" t="e">
        <f aca="false">#REF!</f>
        <v>#REF!</v>
      </c>
      <c r="E53" s="69" t="e">
        <f aca="false">#REF!</f>
        <v>#REF!</v>
      </c>
      <c r="F53" s="69" t="e">
        <f aca="false">#REF!</f>
        <v>#REF!</v>
      </c>
    </row>
    <row r="54" customFormat="false" ht="12.8" hidden="false" customHeight="false" outlineLevel="0" collapsed="false">
      <c r="A54" s="51" t="e">
        <f aca="false">_xlfn.CONCAT($A$1, ".", #REF!)</f>
        <v>#REF!</v>
      </c>
      <c r="B54" s="68" t="e">
        <f aca="false">_xlfn.CONCAT(#REF!, ":", #REF!)</f>
        <v>#REF!</v>
      </c>
      <c r="C54" s="69" t="e">
        <f aca="false">#REF!</f>
        <v>#REF!</v>
      </c>
      <c r="D54" s="69" t="e">
        <f aca="false">#REF!</f>
        <v>#REF!</v>
      </c>
      <c r="E54" s="69" t="e">
        <f aca="false">#REF!</f>
        <v>#REF!</v>
      </c>
      <c r="F54" s="69" t="e">
        <f aca="false">#REF!</f>
        <v>#REF!</v>
      </c>
    </row>
    <row r="55" customFormat="false" ht="12.8" hidden="false" customHeight="false" outlineLevel="0" collapsed="false">
      <c r="A55" s="51" t="e">
        <f aca="false">_xlfn.CONCAT($A$1, ".", #REF!)</f>
        <v>#REF!</v>
      </c>
      <c r="B55" s="68" t="e">
        <f aca="false">_xlfn.CONCAT(#REF!, ":", #REF!)</f>
        <v>#REF!</v>
      </c>
      <c r="C55" s="69" t="e">
        <f aca="false">#REF!</f>
        <v>#REF!</v>
      </c>
      <c r="D55" s="69" t="e">
        <f aca="false">#REF!</f>
        <v>#REF!</v>
      </c>
      <c r="E55" s="69" t="e">
        <f aca="false">#REF!</f>
        <v>#REF!</v>
      </c>
      <c r="F55" s="6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5900</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2026-02-16T08:59:50Z</dcterms:modified>
  <cp:revision>774</cp:revision>
  <dc:subject/>
  <dc:title/>
</cp:coreProperties>
</file>

<file path=docProps/custom.xml><?xml version="1.0" encoding="utf-8"?>
<Properties xmlns="http://schemas.openxmlformats.org/officeDocument/2006/custom-properties" xmlns:vt="http://schemas.openxmlformats.org/officeDocument/2006/docPropsVTypes"/>
</file>